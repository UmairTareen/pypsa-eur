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CY\"/>
    </mc:Choice>
  </mc:AlternateContent>
  <bookViews>
    <workbookView xWindow="480" yWindow="120" windowWidth="27795" windowHeight="12075" tabRatio="710"/>
  </bookViews>
  <sheets>
    <sheet name="cover" sheetId="41" r:id="rId1"/>
    <sheet name="index" sheetId="4" r:id="rId2"/>
    <sheet name="SER_summary" sheetId="6" r:id="rId3"/>
    <sheet name="SER_hh_num" sheetId="7" r:id="rId4"/>
    <sheet name="SER_hh_fec" sheetId="8" r:id="rId5"/>
    <sheet name="SER_hh_tes" sheetId="9" r:id="rId6"/>
    <sheet name="SER_hh_eff" sheetId="10" r:id="rId7"/>
    <sheet name="SER_hh_emi" sheetId="11" r:id="rId8"/>
    <sheet name="SER_hh_fech" sheetId="12" r:id="rId9"/>
    <sheet name="SER_hh_tesh" sheetId="13" r:id="rId10"/>
    <sheet name="SER_hh_emih" sheetId="14" r:id="rId11"/>
    <sheet name="SER_hh_fecs" sheetId="15" r:id="rId12"/>
    <sheet name="SER_hh_tess" sheetId="16" r:id="rId13"/>
    <sheet name="SER_hh_emis" sheetId="17" r:id="rId14"/>
    <sheet name="SER_hh_num_in" sheetId="18" r:id="rId15"/>
    <sheet name="SER_hh_fec_in" sheetId="19" r:id="rId16"/>
    <sheet name="SER_hh_tes_in" sheetId="20" r:id="rId17"/>
    <sheet name="SER_hh_eff_in" sheetId="21" r:id="rId18"/>
    <sheet name="SER_hh_emi_in" sheetId="22" r:id="rId19"/>
    <sheet name="SER_hh_fech_in" sheetId="23" r:id="rId20"/>
    <sheet name="SER_hh_tesh_in" sheetId="24" r:id="rId21"/>
    <sheet name="SER_hh_emih_in" sheetId="25" r:id="rId22"/>
    <sheet name="SER_hh_fecs_in" sheetId="26" r:id="rId23"/>
    <sheet name="SER_hh_tess_in" sheetId="27" r:id="rId24"/>
    <sheet name="SER_hh_emis_in" sheetId="28" r:id="rId25"/>
    <sheet name="SER_se-appl" sheetId="29" r:id="rId26"/>
    <sheet name="SER_VE" sheetId="30" r:id="rId27"/>
    <sheet name="SER_SL" sheetId="31" r:id="rId28"/>
    <sheet name="SER_BL" sheetId="32" r:id="rId29"/>
    <sheet name="SER_CR" sheetId="33" r:id="rId30"/>
    <sheet name="SER_BT" sheetId="34" r:id="rId31"/>
    <sheet name="SER_IT" sheetId="35" r:id="rId32"/>
    <sheet name="AGR" sheetId="36" r:id="rId33"/>
    <sheet name="AGR_fec" sheetId="37" r:id="rId34"/>
    <sheet name="AGR_ued" sheetId="38" r:id="rId35"/>
    <sheet name="AGR_emi" sheetId="39" r:id="rId36"/>
  </sheets>
  <definedNames>
    <definedName name="_xlnm.Print_Area" localSheetId="32">AGR!$A$1:$L$34</definedName>
    <definedName name="_xlnm.Print_Titles" localSheetId="32">AGR!$1:$1</definedName>
    <definedName name="_xlnm.Print_Titles" localSheetId="35">AGR_emi!$1:$1</definedName>
    <definedName name="_xlnm.Print_Titles" localSheetId="33">AGR_fec!$1:$1</definedName>
    <definedName name="_xlnm.Print_Titles" localSheetId="34">AGR_ued!$1:$1</definedName>
    <definedName name="_xlnm.Print_Titles" localSheetId="28">SER_BL!$1:$1</definedName>
    <definedName name="_xlnm.Print_Titles" localSheetId="30">SER_BT!$1:$1</definedName>
    <definedName name="_xlnm.Print_Titles" localSheetId="29">SER_CR!$1:$1</definedName>
    <definedName name="_xlnm.Print_Titles" localSheetId="6">SER_hh_eff!$1:$1</definedName>
    <definedName name="_xlnm.Print_Titles" localSheetId="17">SER_hh_eff_in!$1:$1</definedName>
    <definedName name="_xlnm.Print_Titles" localSheetId="7">SER_hh_emi!$1:$1</definedName>
    <definedName name="_xlnm.Print_Titles" localSheetId="18">SER_hh_emi_in!$1:$1</definedName>
    <definedName name="_xlnm.Print_Titles" localSheetId="10">SER_hh_emih!$1:$1</definedName>
    <definedName name="_xlnm.Print_Titles" localSheetId="21">SER_hh_emih_in!$1:$1</definedName>
    <definedName name="_xlnm.Print_Titles" localSheetId="13">SER_hh_emis!$1:$1</definedName>
    <definedName name="_xlnm.Print_Titles" localSheetId="24">SER_hh_emis_in!$1:$1</definedName>
    <definedName name="_xlnm.Print_Titles" localSheetId="4">SER_hh_fec!$1:$1</definedName>
    <definedName name="_xlnm.Print_Titles" localSheetId="15">SER_hh_fec_in!$1:$1</definedName>
    <definedName name="_xlnm.Print_Titles" localSheetId="8">SER_hh_fech!$1:$1</definedName>
    <definedName name="_xlnm.Print_Titles" localSheetId="19">SER_hh_fech_in!$1:$1</definedName>
    <definedName name="_xlnm.Print_Titles" localSheetId="11">SER_hh_fecs!$1:$1</definedName>
    <definedName name="_xlnm.Print_Titles" localSheetId="22">SER_hh_fecs_in!$1:$1</definedName>
    <definedName name="_xlnm.Print_Titles" localSheetId="3">SER_hh_num!$1:$1</definedName>
    <definedName name="_xlnm.Print_Titles" localSheetId="14">SER_hh_num_in!$1:$1</definedName>
    <definedName name="_xlnm.Print_Titles" localSheetId="5">SER_hh_tes!$1:$1</definedName>
    <definedName name="_xlnm.Print_Titles" localSheetId="16">SER_hh_tes_in!$1:$1</definedName>
    <definedName name="_xlnm.Print_Titles" localSheetId="9">SER_hh_tesh!$1:$1</definedName>
    <definedName name="_xlnm.Print_Titles" localSheetId="20">SER_hh_tesh_in!$1:$1</definedName>
    <definedName name="_xlnm.Print_Titles" localSheetId="12">SER_hh_tess!$1:$1</definedName>
    <definedName name="_xlnm.Print_Titles" localSheetId="23">SER_hh_tess_in!$1:$1</definedName>
    <definedName name="_xlnm.Print_Titles" localSheetId="31">SER_IT!$1:$1</definedName>
    <definedName name="_xlnm.Print_Titles" localSheetId="25">'SER_se-appl'!$1:$1</definedName>
    <definedName name="_xlnm.Print_Titles" localSheetId="27">SER_SL!$1:$1</definedName>
    <definedName name="_xlnm.Print_Titles" localSheetId="2">SER_summary!$1:$1</definedName>
    <definedName name="_xlnm.Print_Titles" localSheetId="26">SER_VE!$1:$1</definedName>
  </definedNames>
  <calcPr calcId="162913"/>
</workbook>
</file>

<file path=xl/calcChain.xml><?xml version="1.0" encoding="utf-8"?>
<calcChain xmlns="http://schemas.openxmlformats.org/spreadsheetml/2006/main">
  <c r="H9" i="36" l="1"/>
  <c r="C17" i="39"/>
  <c r="P9" i="36"/>
  <c r="C9" i="39"/>
  <c r="V9" i="39"/>
  <c r="K9" i="39"/>
  <c r="S17" i="39"/>
  <c r="N9" i="39"/>
  <c r="F9" i="39"/>
  <c r="T9" i="39"/>
  <c r="D9" i="39"/>
  <c r="L9" i="39"/>
  <c r="J17" i="39"/>
  <c r="R17" i="39"/>
  <c r="E17" i="39"/>
  <c r="M17" i="39"/>
  <c r="U17" i="39"/>
  <c r="H9" i="39"/>
  <c r="P9" i="39"/>
  <c r="S9" i="39"/>
  <c r="J9" i="39"/>
  <c r="J5" i="39" s="1"/>
  <c r="R9" i="39"/>
  <c r="R5" i="39" s="1"/>
  <c r="E9" i="39"/>
  <c r="E5" i="39" s="1"/>
  <c r="M9" i="39"/>
  <c r="M5" i="39" s="1"/>
  <c r="U9" i="39"/>
  <c r="U5" i="39" s="1"/>
  <c r="H17" i="37"/>
  <c r="K9" i="36"/>
  <c r="S9" i="36"/>
  <c r="C9" i="36"/>
  <c r="E9" i="36"/>
  <c r="M9" i="36"/>
  <c r="U9" i="36"/>
  <c r="K17" i="39"/>
  <c r="C17" i="38"/>
  <c r="B17" i="39"/>
  <c r="I17" i="39"/>
  <c r="Q17" i="39"/>
  <c r="Q9" i="36"/>
  <c r="B9" i="36"/>
  <c r="J9" i="36"/>
  <c r="R9" i="36"/>
  <c r="D9" i="36"/>
  <c r="L9" i="36"/>
  <c r="T9" i="36"/>
  <c r="I9" i="39"/>
  <c r="Q9" i="39"/>
  <c r="I9" i="36"/>
  <c r="K9" i="38"/>
  <c r="K17" i="38"/>
  <c r="C9" i="38"/>
  <c r="S9" i="38"/>
  <c r="S17" i="38"/>
  <c r="F9" i="36"/>
  <c r="N9" i="36"/>
  <c r="V9" i="36"/>
  <c r="H9" i="38"/>
  <c r="P9" i="38"/>
  <c r="F17" i="39"/>
  <c r="N17" i="39"/>
  <c r="V17" i="39"/>
  <c r="D17" i="39"/>
  <c r="L17" i="39"/>
  <c r="T17" i="39"/>
  <c r="G17" i="39"/>
  <c r="O17" i="39"/>
  <c r="W17" i="39"/>
  <c r="H17" i="39"/>
  <c r="P17" i="39"/>
  <c r="B17" i="38"/>
  <c r="G9" i="39"/>
  <c r="O9" i="39"/>
  <c r="W9" i="39"/>
  <c r="B9" i="38"/>
  <c r="F17" i="38"/>
  <c r="N17" i="38"/>
  <c r="V17" i="38"/>
  <c r="D17" i="38"/>
  <c r="L17" i="38"/>
  <c r="T17" i="38"/>
  <c r="H17" i="38"/>
  <c r="P17" i="38"/>
  <c r="B9" i="39"/>
  <c r="G17" i="38"/>
  <c r="O17" i="38"/>
  <c r="W17" i="38"/>
  <c r="J17" i="38"/>
  <c r="R17" i="38"/>
  <c r="E17" i="38"/>
  <c r="M17" i="38"/>
  <c r="U17" i="38"/>
  <c r="B17" i="37"/>
  <c r="N9" i="38"/>
  <c r="D9" i="38"/>
  <c r="D5" i="38" s="1"/>
  <c r="G9" i="36"/>
  <c r="O9" i="36"/>
  <c r="W9" i="36"/>
  <c r="P17" i="37"/>
  <c r="G9" i="38"/>
  <c r="O9" i="38"/>
  <c r="W9" i="38"/>
  <c r="J9" i="38"/>
  <c r="R9" i="38"/>
  <c r="E9" i="38"/>
  <c r="M9" i="38"/>
  <c r="U9" i="38"/>
  <c r="I17" i="38"/>
  <c r="Q17" i="38"/>
  <c r="F9" i="38"/>
  <c r="Q9" i="38"/>
  <c r="T9" i="38"/>
  <c r="V9" i="38"/>
  <c r="L9" i="38"/>
  <c r="B9" i="37"/>
  <c r="I9" i="38"/>
  <c r="I5" i="38" s="1"/>
  <c r="H9" i="37"/>
  <c r="P9" i="37"/>
  <c r="G9" i="37"/>
  <c r="O9" i="37"/>
  <c r="W9" i="37"/>
  <c r="C17" i="37"/>
  <c r="K17" i="37"/>
  <c r="S17" i="37"/>
  <c r="F17" i="37"/>
  <c r="N17" i="37"/>
  <c r="V17" i="37"/>
  <c r="I17" i="37"/>
  <c r="Q17" i="37"/>
  <c r="D17" i="37"/>
  <c r="L17" i="37"/>
  <c r="T17" i="37"/>
  <c r="E17" i="37"/>
  <c r="M17" i="37"/>
  <c r="U17" i="37"/>
  <c r="C9" i="37"/>
  <c r="K9" i="37"/>
  <c r="S9" i="37"/>
  <c r="F9" i="37"/>
  <c r="N9" i="37"/>
  <c r="V9" i="37"/>
  <c r="I9" i="37"/>
  <c r="Q9" i="37"/>
  <c r="D9" i="37"/>
  <c r="L9" i="37"/>
  <c r="T9" i="37"/>
  <c r="J9" i="37"/>
  <c r="R9" i="37"/>
  <c r="G17" i="37"/>
  <c r="O17" i="37"/>
  <c r="W17" i="37"/>
  <c r="J17" i="37"/>
  <c r="R17" i="37"/>
  <c r="E9" i="37"/>
  <c r="M9" i="37"/>
  <c r="U9" i="37"/>
  <c r="I5" i="39" l="1"/>
  <c r="B5" i="38"/>
  <c r="B33" i="36" s="1"/>
  <c r="Q5" i="39"/>
  <c r="S5" i="38"/>
  <c r="C5" i="39"/>
  <c r="S5" i="39"/>
  <c r="V5" i="39"/>
  <c r="N5" i="39"/>
  <c r="T5" i="39"/>
  <c r="K5" i="39"/>
  <c r="W5" i="38"/>
  <c r="N5" i="38"/>
  <c r="D5" i="39"/>
  <c r="F5" i="39"/>
  <c r="C5" i="38"/>
  <c r="P5" i="39"/>
  <c r="G5" i="38"/>
  <c r="B5" i="37"/>
  <c r="K5" i="38"/>
  <c r="V5" i="38"/>
  <c r="O5" i="38"/>
  <c r="L5" i="39"/>
  <c r="H5" i="39"/>
  <c r="U5" i="38"/>
  <c r="B5" i="39"/>
  <c r="F5" i="38"/>
  <c r="L5" i="38"/>
  <c r="R5" i="38"/>
  <c r="T5" i="38"/>
  <c r="W5" i="39"/>
  <c r="M5" i="38"/>
  <c r="P5" i="38"/>
  <c r="O5" i="39"/>
  <c r="Q5" i="38"/>
  <c r="J5" i="38"/>
  <c r="E5" i="38"/>
  <c r="H5" i="38"/>
  <c r="G5" i="39"/>
  <c r="N14" i="36" l="1"/>
  <c r="F14" i="36"/>
  <c r="B14" i="36"/>
  <c r="S14" i="36"/>
  <c r="K14" i="36"/>
  <c r="V14" i="36"/>
  <c r="G14" i="36"/>
  <c r="O14" i="36"/>
  <c r="W14" i="36"/>
  <c r="H14" i="36"/>
  <c r="P14" i="36"/>
  <c r="I14" i="36"/>
  <c r="Q14" i="36"/>
  <c r="C14" i="36"/>
  <c r="D14" i="36"/>
  <c r="L14" i="36"/>
  <c r="T14" i="36"/>
  <c r="E19" i="36"/>
  <c r="F19" i="36"/>
  <c r="N19" i="36"/>
  <c r="V19" i="36"/>
  <c r="U19" i="36"/>
  <c r="G19" i="36"/>
  <c r="O19" i="36"/>
  <c r="W19" i="36"/>
  <c r="H19" i="36"/>
  <c r="P19" i="36"/>
  <c r="U14" i="36"/>
  <c r="I19" i="36"/>
  <c r="Q19" i="36"/>
  <c r="J14" i="36"/>
  <c r="R14" i="36"/>
  <c r="B19" i="36"/>
  <c r="J19" i="36"/>
  <c r="R19" i="36"/>
  <c r="E14" i="36"/>
  <c r="C19" i="36"/>
  <c r="K19" i="36"/>
  <c r="S19" i="36"/>
  <c r="M14" i="36"/>
  <c r="M19" i="36"/>
  <c r="D19" i="36"/>
  <c r="L19" i="36"/>
  <c r="T19" i="36"/>
  <c r="S12" i="36" l="1"/>
  <c r="N12" i="36"/>
  <c r="O12" i="36"/>
  <c r="G12" i="36"/>
  <c r="H12" i="36"/>
  <c r="Q12" i="36"/>
  <c r="B12" i="36"/>
  <c r="B31" i="36" s="1"/>
  <c r="W12" i="36"/>
  <c r="C12" i="36"/>
  <c r="P12" i="36"/>
  <c r="D12" i="36"/>
  <c r="M12" i="36"/>
  <c r="T12" i="36"/>
  <c r="L12" i="36"/>
  <c r="U12" i="36"/>
  <c r="J12" i="36"/>
  <c r="F12" i="36"/>
  <c r="E12" i="36"/>
  <c r="I12" i="36"/>
  <c r="K12" i="36"/>
  <c r="R12" i="36"/>
  <c r="V12" i="36"/>
  <c r="B32" i="36" l="1"/>
  <c r="T5" i="37"/>
  <c r="N5" i="37"/>
  <c r="C5" i="37"/>
  <c r="R5" i="37"/>
  <c r="O5" i="37"/>
  <c r="G5" i="37"/>
  <c r="M5" i="37"/>
  <c r="L5" i="37"/>
  <c r="D5" i="37"/>
  <c r="J5" i="37"/>
  <c r="W5" i="37"/>
  <c r="I5" i="37"/>
  <c r="H5" i="37" l="1"/>
  <c r="U5" i="37"/>
  <c r="P5" i="37"/>
  <c r="K5" i="37"/>
  <c r="E5" i="37"/>
  <c r="F5" i="37"/>
  <c r="V5" i="37"/>
  <c r="Q5" i="37"/>
  <c r="S5" i="37" l="1"/>
  <c r="I67" i="6" l="1"/>
  <c r="Q67" i="6" l="1"/>
  <c r="C33" i="6"/>
  <c r="K33" i="6"/>
  <c r="E33" i="6"/>
  <c r="M33" i="6"/>
  <c r="U33" i="6"/>
  <c r="G67" i="6"/>
  <c r="O67" i="6"/>
  <c r="W67" i="6"/>
  <c r="O33" i="6"/>
  <c r="E71" i="6"/>
  <c r="M71" i="6"/>
  <c r="U71" i="6"/>
  <c r="K37" i="6"/>
  <c r="S37" i="6"/>
  <c r="F67" i="6"/>
  <c r="V67" i="6"/>
  <c r="I33" i="6"/>
  <c r="Q33" i="6"/>
  <c r="H71" i="6"/>
  <c r="P71" i="6"/>
  <c r="H67" i="6"/>
  <c r="P67" i="6"/>
  <c r="C67" i="6"/>
  <c r="K67" i="6"/>
  <c r="S67" i="6"/>
  <c r="S33" i="6"/>
  <c r="F33" i="6"/>
  <c r="N33" i="6"/>
  <c r="V33" i="6"/>
  <c r="J67" i="6"/>
  <c r="R67" i="6"/>
  <c r="J33" i="6"/>
  <c r="R33" i="6"/>
  <c r="I37" i="6"/>
  <c r="Q37" i="6"/>
  <c r="C37" i="6"/>
  <c r="G33" i="6"/>
  <c r="W33" i="6"/>
  <c r="N67" i="6"/>
  <c r="C71" i="6"/>
  <c r="K71" i="6"/>
  <c r="S71" i="6"/>
  <c r="J71" i="6"/>
  <c r="R71" i="6"/>
  <c r="F37" i="6"/>
  <c r="N37" i="6"/>
  <c r="N31" i="6" s="1"/>
  <c r="V37" i="6"/>
  <c r="H33" i="6"/>
  <c r="P33" i="6"/>
  <c r="D37" i="6"/>
  <c r="T37" i="6"/>
  <c r="D33" i="6"/>
  <c r="L33" i="6"/>
  <c r="T33" i="6"/>
  <c r="G37" i="6"/>
  <c r="O37" i="6"/>
  <c r="W37" i="6"/>
  <c r="J37" i="6"/>
  <c r="R37" i="6"/>
  <c r="L37" i="6"/>
  <c r="T71" i="6"/>
  <c r="W71" i="6"/>
  <c r="E67" i="6"/>
  <c r="M67" i="6"/>
  <c r="U67" i="6"/>
  <c r="D71" i="6"/>
  <c r="G71" i="6"/>
  <c r="F71" i="6"/>
  <c r="N71" i="6"/>
  <c r="V71" i="6"/>
  <c r="I71" i="6"/>
  <c r="Q71" i="6"/>
  <c r="L71" i="6"/>
  <c r="O71" i="6"/>
  <c r="E37" i="6"/>
  <c r="E31" i="6" s="1"/>
  <c r="M37" i="6"/>
  <c r="U37" i="6"/>
  <c r="H37" i="6"/>
  <c r="P37" i="6"/>
  <c r="D67" i="6"/>
  <c r="L67" i="6"/>
  <c r="T67" i="6"/>
  <c r="K31" i="6" l="1"/>
  <c r="H31" i="6"/>
  <c r="T31" i="6"/>
  <c r="S31" i="6"/>
  <c r="F31" i="6"/>
  <c r="U31" i="6"/>
  <c r="M31" i="6"/>
  <c r="C31" i="6"/>
  <c r="W31" i="6"/>
  <c r="V31" i="6"/>
  <c r="D31" i="6"/>
  <c r="Q31" i="6"/>
  <c r="I31" i="6"/>
  <c r="O31" i="6"/>
  <c r="P31" i="6"/>
  <c r="G31" i="6"/>
  <c r="L31" i="6"/>
  <c r="R31" i="6"/>
  <c r="J31" i="6"/>
  <c r="W50" i="39" l="1"/>
  <c r="W46" i="39"/>
  <c r="W45" i="39"/>
  <c r="W39" i="39"/>
  <c r="W35" i="39"/>
  <c r="W32" i="39"/>
  <c r="W53" i="39"/>
  <c r="W52" i="39"/>
  <c r="W38" i="39"/>
  <c r="W37" i="39"/>
  <c r="W49" i="39"/>
  <c r="W48" i="39"/>
  <c r="W34" i="39"/>
  <c r="W33" i="39"/>
  <c r="W44" i="39"/>
  <c r="W49" i="38"/>
  <c r="W47" i="38"/>
  <c r="W45" i="38"/>
  <c r="W38" i="38"/>
  <c r="W36" i="38"/>
  <c r="W34" i="38"/>
  <c r="W32" i="38"/>
  <c r="W53" i="38"/>
  <c r="W39" i="38"/>
  <c r="W51" i="38"/>
  <c r="W50" i="38"/>
  <c r="W35" i="38"/>
  <c r="W46" i="38"/>
  <c r="W33" i="36"/>
  <c r="W49" i="37"/>
  <c r="W47" i="37"/>
  <c r="W45" i="37"/>
  <c r="W38" i="37"/>
  <c r="W36" i="37"/>
  <c r="W34" i="37"/>
  <c r="W32" i="37"/>
  <c r="W53" i="37"/>
  <c r="W39" i="37"/>
  <c r="W51" i="37"/>
  <c r="W50" i="37"/>
  <c r="W35" i="37"/>
  <c r="W46" i="37"/>
  <c r="W34" i="36"/>
  <c r="W32" i="36"/>
  <c r="W31" i="36"/>
  <c r="W36" i="39" l="1"/>
  <c r="W40" i="39"/>
  <c r="W47" i="39"/>
  <c r="W51" i="39"/>
  <c r="W33" i="38"/>
  <c r="W37" i="38"/>
  <c r="W44" i="38"/>
  <c r="W48" i="38"/>
  <c r="W52" i="38"/>
  <c r="W40" i="38"/>
  <c r="W33" i="37"/>
  <c r="W37" i="37"/>
  <c r="W48" i="37"/>
  <c r="W52" i="37"/>
  <c r="W40" i="37"/>
  <c r="W31" i="38" l="1"/>
  <c r="W44" i="37"/>
  <c r="W31" i="39"/>
  <c r="W31" i="37"/>
  <c r="T31" i="36" l="1"/>
  <c r="T34" i="36"/>
  <c r="V31" i="36"/>
  <c r="V34" i="36"/>
  <c r="U34" i="36"/>
  <c r="U31" i="36"/>
  <c r="S34" i="36"/>
  <c r="S31" i="36"/>
  <c r="R34" i="36"/>
  <c r="R31" i="36"/>
  <c r="S32" i="36" l="1"/>
  <c r="S51" i="37"/>
  <c r="S49" i="37"/>
  <c r="R45" i="37" l="1"/>
  <c r="R32" i="36"/>
  <c r="R49" i="37"/>
  <c r="R51" i="37"/>
  <c r="R46" i="37"/>
  <c r="V32" i="36"/>
  <c r="V49" i="37"/>
  <c r="V51" i="37"/>
  <c r="V48" i="37"/>
  <c r="R47" i="37"/>
  <c r="V52" i="37"/>
  <c r="U32" i="36"/>
  <c r="U49" i="37"/>
  <c r="U51" i="37"/>
  <c r="R52" i="37" l="1"/>
  <c r="T32" i="36"/>
  <c r="T51" i="37"/>
  <c r="T49" i="37"/>
  <c r="V46" i="37"/>
  <c r="T52" i="37"/>
  <c r="U52" i="37"/>
  <c r="V45" i="37"/>
  <c r="V50" i="37"/>
  <c r="T45" i="37"/>
  <c r="V47" i="37"/>
  <c r="T47" i="37" l="1"/>
  <c r="R50" i="37"/>
  <c r="U47" i="37"/>
  <c r="U48" i="37"/>
  <c r="T48" i="37"/>
  <c r="U45" i="37"/>
  <c r="U46" i="37"/>
  <c r="T46" i="37"/>
  <c r="S45" i="37"/>
  <c r="S52" i="37"/>
  <c r="S48" i="37" l="1"/>
  <c r="T50" i="37"/>
  <c r="S46" i="37"/>
  <c r="R48" i="37"/>
  <c r="S47" i="37"/>
  <c r="U50" i="37" l="1"/>
  <c r="S50" i="37" l="1"/>
  <c r="N31" i="36" l="1"/>
  <c r="N34" i="36"/>
  <c r="P34" i="36"/>
  <c r="P31" i="36"/>
  <c r="K34" i="36"/>
  <c r="K31" i="36"/>
  <c r="J34" i="36"/>
  <c r="J31" i="36"/>
  <c r="M34" i="36"/>
  <c r="M31" i="36"/>
  <c r="I34" i="36"/>
  <c r="I31" i="36"/>
  <c r="F34" i="36"/>
  <c r="F31" i="36"/>
  <c r="H34" i="36"/>
  <c r="H31" i="36"/>
  <c r="Q34" i="36"/>
  <c r="Q31" i="36"/>
  <c r="L34" i="36"/>
  <c r="L31" i="36"/>
  <c r="C34" i="36"/>
  <c r="C31" i="36"/>
  <c r="G34" i="36"/>
  <c r="G31" i="36"/>
  <c r="D31" i="36"/>
  <c r="D34" i="36"/>
  <c r="O34" i="36"/>
  <c r="O31" i="36"/>
  <c r="Q32" i="36" l="1"/>
  <c r="P32" i="36"/>
  <c r="O32" i="36"/>
  <c r="N32" i="36"/>
  <c r="M32" i="36"/>
  <c r="S53" i="37" l="1"/>
  <c r="S44" i="37" s="1"/>
  <c r="T53" i="37"/>
  <c r="T44" i="37" s="1"/>
  <c r="V53" i="37" l="1"/>
  <c r="V44" i="37" s="1"/>
  <c r="R53" i="37"/>
  <c r="R44" i="37" s="1"/>
  <c r="U53" i="37"/>
  <c r="U44" i="37" s="1"/>
  <c r="V36" i="37" l="1"/>
  <c r="V38" i="37"/>
  <c r="V35" i="37"/>
  <c r="V39" i="37"/>
  <c r="V37" i="37"/>
  <c r="V34" i="37"/>
  <c r="V32" i="37"/>
  <c r="V33" i="37"/>
  <c r="V40" i="37"/>
  <c r="S40" i="37"/>
  <c r="S38" i="37"/>
  <c r="S36" i="37"/>
  <c r="S32" i="37"/>
  <c r="S39" i="37"/>
  <c r="S35" i="37"/>
  <c r="S34" i="37"/>
  <c r="S33" i="37"/>
  <c r="S37" i="37"/>
  <c r="U36" i="37"/>
  <c r="U38" i="37"/>
  <c r="U39" i="37"/>
  <c r="U35" i="37"/>
  <c r="U32" i="37"/>
  <c r="U34" i="37"/>
  <c r="U33" i="37"/>
  <c r="U37" i="37"/>
  <c r="U40" i="37"/>
  <c r="R36" i="37"/>
  <c r="R38" i="37"/>
  <c r="R32" i="37"/>
  <c r="R34" i="37"/>
  <c r="R33" i="37"/>
  <c r="R39" i="37"/>
  <c r="R37" i="37"/>
  <c r="R35" i="37"/>
  <c r="R40" i="37"/>
  <c r="T40" i="37"/>
  <c r="T38" i="37"/>
  <c r="T36" i="37"/>
  <c r="T39" i="37"/>
  <c r="T32" i="37"/>
  <c r="T33" i="37"/>
  <c r="T34" i="37"/>
  <c r="T35" i="37"/>
  <c r="T37" i="37"/>
  <c r="R31" i="37" l="1"/>
  <c r="S31" i="37"/>
  <c r="V31" i="37"/>
  <c r="T31" i="37"/>
  <c r="U31" i="37"/>
  <c r="H32" i="36" l="1"/>
  <c r="F32" i="36"/>
  <c r="I32" i="36"/>
  <c r="D32" i="36"/>
  <c r="G32" i="36"/>
  <c r="C32" i="36"/>
  <c r="J32" i="36"/>
  <c r="L32" i="36"/>
  <c r="K32" i="36"/>
  <c r="D8" i="36" l="1"/>
  <c r="S49" i="39" l="1"/>
  <c r="R49" i="39"/>
  <c r="R47" i="39" l="1"/>
  <c r="R34" i="39"/>
  <c r="T32" i="39"/>
  <c r="T45" i="39"/>
  <c r="V49" i="39"/>
  <c r="S46" i="39"/>
  <c r="S33" i="39"/>
  <c r="V53" i="39"/>
  <c r="V40" i="39"/>
  <c r="T52" i="39"/>
  <c r="T39" i="39"/>
  <c r="V33" i="39"/>
  <c r="V46" i="39"/>
  <c r="U47" i="39"/>
  <c r="U34" i="39"/>
  <c r="S40" i="39"/>
  <c r="S53" i="39"/>
  <c r="R46" i="39"/>
  <c r="R33" i="39"/>
  <c r="T53" i="39"/>
  <c r="T40" i="39"/>
  <c r="T49" i="39"/>
  <c r="U40" i="39"/>
  <c r="U53" i="39"/>
  <c r="R52" i="39"/>
  <c r="R39" i="39"/>
  <c r="U52" i="39"/>
  <c r="U39" i="39"/>
  <c r="V52" i="39"/>
  <c r="V39" i="39"/>
  <c r="T51" i="39"/>
  <c r="S34" i="39"/>
  <c r="S47" i="39"/>
  <c r="T47" i="39"/>
  <c r="T34" i="39"/>
  <c r="U33" i="39"/>
  <c r="U46" i="39"/>
  <c r="U32" i="39"/>
  <c r="U45" i="39"/>
  <c r="S52" i="39"/>
  <c r="S39" i="39"/>
  <c r="S51" i="39"/>
  <c r="R51" i="39"/>
  <c r="V34" i="39"/>
  <c r="V47" i="39"/>
  <c r="R40" i="39"/>
  <c r="R53" i="39"/>
  <c r="T33" i="39"/>
  <c r="T46" i="39"/>
  <c r="V51" i="39"/>
  <c r="S32" i="39" l="1"/>
  <c r="S45" i="39"/>
  <c r="V45" i="39"/>
  <c r="V32" i="39"/>
  <c r="U49" i="39"/>
  <c r="R32" i="39"/>
  <c r="R45" i="39"/>
  <c r="U51" i="39"/>
  <c r="U50" i="39" l="1"/>
  <c r="V50" i="39"/>
  <c r="R48" i="39"/>
  <c r="R50" i="39"/>
  <c r="S50" i="39" l="1"/>
  <c r="S48" i="39"/>
  <c r="T50" i="39"/>
  <c r="V48" i="39"/>
  <c r="T48" i="39"/>
  <c r="U48" i="39"/>
  <c r="V35" i="39"/>
  <c r="U44" i="39" l="1"/>
  <c r="U38" i="39"/>
  <c r="U36" i="39"/>
  <c r="U37" i="39"/>
  <c r="U35" i="39"/>
  <c r="V44" i="39"/>
  <c r="V36" i="39"/>
  <c r="V38" i="39"/>
  <c r="V37" i="39"/>
  <c r="U31" i="39" l="1"/>
  <c r="V31" i="39"/>
  <c r="R36" i="39"/>
  <c r="R44" i="39"/>
  <c r="R38" i="39"/>
  <c r="R37" i="39"/>
  <c r="R35" i="39"/>
  <c r="T44" i="39"/>
  <c r="T38" i="39"/>
  <c r="T36" i="39"/>
  <c r="T35" i="39"/>
  <c r="T37" i="39"/>
  <c r="S36" i="39"/>
  <c r="S44" i="39"/>
  <c r="S38" i="39"/>
  <c r="S37" i="39"/>
  <c r="S35" i="39"/>
  <c r="S31" i="39" l="1"/>
  <c r="R31" i="39"/>
  <c r="T31" i="39"/>
  <c r="E34" i="36" l="1"/>
  <c r="E31" i="36"/>
  <c r="E32" i="36" l="1"/>
  <c r="E8" i="36" l="1"/>
  <c r="F8" i="36" l="1"/>
  <c r="G8" i="36" l="1"/>
  <c r="H8" i="36" l="1"/>
  <c r="I8" i="36" l="1"/>
  <c r="J8" i="36" l="1"/>
  <c r="K8" i="36" l="1"/>
  <c r="L8" i="36" l="1"/>
  <c r="M8" i="36" l="1"/>
  <c r="L33" i="36"/>
  <c r="G33" i="36"/>
  <c r="F33" i="36"/>
  <c r="I33" i="36" l="1"/>
  <c r="E33" i="36"/>
  <c r="D33" i="36"/>
  <c r="J33" i="36"/>
  <c r="C33" i="36"/>
  <c r="K33" i="36"/>
  <c r="H33" i="36"/>
  <c r="N8" i="36" l="1"/>
  <c r="M33" i="36"/>
  <c r="O8" i="36"/>
  <c r="N33" i="36" l="1"/>
  <c r="P8" i="36" l="1"/>
  <c r="O33" i="36" l="1"/>
  <c r="P33" i="36" l="1"/>
  <c r="Q8" i="36"/>
  <c r="R8" i="36" l="1"/>
  <c r="Q33" i="36" l="1"/>
  <c r="R49" i="38" l="1"/>
  <c r="R47" i="38" l="1"/>
  <c r="S8" i="36"/>
  <c r="R51" i="38"/>
  <c r="R53" i="38"/>
  <c r="R52" i="38"/>
  <c r="R45" i="38"/>
  <c r="R46" i="38"/>
  <c r="R36" i="38" l="1"/>
  <c r="R44" i="38"/>
  <c r="R33" i="36"/>
  <c r="R32" i="38"/>
  <c r="R39" i="38"/>
  <c r="R33" i="38"/>
  <c r="R38" i="38"/>
  <c r="R34" i="38"/>
  <c r="R48" i="38"/>
  <c r="R35" i="38"/>
  <c r="R37" i="38"/>
  <c r="R50" i="38"/>
  <c r="R40" i="38"/>
  <c r="T8" i="36" l="1"/>
  <c r="R31" i="38"/>
  <c r="S53" i="38"/>
  <c r="S47" i="38" l="1"/>
  <c r="S52" i="38"/>
  <c r="S45" i="38"/>
  <c r="S46" i="38"/>
  <c r="S51" i="38"/>
  <c r="S49" i="38"/>
  <c r="S36" i="38"/>
  <c r="U8" i="36"/>
  <c r="S39" i="38"/>
  <c r="S48" i="38" l="1"/>
  <c r="S35" i="38"/>
  <c r="S38" i="38"/>
  <c r="S40" i="38"/>
  <c r="S44" i="38"/>
  <c r="S33" i="36"/>
  <c r="S32" i="38"/>
  <c r="S34" i="38"/>
  <c r="S37" i="38"/>
  <c r="S50" i="38"/>
  <c r="S33" i="38"/>
  <c r="T53" i="38"/>
  <c r="T51" i="38" l="1"/>
  <c r="S31" i="38"/>
  <c r="T47" i="38"/>
  <c r="T52" i="38"/>
  <c r="T49" i="38"/>
  <c r="T46" i="38"/>
  <c r="T45" i="38"/>
  <c r="W8" i="36"/>
  <c r="V8" i="36"/>
  <c r="U45" i="38" l="1"/>
  <c r="U46" i="38"/>
  <c r="T50" i="38"/>
  <c r="U52" i="38"/>
  <c r="U49" i="38"/>
  <c r="U53" i="38"/>
  <c r="U51" i="38"/>
  <c r="T48" i="38"/>
  <c r="U47" i="38"/>
  <c r="T35" i="38"/>
  <c r="V47" i="38"/>
  <c r="V52" i="38" l="1"/>
  <c r="T40" i="38"/>
  <c r="T44" i="38"/>
  <c r="T33" i="36"/>
  <c r="T38" i="38"/>
  <c r="T39" i="38"/>
  <c r="T33" i="38"/>
  <c r="T32" i="38"/>
  <c r="T34" i="38"/>
  <c r="T36" i="38"/>
  <c r="V45" i="38"/>
  <c r="V38" i="38"/>
  <c r="V51" i="38"/>
  <c r="U48" i="38"/>
  <c r="U50" i="38"/>
  <c r="V49" i="38"/>
  <c r="V53" i="38"/>
  <c r="V46" i="38"/>
  <c r="T37" i="38"/>
  <c r="V34" i="38" l="1"/>
  <c r="V33" i="36"/>
  <c r="V44" i="38"/>
  <c r="V35" i="38"/>
  <c r="V48" i="38"/>
  <c r="T31" i="38"/>
  <c r="U44" i="38"/>
  <c r="U33" i="36"/>
  <c r="U38" i="38"/>
  <c r="U34" i="38"/>
  <c r="U32" i="38"/>
  <c r="U39" i="38"/>
  <c r="U40" i="38"/>
  <c r="U36" i="38"/>
  <c r="U33" i="38"/>
  <c r="V40" i="38"/>
  <c r="U37" i="38"/>
  <c r="U35" i="38"/>
  <c r="V39" i="38"/>
  <c r="V50" i="38"/>
  <c r="V37" i="38"/>
  <c r="V33" i="38"/>
  <c r="V36" i="38"/>
  <c r="V32" i="38"/>
  <c r="V31" i="38" l="1"/>
  <c r="U31" i="38"/>
  <c r="R15" i="30" l="1"/>
  <c r="V12" i="30"/>
  <c r="T10" i="30"/>
  <c r="R9" i="30"/>
  <c r="V14" i="31"/>
  <c r="T12" i="31"/>
  <c r="R10" i="31"/>
  <c r="V8" i="31"/>
  <c r="V15" i="32"/>
  <c r="T14" i="32"/>
  <c r="R12" i="32"/>
  <c r="V9" i="32"/>
  <c r="T8" i="32"/>
  <c r="T15" i="33"/>
  <c r="R14" i="33"/>
  <c r="V10" i="33"/>
  <c r="T9" i="33"/>
  <c r="R8" i="33"/>
  <c r="R15" i="34"/>
  <c r="V12" i="34"/>
  <c r="T10" i="34"/>
  <c r="R9" i="34"/>
  <c r="V14" i="35"/>
  <c r="T12" i="35"/>
  <c r="R10" i="35"/>
  <c r="V8" i="35"/>
  <c r="W15" i="35"/>
  <c r="V15" i="35"/>
  <c r="U15" i="35"/>
  <c r="T15" i="35"/>
  <c r="S15" i="35"/>
  <c r="R15" i="35"/>
  <c r="W15" i="34"/>
  <c r="V15" i="34"/>
  <c r="U15" i="34"/>
  <c r="T15" i="34"/>
  <c r="S15" i="34"/>
  <c r="W15" i="33"/>
  <c r="V15" i="33"/>
  <c r="U15" i="33"/>
  <c r="S15" i="33"/>
  <c r="R15" i="33"/>
  <c r="W15" i="32"/>
  <c r="U15" i="32"/>
  <c r="T15" i="32"/>
  <c r="S15" i="32"/>
  <c r="R15" i="32"/>
  <c r="W15" i="31"/>
  <c r="V15" i="31"/>
  <c r="U15" i="31"/>
  <c r="T15" i="31"/>
  <c r="S15" i="31"/>
  <c r="R15" i="31"/>
  <c r="W15" i="30"/>
  <c r="V15" i="30"/>
  <c r="U15" i="30"/>
  <c r="T15" i="30"/>
  <c r="S15" i="30"/>
  <c r="W14" i="35"/>
  <c r="U14" i="35"/>
  <c r="T14" i="35"/>
  <c r="S14" i="35"/>
  <c r="R14" i="35"/>
  <c r="W14" i="34"/>
  <c r="V14" i="34"/>
  <c r="U14" i="34"/>
  <c r="T14" i="34"/>
  <c r="S14" i="34"/>
  <c r="R14" i="34"/>
  <c r="W14" i="33"/>
  <c r="V14" i="33"/>
  <c r="U14" i="33"/>
  <c r="T14" i="33"/>
  <c r="S14" i="33"/>
  <c r="W14" i="32"/>
  <c r="V14" i="32"/>
  <c r="U14" i="32"/>
  <c r="S14" i="32"/>
  <c r="R14" i="32"/>
  <c r="W14" i="31"/>
  <c r="U14" i="31"/>
  <c r="T14" i="31"/>
  <c r="S14" i="31"/>
  <c r="R14" i="31"/>
  <c r="W14" i="30"/>
  <c r="V14" i="30"/>
  <c r="U14" i="30"/>
  <c r="T14" i="30"/>
  <c r="S14" i="30"/>
  <c r="R14" i="30"/>
  <c r="W12" i="35"/>
  <c r="V12" i="35"/>
  <c r="U12" i="35"/>
  <c r="S12" i="35"/>
  <c r="R12" i="35"/>
  <c r="W12" i="34"/>
  <c r="U12" i="34"/>
  <c r="T12" i="34"/>
  <c r="S12" i="34"/>
  <c r="R12" i="34"/>
  <c r="W12" i="33"/>
  <c r="V12" i="33"/>
  <c r="U12" i="33"/>
  <c r="T12" i="33"/>
  <c r="S12" i="33"/>
  <c r="R12" i="33"/>
  <c r="W12" i="32"/>
  <c r="V12" i="32"/>
  <c r="U12" i="32"/>
  <c r="T12" i="32"/>
  <c r="S12" i="32"/>
  <c r="W12" i="31"/>
  <c r="V12" i="31"/>
  <c r="U12" i="31"/>
  <c r="S12" i="31"/>
  <c r="R12" i="31"/>
  <c r="W12" i="30"/>
  <c r="U12" i="30"/>
  <c r="T12" i="30"/>
  <c r="S12" i="30"/>
  <c r="R12" i="30"/>
  <c r="W10" i="35"/>
  <c r="V10" i="35"/>
  <c r="U10" i="35"/>
  <c r="T10" i="35"/>
  <c r="S10" i="35"/>
  <c r="W10" i="34"/>
  <c r="V10" i="34"/>
  <c r="U10" i="34"/>
  <c r="S10" i="34"/>
  <c r="R10" i="34"/>
  <c r="W10" i="33"/>
  <c r="U10" i="33"/>
  <c r="T10" i="33"/>
  <c r="S10" i="33"/>
  <c r="R10" i="33"/>
  <c r="W10" i="32"/>
  <c r="V10" i="32"/>
  <c r="U10" i="32"/>
  <c r="T10" i="32"/>
  <c r="S10" i="32"/>
  <c r="R10" i="32"/>
  <c r="W10" i="31"/>
  <c r="V10" i="31"/>
  <c r="U10" i="31"/>
  <c r="T10" i="31"/>
  <c r="S10" i="31"/>
  <c r="W10" i="30"/>
  <c r="V10" i="30"/>
  <c r="U10" i="30"/>
  <c r="S10" i="30"/>
  <c r="R10" i="30"/>
  <c r="W9" i="35"/>
  <c r="V9" i="35"/>
  <c r="U9" i="35"/>
  <c r="T9" i="35"/>
  <c r="S9" i="35"/>
  <c r="R9" i="35"/>
  <c r="W9" i="34"/>
  <c r="V9" i="34"/>
  <c r="U9" i="34"/>
  <c r="T9" i="34"/>
  <c r="S9" i="34"/>
  <c r="W9" i="33"/>
  <c r="V9" i="33"/>
  <c r="U9" i="33"/>
  <c r="S9" i="33"/>
  <c r="R9" i="33"/>
  <c r="W9" i="32"/>
  <c r="U9" i="32"/>
  <c r="T9" i="32"/>
  <c r="S9" i="32"/>
  <c r="R9" i="32"/>
  <c r="W9" i="31"/>
  <c r="V9" i="31"/>
  <c r="U9" i="31"/>
  <c r="T9" i="31"/>
  <c r="S9" i="31"/>
  <c r="R9" i="31"/>
  <c r="W9" i="30"/>
  <c r="V9" i="30"/>
  <c r="U9" i="30"/>
  <c r="T9" i="30"/>
  <c r="S9" i="30"/>
  <c r="W73" i="29"/>
  <c r="W6" i="35" s="1"/>
  <c r="V73" i="29"/>
  <c r="V6" i="35" s="1"/>
  <c r="T73" i="29"/>
  <c r="T6" i="35" s="1"/>
  <c r="S73" i="29"/>
  <c r="S6" i="35" s="1"/>
  <c r="R73" i="29"/>
  <c r="R6" i="35" s="1"/>
  <c r="Q73" i="29"/>
  <c r="P73" i="29"/>
  <c r="O73" i="29"/>
  <c r="N73" i="29"/>
  <c r="M73" i="29"/>
  <c r="L73" i="29"/>
  <c r="K73" i="29"/>
  <c r="J73" i="29"/>
  <c r="I73" i="29"/>
  <c r="H73" i="29"/>
  <c r="G73" i="29"/>
  <c r="F73" i="29"/>
  <c r="E73" i="29"/>
  <c r="D73" i="29"/>
  <c r="W72" i="29"/>
  <c r="W6" i="34" s="1"/>
  <c r="V72" i="29"/>
  <c r="V6" i="34" s="1"/>
  <c r="U72" i="29"/>
  <c r="U6" i="34" s="1"/>
  <c r="T72" i="29"/>
  <c r="T6" i="34" s="1"/>
  <c r="S72" i="29"/>
  <c r="S6" i="34" s="1"/>
  <c r="R72" i="29"/>
  <c r="R6" i="34" s="1"/>
  <c r="Q72" i="29"/>
  <c r="P72" i="29"/>
  <c r="O72" i="29"/>
  <c r="N72" i="29"/>
  <c r="M72" i="29"/>
  <c r="L72" i="29"/>
  <c r="K72" i="29"/>
  <c r="J72" i="29"/>
  <c r="I72" i="29"/>
  <c r="H72" i="29"/>
  <c r="G72" i="29"/>
  <c r="F72" i="29"/>
  <c r="E72" i="29"/>
  <c r="D72" i="29"/>
  <c r="W71" i="29"/>
  <c r="W6" i="33" s="1"/>
  <c r="V71" i="29"/>
  <c r="V6" i="33" s="1"/>
  <c r="T71" i="29"/>
  <c r="T6" i="33" s="1"/>
  <c r="S71" i="29"/>
  <c r="S6" i="33" s="1"/>
  <c r="R71" i="29"/>
  <c r="R6" i="33" s="1"/>
  <c r="Q71" i="29"/>
  <c r="P71" i="29"/>
  <c r="O71" i="29"/>
  <c r="N71" i="29"/>
  <c r="M71" i="29"/>
  <c r="L71" i="29"/>
  <c r="K71" i="29"/>
  <c r="J71" i="29"/>
  <c r="I71" i="29"/>
  <c r="H71" i="29"/>
  <c r="G71" i="29"/>
  <c r="F71" i="29"/>
  <c r="E71" i="29"/>
  <c r="D71" i="29"/>
  <c r="W70" i="29"/>
  <c r="W6" i="32" s="1"/>
  <c r="V70" i="29"/>
  <c r="V6" i="32" s="1"/>
  <c r="U70" i="29"/>
  <c r="U6" i="32" s="1"/>
  <c r="T70" i="29"/>
  <c r="T6" i="32" s="1"/>
  <c r="S70" i="29"/>
  <c r="S6" i="32" s="1"/>
  <c r="R70" i="29"/>
  <c r="R6" i="32" s="1"/>
  <c r="Q70" i="29"/>
  <c r="P70" i="29"/>
  <c r="O70" i="29"/>
  <c r="N70" i="29"/>
  <c r="M70" i="29"/>
  <c r="L70" i="29"/>
  <c r="K70" i="29"/>
  <c r="J70" i="29"/>
  <c r="I70" i="29"/>
  <c r="H70" i="29"/>
  <c r="G70" i="29"/>
  <c r="F70" i="29"/>
  <c r="E70" i="29"/>
  <c r="D70" i="29"/>
  <c r="W69" i="29"/>
  <c r="W6" i="31" s="1"/>
  <c r="V69" i="29"/>
  <c r="V6" i="31" s="1"/>
  <c r="T69" i="29"/>
  <c r="T6" i="31" s="1"/>
  <c r="S69" i="29"/>
  <c r="S6" i="31" s="1"/>
  <c r="R69" i="29"/>
  <c r="R6" i="31" s="1"/>
  <c r="Q69" i="29"/>
  <c r="P69" i="29"/>
  <c r="O69" i="29"/>
  <c r="N69" i="29"/>
  <c r="M69" i="29"/>
  <c r="L69" i="29"/>
  <c r="K69" i="29"/>
  <c r="J69" i="29"/>
  <c r="I69" i="29"/>
  <c r="H69" i="29"/>
  <c r="G69" i="29"/>
  <c r="F69" i="29"/>
  <c r="E69" i="29"/>
  <c r="D69" i="29"/>
  <c r="W68" i="29"/>
  <c r="W6" i="30" s="1"/>
  <c r="V68" i="29"/>
  <c r="V6" i="30" s="1"/>
  <c r="U68" i="29"/>
  <c r="U6" i="30" s="1"/>
  <c r="T68" i="29"/>
  <c r="T6" i="30" s="1"/>
  <c r="S68" i="29"/>
  <c r="S6" i="30" s="1"/>
  <c r="R68" i="29"/>
  <c r="R6" i="30" s="1"/>
  <c r="Q68" i="29"/>
  <c r="P68" i="29"/>
  <c r="O68" i="29"/>
  <c r="N68" i="29"/>
  <c r="M68" i="29"/>
  <c r="L68" i="29"/>
  <c r="K68" i="29"/>
  <c r="J68" i="29"/>
  <c r="I68" i="29"/>
  <c r="H68" i="29"/>
  <c r="G68" i="29"/>
  <c r="F68" i="29"/>
  <c r="E68" i="29"/>
  <c r="D68" i="29"/>
  <c r="W17" i="29"/>
  <c r="W5" i="35" s="1"/>
  <c r="V17" i="29"/>
  <c r="V5" i="35" s="1"/>
  <c r="U17" i="29"/>
  <c r="T17" i="29"/>
  <c r="T5" i="35" s="1"/>
  <c r="S17" i="29"/>
  <c r="S5" i="35" s="1"/>
  <c r="R17" i="29"/>
  <c r="R5" i="35" s="1"/>
  <c r="Q17" i="29"/>
  <c r="P17" i="29"/>
  <c r="P9" i="29" s="1"/>
  <c r="O17" i="29"/>
  <c r="O9" i="29" s="1"/>
  <c r="N17" i="29"/>
  <c r="N9" i="29" s="1"/>
  <c r="M17" i="29"/>
  <c r="M9" i="29" s="1"/>
  <c r="L17" i="29"/>
  <c r="K17" i="29"/>
  <c r="J17" i="29"/>
  <c r="I17" i="29"/>
  <c r="H17" i="29"/>
  <c r="H9" i="29" s="1"/>
  <c r="G17" i="29"/>
  <c r="G9" i="29" s="1"/>
  <c r="F17" i="29"/>
  <c r="F9" i="29" s="1"/>
  <c r="E17" i="29"/>
  <c r="E9" i="29" s="1"/>
  <c r="D17" i="29"/>
  <c r="W16" i="29"/>
  <c r="W5" i="34" s="1"/>
  <c r="V16" i="29"/>
  <c r="V5" i="34" s="1"/>
  <c r="U16" i="29"/>
  <c r="U5" i="34" s="1"/>
  <c r="T16" i="29"/>
  <c r="T8" i="29" s="1"/>
  <c r="S16" i="29"/>
  <c r="S5" i="34" s="1"/>
  <c r="R16" i="29"/>
  <c r="R5" i="34" s="1"/>
  <c r="Q16" i="29"/>
  <c r="Q8" i="29" s="1"/>
  <c r="P16" i="29"/>
  <c r="O16" i="29"/>
  <c r="N16" i="29"/>
  <c r="M16" i="29"/>
  <c r="L16" i="29"/>
  <c r="L8" i="29" s="1"/>
  <c r="K16" i="29"/>
  <c r="K8" i="29" s="1"/>
  <c r="J16" i="29"/>
  <c r="J8" i="29" s="1"/>
  <c r="I16" i="29"/>
  <c r="I8" i="29" s="1"/>
  <c r="H16" i="29"/>
  <c r="G16" i="29"/>
  <c r="F16" i="29"/>
  <c r="E16" i="29"/>
  <c r="D16" i="29"/>
  <c r="D8" i="29" s="1"/>
  <c r="W15" i="29"/>
  <c r="W5" i="33" s="1"/>
  <c r="V15" i="29"/>
  <c r="V5" i="33" s="1"/>
  <c r="U15" i="29"/>
  <c r="T15" i="29"/>
  <c r="T5" i="33" s="1"/>
  <c r="S15" i="29"/>
  <c r="S5" i="33" s="1"/>
  <c r="R15" i="29"/>
  <c r="R5" i="33" s="1"/>
  <c r="Q15" i="29"/>
  <c r="P15" i="29"/>
  <c r="P7" i="29" s="1"/>
  <c r="O15" i="29"/>
  <c r="O7" i="29" s="1"/>
  <c r="N15" i="29"/>
  <c r="N7" i="29" s="1"/>
  <c r="M15" i="29"/>
  <c r="M7" i="29" s="1"/>
  <c r="L15" i="29"/>
  <c r="K15" i="29"/>
  <c r="J15" i="29"/>
  <c r="I15" i="29"/>
  <c r="H15" i="29"/>
  <c r="H7" i="29" s="1"/>
  <c r="G15" i="29"/>
  <c r="G7" i="29" s="1"/>
  <c r="F15" i="29"/>
  <c r="F7" i="29" s="1"/>
  <c r="E15" i="29"/>
  <c r="E7" i="29" s="1"/>
  <c r="D15" i="29"/>
  <c r="W14" i="29"/>
  <c r="W5" i="32" s="1"/>
  <c r="V14" i="29"/>
  <c r="V5" i="32" s="1"/>
  <c r="U14" i="29"/>
  <c r="U5" i="32" s="1"/>
  <c r="T14" i="29"/>
  <c r="T6" i="29" s="1"/>
  <c r="S14" i="29"/>
  <c r="S5" i="32" s="1"/>
  <c r="R14" i="29"/>
  <c r="R5" i="32" s="1"/>
  <c r="Q14" i="29"/>
  <c r="Q6" i="29" s="1"/>
  <c r="P14" i="29"/>
  <c r="O14" i="29"/>
  <c r="N14" i="29"/>
  <c r="M14" i="29"/>
  <c r="L14" i="29"/>
  <c r="L6" i="29" s="1"/>
  <c r="K14" i="29"/>
  <c r="K6" i="29" s="1"/>
  <c r="J14" i="29"/>
  <c r="J6" i="29" s="1"/>
  <c r="I14" i="29"/>
  <c r="I6" i="29" s="1"/>
  <c r="H14" i="29"/>
  <c r="G14" i="29"/>
  <c r="F14" i="29"/>
  <c r="E14" i="29"/>
  <c r="D14" i="29"/>
  <c r="D6" i="29" s="1"/>
  <c r="W13" i="29"/>
  <c r="W5" i="31" s="1"/>
  <c r="V13" i="29"/>
  <c r="V5" i="31" s="1"/>
  <c r="U13" i="29"/>
  <c r="T13" i="29"/>
  <c r="T5" i="31" s="1"/>
  <c r="S13" i="29"/>
  <c r="S5" i="31" s="1"/>
  <c r="R13" i="29"/>
  <c r="R5" i="31" s="1"/>
  <c r="Q13" i="29"/>
  <c r="P13" i="29"/>
  <c r="P5" i="29" s="1"/>
  <c r="O13" i="29"/>
  <c r="O5" i="29" s="1"/>
  <c r="N13" i="29"/>
  <c r="M13" i="29"/>
  <c r="L13" i="29"/>
  <c r="K13" i="29"/>
  <c r="J13" i="29"/>
  <c r="I13" i="29"/>
  <c r="H13" i="29"/>
  <c r="H5" i="29" s="1"/>
  <c r="G13" i="29"/>
  <c r="G11" i="29" s="1"/>
  <c r="F13" i="29"/>
  <c r="F5" i="29" s="1"/>
  <c r="E13" i="29"/>
  <c r="D13" i="29"/>
  <c r="W12" i="29"/>
  <c r="W5" i="30" s="1"/>
  <c r="V12" i="29"/>
  <c r="V5" i="30" s="1"/>
  <c r="U12" i="29"/>
  <c r="U5" i="30" s="1"/>
  <c r="T12" i="29"/>
  <c r="T11" i="29" s="1"/>
  <c r="S12" i="29"/>
  <c r="S5" i="30" s="1"/>
  <c r="R12" i="29"/>
  <c r="R5" i="30" s="1"/>
  <c r="Q12" i="29"/>
  <c r="P12" i="29"/>
  <c r="O12" i="29"/>
  <c r="N12" i="29"/>
  <c r="M12" i="29"/>
  <c r="L12" i="29"/>
  <c r="L11" i="29" s="1"/>
  <c r="K12" i="29"/>
  <c r="K11" i="29" s="1"/>
  <c r="J12" i="29"/>
  <c r="J11" i="29" s="1"/>
  <c r="I12" i="29"/>
  <c r="H12" i="29"/>
  <c r="G12" i="29"/>
  <c r="F12" i="29"/>
  <c r="E12" i="29"/>
  <c r="D12" i="29"/>
  <c r="D11" i="29" s="1"/>
  <c r="W11" i="29"/>
  <c r="V11" i="29"/>
  <c r="U11" i="29"/>
  <c r="T9" i="29"/>
  <c r="S9" i="29"/>
  <c r="R9" i="29"/>
  <c r="Q9" i="29"/>
  <c r="L9" i="29"/>
  <c r="K9" i="29"/>
  <c r="J9" i="29"/>
  <c r="I9" i="29"/>
  <c r="D9" i="29"/>
  <c r="W8" i="29"/>
  <c r="V8" i="29"/>
  <c r="U8" i="29"/>
  <c r="P8" i="29"/>
  <c r="O8" i="29"/>
  <c r="N8" i="29"/>
  <c r="M8" i="29"/>
  <c r="H8" i="29"/>
  <c r="G8" i="29"/>
  <c r="F8" i="29"/>
  <c r="E8" i="29"/>
  <c r="T7" i="29"/>
  <c r="S7" i="29"/>
  <c r="R7" i="29"/>
  <c r="Q7" i="29"/>
  <c r="L7" i="29"/>
  <c r="K7" i="29"/>
  <c r="J7" i="29"/>
  <c r="I7" i="29"/>
  <c r="D7" i="29"/>
  <c r="W6" i="29"/>
  <c r="V6" i="29"/>
  <c r="U6" i="29"/>
  <c r="P6" i="29"/>
  <c r="O6" i="29"/>
  <c r="N6" i="29"/>
  <c r="M6" i="29"/>
  <c r="H6" i="29"/>
  <c r="G6" i="29"/>
  <c r="F6" i="29"/>
  <c r="E6" i="29"/>
  <c r="T5" i="29"/>
  <c r="S5" i="29"/>
  <c r="R5" i="29"/>
  <c r="Q5" i="29"/>
  <c r="L5" i="29"/>
  <c r="K5" i="29"/>
  <c r="J5" i="29"/>
  <c r="I5" i="29"/>
  <c r="D5" i="29"/>
  <c r="W4" i="29"/>
  <c r="V4" i="29"/>
  <c r="U4" i="29"/>
  <c r="P4" i="29"/>
  <c r="O4" i="29"/>
  <c r="N4" i="29"/>
  <c r="M4" i="29"/>
  <c r="H4" i="29"/>
  <c r="G4" i="29"/>
  <c r="F4" i="29"/>
  <c r="E4" i="29"/>
  <c r="C73" i="29"/>
  <c r="C72" i="29"/>
  <c r="C70" i="29"/>
  <c r="C17" i="29"/>
  <c r="C9" i="29" s="1"/>
  <c r="C16" i="29"/>
  <c r="C71" i="29"/>
  <c r="C14" i="29"/>
  <c r="C6" i="29" s="1"/>
  <c r="C13" i="29"/>
  <c r="C5" i="29" s="1"/>
  <c r="C68" i="29"/>
  <c r="C15" i="29"/>
  <c r="C7" i="29" s="1"/>
  <c r="B73" i="29"/>
  <c r="B70" i="29"/>
  <c r="B17" i="29"/>
  <c r="B9" i="29" s="1"/>
  <c r="B15" i="29"/>
  <c r="B12" i="29"/>
  <c r="B4" i="29" s="1"/>
  <c r="B68" i="29"/>
  <c r="B13" i="29"/>
  <c r="B5" i="29" s="1"/>
  <c r="B14" i="29"/>
  <c r="B6" i="29" s="1"/>
  <c r="B71" i="29"/>
  <c r="W28" i="25"/>
  <c r="W28" i="28" s="1"/>
  <c r="V28" i="25"/>
  <c r="V28" i="28" s="1"/>
  <c r="U28" i="25"/>
  <c r="U28" i="28" s="1"/>
  <c r="T28" i="25"/>
  <c r="T28" i="28" s="1"/>
  <c r="S28" i="25"/>
  <c r="S28" i="28" s="1"/>
  <c r="R28" i="25"/>
  <c r="R28" i="28" s="1"/>
  <c r="W27" i="25"/>
  <c r="W27" i="28" s="1"/>
  <c r="V27" i="25"/>
  <c r="V27" i="28" s="1"/>
  <c r="U27" i="25"/>
  <c r="U27" i="28" s="1"/>
  <c r="T27" i="25"/>
  <c r="T27" i="28" s="1"/>
  <c r="S27" i="25"/>
  <c r="S27" i="28" s="1"/>
  <c r="R27" i="25"/>
  <c r="R27" i="28" s="1"/>
  <c r="W15" i="25"/>
  <c r="W15" i="28" s="1"/>
  <c r="V15" i="25"/>
  <c r="V15" i="28" s="1"/>
  <c r="U15" i="25"/>
  <c r="U15" i="28" s="1"/>
  <c r="T15" i="25"/>
  <c r="T15" i="28" s="1"/>
  <c r="S15" i="25"/>
  <c r="S15" i="28" s="1"/>
  <c r="R15" i="25"/>
  <c r="R15" i="28" s="1"/>
  <c r="U10" i="24"/>
  <c r="R5" i="23"/>
  <c r="W33" i="25"/>
  <c r="W33" i="28" s="1"/>
  <c r="V33" i="25"/>
  <c r="V33" i="28" s="1"/>
  <c r="U33" i="25"/>
  <c r="U33" i="28" s="1"/>
  <c r="T33" i="25"/>
  <c r="T33" i="28" s="1"/>
  <c r="S33" i="25"/>
  <c r="S33" i="28" s="1"/>
  <c r="R33" i="25"/>
  <c r="R33" i="28" s="1"/>
  <c r="S29" i="22"/>
  <c r="W26" i="25"/>
  <c r="W26" i="28" s="1"/>
  <c r="V26" i="25"/>
  <c r="V26" i="28" s="1"/>
  <c r="U26" i="25"/>
  <c r="U26" i="28" s="1"/>
  <c r="T26" i="25"/>
  <c r="T26" i="28" s="1"/>
  <c r="S26" i="25"/>
  <c r="S26" i="28" s="1"/>
  <c r="R26" i="25"/>
  <c r="R26" i="28" s="1"/>
  <c r="W25" i="25"/>
  <c r="W25" i="28" s="1"/>
  <c r="V25" i="25"/>
  <c r="V25" i="28" s="1"/>
  <c r="U25" i="25"/>
  <c r="U25" i="28" s="1"/>
  <c r="T25" i="25"/>
  <c r="T25" i="28" s="1"/>
  <c r="S25" i="25"/>
  <c r="S25" i="28" s="1"/>
  <c r="R25" i="25"/>
  <c r="R25" i="28" s="1"/>
  <c r="W23" i="25"/>
  <c r="U22" i="25"/>
  <c r="W19" i="22"/>
  <c r="W18" i="25"/>
  <c r="W18" i="28" s="1"/>
  <c r="V18" i="25"/>
  <c r="V18" i="28" s="1"/>
  <c r="U18" i="25"/>
  <c r="U18" i="28" s="1"/>
  <c r="T18" i="25"/>
  <c r="T18" i="28" s="1"/>
  <c r="S18" i="25"/>
  <c r="S18" i="28" s="1"/>
  <c r="R18" i="25"/>
  <c r="R18" i="28" s="1"/>
  <c r="U16" i="22"/>
  <c r="R16" i="22"/>
  <c r="W14" i="25"/>
  <c r="W14" i="28" s="1"/>
  <c r="V14" i="25"/>
  <c r="V14" i="28" s="1"/>
  <c r="U14" i="25"/>
  <c r="U14" i="28" s="1"/>
  <c r="T14" i="25"/>
  <c r="T14" i="28" s="1"/>
  <c r="S14" i="25"/>
  <c r="S14" i="28" s="1"/>
  <c r="R14" i="25"/>
  <c r="R14" i="28" s="1"/>
  <c r="W13" i="25"/>
  <c r="W13" i="28" s="1"/>
  <c r="V13" i="25"/>
  <c r="V13" i="28" s="1"/>
  <c r="U13" i="25"/>
  <c r="U13" i="28" s="1"/>
  <c r="T13" i="25"/>
  <c r="T13" i="28" s="1"/>
  <c r="S13" i="25"/>
  <c r="S13" i="28" s="1"/>
  <c r="R13" i="25"/>
  <c r="R13" i="28" s="1"/>
  <c r="W12" i="25"/>
  <c r="W12" i="28" s="1"/>
  <c r="V12" i="25"/>
  <c r="V12" i="28" s="1"/>
  <c r="U12" i="25"/>
  <c r="U12" i="28" s="1"/>
  <c r="T12" i="25"/>
  <c r="T12" i="28" s="1"/>
  <c r="S12" i="25"/>
  <c r="S12" i="28" s="1"/>
  <c r="R12" i="25"/>
  <c r="R12" i="28" s="1"/>
  <c r="W11" i="25"/>
  <c r="W11" i="28" s="1"/>
  <c r="V11" i="25"/>
  <c r="V11" i="28" s="1"/>
  <c r="U11" i="25"/>
  <c r="U11" i="28" s="1"/>
  <c r="T11" i="25"/>
  <c r="T11" i="28" s="1"/>
  <c r="S11" i="25"/>
  <c r="S11" i="28" s="1"/>
  <c r="R11" i="25"/>
  <c r="R11" i="28" s="1"/>
  <c r="W10" i="25"/>
  <c r="U9" i="25"/>
  <c r="S8" i="25"/>
  <c r="T4" i="22"/>
  <c r="V33" i="21"/>
  <c r="T32" i="21"/>
  <c r="R31" i="21"/>
  <c r="T27" i="21"/>
  <c r="R18" i="21"/>
  <c r="T15" i="21"/>
  <c r="T7" i="21"/>
  <c r="R6" i="21"/>
  <c r="W33" i="21"/>
  <c r="U33" i="21"/>
  <c r="V32" i="21"/>
  <c r="U32" i="21"/>
  <c r="S32" i="21"/>
  <c r="T31" i="21"/>
  <c r="S31" i="21"/>
  <c r="W30" i="21"/>
  <c r="R30" i="21"/>
  <c r="W27" i="21"/>
  <c r="V27" i="21"/>
  <c r="U27" i="21"/>
  <c r="S27" i="21"/>
  <c r="V26" i="21"/>
  <c r="U26" i="21"/>
  <c r="T26" i="21"/>
  <c r="S26" i="21"/>
  <c r="W25" i="21"/>
  <c r="T25" i="21"/>
  <c r="S25" i="21"/>
  <c r="R25" i="21"/>
  <c r="W24" i="21"/>
  <c r="U24" i="21"/>
  <c r="R24" i="21"/>
  <c r="W23" i="21"/>
  <c r="V23" i="21"/>
  <c r="U23" i="21"/>
  <c r="S23" i="21"/>
  <c r="V22" i="21"/>
  <c r="U22" i="21"/>
  <c r="T22" i="21"/>
  <c r="S22" i="21"/>
  <c r="W21" i="21"/>
  <c r="T21" i="21"/>
  <c r="S21" i="21"/>
  <c r="R21" i="21"/>
  <c r="W20" i="21"/>
  <c r="U20" i="21"/>
  <c r="R20" i="21"/>
  <c r="W19" i="20"/>
  <c r="W17" i="21"/>
  <c r="W16" i="20"/>
  <c r="V15" i="21"/>
  <c r="U15" i="21"/>
  <c r="S15" i="21"/>
  <c r="T14" i="21"/>
  <c r="S14" i="21"/>
  <c r="W13" i="21"/>
  <c r="V13" i="21"/>
  <c r="R13" i="21"/>
  <c r="W12" i="21"/>
  <c r="U12" i="21"/>
  <c r="V11" i="21"/>
  <c r="U11" i="21"/>
  <c r="S11" i="21"/>
  <c r="U10" i="21"/>
  <c r="T10" i="21"/>
  <c r="S10" i="21"/>
  <c r="W9" i="21"/>
  <c r="R9" i="21"/>
  <c r="W8" i="21"/>
  <c r="U8" i="21"/>
  <c r="V7" i="21"/>
  <c r="U7" i="21"/>
  <c r="T7" i="24"/>
  <c r="S7" i="21"/>
  <c r="T6" i="21"/>
  <c r="S6" i="21"/>
  <c r="W5" i="21"/>
  <c r="R5" i="21"/>
  <c r="R33" i="23"/>
  <c r="T30" i="23"/>
  <c r="R26" i="23"/>
  <c r="V24" i="23"/>
  <c r="V21" i="23"/>
  <c r="U18" i="23"/>
  <c r="T18" i="23"/>
  <c r="R17" i="23"/>
  <c r="T16" i="19"/>
  <c r="T14" i="23"/>
  <c r="R14" i="23"/>
  <c r="R13" i="23"/>
  <c r="V12" i="23"/>
  <c r="V11" i="23"/>
  <c r="T11" i="23"/>
  <c r="T10" i="23"/>
  <c r="R10" i="23"/>
  <c r="R9" i="23"/>
  <c r="V8" i="21"/>
  <c r="V7" i="23"/>
  <c r="T6" i="23"/>
  <c r="S4" i="19"/>
  <c r="U29" i="18"/>
  <c r="T29" i="18"/>
  <c r="W29" i="18"/>
  <c r="R29" i="18"/>
  <c r="R19" i="18"/>
  <c r="T19" i="18"/>
  <c r="S19" i="18"/>
  <c r="V19" i="18"/>
  <c r="T16" i="18"/>
  <c r="S16" i="18"/>
  <c r="W16" i="18"/>
  <c r="V16" i="18"/>
  <c r="R16" i="18"/>
  <c r="U16" i="18"/>
  <c r="W4" i="18"/>
  <c r="W3" i="18" s="1"/>
  <c r="V4" i="18"/>
  <c r="V3" i="18" s="1"/>
  <c r="U4" i="18"/>
  <c r="U3" i="18" s="1"/>
  <c r="W28" i="14"/>
  <c r="W28" i="17" s="1"/>
  <c r="V28" i="14"/>
  <c r="V28" i="17" s="1"/>
  <c r="U28" i="14"/>
  <c r="U28" i="17" s="1"/>
  <c r="T28" i="14"/>
  <c r="T28" i="17" s="1"/>
  <c r="S28" i="14"/>
  <c r="S28" i="17" s="1"/>
  <c r="R28" i="14"/>
  <c r="R28" i="17" s="1"/>
  <c r="W27" i="14"/>
  <c r="W27" i="17" s="1"/>
  <c r="V27" i="14"/>
  <c r="V27" i="17" s="1"/>
  <c r="U27" i="14"/>
  <c r="U27" i="17" s="1"/>
  <c r="T27" i="14"/>
  <c r="T27" i="17" s="1"/>
  <c r="S27" i="14"/>
  <c r="S27" i="17" s="1"/>
  <c r="R27" i="14"/>
  <c r="R27" i="17" s="1"/>
  <c r="W15" i="14"/>
  <c r="W15" i="17" s="1"/>
  <c r="V15" i="14"/>
  <c r="V15" i="17" s="1"/>
  <c r="U15" i="14"/>
  <c r="U15" i="17" s="1"/>
  <c r="T15" i="14"/>
  <c r="T15" i="17" s="1"/>
  <c r="S15" i="14"/>
  <c r="S15" i="17" s="1"/>
  <c r="R15" i="14"/>
  <c r="R15" i="17" s="1"/>
  <c r="S30" i="13"/>
  <c r="L14" i="24"/>
  <c r="D14" i="24"/>
  <c r="K13" i="24"/>
  <c r="C13" i="24"/>
  <c r="J12" i="24"/>
  <c r="Q11" i="24"/>
  <c r="I11" i="24"/>
  <c r="P10" i="24"/>
  <c r="H10" i="24"/>
  <c r="O9" i="24"/>
  <c r="G9" i="24"/>
  <c r="N8" i="24"/>
  <c r="F8" i="24"/>
  <c r="M7" i="24"/>
  <c r="E7" i="24"/>
  <c r="N6" i="24"/>
  <c r="L6" i="24"/>
  <c r="D6" i="24"/>
  <c r="K5" i="24"/>
  <c r="C5" i="24"/>
  <c r="L14" i="23"/>
  <c r="D14" i="23"/>
  <c r="K13" i="23"/>
  <c r="C13" i="23"/>
  <c r="J12" i="23"/>
  <c r="Q11" i="23"/>
  <c r="I11" i="23"/>
  <c r="P10" i="23"/>
  <c r="H10" i="23"/>
  <c r="O9" i="23"/>
  <c r="G9" i="23"/>
  <c r="N8" i="23"/>
  <c r="F8" i="23"/>
  <c r="M7" i="23"/>
  <c r="E7" i="23"/>
  <c r="N6" i="23"/>
  <c r="L6" i="23"/>
  <c r="D6" i="23"/>
  <c r="K5" i="23"/>
  <c r="C5" i="23"/>
  <c r="W33" i="14"/>
  <c r="W33" i="17" s="1"/>
  <c r="V33" i="14"/>
  <c r="V33" i="17" s="1"/>
  <c r="U33" i="14"/>
  <c r="U33" i="17" s="1"/>
  <c r="T33" i="14"/>
  <c r="T33" i="17" s="1"/>
  <c r="S33" i="14"/>
  <c r="S33" i="17" s="1"/>
  <c r="R33" i="14"/>
  <c r="R33" i="17" s="1"/>
  <c r="S29" i="11"/>
  <c r="W26" i="14"/>
  <c r="W26" i="17" s="1"/>
  <c r="V26" i="14"/>
  <c r="V26" i="17" s="1"/>
  <c r="U26" i="14"/>
  <c r="U26" i="17" s="1"/>
  <c r="T26" i="14"/>
  <c r="T26" i="17" s="1"/>
  <c r="S26" i="14"/>
  <c r="S26" i="17" s="1"/>
  <c r="R26" i="14"/>
  <c r="R26" i="17" s="1"/>
  <c r="W25" i="14"/>
  <c r="W25" i="17" s="1"/>
  <c r="V25" i="14"/>
  <c r="V25" i="17" s="1"/>
  <c r="U25" i="14"/>
  <c r="U25" i="17" s="1"/>
  <c r="T25" i="14"/>
  <c r="T25" i="17" s="1"/>
  <c r="S25" i="14"/>
  <c r="S25" i="17" s="1"/>
  <c r="R25" i="14"/>
  <c r="R25" i="17" s="1"/>
  <c r="R19" i="11"/>
  <c r="W18" i="14"/>
  <c r="W18" i="17" s="1"/>
  <c r="U18" i="14"/>
  <c r="U18" i="17" s="1"/>
  <c r="T18" i="14"/>
  <c r="T18" i="17" s="1"/>
  <c r="S18" i="14"/>
  <c r="S18" i="17" s="1"/>
  <c r="R18" i="14"/>
  <c r="R18" i="17" s="1"/>
  <c r="U16" i="11"/>
  <c r="S16" i="11"/>
  <c r="W14" i="14"/>
  <c r="W14" i="17" s="1"/>
  <c r="V14" i="14"/>
  <c r="V14" i="17" s="1"/>
  <c r="U14" i="14"/>
  <c r="U14" i="17" s="1"/>
  <c r="T14" i="14"/>
  <c r="T14" i="17" s="1"/>
  <c r="S14" i="14"/>
  <c r="S14" i="17" s="1"/>
  <c r="R14" i="14"/>
  <c r="R14" i="17" s="1"/>
  <c r="W13" i="14"/>
  <c r="W13" i="17" s="1"/>
  <c r="V13" i="14"/>
  <c r="V13" i="17" s="1"/>
  <c r="U13" i="14"/>
  <c r="U13" i="17" s="1"/>
  <c r="T13" i="14"/>
  <c r="T13" i="17" s="1"/>
  <c r="S13" i="14"/>
  <c r="S13" i="17" s="1"/>
  <c r="R13" i="14"/>
  <c r="R13" i="17" s="1"/>
  <c r="W12" i="14"/>
  <c r="W12" i="17" s="1"/>
  <c r="V12" i="14"/>
  <c r="V12" i="17" s="1"/>
  <c r="U12" i="14"/>
  <c r="U12" i="17" s="1"/>
  <c r="T12" i="14"/>
  <c r="T12" i="17" s="1"/>
  <c r="S12" i="14"/>
  <c r="S12" i="17" s="1"/>
  <c r="R12" i="14"/>
  <c r="R12" i="17" s="1"/>
  <c r="W11" i="14"/>
  <c r="W11" i="17" s="1"/>
  <c r="V11" i="14"/>
  <c r="V11" i="17" s="1"/>
  <c r="U11" i="14"/>
  <c r="U11" i="17" s="1"/>
  <c r="T11" i="14"/>
  <c r="T11" i="17" s="1"/>
  <c r="S11" i="14"/>
  <c r="S11" i="17" s="1"/>
  <c r="R11" i="14"/>
  <c r="R11" i="17" s="1"/>
  <c r="W4" i="11"/>
  <c r="R32" i="10"/>
  <c r="V30" i="10"/>
  <c r="R23" i="10"/>
  <c r="V17" i="10"/>
  <c r="R15" i="10"/>
  <c r="V13" i="10"/>
  <c r="T12" i="10"/>
  <c r="R11" i="10"/>
  <c r="V9" i="10"/>
  <c r="T8" i="10"/>
  <c r="R7" i="10"/>
  <c r="V5" i="10"/>
  <c r="W29" i="9"/>
  <c r="W31" i="10"/>
  <c r="R31" i="10"/>
  <c r="U30" i="10"/>
  <c r="S30" i="10"/>
  <c r="V25" i="10"/>
  <c r="W24" i="10"/>
  <c r="T24" i="10"/>
  <c r="U19" i="9"/>
  <c r="W18" i="10"/>
  <c r="R18" i="10"/>
  <c r="U17" i="10"/>
  <c r="W16" i="9"/>
  <c r="W15" i="10"/>
  <c r="U15" i="10"/>
  <c r="T15" i="10"/>
  <c r="S15" i="10"/>
  <c r="U14" i="10"/>
  <c r="S14" i="13"/>
  <c r="R14" i="10"/>
  <c r="W13" i="10"/>
  <c r="S13" i="10"/>
  <c r="W12" i="10"/>
  <c r="V12" i="10"/>
  <c r="U12" i="10"/>
  <c r="W11" i="10"/>
  <c r="U11" i="10"/>
  <c r="T11" i="10"/>
  <c r="S11" i="10"/>
  <c r="U10" i="10"/>
  <c r="S10" i="10"/>
  <c r="R10" i="10"/>
  <c r="W9" i="10"/>
  <c r="S9" i="10"/>
  <c r="W8" i="13"/>
  <c r="V8" i="10"/>
  <c r="U8" i="10"/>
  <c r="W7" i="10"/>
  <c r="U7" i="10"/>
  <c r="T7" i="10"/>
  <c r="S7" i="10"/>
  <c r="U6" i="10"/>
  <c r="S6" i="10"/>
  <c r="R6" i="10"/>
  <c r="W5" i="10"/>
  <c r="S5" i="10"/>
  <c r="N33" i="13"/>
  <c r="F33" i="13"/>
  <c r="N32" i="13"/>
  <c r="F32" i="13"/>
  <c r="N31" i="13"/>
  <c r="F31" i="13"/>
  <c r="N30" i="13"/>
  <c r="F30" i="13"/>
  <c r="N26" i="13"/>
  <c r="F26" i="13"/>
  <c r="N25" i="13"/>
  <c r="M25" i="13"/>
  <c r="F25" i="13"/>
  <c r="N24" i="13"/>
  <c r="F24" i="13"/>
  <c r="N23" i="13"/>
  <c r="K23" i="13"/>
  <c r="F23" i="13"/>
  <c r="N22" i="13"/>
  <c r="F22" i="13"/>
  <c r="B22" i="13"/>
  <c r="N21" i="13"/>
  <c r="I21" i="13"/>
  <c r="F21" i="13"/>
  <c r="N20" i="13"/>
  <c r="F20" i="13"/>
  <c r="N18" i="13"/>
  <c r="F18" i="13"/>
  <c r="N17" i="13"/>
  <c r="F17" i="13"/>
  <c r="E17" i="13"/>
  <c r="N14" i="13"/>
  <c r="F14" i="13"/>
  <c r="N13" i="13"/>
  <c r="F13" i="13"/>
  <c r="N12" i="13"/>
  <c r="F12" i="13"/>
  <c r="N11" i="13"/>
  <c r="F11" i="13"/>
  <c r="N10" i="13"/>
  <c r="F10" i="13"/>
  <c r="N9" i="13"/>
  <c r="F9" i="13"/>
  <c r="N8" i="13"/>
  <c r="F8" i="13"/>
  <c r="N7" i="13"/>
  <c r="F7" i="13"/>
  <c r="N6" i="13"/>
  <c r="J6" i="13"/>
  <c r="F6" i="13"/>
  <c r="N5" i="13"/>
  <c r="F5" i="13"/>
  <c r="U33" i="12"/>
  <c r="S32" i="12"/>
  <c r="W31" i="12"/>
  <c r="R29" i="8"/>
  <c r="V26" i="12"/>
  <c r="U26" i="12"/>
  <c r="T25" i="12"/>
  <c r="R24" i="12"/>
  <c r="S21" i="12"/>
  <c r="U19" i="8"/>
  <c r="S16" i="8"/>
  <c r="R16" i="8"/>
  <c r="V15" i="10"/>
  <c r="V14" i="12"/>
  <c r="T14" i="10"/>
  <c r="T13" i="12"/>
  <c r="R13" i="10"/>
  <c r="R12" i="12"/>
  <c r="V11" i="10"/>
  <c r="V10" i="12"/>
  <c r="U10" i="12"/>
  <c r="T10" i="10"/>
  <c r="T9" i="12"/>
  <c r="R9" i="10"/>
  <c r="R8" i="12"/>
  <c r="V7" i="10"/>
  <c r="T6" i="10"/>
  <c r="S5" i="12"/>
  <c r="R5" i="10"/>
  <c r="W4" i="8"/>
  <c r="M33" i="12"/>
  <c r="I33" i="12"/>
  <c r="E33" i="12"/>
  <c r="Q32" i="12"/>
  <c r="N32" i="12"/>
  <c r="M32" i="12"/>
  <c r="I32" i="12"/>
  <c r="E32" i="12"/>
  <c r="Q31" i="12"/>
  <c r="M31" i="12"/>
  <c r="I31" i="12"/>
  <c r="E31" i="12"/>
  <c r="Q30" i="12"/>
  <c r="M30" i="12"/>
  <c r="I30" i="12"/>
  <c r="E30" i="12"/>
  <c r="J28" i="12"/>
  <c r="Q26" i="12"/>
  <c r="M26" i="12"/>
  <c r="I26" i="12"/>
  <c r="E26" i="12"/>
  <c r="Q25" i="12"/>
  <c r="M25" i="12"/>
  <c r="I25" i="12"/>
  <c r="E25" i="12"/>
  <c r="Q24" i="12"/>
  <c r="M24" i="12"/>
  <c r="I24" i="12"/>
  <c r="F24" i="12"/>
  <c r="E24" i="12"/>
  <c r="Q23" i="12"/>
  <c r="M23" i="12"/>
  <c r="I23" i="12"/>
  <c r="E23" i="12"/>
  <c r="Q22" i="12"/>
  <c r="M22" i="12"/>
  <c r="I22" i="12"/>
  <c r="E22" i="12"/>
  <c r="Q21" i="12"/>
  <c r="M21" i="12"/>
  <c r="I21" i="12"/>
  <c r="E21" i="12"/>
  <c r="Q20" i="12"/>
  <c r="M20" i="12"/>
  <c r="I20" i="12"/>
  <c r="E20" i="12"/>
  <c r="Q18" i="12"/>
  <c r="M18" i="12"/>
  <c r="I18" i="12"/>
  <c r="E18" i="12"/>
  <c r="Q17" i="12"/>
  <c r="O17" i="12"/>
  <c r="M17" i="12"/>
  <c r="I17" i="12"/>
  <c r="E17" i="12"/>
  <c r="Q14" i="12"/>
  <c r="M14" i="12"/>
  <c r="I14" i="12"/>
  <c r="E14" i="12"/>
  <c r="Q13" i="12"/>
  <c r="M13" i="12"/>
  <c r="I13" i="12"/>
  <c r="F13" i="12"/>
  <c r="E13" i="12"/>
  <c r="Q12" i="12"/>
  <c r="M12" i="12"/>
  <c r="I12" i="12"/>
  <c r="E12" i="12"/>
  <c r="Q11" i="12"/>
  <c r="M11" i="12"/>
  <c r="I11" i="12"/>
  <c r="E11" i="12"/>
  <c r="B11" i="12"/>
  <c r="Q10" i="12"/>
  <c r="M10" i="12"/>
  <c r="K10" i="12"/>
  <c r="I10" i="12"/>
  <c r="E10" i="12"/>
  <c r="C10" i="12"/>
  <c r="Q9" i="12"/>
  <c r="M9" i="12"/>
  <c r="J9" i="12"/>
  <c r="I9" i="12"/>
  <c r="E9" i="12"/>
  <c r="Q8" i="12"/>
  <c r="M8" i="12"/>
  <c r="I8" i="12"/>
  <c r="E8" i="12"/>
  <c r="Q7" i="12"/>
  <c r="M7" i="12"/>
  <c r="I7" i="12"/>
  <c r="E7" i="12"/>
  <c r="Q6" i="12"/>
  <c r="O6" i="12"/>
  <c r="M6" i="12"/>
  <c r="I6" i="12"/>
  <c r="G6" i="12"/>
  <c r="E6" i="12"/>
  <c r="Q5" i="12"/>
  <c r="N5" i="12"/>
  <c r="M5" i="12"/>
  <c r="I5" i="12"/>
  <c r="F5" i="12"/>
  <c r="E5" i="12"/>
  <c r="W29" i="7"/>
  <c r="U29" i="7"/>
  <c r="S29" i="7"/>
  <c r="W19" i="7"/>
  <c r="S19" i="7"/>
  <c r="V16" i="7"/>
  <c r="R16" i="7"/>
  <c r="U16" i="7"/>
  <c r="T16" i="7"/>
  <c r="S16" i="7"/>
  <c r="W9" i="14"/>
  <c r="W15" i="7"/>
  <c r="W15" i="12" s="1"/>
  <c r="U15" i="7"/>
  <c r="S15" i="7"/>
  <c r="W4" i="7"/>
  <c r="W3" i="7" s="1"/>
  <c r="D22" i="12"/>
  <c r="L11" i="12"/>
  <c r="H7" i="12"/>
  <c r="W119" i="6"/>
  <c r="W173" i="6" s="1"/>
  <c r="V119" i="6"/>
  <c r="V149" i="6" s="1"/>
  <c r="U119" i="6"/>
  <c r="U173" i="6" s="1"/>
  <c r="T119" i="6"/>
  <c r="T173" i="6" s="1"/>
  <c r="S119" i="6"/>
  <c r="S173" i="6" s="1"/>
  <c r="R119" i="6"/>
  <c r="R173" i="6" s="1"/>
  <c r="Q119" i="6"/>
  <c r="Q149" i="6" s="1"/>
  <c r="P119" i="6"/>
  <c r="P149" i="6" s="1"/>
  <c r="O119" i="6"/>
  <c r="O173" i="6" s="1"/>
  <c r="N119" i="6"/>
  <c r="N149" i="6" s="1"/>
  <c r="M119" i="6"/>
  <c r="M173" i="6" s="1"/>
  <c r="L119" i="6"/>
  <c r="L173" i="6" s="1"/>
  <c r="K119" i="6"/>
  <c r="K173" i="6" s="1"/>
  <c r="J119" i="6"/>
  <c r="J173" i="6" s="1"/>
  <c r="I119" i="6"/>
  <c r="I149" i="6" s="1"/>
  <c r="H119" i="6"/>
  <c r="H149" i="6" s="1"/>
  <c r="G119" i="6"/>
  <c r="G173" i="6" s="1"/>
  <c r="F119" i="6"/>
  <c r="F149" i="6" s="1"/>
  <c r="E119" i="6"/>
  <c r="E173" i="6" s="1"/>
  <c r="D119" i="6"/>
  <c r="D173" i="6" s="1"/>
  <c r="C119" i="6"/>
  <c r="C173" i="6" s="1"/>
  <c r="V105" i="6"/>
  <c r="U105" i="6"/>
  <c r="Q105" i="6"/>
  <c r="P105" i="6"/>
  <c r="N105" i="6"/>
  <c r="M105" i="6"/>
  <c r="I105" i="6"/>
  <c r="H105" i="6"/>
  <c r="F105" i="6"/>
  <c r="E105" i="6"/>
  <c r="W95" i="6"/>
  <c r="V95" i="6"/>
  <c r="U95" i="6"/>
  <c r="T95" i="6"/>
  <c r="S95" i="6"/>
  <c r="R95" i="6"/>
  <c r="Q95" i="6"/>
  <c r="P95" i="6"/>
  <c r="O95" i="6"/>
  <c r="N95" i="6"/>
  <c r="M95" i="6"/>
  <c r="L95" i="6"/>
  <c r="K95" i="6"/>
  <c r="J95" i="6"/>
  <c r="I95" i="6"/>
  <c r="H95" i="6"/>
  <c r="G95" i="6"/>
  <c r="F95" i="6"/>
  <c r="E95" i="6"/>
  <c r="D95" i="6"/>
  <c r="C95" i="6"/>
  <c r="S105" i="6"/>
  <c r="R105" i="6"/>
  <c r="O105" i="6"/>
  <c r="L105" i="6"/>
  <c r="K105" i="6"/>
  <c r="J105" i="6"/>
  <c r="G105" i="6"/>
  <c r="D105" i="6"/>
  <c r="C105" i="6"/>
  <c r="B105" i="6"/>
  <c r="N11" i="29" l="1"/>
  <c r="W9" i="29"/>
  <c r="O11" i="29"/>
  <c r="G5" i="29"/>
  <c r="W5" i="29"/>
  <c r="S4" i="29"/>
  <c r="W7" i="29"/>
  <c r="S6" i="29"/>
  <c r="S8" i="29"/>
  <c r="K4" i="29"/>
  <c r="S11" i="29"/>
  <c r="H173" i="6"/>
  <c r="P173" i="6"/>
  <c r="R4" i="29"/>
  <c r="V7" i="29"/>
  <c r="F11" i="29"/>
  <c r="J4" i="29"/>
  <c r="V5" i="29"/>
  <c r="N5" i="29"/>
  <c r="R8" i="29"/>
  <c r="R6" i="29"/>
  <c r="R3" i="32" s="1"/>
  <c r="V9" i="29"/>
  <c r="V3" i="35" s="1"/>
  <c r="R11" i="29"/>
  <c r="T3" i="33"/>
  <c r="T5" i="34"/>
  <c r="T5" i="30"/>
  <c r="V3" i="32"/>
  <c r="G149" i="6"/>
  <c r="O149" i="6"/>
  <c r="W149" i="6"/>
  <c r="F173" i="6"/>
  <c r="N173" i="6"/>
  <c r="V173" i="6"/>
  <c r="J149" i="6"/>
  <c r="R149" i="6"/>
  <c r="I173" i="6"/>
  <c r="Q173" i="6"/>
  <c r="C149" i="6"/>
  <c r="K149" i="6"/>
  <c r="S149" i="6"/>
  <c r="D149" i="6"/>
  <c r="L149" i="6"/>
  <c r="T149" i="6"/>
  <c r="E149" i="6"/>
  <c r="M149" i="6"/>
  <c r="U149" i="6"/>
  <c r="G107" i="6"/>
  <c r="W17" i="12"/>
  <c r="W16" i="8"/>
  <c r="W107" i="6"/>
  <c r="W105" i="6"/>
  <c r="O107" i="6"/>
  <c r="V107" i="6"/>
  <c r="I107" i="6"/>
  <c r="D107" i="6"/>
  <c r="J107" i="6"/>
  <c r="L107" i="6"/>
  <c r="F107" i="6"/>
  <c r="Q107" i="6"/>
  <c r="N107" i="6"/>
  <c r="T107" i="6"/>
  <c r="R107" i="6"/>
  <c r="T105" i="6"/>
  <c r="E107" i="6"/>
  <c r="M107" i="6"/>
  <c r="U107" i="6"/>
  <c r="H107" i="6"/>
  <c r="P107" i="6"/>
  <c r="C107" i="6"/>
  <c r="K107" i="6"/>
  <c r="S107" i="6"/>
  <c r="R15" i="7"/>
  <c r="R15" i="13" s="1"/>
  <c r="R4" i="7"/>
  <c r="R3" i="7" s="1"/>
  <c r="D11" i="12"/>
  <c r="L30" i="12"/>
  <c r="S29" i="8"/>
  <c r="S29" i="12" s="1"/>
  <c r="W17" i="10"/>
  <c r="R30" i="13"/>
  <c r="R29" i="9"/>
  <c r="R30" i="10"/>
  <c r="T31" i="13"/>
  <c r="T31" i="10"/>
  <c r="V32" i="13"/>
  <c r="V32" i="10"/>
  <c r="E28" i="12"/>
  <c r="M28" i="12"/>
  <c r="T4" i="8"/>
  <c r="T5" i="12"/>
  <c r="V4" i="8"/>
  <c r="V6" i="12"/>
  <c r="R16" i="12"/>
  <c r="W29" i="13"/>
  <c r="L8" i="13"/>
  <c r="D32" i="13"/>
  <c r="T20" i="13"/>
  <c r="V21" i="13"/>
  <c r="V19" i="9"/>
  <c r="R23" i="13"/>
  <c r="T24" i="13"/>
  <c r="V25" i="13"/>
  <c r="R28" i="13"/>
  <c r="R27" i="10"/>
  <c r="S16" i="12"/>
  <c r="U4" i="9"/>
  <c r="U5" i="13"/>
  <c r="U5" i="10"/>
  <c r="W6" i="13"/>
  <c r="W4" i="9"/>
  <c r="W6" i="10"/>
  <c r="S8" i="13"/>
  <c r="S8" i="10"/>
  <c r="U9" i="13"/>
  <c r="U9" i="10"/>
  <c r="W10" i="13"/>
  <c r="W10" i="10"/>
  <c r="S12" i="13"/>
  <c r="S12" i="10"/>
  <c r="U13" i="13"/>
  <c r="U13" i="10"/>
  <c r="W14" i="13"/>
  <c r="W14" i="10"/>
  <c r="R16" i="9"/>
  <c r="R17" i="13"/>
  <c r="R17" i="10"/>
  <c r="T18" i="13"/>
  <c r="T18" i="10"/>
  <c r="P7" i="12"/>
  <c r="P13" i="12"/>
  <c r="H26" i="12"/>
  <c r="W30" i="12"/>
  <c r="W29" i="8"/>
  <c r="W29" i="12" s="1"/>
  <c r="F28" i="13"/>
  <c r="N28" i="13"/>
  <c r="R29" i="7"/>
  <c r="R29" i="12" s="1"/>
  <c r="W30" i="10"/>
  <c r="S32" i="10"/>
  <c r="T20" i="10"/>
  <c r="R19" i="8"/>
  <c r="R20" i="12"/>
  <c r="T19" i="8"/>
  <c r="T21" i="12"/>
  <c r="V19" i="8"/>
  <c r="V22" i="12"/>
  <c r="P12" i="13"/>
  <c r="V21" i="10"/>
  <c r="S4" i="7"/>
  <c r="S3" i="7" s="1"/>
  <c r="D5" i="12"/>
  <c r="L5" i="12"/>
  <c r="D6" i="12"/>
  <c r="L6" i="12"/>
  <c r="D7" i="12"/>
  <c r="L7" i="12"/>
  <c r="D8" i="12"/>
  <c r="L8" i="12"/>
  <c r="D9" i="12"/>
  <c r="L9" i="12"/>
  <c r="D10" i="12"/>
  <c r="L10" i="12"/>
  <c r="D12" i="12"/>
  <c r="L12" i="12"/>
  <c r="D13" i="12"/>
  <c r="L13" i="12"/>
  <c r="D14" i="12"/>
  <c r="L14" i="12"/>
  <c r="D17" i="12"/>
  <c r="L17" i="12"/>
  <c r="D18" i="12"/>
  <c r="L18" i="12"/>
  <c r="D20" i="12"/>
  <c r="L20" i="12"/>
  <c r="D21" i="12"/>
  <c r="L21" i="12"/>
  <c r="L22" i="12"/>
  <c r="D23" i="12"/>
  <c r="L23" i="12"/>
  <c r="D24" i="12"/>
  <c r="L24" i="12"/>
  <c r="D25" i="12"/>
  <c r="L25" i="12"/>
  <c r="D26" i="12"/>
  <c r="L26" i="12"/>
  <c r="D28" i="12"/>
  <c r="L28" i="12"/>
  <c r="D30" i="12"/>
  <c r="D31" i="12"/>
  <c r="L31" i="12"/>
  <c r="D32" i="12"/>
  <c r="L32" i="12"/>
  <c r="D33" i="12"/>
  <c r="L33" i="12"/>
  <c r="U6" i="12"/>
  <c r="W7" i="12"/>
  <c r="S9" i="12"/>
  <c r="W11" i="12"/>
  <c r="S13" i="12"/>
  <c r="U14" i="12"/>
  <c r="V17" i="12"/>
  <c r="U22" i="12"/>
  <c r="W23" i="12"/>
  <c r="S25" i="12"/>
  <c r="W28" i="12"/>
  <c r="W27" i="12"/>
  <c r="V29" i="8"/>
  <c r="V30" i="12"/>
  <c r="R32" i="12"/>
  <c r="T33" i="12"/>
  <c r="E5" i="13"/>
  <c r="M5" i="13"/>
  <c r="E6" i="13"/>
  <c r="M6" i="13"/>
  <c r="E7" i="13"/>
  <c r="M7" i="13"/>
  <c r="E8" i="13"/>
  <c r="M8" i="13"/>
  <c r="E9" i="13"/>
  <c r="M9" i="13"/>
  <c r="E10" i="13"/>
  <c r="M10" i="13"/>
  <c r="E11" i="13"/>
  <c r="M11" i="13"/>
  <c r="E12" i="13"/>
  <c r="M12" i="13"/>
  <c r="E13" i="13"/>
  <c r="M13" i="13"/>
  <c r="E14" i="13"/>
  <c r="M14" i="13"/>
  <c r="M17" i="13"/>
  <c r="E18" i="13"/>
  <c r="M18" i="13"/>
  <c r="E20" i="13"/>
  <c r="M20" i="13"/>
  <c r="E21" i="13"/>
  <c r="M21" i="13"/>
  <c r="E22" i="13"/>
  <c r="M22" i="13"/>
  <c r="E23" i="13"/>
  <c r="M23" i="13"/>
  <c r="E24" i="13"/>
  <c r="M24" i="13"/>
  <c r="E25" i="13"/>
  <c r="E26" i="13"/>
  <c r="M26" i="13"/>
  <c r="E28" i="13"/>
  <c r="M28" i="13"/>
  <c r="E30" i="13"/>
  <c r="M30" i="13"/>
  <c r="E31" i="13"/>
  <c r="M31" i="13"/>
  <c r="E32" i="13"/>
  <c r="M32" i="13"/>
  <c r="E33" i="13"/>
  <c r="M33" i="13"/>
  <c r="T4" i="9"/>
  <c r="T5" i="13"/>
  <c r="V4" i="9"/>
  <c r="V6" i="13"/>
  <c r="R8" i="13"/>
  <c r="T9" i="13"/>
  <c r="V10" i="13"/>
  <c r="R12" i="13"/>
  <c r="T13" i="13"/>
  <c r="V14" i="13"/>
  <c r="S16" i="9"/>
  <c r="S18" i="13"/>
  <c r="S19" i="9"/>
  <c r="S20" i="13"/>
  <c r="U21" i="13"/>
  <c r="W22" i="13"/>
  <c r="S24" i="13"/>
  <c r="U25" i="13"/>
  <c r="W26" i="13"/>
  <c r="S29" i="9"/>
  <c r="S31" i="13"/>
  <c r="U32" i="13"/>
  <c r="U32" i="10"/>
  <c r="W33" i="13"/>
  <c r="W33" i="10"/>
  <c r="S20" i="10"/>
  <c r="U21" i="10"/>
  <c r="W22" i="10"/>
  <c r="S24" i="10"/>
  <c r="U25" i="10"/>
  <c r="W26" i="10"/>
  <c r="W4" i="14"/>
  <c r="S4" i="11"/>
  <c r="S6" i="14"/>
  <c r="U7" i="14"/>
  <c r="W8" i="14"/>
  <c r="S10" i="14"/>
  <c r="W24" i="13"/>
  <c r="W16" i="7"/>
  <c r="W16" i="13" s="1"/>
  <c r="F6" i="12"/>
  <c r="N6" i="12"/>
  <c r="F7" i="12"/>
  <c r="N7" i="12"/>
  <c r="F8" i="12"/>
  <c r="N8" i="12"/>
  <c r="F9" i="12"/>
  <c r="N9" i="12"/>
  <c r="F10" i="12"/>
  <c r="N10" i="12"/>
  <c r="F11" i="12"/>
  <c r="N11" i="12"/>
  <c r="F12" i="12"/>
  <c r="N12" i="12"/>
  <c r="N13" i="12"/>
  <c r="F14" i="12"/>
  <c r="N14" i="12"/>
  <c r="F17" i="12"/>
  <c r="N17" i="12"/>
  <c r="F18" i="12"/>
  <c r="N18" i="12"/>
  <c r="F20" i="12"/>
  <c r="N20" i="12"/>
  <c r="F21" i="12"/>
  <c r="N21" i="12"/>
  <c r="F22" i="12"/>
  <c r="N22" i="12"/>
  <c r="F23" i="12"/>
  <c r="N23" i="12"/>
  <c r="N24" i="12"/>
  <c r="F25" i="12"/>
  <c r="N25" i="12"/>
  <c r="F26" i="12"/>
  <c r="N26" i="12"/>
  <c r="F28" i="12"/>
  <c r="N28" i="12"/>
  <c r="F30" i="12"/>
  <c r="N30" i="12"/>
  <c r="F31" i="12"/>
  <c r="N31" i="12"/>
  <c r="F32" i="12"/>
  <c r="F33" i="12"/>
  <c r="N33" i="12"/>
  <c r="U4" i="8"/>
  <c r="U5" i="12"/>
  <c r="W6" i="12"/>
  <c r="S8" i="12"/>
  <c r="U9" i="12"/>
  <c r="W10" i="12"/>
  <c r="S12" i="12"/>
  <c r="U13" i="12"/>
  <c r="W14" i="12"/>
  <c r="R18" i="12"/>
  <c r="S19" i="8"/>
  <c r="S19" i="12" s="1"/>
  <c r="S20" i="12"/>
  <c r="U21" i="12"/>
  <c r="W22" i="12"/>
  <c r="S24" i="12"/>
  <c r="U25" i="12"/>
  <c r="W26" i="12"/>
  <c r="R31" i="12"/>
  <c r="T32" i="12"/>
  <c r="V33" i="12"/>
  <c r="G5" i="13"/>
  <c r="O5" i="13"/>
  <c r="G6" i="13"/>
  <c r="O6" i="13"/>
  <c r="G7" i="13"/>
  <c r="O7" i="13"/>
  <c r="G8" i="13"/>
  <c r="O8" i="13"/>
  <c r="G9" i="13"/>
  <c r="O9" i="13"/>
  <c r="G10" i="13"/>
  <c r="O10" i="13"/>
  <c r="G11" i="13"/>
  <c r="O11" i="13"/>
  <c r="G12" i="13"/>
  <c r="O12" i="13"/>
  <c r="G13" i="13"/>
  <c r="O13" i="13"/>
  <c r="G14" i="13"/>
  <c r="O14" i="13"/>
  <c r="G17" i="13"/>
  <c r="O17" i="13"/>
  <c r="G18" i="13"/>
  <c r="O18" i="13"/>
  <c r="G20" i="13"/>
  <c r="O20" i="13"/>
  <c r="G21" i="13"/>
  <c r="O21" i="13"/>
  <c r="G22" i="13"/>
  <c r="O22" i="13"/>
  <c r="G23" i="13"/>
  <c r="O23" i="13"/>
  <c r="G24" i="13"/>
  <c r="O24" i="13"/>
  <c r="G25" i="13"/>
  <c r="O25" i="13"/>
  <c r="G26" i="13"/>
  <c r="O26" i="13"/>
  <c r="G28" i="13"/>
  <c r="O28" i="13"/>
  <c r="G30" i="13"/>
  <c r="O30" i="13"/>
  <c r="G31" i="13"/>
  <c r="O31" i="13"/>
  <c r="G32" i="13"/>
  <c r="O32" i="13"/>
  <c r="G33" i="13"/>
  <c r="O33" i="13"/>
  <c r="V5" i="13"/>
  <c r="R7" i="13"/>
  <c r="T8" i="13"/>
  <c r="V9" i="13"/>
  <c r="R11" i="13"/>
  <c r="T12" i="13"/>
  <c r="V13" i="13"/>
  <c r="S17" i="13"/>
  <c r="U18" i="13"/>
  <c r="U20" i="13"/>
  <c r="W21" i="13"/>
  <c r="S23" i="13"/>
  <c r="U24" i="13"/>
  <c r="W25" i="13"/>
  <c r="S27" i="13"/>
  <c r="S28" i="13"/>
  <c r="U31" i="13"/>
  <c r="W32" i="13"/>
  <c r="U20" i="10"/>
  <c r="W21" i="10"/>
  <c r="S23" i="10"/>
  <c r="U24" i="10"/>
  <c r="W25" i="10"/>
  <c r="S27" i="10"/>
  <c r="T15" i="7"/>
  <c r="T15" i="13" s="1"/>
  <c r="V4" i="7"/>
  <c r="V3" i="7" s="1"/>
  <c r="R19" i="7"/>
  <c r="R27" i="13" s="1"/>
  <c r="T19" i="7"/>
  <c r="T27" i="12" s="1"/>
  <c r="V19" i="7"/>
  <c r="V27" i="12" s="1"/>
  <c r="G5" i="12"/>
  <c r="O5" i="12"/>
  <c r="G7" i="12"/>
  <c r="O7" i="12"/>
  <c r="G8" i="12"/>
  <c r="O8" i="12"/>
  <c r="G9" i="12"/>
  <c r="O9" i="12"/>
  <c r="G10" i="12"/>
  <c r="O10" i="12"/>
  <c r="G11" i="12"/>
  <c r="O11" i="12"/>
  <c r="G12" i="12"/>
  <c r="O12" i="12"/>
  <c r="G13" i="12"/>
  <c r="O13" i="12"/>
  <c r="G14" i="12"/>
  <c r="O14" i="12"/>
  <c r="G17" i="12"/>
  <c r="G18" i="12"/>
  <c r="O18" i="12"/>
  <c r="G20" i="12"/>
  <c r="O20" i="12"/>
  <c r="G21" i="12"/>
  <c r="O21" i="12"/>
  <c r="G22" i="12"/>
  <c r="O22" i="12"/>
  <c r="G23" i="12"/>
  <c r="O23" i="12"/>
  <c r="G24" i="12"/>
  <c r="O24" i="12"/>
  <c r="G25" i="12"/>
  <c r="O25" i="12"/>
  <c r="G26" i="12"/>
  <c r="O26" i="12"/>
  <c r="G28" i="12"/>
  <c r="O28" i="12"/>
  <c r="G30" i="12"/>
  <c r="O30" i="12"/>
  <c r="G31" i="12"/>
  <c r="O31" i="12"/>
  <c r="G32" i="12"/>
  <c r="O32" i="12"/>
  <c r="G33" i="12"/>
  <c r="O33" i="12"/>
  <c r="V5" i="12"/>
  <c r="R7" i="12"/>
  <c r="T8" i="12"/>
  <c r="V9" i="12"/>
  <c r="R11" i="12"/>
  <c r="T12" i="12"/>
  <c r="V13" i="12"/>
  <c r="S18" i="12"/>
  <c r="T20" i="12"/>
  <c r="V21" i="12"/>
  <c r="R23" i="12"/>
  <c r="T24" i="12"/>
  <c r="V25" i="12"/>
  <c r="R28" i="12"/>
  <c r="S31" i="12"/>
  <c r="U32" i="12"/>
  <c r="W33" i="12"/>
  <c r="H5" i="13"/>
  <c r="P5" i="13"/>
  <c r="H6" i="13"/>
  <c r="P6" i="13"/>
  <c r="H7" i="13"/>
  <c r="P7" i="13"/>
  <c r="H8" i="13"/>
  <c r="P8" i="13"/>
  <c r="H9" i="13"/>
  <c r="P9" i="13"/>
  <c r="H10" i="13"/>
  <c r="P10" i="13"/>
  <c r="H11" i="13"/>
  <c r="P11" i="13"/>
  <c r="H12" i="13"/>
  <c r="H13" i="13"/>
  <c r="P13" i="13"/>
  <c r="H14" i="13"/>
  <c r="P14" i="13"/>
  <c r="H17" i="13"/>
  <c r="P17" i="13"/>
  <c r="H18" i="13"/>
  <c r="P18" i="13"/>
  <c r="H20" i="13"/>
  <c r="P20" i="13"/>
  <c r="H21" i="13"/>
  <c r="P21" i="13"/>
  <c r="H22" i="13"/>
  <c r="P22" i="13"/>
  <c r="H23" i="13"/>
  <c r="P23" i="13"/>
  <c r="H24" i="13"/>
  <c r="P24" i="13"/>
  <c r="H25" i="13"/>
  <c r="P25" i="13"/>
  <c r="H26" i="13"/>
  <c r="P26" i="13"/>
  <c r="H28" i="13"/>
  <c r="P28" i="13"/>
  <c r="H30" i="13"/>
  <c r="P30" i="13"/>
  <c r="H31" i="13"/>
  <c r="P31" i="13"/>
  <c r="H32" i="13"/>
  <c r="P32" i="13"/>
  <c r="H33" i="13"/>
  <c r="P33" i="13"/>
  <c r="W5" i="13"/>
  <c r="S7" i="13"/>
  <c r="U8" i="13"/>
  <c r="W9" i="13"/>
  <c r="S11" i="13"/>
  <c r="U12" i="13"/>
  <c r="W13" i="13"/>
  <c r="S15" i="13"/>
  <c r="T16" i="9"/>
  <c r="T17" i="13"/>
  <c r="V16" i="9"/>
  <c r="V18" i="13"/>
  <c r="V20" i="13"/>
  <c r="R22" i="13"/>
  <c r="T23" i="13"/>
  <c r="V24" i="13"/>
  <c r="R26" i="13"/>
  <c r="T28" i="13"/>
  <c r="T29" i="9"/>
  <c r="T30" i="13"/>
  <c r="V29" i="9"/>
  <c r="V31" i="13"/>
  <c r="R33" i="10"/>
  <c r="R33" i="13"/>
  <c r="V20" i="10"/>
  <c r="R22" i="10"/>
  <c r="T23" i="10"/>
  <c r="V24" i="10"/>
  <c r="R26" i="10"/>
  <c r="T27" i="10"/>
  <c r="T21" i="14"/>
  <c r="U19" i="7"/>
  <c r="U19" i="12" s="1"/>
  <c r="H5" i="12"/>
  <c r="P5" i="12"/>
  <c r="H6" i="12"/>
  <c r="P6" i="12"/>
  <c r="H8" i="12"/>
  <c r="P8" i="12"/>
  <c r="H9" i="12"/>
  <c r="P9" i="12"/>
  <c r="H10" i="12"/>
  <c r="P10" i="12"/>
  <c r="H11" i="12"/>
  <c r="P11" i="12"/>
  <c r="H12" i="12"/>
  <c r="P12" i="12"/>
  <c r="H13" i="12"/>
  <c r="H14" i="12"/>
  <c r="P14" i="12"/>
  <c r="H17" i="12"/>
  <c r="P17" i="12"/>
  <c r="H18" i="12"/>
  <c r="P18" i="12"/>
  <c r="H20" i="12"/>
  <c r="P20" i="12"/>
  <c r="H21" i="12"/>
  <c r="P21" i="12"/>
  <c r="H22" i="12"/>
  <c r="P22" i="12"/>
  <c r="H23" i="12"/>
  <c r="P23" i="12"/>
  <c r="H24" i="12"/>
  <c r="P24" i="12"/>
  <c r="H25" i="12"/>
  <c r="P25" i="12"/>
  <c r="P26" i="12"/>
  <c r="H28" i="12"/>
  <c r="P28" i="12"/>
  <c r="H30" i="12"/>
  <c r="P30" i="12"/>
  <c r="H31" i="12"/>
  <c r="P31" i="12"/>
  <c r="H32" i="12"/>
  <c r="P32" i="12"/>
  <c r="H33" i="12"/>
  <c r="P33" i="12"/>
  <c r="W5" i="12"/>
  <c r="S7" i="12"/>
  <c r="U8" i="12"/>
  <c r="W9" i="12"/>
  <c r="S11" i="12"/>
  <c r="U12" i="12"/>
  <c r="W13" i="12"/>
  <c r="S15" i="12"/>
  <c r="R17" i="12"/>
  <c r="T18" i="12"/>
  <c r="U20" i="12"/>
  <c r="W21" i="12"/>
  <c r="S23" i="12"/>
  <c r="U24" i="12"/>
  <c r="W25" i="12"/>
  <c r="S27" i="12"/>
  <c r="S28" i="12"/>
  <c r="R30" i="12"/>
  <c r="T31" i="12"/>
  <c r="V32" i="12"/>
  <c r="I5" i="13"/>
  <c r="Q5" i="13"/>
  <c r="I6" i="13"/>
  <c r="Q6" i="13"/>
  <c r="I7" i="13"/>
  <c r="Q7" i="13"/>
  <c r="I8" i="13"/>
  <c r="Q8" i="13"/>
  <c r="I9" i="13"/>
  <c r="Q9" i="13"/>
  <c r="I10" i="13"/>
  <c r="Q10" i="13"/>
  <c r="I11" i="13"/>
  <c r="Q11" i="13"/>
  <c r="I12" i="13"/>
  <c r="Q12" i="13"/>
  <c r="I13" i="13"/>
  <c r="Q13" i="13"/>
  <c r="I14" i="13"/>
  <c r="Q14" i="13"/>
  <c r="I17" i="13"/>
  <c r="Q17" i="13"/>
  <c r="I18" i="13"/>
  <c r="Q18" i="13"/>
  <c r="I20" i="13"/>
  <c r="Q20" i="13"/>
  <c r="Q21" i="13"/>
  <c r="I22" i="13"/>
  <c r="Q22" i="13"/>
  <c r="I23" i="13"/>
  <c r="Q23" i="13"/>
  <c r="I24" i="13"/>
  <c r="Q24" i="13"/>
  <c r="I25" i="13"/>
  <c r="Q25" i="13"/>
  <c r="I26" i="13"/>
  <c r="Q26" i="13"/>
  <c r="I28" i="13"/>
  <c r="Q28" i="13"/>
  <c r="I30" i="13"/>
  <c r="Q30" i="13"/>
  <c r="I31" i="13"/>
  <c r="Q31" i="13"/>
  <c r="I32" i="13"/>
  <c r="Q32" i="13"/>
  <c r="I33" i="13"/>
  <c r="Q33" i="13"/>
  <c r="R6" i="13"/>
  <c r="T7" i="13"/>
  <c r="V8" i="13"/>
  <c r="R10" i="13"/>
  <c r="T11" i="13"/>
  <c r="V12" i="13"/>
  <c r="R14" i="13"/>
  <c r="U16" i="9"/>
  <c r="U17" i="13"/>
  <c r="W18" i="13"/>
  <c r="W19" i="9"/>
  <c r="W20" i="13"/>
  <c r="S22" i="13"/>
  <c r="U23" i="13"/>
  <c r="S26" i="13"/>
  <c r="U28" i="13"/>
  <c r="U29" i="9"/>
  <c r="U30" i="13"/>
  <c r="W31" i="13"/>
  <c r="S33" i="13"/>
  <c r="S33" i="10"/>
  <c r="W8" i="10"/>
  <c r="S14" i="10"/>
  <c r="W16" i="10"/>
  <c r="S18" i="10"/>
  <c r="U19" i="10"/>
  <c r="W20" i="10"/>
  <c r="S22" i="10"/>
  <c r="U23" i="10"/>
  <c r="S26" i="10"/>
  <c r="U27" i="10"/>
  <c r="S31" i="10"/>
  <c r="W32" i="10"/>
  <c r="U4" i="11"/>
  <c r="I28" i="12"/>
  <c r="Q28" i="12"/>
  <c r="Q33" i="12"/>
  <c r="R6" i="12"/>
  <c r="T7" i="12"/>
  <c r="V8" i="12"/>
  <c r="R10" i="12"/>
  <c r="T11" i="12"/>
  <c r="V12" i="12"/>
  <c r="R14" i="12"/>
  <c r="S17" i="12"/>
  <c r="U18" i="12"/>
  <c r="V20" i="12"/>
  <c r="R22" i="12"/>
  <c r="T23" i="12"/>
  <c r="V24" i="12"/>
  <c r="R26" i="12"/>
  <c r="T28" i="12"/>
  <c r="S30" i="12"/>
  <c r="U31" i="12"/>
  <c r="W32" i="12"/>
  <c r="B5" i="13"/>
  <c r="J5" i="13"/>
  <c r="B6" i="13"/>
  <c r="B7" i="13"/>
  <c r="J7" i="13"/>
  <c r="B8" i="13"/>
  <c r="J8" i="13"/>
  <c r="B9" i="13"/>
  <c r="J9" i="13"/>
  <c r="B10" i="13"/>
  <c r="J10" i="13"/>
  <c r="B11" i="13"/>
  <c r="J11" i="13"/>
  <c r="B12" i="13"/>
  <c r="J12" i="13"/>
  <c r="B13" i="13"/>
  <c r="J13" i="13"/>
  <c r="B14" i="13"/>
  <c r="J14" i="13"/>
  <c r="B17" i="13"/>
  <c r="J17" i="13"/>
  <c r="B18" i="13"/>
  <c r="J18" i="13"/>
  <c r="B20" i="13"/>
  <c r="J20" i="13"/>
  <c r="B21" i="13"/>
  <c r="J21" i="13"/>
  <c r="J22" i="13"/>
  <c r="B23" i="13"/>
  <c r="J23" i="13"/>
  <c r="B24" i="13"/>
  <c r="J24" i="13"/>
  <c r="B25" i="13"/>
  <c r="J25" i="13"/>
  <c r="B26" i="13"/>
  <c r="J26" i="13"/>
  <c r="B28" i="13"/>
  <c r="J28" i="13"/>
  <c r="B30" i="13"/>
  <c r="J30" i="13"/>
  <c r="B31" i="13"/>
  <c r="J31" i="13"/>
  <c r="B32" i="13"/>
  <c r="J32" i="13"/>
  <c r="B33" i="13"/>
  <c r="J33" i="13"/>
  <c r="S4" i="9"/>
  <c r="S6" i="13"/>
  <c r="U7" i="13"/>
  <c r="S10" i="13"/>
  <c r="U11" i="13"/>
  <c r="W12" i="13"/>
  <c r="U15" i="13"/>
  <c r="V17" i="13"/>
  <c r="R21" i="13"/>
  <c r="T22" i="13"/>
  <c r="V23" i="13"/>
  <c r="R25" i="13"/>
  <c r="T26" i="13"/>
  <c r="V28" i="13"/>
  <c r="V30" i="13"/>
  <c r="R32" i="13"/>
  <c r="T33" i="13"/>
  <c r="R21" i="10"/>
  <c r="T22" i="10"/>
  <c r="V23" i="10"/>
  <c r="R25" i="10"/>
  <c r="T26" i="10"/>
  <c r="V27" i="10"/>
  <c r="T33" i="10"/>
  <c r="R29" i="11"/>
  <c r="R30" i="14"/>
  <c r="T29" i="11"/>
  <c r="T31" i="14"/>
  <c r="V29" i="11"/>
  <c r="V32" i="14"/>
  <c r="F17" i="23"/>
  <c r="N17" i="23"/>
  <c r="G18" i="23"/>
  <c r="O18" i="23"/>
  <c r="H20" i="23"/>
  <c r="P20" i="23"/>
  <c r="I21" i="23"/>
  <c r="Q21" i="23"/>
  <c r="J22" i="23"/>
  <c r="C23" i="23"/>
  <c r="K23" i="23"/>
  <c r="D24" i="23"/>
  <c r="L24" i="23"/>
  <c r="E25" i="23"/>
  <c r="M25" i="23"/>
  <c r="F26" i="23"/>
  <c r="N26" i="23"/>
  <c r="G28" i="23"/>
  <c r="O28" i="23"/>
  <c r="H30" i="23"/>
  <c r="P30" i="23"/>
  <c r="I31" i="23"/>
  <c r="Q31" i="23"/>
  <c r="J32" i="23"/>
  <c r="C33" i="23"/>
  <c r="K33" i="23"/>
  <c r="F17" i="24"/>
  <c r="N17" i="24"/>
  <c r="G18" i="24"/>
  <c r="O18" i="24"/>
  <c r="H20" i="24"/>
  <c r="P20" i="24"/>
  <c r="I21" i="24"/>
  <c r="Q21" i="24"/>
  <c r="J22" i="24"/>
  <c r="C23" i="24"/>
  <c r="K23" i="24"/>
  <c r="D24" i="24"/>
  <c r="L24" i="24"/>
  <c r="E25" i="24"/>
  <c r="M25" i="24"/>
  <c r="F26" i="24"/>
  <c r="N26" i="24"/>
  <c r="G28" i="24"/>
  <c r="O28" i="24"/>
  <c r="H30" i="24"/>
  <c r="P30" i="24"/>
  <c r="I31" i="24"/>
  <c r="Q31" i="24"/>
  <c r="J32" i="24"/>
  <c r="C33" i="24"/>
  <c r="K33" i="24"/>
  <c r="B5" i="12"/>
  <c r="J5" i="12"/>
  <c r="B6" i="12"/>
  <c r="J6" i="12"/>
  <c r="B7" i="12"/>
  <c r="J7" i="12"/>
  <c r="B8" i="12"/>
  <c r="J8" i="12"/>
  <c r="B9" i="12"/>
  <c r="B10" i="12"/>
  <c r="J10" i="12"/>
  <c r="J11" i="12"/>
  <c r="B12" i="12"/>
  <c r="J12" i="12"/>
  <c r="B13" i="12"/>
  <c r="J13" i="12"/>
  <c r="B14" i="12"/>
  <c r="J14" i="12"/>
  <c r="B17" i="12"/>
  <c r="J17" i="12"/>
  <c r="B18" i="12"/>
  <c r="J18" i="12"/>
  <c r="B20" i="12"/>
  <c r="J20" i="12"/>
  <c r="B21" i="12"/>
  <c r="J21" i="12"/>
  <c r="B22" i="12"/>
  <c r="J22" i="12"/>
  <c r="B23" i="12"/>
  <c r="J23" i="12"/>
  <c r="B24" i="12"/>
  <c r="J24" i="12"/>
  <c r="B25" i="12"/>
  <c r="J25" i="12"/>
  <c r="B26" i="12"/>
  <c r="J26" i="12"/>
  <c r="B28" i="12"/>
  <c r="B30" i="12"/>
  <c r="J30" i="12"/>
  <c r="B31" i="12"/>
  <c r="J31" i="12"/>
  <c r="B32" i="12"/>
  <c r="J32" i="12"/>
  <c r="B33" i="12"/>
  <c r="J33" i="12"/>
  <c r="W4" i="12"/>
  <c r="S4" i="8"/>
  <c r="S6" i="12"/>
  <c r="U7" i="12"/>
  <c r="W8" i="12"/>
  <c r="S10" i="12"/>
  <c r="U11" i="12"/>
  <c r="W12" i="12"/>
  <c r="S14" i="12"/>
  <c r="U15" i="12"/>
  <c r="T16" i="8"/>
  <c r="T16" i="12" s="1"/>
  <c r="T17" i="12"/>
  <c r="V16" i="8"/>
  <c r="V16" i="12" s="1"/>
  <c r="V18" i="12"/>
  <c r="W19" i="8"/>
  <c r="W19" i="12" s="1"/>
  <c r="W20" i="12"/>
  <c r="S22" i="12"/>
  <c r="U23" i="12"/>
  <c r="W24" i="12"/>
  <c r="S26" i="12"/>
  <c r="U28" i="12"/>
  <c r="T29" i="8"/>
  <c r="T30" i="12"/>
  <c r="V31" i="12"/>
  <c r="R33" i="12"/>
  <c r="C5" i="13"/>
  <c r="K5" i="13"/>
  <c r="C6" i="13"/>
  <c r="K6" i="13"/>
  <c r="C7" i="13"/>
  <c r="K7" i="13"/>
  <c r="C8" i="13"/>
  <c r="K8" i="13"/>
  <c r="C9" i="13"/>
  <c r="K9" i="13"/>
  <c r="C10" i="13"/>
  <c r="K10" i="13"/>
  <c r="C11" i="13"/>
  <c r="K11" i="13"/>
  <c r="C12" i="13"/>
  <c r="K12" i="13"/>
  <c r="C13" i="13"/>
  <c r="K13" i="13"/>
  <c r="C14" i="13"/>
  <c r="K14" i="13"/>
  <c r="C17" i="13"/>
  <c r="K17" i="13"/>
  <c r="C18" i="13"/>
  <c r="K18" i="13"/>
  <c r="C20" i="13"/>
  <c r="K20" i="13"/>
  <c r="C21" i="13"/>
  <c r="K21" i="13"/>
  <c r="C22" i="13"/>
  <c r="K22" i="13"/>
  <c r="C23" i="13"/>
  <c r="C24" i="13"/>
  <c r="K24" i="13"/>
  <c r="C25" i="13"/>
  <c r="K25" i="13"/>
  <c r="C26" i="13"/>
  <c r="K26" i="13"/>
  <c r="C28" i="13"/>
  <c r="K28" i="13"/>
  <c r="C30" i="13"/>
  <c r="K30" i="13"/>
  <c r="C31" i="13"/>
  <c r="K31" i="13"/>
  <c r="C32" i="13"/>
  <c r="K32" i="13"/>
  <c r="C33" i="13"/>
  <c r="K33" i="13"/>
  <c r="R4" i="9"/>
  <c r="R5" i="13"/>
  <c r="T6" i="13"/>
  <c r="V7" i="13"/>
  <c r="R9" i="13"/>
  <c r="T10" i="13"/>
  <c r="V11" i="13"/>
  <c r="R13" i="13"/>
  <c r="T14" i="13"/>
  <c r="W17" i="13"/>
  <c r="S21" i="13"/>
  <c r="U22" i="13"/>
  <c r="W23" i="13"/>
  <c r="S25" i="13"/>
  <c r="U26" i="13"/>
  <c r="W27" i="13"/>
  <c r="W28" i="13"/>
  <c r="W30" i="13"/>
  <c r="S32" i="13"/>
  <c r="U33" i="13"/>
  <c r="U33" i="10"/>
  <c r="S17" i="10"/>
  <c r="U18" i="10"/>
  <c r="S21" i="10"/>
  <c r="U22" i="10"/>
  <c r="W23" i="10"/>
  <c r="S25" i="10"/>
  <c r="U26" i="10"/>
  <c r="W27" i="10"/>
  <c r="U31" i="10"/>
  <c r="W5" i="14"/>
  <c r="S7" i="14"/>
  <c r="U8" i="14"/>
  <c r="U19" i="11"/>
  <c r="U20" i="14"/>
  <c r="W19" i="11"/>
  <c r="W19" i="14" s="1"/>
  <c r="W21" i="14"/>
  <c r="S23" i="14"/>
  <c r="S19" i="11"/>
  <c r="S19" i="14" s="1"/>
  <c r="U24" i="14"/>
  <c r="S29" i="14"/>
  <c r="T29" i="7"/>
  <c r="V29" i="7"/>
  <c r="C5" i="12"/>
  <c r="K5" i="12"/>
  <c r="C6" i="12"/>
  <c r="K6" i="12"/>
  <c r="C7" i="12"/>
  <c r="K7" i="12"/>
  <c r="C8" i="12"/>
  <c r="K8" i="12"/>
  <c r="C9" i="12"/>
  <c r="K9" i="12"/>
  <c r="C11" i="12"/>
  <c r="K11" i="12"/>
  <c r="C12" i="12"/>
  <c r="K12" i="12"/>
  <c r="C13" i="12"/>
  <c r="K13" i="12"/>
  <c r="C14" i="12"/>
  <c r="K14" i="12"/>
  <c r="C17" i="12"/>
  <c r="K17" i="12"/>
  <c r="C18" i="12"/>
  <c r="K18" i="12"/>
  <c r="C20" i="12"/>
  <c r="K20" i="12"/>
  <c r="C21" i="12"/>
  <c r="K21" i="12"/>
  <c r="C22" i="12"/>
  <c r="K22" i="12"/>
  <c r="C23" i="12"/>
  <c r="K23" i="12"/>
  <c r="C24" i="12"/>
  <c r="K24" i="12"/>
  <c r="C25" i="12"/>
  <c r="K25" i="12"/>
  <c r="C26" i="12"/>
  <c r="K26" i="12"/>
  <c r="C28" i="12"/>
  <c r="K28" i="12"/>
  <c r="C30" i="12"/>
  <c r="K30" i="12"/>
  <c r="C31" i="12"/>
  <c r="K31" i="12"/>
  <c r="C32" i="12"/>
  <c r="K32" i="12"/>
  <c r="C33" i="12"/>
  <c r="K33" i="12"/>
  <c r="R4" i="8"/>
  <c r="R3" i="8" s="1"/>
  <c r="R5" i="12"/>
  <c r="T6" i="12"/>
  <c r="V7" i="12"/>
  <c r="R9" i="12"/>
  <c r="T10" i="12"/>
  <c r="V11" i="12"/>
  <c r="R13" i="12"/>
  <c r="T14" i="12"/>
  <c r="U16" i="8"/>
  <c r="U16" i="12" s="1"/>
  <c r="U17" i="12"/>
  <c r="W18" i="12"/>
  <c r="R21" i="12"/>
  <c r="T22" i="12"/>
  <c r="V23" i="12"/>
  <c r="R25" i="12"/>
  <c r="T26" i="12"/>
  <c r="V28" i="12"/>
  <c r="U29" i="8"/>
  <c r="U29" i="12" s="1"/>
  <c r="U30" i="12"/>
  <c r="S33" i="12"/>
  <c r="D5" i="13"/>
  <c r="L5" i="13"/>
  <c r="D6" i="13"/>
  <c r="L6" i="13"/>
  <c r="D7" i="13"/>
  <c r="L7" i="13"/>
  <c r="D8" i="13"/>
  <c r="D9" i="13"/>
  <c r="L9" i="13"/>
  <c r="D10" i="13"/>
  <c r="L10" i="13"/>
  <c r="D11" i="13"/>
  <c r="L11" i="13"/>
  <c r="D12" i="13"/>
  <c r="L12" i="13"/>
  <c r="D13" i="13"/>
  <c r="L13" i="13"/>
  <c r="D14" i="13"/>
  <c r="L14" i="13"/>
  <c r="D17" i="13"/>
  <c r="L17" i="13"/>
  <c r="D18" i="13"/>
  <c r="L18" i="13"/>
  <c r="D20" i="13"/>
  <c r="L20" i="13"/>
  <c r="D21" i="13"/>
  <c r="L21" i="13"/>
  <c r="D22" i="13"/>
  <c r="L22" i="13"/>
  <c r="D23" i="13"/>
  <c r="L23" i="13"/>
  <c r="D24" i="13"/>
  <c r="L24" i="13"/>
  <c r="D25" i="13"/>
  <c r="L25" i="13"/>
  <c r="D26" i="13"/>
  <c r="L26" i="13"/>
  <c r="D28" i="13"/>
  <c r="L28" i="13"/>
  <c r="D30" i="13"/>
  <c r="L30" i="13"/>
  <c r="D31" i="13"/>
  <c r="L31" i="13"/>
  <c r="L32" i="13"/>
  <c r="D33" i="13"/>
  <c r="L33" i="13"/>
  <c r="S5" i="13"/>
  <c r="U6" i="13"/>
  <c r="W7" i="13"/>
  <c r="S9" i="13"/>
  <c r="U10" i="13"/>
  <c r="W11" i="13"/>
  <c r="S13" i="13"/>
  <c r="U14" i="13"/>
  <c r="W15" i="13"/>
  <c r="R18" i="13"/>
  <c r="R19" i="9"/>
  <c r="R20" i="13"/>
  <c r="T19" i="9"/>
  <c r="T21" i="13"/>
  <c r="V22" i="13"/>
  <c r="R24" i="13"/>
  <c r="T25" i="13"/>
  <c r="V26" i="13"/>
  <c r="R31" i="13"/>
  <c r="T32" i="13"/>
  <c r="T32" i="10"/>
  <c r="V33" i="13"/>
  <c r="V33" i="10"/>
  <c r="T5" i="10"/>
  <c r="V6" i="10"/>
  <c r="R8" i="10"/>
  <c r="T9" i="10"/>
  <c r="V10" i="10"/>
  <c r="R12" i="10"/>
  <c r="T13" i="10"/>
  <c r="V14" i="10"/>
  <c r="T17" i="10"/>
  <c r="V18" i="10"/>
  <c r="R20" i="10"/>
  <c r="T21" i="10"/>
  <c r="V22" i="10"/>
  <c r="R24" i="10"/>
  <c r="T25" i="10"/>
  <c r="V26" i="10"/>
  <c r="T30" i="10"/>
  <c r="V31" i="10"/>
  <c r="R6" i="14"/>
  <c r="T7" i="14"/>
  <c r="V8" i="14"/>
  <c r="R10" i="14"/>
  <c r="R17" i="14"/>
  <c r="R16" i="11"/>
  <c r="R16" i="14" s="1"/>
  <c r="U16" i="14"/>
  <c r="T20" i="14"/>
  <c r="V21" i="14"/>
  <c r="R23" i="14"/>
  <c r="T24" i="14"/>
  <c r="S31" i="14"/>
  <c r="U32" i="14"/>
  <c r="J5" i="23"/>
  <c r="C6" i="23"/>
  <c r="K6" i="23"/>
  <c r="D7" i="23"/>
  <c r="L7" i="23"/>
  <c r="E8" i="23"/>
  <c r="M8" i="23"/>
  <c r="F9" i="23"/>
  <c r="N9" i="23"/>
  <c r="G10" i="23"/>
  <c r="O10" i="23"/>
  <c r="H11" i="23"/>
  <c r="P11" i="23"/>
  <c r="I12" i="23"/>
  <c r="Q12" i="23"/>
  <c r="J13" i="23"/>
  <c r="C14" i="23"/>
  <c r="K14" i="23"/>
  <c r="E17" i="23"/>
  <c r="M17" i="23"/>
  <c r="F18" i="23"/>
  <c r="N18" i="23"/>
  <c r="G20" i="23"/>
  <c r="O20" i="23"/>
  <c r="H21" i="23"/>
  <c r="P21" i="23"/>
  <c r="I22" i="23"/>
  <c r="Q22" i="23"/>
  <c r="J23" i="23"/>
  <c r="C24" i="23"/>
  <c r="K24" i="23"/>
  <c r="D25" i="23"/>
  <c r="L25" i="23"/>
  <c r="E26" i="23"/>
  <c r="M26" i="23"/>
  <c r="F28" i="23"/>
  <c r="N28" i="23"/>
  <c r="G30" i="23"/>
  <c r="O30" i="23"/>
  <c r="H31" i="23"/>
  <c r="P31" i="23"/>
  <c r="I32" i="23"/>
  <c r="Q32" i="23"/>
  <c r="J33" i="23"/>
  <c r="J5" i="24"/>
  <c r="C6" i="24"/>
  <c r="K6" i="24"/>
  <c r="D7" i="24"/>
  <c r="L7" i="24"/>
  <c r="E8" i="24"/>
  <c r="M8" i="24"/>
  <c r="F9" i="24"/>
  <c r="N9" i="24"/>
  <c r="G10" i="24"/>
  <c r="O10" i="24"/>
  <c r="H11" i="24"/>
  <c r="P11" i="24"/>
  <c r="I12" i="24"/>
  <c r="Q12" i="24"/>
  <c r="J13" i="24"/>
  <c r="C14" i="24"/>
  <c r="K14" i="24"/>
  <c r="E17" i="24"/>
  <c r="M17" i="24"/>
  <c r="F18" i="24"/>
  <c r="N18" i="24"/>
  <c r="G20" i="24"/>
  <c r="O20" i="24"/>
  <c r="H21" i="24"/>
  <c r="P21" i="24"/>
  <c r="I22" i="24"/>
  <c r="Q22" i="24"/>
  <c r="J23" i="24"/>
  <c r="C24" i="24"/>
  <c r="K24" i="24"/>
  <c r="D25" i="24"/>
  <c r="L25" i="24"/>
  <c r="E26" i="24"/>
  <c r="M26" i="24"/>
  <c r="F28" i="24"/>
  <c r="N28" i="24"/>
  <c r="G30" i="24"/>
  <c r="O30" i="24"/>
  <c r="H31" i="24"/>
  <c r="P31" i="24"/>
  <c r="I32" i="24"/>
  <c r="Q32" i="24"/>
  <c r="J33" i="24"/>
  <c r="R5" i="14"/>
  <c r="T6" i="14"/>
  <c r="V7" i="14"/>
  <c r="R9" i="14"/>
  <c r="T10" i="14"/>
  <c r="S17" i="14"/>
  <c r="V20" i="14"/>
  <c r="R22" i="14"/>
  <c r="T23" i="14"/>
  <c r="V24" i="14"/>
  <c r="S30" i="14"/>
  <c r="U31" i="14"/>
  <c r="W32" i="14"/>
  <c r="D5" i="23"/>
  <c r="L5" i="23"/>
  <c r="E6" i="23"/>
  <c r="M6" i="23"/>
  <c r="F7" i="23"/>
  <c r="N7" i="23"/>
  <c r="G8" i="23"/>
  <c r="O8" i="23"/>
  <c r="H9" i="23"/>
  <c r="P9" i="23"/>
  <c r="I10" i="23"/>
  <c r="Q10" i="23"/>
  <c r="J11" i="23"/>
  <c r="C12" i="23"/>
  <c r="K12" i="23"/>
  <c r="D13" i="23"/>
  <c r="L13" i="23"/>
  <c r="E14" i="23"/>
  <c r="M14" i="23"/>
  <c r="G17" i="23"/>
  <c r="O17" i="23"/>
  <c r="H18" i="23"/>
  <c r="P18" i="23"/>
  <c r="I20" i="23"/>
  <c r="Q20" i="23"/>
  <c r="J21" i="23"/>
  <c r="C22" i="23"/>
  <c r="K22" i="23"/>
  <c r="D23" i="23"/>
  <c r="L23" i="23"/>
  <c r="E24" i="23"/>
  <c r="M24" i="23"/>
  <c r="F25" i="23"/>
  <c r="N25" i="23"/>
  <c r="G26" i="23"/>
  <c r="O26" i="23"/>
  <c r="H28" i="23"/>
  <c r="P28" i="23"/>
  <c r="I30" i="23"/>
  <c r="Q30" i="23"/>
  <c r="J31" i="23"/>
  <c r="C32" i="23"/>
  <c r="K32" i="23"/>
  <c r="D33" i="23"/>
  <c r="L33" i="23"/>
  <c r="D5" i="24"/>
  <c r="L5" i="24"/>
  <c r="E6" i="24"/>
  <c r="M6" i="24"/>
  <c r="F7" i="24"/>
  <c r="N7" i="24"/>
  <c r="G8" i="24"/>
  <c r="O8" i="24"/>
  <c r="H9" i="24"/>
  <c r="P9" i="24"/>
  <c r="I10" i="24"/>
  <c r="Q10" i="24"/>
  <c r="J11" i="24"/>
  <c r="C12" i="24"/>
  <c r="K12" i="24"/>
  <c r="D13" i="24"/>
  <c r="L13" i="24"/>
  <c r="E14" i="24"/>
  <c r="M14" i="24"/>
  <c r="G17" i="24"/>
  <c r="O17" i="24"/>
  <c r="H18" i="24"/>
  <c r="P18" i="24"/>
  <c r="I20" i="24"/>
  <c r="Q20" i="24"/>
  <c r="J21" i="24"/>
  <c r="C22" i="24"/>
  <c r="K22" i="24"/>
  <c r="D23" i="24"/>
  <c r="L23" i="24"/>
  <c r="E24" i="24"/>
  <c r="M24" i="24"/>
  <c r="F25" i="24"/>
  <c r="N25" i="24"/>
  <c r="G26" i="24"/>
  <c r="O26" i="24"/>
  <c r="H28" i="24"/>
  <c r="P28" i="24"/>
  <c r="I30" i="24"/>
  <c r="Q30" i="24"/>
  <c r="J31" i="24"/>
  <c r="C32" i="24"/>
  <c r="K32" i="24"/>
  <c r="D33" i="24"/>
  <c r="L33" i="24"/>
  <c r="S5" i="14"/>
  <c r="U6" i="14"/>
  <c r="W7" i="14"/>
  <c r="S9" i="14"/>
  <c r="U10" i="14"/>
  <c r="T16" i="11"/>
  <c r="T16" i="14" s="1"/>
  <c r="T17" i="14"/>
  <c r="V16" i="11"/>
  <c r="V16" i="14" s="1"/>
  <c r="V18" i="14"/>
  <c r="V18" i="17" s="1"/>
  <c r="W20" i="14"/>
  <c r="S22" i="14"/>
  <c r="U23" i="14"/>
  <c r="W24" i="14"/>
  <c r="T30" i="14"/>
  <c r="V31" i="14"/>
  <c r="E5" i="23"/>
  <c r="M5" i="23"/>
  <c r="F6" i="23"/>
  <c r="G7" i="23"/>
  <c r="O7" i="23"/>
  <c r="H8" i="23"/>
  <c r="P8" i="23"/>
  <c r="I9" i="23"/>
  <c r="Q9" i="23"/>
  <c r="J10" i="23"/>
  <c r="C11" i="23"/>
  <c r="K11" i="23"/>
  <c r="D12" i="23"/>
  <c r="L12" i="23"/>
  <c r="E13" i="23"/>
  <c r="M13" i="23"/>
  <c r="F14" i="23"/>
  <c r="N14" i="23"/>
  <c r="H17" i="23"/>
  <c r="P17" i="23"/>
  <c r="I18" i="23"/>
  <c r="Q18" i="23"/>
  <c r="J20" i="23"/>
  <c r="C21" i="23"/>
  <c r="K21" i="23"/>
  <c r="D22" i="23"/>
  <c r="L22" i="23"/>
  <c r="E23" i="23"/>
  <c r="M23" i="23"/>
  <c r="F24" i="23"/>
  <c r="N24" i="23"/>
  <c r="G25" i="23"/>
  <c r="O25" i="23"/>
  <c r="H26" i="23"/>
  <c r="P26" i="23"/>
  <c r="I28" i="23"/>
  <c r="Q28" i="23"/>
  <c r="J30" i="23"/>
  <c r="C31" i="23"/>
  <c r="K31" i="23"/>
  <c r="D32" i="23"/>
  <c r="L32" i="23"/>
  <c r="E33" i="23"/>
  <c r="M33" i="23"/>
  <c r="E5" i="24"/>
  <c r="M5" i="24"/>
  <c r="F6" i="24"/>
  <c r="G7" i="24"/>
  <c r="O7" i="24"/>
  <c r="H8" i="24"/>
  <c r="P8" i="24"/>
  <c r="I9" i="24"/>
  <c r="Q9" i="24"/>
  <c r="J10" i="24"/>
  <c r="C11" i="24"/>
  <c r="K11" i="24"/>
  <c r="D12" i="24"/>
  <c r="L12" i="24"/>
  <c r="E13" i="24"/>
  <c r="M13" i="24"/>
  <c r="F14" i="24"/>
  <c r="N14" i="24"/>
  <c r="H17" i="24"/>
  <c r="P17" i="24"/>
  <c r="I18" i="24"/>
  <c r="Q18" i="24"/>
  <c r="J20" i="24"/>
  <c r="C21" i="24"/>
  <c r="K21" i="24"/>
  <c r="D22" i="24"/>
  <c r="L22" i="24"/>
  <c r="E23" i="24"/>
  <c r="M23" i="24"/>
  <c r="F24" i="24"/>
  <c r="N24" i="24"/>
  <c r="G25" i="24"/>
  <c r="O25" i="24"/>
  <c r="H26" i="24"/>
  <c r="P26" i="24"/>
  <c r="I28" i="24"/>
  <c r="Q28" i="24"/>
  <c r="J30" i="24"/>
  <c r="C31" i="24"/>
  <c r="K31" i="24"/>
  <c r="D32" i="24"/>
  <c r="L32" i="24"/>
  <c r="E33" i="24"/>
  <c r="M33" i="24"/>
  <c r="R20" i="14"/>
  <c r="T5" i="14"/>
  <c r="V6" i="14"/>
  <c r="R8" i="14"/>
  <c r="T9" i="14"/>
  <c r="V10" i="14"/>
  <c r="U17" i="14"/>
  <c r="R21" i="14"/>
  <c r="T22" i="14"/>
  <c r="V23" i="14"/>
  <c r="U29" i="11"/>
  <c r="U29" i="14" s="1"/>
  <c r="U30" i="14"/>
  <c r="W29" i="11"/>
  <c r="W29" i="14" s="1"/>
  <c r="W31" i="14"/>
  <c r="F5" i="23"/>
  <c r="N5" i="23"/>
  <c r="G6" i="23"/>
  <c r="O6" i="23"/>
  <c r="H7" i="23"/>
  <c r="P7" i="23"/>
  <c r="I8" i="23"/>
  <c r="Q8" i="23"/>
  <c r="J9" i="23"/>
  <c r="C10" i="23"/>
  <c r="K10" i="23"/>
  <c r="D11" i="23"/>
  <c r="L11" i="23"/>
  <c r="E12" i="23"/>
  <c r="M12" i="23"/>
  <c r="F13" i="23"/>
  <c r="N13" i="23"/>
  <c r="G14" i="23"/>
  <c r="O14" i="23"/>
  <c r="I17" i="23"/>
  <c r="Q17" i="23"/>
  <c r="J18" i="23"/>
  <c r="C20" i="23"/>
  <c r="K20" i="23"/>
  <c r="D21" i="23"/>
  <c r="L21" i="23"/>
  <c r="E22" i="23"/>
  <c r="M22" i="23"/>
  <c r="F23" i="23"/>
  <c r="N23" i="23"/>
  <c r="G24" i="23"/>
  <c r="O24" i="23"/>
  <c r="H25" i="23"/>
  <c r="P25" i="23"/>
  <c r="I26" i="23"/>
  <c r="Q26" i="23"/>
  <c r="J28" i="23"/>
  <c r="C30" i="23"/>
  <c r="K30" i="23"/>
  <c r="D31" i="23"/>
  <c r="L31" i="23"/>
  <c r="E32" i="23"/>
  <c r="M32" i="23"/>
  <c r="F33" i="23"/>
  <c r="N33" i="23"/>
  <c r="F5" i="24"/>
  <c r="N5" i="24"/>
  <c r="G6" i="24"/>
  <c r="O6" i="24"/>
  <c r="H7" i="24"/>
  <c r="P7" i="24"/>
  <c r="I8" i="24"/>
  <c r="Q8" i="24"/>
  <c r="J9" i="24"/>
  <c r="C10" i="24"/>
  <c r="K10" i="24"/>
  <c r="D11" i="24"/>
  <c r="L11" i="24"/>
  <c r="E12" i="24"/>
  <c r="M12" i="24"/>
  <c r="F13" i="24"/>
  <c r="N13" i="24"/>
  <c r="G14" i="24"/>
  <c r="O14" i="24"/>
  <c r="I17" i="24"/>
  <c r="Q17" i="24"/>
  <c r="J18" i="24"/>
  <c r="C20" i="24"/>
  <c r="K20" i="24"/>
  <c r="D21" i="24"/>
  <c r="L21" i="24"/>
  <c r="E22" i="24"/>
  <c r="M22" i="24"/>
  <c r="F23" i="24"/>
  <c r="N23" i="24"/>
  <c r="G24" i="24"/>
  <c r="O24" i="24"/>
  <c r="H25" i="24"/>
  <c r="P25" i="24"/>
  <c r="I26" i="24"/>
  <c r="Q26" i="24"/>
  <c r="J28" i="24"/>
  <c r="C30" i="24"/>
  <c r="K30" i="24"/>
  <c r="D31" i="24"/>
  <c r="L31" i="24"/>
  <c r="E32" i="24"/>
  <c r="M32" i="24"/>
  <c r="F33" i="24"/>
  <c r="N33" i="24"/>
  <c r="U5" i="14"/>
  <c r="W6" i="14"/>
  <c r="S8" i="14"/>
  <c r="U9" i="14"/>
  <c r="W10" i="14"/>
  <c r="V17" i="14"/>
  <c r="S21" i="14"/>
  <c r="U22" i="14"/>
  <c r="W23" i="14"/>
  <c r="V30" i="14"/>
  <c r="R32" i="14"/>
  <c r="G5" i="23"/>
  <c r="O5" i="23"/>
  <c r="H6" i="23"/>
  <c r="P6" i="23"/>
  <c r="I7" i="23"/>
  <c r="Q7" i="23"/>
  <c r="J8" i="23"/>
  <c r="C9" i="23"/>
  <c r="K9" i="23"/>
  <c r="D10" i="23"/>
  <c r="L10" i="23"/>
  <c r="E11" i="23"/>
  <c r="M11" i="23"/>
  <c r="F12" i="23"/>
  <c r="N12" i="23"/>
  <c r="G13" i="23"/>
  <c r="O13" i="23"/>
  <c r="H14" i="23"/>
  <c r="P14" i="23"/>
  <c r="J17" i="23"/>
  <c r="C18" i="23"/>
  <c r="K18" i="23"/>
  <c r="D20" i="23"/>
  <c r="L20" i="23"/>
  <c r="E21" i="23"/>
  <c r="M21" i="23"/>
  <c r="F22" i="23"/>
  <c r="N22" i="23"/>
  <c r="G23" i="23"/>
  <c r="O23" i="23"/>
  <c r="H24" i="23"/>
  <c r="P24" i="23"/>
  <c r="I25" i="23"/>
  <c r="Q25" i="23"/>
  <c r="J26" i="23"/>
  <c r="C28" i="23"/>
  <c r="K28" i="23"/>
  <c r="D30" i="23"/>
  <c r="L30" i="23"/>
  <c r="E31" i="23"/>
  <c r="M31" i="23"/>
  <c r="F32" i="23"/>
  <c r="N32" i="23"/>
  <c r="G33" i="23"/>
  <c r="O33" i="23"/>
  <c r="G5" i="24"/>
  <c r="O5" i="24"/>
  <c r="H6" i="24"/>
  <c r="P6" i="24"/>
  <c r="I7" i="24"/>
  <c r="Q7" i="24"/>
  <c r="J8" i="24"/>
  <c r="C9" i="24"/>
  <c r="K9" i="24"/>
  <c r="D10" i="24"/>
  <c r="L10" i="24"/>
  <c r="E11" i="24"/>
  <c r="M11" i="24"/>
  <c r="F12" i="24"/>
  <c r="N12" i="24"/>
  <c r="G13" i="24"/>
  <c r="O13" i="24"/>
  <c r="H14" i="24"/>
  <c r="P14" i="24"/>
  <c r="J17" i="24"/>
  <c r="C18" i="24"/>
  <c r="K18" i="24"/>
  <c r="D20" i="24"/>
  <c r="L20" i="24"/>
  <c r="E21" i="24"/>
  <c r="M21" i="24"/>
  <c r="F22" i="24"/>
  <c r="N22" i="24"/>
  <c r="G23" i="24"/>
  <c r="O23" i="24"/>
  <c r="H24" i="24"/>
  <c r="P24" i="24"/>
  <c r="I25" i="24"/>
  <c r="Q25" i="24"/>
  <c r="J26" i="24"/>
  <c r="C28" i="24"/>
  <c r="K28" i="24"/>
  <c r="D30" i="24"/>
  <c r="L30" i="24"/>
  <c r="E31" i="24"/>
  <c r="M31" i="24"/>
  <c r="F32" i="24"/>
  <c r="N32" i="24"/>
  <c r="G33" i="24"/>
  <c r="O33" i="24"/>
  <c r="V4" i="11"/>
  <c r="V4" i="14" s="1"/>
  <c r="V5" i="14"/>
  <c r="R4" i="11"/>
  <c r="R7" i="14"/>
  <c r="T8" i="14"/>
  <c r="V9" i="14"/>
  <c r="W16" i="11"/>
  <c r="W17" i="14"/>
  <c r="T19" i="11"/>
  <c r="V19" i="11"/>
  <c r="V22" i="14"/>
  <c r="R24" i="14"/>
  <c r="W30" i="14"/>
  <c r="S32" i="14"/>
  <c r="H5" i="23"/>
  <c r="P5" i="23"/>
  <c r="I6" i="23"/>
  <c r="Q6" i="23"/>
  <c r="J7" i="23"/>
  <c r="C8" i="23"/>
  <c r="K8" i="23"/>
  <c r="D9" i="23"/>
  <c r="L9" i="23"/>
  <c r="E10" i="23"/>
  <c r="M10" i="23"/>
  <c r="F11" i="23"/>
  <c r="N11" i="23"/>
  <c r="G12" i="23"/>
  <c r="O12" i="23"/>
  <c r="H13" i="23"/>
  <c r="P13" i="23"/>
  <c r="I14" i="23"/>
  <c r="Q14" i="23"/>
  <c r="C17" i="23"/>
  <c r="K17" i="23"/>
  <c r="D18" i="23"/>
  <c r="L18" i="23"/>
  <c r="E20" i="23"/>
  <c r="M20" i="23"/>
  <c r="F21" i="23"/>
  <c r="N21" i="23"/>
  <c r="G22" i="23"/>
  <c r="O22" i="23"/>
  <c r="H23" i="23"/>
  <c r="P23" i="23"/>
  <c r="I24" i="23"/>
  <c r="Q24" i="23"/>
  <c r="J25" i="23"/>
  <c r="C26" i="23"/>
  <c r="K26" i="23"/>
  <c r="D28" i="23"/>
  <c r="L28" i="23"/>
  <c r="E30" i="23"/>
  <c r="M30" i="23"/>
  <c r="F31" i="23"/>
  <c r="N31" i="23"/>
  <c r="G32" i="23"/>
  <c r="O32" i="23"/>
  <c r="H33" i="23"/>
  <c r="P33" i="23"/>
  <c r="H5" i="24"/>
  <c r="P5" i="24"/>
  <c r="I6" i="24"/>
  <c r="Q6" i="24"/>
  <c r="J7" i="24"/>
  <c r="C8" i="24"/>
  <c r="K8" i="24"/>
  <c r="D9" i="24"/>
  <c r="L9" i="24"/>
  <c r="E10" i="24"/>
  <c r="M10" i="24"/>
  <c r="F11" i="24"/>
  <c r="N11" i="24"/>
  <c r="G12" i="24"/>
  <c r="O12" i="24"/>
  <c r="H13" i="24"/>
  <c r="P13" i="24"/>
  <c r="I14" i="24"/>
  <c r="Q14" i="24"/>
  <c r="C17" i="24"/>
  <c r="K17" i="24"/>
  <c r="D18" i="24"/>
  <c r="L18" i="24"/>
  <c r="E20" i="24"/>
  <c r="M20" i="24"/>
  <c r="F21" i="24"/>
  <c r="N21" i="24"/>
  <c r="G22" i="24"/>
  <c r="O22" i="24"/>
  <c r="H23" i="24"/>
  <c r="P23" i="24"/>
  <c r="I24" i="24"/>
  <c r="Q24" i="24"/>
  <c r="J25" i="24"/>
  <c r="C26" i="24"/>
  <c r="K26" i="24"/>
  <c r="D28" i="24"/>
  <c r="L28" i="24"/>
  <c r="E30" i="24"/>
  <c r="M30" i="24"/>
  <c r="F31" i="24"/>
  <c r="N31" i="24"/>
  <c r="G32" i="24"/>
  <c r="O32" i="24"/>
  <c r="H33" i="24"/>
  <c r="P33" i="24"/>
  <c r="T4" i="11"/>
  <c r="S16" i="14"/>
  <c r="S20" i="14"/>
  <c r="U21" i="14"/>
  <c r="W22" i="14"/>
  <c r="S24" i="14"/>
  <c r="R31" i="14"/>
  <c r="T32" i="14"/>
  <c r="I5" i="23"/>
  <c r="Q5" i="23"/>
  <c r="J6" i="23"/>
  <c r="C7" i="23"/>
  <c r="K7" i="23"/>
  <c r="D8" i="23"/>
  <c r="L8" i="23"/>
  <c r="E9" i="23"/>
  <c r="M9" i="23"/>
  <c r="F10" i="23"/>
  <c r="N10" i="23"/>
  <c r="G11" i="23"/>
  <c r="O11" i="23"/>
  <c r="H12" i="23"/>
  <c r="P12" i="23"/>
  <c r="I13" i="23"/>
  <c r="Q13" i="23"/>
  <c r="J14" i="23"/>
  <c r="D17" i="23"/>
  <c r="L17" i="23"/>
  <c r="E18" i="23"/>
  <c r="M18" i="23"/>
  <c r="F20" i="23"/>
  <c r="N20" i="23"/>
  <c r="G21" i="23"/>
  <c r="O21" i="23"/>
  <c r="H22" i="23"/>
  <c r="P22" i="23"/>
  <c r="I23" i="23"/>
  <c r="Q23" i="23"/>
  <c r="J24" i="23"/>
  <c r="C25" i="23"/>
  <c r="K25" i="23"/>
  <c r="D26" i="23"/>
  <c r="L26" i="23"/>
  <c r="E28" i="23"/>
  <c r="M28" i="23"/>
  <c r="F30" i="23"/>
  <c r="N30" i="23"/>
  <c r="G31" i="23"/>
  <c r="O31" i="23"/>
  <c r="H32" i="23"/>
  <c r="P32" i="23"/>
  <c r="I33" i="23"/>
  <c r="Q33" i="23"/>
  <c r="I5" i="24"/>
  <c r="Q5" i="24"/>
  <c r="J6" i="24"/>
  <c r="C7" i="24"/>
  <c r="K7" i="24"/>
  <c r="D8" i="24"/>
  <c r="L8" i="24"/>
  <c r="E9" i="24"/>
  <c r="M9" i="24"/>
  <c r="F10" i="24"/>
  <c r="N10" i="24"/>
  <c r="G11" i="24"/>
  <c r="O11" i="24"/>
  <c r="H12" i="24"/>
  <c r="P12" i="24"/>
  <c r="I13" i="24"/>
  <c r="Q13" i="24"/>
  <c r="J14" i="24"/>
  <c r="D17" i="24"/>
  <c r="L17" i="24"/>
  <c r="E18" i="24"/>
  <c r="M18" i="24"/>
  <c r="F20" i="24"/>
  <c r="N20" i="24"/>
  <c r="G21" i="24"/>
  <c r="O21" i="24"/>
  <c r="H22" i="24"/>
  <c r="P22" i="24"/>
  <c r="I23" i="24"/>
  <c r="Q23" i="24"/>
  <c r="J24" i="24"/>
  <c r="C25" i="24"/>
  <c r="K25" i="24"/>
  <c r="D26" i="24"/>
  <c r="L26" i="24"/>
  <c r="E28" i="24"/>
  <c r="M28" i="24"/>
  <c r="F30" i="24"/>
  <c r="N30" i="24"/>
  <c r="G31" i="24"/>
  <c r="O31" i="24"/>
  <c r="H32" i="24"/>
  <c r="P32" i="24"/>
  <c r="I33" i="24"/>
  <c r="Q33" i="24"/>
  <c r="S21" i="25"/>
  <c r="S19" i="22"/>
  <c r="S19" i="25" s="1"/>
  <c r="V31" i="23"/>
  <c r="V29" i="19"/>
  <c r="T5" i="24"/>
  <c r="T5" i="21"/>
  <c r="V6" i="24"/>
  <c r="V6" i="21"/>
  <c r="R8" i="24"/>
  <c r="R8" i="21"/>
  <c r="T9" i="24"/>
  <c r="T9" i="21"/>
  <c r="V10" i="24"/>
  <c r="V10" i="21"/>
  <c r="R12" i="24"/>
  <c r="R12" i="21"/>
  <c r="T13" i="24"/>
  <c r="T13" i="21"/>
  <c r="V14" i="24"/>
  <c r="V14" i="21"/>
  <c r="W16" i="24"/>
  <c r="S18" i="24"/>
  <c r="S18" i="21"/>
  <c r="T19" i="20"/>
  <c r="T20" i="24"/>
  <c r="T20" i="21"/>
  <c r="V21" i="24"/>
  <c r="V21" i="21"/>
  <c r="R23" i="24"/>
  <c r="R23" i="21"/>
  <c r="T24" i="24"/>
  <c r="T24" i="21"/>
  <c r="V25" i="24"/>
  <c r="V25" i="21"/>
  <c r="R28" i="24"/>
  <c r="R27" i="24"/>
  <c r="R27" i="21"/>
  <c r="T30" i="24"/>
  <c r="T30" i="21"/>
  <c r="V31" i="24"/>
  <c r="V31" i="21"/>
  <c r="R33" i="24"/>
  <c r="R33" i="21"/>
  <c r="R26" i="21"/>
  <c r="S4" i="22"/>
  <c r="U29" i="22"/>
  <c r="U29" i="25" s="1"/>
  <c r="U30" i="25"/>
  <c r="U4" i="22"/>
  <c r="U4" i="25" s="1"/>
  <c r="U5" i="25"/>
  <c r="W6" i="25"/>
  <c r="W4" i="22"/>
  <c r="W16" i="22"/>
  <c r="W16" i="25" s="1"/>
  <c r="W17" i="25"/>
  <c r="V19" i="19"/>
  <c r="V19" i="23" s="1"/>
  <c r="V20" i="23"/>
  <c r="R19" i="19"/>
  <c r="R19" i="23" s="1"/>
  <c r="R22" i="23"/>
  <c r="T23" i="23"/>
  <c r="T19" i="19"/>
  <c r="T19" i="23" s="1"/>
  <c r="T27" i="23"/>
  <c r="T28" i="23"/>
  <c r="S17" i="23"/>
  <c r="S16" i="19"/>
  <c r="S16" i="23" s="1"/>
  <c r="R10" i="21"/>
  <c r="V20" i="21"/>
  <c r="T11" i="21"/>
  <c r="R22" i="21"/>
  <c r="R4" i="19"/>
  <c r="R6" i="23"/>
  <c r="T4" i="19"/>
  <c r="T7" i="23"/>
  <c r="V8" i="23"/>
  <c r="V4" i="19"/>
  <c r="V4" i="23" s="1"/>
  <c r="V12" i="21"/>
  <c r="T23" i="21"/>
  <c r="R14" i="21"/>
  <c r="V24" i="21"/>
  <c r="U15" i="18"/>
  <c r="U15" i="23" s="1"/>
  <c r="W5" i="23"/>
  <c r="S7" i="23"/>
  <c r="U8" i="23"/>
  <c r="W9" i="23"/>
  <c r="S11" i="23"/>
  <c r="U12" i="23"/>
  <c r="W13" i="23"/>
  <c r="U20" i="23"/>
  <c r="W21" i="23"/>
  <c r="S23" i="23"/>
  <c r="U24" i="23"/>
  <c r="W25" i="23"/>
  <c r="S27" i="23"/>
  <c r="S28" i="23"/>
  <c r="S30" i="23"/>
  <c r="U31" i="23"/>
  <c r="W32" i="23"/>
  <c r="S4" i="20"/>
  <c r="S5" i="24"/>
  <c r="U4" i="20"/>
  <c r="U6" i="24"/>
  <c r="W4" i="20"/>
  <c r="W7" i="24"/>
  <c r="S9" i="24"/>
  <c r="W11" i="24"/>
  <c r="S13" i="24"/>
  <c r="U14" i="24"/>
  <c r="R18" i="24"/>
  <c r="S20" i="24"/>
  <c r="S20" i="27" s="1"/>
  <c r="U21" i="24"/>
  <c r="W22" i="24"/>
  <c r="S24" i="24"/>
  <c r="U25" i="24"/>
  <c r="W26" i="24"/>
  <c r="S29" i="20"/>
  <c r="S30" i="24"/>
  <c r="U31" i="24"/>
  <c r="W29" i="20"/>
  <c r="W32" i="24"/>
  <c r="T5" i="25"/>
  <c r="V6" i="25"/>
  <c r="R8" i="25"/>
  <c r="T9" i="25"/>
  <c r="V10" i="25"/>
  <c r="V16" i="22"/>
  <c r="V16" i="25" s="1"/>
  <c r="V17" i="25"/>
  <c r="R21" i="25"/>
  <c r="T22" i="25"/>
  <c r="V23" i="25"/>
  <c r="V31" i="25"/>
  <c r="S15" i="18"/>
  <c r="S15" i="23" s="1"/>
  <c r="S6" i="23"/>
  <c r="U7" i="23"/>
  <c r="W8" i="23"/>
  <c r="S10" i="23"/>
  <c r="U11" i="23"/>
  <c r="W12" i="23"/>
  <c r="S14" i="23"/>
  <c r="T17" i="23"/>
  <c r="V18" i="23"/>
  <c r="W19" i="19"/>
  <c r="W20" i="23"/>
  <c r="S22" i="23"/>
  <c r="U23" i="23"/>
  <c r="W24" i="23"/>
  <c r="S26" i="23"/>
  <c r="U28" i="23"/>
  <c r="U29" i="19"/>
  <c r="U29" i="23" s="1"/>
  <c r="U30" i="23"/>
  <c r="W29" i="19"/>
  <c r="W29" i="23" s="1"/>
  <c r="W31" i="23"/>
  <c r="S33" i="23"/>
  <c r="U5" i="24"/>
  <c r="W6" i="24"/>
  <c r="S8" i="24"/>
  <c r="U9" i="24"/>
  <c r="W10" i="24"/>
  <c r="S12" i="24"/>
  <c r="U13" i="24"/>
  <c r="W14" i="24"/>
  <c r="R16" i="20"/>
  <c r="R17" i="24"/>
  <c r="T16" i="20"/>
  <c r="T18" i="24"/>
  <c r="U20" i="24"/>
  <c r="W21" i="24"/>
  <c r="S23" i="24"/>
  <c r="U24" i="24"/>
  <c r="W25" i="24"/>
  <c r="S28" i="24"/>
  <c r="S27" i="24"/>
  <c r="U29" i="20"/>
  <c r="U30" i="24"/>
  <c r="W31" i="24"/>
  <c r="S33" i="24"/>
  <c r="V4" i="22"/>
  <c r="V4" i="25" s="1"/>
  <c r="V5" i="25"/>
  <c r="R4" i="22"/>
  <c r="R7" i="25"/>
  <c r="T8" i="25"/>
  <c r="V9" i="25"/>
  <c r="R16" i="25"/>
  <c r="R19" i="22"/>
  <c r="R19" i="25" s="1"/>
  <c r="R20" i="25"/>
  <c r="T21" i="25"/>
  <c r="V19" i="22"/>
  <c r="V19" i="25" s="1"/>
  <c r="V22" i="25"/>
  <c r="R24" i="25"/>
  <c r="V30" i="25"/>
  <c r="V13" i="24"/>
  <c r="U19" i="18"/>
  <c r="U27" i="23" s="1"/>
  <c r="U16" i="19"/>
  <c r="U16" i="23" s="1"/>
  <c r="U17" i="23"/>
  <c r="W16" i="19"/>
  <c r="W16" i="23" s="1"/>
  <c r="W18" i="23"/>
  <c r="R21" i="23"/>
  <c r="T22" i="23"/>
  <c r="V23" i="23"/>
  <c r="R25" i="23"/>
  <c r="T26" i="23"/>
  <c r="V27" i="23"/>
  <c r="V28" i="23"/>
  <c r="V30" i="23"/>
  <c r="R32" i="23"/>
  <c r="T33" i="23"/>
  <c r="V4" i="20"/>
  <c r="V5" i="24"/>
  <c r="R7" i="24"/>
  <c r="T8" i="24"/>
  <c r="V9" i="24"/>
  <c r="R11" i="24"/>
  <c r="T12" i="24"/>
  <c r="S16" i="20"/>
  <c r="S17" i="24"/>
  <c r="U16" i="20"/>
  <c r="U18" i="24"/>
  <c r="V20" i="24"/>
  <c r="R22" i="24"/>
  <c r="T23" i="24"/>
  <c r="V24" i="24"/>
  <c r="R26" i="24"/>
  <c r="T27" i="24"/>
  <c r="T28" i="24"/>
  <c r="V29" i="20"/>
  <c r="V30" i="24"/>
  <c r="R32" i="24"/>
  <c r="T33" i="24"/>
  <c r="R17" i="21"/>
  <c r="T18" i="21"/>
  <c r="W5" i="25"/>
  <c r="S7" i="25"/>
  <c r="U8" i="25"/>
  <c r="W9" i="25"/>
  <c r="U16" i="25"/>
  <c r="S20" i="25"/>
  <c r="S20" i="28" s="1"/>
  <c r="U21" i="25"/>
  <c r="W22" i="25"/>
  <c r="S24" i="25"/>
  <c r="W30" i="25"/>
  <c r="S32" i="25"/>
  <c r="S5" i="23"/>
  <c r="U6" i="23"/>
  <c r="W7" i="23"/>
  <c r="S9" i="23"/>
  <c r="U10" i="23"/>
  <c r="W11" i="23"/>
  <c r="S13" i="23"/>
  <c r="U14" i="23"/>
  <c r="V17" i="23"/>
  <c r="S21" i="23"/>
  <c r="U22" i="23"/>
  <c r="W23" i="23"/>
  <c r="S25" i="23"/>
  <c r="U26" i="23"/>
  <c r="W28" i="23"/>
  <c r="W30" i="23"/>
  <c r="S32" i="23"/>
  <c r="U33" i="23"/>
  <c r="W5" i="24"/>
  <c r="S7" i="24"/>
  <c r="U8" i="24"/>
  <c r="W9" i="24"/>
  <c r="S11" i="24"/>
  <c r="U12" i="24"/>
  <c r="W13" i="24"/>
  <c r="T17" i="24"/>
  <c r="V18" i="24"/>
  <c r="W20" i="24"/>
  <c r="S22" i="24"/>
  <c r="U23" i="24"/>
  <c r="W24" i="24"/>
  <c r="S26" i="24"/>
  <c r="U28" i="24"/>
  <c r="W30" i="24"/>
  <c r="S32" i="24"/>
  <c r="U33" i="24"/>
  <c r="S5" i="21"/>
  <c r="U6" i="21"/>
  <c r="W7" i="21"/>
  <c r="S9" i="21"/>
  <c r="W11" i="21"/>
  <c r="S13" i="21"/>
  <c r="U14" i="21"/>
  <c r="W15" i="21"/>
  <c r="S17" i="21"/>
  <c r="U18" i="21"/>
  <c r="S30" i="21"/>
  <c r="U31" i="21"/>
  <c r="W32" i="21"/>
  <c r="R6" i="25"/>
  <c r="T7" i="25"/>
  <c r="V8" i="25"/>
  <c r="R10" i="25"/>
  <c r="R17" i="25"/>
  <c r="T19" i="22"/>
  <c r="T19" i="25" s="1"/>
  <c r="T20" i="25"/>
  <c r="V21" i="25"/>
  <c r="R23" i="25"/>
  <c r="T24" i="25"/>
  <c r="R31" i="25"/>
  <c r="R15" i="18"/>
  <c r="R15" i="23" s="1"/>
  <c r="T4" i="18"/>
  <c r="T3" i="18" s="1"/>
  <c r="V15" i="18"/>
  <c r="V15" i="23" s="1"/>
  <c r="W19" i="18"/>
  <c r="W19" i="25" s="1"/>
  <c r="V29" i="18"/>
  <c r="T5" i="23"/>
  <c r="V6" i="23"/>
  <c r="R8" i="23"/>
  <c r="T9" i="23"/>
  <c r="V10" i="23"/>
  <c r="R12" i="23"/>
  <c r="T13" i="23"/>
  <c r="V14" i="23"/>
  <c r="W17" i="23"/>
  <c r="R20" i="23"/>
  <c r="T21" i="23"/>
  <c r="V22" i="23"/>
  <c r="R24" i="23"/>
  <c r="T25" i="23"/>
  <c r="V26" i="23"/>
  <c r="S29" i="19"/>
  <c r="R29" i="19"/>
  <c r="R29" i="23" s="1"/>
  <c r="R31" i="23"/>
  <c r="T29" i="19"/>
  <c r="T29" i="23" s="1"/>
  <c r="T32" i="23"/>
  <c r="V33" i="23"/>
  <c r="R6" i="24"/>
  <c r="V8" i="24"/>
  <c r="R10" i="24"/>
  <c r="T11" i="24"/>
  <c r="V12" i="24"/>
  <c r="R14" i="24"/>
  <c r="U17" i="24"/>
  <c r="W18" i="24"/>
  <c r="R19" i="20"/>
  <c r="R21" i="24"/>
  <c r="T22" i="24"/>
  <c r="V19" i="20"/>
  <c r="V23" i="24"/>
  <c r="R25" i="24"/>
  <c r="T26" i="24"/>
  <c r="V28" i="24"/>
  <c r="V27" i="24"/>
  <c r="R31" i="24"/>
  <c r="T32" i="24"/>
  <c r="V33" i="24"/>
  <c r="T17" i="21"/>
  <c r="V18" i="21"/>
  <c r="S6" i="25"/>
  <c r="U7" i="25"/>
  <c r="W8" i="25"/>
  <c r="S10" i="25"/>
  <c r="S16" i="22"/>
  <c r="S16" i="25" s="1"/>
  <c r="S17" i="25"/>
  <c r="U19" i="22"/>
  <c r="U20" i="25"/>
  <c r="W21" i="25"/>
  <c r="S23" i="25"/>
  <c r="U24" i="25"/>
  <c r="W29" i="22"/>
  <c r="W29" i="25" s="1"/>
  <c r="S31" i="25"/>
  <c r="S29" i="18"/>
  <c r="S29" i="25" s="1"/>
  <c r="U4" i="19"/>
  <c r="U5" i="23"/>
  <c r="W4" i="19"/>
  <c r="W6" i="23"/>
  <c r="S8" i="23"/>
  <c r="U9" i="23"/>
  <c r="W10" i="23"/>
  <c r="S12" i="23"/>
  <c r="U13" i="23"/>
  <c r="W14" i="23"/>
  <c r="T16" i="23"/>
  <c r="R16" i="19"/>
  <c r="R16" i="23" s="1"/>
  <c r="R18" i="23"/>
  <c r="S19" i="19"/>
  <c r="S19" i="23" s="1"/>
  <c r="S20" i="23"/>
  <c r="S20" i="26" s="1"/>
  <c r="U19" i="19"/>
  <c r="U21" i="23"/>
  <c r="W22" i="23"/>
  <c r="S24" i="23"/>
  <c r="U25" i="23"/>
  <c r="W26" i="23"/>
  <c r="S31" i="23"/>
  <c r="U32" i="23"/>
  <c r="W33" i="23"/>
  <c r="S6" i="24"/>
  <c r="U7" i="24"/>
  <c r="W8" i="24"/>
  <c r="S10" i="24"/>
  <c r="U11" i="24"/>
  <c r="W12" i="24"/>
  <c r="S14" i="24"/>
  <c r="V16" i="20"/>
  <c r="V17" i="24"/>
  <c r="S19" i="20"/>
  <c r="S21" i="24"/>
  <c r="U19" i="20"/>
  <c r="U22" i="24"/>
  <c r="W23" i="24"/>
  <c r="S25" i="24"/>
  <c r="U26" i="24"/>
  <c r="W28" i="24"/>
  <c r="S31" i="24"/>
  <c r="U32" i="24"/>
  <c r="W33" i="24"/>
  <c r="U5" i="21"/>
  <c r="W6" i="21"/>
  <c r="S8" i="21"/>
  <c r="U9" i="21"/>
  <c r="W10" i="21"/>
  <c r="S12" i="21"/>
  <c r="U13" i="21"/>
  <c r="W14" i="21"/>
  <c r="U17" i="21"/>
  <c r="W18" i="21"/>
  <c r="S20" i="21"/>
  <c r="U21" i="21"/>
  <c r="W22" i="21"/>
  <c r="S24" i="21"/>
  <c r="U25" i="21"/>
  <c r="W26" i="21"/>
  <c r="U30" i="21"/>
  <c r="W31" i="21"/>
  <c r="S33" i="21"/>
  <c r="R5" i="25"/>
  <c r="T6" i="25"/>
  <c r="V7" i="25"/>
  <c r="R9" i="25"/>
  <c r="T10" i="25"/>
  <c r="T16" i="22"/>
  <c r="T16" i="25" s="1"/>
  <c r="T17" i="25"/>
  <c r="V20" i="25"/>
  <c r="R22" i="25"/>
  <c r="T23" i="25"/>
  <c r="V24" i="25"/>
  <c r="R29" i="22"/>
  <c r="R29" i="25" s="1"/>
  <c r="R30" i="25"/>
  <c r="T15" i="18"/>
  <c r="T15" i="23" s="1"/>
  <c r="V5" i="23"/>
  <c r="R7" i="23"/>
  <c r="T8" i="23"/>
  <c r="V9" i="23"/>
  <c r="R11" i="23"/>
  <c r="T12" i="23"/>
  <c r="V13" i="23"/>
  <c r="V16" i="19"/>
  <c r="V16" i="23" s="1"/>
  <c r="S18" i="23"/>
  <c r="T20" i="23"/>
  <c r="R23" i="23"/>
  <c r="T24" i="23"/>
  <c r="V25" i="23"/>
  <c r="R27" i="23"/>
  <c r="R28" i="23"/>
  <c r="R30" i="23"/>
  <c r="T31" i="23"/>
  <c r="V32" i="23"/>
  <c r="R4" i="20"/>
  <c r="R5" i="24"/>
  <c r="T4" i="20"/>
  <c r="T6" i="24"/>
  <c r="V7" i="24"/>
  <c r="R9" i="24"/>
  <c r="T10" i="24"/>
  <c r="V11" i="24"/>
  <c r="R13" i="24"/>
  <c r="T14" i="24"/>
  <c r="W17" i="24"/>
  <c r="R20" i="24"/>
  <c r="T21" i="24"/>
  <c r="V22" i="24"/>
  <c r="R24" i="24"/>
  <c r="T25" i="24"/>
  <c r="V26" i="24"/>
  <c r="R29" i="20"/>
  <c r="R30" i="24"/>
  <c r="T29" i="20"/>
  <c r="T31" i="24"/>
  <c r="V32" i="24"/>
  <c r="V5" i="21"/>
  <c r="R7" i="21"/>
  <c r="T8" i="21"/>
  <c r="V9" i="21"/>
  <c r="R11" i="21"/>
  <c r="T12" i="21"/>
  <c r="R15" i="21"/>
  <c r="V17" i="21"/>
  <c r="V30" i="21"/>
  <c r="R32" i="21"/>
  <c r="T33" i="21"/>
  <c r="S5" i="25"/>
  <c r="U6" i="25"/>
  <c r="W7" i="25"/>
  <c r="S9" i="25"/>
  <c r="U10" i="25"/>
  <c r="U17" i="25"/>
  <c r="W20" i="25"/>
  <c r="S22" i="25"/>
  <c r="U23" i="25"/>
  <c r="W24" i="25"/>
  <c r="S30" i="25"/>
  <c r="R32" i="25"/>
  <c r="T32" i="25"/>
  <c r="U32" i="25"/>
  <c r="U32" i="28" s="1"/>
  <c r="T31" i="25"/>
  <c r="V29" i="22"/>
  <c r="V32" i="25"/>
  <c r="V32" i="28" s="1"/>
  <c r="U31" i="25"/>
  <c r="W32" i="25"/>
  <c r="W32" i="28" s="1"/>
  <c r="T29" i="22"/>
  <c r="T29" i="25" s="1"/>
  <c r="T30" i="25"/>
  <c r="W31" i="25"/>
  <c r="B72" i="29"/>
  <c r="B16" i="29"/>
  <c r="B8" i="29" s="1"/>
  <c r="T3" i="31"/>
  <c r="K3" i="29"/>
  <c r="I11" i="29"/>
  <c r="I4" i="29"/>
  <c r="Q11" i="29"/>
  <c r="Q4" i="29"/>
  <c r="E5" i="29"/>
  <c r="E11" i="29"/>
  <c r="M5" i="29"/>
  <c r="M11" i="29"/>
  <c r="U5" i="31"/>
  <c r="U5" i="29"/>
  <c r="U7" i="29"/>
  <c r="U5" i="33"/>
  <c r="U5" i="35"/>
  <c r="U9" i="29"/>
  <c r="U69" i="29"/>
  <c r="U6" i="31" s="1"/>
  <c r="U8" i="31"/>
  <c r="U71" i="29"/>
  <c r="U6" i="33" s="1"/>
  <c r="U8" i="33"/>
  <c r="U73" i="29"/>
  <c r="U6" i="35" s="1"/>
  <c r="U8" i="35"/>
  <c r="V3" i="30"/>
  <c r="O3" i="29"/>
  <c r="F3" i="29"/>
  <c r="W3" i="35"/>
  <c r="W8" i="34"/>
  <c r="S3" i="33"/>
  <c r="U3" i="32"/>
  <c r="S8" i="32"/>
  <c r="W8" i="30"/>
  <c r="N3" i="29"/>
  <c r="W8" i="35"/>
  <c r="S8" i="33"/>
  <c r="W3" i="32"/>
  <c r="U8" i="32"/>
  <c r="W8" i="31"/>
  <c r="B69" i="29"/>
  <c r="R3" i="35"/>
  <c r="T3" i="34"/>
  <c r="R8" i="34"/>
  <c r="T8" i="33"/>
  <c r="V8" i="32"/>
  <c r="R3" i="31"/>
  <c r="R8" i="30"/>
  <c r="P3" i="29"/>
  <c r="S3" i="35"/>
  <c r="U3" i="34"/>
  <c r="S8" i="34"/>
  <c r="W3" i="33"/>
  <c r="W8" i="32"/>
  <c r="S3" i="31"/>
  <c r="U3" i="30"/>
  <c r="S8" i="30"/>
  <c r="G3" i="29"/>
  <c r="P11" i="29"/>
  <c r="T3" i="35"/>
  <c r="R8" i="35"/>
  <c r="V3" i="34"/>
  <c r="T8" i="34"/>
  <c r="V8" i="33"/>
  <c r="T5" i="32"/>
  <c r="R8" i="31"/>
  <c r="T8" i="30"/>
  <c r="C69" i="29"/>
  <c r="H11" i="29"/>
  <c r="S8" i="35"/>
  <c r="W3" i="34"/>
  <c r="U8" i="34"/>
  <c r="W8" i="33"/>
  <c r="S8" i="31"/>
  <c r="W3" i="30"/>
  <c r="U8" i="30"/>
  <c r="B7" i="29"/>
  <c r="T8" i="35"/>
  <c r="V8" i="34"/>
  <c r="R3" i="33"/>
  <c r="T3" i="32"/>
  <c r="R8" i="32"/>
  <c r="V3" i="31"/>
  <c r="T8" i="31"/>
  <c r="V8" i="30"/>
  <c r="H3" i="29"/>
  <c r="D4" i="29"/>
  <c r="L4" i="29"/>
  <c r="T4" i="29"/>
  <c r="C8" i="29"/>
  <c r="C12" i="29"/>
  <c r="W15" i="18"/>
  <c r="W15" i="24" s="1"/>
  <c r="R4" i="18"/>
  <c r="R3" i="18" s="1"/>
  <c r="S4" i="18"/>
  <c r="S3" i="18" s="1"/>
  <c r="V15" i="7"/>
  <c r="V15" i="12" s="1"/>
  <c r="T4" i="7"/>
  <c r="T3" i="7" s="1"/>
  <c r="U4" i="7"/>
  <c r="U3" i="7" s="1"/>
  <c r="U15" i="24" l="1"/>
  <c r="W3" i="8"/>
  <c r="W3" i="29"/>
  <c r="W3" i="31"/>
  <c r="U19" i="25"/>
  <c r="U19" i="23"/>
  <c r="U27" i="24"/>
  <c r="R3" i="29"/>
  <c r="S3" i="30"/>
  <c r="T15" i="12"/>
  <c r="T19" i="14"/>
  <c r="T3" i="11"/>
  <c r="T27" i="13"/>
  <c r="S3" i="32"/>
  <c r="S15" i="24"/>
  <c r="S3" i="29"/>
  <c r="S3" i="34"/>
  <c r="U3" i="22"/>
  <c r="V3" i="19"/>
  <c r="R19" i="14"/>
  <c r="S3" i="8"/>
  <c r="V3" i="33"/>
  <c r="V3" i="29"/>
  <c r="W16" i="14"/>
  <c r="W27" i="24"/>
  <c r="W19" i="24"/>
  <c r="W27" i="23"/>
  <c r="U27" i="13"/>
  <c r="R3" i="30"/>
  <c r="R3" i="34"/>
  <c r="J3" i="29"/>
  <c r="T15" i="24"/>
  <c r="V27" i="13"/>
  <c r="U27" i="12"/>
  <c r="U19" i="13"/>
  <c r="R15" i="12"/>
  <c r="V3" i="22"/>
  <c r="V3" i="25" s="1"/>
  <c r="R4" i="12"/>
  <c r="R27" i="12"/>
  <c r="S29" i="23"/>
  <c r="W16" i="21"/>
  <c r="V19" i="14"/>
  <c r="R4" i="14"/>
  <c r="V15" i="24"/>
  <c r="T3" i="29"/>
  <c r="T3" i="30"/>
  <c r="V3" i="20"/>
  <c r="V4" i="24"/>
  <c r="V4" i="21"/>
  <c r="S4" i="13"/>
  <c r="S4" i="10"/>
  <c r="S19" i="13"/>
  <c r="S19" i="10"/>
  <c r="R3" i="12"/>
  <c r="E3" i="29"/>
  <c r="R3" i="20"/>
  <c r="R4" i="24"/>
  <c r="R4" i="21"/>
  <c r="S19" i="24"/>
  <c r="S19" i="21"/>
  <c r="S3" i="19"/>
  <c r="T3" i="19"/>
  <c r="T4" i="23"/>
  <c r="R19" i="13"/>
  <c r="R19" i="10"/>
  <c r="V15" i="13"/>
  <c r="R29" i="14"/>
  <c r="U29" i="13"/>
  <c r="U29" i="10"/>
  <c r="V16" i="13"/>
  <c r="V16" i="10"/>
  <c r="V19" i="12"/>
  <c r="W29" i="10"/>
  <c r="T3" i="8"/>
  <c r="T4" i="12"/>
  <c r="R4" i="13"/>
  <c r="R4" i="10"/>
  <c r="S3" i="9"/>
  <c r="R15" i="24"/>
  <c r="R3" i="19"/>
  <c r="R4" i="23"/>
  <c r="T4" i="14"/>
  <c r="U16" i="13"/>
  <c r="U16" i="10"/>
  <c r="T16" i="13"/>
  <c r="T16" i="10"/>
  <c r="S29" i="13"/>
  <c r="S29" i="10"/>
  <c r="T19" i="12"/>
  <c r="R29" i="13"/>
  <c r="R29" i="10"/>
  <c r="W16" i="12"/>
  <c r="S3" i="20"/>
  <c r="S4" i="24"/>
  <c r="S4" i="21"/>
  <c r="L3" i="29"/>
  <c r="R3" i="9"/>
  <c r="I3" i="29"/>
  <c r="V16" i="24"/>
  <c r="V16" i="21"/>
  <c r="U3" i="19"/>
  <c r="U4" i="23"/>
  <c r="U29" i="24"/>
  <c r="U29" i="21"/>
  <c r="W19" i="23"/>
  <c r="W19" i="21"/>
  <c r="W3" i="22"/>
  <c r="W4" i="25"/>
  <c r="V29" i="23"/>
  <c r="S16" i="13"/>
  <c r="S16" i="10"/>
  <c r="U3" i="9"/>
  <c r="U4" i="13"/>
  <c r="U4" i="10"/>
  <c r="V19" i="13"/>
  <c r="V19" i="10"/>
  <c r="U3" i="33"/>
  <c r="T3" i="22"/>
  <c r="D3" i="29"/>
  <c r="U3" i="29"/>
  <c r="U3" i="31"/>
  <c r="T3" i="14"/>
  <c r="R3" i="22"/>
  <c r="T29" i="24"/>
  <c r="T29" i="21"/>
  <c r="V19" i="24"/>
  <c r="V19" i="21"/>
  <c r="W15" i="23"/>
  <c r="T16" i="24"/>
  <c r="T16" i="21"/>
  <c r="W29" i="24"/>
  <c r="W29" i="21"/>
  <c r="S4" i="12"/>
  <c r="V29" i="14"/>
  <c r="S3" i="11"/>
  <c r="S4" i="14"/>
  <c r="V3" i="9"/>
  <c r="V4" i="13"/>
  <c r="V4" i="10"/>
  <c r="V29" i="12"/>
  <c r="R19" i="12"/>
  <c r="W3" i="19"/>
  <c r="W4" i="23"/>
  <c r="S16" i="24"/>
  <c r="S16" i="21"/>
  <c r="R4" i="25"/>
  <c r="W3" i="20"/>
  <c r="W4" i="24"/>
  <c r="W4" i="21"/>
  <c r="V29" i="13"/>
  <c r="V29" i="10"/>
  <c r="R16" i="13"/>
  <c r="R16" i="10"/>
  <c r="R3" i="11"/>
  <c r="U3" i="25"/>
  <c r="T3" i="20"/>
  <c r="T4" i="24"/>
  <c r="T4" i="21"/>
  <c r="U19" i="24"/>
  <c r="U19" i="21"/>
  <c r="V29" i="24"/>
  <c r="V29" i="21"/>
  <c r="R16" i="24"/>
  <c r="R16" i="21"/>
  <c r="T19" i="24"/>
  <c r="T19" i="21"/>
  <c r="T19" i="13"/>
  <c r="T19" i="10"/>
  <c r="W3" i="12"/>
  <c r="T29" i="14"/>
  <c r="U3" i="8"/>
  <c r="U4" i="12"/>
  <c r="W3" i="11"/>
  <c r="T3" i="9"/>
  <c r="T4" i="13"/>
  <c r="T4" i="10"/>
  <c r="V4" i="12"/>
  <c r="Q3" i="29"/>
  <c r="S3" i="22"/>
  <c r="S4" i="25"/>
  <c r="V3" i="11"/>
  <c r="M3" i="29"/>
  <c r="R29" i="24"/>
  <c r="R29" i="21"/>
  <c r="V3" i="8"/>
  <c r="U3" i="35"/>
  <c r="V29" i="25"/>
  <c r="R19" i="24"/>
  <c r="R19" i="21"/>
  <c r="T4" i="25"/>
  <c r="U16" i="24"/>
  <c r="U16" i="21"/>
  <c r="S29" i="24"/>
  <c r="S29" i="21"/>
  <c r="U3" i="20"/>
  <c r="U4" i="24"/>
  <c r="U4" i="21"/>
  <c r="S4" i="23"/>
  <c r="U3" i="11"/>
  <c r="U19" i="14"/>
  <c r="T29" i="12"/>
  <c r="U4" i="14"/>
  <c r="W19" i="13"/>
  <c r="W19" i="10"/>
  <c r="T29" i="13"/>
  <c r="T29" i="10"/>
  <c r="W3" i="9"/>
  <c r="W4" i="13"/>
  <c r="W4" i="10"/>
  <c r="C11" i="29"/>
  <c r="C4" i="29"/>
  <c r="S3" i="12" l="1"/>
  <c r="V3" i="23"/>
  <c r="W3" i="13"/>
  <c r="W3" i="10"/>
  <c r="U3" i="14"/>
  <c r="U3" i="13"/>
  <c r="U3" i="10"/>
  <c r="S3" i="24"/>
  <c r="S3" i="21"/>
  <c r="R3" i="23"/>
  <c r="R3" i="24"/>
  <c r="R3" i="21"/>
  <c r="V3" i="14"/>
  <c r="S3" i="25"/>
  <c r="R3" i="14"/>
  <c r="V3" i="24"/>
  <c r="V3" i="21"/>
  <c r="V3" i="12"/>
  <c r="U3" i="12"/>
  <c r="R3" i="13"/>
  <c r="R3" i="10"/>
  <c r="W3" i="23"/>
  <c r="R3" i="25"/>
  <c r="T3" i="23"/>
  <c r="U3" i="24"/>
  <c r="U3" i="21"/>
  <c r="U3" i="23"/>
  <c r="S3" i="23"/>
  <c r="V3" i="13"/>
  <c r="V3" i="10"/>
  <c r="T3" i="24"/>
  <c r="T3" i="21"/>
  <c r="T3" i="13"/>
  <c r="T3" i="10"/>
  <c r="W3" i="24"/>
  <c r="W3" i="21"/>
  <c r="W3" i="25"/>
  <c r="C3" i="29"/>
  <c r="W3" i="14"/>
  <c r="S3" i="14"/>
  <c r="T3" i="25"/>
  <c r="S3" i="13"/>
  <c r="S3" i="10"/>
  <c r="T3" i="12"/>
  <c r="W118" i="6"/>
  <c r="V118" i="6"/>
  <c r="U118" i="6"/>
  <c r="T118" i="6"/>
  <c r="S118" i="6"/>
  <c r="R118" i="6"/>
  <c r="Q118" i="6"/>
  <c r="P118" i="6"/>
  <c r="O118" i="6"/>
  <c r="N118" i="6"/>
  <c r="M118" i="6"/>
  <c r="L118" i="6"/>
  <c r="K118" i="6"/>
  <c r="J118" i="6"/>
  <c r="I118" i="6"/>
  <c r="H118" i="6"/>
  <c r="G118" i="6"/>
  <c r="F118" i="6"/>
  <c r="E118" i="6"/>
  <c r="D118" i="6"/>
  <c r="C118" i="6"/>
  <c r="Q104" i="6"/>
  <c r="P104" i="6"/>
  <c r="O104" i="6"/>
  <c r="N104" i="6"/>
  <c r="M104" i="6"/>
  <c r="L104" i="6"/>
  <c r="K104" i="6"/>
  <c r="J104" i="6"/>
  <c r="I104" i="6"/>
  <c r="H104" i="6"/>
  <c r="G104" i="6"/>
  <c r="F104" i="6"/>
  <c r="E104" i="6"/>
  <c r="D104" i="6"/>
  <c r="C104" i="6"/>
  <c r="W117" i="6"/>
  <c r="V117" i="6"/>
  <c r="U117" i="6"/>
  <c r="T117" i="6"/>
  <c r="S117" i="6"/>
  <c r="R117" i="6"/>
  <c r="Q117" i="6"/>
  <c r="P117" i="6"/>
  <c r="O117" i="6"/>
  <c r="N117" i="6"/>
  <c r="M117" i="6"/>
  <c r="L117" i="6"/>
  <c r="K117" i="6"/>
  <c r="J117" i="6"/>
  <c r="I117" i="6"/>
  <c r="H117" i="6"/>
  <c r="G117" i="6"/>
  <c r="F117" i="6"/>
  <c r="E117" i="6"/>
  <c r="D117" i="6"/>
  <c r="C117" i="6"/>
  <c r="Q103" i="6"/>
  <c r="P103" i="6"/>
  <c r="O103" i="6"/>
  <c r="N103" i="6"/>
  <c r="M103" i="6"/>
  <c r="L103" i="6"/>
  <c r="K103" i="6"/>
  <c r="J103" i="6"/>
  <c r="I103" i="6"/>
  <c r="H103" i="6"/>
  <c r="G103" i="6"/>
  <c r="F103" i="6"/>
  <c r="E103" i="6"/>
  <c r="D103" i="6"/>
  <c r="C103" i="6"/>
  <c r="W116" i="6"/>
  <c r="V116" i="6"/>
  <c r="U116" i="6"/>
  <c r="T116" i="6"/>
  <c r="S116" i="6"/>
  <c r="R116" i="6"/>
  <c r="Q116" i="6"/>
  <c r="P116" i="6"/>
  <c r="O116" i="6"/>
  <c r="N116" i="6"/>
  <c r="M116" i="6"/>
  <c r="L116" i="6"/>
  <c r="K116" i="6"/>
  <c r="J116" i="6"/>
  <c r="I116" i="6"/>
  <c r="H116" i="6"/>
  <c r="G116" i="6"/>
  <c r="F116" i="6"/>
  <c r="E116" i="6"/>
  <c r="D116" i="6"/>
  <c r="C116" i="6"/>
  <c r="P124" i="6" l="1"/>
  <c r="F125" i="6"/>
  <c r="N125" i="6"/>
  <c r="V104" i="6"/>
  <c r="J124" i="6"/>
  <c r="R103" i="6"/>
  <c r="H125" i="6"/>
  <c r="P125" i="6"/>
  <c r="C124" i="6"/>
  <c r="I125" i="6"/>
  <c r="Q125" i="6"/>
  <c r="H124" i="6"/>
  <c r="I124" i="6"/>
  <c r="W104" i="6"/>
  <c r="S103" i="6"/>
  <c r="D124" i="6"/>
  <c r="L124" i="6"/>
  <c r="T103" i="6"/>
  <c r="J125" i="6"/>
  <c r="R104" i="6"/>
  <c r="K124" i="6"/>
  <c r="U103" i="6"/>
  <c r="C125" i="6"/>
  <c r="K125" i="6"/>
  <c r="S104" i="6"/>
  <c r="G125" i="6"/>
  <c r="E124" i="6"/>
  <c r="F124" i="6"/>
  <c r="N124" i="6"/>
  <c r="V103" i="6"/>
  <c r="D125" i="6"/>
  <c r="L125" i="6"/>
  <c r="T104" i="6"/>
  <c r="Q124" i="6"/>
  <c r="O125" i="6"/>
  <c r="M124" i="6"/>
  <c r="G124" i="6"/>
  <c r="O124" i="6"/>
  <c r="W103" i="6"/>
  <c r="E125" i="6"/>
  <c r="M125" i="6"/>
  <c r="U104" i="6"/>
  <c r="Q102" i="6"/>
  <c r="P102" i="6"/>
  <c r="O102" i="6"/>
  <c r="N102" i="6"/>
  <c r="M102" i="6"/>
  <c r="L102" i="6"/>
  <c r="K102" i="6"/>
  <c r="J102" i="6"/>
  <c r="I102" i="6"/>
  <c r="H102" i="6"/>
  <c r="G102" i="6"/>
  <c r="F102" i="6"/>
  <c r="E102" i="6"/>
  <c r="D102" i="6"/>
  <c r="C102" i="6"/>
  <c r="W115" i="6"/>
  <c r="V115" i="6"/>
  <c r="U115" i="6"/>
  <c r="T115" i="6"/>
  <c r="R115" i="6"/>
  <c r="Q115" i="6"/>
  <c r="P115" i="6"/>
  <c r="O115" i="6"/>
  <c r="N115" i="6"/>
  <c r="M115" i="6"/>
  <c r="L115" i="6"/>
  <c r="K115" i="6"/>
  <c r="J115" i="6"/>
  <c r="I115" i="6"/>
  <c r="H115" i="6"/>
  <c r="G115" i="6"/>
  <c r="F115" i="6"/>
  <c r="E115" i="6"/>
  <c r="D115" i="6"/>
  <c r="Q101" i="6"/>
  <c r="P101" i="6"/>
  <c r="O101" i="6"/>
  <c r="N101" i="6"/>
  <c r="M101" i="6"/>
  <c r="L101" i="6"/>
  <c r="K101" i="6"/>
  <c r="J101" i="6"/>
  <c r="I101" i="6"/>
  <c r="H101" i="6"/>
  <c r="G101" i="6"/>
  <c r="F101" i="6"/>
  <c r="E101" i="6"/>
  <c r="D101" i="6"/>
  <c r="C101" i="6"/>
  <c r="H122" i="6" l="1"/>
  <c r="P122" i="6"/>
  <c r="C82" i="6"/>
  <c r="C114" i="6" s="1"/>
  <c r="C115" i="6"/>
  <c r="S82" i="6"/>
  <c r="S114" i="6" s="1"/>
  <c r="S115" i="6"/>
  <c r="F123" i="6"/>
  <c r="N123" i="6"/>
  <c r="V102" i="6"/>
  <c r="Q122" i="6"/>
  <c r="J122" i="6"/>
  <c r="R101" i="6"/>
  <c r="H123" i="6"/>
  <c r="P123" i="6"/>
  <c r="U125" i="6"/>
  <c r="O123" i="6"/>
  <c r="S125" i="6"/>
  <c r="C122" i="6"/>
  <c r="K122" i="6"/>
  <c r="S101" i="6"/>
  <c r="I123" i="6"/>
  <c r="Q123" i="6"/>
  <c r="S124" i="6"/>
  <c r="T125" i="6"/>
  <c r="D122" i="6"/>
  <c r="L122" i="6"/>
  <c r="T101" i="6"/>
  <c r="J123" i="6"/>
  <c r="R102" i="6"/>
  <c r="R124" i="6"/>
  <c r="G123" i="6"/>
  <c r="U124" i="6"/>
  <c r="T124" i="6"/>
  <c r="E122" i="6"/>
  <c r="M122" i="6"/>
  <c r="U101" i="6"/>
  <c r="C123" i="6"/>
  <c r="K123" i="6"/>
  <c r="S102" i="6"/>
  <c r="V124" i="6"/>
  <c r="V125" i="6"/>
  <c r="I122" i="6"/>
  <c r="F122" i="6"/>
  <c r="N122" i="6"/>
  <c r="V101" i="6"/>
  <c r="D123" i="6"/>
  <c r="L123" i="6"/>
  <c r="T102" i="6"/>
  <c r="W124" i="6"/>
  <c r="R125" i="6"/>
  <c r="W102" i="6"/>
  <c r="G122" i="6"/>
  <c r="O122" i="6"/>
  <c r="W101" i="6"/>
  <c r="E123" i="6"/>
  <c r="M123" i="6"/>
  <c r="U102" i="6"/>
  <c r="W125" i="6"/>
  <c r="C81" i="6"/>
  <c r="C113" i="6" s="1"/>
  <c r="C90" i="6"/>
  <c r="I48" i="6"/>
  <c r="I100" i="6" s="1"/>
  <c r="Q48" i="6"/>
  <c r="Q100" i="6" s="1"/>
  <c r="H82" i="6"/>
  <c r="H114" i="6" s="1"/>
  <c r="P82" i="6"/>
  <c r="P114" i="6" s="1"/>
  <c r="N48" i="6"/>
  <c r="N100" i="6" s="1"/>
  <c r="E82" i="6"/>
  <c r="E114" i="6" s="1"/>
  <c r="B67" i="6"/>
  <c r="B71" i="6"/>
  <c r="J48" i="6"/>
  <c r="J100" i="6" s="1"/>
  <c r="R48" i="6"/>
  <c r="R100" i="6" s="1"/>
  <c r="I82" i="6"/>
  <c r="I114" i="6" s="1"/>
  <c r="E48" i="6"/>
  <c r="E100" i="6" s="1"/>
  <c r="M48" i="6"/>
  <c r="M100" i="6" s="1"/>
  <c r="U48" i="6"/>
  <c r="U100" i="6" s="1"/>
  <c r="V48" i="6"/>
  <c r="V100" i="6" s="1"/>
  <c r="C48" i="6"/>
  <c r="C100" i="6" s="1"/>
  <c r="K48" i="6"/>
  <c r="K100" i="6" s="1"/>
  <c r="S48" i="6"/>
  <c r="S100" i="6" s="1"/>
  <c r="R82" i="6"/>
  <c r="R114" i="6" s="1"/>
  <c r="T48" i="6"/>
  <c r="T100" i="6" s="1"/>
  <c r="U82" i="6"/>
  <c r="U114" i="6" s="1"/>
  <c r="D82" i="6"/>
  <c r="D114" i="6" s="1"/>
  <c r="L82" i="6"/>
  <c r="L114" i="6" s="1"/>
  <c r="T82" i="6"/>
  <c r="T114" i="6" s="1"/>
  <c r="K82" i="6"/>
  <c r="K114" i="6" s="1"/>
  <c r="J82" i="6"/>
  <c r="J114" i="6" s="1"/>
  <c r="L48" i="6"/>
  <c r="L100" i="6" s="1"/>
  <c r="G48" i="6"/>
  <c r="G100" i="6" s="1"/>
  <c r="O48" i="6"/>
  <c r="O100" i="6" s="1"/>
  <c r="W48" i="6"/>
  <c r="W100" i="6" s="1"/>
  <c r="F82" i="6"/>
  <c r="F114" i="6" s="1"/>
  <c r="N82" i="6"/>
  <c r="N114" i="6" s="1"/>
  <c r="V82" i="6"/>
  <c r="V114" i="6" s="1"/>
  <c r="F48" i="6"/>
  <c r="F100" i="6" s="1"/>
  <c r="M82" i="6"/>
  <c r="M114" i="6" s="1"/>
  <c r="H48" i="6"/>
  <c r="H100" i="6" s="1"/>
  <c r="P48" i="6"/>
  <c r="P100" i="6" s="1"/>
  <c r="G82" i="6"/>
  <c r="G114" i="6" s="1"/>
  <c r="O82" i="6"/>
  <c r="O114" i="6" s="1"/>
  <c r="W82" i="6"/>
  <c r="W114" i="6" s="1"/>
  <c r="Q82" i="6"/>
  <c r="Q114" i="6" s="1"/>
  <c r="D48" i="6"/>
  <c r="D100" i="6" s="1"/>
  <c r="S81" i="6" l="1"/>
  <c r="S113" i="6" s="1"/>
  <c r="S91" i="6"/>
  <c r="C91" i="6"/>
  <c r="S90" i="6"/>
  <c r="H121" i="6"/>
  <c r="P121" i="6"/>
  <c r="W121" i="6"/>
  <c r="J121" i="6"/>
  <c r="N121" i="6"/>
  <c r="R123" i="6"/>
  <c r="O121" i="6"/>
  <c r="S121" i="6"/>
  <c r="S123" i="6"/>
  <c r="G121" i="6"/>
  <c r="D121" i="6"/>
  <c r="V122" i="6"/>
  <c r="T122" i="6"/>
  <c r="F121" i="6"/>
  <c r="C121" i="6"/>
  <c r="M121" i="6"/>
  <c r="I121" i="6"/>
  <c r="R122" i="6"/>
  <c r="U123" i="6"/>
  <c r="V121" i="6"/>
  <c r="K121" i="6"/>
  <c r="E121" i="6"/>
  <c r="W122" i="6"/>
  <c r="W123" i="6"/>
  <c r="S122" i="6"/>
  <c r="U121" i="6"/>
  <c r="L121" i="6"/>
  <c r="U122" i="6"/>
  <c r="V123" i="6"/>
  <c r="Q121" i="6"/>
  <c r="T121" i="6"/>
  <c r="R121" i="6"/>
  <c r="T123" i="6"/>
  <c r="Q47" i="6"/>
  <c r="Q99" i="6" s="1"/>
  <c r="G81" i="6"/>
  <c r="G113" i="6" s="1"/>
  <c r="W47" i="6"/>
  <c r="W99" i="6" s="1"/>
  <c r="L47" i="6"/>
  <c r="L99" i="6" s="1"/>
  <c r="U47" i="6"/>
  <c r="U99" i="6" s="1"/>
  <c r="R47" i="6"/>
  <c r="R99" i="6" s="1"/>
  <c r="F47" i="6"/>
  <c r="F99" i="6" s="1"/>
  <c r="J81" i="6"/>
  <c r="J113" i="6" s="1"/>
  <c r="T81" i="6"/>
  <c r="T113" i="6" s="1"/>
  <c r="J47" i="6"/>
  <c r="J99" i="6" s="1"/>
  <c r="E81" i="6"/>
  <c r="E113" i="6" s="1"/>
  <c r="P81" i="6"/>
  <c r="P113" i="6" s="1"/>
  <c r="I47" i="6"/>
  <c r="I99" i="6" s="1"/>
  <c r="P47" i="6"/>
  <c r="P99" i="6" s="1"/>
  <c r="V81" i="6"/>
  <c r="V113" i="6" s="1"/>
  <c r="O47" i="6"/>
  <c r="O99" i="6" s="1"/>
  <c r="O56" i="6"/>
  <c r="S47" i="6"/>
  <c r="S99" i="6" s="1"/>
  <c r="M47" i="6"/>
  <c r="M99" i="6" s="1"/>
  <c r="Q81" i="6"/>
  <c r="Q113" i="6" s="1"/>
  <c r="N47" i="6"/>
  <c r="N99" i="6" s="1"/>
  <c r="H81" i="6"/>
  <c r="H113" i="6" s="1"/>
  <c r="R81" i="6"/>
  <c r="R113" i="6" s="1"/>
  <c r="W81" i="6"/>
  <c r="W113" i="6" s="1"/>
  <c r="W90" i="6"/>
  <c r="H47" i="6"/>
  <c r="H99" i="6" s="1"/>
  <c r="N81" i="6"/>
  <c r="N113" i="6" s="1"/>
  <c r="G47" i="6"/>
  <c r="G99" i="6" s="1"/>
  <c r="L81" i="6"/>
  <c r="L113" i="6" s="1"/>
  <c r="U81" i="6"/>
  <c r="U113" i="6" s="1"/>
  <c r="K47" i="6"/>
  <c r="K99" i="6" s="1"/>
  <c r="E47" i="6"/>
  <c r="E99" i="6" s="1"/>
  <c r="S89" i="6"/>
  <c r="S93" i="6"/>
  <c r="S94" i="6"/>
  <c r="S92" i="6"/>
  <c r="D81" i="6"/>
  <c r="D113" i="6" s="1"/>
  <c r="V47" i="6"/>
  <c r="V99" i="6" s="1"/>
  <c r="I81" i="6"/>
  <c r="I113" i="6" s="1"/>
  <c r="M81" i="6"/>
  <c r="M113" i="6" s="1"/>
  <c r="D47" i="6"/>
  <c r="D99" i="6" s="1"/>
  <c r="O81" i="6"/>
  <c r="O113" i="6" s="1"/>
  <c r="F81" i="6"/>
  <c r="F113" i="6" s="1"/>
  <c r="K81" i="6"/>
  <c r="K113" i="6" s="1"/>
  <c r="T47" i="6"/>
  <c r="T99" i="6" s="1"/>
  <c r="C47" i="6"/>
  <c r="C99" i="6" s="1"/>
  <c r="C89" i="6"/>
  <c r="C92" i="6"/>
  <c r="C93" i="6"/>
  <c r="C94" i="6"/>
  <c r="V90" i="6" l="1"/>
  <c r="L90" i="6"/>
  <c r="T56" i="6"/>
  <c r="R90" i="6"/>
  <c r="T90" i="6"/>
  <c r="G90" i="6"/>
  <c r="O90" i="6"/>
  <c r="C56" i="6"/>
  <c r="H56" i="6"/>
  <c r="Q90" i="6"/>
  <c r="I56" i="6"/>
  <c r="U56" i="6"/>
  <c r="U90" i="6"/>
  <c r="F90" i="6"/>
  <c r="S56" i="6"/>
  <c r="D56" i="6"/>
  <c r="W56" i="6"/>
  <c r="V56" i="6"/>
  <c r="N56" i="6"/>
  <c r="J56" i="6"/>
  <c r="M90" i="6"/>
  <c r="K56" i="6"/>
  <c r="N90" i="6"/>
  <c r="H90" i="6"/>
  <c r="E90" i="6"/>
  <c r="F56" i="6"/>
  <c r="R56" i="6"/>
  <c r="D90" i="6"/>
  <c r="E56" i="6"/>
  <c r="G56" i="6"/>
  <c r="P90" i="6"/>
  <c r="J90" i="6"/>
  <c r="Q56" i="6"/>
  <c r="K90" i="6"/>
  <c r="M56" i="6"/>
  <c r="P56" i="6"/>
  <c r="L55" i="6"/>
  <c r="L61" i="6"/>
  <c r="L60" i="6"/>
  <c r="L59" i="6"/>
  <c r="L58" i="6"/>
  <c r="L57" i="6"/>
  <c r="F89" i="6"/>
  <c r="F94" i="6"/>
  <c r="F93" i="6"/>
  <c r="F92" i="6"/>
  <c r="F91" i="6"/>
  <c r="D89" i="6"/>
  <c r="D94" i="6"/>
  <c r="D93" i="6"/>
  <c r="D92" i="6"/>
  <c r="D91" i="6"/>
  <c r="K55" i="6"/>
  <c r="K61" i="6"/>
  <c r="K59" i="6"/>
  <c r="K60" i="6"/>
  <c r="K57" i="6"/>
  <c r="K58" i="6"/>
  <c r="N89" i="6"/>
  <c r="N94" i="6"/>
  <c r="N93" i="6"/>
  <c r="N92" i="6"/>
  <c r="N91" i="6"/>
  <c r="S61" i="6"/>
  <c r="S55" i="6"/>
  <c r="S59" i="6"/>
  <c r="S60" i="6"/>
  <c r="S57" i="6"/>
  <c r="S58" i="6"/>
  <c r="I61" i="6"/>
  <c r="I55" i="6"/>
  <c r="I60" i="6"/>
  <c r="I59" i="6"/>
  <c r="I58" i="6"/>
  <c r="I57" i="6"/>
  <c r="T89" i="6"/>
  <c r="T93" i="6"/>
  <c r="T92" i="6"/>
  <c r="T94" i="6"/>
  <c r="T91" i="6"/>
  <c r="C55" i="6"/>
  <c r="C61" i="6"/>
  <c r="C59" i="6"/>
  <c r="C60" i="6"/>
  <c r="C58" i="6"/>
  <c r="C57" i="6"/>
  <c r="M89" i="6"/>
  <c r="M93" i="6"/>
  <c r="M94" i="6"/>
  <c r="M92" i="6"/>
  <c r="M91" i="6"/>
  <c r="W55" i="6"/>
  <c r="W61" i="6"/>
  <c r="W59" i="6"/>
  <c r="W60" i="6"/>
  <c r="W58" i="6"/>
  <c r="W57" i="6"/>
  <c r="O89" i="6"/>
  <c r="O94" i="6"/>
  <c r="O92" i="6"/>
  <c r="O93" i="6"/>
  <c r="O91" i="6"/>
  <c r="I89" i="6"/>
  <c r="I93" i="6"/>
  <c r="I92" i="6"/>
  <c r="I94" i="6"/>
  <c r="I91" i="6"/>
  <c r="U89" i="6"/>
  <c r="U92" i="6"/>
  <c r="U93" i="6"/>
  <c r="U94" i="6"/>
  <c r="U91" i="6"/>
  <c r="H61" i="6"/>
  <c r="H55" i="6"/>
  <c r="H60" i="6"/>
  <c r="H59" i="6"/>
  <c r="H57" i="6"/>
  <c r="H58" i="6"/>
  <c r="R89" i="6"/>
  <c r="R94" i="6"/>
  <c r="R92" i="6"/>
  <c r="R93" i="6"/>
  <c r="R91" i="6"/>
  <c r="O55" i="6"/>
  <c r="O61" i="6"/>
  <c r="O59" i="6"/>
  <c r="O60" i="6"/>
  <c r="O58" i="6"/>
  <c r="O57" i="6"/>
  <c r="P89" i="6"/>
  <c r="P94" i="6"/>
  <c r="P92" i="6"/>
  <c r="P93" i="6"/>
  <c r="P91" i="6"/>
  <c r="J89" i="6"/>
  <c r="J94" i="6"/>
  <c r="J92" i="6"/>
  <c r="J93" i="6"/>
  <c r="J91" i="6"/>
  <c r="I90" i="6"/>
  <c r="R61" i="6"/>
  <c r="R55" i="6"/>
  <c r="R59" i="6"/>
  <c r="R60" i="6"/>
  <c r="R57" i="6"/>
  <c r="R58" i="6"/>
  <c r="G89" i="6"/>
  <c r="G94" i="6"/>
  <c r="G92" i="6"/>
  <c r="G93" i="6"/>
  <c r="G91" i="6"/>
  <c r="Q61" i="6"/>
  <c r="Q55" i="6"/>
  <c r="Q59" i="6"/>
  <c r="Q60" i="6"/>
  <c r="Q57" i="6"/>
  <c r="Q58" i="6"/>
  <c r="T61" i="6"/>
  <c r="T55" i="6"/>
  <c r="T60" i="6"/>
  <c r="T59" i="6"/>
  <c r="T58" i="6"/>
  <c r="T57" i="6"/>
  <c r="D55" i="6"/>
  <c r="D61" i="6"/>
  <c r="D59" i="6"/>
  <c r="D60" i="6"/>
  <c r="D58" i="6"/>
  <c r="D57" i="6"/>
  <c r="L89" i="6"/>
  <c r="L92" i="6"/>
  <c r="L94" i="6"/>
  <c r="L93" i="6"/>
  <c r="L91" i="6"/>
  <c r="W89" i="6"/>
  <c r="W93" i="6"/>
  <c r="W94" i="6"/>
  <c r="W92" i="6"/>
  <c r="W91" i="6"/>
  <c r="H89" i="6"/>
  <c r="H92" i="6"/>
  <c r="H93" i="6"/>
  <c r="H94" i="6"/>
  <c r="H91" i="6"/>
  <c r="Q89" i="6"/>
  <c r="Q93" i="6"/>
  <c r="Q94" i="6"/>
  <c r="Q92" i="6"/>
  <c r="Q91" i="6"/>
  <c r="V89" i="6"/>
  <c r="V94" i="6"/>
  <c r="V93" i="6"/>
  <c r="V92" i="6"/>
  <c r="V91" i="6"/>
  <c r="E89" i="6"/>
  <c r="E93" i="6"/>
  <c r="E94" i="6"/>
  <c r="E92" i="6"/>
  <c r="E91" i="6"/>
  <c r="F55" i="6"/>
  <c r="F61" i="6"/>
  <c r="F60" i="6"/>
  <c r="F59" i="6"/>
  <c r="F58" i="6"/>
  <c r="F57" i="6"/>
  <c r="V55" i="6"/>
  <c r="V61" i="6"/>
  <c r="V60" i="6"/>
  <c r="V59" i="6"/>
  <c r="V58" i="6"/>
  <c r="V57" i="6"/>
  <c r="U55" i="6"/>
  <c r="U61" i="6"/>
  <c r="U60" i="6"/>
  <c r="U59" i="6"/>
  <c r="U58" i="6"/>
  <c r="U57" i="6"/>
  <c r="K89" i="6"/>
  <c r="K94" i="6"/>
  <c r="K92" i="6"/>
  <c r="K93" i="6"/>
  <c r="K91" i="6"/>
  <c r="E61" i="6"/>
  <c r="E55" i="6"/>
  <c r="E60" i="6"/>
  <c r="E59" i="6"/>
  <c r="E58" i="6"/>
  <c r="E57" i="6"/>
  <c r="G55" i="6"/>
  <c r="G61" i="6"/>
  <c r="G59" i="6"/>
  <c r="G60" i="6"/>
  <c r="G58" i="6"/>
  <c r="G57" i="6"/>
  <c r="N55" i="6"/>
  <c r="N61" i="6"/>
  <c r="N60" i="6"/>
  <c r="N59" i="6"/>
  <c r="N58" i="6"/>
  <c r="N57" i="6"/>
  <c r="M61" i="6"/>
  <c r="M55" i="6"/>
  <c r="M59" i="6"/>
  <c r="M60" i="6"/>
  <c r="M58" i="6"/>
  <c r="M57" i="6"/>
  <c r="P61" i="6"/>
  <c r="P55" i="6"/>
  <c r="P60" i="6"/>
  <c r="P59" i="6"/>
  <c r="P58" i="6"/>
  <c r="P57" i="6"/>
  <c r="J55" i="6"/>
  <c r="J61" i="6"/>
  <c r="J59" i="6"/>
  <c r="J60" i="6"/>
  <c r="J57" i="6"/>
  <c r="J58" i="6"/>
  <c r="L56" i="6"/>
  <c r="W27" i="6" l="1"/>
  <c r="V27" i="6"/>
  <c r="U27" i="6"/>
  <c r="T27" i="6"/>
  <c r="S27" i="6"/>
  <c r="R27" i="6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W26" i="6"/>
  <c r="V26" i="6"/>
  <c r="U26" i="6"/>
  <c r="T26" i="6"/>
  <c r="S26" i="6"/>
  <c r="R26" i="6"/>
  <c r="Q26" i="6"/>
  <c r="P26" i="6"/>
  <c r="O26" i="6"/>
  <c r="N26" i="6"/>
  <c r="M26" i="6"/>
  <c r="L26" i="6"/>
  <c r="K26" i="6"/>
  <c r="J26" i="6"/>
  <c r="I26" i="6"/>
  <c r="H26" i="6"/>
  <c r="G26" i="6"/>
  <c r="F26" i="6"/>
  <c r="E26" i="6"/>
  <c r="D26" i="6"/>
  <c r="W25" i="6"/>
  <c r="V25" i="6"/>
  <c r="U25" i="6"/>
  <c r="T25" i="6"/>
  <c r="S25" i="6"/>
  <c r="R25" i="6"/>
  <c r="Q25" i="6"/>
  <c r="P25" i="6"/>
  <c r="O25" i="6"/>
  <c r="N25" i="6"/>
  <c r="M25" i="6"/>
  <c r="L25" i="6"/>
  <c r="K25" i="6"/>
  <c r="J25" i="6"/>
  <c r="I25" i="6"/>
  <c r="H25" i="6"/>
  <c r="G25" i="6"/>
  <c r="F25" i="6"/>
  <c r="E25" i="6"/>
  <c r="D25" i="6"/>
  <c r="W24" i="6"/>
  <c r="V24" i="6"/>
  <c r="U24" i="6"/>
  <c r="T24" i="6"/>
  <c r="S24" i="6"/>
  <c r="R24" i="6"/>
  <c r="Q24" i="6"/>
  <c r="P24" i="6"/>
  <c r="O24" i="6"/>
  <c r="N24" i="6"/>
  <c r="M24" i="6"/>
  <c r="L24" i="6"/>
  <c r="K24" i="6"/>
  <c r="J24" i="6"/>
  <c r="I24" i="6"/>
  <c r="H24" i="6"/>
  <c r="G24" i="6"/>
  <c r="F24" i="6"/>
  <c r="E24" i="6"/>
  <c r="D24" i="6"/>
  <c r="W23" i="6"/>
  <c r="V23" i="6"/>
  <c r="U23" i="6"/>
  <c r="T23" i="6"/>
  <c r="S23" i="6"/>
  <c r="R23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W21" i="6"/>
  <c r="V21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G21" i="6"/>
  <c r="F21" i="6"/>
  <c r="E21" i="6"/>
  <c r="D21" i="6"/>
  <c r="W20" i="6"/>
  <c r="V20" i="6"/>
  <c r="U20" i="6"/>
  <c r="T20" i="6"/>
  <c r="S20" i="6"/>
  <c r="R20" i="6"/>
  <c r="Q20" i="6"/>
  <c r="P20" i="6"/>
  <c r="O20" i="6"/>
  <c r="N20" i="6"/>
  <c r="M20" i="6"/>
  <c r="L20" i="6"/>
  <c r="K20" i="6"/>
  <c r="J20" i="6"/>
  <c r="I20" i="6"/>
  <c r="H20" i="6"/>
  <c r="G20" i="6"/>
  <c r="F20" i="6"/>
  <c r="E20" i="6"/>
  <c r="D20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W14" i="6"/>
  <c r="W15" i="6" s="1"/>
  <c r="V14" i="6"/>
  <c r="V15" i="6" s="1"/>
  <c r="U14" i="6"/>
  <c r="U15" i="6" s="1"/>
  <c r="T14" i="6"/>
  <c r="T15" i="6" s="1"/>
  <c r="S14" i="6"/>
  <c r="S15" i="6" s="1"/>
  <c r="R14" i="6"/>
  <c r="R15" i="6" s="1"/>
  <c r="Q14" i="6"/>
  <c r="Q15" i="6" s="1"/>
  <c r="P14" i="6"/>
  <c r="P15" i="6" s="1"/>
  <c r="O14" i="6"/>
  <c r="O15" i="6" s="1"/>
  <c r="N14" i="6"/>
  <c r="N15" i="6" s="1"/>
  <c r="M14" i="6"/>
  <c r="M15" i="6" s="1"/>
  <c r="L14" i="6"/>
  <c r="L15" i="6" s="1"/>
  <c r="K14" i="6"/>
  <c r="K15" i="6" s="1"/>
  <c r="J14" i="6"/>
  <c r="J15" i="6" s="1"/>
  <c r="I14" i="6"/>
  <c r="I15" i="6" s="1"/>
  <c r="H14" i="6"/>
  <c r="H15" i="6" s="1"/>
  <c r="G14" i="6"/>
  <c r="G15" i="6" s="1"/>
  <c r="F14" i="6"/>
  <c r="F15" i="6" s="1"/>
  <c r="E14" i="6"/>
  <c r="E15" i="6" s="1"/>
  <c r="D14" i="6"/>
  <c r="D15" i="6" s="1"/>
  <c r="C14" i="6"/>
  <c r="C15" i="6" s="1"/>
  <c r="B14" i="6"/>
  <c r="B15" i="6" s="1"/>
  <c r="B104" i="6"/>
  <c r="B103" i="6"/>
  <c r="B102" i="6"/>
  <c r="B101" i="6"/>
  <c r="H165" i="6" l="1"/>
  <c r="H164" i="6"/>
  <c r="H162" i="6"/>
  <c r="H163" i="6"/>
  <c r="H159" i="6"/>
  <c r="H161" i="6"/>
  <c r="H157" i="6"/>
  <c r="H170" i="6"/>
  <c r="H158" i="6"/>
  <c r="H171" i="6"/>
  <c r="H172" i="6"/>
  <c r="H156" i="6"/>
  <c r="H169" i="6"/>
  <c r="H155" i="6"/>
  <c r="H154" i="6"/>
  <c r="H168" i="6"/>
  <c r="H153" i="6"/>
  <c r="H167" i="6"/>
  <c r="P165" i="6"/>
  <c r="P164" i="6"/>
  <c r="P159" i="6"/>
  <c r="P163" i="6"/>
  <c r="P162" i="6"/>
  <c r="P161" i="6"/>
  <c r="P172" i="6"/>
  <c r="P170" i="6"/>
  <c r="P171" i="6"/>
  <c r="P158" i="6"/>
  <c r="P157" i="6"/>
  <c r="P155" i="6"/>
  <c r="P156" i="6"/>
  <c r="P169" i="6"/>
  <c r="P154" i="6"/>
  <c r="P168" i="6"/>
  <c r="P167" i="6"/>
  <c r="P153" i="6"/>
  <c r="D140" i="6"/>
  <c r="D138" i="6"/>
  <c r="D139" i="6"/>
  <c r="D141" i="6"/>
  <c r="D135" i="6"/>
  <c r="D137" i="6"/>
  <c r="D134" i="6"/>
  <c r="D148" i="6"/>
  <c r="D147" i="6"/>
  <c r="D146" i="6"/>
  <c r="D133" i="6"/>
  <c r="D131" i="6"/>
  <c r="D132" i="6"/>
  <c r="D145" i="6"/>
  <c r="D130" i="6"/>
  <c r="D144" i="6"/>
  <c r="D129" i="6"/>
  <c r="D143" i="6"/>
  <c r="L140" i="6"/>
  <c r="L141" i="6"/>
  <c r="L135" i="6"/>
  <c r="L139" i="6"/>
  <c r="L138" i="6"/>
  <c r="L137" i="6"/>
  <c r="L133" i="6"/>
  <c r="L134" i="6"/>
  <c r="L148" i="6"/>
  <c r="L146" i="6"/>
  <c r="L147" i="6"/>
  <c r="L145" i="6"/>
  <c r="L131" i="6"/>
  <c r="L132" i="6"/>
  <c r="L144" i="6"/>
  <c r="L130" i="6"/>
  <c r="L129" i="6"/>
  <c r="L143" i="6"/>
  <c r="T140" i="6"/>
  <c r="T13" i="15"/>
  <c r="T9" i="15"/>
  <c r="T25" i="15"/>
  <c r="T138" i="6"/>
  <c r="T141" i="6"/>
  <c r="T139" i="6"/>
  <c r="T32" i="15"/>
  <c r="T23" i="15"/>
  <c r="T24" i="15"/>
  <c r="T6" i="17"/>
  <c r="T30" i="16"/>
  <c r="T11" i="15"/>
  <c r="T21" i="16"/>
  <c r="T30" i="17"/>
  <c r="T22" i="15"/>
  <c r="T31" i="15"/>
  <c r="T6" i="16"/>
  <c r="T12" i="16"/>
  <c r="T5" i="17"/>
  <c r="T26" i="15"/>
  <c r="T22" i="16"/>
  <c r="T16" i="15"/>
  <c r="T14" i="15"/>
  <c r="T27" i="16"/>
  <c r="T5" i="15"/>
  <c r="T33" i="16"/>
  <c r="T17" i="17"/>
  <c r="T17" i="16"/>
  <c r="T5" i="16"/>
  <c r="T8" i="16"/>
  <c r="T135" i="6"/>
  <c r="T8" i="17"/>
  <c r="T33" i="15"/>
  <c r="T32" i="16"/>
  <c r="T10" i="17"/>
  <c r="T27" i="15"/>
  <c r="T23" i="16"/>
  <c r="T26" i="16"/>
  <c r="T6" i="15"/>
  <c r="T15" i="15"/>
  <c r="T137" i="6"/>
  <c r="T17" i="15"/>
  <c r="T32" i="17"/>
  <c r="T13" i="16"/>
  <c r="T19" i="17"/>
  <c r="T7" i="17"/>
  <c r="T30" i="15"/>
  <c r="T15" i="16"/>
  <c r="T10" i="16"/>
  <c r="T31" i="16"/>
  <c r="T20" i="16"/>
  <c r="T20" i="17"/>
  <c r="T31" i="17"/>
  <c r="T22" i="17"/>
  <c r="T14" i="16"/>
  <c r="T7" i="16"/>
  <c r="T7" i="15"/>
  <c r="T20" i="15"/>
  <c r="T21" i="15"/>
  <c r="T25" i="16"/>
  <c r="T8" i="15"/>
  <c r="T10" i="15"/>
  <c r="T21" i="17"/>
  <c r="T18" i="16"/>
  <c r="T18" i="15"/>
  <c r="T12" i="15"/>
  <c r="T24" i="16"/>
  <c r="T11" i="16"/>
  <c r="T23" i="17"/>
  <c r="T28" i="16"/>
  <c r="T24" i="17"/>
  <c r="T16" i="17"/>
  <c r="T28" i="15"/>
  <c r="T9" i="17"/>
  <c r="T9" i="16"/>
  <c r="T19" i="15"/>
  <c r="T29" i="15"/>
  <c r="T19" i="16"/>
  <c r="T4" i="15"/>
  <c r="T29" i="16"/>
  <c r="T4" i="17"/>
  <c r="T16" i="16"/>
  <c r="T4" i="16"/>
  <c r="T3" i="17"/>
  <c r="T29" i="17"/>
  <c r="T3" i="16"/>
  <c r="T146" i="6"/>
  <c r="T147" i="6"/>
  <c r="T3" i="15"/>
  <c r="T148" i="6"/>
  <c r="T145" i="6"/>
  <c r="T133" i="6"/>
  <c r="T134" i="6"/>
  <c r="T131" i="6"/>
  <c r="T130" i="6"/>
  <c r="T132" i="6"/>
  <c r="T144" i="6"/>
  <c r="T143" i="6"/>
  <c r="T129" i="6"/>
  <c r="Q164" i="6"/>
  <c r="Q162" i="6"/>
  <c r="Q159" i="6"/>
  <c r="Q165" i="6"/>
  <c r="Q163" i="6"/>
  <c r="Q161" i="6"/>
  <c r="Q158" i="6"/>
  <c r="Q172" i="6"/>
  <c r="Q170" i="6"/>
  <c r="Q171" i="6"/>
  <c r="Q157" i="6"/>
  <c r="Q155" i="6"/>
  <c r="Q156" i="6"/>
  <c r="Q169" i="6"/>
  <c r="Q154" i="6"/>
  <c r="Q168" i="6"/>
  <c r="Q153" i="6"/>
  <c r="Q167" i="6"/>
  <c r="E139" i="6"/>
  <c r="E138" i="6"/>
  <c r="E140" i="6"/>
  <c r="E141" i="6"/>
  <c r="E135" i="6"/>
  <c r="E137" i="6"/>
  <c r="E133" i="6"/>
  <c r="E148" i="6"/>
  <c r="E147" i="6"/>
  <c r="E146" i="6"/>
  <c r="E134" i="6"/>
  <c r="E131" i="6"/>
  <c r="E145" i="6"/>
  <c r="E132" i="6"/>
  <c r="E144" i="6"/>
  <c r="E130" i="6"/>
  <c r="E143" i="6"/>
  <c r="E129" i="6"/>
  <c r="M138" i="6"/>
  <c r="M135" i="6"/>
  <c r="M139" i="6"/>
  <c r="M140" i="6"/>
  <c r="M141" i="6"/>
  <c r="M137" i="6"/>
  <c r="M146" i="6"/>
  <c r="M134" i="6"/>
  <c r="M148" i="6"/>
  <c r="M147" i="6"/>
  <c r="M133" i="6"/>
  <c r="M131" i="6"/>
  <c r="M132" i="6"/>
  <c r="M145" i="6"/>
  <c r="M144" i="6"/>
  <c r="M130" i="6"/>
  <c r="M129" i="6"/>
  <c r="M143" i="6"/>
  <c r="U139" i="6"/>
  <c r="U138" i="6"/>
  <c r="U10" i="15"/>
  <c r="U33" i="15"/>
  <c r="U140" i="6"/>
  <c r="U141" i="6"/>
  <c r="U26" i="15"/>
  <c r="U135" i="6"/>
  <c r="U21" i="17"/>
  <c r="U23" i="15"/>
  <c r="U6" i="15"/>
  <c r="U33" i="16"/>
  <c r="U15" i="15"/>
  <c r="U24" i="16"/>
  <c r="U10" i="16"/>
  <c r="U27" i="16"/>
  <c r="U22" i="17"/>
  <c r="U28" i="16"/>
  <c r="U11" i="15"/>
  <c r="U16" i="17"/>
  <c r="U22" i="16"/>
  <c r="U30" i="16"/>
  <c r="U9" i="17"/>
  <c r="U29" i="17"/>
  <c r="U12" i="15"/>
  <c r="U30" i="17"/>
  <c r="U14" i="16"/>
  <c r="U5" i="16"/>
  <c r="U22" i="15"/>
  <c r="U29" i="15"/>
  <c r="U16" i="15"/>
  <c r="U7" i="17"/>
  <c r="U21" i="15"/>
  <c r="U23" i="17"/>
  <c r="U30" i="15"/>
  <c r="U17" i="15"/>
  <c r="U31" i="15"/>
  <c r="U19" i="15"/>
  <c r="U26" i="16"/>
  <c r="U32" i="15"/>
  <c r="U9" i="15"/>
  <c r="U20" i="17"/>
  <c r="U5" i="15"/>
  <c r="U11" i="16"/>
  <c r="U32" i="17"/>
  <c r="U24" i="15"/>
  <c r="U9" i="16"/>
  <c r="U8" i="17"/>
  <c r="U20" i="16"/>
  <c r="U23" i="16"/>
  <c r="U21" i="16"/>
  <c r="U137" i="6"/>
  <c r="U7" i="15"/>
  <c r="U8" i="16"/>
  <c r="U5" i="17"/>
  <c r="U17" i="16"/>
  <c r="U25" i="15"/>
  <c r="U24" i="17"/>
  <c r="U18" i="15"/>
  <c r="U20" i="15"/>
  <c r="U14" i="15"/>
  <c r="U12" i="16"/>
  <c r="U7" i="16"/>
  <c r="U13" i="15"/>
  <c r="U8" i="15"/>
  <c r="U6" i="16"/>
  <c r="U31" i="16"/>
  <c r="U32" i="16"/>
  <c r="U6" i="17"/>
  <c r="U17" i="17"/>
  <c r="U15" i="16"/>
  <c r="U10" i="17"/>
  <c r="U18" i="16"/>
  <c r="U28" i="15"/>
  <c r="U25" i="16"/>
  <c r="U13" i="16"/>
  <c r="U31" i="17"/>
  <c r="U19" i="16"/>
  <c r="U16" i="16"/>
  <c r="U29" i="16"/>
  <c r="U4" i="16"/>
  <c r="U4" i="17"/>
  <c r="U4" i="15"/>
  <c r="U19" i="17"/>
  <c r="U27" i="15"/>
  <c r="U3" i="16"/>
  <c r="U147" i="6"/>
  <c r="U146" i="6"/>
  <c r="U3" i="15"/>
  <c r="U3" i="17"/>
  <c r="U148" i="6"/>
  <c r="U134" i="6"/>
  <c r="U145" i="6"/>
  <c r="U133" i="6"/>
  <c r="U131" i="6"/>
  <c r="U130" i="6"/>
  <c r="U132" i="6"/>
  <c r="U144" i="6"/>
  <c r="U143" i="6"/>
  <c r="U129" i="6"/>
  <c r="F139" i="6"/>
  <c r="F141" i="6"/>
  <c r="F138" i="6"/>
  <c r="F140" i="6"/>
  <c r="F135" i="6"/>
  <c r="F137" i="6"/>
  <c r="F148" i="6"/>
  <c r="F146" i="6"/>
  <c r="F134" i="6"/>
  <c r="F133" i="6"/>
  <c r="F147" i="6"/>
  <c r="F131" i="6"/>
  <c r="F145" i="6"/>
  <c r="F132" i="6"/>
  <c r="F130" i="6"/>
  <c r="F144" i="6"/>
  <c r="F129" i="6"/>
  <c r="F143" i="6"/>
  <c r="N141" i="6"/>
  <c r="N135" i="6"/>
  <c r="N139" i="6"/>
  <c r="N138" i="6"/>
  <c r="N140" i="6"/>
  <c r="N137" i="6"/>
  <c r="N146" i="6"/>
  <c r="N147" i="6"/>
  <c r="N148" i="6"/>
  <c r="N134" i="6"/>
  <c r="N133" i="6"/>
  <c r="N131" i="6"/>
  <c r="N145" i="6"/>
  <c r="N132" i="6"/>
  <c r="N130" i="6"/>
  <c r="N144" i="6"/>
  <c r="N143" i="6"/>
  <c r="N129" i="6"/>
  <c r="V139" i="6"/>
  <c r="V141" i="6"/>
  <c r="V140" i="6"/>
  <c r="V138" i="6"/>
  <c r="V26" i="15"/>
  <c r="V135" i="6"/>
  <c r="V14" i="15"/>
  <c r="V10" i="15"/>
  <c r="V15" i="15"/>
  <c r="V24" i="17"/>
  <c r="V9" i="17"/>
  <c r="V30" i="17"/>
  <c r="V33" i="16"/>
  <c r="V27" i="15"/>
  <c r="V9" i="15"/>
  <c r="V6" i="16"/>
  <c r="V8" i="16"/>
  <c r="V21" i="15"/>
  <c r="V14" i="16"/>
  <c r="V31" i="15"/>
  <c r="V24" i="15"/>
  <c r="V20" i="16"/>
  <c r="V22" i="16"/>
  <c r="V23" i="17"/>
  <c r="V7" i="16"/>
  <c r="V12" i="15"/>
  <c r="V6" i="15"/>
  <c r="V21" i="16"/>
  <c r="V25" i="15"/>
  <c r="V6" i="17"/>
  <c r="V28" i="15"/>
  <c r="V9" i="16"/>
  <c r="V11" i="15"/>
  <c r="V5" i="15"/>
  <c r="V8" i="17"/>
  <c r="V31" i="16"/>
  <c r="V32" i="16"/>
  <c r="V4" i="17"/>
  <c r="V21" i="17"/>
  <c r="V33" i="15"/>
  <c r="V20" i="15"/>
  <c r="V22" i="15"/>
  <c r="V17" i="16"/>
  <c r="V11" i="16"/>
  <c r="V17" i="17"/>
  <c r="V7" i="15"/>
  <c r="V13" i="16"/>
  <c r="V22" i="17"/>
  <c r="V8" i="15"/>
  <c r="V23" i="15"/>
  <c r="V30" i="15"/>
  <c r="V26" i="16"/>
  <c r="V7" i="17"/>
  <c r="V23" i="16"/>
  <c r="V5" i="17"/>
  <c r="V10" i="17"/>
  <c r="V18" i="15"/>
  <c r="V13" i="15"/>
  <c r="V10" i="16"/>
  <c r="V137" i="6"/>
  <c r="V31" i="17"/>
  <c r="V17" i="15"/>
  <c r="V30" i="16"/>
  <c r="V16" i="17"/>
  <c r="V32" i="17"/>
  <c r="V18" i="16"/>
  <c r="V20" i="17"/>
  <c r="V32" i="15"/>
  <c r="V24" i="16"/>
  <c r="V28" i="16"/>
  <c r="V5" i="16"/>
  <c r="V25" i="16"/>
  <c r="V16" i="15"/>
  <c r="V12" i="16"/>
  <c r="V29" i="15"/>
  <c r="V29" i="16"/>
  <c r="V19" i="16"/>
  <c r="V4" i="16"/>
  <c r="V16" i="16"/>
  <c r="V15" i="16"/>
  <c r="V27" i="16"/>
  <c r="V19" i="17"/>
  <c r="V29" i="17"/>
  <c r="V19" i="15"/>
  <c r="V4" i="15"/>
  <c r="V3" i="16"/>
  <c r="V3" i="15"/>
  <c r="V147" i="6"/>
  <c r="V148" i="6"/>
  <c r="V146" i="6"/>
  <c r="V3" i="17"/>
  <c r="V134" i="6"/>
  <c r="V145" i="6"/>
  <c r="V133" i="6"/>
  <c r="V130" i="6"/>
  <c r="V131" i="6"/>
  <c r="V144" i="6"/>
  <c r="V132" i="6"/>
  <c r="V143" i="6"/>
  <c r="V129" i="6"/>
  <c r="R14" i="26"/>
  <c r="R26" i="26"/>
  <c r="R9" i="26"/>
  <c r="R17" i="26"/>
  <c r="R13" i="26"/>
  <c r="R10" i="26"/>
  <c r="R33" i="26"/>
  <c r="R5" i="26"/>
  <c r="R5" i="28"/>
  <c r="R20" i="26"/>
  <c r="R30" i="26"/>
  <c r="R23" i="28"/>
  <c r="R32" i="28"/>
  <c r="R9" i="28"/>
  <c r="R31" i="27"/>
  <c r="R21" i="26"/>
  <c r="R7" i="26"/>
  <c r="R7" i="27"/>
  <c r="R6" i="28"/>
  <c r="R21" i="27"/>
  <c r="R24" i="28"/>
  <c r="R24" i="26"/>
  <c r="R17" i="27"/>
  <c r="R25" i="27"/>
  <c r="R24" i="27"/>
  <c r="R10" i="27"/>
  <c r="R6" i="27"/>
  <c r="R7" i="28"/>
  <c r="R18" i="27"/>
  <c r="R5" i="27"/>
  <c r="R16" i="26"/>
  <c r="R32" i="27"/>
  <c r="R14" i="27"/>
  <c r="R26" i="27"/>
  <c r="R20" i="27"/>
  <c r="R30" i="27"/>
  <c r="R19" i="26"/>
  <c r="R17" i="28"/>
  <c r="R22" i="27"/>
  <c r="R13" i="27"/>
  <c r="R20" i="28"/>
  <c r="R8" i="28"/>
  <c r="R12" i="26"/>
  <c r="R23" i="26"/>
  <c r="R15" i="26"/>
  <c r="R25" i="26"/>
  <c r="R29" i="26"/>
  <c r="R16" i="28"/>
  <c r="R28" i="26"/>
  <c r="R27" i="26"/>
  <c r="R18" i="26"/>
  <c r="R8" i="27"/>
  <c r="R22" i="28"/>
  <c r="R31" i="28"/>
  <c r="R31" i="26"/>
  <c r="R9" i="27"/>
  <c r="R30" i="28"/>
  <c r="R29" i="28"/>
  <c r="R21" i="28"/>
  <c r="R11" i="27"/>
  <c r="R22" i="26"/>
  <c r="R12" i="27"/>
  <c r="R11" i="26"/>
  <c r="R8" i="26"/>
  <c r="R19" i="28"/>
  <c r="R6" i="26"/>
  <c r="R33" i="27"/>
  <c r="R27" i="27"/>
  <c r="R28" i="27"/>
  <c r="R10" i="28"/>
  <c r="R32" i="26"/>
  <c r="R23" i="27"/>
  <c r="R16" i="27"/>
  <c r="R29" i="27"/>
  <c r="R4" i="26"/>
  <c r="R4" i="28"/>
  <c r="R15" i="27"/>
  <c r="R4" i="27"/>
  <c r="R19" i="27"/>
  <c r="R3" i="28"/>
  <c r="R3" i="26"/>
  <c r="R3" i="27"/>
  <c r="R163" i="6"/>
  <c r="R164" i="6"/>
  <c r="R162" i="6"/>
  <c r="R159" i="6"/>
  <c r="R165" i="6"/>
  <c r="R161" i="6"/>
  <c r="R172" i="6"/>
  <c r="R170" i="6"/>
  <c r="R171" i="6"/>
  <c r="R157" i="6"/>
  <c r="R158" i="6"/>
  <c r="R169" i="6"/>
  <c r="R155" i="6"/>
  <c r="R168" i="6"/>
  <c r="R156" i="6"/>
  <c r="R154" i="6"/>
  <c r="R153" i="6"/>
  <c r="R167" i="6"/>
  <c r="K162" i="6"/>
  <c r="K165" i="6"/>
  <c r="K164" i="6"/>
  <c r="K159" i="6"/>
  <c r="K163" i="6"/>
  <c r="K161" i="6"/>
  <c r="K157" i="6"/>
  <c r="K170" i="6"/>
  <c r="K172" i="6"/>
  <c r="K158" i="6"/>
  <c r="K171" i="6"/>
  <c r="K156" i="6"/>
  <c r="K155" i="6"/>
  <c r="K169" i="6"/>
  <c r="K154" i="6"/>
  <c r="K168" i="6"/>
  <c r="K153" i="6"/>
  <c r="K167" i="6"/>
  <c r="S162" i="6"/>
  <c r="S165" i="6"/>
  <c r="S164" i="6"/>
  <c r="S159" i="6"/>
  <c r="S163" i="6"/>
  <c r="S161" i="6"/>
  <c r="S171" i="6"/>
  <c r="S170" i="6"/>
  <c r="S172" i="6"/>
  <c r="S158" i="6"/>
  <c r="S157" i="6"/>
  <c r="S155" i="6"/>
  <c r="S168" i="6"/>
  <c r="S167" i="6"/>
  <c r="S154" i="6"/>
  <c r="S156" i="6"/>
  <c r="S169" i="6"/>
  <c r="S153" i="6"/>
  <c r="G141" i="6"/>
  <c r="G138" i="6"/>
  <c r="G140" i="6"/>
  <c r="G135" i="6"/>
  <c r="G139" i="6"/>
  <c r="G137" i="6"/>
  <c r="G147" i="6"/>
  <c r="G148" i="6"/>
  <c r="G146" i="6"/>
  <c r="G133" i="6"/>
  <c r="G134" i="6"/>
  <c r="G131" i="6"/>
  <c r="G145" i="6"/>
  <c r="G132" i="6"/>
  <c r="G144" i="6"/>
  <c r="G130" i="6"/>
  <c r="G143" i="6"/>
  <c r="G129" i="6"/>
  <c r="O141" i="6"/>
  <c r="O135" i="6"/>
  <c r="O140" i="6"/>
  <c r="O138" i="6"/>
  <c r="O139" i="6"/>
  <c r="O137" i="6"/>
  <c r="O147" i="6"/>
  <c r="O148" i="6"/>
  <c r="O134" i="6"/>
  <c r="O146" i="6"/>
  <c r="O133" i="6"/>
  <c r="O145" i="6"/>
  <c r="O131" i="6"/>
  <c r="O132" i="6"/>
  <c r="O130" i="6"/>
  <c r="O144" i="6"/>
  <c r="O143" i="6"/>
  <c r="O129" i="6"/>
  <c r="W141" i="6"/>
  <c r="W139" i="6"/>
  <c r="W9" i="17"/>
  <c r="W138" i="6"/>
  <c r="W31" i="15"/>
  <c r="W8" i="16"/>
  <c r="W15" i="15"/>
  <c r="W140" i="6"/>
  <c r="W7" i="17"/>
  <c r="W19" i="17"/>
  <c r="W30" i="15"/>
  <c r="W18" i="16"/>
  <c r="W10" i="16"/>
  <c r="W6" i="17"/>
  <c r="W14" i="16"/>
  <c r="W23" i="17"/>
  <c r="W5" i="16"/>
  <c r="W32" i="16"/>
  <c r="W16" i="17"/>
  <c r="W6" i="15"/>
  <c r="W25" i="16"/>
  <c r="W11" i="16"/>
  <c r="W24" i="15"/>
  <c r="W7" i="15"/>
  <c r="W26" i="15"/>
  <c r="W31" i="16"/>
  <c r="W25" i="15"/>
  <c r="W14" i="15"/>
  <c r="W21" i="15"/>
  <c r="W9" i="16"/>
  <c r="W32" i="15"/>
  <c r="W20" i="15"/>
  <c r="W9" i="15"/>
  <c r="W32" i="17"/>
  <c r="W5" i="17"/>
  <c r="W33" i="16"/>
  <c r="W17" i="15"/>
  <c r="W12" i="16"/>
  <c r="W29" i="16"/>
  <c r="W8" i="15"/>
  <c r="W27" i="15"/>
  <c r="W26" i="16"/>
  <c r="W12" i="15"/>
  <c r="W22" i="16"/>
  <c r="W18" i="15"/>
  <c r="W11" i="15"/>
  <c r="W135" i="6"/>
  <c r="W23" i="15"/>
  <c r="W13" i="16"/>
  <c r="W16" i="16"/>
  <c r="W5" i="15"/>
  <c r="W8" i="17"/>
  <c r="W31" i="17"/>
  <c r="W22" i="17"/>
  <c r="W21" i="17"/>
  <c r="W29" i="15"/>
  <c r="W30" i="17"/>
  <c r="W28" i="16"/>
  <c r="W33" i="15"/>
  <c r="W19" i="15"/>
  <c r="W17" i="17"/>
  <c r="W23" i="16"/>
  <c r="W24" i="16"/>
  <c r="W28" i="15"/>
  <c r="W20" i="17"/>
  <c r="W30" i="16"/>
  <c r="W7" i="16"/>
  <c r="W22" i="15"/>
  <c r="W24" i="17"/>
  <c r="W10" i="17"/>
  <c r="W6" i="16"/>
  <c r="W20" i="16"/>
  <c r="W13" i="15"/>
  <c r="W17" i="16"/>
  <c r="W27" i="16"/>
  <c r="W10" i="15"/>
  <c r="W29" i="17"/>
  <c r="W15" i="16"/>
  <c r="W4" i="15"/>
  <c r="W21" i="16"/>
  <c r="W4" i="17"/>
  <c r="W137" i="6"/>
  <c r="W3" i="15"/>
  <c r="W16" i="15"/>
  <c r="W4" i="16"/>
  <c r="W19" i="16"/>
  <c r="W3" i="17"/>
  <c r="W3" i="16"/>
  <c r="W147" i="6"/>
  <c r="W148" i="6"/>
  <c r="W146" i="6"/>
  <c r="W145" i="6"/>
  <c r="W133" i="6"/>
  <c r="W134" i="6"/>
  <c r="W144" i="6"/>
  <c r="W132" i="6"/>
  <c r="W130" i="6"/>
  <c r="W131" i="6"/>
  <c r="W143" i="6"/>
  <c r="W129" i="6"/>
  <c r="S8" i="28"/>
  <c r="S30" i="27"/>
  <c r="S11" i="27"/>
  <c r="S33" i="26"/>
  <c r="S25" i="27"/>
  <c r="S23" i="27"/>
  <c r="S12" i="26"/>
  <c r="S12" i="27"/>
  <c r="S15" i="27"/>
  <c r="S19" i="28"/>
  <c r="S5" i="28"/>
  <c r="S10" i="27"/>
  <c r="S5" i="26"/>
  <c r="S28" i="27"/>
  <c r="S6" i="27"/>
  <c r="S29" i="28"/>
  <c r="S9" i="28"/>
  <c r="S9" i="26"/>
  <c r="S30" i="28"/>
  <c r="S31" i="27"/>
  <c r="S32" i="26"/>
  <c r="S7" i="26"/>
  <c r="S22" i="28"/>
  <c r="S5" i="27"/>
  <c r="S22" i="27"/>
  <c r="S14" i="26"/>
  <c r="S7" i="28"/>
  <c r="S17" i="28"/>
  <c r="S17" i="27"/>
  <c r="S22" i="26"/>
  <c r="S21" i="27"/>
  <c r="S21" i="26"/>
  <c r="S16" i="26"/>
  <c r="S14" i="27"/>
  <c r="S31" i="26"/>
  <c r="S27" i="27"/>
  <c r="S24" i="26"/>
  <c r="S32" i="27"/>
  <c r="S7" i="27"/>
  <c r="S19" i="26"/>
  <c r="S8" i="27"/>
  <c r="S23" i="28"/>
  <c r="S26" i="26"/>
  <c r="S13" i="26"/>
  <c r="S18" i="26"/>
  <c r="S25" i="26"/>
  <c r="S10" i="26"/>
  <c r="S6" i="28"/>
  <c r="S15" i="26"/>
  <c r="S33" i="27"/>
  <c r="S24" i="28"/>
  <c r="S16" i="28"/>
  <c r="S21" i="28"/>
  <c r="S18" i="27"/>
  <c r="S30" i="26"/>
  <c r="S28" i="26"/>
  <c r="S24" i="27"/>
  <c r="S10" i="28"/>
  <c r="S27" i="26"/>
  <c r="S6" i="26"/>
  <c r="S8" i="26"/>
  <c r="S11" i="26"/>
  <c r="S32" i="28"/>
  <c r="S31" i="28"/>
  <c r="S13" i="27"/>
  <c r="S9" i="27"/>
  <c r="S23" i="26"/>
  <c r="S26" i="27"/>
  <c r="S17" i="26"/>
  <c r="S4" i="26"/>
  <c r="S29" i="27"/>
  <c r="S19" i="27"/>
  <c r="S29" i="26"/>
  <c r="S4" i="27"/>
  <c r="S16" i="27"/>
  <c r="S4" i="28"/>
  <c r="S3" i="28"/>
  <c r="S3" i="26"/>
  <c r="S3" i="27"/>
  <c r="I164" i="6"/>
  <c r="I163" i="6"/>
  <c r="I159" i="6"/>
  <c r="I162" i="6"/>
  <c r="I165" i="6"/>
  <c r="I161" i="6"/>
  <c r="I157" i="6"/>
  <c r="I172" i="6"/>
  <c r="I171" i="6"/>
  <c r="I170" i="6"/>
  <c r="I158" i="6"/>
  <c r="I155" i="6"/>
  <c r="I156" i="6"/>
  <c r="I169" i="6"/>
  <c r="I154" i="6"/>
  <c r="I168" i="6"/>
  <c r="I153" i="6"/>
  <c r="I167" i="6"/>
  <c r="D165" i="6"/>
  <c r="D162" i="6"/>
  <c r="D164" i="6"/>
  <c r="D159" i="6"/>
  <c r="D163" i="6"/>
  <c r="D161" i="6"/>
  <c r="D157" i="6"/>
  <c r="D171" i="6"/>
  <c r="D172" i="6"/>
  <c r="D170" i="6"/>
  <c r="D158" i="6"/>
  <c r="D156" i="6"/>
  <c r="D169" i="6"/>
  <c r="D155" i="6"/>
  <c r="D168" i="6"/>
  <c r="D154" i="6"/>
  <c r="D153" i="6"/>
  <c r="D167" i="6"/>
  <c r="L162" i="6"/>
  <c r="L165" i="6"/>
  <c r="L159" i="6"/>
  <c r="L163" i="6"/>
  <c r="L164" i="6"/>
  <c r="L161" i="6"/>
  <c r="L158" i="6"/>
  <c r="L157" i="6"/>
  <c r="L171" i="6"/>
  <c r="L172" i="6"/>
  <c r="L170" i="6"/>
  <c r="L169" i="6"/>
  <c r="L155" i="6"/>
  <c r="L156" i="6"/>
  <c r="L154" i="6"/>
  <c r="L168" i="6"/>
  <c r="L153" i="6"/>
  <c r="L167" i="6"/>
  <c r="T162" i="6"/>
  <c r="T165" i="6"/>
  <c r="T164" i="6"/>
  <c r="T163" i="6"/>
  <c r="T161" i="6"/>
  <c r="T159" i="6"/>
  <c r="T172" i="6"/>
  <c r="T170" i="6"/>
  <c r="T171" i="6"/>
  <c r="T157" i="6"/>
  <c r="T158" i="6"/>
  <c r="T169" i="6"/>
  <c r="T155" i="6"/>
  <c r="T156" i="6"/>
  <c r="T154" i="6"/>
  <c r="T168" i="6"/>
  <c r="T153" i="6"/>
  <c r="T167" i="6"/>
  <c r="H139" i="6"/>
  <c r="H138" i="6"/>
  <c r="H140" i="6"/>
  <c r="H141" i="6"/>
  <c r="H135" i="6"/>
  <c r="H137" i="6"/>
  <c r="H134" i="6"/>
  <c r="H146" i="6"/>
  <c r="H147" i="6"/>
  <c r="H133" i="6"/>
  <c r="H148" i="6"/>
  <c r="H145" i="6"/>
  <c r="H132" i="6"/>
  <c r="H131" i="6"/>
  <c r="H144" i="6"/>
  <c r="H130" i="6"/>
  <c r="H143" i="6"/>
  <c r="H129" i="6"/>
  <c r="P139" i="6"/>
  <c r="P140" i="6"/>
  <c r="P135" i="6"/>
  <c r="P138" i="6"/>
  <c r="P141" i="6"/>
  <c r="P137" i="6"/>
  <c r="P148" i="6"/>
  <c r="P133" i="6"/>
  <c r="P146" i="6"/>
  <c r="P147" i="6"/>
  <c r="P134" i="6"/>
  <c r="P145" i="6"/>
  <c r="P131" i="6"/>
  <c r="P132" i="6"/>
  <c r="P144" i="6"/>
  <c r="P130" i="6"/>
  <c r="P129" i="6"/>
  <c r="P143" i="6"/>
  <c r="T6" i="26"/>
  <c r="T7" i="27"/>
  <c r="T11" i="26"/>
  <c r="T18" i="26"/>
  <c r="T10" i="26"/>
  <c r="T14" i="26"/>
  <c r="T30" i="26"/>
  <c r="T26" i="27"/>
  <c r="T9" i="28"/>
  <c r="T20" i="26"/>
  <c r="T10" i="28"/>
  <c r="T32" i="27"/>
  <c r="T21" i="28"/>
  <c r="T27" i="27"/>
  <c r="T22" i="27"/>
  <c r="T7" i="26"/>
  <c r="T14" i="27"/>
  <c r="T32" i="26"/>
  <c r="T26" i="26"/>
  <c r="T24" i="28"/>
  <c r="T30" i="28"/>
  <c r="T15" i="26"/>
  <c r="T31" i="27"/>
  <c r="T8" i="28"/>
  <c r="T31" i="28"/>
  <c r="T10" i="27"/>
  <c r="T7" i="28"/>
  <c r="T28" i="27"/>
  <c r="T32" i="28"/>
  <c r="T16" i="28"/>
  <c r="T21" i="27"/>
  <c r="T18" i="27"/>
  <c r="T25" i="26"/>
  <c r="T20" i="27"/>
  <c r="T24" i="26"/>
  <c r="T9" i="26"/>
  <c r="T29" i="26"/>
  <c r="T31" i="26"/>
  <c r="T11" i="27"/>
  <c r="T22" i="28"/>
  <c r="T33" i="26"/>
  <c r="T6" i="27"/>
  <c r="T13" i="26"/>
  <c r="T33" i="27"/>
  <c r="T13" i="27"/>
  <c r="T17" i="26"/>
  <c r="T16" i="26"/>
  <c r="T25" i="27"/>
  <c r="T21" i="26"/>
  <c r="T5" i="28"/>
  <c r="T22" i="26"/>
  <c r="T23" i="27"/>
  <c r="T23" i="26"/>
  <c r="T24" i="27"/>
  <c r="T6" i="28"/>
  <c r="T17" i="28"/>
  <c r="T5" i="26"/>
  <c r="T29" i="28"/>
  <c r="T23" i="28"/>
  <c r="T8" i="27"/>
  <c r="T12" i="26"/>
  <c r="T30" i="27"/>
  <c r="T5" i="27"/>
  <c r="T9" i="27"/>
  <c r="T20" i="28"/>
  <c r="T27" i="26"/>
  <c r="T8" i="26"/>
  <c r="T28" i="26"/>
  <c r="T19" i="26"/>
  <c r="T17" i="27"/>
  <c r="T12" i="27"/>
  <c r="T19" i="28"/>
  <c r="T4" i="27"/>
  <c r="T29" i="27"/>
  <c r="T16" i="27"/>
  <c r="T4" i="28"/>
  <c r="T4" i="26"/>
  <c r="T15" i="27"/>
  <c r="T19" i="27"/>
  <c r="T3" i="28"/>
  <c r="T3" i="26"/>
  <c r="T3" i="27"/>
  <c r="J162" i="6"/>
  <c r="J163" i="6"/>
  <c r="J164" i="6"/>
  <c r="J165" i="6"/>
  <c r="J159" i="6"/>
  <c r="J161" i="6"/>
  <c r="J157" i="6"/>
  <c r="J171" i="6"/>
  <c r="J172" i="6"/>
  <c r="J170" i="6"/>
  <c r="J158" i="6"/>
  <c r="J155" i="6"/>
  <c r="J169" i="6"/>
  <c r="J156" i="6"/>
  <c r="J168" i="6"/>
  <c r="J154" i="6"/>
  <c r="J167" i="6"/>
  <c r="J153" i="6"/>
  <c r="E165" i="6"/>
  <c r="E163" i="6"/>
  <c r="E164" i="6"/>
  <c r="E162" i="6"/>
  <c r="E159" i="6"/>
  <c r="E161" i="6"/>
  <c r="E157" i="6"/>
  <c r="E172" i="6"/>
  <c r="E170" i="6"/>
  <c r="E171" i="6"/>
  <c r="E158" i="6"/>
  <c r="E156" i="6"/>
  <c r="E155" i="6"/>
  <c r="E169" i="6"/>
  <c r="E154" i="6"/>
  <c r="E168" i="6"/>
  <c r="E167" i="6"/>
  <c r="E153" i="6"/>
  <c r="M165" i="6"/>
  <c r="M163" i="6"/>
  <c r="M164" i="6"/>
  <c r="M159" i="6"/>
  <c r="M162" i="6"/>
  <c r="M161" i="6"/>
  <c r="M157" i="6"/>
  <c r="M170" i="6"/>
  <c r="M158" i="6"/>
  <c r="M171" i="6"/>
  <c r="M172" i="6"/>
  <c r="M156" i="6"/>
  <c r="M155" i="6"/>
  <c r="M169" i="6"/>
  <c r="M154" i="6"/>
  <c r="M168" i="6"/>
  <c r="M153" i="6"/>
  <c r="M167" i="6"/>
  <c r="U163" i="6"/>
  <c r="U164" i="6"/>
  <c r="U165" i="6"/>
  <c r="U159" i="6"/>
  <c r="U162" i="6"/>
  <c r="U161" i="6"/>
  <c r="U171" i="6"/>
  <c r="U170" i="6"/>
  <c r="U172" i="6"/>
  <c r="U169" i="6"/>
  <c r="U158" i="6"/>
  <c r="U157" i="6"/>
  <c r="U155" i="6"/>
  <c r="U154" i="6"/>
  <c r="U156" i="6"/>
  <c r="U168" i="6"/>
  <c r="U167" i="6"/>
  <c r="U153" i="6"/>
  <c r="I139" i="6"/>
  <c r="I135" i="6"/>
  <c r="I141" i="6"/>
  <c r="I138" i="6"/>
  <c r="I140" i="6"/>
  <c r="I137" i="6"/>
  <c r="I147" i="6"/>
  <c r="I146" i="6"/>
  <c r="I148" i="6"/>
  <c r="I133" i="6"/>
  <c r="I134" i="6"/>
  <c r="I132" i="6"/>
  <c r="I131" i="6"/>
  <c r="I145" i="6"/>
  <c r="I130" i="6"/>
  <c r="I144" i="6"/>
  <c r="I129" i="6"/>
  <c r="I143" i="6"/>
  <c r="Q139" i="6"/>
  <c r="Q140" i="6"/>
  <c r="Q141" i="6"/>
  <c r="Q138" i="6"/>
  <c r="Q135" i="6"/>
  <c r="Q137" i="6"/>
  <c r="Q133" i="6"/>
  <c r="Q146" i="6"/>
  <c r="Q134" i="6"/>
  <c r="Q147" i="6"/>
  <c r="Q148" i="6"/>
  <c r="Q145" i="6"/>
  <c r="Q132" i="6"/>
  <c r="Q131" i="6"/>
  <c r="Q144" i="6"/>
  <c r="Q130" i="6"/>
  <c r="Q143" i="6"/>
  <c r="Q129" i="6"/>
  <c r="U18" i="26"/>
  <c r="U22" i="28"/>
  <c r="U10" i="27"/>
  <c r="U9" i="28"/>
  <c r="U23" i="28"/>
  <c r="U17" i="26"/>
  <c r="U5" i="26"/>
  <c r="U18" i="27"/>
  <c r="U30" i="27"/>
  <c r="U31" i="28"/>
  <c r="U17" i="27"/>
  <c r="U14" i="27"/>
  <c r="U20" i="28"/>
  <c r="U33" i="27"/>
  <c r="U17" i="28"/>
  <c r="U13" i="27"/>
  <c r="U20" i="27"/>
  <c r="U32" i="27"/>
  <c r="U33" i="26"/>
  <c r="U31" i="27"/>
  <c r="U5" i="28"/>
  <c r="U25" i="26"/>
  <c r="U16" i="28"/>
  <c r="U14" i="26"/>
  <c r="U21" i="26"/>
  <c r="U22" i="27"/>
  <c r="U22" i="26"/>
  <c r="U6" i="28"/>
  <c r="U31" i="26"/>
  <c r="U26" i="27"/>
  <c r="U16" i="26"/>
  <c r="U13" i="26"/>
  <c r="U23" i="26"/>
  <c r="U11" i="26"/>
  <c r="U30" i="26"/>
  <c r="U11" i="27"/>
  <c r="U6" i="26"/>
  <c r="U27" i="26"/>
  <c r="U5" i="27"/>
  <c r="U19" i="28"/>
  <c r="U10" i="28"/>
  <c r="U32" i="26"/>
  <c r="U21" i="28"/>
  <c r="U9" i="27"/>
  <c r="U4" i="28"/>
  <c r="U7" i="27"/>
  <c r="U15" i="27"/>
  <c r="U28" i="27"/>
  <c r="U9" i="26"/>
  <c r="U29" i="26"/>
  <c r="U28" i="26"/>
  <c r="U24" i="26"/>
  <c r="U23" i="27"/>
  <c r="U8" i="28"/>
  <c r="U26" i="26"/>
  <c r="U25" i="27"/>
  <c r="U19" i="26"/>
  <c r="U30" i="28"/>
  <c r="U29" i="28"/>
  <c r="U7" i="28"/>
  <c r="U15" i="26"/>
  <c r="U10" i="26"/>
  <c r="U21" i="27"/>
  <c r="U12" i="27"/>
  <c r="U6" i="27"/>
  <c r="U8" i="27"/>
  <c r="U7" i="26"/>
  <c r="U12" i="26"/>
  <c r="U27" i="27"/>
  <c r="U24" i="28"/>
  <c r="U24" i="27"/>
  <c r="U20" i="26"/>
  <c r="U8" i="26"/>
  <c r="U4" i="27"/>
  <c r="U4" i="26"/>
  <c r="U16" i="27"/>
  <c r="U29" i="27"/>
  <c r="U19" i="27"/>
  <c r="U3" i="28"/>
  <c r="U3" i="27"/>
  <c r="U3" i="26"/>
  <c r="F163" i="6"/>
  <c r="F162" i="6"/>
  <c r="F164" i="6"/>
  <c r="F165" i="6"/>
  <c r="F159" i="6"/>
  <c r="F161" i="6"/>
  <c r="F170" i="6"/>
  <c r="F158" i="6"/>
  <c r="F157" i="6"/>
  <c r="F171" i="6"/>
  <c r="F172" i="6"/>
  <c r="F156" i="6"/>
  <c r="F169" i="6"/>
  <c r="F155" i="6"/>
  <c r="F154" i="6"/>
  <c r="F168" i="6"/>
  <c r="F153" i="6"/>
  <c r="F167" i="6"/>
  <c r="N163" i="6"/>
  <c r="N162" i="6"/>
  <c r="N159" i="6"/>
  <c r="N165" i="6"/>
  <c r="N164" i="6"/>
  <c r="N161" i="6"/>
  <c r="N171" i="6"/>
  <c r="N170" i="6"/>
  <c r="N172" i="6"/>
  <c r="N157" i="6"/>
  <c r="N158" i="6"/>
  <c r="N155" i="6"/>
  <c r="N156" i="6"/>
  <c r="N169" i="6"/>
  <c r="N154" i="6"/>
  <c r="N168" i="6"/>
  <c r="N167" i="6"/>
  <c r="N153" i="6"/>
  <c r="V163" i="6"/>
  <c r="V159" i="6"/>
  <c r="V164" i="6"/>
  <c r="V162" i="6"/>
  <c r="V165" i="6"/>
  <c r="V161" i="6"/>
  <c r="V171" i="6"/>
  <c r="V172" i="6"/>
  <c r="V170" i="6"/>
  <c r="V169" i="6"/>
  <c r="V158" i="6"/>
  <c r="V157" i="6"/>
  <c r="V168" i="6"/>
  <c r="V156" i="6"/>
  <c r="V155" i="6"/>
  <c r="V154" i="6"/>
  <c r="V167" i="6"/>
  <c r="V153" i="6"/>
  <c r="J138" i="6"/>
  <c r="J140" i="6"/>
  <c r="J141" i="6"/>
  <c r="J135" i="6"/>
  <c r="J139" i="6"/>
  <c r="J137" i="6"/>
  <c r="J147" i="6"/>
  <c r="J146" i="6"/>
  <c r="J134" i="6"/>
  <c r="J148" i="6"/>
  <c r="J133" i="6"/>
  <c r="J145" i="6"/>
  <c r="J132" i="6"/>
  <c r="J131" i="6"/>
  <c r="J130" i="6"/>
  <c r="J144" i="6"/>
  <c r="J143" i="6"/>
  <c r="J129" i="6"/>
  <c r="R135" i="6"/>
  <c r="R141" i="6"/>
  <c r="R12" i="15"/>
  <c r="R8" i="15"/>
  <c r="R138" i="6"/>
  <c r="R140" i="6"/>
  <c r="R139" i="6"/>
  <c r="R24" i="15"/>
  <c r="R25" i="16"/>
  <c r="R5" i="17"/>
  <c r="R7" i="17"/>
  <c r="R10" i="17"/>
  <c r="R33" i="15"/>
  <c r="R32" i="17"/>
  <c r="R16" i="17"/>
  <c r="R20" i="16"/>
  <c r="R30" i="16"/>
  <c r="R23" i="16"/>
  <c r="R30" i="17"/>
  <c r="R24" i="16"/>
  <c r="R10" i="16"/>
  <c r="R31" i="15"/>
  <c r="R20" i="17"/>
  <c r="R32" i="16"/>
  <c r="R24" i="17"/>
  <c r="R21" i="16"/>
  <c r="R19" i="17"/>
  <c r="R9" i="17"/>
  <c r="R9" i="15"/>
  <c r="R137" i="6"/>
  <c r="R11" i="15"/>
  <c r="R5" i="15"/>
  <c r="R18" i="15"/>
  <c r="R22" i="15"/>
  <c r="R25" i="15"/>
  <c r="R6" i="15"/>
  <c r="R17" i="15"/>
  <c r="R22" i="17"/>
  <c r="R10" i="15"/>
  <c r="R13" i="15"/>
  <c r="R7" i="15"/>
  <c r="R33" i="16"/>
  <c r="R31" i="17"/>
  <c r="R23" i="17"/>
  <c r="R12" i="16"/>
  <c r="R6" i="17"/>
  <c r="R20" i="15"/>
  <c r="R26" i="16"/>
  <c r="R26" i="15"/>
  <c r="R22" i="16"/>
  <c r="R8" i="16"/>
  <c r="R17" i="17"/>
  <c r="R15" i="16"/>
  <c r="R21" i="17"/>
  <c r="R32" i="15"/>
  <c r="R31" i="16"/>
  <c r="R7" i="16"/>
  <c r="R18" i="16"/>
  <c r="R14" i="16"/>
  <c r="R14" i="15"/>
  <c r="R17" i="16"/>
  <c r="R23" i="15"/>
  <c r="R30" i="15"/>
  <c r="R9" i="16"/>
  <c r="R28" i="15"/>
  <c r="R8" i="17"/>
  <c r="R6" i="16"/>
  <c r="R27" i="16"/>
  <c r="R29" i="15"/>
  <c r="R5" i="16"/>
  <c r="R11" i="16"/>
  <c r="R13" i="16"/>
  <c r="R28" i="16"/>
  <c r="R21" i="15"/>
  <c r="R16" i="15"/>
  <c r="R19" i="16"/>
  <c r="R29" i="16"/>
  <c r="R4" i="17"/>
  <c r="R29" i="17"/>
  <c r="R16" i="16"/>
  <c r="R19" i="15"/>
  <c r="R4" i="15"/>
  <c r="R27" i="15"/>
  <c r="R3" i="15"/>
  <c r="R4" i="16"/>
  <c r="R15" i="15"/>
  <c r="R3" i="17"/>
  <c r="R148" i="6"/>
  <c r="R3" i="16"/>
  <c r="R146" i="6"/>
  <c r="R147" i="6"/>
  <c r="R133" i="6"/>
  <c r="R145" i="6"/>
  <c r="R134" i="6"/>
  <c r="R131" i="6"/>
  <c r="R130" i="6"/>
  <c r="R132" i="6"/>
  <c r="R144" i="6"/>
  <c r="R143" i="6"/>
  <c r="R129" i="6"/>
  <c r="V12" i="26"/>
  <c r="V21" i="26"/>
  <c r="V7" i="26"/>
  <c r="V11" i="26"/>
  <c r="V24" i="26"/>
  <c r="V17" i="26"/>
  <c r="V19" i="28"/>
  <c r="V8" i="28"/>
  <c r="V7" i="28"/>
  <c r="V16" i="28"/>
  <c r="V33" i="26"/>
  <c r="V6" i="26"/>
  <c r="V16" i="26"/>
  <c r="V27" i="27"/>
  <c r="V22" i="28"/>
  <c r="V5" i="28"/>
  <c r="V20" i="28"/>
  <c r="V8" i="27"/>
  <c r="V25" i="27"/>
  <c r="V8" i="26"/>
  <c r="V10" i="26"/>
  <c r="V26" i="27"/>
  <c r="V22" i="26"/>
  <c r="V31" i="28"/>
  <c r="V33" i="27"/>
  <c r="V18" i="27"/>
  <c r="V23" i="26"/>
  <c r="V14" i="26"/>
  <c r="V26" i="26"/>
  <c r="V30" i="27"/>
  <c r="V17" i="27"/>
  <c r="V5" i="27"/>
  <c r="V13" i="27"/>
  <c r="V7" i="27"/>
  <c r="V21" i="28"/>
  <c r="V9" i="26"/>
  <c r="V9" i="27"/>
  <c r="V20" i="27"/>
  <c r="V4" i="28"/>
  <c r="V23" i="27"/>
  <c r="V23" i="28"/>
  <c r="V32" i="27"/>
  <c r="V24" i="27"/>
  <c r="V25" i="26"/>
  <c r="V15" i="26"/>
  <c r="V31" i="27"/>
  <c r="V19" i="26"/>
  <c r="V28" i="27"/>
  <c r="V10" i="28"/>
  <c r="V27" i="26"/>
  <c r="V32" i="26"/>
  <c r="V9" i="28"/>
  <c r="V4" i="26"/>
  <c r="V10" i="27"/>
  <c r="V14" i="27"/>
  <c r="V5" i="26"/>
  <c r="V17" i="28"/>
  <c r="V30" i="26"/>
  <c r="V11" i="27"/>
  <c r="V12" i="27"/>
  <c r="V18" i="26"/>
  <c r="V6" i="27"/>
  <c r="V31" i="26"/>
  <c r="V28" i="26"/>
  <c r="V24" i="28"/>
  <c r="V13" i="26"/>
  <c r="V6" i="28"/>
  <c r="V22" i="27"/>
  <c r="V30" i="28"/>
  <c r="V20" i="26"/>
  <c r="V21" i="27"/>
  <c r="V4" i="27"/>
  <c r="V16" i="27"/>
  <c r="V15" i="27"/>
  <c r="V19" i="27"/>
  <c r="V3" i="28"/>
  <c r="V29" i="26"/>
  <c r="V29" i="27"/>
  <c r="V29" i="28"/>
  <c r="V3" i="26"/>
  <c r="V3" i="27"/>
  <c r="G163" i="6"/>
  <c r="G165" i="6"/>
  <c r="G162" i="6"/>
  <c r="G164" i="6"/>
  <c r="G159" i="6"/>
  <c r="G161" i="6"/>
  <c r="G157" i="6"/>
  <c r="G158" i="6"/>
  <c r="G171" i="6"/>
  <c r="G172" i="6"/>
  <c r="G170" i="6"/>
  <c r="G155" i="6"/>
  <c r="G169" i="6"/>
  <c r="G156" i="6"/>
  <c r="G154" i="6"/>
  <c r="G168" i="6"/>
  <c r="G167" i="6"/>
  <c r="G153" i="6"/>
  <c r="O163" i="6"/>
  <c r="O159" i="6"/>
  <c r="O162" i="6"/>
  <c r="O164" i="6"/>
  <c r="O165" i="6"/>
  <c r="O161" i="6"/>
  <c r="O171" i="6"/>
  <c r="O172" i="6"/>
  <c r="O157" i="6"/>
  <c r="O158" i="6"/>
  <c r="O170" i="6"/>
  <c r="O156" i="6"/>
  <c r="O169" i="6"/>
  <c r="O155" i="6"/>
  <c r="O154" i="6"/>
  <c r="O168" i="6"/>
  <c r="O167" i="6"/>
  <c r="O153" i="6"/>
  <c r="W163" i="6"/>
  <c r="W164" i="6"/>
  <c r="W165" i="6"/>
  <c r="W162" i="6"/>
  <c r="W159" i="6"/>
  <c r="W161" i="6"/>
  <c r="W171" i="6"/>
  <c r="W172" i="6"/>
  <c r="W170" i="6"/>
  <c r="W158" i="6"/>
  <c r="W169" i="6"/>
  <c r="W157" i="6"/>
  <c r="W154" i="6"/>
  <c r="W155" i="6"/>
  <c r="W156" i="6"/>
  <c r="W168" i="6"/>
  <c r="W167" i="6"/>
  <c r="W153" i="6"/>
  <c r="K141" i="6"/>
  <c r="K140" i="6"/>
  <c r="K138" i="6"/>
  <c r="K135" i="6"/>
  <c r="K139" i="6"/>
  <c r="K137" i="6"/>
  <c r="K147" i="6"/>
  <c r="K133" i="6"/>
  <c r="K134" i="6"/>
  <c r="K148" i="6"/>
  <c r="K146" i="6"/>
  <c r="K132" i="6"/>
  <c r="K145" i="6"/>
  <c r="K131" i="6"/>
  <c r="K144" i="6"/>
  <c r="K130" i="6"/>
  <c r="K129" i="6"/>
  <c r="K143" i="6"/>
  <c r="S140" i="6"/>
  <c r="S32" i="15"/>
  <c r="S138" i="6"/>
  <c r="S21" i="15"/>
  <c r="S30" i="16"/>
  <c r="S5" i="15"/>
  <c r="S135" i="6"/>
  <c r="S139" i="6"/>
  <c r="S14" i="16"/>
  <c r="S141" i="6"/>
  <c r="S15" i="15"/>
  <c r="S32" i="16"/>
  <c r="S18" i="16"/>
  <c r="S32" i="17"/>
  <c r="S10" i="16"/>
  <c r="S19" i="15"/>
  <c r="S21" i="16"/>
  <c r="S22" i="15"/>
  <c r="S12" i="15"/>
  <c r="S8" i="17"/>
  <c r="S25" i="15"/>
  <c r="S11" i="16"/>
  <c r="S10" i="17"/>
  <c r="S13" i="16"/>
  <c r="S26" i="15"/>
  <c r="S31" i="16"/>
  <c r="S5" i="17"/>
  <c r="S6" i="16"/>
  <c r="S29" i="17"/>
  <c r="S23" i="15"/>
  <c r="S27" i="15"/>
  <c r="S31" i="17"/>
  <c r="S8" i="16"/>
  <c r="S17" i="15"/>
  <c r="S15" i="16"/>
  <c r="S28" i="15"/>
  <c r="S17" i="16"/>
  <c r="S7" i="16"/>
  <c r="S24" i="15"/>
  <c r="S23" i="17"/>
  <c r="S29" i="15"/>
  <c r="S9" i="17"/>
  <c r="S27" i="16"/>
  <c r="S9" i="16"/>
  <c r="S24" i="16"/>
  <c r="S26" i="16"/>
  <c r="S18" i="15"/>
  <c r="S25" i="16"/>
  <c r="S30" i="17"/>
  <c r="S20" i="15"/>
  <c r="S20" i="17"/>
  <c r="S6" i="15"/>
  <c r="S23" i="16"/>
  <c r="S16" i="15"/>
  <c r="S30" i="15"/>
  <c r="S31" i="15"/>
  <c r="S8" i="15"/>
  <c r="S137" i="6"/>
  <c r="S7" i="17"/>
  <c r="S21" i="17"/>
  <c r="S10" i="15"/>
  <c r="S13" i="15"/>
  <c r="S33" i="16"/>
  <c r="S9" i="15"/>
  <c r="S14" i="15"/>
  <c r="S11" i="15"/>
  <c r="S6" i="17"/>
  <c r="S17" i="17"/>
  <c r="S33" i="15"/>
  <c r="S12" i="16"/>
  <c r="S22" i="16"/>
  <c r="S20" i="16"/>
  <c r="S22" i="17"/>
  <c r="S16" i="17"/>
  <c r="S19" i="17"/>
  <c r="S24" i="17"/>
  <c r="S7" i="15"/>
  <c r="S5" i="16"/>
  <c r="S28" i="16"/>
  <c r="S4" i="17"/>
  <c r="S29" i="16"/>
  <c r="S19" i="16"/>
  <c r="S3" i="15"/>
  <c r="S4" i="16"/>
  <c r="S4" i="15"/>
  <c r="S16" i="16"/>
  <c r="S147" i="6"/>
  <c r="S3" i="17"/>
  <c r="S146" i="6"/>
  <c r="S3" i="16"/>
  <c r="S148" i="6"/>
  <c r="S134" i="6"/>
  <c r="S133" i="6"/>
  <c r="S132" i="6"/>
  <c r="S144" i="6"/>
  <c r="S145" i="6"/>
  <c r="S143" i="6"/>
  <c r="S130" i="6"/>
  <c r="S131" i="6"/>
  <c r="S129" i="6"/>
  <c r="W23" i="28"/>
  <c r="W10" i="28"/>
  <c r="W28" i="27"/>
  <c r="W18" i="27"/>
  <c r="W31" i="28"/>
  <c r="W11" i="26"/>
  <c r="W11" i="27"/>
  <c r="W5" i="28"/>
  <c r="W23" i="26"/>
  <c r="W22" i="27"/>
  <c r="W8" i="28"/>
  <c r="W13" i="27"/>
  <c r="W18" i="26"/>
  <c r="W27" i="27"/>
  <c r="W28" i="26"/>
  <c r="W24" i="26"/>
  <c r="W30" i="28"/>
  <c r="W32" i="26"/>
  <c r="W29" i="26"/>
  <c r="W33" i="27"/>
  <c r="W24" i="28"/>
  <c r="W19" i="27"/>
  <c r="W31" i="26"/>
  <c r="W30" i="27"/>
  <c r="W22" i="28"/>
  <c r="W10" i="27"/>
  <c r="W7" i="28"/>
  <c r="W12" i="27"/>
  <c r="W16" i="27"/>
  <c r="W6" i="27"/>
  <c r="W8" i="27"/>
  <c r="W9" i="28"/>
  <c r="W25" i="27"/>
  <c r="W9" i="27"/>
  <c r="W7" i="26"/>
  <c r="W25" i="26"/>
  <c r="W6" i="26"/>
  <c r="W20" i="28"/>
  <c r="W27" i="26"/>
  <c r="W12" i="26"/>
  <c r="W23" i="27"/>
  <c r="W20" i="26"/>
  <c r="W17" i="27"/>
  <c r="W26" i="26"/>
  <c r="W9" i="26"/>
  <c r="W24" i="27"/>
  <c r="W26" i="27"/>
  <c r="W20" i="27"/>
  <c r="W10" i="26"/>
  <c r="W19" i="28"/>
  <c r="W30" i="26"/>
  <c r="W16" i="26"/>
  <c r="W14" i="26"/>
  <c r="W14" i="27"/>
  <c r="W21" i="27"/>
  <c r="W5" i="27"/>
  <c r="W32" i="27"/>
  <c r="W17" i="26"/>
  <c r="W8" i="26"/>
  <c r="W7" i="27"/>
  <c r="W31" i="27"/>
  <c r="W29" i="28"/>
  <c r="W22" i="26"/>
  <c r="W13" i="26"/>
  <c r="W6" i="28"/>
  <c r="W21" i="26"/>
  <c r="W16" i="28"/>
  <c r="W21" i="28"/>
  <c r="W5" i="26"/>
  <c r="W17" i="28"/>
  <c r="W15" i="27"/>
  <c r="W33" i="26"/>
  <c r="W29" i="27"/>
  <c r="W15" i="26"/>
  <c r="W4" i="26"/>
  <c r="W19" i="26"/>
  <c r="W4" i="28"/>
  <c r="W4" i="27"/>
  <c r="W3" i="26"/>
  <c r="W3" i="28"/>
  <c r="W3" i="27"/>
  <c r="B37" i="6" l="1"/>
  <c r="B33" i="6"/>
  <c r="C32" i="39" l="1"/>
  <c r="D32" i="39"/>
  <c r="E32" i="39"/>
  <c r="L45" i="39"/>
  <c r="M45" i="39"/>
  <c r="D33" i="39"/>
  <c r="E33" i="39"/>
  <c r="G33" i="39"/>
  <c r="L46" i="39"/>
  <c r="M46" i="39"/>
  <c r="D34" i="39"/>
  <c r="E34" i="39"/>
  <c r="L47" i="39"/>
  <c r="M47" i="39"/>
  <c r="D35" i="39"/>
  <c r="E35" i="39"/>
  <c r="L35" i="39"/>
  <c r="M35" i="39"/>
  <c r="D36" i="39"/>
  <c r="E36" i="39"/>
  <c r="L36" i="39"/>
  <c r="M36" i="39"/>
  <c r="D37" i="39"/>
  <c r="E37" i="39"/>
  <c r="L37" i="39"/>
  <c r="M37" i="39"/>
  <c r="C38" i="39"/>
  <c r="D38" i="39"/>
  <c r="E38" i="39"/>
  <c r="F38" i="39"/>
  <c r="I38" i="39"/>
  <c r="L38" i="39"/>
  <c r="M38" i="39"/>
  <c r="Q38" i="39"/>
  <c r="D39" i="39"/>
  <c r="E39" i="39"/>
  <c r="I52" i="39"/>
  <c r="L39" i="39"/>
  <c r="M39" i="39"/>
  <c r="Q52" i="39"/>
  <c r="C40" i="39"/>
  <c r="D40" i="39"/>
  <c r="E40" i="39"/>
  <c r="I40" i="39"/>
  <c r="L40" i="39"/>
  <c r="M53" i="39"/>
  <c r="Q40" i="39"/>
  <c r="H32" i="39"/>
  <c r="I32" i="39"/>
  <c r="P32" i="39"/>
  <c r="Q32" i="39"/>
  <c r="H33" i="39"/>
  <c r="I33" i="39"/>
  <c r="P33" i="39"/>
  <c r="Q33" i="39"/>
  <c r="H34" i="39"/>
  <c r="I34" i="39"/>
  <c r="P34" i="39"/>
  <c r="Q34" i="39"/>
  <c r="H35" i="39"/>
  <c r="I35" i="39"/>
  <c r="P35" i="39"/>
  <c r="Q35" i="39"/>
  <c r="H36" i="39"/>
  <c r="I36" i="39"/>
  <c r="P36" i="39"/>
  <c r="Q36" i="39"/>
  <c r="H37" i="39"/>
  <c r="I37" i="39"/>
  <c r="P37" i="39"/>
  <c r="Q37" i="39"/>
  <c r="H38" i="39"/>
  <c r="P38" i="39"/>
  <c r="H39" i="39"/>
  <c r="I39" i="39"/>
  <c r="P39" i="39"/>
  <c r="Q39" i="39"/>
  <c r="H40" i="39"/>
  <c r="P40" i="39"/>
  <c r="H45" i="39"/>
  <c r="I45" i="39"/>
  <c r="P45" i="39"/>
  <c r="Q45" i="39"/>
  <c r="H46" i="39"/>
  <c r="I46" i="39"/>
  <c r="P46" i="39"/>
  <c r="Q46" i="39"/>
  <c r="H47" i="39"/>
  <c r="I47" i="39"/>
  <c r="P47" i="39"/>
  <c r="Q47" i="39"/>
  <c r="H52" i="39"/>
  <c r="P52" i="39"/>
  <c r="D53" i="39"/>
  <c r="E53" i="39"/>
  <c r="H53" i="39"/>
  <c r="P53" i="39"/>
  <c r="B32" i="38"/>
  <c r="C32" i="38"/>
  <c r="D32" i="38"/>
  <c r="E32" i="38"/>
  <c r="F32" i="38"/>
  <c r="G32" i="38"/>
  <c r="H32" i="38"/>
  <c r="I32" i="38"/>
  <c r="J32" i="38"/>
  <c r="K32" i="38"/>
  <c r="L32" i="38"/>
  <c r="M32" i="38"/>
  <c r="N32" i="38"/>
  <c r="O32" i="38"/>
  <c r="P32" i="38"/>
  <c r="Q32" i="38"/>
  <c r="B33" i="38"/>
  <c r="C33" i="38"/>
  <c r="D33" i="38"/>
  <c r="E33" i="38"/>
  <c r="F33" i="38"/>
  <c r="G33" i="38"/>
  <c r="H33" i="38"/>
  <c r="I33" i="38"/>
  <c r="J33" i="38"/>
  <c r="K33" i="38"/>
  <c r="L33" i="38"/>
  <c r="M33" i="38"/>
  <c r="N33" i="38"/>
  <c r="O33" i="38"/>
  <c r="P33" i="38"/>
  <c r="Q33" i="38"/>
  <c r="B34" i="38"/>
  <c r="C34" i="38"/>
  <c r="D34" i="38"/>
  <c r="E34" i="38"/>
  <c r="F34" i="38"/>
  <c r="G34" i="38"/>
  <c r="H34" i="38"/>
  <c r="I34" i="38"/>
  <c r="J34" i="38"/>
  <c r="K34" i="38"/>
  <c r="L34" i="38"/>
  <c r="M34" i="38"/>
  <c r="N34" i="38"/>
  <c r="O34" i="38"/>
  <c r="P34" i="38"/>
  <c r="Q34" i="38"/>
  <c r="B35" i="38"/>
  <c r="C35" i="38"/>
  <c r="D35" i="38"/>
  <c r="E35" i="38"/>
  <c r="F35" i="38"/>
  <c r="G35" i="38"/>
  <c r="H35" i="38"/>
  <c r="I35" i="38"/>
  <c r="J35" i="38"/>
  <c r="K35" i="38"/>
  <c r="L35" i="38"/>
  <c r="M35" i="38"/>
  <c r="N35" i="38"/>
  <c r="O35" i="38"/>
  <c r="P35" i="38"/>
  <c r="Q35" i="38"/>
  <c r="B36" i="38"/>
  <c r="C36" i="38"/>
  <c r="D36" i="38"/>
  <c r="E36" i="38"/>
  <c r="F36" i="38"/>
  <c r="G36" i="38"/>
  <c r="H36" i="38"/>
  <c r="I36" i="38"/>
  <c r="J36" i="38"/>
  <c r="K36" i="38"/>
  <c r="L36" i="38"/>
  <c r="M36" i="38"/>
  <c r="N36" i="38"/>
  <c r="O36" i="38"/>
  <c r="P36" i="38"/>
  <c r="Q36" i="38"/>
  <c r="B37" i="38"/>
  <c r="C37" i="38"/>
  <c r="D37" i="38"/>
  <c r="E37" i="38"/>
  <c r="F37" i="38"/>
  <c r="G37" i="38"/>
  <c r="H37" i="38"/>
  <c r="I37" i="38"/>
  <c r="J37" i="38"/>
  <c r="K37" i="38"/>
  <c r="L37" i="38"/>
  <c r="M37" i="38"/>
  <c r="N37" i="38"/>
  <c r="O37" i="38"/>
  <c r="P37" i="38"/>
  <c r="Q37" i="38"/>
  <c r="B38" i="38"/>
  <c r="C38" i="38"/>
  <c r="D38" i="38"/>
  <c r="E38" i="38"/>
  <c r="F38" i="38"/>
  <c r="G38" i="38"/>
  <c r="H38" i="38"/>
  <c r="I38" i="38"/>
  <c r="J38" i="38"/>
  <c r="K38" i="38"/>
  <c r="L38" i="38"/>
  <c r="M38" i="38"/>
  <c r="N38" i="38"/>
  <c r="O38" i="38"/>
  <c r="P38" i="38"/>
  <c r="Q38" i="38"/>
  <c r="B39" i="38"/>
  <c r="C39" i="38"/>
  <c r="D39" i="38"/>
  <c r="E39" i="38"/>
  <c r="F39" i="38"/>
  <c r="G39" i="38"/>
  <c r="H39" i="38"/>
  <c r="I39" i="38"/>
  <c r="J39" i="38"/>
  <c r="K39" i="38"/>
  <c r="L39" i="38"/>
  <c r="M39" i="38"/>
  <c r="N39" i="38"/>
  <c r="O39" i="38"/>
  <c r="P39" i="38"/>
  <c r="Q39" i="38"/>
  <c r="B40" i="38"/>
  <c r="C40" i="38"/>
  <c r="D40" i="38"/>
  <c r="E40" i="38"/>
  <c r="F40" i="38"/>
  <c r="G40" i="38"/>
  <c r="H40" i="38"/>
  <c r="I40" i="38"/>
  <c r="J40" i="38"/>
  <c r="K40" i="38"/>
  <c r="L40" i="38"/>
  <c r="M40" i="38"/>
  <c r="N40" i="38"/>
  <c r="O40" i="38"/>
  <c r="P40" i="38"/>
  <c r="Q40" i="38"/>
  <c r="E32" i="37"/>
  <c r="F32" i="37"/>
  <c r="I32" i="37"/>
  <c r="J32" i="37"/>
  <c r="M32" i="37"/>
  <c r="N32" i="37"/>
  <c r="E33" i="37"/>
  <c r="I33" i="37"/>
  <c r="J33" i="37"/>
  <c r="M33" i="37"/>
  <c r="Q33" i="37"/>
  <c r="E34" i="37"/>
  <c r="I34" i="37"/>
  <c r="J34" i="37"/>
  <c r="M34" i="37"/>
  <c r="N34" i="37"/>
  <c r="F35" i="37"/>
  <c r="N35" i="37"/>
  <c r="F36" i="37"/>
  <c r="J36" i="37"/>
  <c r="Q36" i="37"/>
  <c r="B37" i="37"/>
  <c r="F37" i="37"/>
  <c r="N37" i="37"/>
  <c r="C38" i="37"/>
  <c r="J38" i="37"/>
  <c r="Q51" i="39"/>
  <c r="E39" i="37"/>
  <c r="F39" i="37"/>
  <c r="I39" i="37"/>
  <c r="M39" i="37"/>
  <c r="N39" i="37"/>
  <c r="Q39" i="37"/>
  <c r="C40" i="37"/>
  <c r="E40" i="37"/>
  <c r="I40" i="37"/>
  <c r="J40" i="37"/>
  <c r="M40" i="37"/>
  <c r="B32" i="37"/>
  <c r="C32" i="37"/>
  <c r="O32" i="37"/>
  <c r="F33" i="37"/>
  <c r="N33" i="37"/>
  <c r="O33" i="37"/>
  <c r="C34" i="37"/>
  <c r="O34" i="37"/>
  <c r="O35" i="37"/>
  <c r="C36" i="37"/>
  <c r="O36" i="37"/>
  <c r="M37" i="37"/>
  <c r="F38" i="37"/>
  <c r="Q38" i="37"/>
  <c r="O39" i="37"/>
  <c r="O40" i="37"/>
  <c r="F48" i="37"/>
  <c r="N48" i="37"/>
  <c r="A6" i="35"/>
  <c r="A8" i="35"/>
  <c r="A9" i="35"/>
  <c r="A10" i="35"/>
  <c r="A14" i="35"/>
  <c r="A15" i="35"/>
  <c r="A6" i="34"/>
  <c r="A8" i="34"/>
  <c r="A9" i="34"/>
  <c r="A10" i="34"/>
  <c r="A14" i="34"/>
  <c r="A15" i="34"/>
  <c r="A6" i="33"/>
  <c r="A8" i="33"/>
  <c r="A9" i="33"/>
  <c r="A10" i="33"/>
  <c r="A14" i="33"/>
  <c r="A15" i="33"/>
  <c r="A6" i="32"/>
  <c r="A8" i="32"/>
  <c r="A9" i="32"/>
  <c r="A10" i="32"/>
  <c r="A14" i="32"/>
  <c r="A15" i="32"/>
  <c r="A6" i="31"/>
  <c r="A8" i="31"/>
  <c r="A9" i="31"/>
  <c r="A10" i="31"/>
  <c r="A14" i="31"/>
  <c r="A15" i="31"/>
  <c r="A6" i="30"/>
  <c r="A8" i="30"/>
  <c r="A9" i="30"/>
  <c r="A10" i="30"/>
  <c r="A14" i="30"/>
  <c r="A15" i="30"/>
  <c r="B3" i="30"/>
  <c r="D3" i="30"/>
  <c r="F3" i="30"/>
  <c r="H3" i="30"/>
  <c r="J3" i="30"/>
  <c r="L3" i="30"/>
  <c r="O3" i="30"/>
  <c r="Q3" i="30"/>
  <c r="B3" i="31"/>
  <c r="C3" i="31"/>
  <c r="D3" i="31"/>
  <c r="E3" i="31"/>
  <c r="F3" i="31"/>
  <c r="G3" i="31"/>
  <c r="I3" i="31"/>
  <c r="J3" i="31"/>
  <c r="K3" i="31"/>
  <c r="L3" i="31"/>
  <c r="M3" i="31"/>
  <c r="N3" i="31"/>
  <c r="O3" i="31"/>
  <c r="P3" i="31"/>
  <c r="Q3" i="31"/>
  <c r="B3" i="32"/>
  <c r="C3" i="32"/>
  <c r="D3" i="32"/>
  <c r="E3" i="32"/>
  <c r="F3" i="32"/>
  <c r="G3" i="32"/>
  <c r="H3" i="32"/>
  <c r="I3" i="32"/>
  <c r="J3" i="32"/>
  <c r="K3" i="32"/>
  <c r="L3" i="32"/>
  <c r="M3" i="32"/>
  <c r="N3" i="32"/>
  <c r="O3" i="32"/>
  <c r="P3" i="32"/>
  <c r="Q3" i="32"/>
  <c r="B3" i="33"/>
  <c r="C3" i="33"/>
  <c r="D3" i="33"/>
  <c r="E3" i="33"/>
  <c r="F3" i="33"/>
  <c r="G3" i="33"/>
  <c r="H3" i="33"/>
  <c r="I3" i="33"/>
  <c r="J3" i="33"/>
  <c r="K3" i="33"/>
  <c r="L3" i="33"/>
  <c r="M3" i="33"/>
  <c r="N3" i="33"/>
  <c r="O3" i="33"/>
  <c r="P3" i="33"/>
  <c r="Q3" i="33"/>
  <c r="B3" i="34"/>
  <c r="C3" i="34"/>
  <c r="E3" i="34"/>
  <c r="F3" i="34"/>
  <c r="G3" i="34"/>
  <c r="H3" i="34"/>
  <c r="I3" i="34"/>
  <c r="J3" i="34"/>
  <c r="K3" i="34"/>
  <c r="L3" i="34"/>
  <c r="M3" i="34"/>
  <c r="N3" i="34"/>
  <c r="O3" i="34"/>
  <c r="P3" i="34"/>
  <c r="Q3" i="34"/>
  <c r="B3" i="35"/>
  <c r="C3" i="35"/>
  <c r="D3" i="35"/>
  <c r="E3" i="35"/>
  <c r="F3" i="35"/>
  <c r="G3" i="35"/>
  <c r="H3" i="35"/>
  <c r="I3" i="35"/>
  <c r="J3" i="35"/>
  <c r="K3" i="35"/>
  <c r="L3" i="35"/>
  <c r="M3" i="35"/>
  <c r="N3" i="35"/>
  <c r="O3" i="35"/>
  <c r="P3" i="35"/>
  <c r="Q3" i="35"/>
  <c r="G5" i="30"/>
  <c r="J5" i="30"/>
  <c r="K5" i="30"/>
  <c r="L5" i="30"/>
  <c r="N5" i="30"/>
  <c r="Q5" i="30"/>
  <c r="B5" i="31"/>
  <c r="C5" i="31"/>
  <c r="D5" i="31"/>
  <c r="E5" i="31"/>
  <c r="F5" i="31"/>
  <c r="G5" i="31"/>
  <c r="H5" i="31"/>
  <c r="I5" i="31"/>
  <c r="J5" i="31"/>
  <c r="K5" i="31"/>
  <c r="L5" i="31"/>
  <c r="M5" i="31"/>
  <c r="N5" i="31"/>
  <c r="O5" i="31"/>
  <c r="P5" i="31"/>
  <c r="Q5" i="31"/>
  <c r="B5" i="32"/>
  <c r="C5" i="32"/>
  <c r="D5" i="32"/>
  <c r="E5" i="32"/>
  <c r="F5" i="32"/>
  <c r="G5" i="32"/>
  <c r="H5" i="32"/>
  <c r="I5" i="32"/>
  <c r="J5" i="32"/>
  <c r="K5" i="32"/>
  <c r="L5" i="32"/>
  <c r="M5" i="32"/>
  <c r="N5" i="32"/>
  <c r="O5" i="32"/>
  <c r="P5" i="32"/>
  <c r="Q5" i="32"/>
  <c r="B5" i="33"/>
  <c r="C5" i="33"/>
  <c r="D5" i="33"/>
  <c r="E5" i="33"/>
  <c r="F5" i="33"/>
  <c r="G5" i="33"/>
  <c r="H5" i="33"/>
  <c r="I5" i="33"/>
  <c r="J5" i="33"/>
  <c r="K5" i="33"/>
  <c r="L5" i="33"/>
  <c r="M5" i="33"/>
  <c r="N5" i="33"/>
  <c r="O5" i="33"/>
  <c r="P5" i="33"/>
  <c r="Q5" i="33"/>
  <c r="B5" i="34"/>
  <c r="C5" i="34"/>
  <c r="D5" i="34"/>
  <c r="E5" i="34"/>
  <c r="F5" i="34"/>
  <c r="G5" i="34"/>
  <c r="H5" i="34"/>
  <c r="I5" i="34"/>
  <c r="J5" i="34"/>
  <c r="K5" i="34"/>
  <c r="L5" i="34"/>
  <c r="M5" i="34"/>
  <c r="N5" i="34"/>
  <c r="O5" i="34"/>
  <c r="P5" i="34"/>
  <c r="Q5" i="34"/>
  <c r="B5" i="35"/>
  <c r="C5" i="35"/>
  <c r="D5" i="35"/>
  <c r="E5" i="35"/>
  <c r="F5" i="35"/>
  <c r="G5" i="35"/>
  <c r="H5" i="35"/>
  <c r="I5" i="35"/>
  <c r="J5" i="35"/>
  <c r="K5" i="35"/>
  <c r="L5" i="35"/>
  <c r="M5" i="35"/>
  <c r="N5" i="35"/>
  <c r="O5" i="35"/>
  <c r="P5" i="35"/>
  <c r="Q5" i="35"/>
  <c r="D8" i="30"/>
  <c r="G8" i="30"/>
  <c r="I8" i="30"/>
  <c r="K8" i="30"/>
  <c r="M8" i="30"/>
  <c r="Q8" i="30"/>
  <c r="B8" i="31"/>
  <c r="E8" i="31"/>
  <c r="I8" i="31"/>
  <c r="M8" i="31"/>
  <c r="P8" i="31"/>
  <c r="Q8" i="31"/>
  <c r="B8" i="32"/>
  <c r="C8" i="32"/>
  <c r="D8" i="32"/>
  <c r="E8" i="32"/>
  <c r="F8" i="32"/>
  <c r="G8" i="32"/>
  <c r="H8" i="32"/>
  <c r="I8" i="32"/>
  <c r="L8" i="32"/>
  <c r="M8" i="32"/>
  <c r="O8" i="32"/>
  <c r="P8" i="32"/>
  <c r="Q8" i="32"/>
  <c r="C8" i="33"/>
  <c r="I8" i="33"/>
  <c r="K8" i="33"/>
  <c r="N8" i="33"/>
  <c r="O8" i="33"/>
  <c r="Q8" i="33"/>
  <c r="G8" i="34"/>
  <c r="I8" i="34"/>
  <c r="K8" i="34"/>
  <c r="M8" i="34"/>
  <c r="O8" i="34"/>
  <c r="Q8" i="34"/>
  <c r="B8" i="35"/>
  <c r="D8" i="35"/>
  <c r="E8" i="35"/>
  <c r="I8" i="35"/>
  <c r="M8" i="35"/>
  <c r="Q8" i="35"/>
  <c r="C9" i="30"/>
  <c r="D9" i="30"/>
  <c r="E9" i="30"/>
  <c r="F9" i="30"/>
  <c r="G9" i="30"/>
  <c r="H9" i="30"/>
  <c r="I9" i="30"/>
  <c r="J9" i="30"/>
  <c r="K9" i="30"/>
  <c r="L9" i="30"/>
  <c r="M9" i="30"/>
  <c r="N9" i="30"/>
  <c r="O9" i="30"/>
  <c r="P9" i="30"/>
  <c r="Q9" i="30"/>
  <c r="D9" i="31"/>
  <c r="E9" i="31"/>
  <c r="F9" i="31"/>
  <c r="G9" i="31"/>
  <c r="H9" i="31"/>
  <c r="I9" i="31"/>
  <c r="J9" i="31"/>
  <c r="K9" i="31"/>
  <c r="L9" i="31"/>
  <c r="M9" i="31"/>
  <c r="N9" i="31"/>
  <c r="O9" i="31"/>
  <c r="P9" i="31"/>
  <c r="C9" i="32"/>
  <c r="F9" i="32"/>
  <c r="G9" i="32"/>
  <c r="J9" i="32"/>
  <c r="K9" i="32"/>
  <c r="L9" i="32"/>
  <c r="N9" i="32"/>
  <c r="O9" i="32"/>
  <c r="P9" i="32"/>
  <c r="C9" i="33"/>
  <c r="E9" i="33"/>
  <c r="F9" i="33"/>
  <c r="G9" i="33"/>
  <c r="H9" i="33"/>
  <c r="I9" i="33"/>
  <c r="J9" i="33"/>
  <c r="K9" i="33"/>
  <c r="M9" i="33"/>
  <c r="N9" i="33"/>
  <c r="Q9" i="33"/>
  <c r="C9" i="34"/>
  <c r="D9" i="34"/>
  <c r="E9" i="34"/>
  <c r="F9" i="34"/>
  <c r="G9" i="34"/>
  <c r="H9" i="34"/>
  <c r="I9" i="34"/>
  <c r="J9" i="34"/>
  <c r="K9" i="34"/>
  <c r="L9" i="34"/>
  <c r="M9" i="34"/>
  <c r="N9" i="34"/>
  <c r="O9" i="34"/>
  <c r="P9" i="34"/>
  <c r="Q9" i="34"/>
  <c r="C9" i="35"/>
  <c r="D9" i="35"/>
  <c r="F9" i="35"/>
  <c r="G9" i="35"/>
  <c r="H9" i="35"/>
  <c r="I9" i="35"/>
  <c r="J9" i="35"/>
  <c r="K9" i="35"/>
  <c r="L9" i="35"/>
  <c r="M9" i="35"/>
  <c r="N9" i="35"/>
  <c r="O9" i="35"/>
  <c r="P9" i="35"/>
  <c r="Q9" i="35"/>
  <c r="E10" i="30"/>
  <c r="B12" i="30"/>
  <c r="C12" i="30"/>
  <c r="D12" i="30"/>
  <c r="E12" i="30"/>
  <c r="F12" i="30"/>
  <c r="G12" i="30"/>
  <c r="H12" i="30"/>
  <c r="I12" i="30"/>
  <c r="J12" i="30"/>
  <c r="K12" i="30"/>
  <c r="L12" i="30"/>
  <c r="M12" i="30"/>
  <c r="N12" i="30"/>
  <c r="O12" i="30"/>
  <c r="P12" i="30"/>
  <c r="Q12" i="30"/>
  <c r="B12" i="31"/>
  <c r="C12" i="31"/>
  <c r="D12" i="31"/>
  <c r="E12" i="31"/>
  <c r="F12" i="31"/>
  <c r="G12" i="31"/>
  <c r="H12" i="31"/>
  <c r="I12" i="31"/>
  <c r="J12" i="31"/>
  <c r="K12" i="31"/>
  <c r="L12" i="31"/>
  <c r="M12" i="31"/>
  <c r="N12" i="31"/>
  <c r="O12" i="31"/>
  <c r="P12" i="31"/>
  <c r="Q12" i="31"/>
  <c r="B12" i="32"/>
  <c r="C12" i="32"/>
  <c r="D12" i="32"/>
  <c r="E12" i="32"/>
  <c r="F12" i="32"/>
  <c r="G12" i="32"/>
  <c r="H12" i="32"/>
  <c r="I12" i="32"/>
  <c r="J12" i="32"/>
  <c r="K12" i="32"/>
  <c r="L12" i="32"/>
  <c r="M12" i="32"/>
  <c r="N12" i="32"/>
  <c r="O12" i="32"/>
  <c r="P12" i="32"/>
  <c r="Q12" i="32"/>
  <c r="B12" i="33"/>
  <c r="C12" i="33"/>
  <c r="D12" i="33"/>
  <c r="E12" i="33"/>
  <c r="F12" i="33"/>
  <c r="G12" i="33"/>
  <c r="H12" i="33"/>
  <c r="I12" i="33"/>
  <c r="J12" i="33"/>
  <c r="K12" i="33"/>
  <c r="L12" i="33"/>
  <c r="M12" i="33"/>
  <c r="N12" i="33"/>
  <c r="O12" i="33"/>
  <c r="P12" i="33"/>
  <c r="Q12" i="33"/>
  <c r="B12" i="34"/>
  <c r="C12" i="34"/>
  <c r="D12" i="34"/>
  <c r="E12" i="34"/>
  <c r="F12" i="34"/>
  <c r="G12" i="34"/>
  <c r="H12" i="34"/>
  <c r="I12" i="34"/>
  <c r="J12" i="34"/>
  <c r="K12" i="34"/>
  <c r="L12" i="34"/>
  <c r="M12" i="34"/>
  <c r="N12" i="34"/>
  <c r="O12" i="34"/>
  <c r="P12" i="34"/>
  <c r="Q12" i="34"/>
  <c r="B12" i="35"/>
  <c r="C12" i="35"/>
  <c r="D12" i="35"/>
  <c r="E12" i="35"/>
  <c r="F12" i="35"/>
  <c r="G12" i="35"/>
  <c r="H12" i="35"/>
  <c r="I12" i="35"/>
  <c r="J12" i="35"/>
  <c r="K12" i="35"/>
  <c r="L12" i="35"/>
  <c r="M12" i="35"/>
  <c r="N12" i="35"/>
  <c r="O12" i="35"/>
  <c r="P12" i="35"/>
  <c r="Q12" i="35"/>
  <c r="B14" i="30"/>
  <c r="C14" i="30"/>
  <c r="D14" i="30"/>
  <c r="E14" i="30"/>
  <c r="F14" i="30"/>
  <c r="G14" i="30"/>
  <c r="H14" i="30"/>
  <c r="I14" i="30"/>
  <c r="J14" i="30"/>
  <c r="K14" i="30"/>
  <c r="L14" i="30"/>
  <c r="M14" i="30"/>
  <c r="N14" i="30"/>
  <c r="O14" i="30"/>
  <c r="P14" i="30"/>
  <c r="Q14" i="30"/>
  <c r="B14" i="31"/>
  <c r="C14" i="31"/>
  <c r="D14" i="31"/>
  <c r="E14" i="31"/>
  <c r="F14" i="31"/>
  <c r="G14" i="31"/>
  <c r="H14" i="31"/>
  <c r="I14" i="31"/>
  <c r="J14" i="31"/>
  <c r="K14" i="31"/>
  <c r="L14" i="31"/>
  <c r="M14" i="31"/>
  <c r="N14" i="31"/>
  <c r="O14" i="31"/>
  <c r="P14" i="31"/>
  <c r="Q14" i="31"/>
  <c r="B14" i="32"/>
  <c r="C14" i="32"/>
  <c r="D14" i="32"/>
  <c r="E14" i="32"/>
  <c r="F14" i="32"/>
  <c r="G14" i="32"/>
  <c r="H14" i="32"/>
  <c r="I14" i="32"/>
  <c r="J14" i="32"/>
  <c r="K14" i="32"/>
  <c r="L14" i="32"/>
  <c r="M14" i="32"/>
  <c r="N14" i="32"/>
  <c r="O14" i="32"/>
  <c r="P14" i="32"/>
  <c r="Q14" i="32"/>
  <c r="B14" i="33"/>
  <c r="C14" i="33"/>
  <c r="D14" i="33"/>
  <c r="E14" i="33"/>
  <c r="F14" i="33"/>
  <c r="G14" i="33"/>
  <c r="H14" i="33"/>
  <c r="I14" i="33"/>
  <c r="J14" i="33"/>
  <c r="K14" i="33"/>
  <c r="L14" i="33"/>
  <c r="M14" i="33"/>
  <c r="N14" i="33"/>
  <c r="O14" i="33"/>
  <c r="P14" i="33"/>
  <c r="Q14" i="33"/>
  <c r="B14" i="34"/>
  <c r="C14" i="34"/>
  <c r="D14" i="34"/>
  <c r="E14" i="34"/>
  <c r="F14" i="34"/>
  <c r="G14" i="34"/>
  <c r="H14" i="34"/>
  <c r="I14" i="34"/>
  <c r="J14" i="34"/>
  <c r="K14" i="34"/>
  <c r="L14" i="34"/>
  <c r="M14" i="34"/>
  <c r="N14" i="34"/>
  <c r="O14" i="34"/>
  <c r="P14" i="34"/>
  <c r="Q14" i="34"/>
  <c r="B14" i="35"/>
  <c r="C14" i="35"/>
  <c r="D14" i="35"/>
  <c r="E14" i="35"/>
  <c r="F14" i="35"/>
  <c r="G14" i="35"/>
  <c r="H14" i="35"/>
  <c r="I14" i="35"/>
  <c r="J14" i="35"/>
  <c r="K14" i="35"/>
  <c r="L14" i="35"/>
  <c r="M14" i="35"/>
  <c r="N14" i="35"/>
  <c r="O14" i="35"/>
  <c r="P14" i="35"/>
  <c r="Q14" i="35"/>
  <c r="C15" i="30"/>
  <c r="D15" i="30"/>
  <c r="E15" i="30"/>
  <c r="F15" i="30"/>
  <c r="G15" i="30"/>
  <c r="H15" i="30"/>
  <c r="I15" i="30"/>
  <c r="J15" i="30"/>
  <c r="K15" i="30"/>
  <c r="L15" i="30"/>
  <c r="M15" i="30"/>
  <c r="N15" i="30"/>
  <c r="O15" i="30"/>
  <c r="P15" i="30"/>
  <c r="Q15" i="30"/>
  <c r="C15" i="31"/>
  <c r="D15" i="31"/>
  <c r="E15" i="31"/>
  <c r="F15" i="31"/>
  <c r="G15" i="31"/>
  <c r="H15" i="31"/>
  <c r="I15" i="31"/>
  <c r="J15" i="31"/>
  <c r="K15" i="31"/>
  <c r="L15" i="31"/>
  <c r="M15" i="31"/>
  <c r="N15" i="31"/>
  <c r="O15" i="31"/>
  <c r="P15" i="31"/>
  <c r="Q15" i="31"/>
  <c r="C15" i="32"/>
  <c r="D15" i="32"/>
  <c r="E15" i="32"/>
  <c r="F15" i="32"/>
  <c r="G15" i="32"/>
  <c r="H15" i="32"/>
  <c r="I15" i="32"/>
  <c r="J15" i="32"/>
  <c r="K15" i="32"/>
  <c r="L15" i="32"/>
  <c r="M15" i="32"/>
  <c r="N15" i="32"/>
  <c r="O15" i="32"/>
  <c r="P15" i="32"/>
  <c r="Q15" i="32"/>
  <c r="C15" i="33"/>
  <c r="D15" i="33"/>
  <c r="E15" i="33"/>
  <c r="F15" i="33"/>
  <c r="G15" i="33"/>
  <c r="H15" i="33"/>
  <c r="I15" i="33"/>
  <c r="J15" i="33"/>
  <c r="K15" i="33"/>
  <c r="L15" i="33"/>
  <c r="M15" i="33"/>
  <c r="N15" i="33"/>
  <c r="O15" i="33"/>
  <c r="P15" i="33"/>
  <c r="Q15" i="33"/>
  <c r="C15" i="34"/>
  <c r="D15" i="34"/>
  <c r="E15" i="34"/>
  <c r="F15" i="34"/>
  <c r="G15" i="34"/>
  <c r="H15" i="34"/>
  <c r="I15" i="34"/>
  <c r="J15" i="34"/>
  <c r="K15" i="34"/>
  <c r="L15" i="34"/>
  <c r="M15" i="34"/>
  <c r="N15" i="34"/>
  <c r="O15" i="34"/>
  <c r="P15" i="34"/>
  <c r="Q15" i="34"/>
  <c r="C15" i="35"/>
  <c r="D15" i="35"/>
  <c r="E15" i="35"/>
  <c r="F15" i="35"/>
  <c r="G15" i="35"/>
  <c r="H15" i="35"/>
  <c r="I15" i="35"/>
  <c r="J15" i="35"/>
  <c r="K15" i="35"/>
  <c r="L15" i="35"/>
  <c r="M15" i="35"/>
  <c r="N15" i="35"/>
  <c r="O15" i="35"/>
  <c r="P15" i="35"/>
  <c r="Q15" i="35"/>
  <c r="B6" i="30"/>
  <c r="C6" i="30"/>
  <c r="D6" i="30"/>
  <c r="E6" i="30"/>
  <c r="F6" i="30"/>
  <c r="G6" i="30"/>
  <c r="H6" i="30"/>
  <c r="I6" i="30"/>
  <c r="J6" i="30"/>
  <c r="K6" i="30"/>
  <c r="L6" i="30"/>
  <c r="M6" i="30"/>
  <c r="N6" i="30"/>
  <c r="O6" i="30"/>
  <c r="P6" i="30"/>
  <c r="Q6" i="30"/>
  <c r="B6" i="31"/>
  <c r="C6" i="31"/>
  <c r="D6" i="31"/>
  <c r="E6" i="31"/>
  <c r="F6" i="31"/>
  <c r="G6" i="31"/>
  <c r="H6" i="31"/>
  <c r="I6" i="31"/>
  <c r="J6" i="31"/>
  <c r="K6" i="31"/>
  <c r="L6" i="31"/>
  <c r="M6" i="31"/>
  <c r="N6" i="31"/>
  <c r="O6" i="31"/>
  <c r="P6" i="31"/>
  <c r="Q6" i="31"/>
  <c r="B6" i="32"/>
  <c r="C6" i="32"/>
  <c r="D6" i="32"/>
  <c r="E6" i="32"/>
  <c r="F6" i="32"/>
  <c r="G6" i="32"/>
  <c r="H6" i="32"/>
  <c r="I6" i="32"/>
  <c r="J6" i="32"/>
  <c r="K6" i="32"/>
  <c r="L6" i="32"/>
  <c r="M6" i="32"/>
  <c r="N6" i="32"/>
  <c r="O6" i="32"/>
  <c r="P6" i="32"/>
  <c r="Q6" i="32"/>
  <c r="B6" i="33"/>
  <c r="C6" i="33"/>
  <c r="D6" i="33"/>
  <c r="E6" i="33"/>
  <c r="F6" i="33"/>
  <c r="G6" i="33"/>
  <c r="H6" i="33"/>
  <c r="I6" i="33"/>
  <c r="J6" i="33"/>
  <c r="K6" i="33"/>
  <c r="L6" i="33"/>
  <c r="M6" i="33"/>
  <c r="N6" i="33"/>
  <c r="O6" i="33"/>
  <c r="P6" i="33"/>
  <c r="Q6" i="33"/>
  <c r="B6" i="34"/>
  <c r="C6" i="34"/>
  <c r="D6" i="34"/>
  <c r="E6" i="34"/>
  <c r="F6" i="34"/>
  <c r="G6" i="34"/>
  <c r="H6" i="34"/>
  <c r="I6" i="34"/>
  <c r="J6" i="34"/>
  <c r="K6" i="34"/>
  <c r="L6" i="34"/>
  <c r="M6" i="34"/>
  <c r="N6" i="34"/>
  <c r="O6" i="34"/>
  <c r="P6" i="34"/>
  <c r="Q6" i="34"/>
  <c r="B6" i="35"/>
  <c r="C6" i="35"/>
  <c r="D6" i="35"/>
  <c r="E6" i="35"/>
  <c r="F6" i="35"/>
  <c r="G6" i="35"/>
  <c r="H6" i="35"/>
  <c r="I6" i="35"/>
  <c r="J6" i="35"/>
  <c r="K6" i="35"/>
  <c r="L6" i="35"/>
  <c r="M6" i="35"/>
  <c r="N6" i="35"/>
  <c r="O6" i="35"/>
  <c r="P6" i="35"/>
  <c r="Q6" i="35"/>
  <c r="C15" i="25"/>
  <c r="C15" i="28" s="1"/>
  <c r="D15" i="25"/>
  <c r="D15" i="28" s="1"/>
  <c r="E15" i="25"/>
  <c r="E15" i="28" s="1"/>
  <c r="F15" i="25"/>
  <c r="F15" i="28" s="1"/>
  <c r="G15" i="25"/>
  <c r="G15" i="28" s="1"/>
  <c r="H15" i="25"/>
  <c r="H15" i="28" s="1"/>
  <c r="I15" i="25"/>
  <c r="I15" i="28" s="1"/>
  <c r="J15" i="25"/>
  <c r="J15" i="28" s="1"/>
  <c r="K15" i="25"/>
  <c r="K15" i="28" s="1"/>
  <c r="L15" i="25"/>
  <c r="L15" i="28" s="1"/>
  <c r="M15" i="25"/>
  <c r="M15" i="28" s="1"/>
  <c r="N15" i="25"/>
  <c r="N15" i="28" s="1"/>
  <c r="O15" i="25"/>
  <c r="O15" i="28" s="1"/>
  <c r="P15" i="25"/>
  <c r="P15" i="28" s="1"/>
  <c r="Q15" i="25"/>
  <c r="Q15" i="28" s="1"/>
  <c r="C27" i="25"/>
  <c r="C27" i="28" s="1"/>
  <c r="D27" i="25"/>
  <c r="D27" i="28" s="1"/>
  <c r="E27" i="25"/>
  <c r="E27" i="28" s="1"/>
  <c r="F27" i="25"/>
  <c r="F27" i="28" s="1"/>
  <c r="G27" i="25"/>
  <c r="G27" i="28" s="1"/>
  <c r="H27" i="25"/>
  <c r="H27" i="28" s="1"/>
  <c r="I27" i="25"/>
  <c r="I27" i="28" s="1"/>
  <c r="J27" i="25"/>
  <c r="J27" i="28" s="1"/>
  <c r="K27" i="25"/>
  <c r="K27" i="28" s="1"/>
  <c r="L27" i="25"/>
  <c r="L27" i="28" s="1"/>
  <c r="M27" i="25"/>
  <c r="M27" i="28" s="1"/>
  <c r="N27" i="25"/>
  <c r="N27" i="28" s="1"/>
  <c r="O27" i="25"/>
  <c r="O27" i="28" s="1"/>
  <c r="P27" i="25"/>
  <c r="P27" i="28" s="1"/>
  <c r="Q27" i="25"/>
  <c r="Q27" i="28" s="1"/>
  <c r="C28" i="25"/>
  <c r="C28" i="28" s="1"/>
  <c r="D28" i="25"/>
  <c r="D28" i="28" s="1"/>
  <c r="E28" i="25"/>
  <c r="E28" i="28" s="1"/>
  <c r="F28" i="25"/>
  <c r="F28" i="28" s="1"/>
  <c r="G28" i="25"/>
  <c r="G28" i="28" s="1"/>
  <c r="H28" i="25"/>
  <c r="H28" i="28" s="1"/>
  <c r="I28" i="25"/>
  <c r="I28" i="28" s="1"/>
  <c r="J28" i="25"/>
  <c r="J28" i="28" s="1"/>
  <c r="K28" i="25"/>
  <c r="K28" i="28" s="1"/>
  <c r="L28" i="25"/>
  <c r="L28" i="28" s="1"/>
  <c r="M28" i="25"/>
  <c r="M28" i="28" s="1"/>
  <c r="N28" i="25"/>
  <c r="N28" i="28" s="1"/>
  <c r="O28" i="25"/>
  <c r="O28" i="28" s="1"/>
  <c r="P28" i="25"/>
  <c r="P28" i="28" s="1"/>
  <c r="Q28" i="25"/>
  <c r="Q28" i="28" s="1"/>
  <c r="N6" i="25"/>
  <c r="N6" i="28" s="1"/>
  <c r="Q6" i="25"/>
  <c r="Q6" i="28" s="1"/>
  <c r="C11" i="25"/>
  <c r="C11" i="28" s="1"/>
  <c r="D11" i="25"/>
  <c r="D11" i="28" s="1"/>
  <c r="E11" i="25"/>
  <c r="E11" i="28" s="1"/>
  <c r="F11" i="25"/>
  <c r="F11" i="28" s="1"/>
  <c r="G11" i="25"/>
  <c r="G11" i="28" s="1"/>
  <c r="H11" i="25"/>
  <c r="H11" i="28" s="1"/>
  <c r="I11" i="25"/>
  <c r="I11" i="28" s="1"/>
  <c r="J11" i="25"/>
  <c r="J11" i="28" s="1"/>
  <c r="K11" i="25"/>
  <c r="K11" i="28" s="1"/>
  <c r="L11" i="25"/>
  <c r="L11" i="28" s="1"/>
  <c r="M11" i="25"/>
  <c r="M11" i="28" s="1"/>
  <c r="N11" i="25"/>
  <c r="N11" i="28" s="1"/>
  <c r="O11" i="25"/>
  <c r="O11" i="28" s="1"/>
  <c r="P11" i="25"/>
  <c r="P11" i="28" s="1"/>
  <c r="Q11" i="25"/>
  <c r="Q11" i="28" s="1"/>
  <c r="C12" i="25"/>
  <c r="C12" i="28" s="1"/>
  <c r="D12" i="25"/>
  <c r="D12" i="28" s="1"/>
  <c r="E12" i="25"/>
  <c r="E12" i="28" s="1"/>
  <c r="F12" i="25"/>
  <c r="F12" i="28" s="1"/>
  <c r="G12" i="25"/>
  <c r="G12" i="28" s="1"/>
  <c r="H12" i="25"/>
  <c r="H12" i="28" s="1"/>
  <c r="I12" i="25"/>
  <c r="I12" i="28" s="1"/>
  <c r="J12" i="25"/>
  <c r="J12" i="28" s="1"/>
  <c r="K12" i="25"/>
  <c r="K12" i="28" s="1"/>
  <c r="L12" i="25"/>
  <c r="L12" i="28" s="1"/>
  <c r="M12" i="25"/>
  <c r="M12" i="28" s="1"/>
  <c r="N12" i="25"/>
  <c r="N12" i="28" s="1"/>
  <c r="O12" i="25"/>
  <c r="O12" i="28" s="1"/>
  <c r="P12" i="25"/>
  <c r="P12" i="28" s="1"/>
  <c r="Q12" i="25"/>
  <c r="Q12" i="28" s="1"/>
  <c r="C13" i="25"/>
  <c r="C13" i="28" s="1"/>
  <c r="D13" i="25"/>
  <c r="D13" i="28" s="1"/>
  <c r="E13" i="25"/>
  <c r="E13" i="28" s="1"/>
  <c r="F13" i="25"/>
  <c r="F13" i="28" s="1"/>
  <c r="G13" i="25"/>
  <c r="G13" i="28" s="1"/>
  <c r="H13" i="25"/>
  <c r="H13" i="28" s="1"/>
  <c r="I13" i="25"/>
  <c r="I13" i="28" s="1"/>
  <c r="J13" i="25"/>
  <c r="J13" i="28" s="1"/>
  <c r="K13" i="25"/>
  <c r="K13" i="28" s="1"/>
  <c r="L13" i="25"/>
  <c r="L13" i="28" s="1"/>
  <c r="M13" i="25"/>
  <c r="M13" i="28" s="1"/>
  <c r="N13" i="25"/>
  <c r="N13" i="28" s="1"/>
  <c r="O13" i="25"/>
  <c r="O13" i="28" s="1"/>
  <c r="P13" i="25"/>
  <c r="P13" i="28" s="1"/>
  <c r="Q13" i="25"/>
  <c r="Q13" i="28" s="1"/>
  <c r="C14" i="25"/>
  <c r="C14" i="28" s="1"/>
  <c r="D14" i="25"/>
  <c r="D14" i="28" s="1"/>
  <c r="E14" i="25"/>
  <c r="E14" i="28" s="1"/>
  <c r="F14" i="25"/>
  <c r="F14" i="28" s="1"/>
  <c r="G14" i="25"/>
  <c r="G14" i="28" s="1"/>
  <c r="H14" i="25"/>
  <c r="H14" i="28" s="1"/>
  <c r="I14" i="25"/>
  <c r="I14" i="28" s="1"/>
  <c r="J14" i="25"/>
  <c r="J14" i="28" s="1"/>
  <c r="K14" i="25"/>
  <c r="K14" i="28" s="1"/>
  <c r="L14" i="25"/>
  <c r="L14" i="28" s="1"/>
  <c r="M14" i="25"/>
  <c r="M14" i="28" s="1"/>
  <c r="N14" i="25"/>
  <c r="N14" i="28" s="1"/>
  <c r="O14" i="25"/>
  <c r="O14" i="28" s="1"/>
  <c r="P14" i="25"/>
  <c r="P14" i="28" s="1"/>
  <c r="Q14" i="25"/>
  <c r="Q14" i="28" s="1"/>
  <c r="C18" i="25"/>
  <c r="C18" i="28" s="1"/>
  <c r="D18" i="25"/>
  <c r="D18" i="28" s="1"/>
  <c r="E18" i="25"/>
  <c r="E18" i="28" s="1"/>
  <c r="G18" i="25"/>
  <c r="G18" i="28" s="1"/>
  <c r="H18" i="25"/>
  <c r="H18" i="28" s="1"/>
  <c r="I18" i="25"/>
  <c r="I18" i="28" s="1"/>
  <c r="J18" i="25"/>
  <c r="J18" i="28" s="1"/>
  <c r="K18" i="25"/>
  <c r="K18" i="28" s="1"/>
  <c r="L18" i="25"/>
  <c r="L18" i="28" s="1"/>
  <c r="M18" i="25"/>
  <c r="M18" i="28" s="1"/>
  <c r="O18" i="25"/>
  <c r="O18" i="28" s="1"/>
  <c r="P18" i="25"/>
  <c r="P18" i="28" s="1"/>
  <c r="Q18" i="25"/>
  <c r="Q18" i="28" s="1"/>
  <c r="C25" i="25"/>
  <c r="C25" i="28" s="1"/>
  <c r="D25" i="25"/>
  <c r="D25" i="28" s="1"/>
  <c r="E25" i="25"/>
  <c r="E25" i="28" s="1"/>
  <c r="F25" i="25"/>
  <c r="F25" i="28" s="1"/>
  <c r="G25" i="25"/>
  <c r="G25" i="28" s="1"/>
  <c r="H25" i="25"/>
  <c r="H25" i="28" s="1"/>
  <c r="I25" i="25"/>
  <c r="I25" i="28" s="1"/>
  <c r="J25" i="25"/>
  <c r="J25" i="28" s="1"/>
  <c r="K25" i="25"/>
  <c r="K25" i="28" s="1"/>
  <c r="L25" i="25"/>
  <c r="L25" i="28" s="1"/>
  <c r="M25" i="25"/>
  <c r="M25" i="28" s="1"/>
  <c r="N25" i="25"/>
  <c r="N25" i="28" s="1"/>
  <c r="O25" i="25"/>
  <c r="O25" i="28" s="1"/>
  <c r="P25" i="25"/>
  <c r="P25" i="28" s="1"/>
  <c r="Q25" i="25"/>
  <c r="Q25" i="28" s="1"/>
  <c r="C26" i="25"/>
  <c r="C26" i="28" s="1"/>
  <c r="D26" i="25"/>
  <c r="D26" i="28" s="1"/>
  <c r="E26" i="25"/>
  <c r="E26" i="28" s="1"/>
  <c r="F26" i="25"/>
  <c r="F26" i="28" s="1"/>
  <c r="G26" i="25"/>
  <c r="G26" i="28" s="1"/>
  <c r="H26" i="25"/>
  <c r="H26" i="28" s="1"/>
  <c r="I26" i="25"/>
  <c r="I26" i="28" s="1"/>
  <c r="J26" i="25"/>
  <c r="J26" i="28" s="1"/>
  <c r="K26" i="25"/>
  <c r="K26" i="28" s="1"/>
  <c r="L26" i="25"/>
  <c r="L26" i="28" s="1"/>
  <c r="M26" i="25"/>
  <c r="M26" i="28" s="1"/>
  <c r="N26" i="25"/>
  <c r="N26" i="28" s="1"/>
  <c r="O26" i="25"/>
  <c r="O26" i="28" s="1"/>
  <c r="P26" i="25"/>
  <c r="P26" i="28" s="1"/>
  <c r="Q26" i="25"/>
  <c r="Q26" i="28" s="1"/>
  <c r="G32" i="25"/>
  <c r="G32" i="28" s="1"/>
  <c r="K32" i="25"/>
  <c r="K32" i="28" s="1"/>
  <c r="M32" i="25"/>
  <c r="M32" i="28" s="1"/>
  <c r="C33" i="25"/>
  <c r="C33" i="28" s="1"/>
  <c r="D33" i="25"/>
  <c r="D33" i="28" s="1"/>
  <c r="F33" i="25"/>
  <c r="F33" i="28" s="1"/>
  <c r="G33" i="25"/>
  <c r="G33" i="28" s="1"/>
  <c r="H33" i="25"/>
  <c r="H33" i="28" s="1"/>
  <c r="I33" i="25"/>
  <c r="I33" i="28" s="1"/>
  <c r="J33" i="25"/>
  <c r="J33" i="28" s="1"/>
  <c r="K33" i="25"/>
  <c r="K33" i="28" s="1"/>
  <c r="L33" i="25"/>
  <c r="L33" i="28" s="1"/>
  <c r="M33" i="25"/>
  <c r="M33" i="28" s="1"/>
  <c r="N33" i="25"/>
  <c r="N33" i="28" s="1"/>
  <c r="O33" i="25"/>
  <c r="O33" i="28" s="1"/>
  <c r="P33" i="25"/>
  <c r="P33" i="28" s="1"/>
  <c r="Q33" i="25"/>
  <c r="Q33" i="28" s="1"/>
  <c r="N6" i="27"/>
  <c r="I5" i="21"/>
  <c r="C6" i="21"/>
  <c r="F6" i="21"/>
  <c r="N6" i="26"/>
  <c r="Q6" i="26"/>
  <c r="G7" i="21"/>
  <c r="L8" i="21"/>
  <c r="P8" i="21"/>
  <c r="E9" i="21"/>
  <c r="I9" i="21"/>
  <c r="P12" i="21"/>
  <c r="E13" i="21"/>
  <c r="I13" i="21"/>
  <c r="M13" i="21"/>
  <c r="E15" i="21"/>
  <c r="O15" i="21"/>
  <c r="J30" i="21"/>
  <c r="O31" i="21"/>
  <c r="B15" i="14"/>
  <c r="B15" i="17" s="1"/>
  <c r="C15" i="14"/>
  <c r="C15" i="17" s="1"/>
  <c r="D15" i="14"/>
  <c r="D15" i="17" s="1"/>
  <c r="E15" i="14"/>
  <c r="E15" i="17" s="1"/>
  <c r="F15" i="14"/>
  <c r="F15" i="17" s="1"/>
  <c r="G15" i="14"/>
  <c r="G15" i="17" s="1"/>
  <c r="H15" i="14"/>
  <c r="H15" i="17" s="1"/>
  <c r="I15" i="14"/>
  <c r="I15" i="17" s="1"/>
  <c r="J15" i="14"/>
  <c r="J15" i="17" s="1"/>
  <c r="K15" i="14"/>
  <c r="K15" i="17" s="1"/>
  <c r="L15" i="14"/>
  <c r="L15" i="17" s="1"/>
  <c r="M15" i="14"/>
  <c r="M15" i="17" s="1"/>
  <c r="N15" i="14"/>
  <c r="N15" i="17" s="1"/>
  <c r="O15" i="14"/>
  <c r="O15" i="17" s="1"/>
  <c r="P15" i="14"/>
  <c r="P15" i="17" s="1"/>
  <c r="Q15" i="14"/>
  <c r="Q15" i="17" s="1"/>
  <c r="B27" i="14"/>
  <c r="B27" i="17" s="1"/>
  <c r="C27" i="14"/>
  <c r="C27" i="17" s="1"/>
  <c r="D27" i="14"/>
  <c r="D27" i="17" s="1"/>
  <c r="E27" i="14"/>
  <c r="E27" i="17" s="1"/>
  <c r="F27" i="14"/>
  <c r="F27" i="17" s="1"/>
  <c r="G27" i="14"/>
  <c r="G27" i="17" s="1"/>
  <c r="H27" i="14"/>
  <c r="H27" i="17" s="1"/>
  <c r="I27" i="14"/>
  <c r="I27" i="17" s="1"/>
  <c r="J27" i="14"/>
  <c r="J27" i="17" s="1"/>
  <c r="K27" i="14"/>
  <c r="K27" i="17" s="1"/>
  <c r="L27" i="14"/>
  <c r="L27" i="17" s="1"/>
  <c r="M27" i="14"/>
  <c r="M27" i="17" s="1"/>
  <c r="N27" i="14"/>
  <c r="N27" i="17" s="1"/>
  <c r="O27" i="14"/>
  <c r="O27" i="17" s="1"/>
  <c r="P27" i="14"/>
  <c r="P27" i="17" s="1"/>
  <c r="Q27" i="14"/>
  <c r="Q27" i="17" s="1"/>
  <c r="B28" i="14"/>
  <c r="B28" i="17" s="1"/>
  <c r="C28" i="14"/>
  <c r="C28" i="17" s="1"/>
  <c r="D28" i="14"/>
  <c r="D28" i="17" s="1"/>
  <c r="E28" i="14"/>
  <c r="E28" i="17" s="1"/>
  <c r="F28" i="14"/>
  <c r="F28" i="17" s="1"/>
  <c r="G28" i="14"/>
  <c r="G28" i="17" s="1"/>
  <c r="H28" i="14"/>
  <c r="H28" i="17" s="1"/>
  <c r="I28" i="14"/>
  <c r="I28" i="17" s="1"/>
  <c r="J28" i="14"/>
  <c r="J28" i="17" s="1"/>
  <c r="K28" i="14"/>
  <c r="K28" i="17" s="1"/>
  <c r="L28" i="14"/>
  <c r="L28" i="17" s="1"/>
  <c r="M28" i="14"/>
  <c r="M28" i="17" s="1"/>
  <c r="N28" i="14"/>
  <c r="N28" i="17" s="1"/>
  <c r="O28" i="14"/>
  <c r="O28" i="17" s="1"/>
  <c r="P28" i="14"/>
  <c r="P28" i="17" s="1"/>
  <c r="Q28" i="14"/>
  <c r="Q28" i="17" s="1"/>
  <c r="B11" i="14"/>
  <c r="B11" i="17" s="1"/>
  <c r="C11" i="14"/>
  <c r="C11" i="17" s="1"/>
  <c r="D11" i="14"/>
  <c r="D11" i="17" s="1"/>
  <c r="E11" i="14"/>
  <c r="E11" i="17" s="1"/>
  <c r="F11" i="14"/>
  <c r="F11" i="17" s="1"/>
  <c r="G11" i="14"/>
  <c r="G11" i="17" s="1"/>
  <c r="H11" i="14"/>
  <c r="H11" i="17" s="1"/>
  <c r="I11" i="14"/>
  <c r="I11" i="17" s="1"/>
  <c r="J11" i="14"/>
  <c r="J11" i="17" s="1"/>
  <c r="K11" i="14"/>
  <c r="K11" i="17" s="1"/>
  <c r="L11" i="14"/>
  <c r="L11" i="17" s="1"/>
  <c r="M11" i="14"/>
  <c r="M11" i="17" s="1"/>
  <c r="N11" i="14"/>
  <c r="N11" i="17" s="1"/>
  <c r="O11" i="14"/>
  <c r="O11" i="17" s="1"/>
  <c r="P11" i="14"/>
  <c r="P11" i="17" s="1"/>
  <c r="Q11" i="14"/>
  <c r="Q11" i="17" s="1"/>
  <c r="B12" i="14"/>
  <c r="B12" i="17" s="1"/>
  <c r="C12" i="14"/>
  <c r="C12" i="17" s="1"/>
  <c r="D12" i="14"/>
  <c r="D12" i="17" s="1"/>
  <c r="E12" i="14"/>
  <c r="E12" i="17" s="1"/>
  <c r="F12" i="14"/>
  <c r="F12" i="17" s="1"/>
  <c r="G12" i="14"/>
  <c r="G12" i="17" s="1"/>
  <c r="H12" i="14"/>
  <c r="H12" i="17" s="1"/>
  <c r="I12" i="14"/>
  <c r="I12" i="17" s="1"/>
  <c r="J12" i="14"/>
  <c r="J12" i="17" s="1"/>
  <c r="K12" i="14"/>
  <c r="K12" i="17" s="1"/>
  <c r="L12" i="14"/>
  <c r="L12" i="17" s="1"/>
  <c r="M12" i="14"/>
  <c r="M12" i="17" s="1"/>
  <c r="N12" i="14"/>
  <c r="N12" i="17" s="1"/>
  <c r="O12" i="14"/>
  <c r="O12" i="17" s="1"/>
  <c r="P12" i="14"/>
  <c r="P12" i="17" s="1"/>
  <c r="Q12" i="14"/>
  <c r="Q12" i="17" s="1"/>
  <c r="B13" i="14"/>
  <c r="B13" i="17" s="1"/>
  <c r="C13" i="14"/>
  <c r="C13" i="17" s="1"/>
  <c r="D13" i="14"/>
  <c r="D13" i="17" s="1"/>
  <c r="E13" i="14"/>
  <c r="E13" i="17" s="1"/>
  <c r="F13" i="14"/>
  <c r="F13" i="17" s="1"/>
  <c r="G13" i="14"/>
  <c r="G13" i="17" s="1"/>
  <c r="H13" i="14"/>
  <c r="H13" i="17" s="1"/>
  <c r="I13" i="14"/>
  <c r="I13" i="17" s="1"/>
  <c r="J13" i="14"/>
  <c r="J13" i="17" s="1"/>
  <c r="K13" i="14"/>
  <c r="K13" i="17" s="1"/>
  <c r="L13" i="14"/>
  <c r="L13" i="17" s="1"/>
  <c r="M13" i="14"/>
  <c r="M13" i="17" s="1"/>
  <c r="N13" i="14"/>
  <c r="N13" i="17" s="1"/>
  <c r="O13" i="14"/>
  <c r="O13" i="17" s="1"/>
  <c r="P13" i="14"/>
  <c r="P13" i="17" s="1"/>
  <c r="Q13" i="14"/>
  <c r="Q13" i="17" s="1"/>
  <c r="B14" i="14"/>
  <c r="B14" i="17" s="1"/>
  <c r="C14" i="14"/>
  <c r="C14" i="17" s="1"/>
  <c r="D14" i="14"/>
  <c r="D14" i="17" s="1"/>
  <c r="E14" i="14"/>
  <c r="E14" i="17" s="1"/>
  <c r="F14" i="14"/>
  <c r="F14" i="17" s="1"/>
  <c r="G14" i="14"/>
  <c r="G14" i="17" s="1"/>
  <c r="H14" i="14"/>
  <c r="H14" i="17" s="1"/>
  <c r="I14" i="14"/>
  <c r="I14" i="17" s="1"/>
  <c r="J14" i="14"/>
  <c r="J14" i="17" s="1"/>
  <c r="K14" i="14"/>
  <c r="K14" i="17" s="1"/>
  <c r="L14" i="14"/>
  <c r="L14" i="17" s="1"/>
  <c r="M14" i="14"/>
  <c r="M14" i="17" s="1"/>
  <c r="N14" i="14"/>
  <c r="N14" i="17" s="1"/>
  <c r="O14" i="14"/>
  <c r="O14" i="17" s="1"/>
  <c r="P14" i="14"/>
  <c r="P14" i="17" s="1"/>
  <c r="Q14" i="14"/>
  <c r="Q14" i="17" s="1"/>
  <c r="B18" i="14"/>
  <c r="B18" i="17" s="1"/>
  <c r="C18" i="14"/>
  <c r="C18" i="17" s="1"/>
  <c r="D18" i="14"/>
  <c r="D18" i="17" s="1"/>
  <c r="E18" i="14"/>
  <c r="E18" i="17" s="1"/>
  <c r="F18" i="14"/>
  <c r="F18" i="17" s="1"/>
  <c r="G18" i="14"/>
  <c r="G18" i="17" s="1"/>
  <c r="H18" i="14"/>
  <c r="H18" i="17" s="1"/>
  <c r="I18" i="14"/>
  <c r="I18" i="17" s="1"/>
  <c r="J18" i="14"/>
  <c r="J18" i="17" s="1"/>
  <c r="K18" i="14"/>
  <c r="K18" i="17" s="1"/>
  <c r="L18" i="14"/>
  <c r="L18" i="17" s="1"/>
  <c r="M18" i="14"/>
  <c r="M18" i="17" s="1"/>
  <c r="N18" i="14"/>
  <c r="N18" i="17" s="1"/>
  <c r="O18" i="14"/>
  <c r="O18" i="17" s="1"/>
  <c r="P18" i="14"/>
  <c r="P18" i="17" s="1"/>
  <c r="Q18" i="14"/>
  <c r="Q18" i="17" s="1"/>
  <c r="B25" i="14"/>
  <c r="B25" i="17" s="1"/>
  <c r="C25" i="14"/>
  <c r="C25" i="17" s="1"/>
  <c r="D25" i="14"/>
  <c r="D25" i="17" s="1"/>
  <c r="E25" i="14"/>
  <c r="E25" i="17" s="1"/>
  <c r="F25" i="14"/>
  <c r="F25" i="17" s="1"/>
  <c r="G25" i="14"/>
  <c r="G25" i="17" s="1"/>
  <c r="H25" i="14"/>
  <c r="H25" i="17" s="1"/>
  <c r="I25" i="14"/>
  <c r="I25" i="17" s="1"/>
  <c r="J25" i="14"/>
  <c r="J25" i="17" s="1"/>
  <c r="K25" i="14"/>
  <c r="K25" i="17" s="1"/>
  <c r="L25" i="14"/>
  <c r="L25" i="17" s="1"/>
  <c r="M25" i="14"/>
  <c r="M25" i="17" s="1"/>
  <c r="N25" i="14"/>
  <c r="N25" i="17" s="1"/>
  <c r="O25" i="14"/>
  <c r="O25" i="17" s="1"/>
  <c r="P25" i="14"/>
  <c r="P25" i="17" s="1"/>
  <c r="Q25" i="14"/>
  <c r="Q25" i="17" s="1"/>
  <c r="B26" i="14"/>
  <c r="B26" i="17" s="1"/>
  <c r="C26" i="14"/>
  <c r="C26" i="17" s="1"/>
  <c r="D26" i="14"/>
  <c r="D26" i="17" s="1"/>
  <c r="E26" i="14"/>
  <c r="E26" i="17" s="1"/>
  <c r="F26" i="14"/>
  <c r="F26" i="17" s="1"/>
  <c r="G26" i="14"/>
  <c r="G26" i="17" s="1"/>
  <c r="H26" i="14"/>
  <c r="H26" i="17" s="1"/>
  <c r="I26" i="14"/>
  <c r="I26" i="17" s="1"/>
  <c r="J26" i="14"/>
  <c r="J26" i="17" s="1"/>
  <c r="K26" i="14"/>
  <c r="K26" i="17" s="1"/>
  <c r="L26" i="14"/>
  <c r="L26" i="17" s="1"/>
  <c r="M26" i="14"/>
  <c r="M26" i="17" s="1"/>
  <c r="N26" i="14"/>
  <c r="N26" i="17" s="1"/>
  <c r="O26" i="14"/>
  <c r="O26" i="17" s="1"/>
  <c r="P26" i="14"/>
  <c r="P26" i="17" s="1"/>
  <c r="Q26" i="14"/>
  <c r="Q26" i="17" s="1"/>
  <c r="B33" i="14"/>
  <c r="B33" i="17" s="1"/>
  <c r="C33" i="14"/>
  <c r="C33" i="17" s="1"/>
  <c r="D33" i="14"/>
  <c r="D33" i="17" s="1"/>
  <c r="E33" i="14"/>
  <c r="E33" i="17" s="1"/>
  <c r="F33" i="14"/>
  <c r="F33" i="17" s="1"/>
  <c r="G33" i="14"/>
  <c r="G33" i="17" s="1"/>
  <c r="H33" i="14"/>
  <c r="H33" i="17" s="1"/>
  <c r="I33" i="14"/>
  <c r="I33" i="17" s="1"/>
  <c r="J33" i="14"/>
  <c r="J33" i="17" s="1"/>
  <c r="K33" i="14"/>
  <c r="K33" i="17" s="1"/>
  <c r="L33" i="14"/>
  <c r="L33" i="17" s="1"/>
  <c r="M33" i="14"/>
  <c r="M33" i="17" s="1"/>
  <c r="N33" i="14"/>
  <c r="N33" i="17" s="1"/>
  <c r="O33" i="14"/>
  <c r="O33" i="17" s="1"/>
  <c r="P33" i="14"/>
  <c r="P33" i="17" s="1"/>
  <c r="Q33" i="14"/>
  <c r="Q33" i="17" s="1"/>
  <c r="M5" i="14"/>
  <c r="M7" i="14"/>
  <c r="M8" i="14"/>
  <c r="M9" i="14"/>
  <c r="B15" i="7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M30" i="14"/>
  <c r="M31" i="14"/>
  <c r="B19" i="6"/>
  <c r="C19" i="6"/>
  <c r="B27" i="6"/>
  <c r="B95" i="6"/>
  <c r="O15" i="12" l="1"/>
  <c r="O15" i="13"/>
  <c r="N15" i="13"/>
  <c r="N15" i="12"/>
  <c r="F15" i="13"/>
  <c r="F15" i="12"/>
  <c r="L15" i="12"/>
  <c r="L15" i="15" s="1"/>
  <c r="L15" i="13"/>
  <c r="D15" i="12"/>
  <c r="D15" i="13"/>
  <c r="K15" i="13"/>
  <c r="K15" i="12"/>
  <c r="C15" i="12"/>
  <c r="C15" i="13"/>
  <c r="J15" i="13"/>
  <c r="J15" i="12"/>
  <c r="B15" i="12"/>
  <c r="B15" i="13"/>
  <c r="E15" i="12"/>
  <c r="E15" i="13"/>
  <c r="Q15" i="12"/>
  <c r="Q15" i="13"/>
  <c r="I15" i="12"/>
  <c r="I15" i="13"/>
  <c r="P15" i="12"/>
  <c r="P15" i="13"/>
  <c r="H15" i="13"/>
  <c r="H15" i="12"/>
  <c r="M15" i="12"/>
  <c r="M15" i="13"/>
  <c r="G15" i="12"/>
  <c r="G15" i="13"/>
  <c r="N47" i="37"/>
  <c r="L53" i="39"/>
  <c r="E52" i="39"/>
  <c r="E47" i="39"/>
  <c r="E46" i="39"/>
  <c r="E45" i="39"/>
  <c r="M34" i="39"/>
  <c r="M33" i="39"/>
  <c r="M32" i="39"/>
  <c r="O26" i="10"/>
  <c r="O18" i="10"/>
  <c r="G17" i="10"/>
  <c r="G15" i="10"/>
  <c r="O14" i="10"/>
  <c r="G13" i="10"/>
  <c r="O12" i="10"/>
  <c r="G11" i="10"/>
  <c r="O10" i="10"/>
  <c r="G9" i="10"/>
  <c r="O8" i="10"/>
  <c r="G7" i="10"/>
  <c r="O6" i="10"/>
  <c r="G5" i="10"/>
  <c r="D52" i="39"/>
  <c r="D47" i="39"/>
  <c r="D46" i="39"/>
  <c r="D45" i="39"/>
  <c r="L34" i="39"/>
  <c r="L33" i="39"/>
  <c r="L32" i="39"/>
  <c r="M40" i="39"/>
  <c r="J44" i="38"/>
  <c r="M52" i="39"/>
  <c r="Q31" i="14"/>
  <c r="Q7" i="14"/>
  <c r="I6" i="14"/>
  <c r="J47" i="37"/>
  <c r="L52" i="39"/>
  <c r="M50" i="39"/>
  <c r="E49" i="39"/>
  <c r="I8" i="21"/>
  <c r="J53" i="38"/>
  <c r="J52" i="38"/>
  <c r="J51" i="38"/>
  <c r="J50" i="38"/>
  <c r="J49" i="38"/>
  <c r="J47" i="38"/>
  <c r="L16" i="8"/>
  <c r="N16" i="19"/>
  <c r="F16" i="19"/>
  <c r="Q16" i="22"/>
  <c r="I16" i="22"/>
  <c r="E16" i="22"/>
  <c r="J14" i="21"/>
  <c r="B16" i="7"/>
  <c r="E29" i="9"/>
  <c r="O19" i="11"/>
  <c r="O16" i="11"/>
  <c r="G16" i="11"/>
  <c r="E32" i="25"/>
  <c r="K16" i="19"/>
  <c r="C16" i="19"/>
  <c r="H48" i="37"/>
  <c r="D46" i="37"/>
  <c r="E36" i="37"/>
  <c r="H15" i="18"/>
  <c r="D3" i="34"/>
  <c r="H3" i="31"/>
  <c r="M48" i="39"/>
  <c r="M35" i="37"/>
  <c r="Q44" i="39"/>
  <c r="M44" i="39"/>
  <c r="I44" i="39"/>
  <c r="E44" i="39"/>
  <c r="C21" i="14"/>
  <c r="G10" i="14"/>
  <c r="J10" i="25"/>
  <c r="Q9" i="25"/>
  <c r="M9" i="25"/>
  <c r="L8" i="25"/>
  <c r="O7" i="25"/>
  <c r="K7" i="25"/>
  <c r="G7" i="25"/>
  <c r="F6" i="25"/>
  <c r="F44" i="39"/>
  <c r="Q53" i="39"/>
  <c r="I53" i="39"/>
  <c r="O48" i="39"/>
  <c r="O44" i="39"/>
  <c r="K44" i="39"/>
  <c r="G44" i="39"/>
  <c r="C44" i="39"/>
  <c r="M12" i="21"/>
  <c r="H11" i="21"/>
  <c r="C10" i="21"/>
  <c r="H7" i="21"/>
  <c r="N5" i="21"/>
  <c r="G29" i="22"/>
  <c r="F16" i="22"/>
  <c r="O53" i="38"/>
  <c r="C53" i="38"/>
  <c r="O52" i="38"/>
  <c r="O51" i="38"/>
  <c r="C51" i="38"/>
  <c r="O50" i="38"/>
  <c r="O49" i="38"/>
  <c r="C49" i="38"/>
  <c r="O48" i="38"/>
  <c r="O47" i="38"/>
  <c r="C47" i="38"/>
  <c r="O46" i="38"/>
  <c r="O45" i="38"/>
  <c r="C45" i="38"/>
  <c r="O44" i="38"/>
  <c r="K44" i="38"/>
  <c r="G44" i="38"/>
  <c r="C44" i="38"/>
  <c r="C27" i="6"/>
  <c r="C8" i="26" s="1"/>
  <c r="B29" i="7"/>
  <c r="I28" i="15"/>
  <c r="M10" i="14"/>
  <c r="I33" i="21"/>
  <c r="Q53" i="38"/>
  <c r="Q40" i="37"/>
  <c r="M51" i="39"/>
  <c r="M38" i="37"/>
  <c r="I51" i="39"/>
  <c r="I38" i="37"/>
  <c r="E51" i="39"/>
  <c r="E38" i="37"/>
  <c r="Q50" i="39"/>
  <c r="Q37" i="37"/>
  <c r="I50" i="39"/>
  <c r="I37" i="37"/>
  <c r="E50" i="39"/>
  <c r="E37" i="37"/>
  <c r="Q49" i="39"/>
  <c r="Q49" i="38"/>
  <c r="M49" i="39"/>
  <c r="M36" i="37"/>
  <c r="I49" i="39"/>
  <c r="I36" i="37"/>
  <c r="Q48" i="39"/>
  <c r="Q35" i="37"/>
  <c r="I48" i="39"/>
  <c r="I35" i="37"/>
  <c r="E48" i="39"/>
  <c r="E35" i="37"/>
  <c r="Q47" i="38"/>
  <c r="Q34" i="37"/>
  <c r="Q45" i="38"/>
  <c r="Q32" i="37"/>
  <c r="L29" i="8"/>
  <c r="I24" i="14"/>
  <c r="E19" i="9"/>
  <c r="I10" i="34"/>
  <c r="G4" i="7"/>
  <c r="F20" i="10"/>
  <c r="P17" i="25"/>
  <c r="P16" i="18"/>
  <c r="B48" i="37"/>
  <c r="B51" i="37"/>
  <c r="B53" i="37"/>
  <c r="P15" i="21"/>
  <c r="H15" i="21"/>
  <c r="K14" i="21"/>
  <c r="G14" i="21"/>
  <c r="N13" i="21"/>
  <c r="J13" i="21"/>
  <c r="E12" i="21"/>
  <c r="L11" i="21"/>
  <c r="D11" i="21"/>
  <c r="K10" i="21"/>
  <c r="G10" i="21"/>
  <c r="F9" i="21"/>
  <c r="Q8" i="21"/>
  <c r="E8" i="21"/>
  <c r="O6" i="21"/>
  <c r="G6" i="21"/>
  <c r="O32" i="25"/>
  <c r="C32" i="25"/>
  <c r="N31" i="25"/>
  <c r="J31" i="25"/>
  <c r="J31" i="28" s="1"/>
  <c r="F31" i="25"/>
  <c r="Q30" i="25"/>
  <c r="E30" i="25"/>
  <c r="B34" i="36"/>
  <c r="O38" i="37"/>
  <c r="Q25" i="21"/>
  <c r="M25" i="21"/>
  <c r="O23" i="21"/>
  <c r="K23" i="21"/>
  <c r="M21" i="21"/>
  <c r="I21" i="21"/>
  <c r="M33" i="21"/>
  <c r="P32" i="21"/>
  <c r="L32" i="21"/>
  <c r="K31" i="21"/>
  <c r="N30" i="21"/>
  <c r="F30" i="21"/>
  <c r="K21" i="21"/>
  <c r="H12" i="21"/>
  <c r="M9" i="21"/>
  <c r="D8" i="21"/>
  <c r="K7" i="21"/>
  <c r="M5" i="21"/>
  <c r="J21" i="25"/>
  <c r="J21" i="28" s="1"/>
  <c r="C29" i="18"/>
  <c r="Q29" i="18"/>
  <c r="M29" i="18"/>
  <c r="I29" i="18"/>
  <c r="P29" i="18"/>
  <c r="L29" i="18"/>
  <c r="H29" i="18"/>
  <c r="D29" i="18"/>
  <c r="O16" i="18"/>
  <c r="G16" i="18"/>
  <c r="E29" i="20"/>
  <c r="H27" i="21"/>
  <c r="I24" i="21"/>
  <c r="G22" i="21"/>
  <c r="L18" i="21"/>
  <c r="G17" i="21"/>
  <c r="N51" i="37"/>
  <c r="F51" i="37"/>
  <c r="J50" i="37"/>
  <c r="B45" i="38"/>
  <c r="B44" i="38"/>
  <c r="D19" i="8"/>
  <c r="G19" i="8"/>
  <c r="O19" i="7"/>
  <c r="O16" i="7"/>
  <c r="O16" i="14" s="1"/>
  <c r="G16" i="7"/>
  <c r="G16" i="14" s="1"/>
  <c r="J15" i="10"/>
  <c r="J14" i="10"/>
  <c r="F14" i="10"/>
  <c r="J13" i="10"/>
  <c r="J12" i="10"/>
  <c r="F12" i="10"/>
  <c r="J11" i="10"/>
  <c r="J10" i="10"/>
  <c r="F10" i="10"/>
  <c r="J9" i="10"/>
  <c r="F8" i="10"/>
  <c r="J7" i="10"/>
  <c r="B7" i="10"/>
  <c r="F6" i="10"/>
  <c r="G29" i="7"/>
  <c r="D29" i="8"/>
  <c r="Q25" i="15"/>
  <c r="I23" i="10"/>
  <c r="I21" i="10"/>
  <c r="P33" i="10"/>
  <c r="H32" i="10"/>
  <c r="D32" i="10"/>
  <c r="P31" i="10"/>
  <c r="H30" i="10"/>
  <c r="N26" i="10"/>
  <c r="J26" i="10"/>
  <c r="B25" i="10"/>
  <c r="J24" i="10"/>
  <c r="B23" i="10"/>
  <c r="N22" i="10"/>
  <c r="J22" i="10"/>
  <c r="J20" i="10"/>
  <c r="G29" i="11"/>
  <c r="O30" i="25"/>
  <c r="G30" i="25"/>
  <c r="O53" i="39"/>
  <c r="O40" i="39"/>
  <c r="O52" i="39"/>
  <c r="O39" i="39"/>
  <c r="G39" i="39"/>
  <c r="G52" i="39"/>
  <c r="C52" i="39"/>
  <c r="C39" i="39"/>
  <c r="O38" i="39"/>
  <c r="O51" i="39"/>
  <c r="O50" i="39"/>
  <c r="O37" i="39"/>
  <c r="C37" i="39"/>
  <c r="C50" i="39"/>
  <c r="O36" i="39"/>
  <c r="O49" i="39"/>
  <c r="C36" i="39"/>
  <c r="C49" i="39"/>
  <c r="C48" i="39"/>
  <c r="C35" i="39"/>
  <c r="O47" i="39"/>
  <c r="O34" i="39"/>
  <c r="C34" i="39"/>
  <c r="C47" i="39"/>
  <c r="O46" i="39"/>
  <c r="O33" i="39"/>
  <c r="C46" i="39"/>
  <c r="C33" i="39"/>
  <c r="O45" i="39"/>
  <c r="O32" i="39"/>
  <c r="D16" i="8"/>
  <c r="I18" i="16"/>
  <c r="Q17" i="16"/>
  <c r="I17" i="16"/>
  <c r="I15" i="16"/>
  <c r="I13" i="16"/>
  <c r="I12" i="16"/>
  <c r="I11" i="16"/>
  <c r="Q10" i="16"/>
  <c r="I10" i="16"/>
  <c r="Q9" i="16"/>
  <c r="Q8" i="16"/>
  <c r="Q7" i="16"/>
  <c r="Q6" i="16"/>
  <c r="M32" i="14"/>
  <c r="M24" i="14"/>
  <c r="Q22" i="14"/>
  <c r="Q22" i="17" s="1"/>
  <c r="M22" i="14"/>
  <c r="M20" i="14"/>
  <c r="F4" i="22"/>
  <c r="M13" i="26"/>
  <c r="D33" i="15"/>
  <c r="D32" i="15"/>
  <c r="D31" i="15"/>
  <c r="D30" i="15"/>
  <c r="I32" i="15"/>
  <c r="I30" i="15"/>
  <c r="D4" i="8"/>
  <c r="H29" i="9"/>
  <c r="H16" i="9"/>
  <c r="G4" i="11"/>
  <c r="K24" i="25"/>
  <c r="J23" i="25"/>
  <c r="J23" i="28" s="1"/>
  <c r="F23" i="25"/>
  <c r="Q22" i="25"/>
  <c r="I22" i="25"/>
  <c r="H21" i="25"/>
  <c r="D21" i="25"/>
  <c r="Q5" i="16"/>
  <c r="Q32" i="14"/>
  <c r="Q10" i="14"/>
  <c r="Q8" i="14"/>
  <c r="Q8" i="17" s="1"/>
  <c r="I7" i="14"/>
  <c r="I7" i="17" s="1"/>
  <c r="D32" i="26"/>
  <c r="E28" i="26"/>
  <c r="H16" i="18"/>
  <c r="D16" i="18"/>
  <c r="M10" i="25"/>
  <c r="E10" i="25"/>
  <c r="L9" i="25"/>
  <c r="H9" i="25"/>
  <c r="D9" i="25"/>
  <c r="D9" i="28" s="1"/>
  <c r="G8" i="25"/>
  <c r="J7" i="25"/>
  <c r="F7" i="25"/>
  <c r="I6" i="25"/>
  <c r="D5" i="25"/>
  <c r="K32" i="21"/>
  <c r="C32" i="21"/>
  <c r="M24" i="26"/>
  <c r="E24" i="26"/>
  <c r="P23" i="26"/>
  <c r="D23" i="26"/>
  <c r="Q20" i="26"/>
  <c r="P14" i="26"/>
  <c r="D14" i="26"/>
  <c r="E11" i="26"/>
  <c r="N8" i="26"/>
  <c r="J8" i="26"/>
  <c r="M7" i="26"/>
  <c r="E7" i="26"/>
  <c r="P6" i="26"/>
  <c r="M29" i="20"/>
  <c r="N26" i="21"/>
  <c r="C18" i="21"/>
  <c r="F17" i="21"/>
  <c r="P16" i="22"/>
  <c r="P16" i="25" s="1"/>
  <c r="L16" i="22"/>
  <c r="P10" i="25"/>
  <c r="L10" i="25"/>
  <c r="H10" i="25"/>
  <c r="D10" i="25"/>
  <c r="O9" i="25"/>
  <c r="K9" i="25"/>
  <c r="G9" i="25"/>
  <c r="C9" i="25"/>
  <c r="N8" i="25"/>
  <c r="J8" i="25"/>
  <c r="J8" i="28" s="1"/>
  <c r="F8" i="25"/>
  <c r="Q7" i="25"/>
  <c r="M7" i="25"/>
  <c r="M7" i="28" s="1"/>
  <c r="I7" i="25"/>
  <c r="E7" i="25"/>
  <c r="E7" i="28" s="1"/>
  <c r="P6" i="25"/>
  <c r="L6" i="25"/>
  <c r="H6" i="25"/>
  <c r="D6" i="25"/>
  <c r="D6" i="28" s="1"/>
  <c r="O5" i="25"/>
  <c r="K5" i="25"/>
  <c r="G5" i="25"/>
  <c r="N53" i="37"/>
  <c r="N40" i="37"/>
  <c r="F53" i="37"/>
  <c r="F40" i="37"/>
  <c r="B53" i="38"/>
  <c r="J39" i="37"/>
  <c r="J52" i="37"/>
  <c r="B52" i="38"/>
  <c r="B39" i="37"/>
  <c r="B51" i="38"/>
  <c r="B38" i="37"/>
  <c r="B50" i="38"/>
  <c r="N36" i="37"/>
  <c r="N49" i="37"/>
  <c r="B49" i="38"/>
  <c r="B36" i="37"/>
  <c r="B49" i="37"/>
  <c r="J35" i="37"/>
  <c r="J48" i="37"/>
  <c r="B48" i="38"/>
  <c r="B35" i="37"/>
  <c r="F34" i="37"/>
  <c r="F47" i="37"/>
  <c r="B47" i="38"/>
  <c r="B34" i="37"/>
  <c r="B46" i="38"/>
  <c r="B33" i="37"/>
  <c r="P33" i="27"/>
  <c r="E30" i="27"/>
  <c r="M32" i="27"/>
  <c r="N18" i="21"/>
  <c r="J18" i="21"/>
  <c r="F18" i="21"/>
  <c r="I16" i="20"/>
  <c r="E16" i="20"/>
  <c r="L15" i="21"/>
  <c r="O14" i="21"/>
  <c r="F13" i="21"/>
  <c r="I12" i="21"/>
  <c r="J9" i="21"/>
  <c r="P7" i="21"/>
  <c r="D7" i="21"/>
  <c r="F5" i="21"/>
  <c r="M32" i="21"/>
  <c r="D31" i="21"/>
  <c r="Q32" i="25"/>
  <c r="H31" i="25"/>
  <c r="C30" i="25"/>
  <c r="Q24" i="25"/>
  <c r="Q24" i="28" s="1"/>
  <c r="M24" i="25"/>
  <c r="M24" i="28" s="1"/>
  <c r="E24" i="25"/>
  <c r="P23" i="25"/>
  <c r="L23" i="25"/>
  <c r="D23" i="25"/>
  <c r="D23" i="28" s="1"/>
  <c r="O22" i="25"/>
  <c r="K22" i="25"/>
  <c r="K22" i="28" s="1"/>
  <c r="C22" i="25"/>
  <c r="N21" i="25"/>
  <c r="Q20" i="25"/>
  <c r="I20" i="25"/>
  <c r="O9" i="33"/>
  <c r="O10" i="33"/>
  <c r="C8" i="30"/>
  <c r="D10" i="30"/>
  <c r="O5" i="30"/>
  <c r="C5" i="30"/>
  <c r="F49" i="37"/>
  <c r="B40" i="37"/>
  <c r="N38" i="37"/>
  <c r="J37" i="37"/>
  <c r="D15" i="18"/>
  <c r="G4" i="18"/>
  <c r="G3" i="18" s="1"/>
  <c r="M32" i="26"/>
  <c r="P31" i="26"/>
  <c r="Q33" i="21"/>
  <c r="H32" i="21"/>
  <c r="G31" i="21"/>
  <c r="Q27" i="21"/>
  <c r="C25" i="21"/>
  <c r="Q13" i="21"/>
  <c r="D12" i="21"/>
  <c r="Q9" i="21"/>
  <c r="O7" i="21"/>
  <c r="O18" i="21"/>
  <c r="P24" i="25"/>
  <c r="P24" i="28" s="1"/>
  <c r="L24" i="25"/>
  <c r="H24" i="25"/>
  <c r="D24" i="25"/>
  <c r="O23" i="25"/>
  <c r="K23" i="25"/>
  <c r="C23" i="25"/>
  <c r="N22" i="25"/>
  <c r="J22" i="25"/>
  <c r="F22" i="25"/>
  <c r="Q21" i="25"/>
  <c r="M21" i="25"/>
  <c r="I21" i="25"/>
  <c r="E21" i="25"/>
  <c r="D20" i="25"/>
  <c r="J48" i="38"/>
  <c r="J46" i="38"/>
  <c r="J45" i="38"/>
  <c r="O37" i="37"/>
  <c r="Q51" i="38"/>
  <c r="M53" i="38"/>
  <c r="I53" i="38"/>
  <c r="E53" i="38"/>
  <c r="Q52" i="38"/>
  <c r="M52" i="38"/>
  <c r="I52" i="38"/>
  <c r="E52" i="38"/>
  <c r="M51" i="38"/>
  <c r="I51" i="38"/>
  <c r="E51" i="38"/>
  <c r="Q50" i="38"/>
  <c r="M50" i="38"/>
  <c r="I50" i="38"/>
  <c r="E50" i="38"/>
  <c r="M49" i="38"/>
  <c r="I49" i="38"/>
  <c r="E49" i="38"/>
  <c r="Q48" i="38"/>
  <c r="M48" i="38"/>
  <c r="I48" i="38"/>
  <c r="E48" i="38"/>
  <c r="M47" i="38"/>
  <c r="I47" i="38"/>
  <c r="E47" i="38"/>
  <c r="Q46" i="38"/>
  <c r="M46" i="38"/>
  <c r="I46" i="38"/>
  <c r="E46" i="38"/>
  <c r="M45" i="38"/>
  <c r="I45" i="38"/>
  <c r="E45" i="38"/>
  <c r="D31" i="39"/>
  <c r="N44" i="39"/>
  <c r="J44" i="39"/>
  <c r="B44" i="39"/>
  <c r="H50" i="37"/>
  <c r="P53" i="37"/>
  <c r="H53" i="37"/>
  <c r="P52" i="37"/>
  <c r="H52" i="37"/>
  <c r="P51" i="37"/>
  <c r="H51" i="37"/>
  <c r="P50" i="37"/>
  <c r="P49" i="37"/>
  <c r="H49" i="37"/>
  <c r="P48" i="37"/>
  <c r="P47" i="37"/>
  <c r="H47" i="37"/>
  <c r="D45" i="37"/>
  <c r="L10" i="34"/>
  <c r="B19" i="7"/>
  <c r="C16" i="7"/>
  <c r="B4" i="7"/>
  <c r="B3" i="7" s="1"/>
  <c r="O16" i="8"/>
  <c r="O16" i="12" s="1"/>
  <c r="L4" i="8"/>
  <c r="B19" i="11"/>
  <c r="O15" i="18"/>
  <c r="O4" i="18"/>
  <c r="O3" i="18" s="1"/>
  <c r="M19" i="19"/>
  <c r="E19" i="19"/>
  <c r="G26" i="21"/>
  <c r="J25" i="21"/>
  <c r="F25" i="21"/>
  <c r="M24" i="21"/>
  <c r="E24" i="21"/>
  <c r="O22" i="21"/>
  <c r="F21" i="21"/>
  <c r="E20" i="21"/>
  <c r="N16" i="20"/>
  <c r="Q24" i="21"/>
  <c r="C29" i="7"/>
  <c r="Q19" i="7"/>
  <c r="E19" i="7"/>
  <c r="G32" i="10"/>
  <c r="O31" i="10"/>
  <c r="H19" i="8"/>
  <c r="H32" i="14"/>
  <c r="Q23" i="14"/>
  <c r="Q23" i="17" s="1"/>
  <c r="I23" i="14"/>
  <c r="E22" i="14"/>
  <c r="I21" i="14"/>
  <c r="Q19" i="11"/>
  <c r="Q20" i="14"/>
  <c r="E20" i="14"/>
  <c r="K27" i="21"/>
  <c r="E21" i="21"/>
  <c r="F4" i="19"/>
  <c r="H20" i="21"/>
  <c r="G23" i="25"/>
  <c r="G19" i="22"/>
  <c r="O32" i="28"/>
  <c r="J29" i="7"/>
  <c r="Q16" i="7"/>
  <c r="M16" i="7"/>
  <c r="I16" i="7"/>
  <c r="I17" i="14"/>
  <c r="E16" i="7"/>
  <c r="D14" i="15"/>
  <c r="H12" i="15"/>
  <c r="D10" i="15"/>
  <c r="D8" i="15"/>
  <c r="L6" i="15"/>
  <c r="D6" i="15"/>
  <c r="L4" i="7"/>
  <c r="L3" i="7" s="1"/>
  <c r="D4" i="7"/>
  <c r="E16" i="9"/>
  <c r="B4" i="9"/>
  <c r="O32" i="14"/>
  <c r="G31" i="14"/>
  <c r="C31" i="14"/>
  <c r="O29" i="11"/>
  <c r="D23" i="21"/>
  <c r="M30" i="25"/>
  <c r="M29" i="22"/>
  <c r="J19" i="7"/>
  <c r="K16" i="7"/>
  <c r="J4" i="7"/>
  <c r="J3" i="7" s="1"/>
  <c r="D11" i="26"/>
  <c r="L27" i="21"/>
  <c r="D27" i="21"/>
  <c r="K26" i="21"/>
  <c r="C26" i="21"/>
  <c r="N25" i="21"/>
  <c r="P23" i="21"/>
  <c r="L23" i="21"/>
  <c r="H23" i="21"/>
  <c r="C22" i="21"/>
  <c r="N21" i="21"/>
  <c r="J21" i="21"/>
  <c r="J21" i="27"/>
  <c r="Q20" i="21"/>
  <c r="M19" i="20"/>
  <c r="I20" i="21"/>
  <c r="F19" i="20"/>
  <c r="C6" i="25"/>
  <c r="O29" i="7"/>
  <c r="K29" i="7"/>
  <c r="M19" i="7"/>
  <c r="I19" i="7"/>
  <c r="O33" i="10"/>
  <c r="G33" i="10"/>
  <c r="O32" i="10"/>
  <c r="G31" i="10"/>
  <c r="O30" i="10"/>
  <c r="G30" i="10"/>
  <c r="C30" i="10"/>
  <c r="L19" i="8"/>
  <c r="M16" i="9"/>
  <c r="L32" i="14"/>
  <c r="L30" i="14"/>
  <c r="L30" i="17" s="1"/>
  <c r="Q24" i="14"/>
  <c r="Q24" i="17" s="1"/>
  <c r="E24" i="14"/>
  <c r="M23" i="14"/>
  <c r="E23" i="14"/>
  <c r="I22" i="14"/>
  <c r="Q21" i="14"/>
  <c r="M21" i="14"/>
  <c r="E21" i="14"/>
  <c r="M19" i="11"/>
  <c r="I19" i="11"/>
  <c r="I20" i="14"/>
  <c r="I9" i="25"/>
  <c r="E4" i="18"/>
  <c r="E3" i="18" s="1"/>
  <c r="O27" i="21"/>
  <c r="I25" i="21"/>
  <c r="N4" i="19"/>
  <c r="O33" i="21"/>
  <c r="I31" i="21"/>
  <c r="L24" i="21"/>
  <c r="J22" i="21"/>
  <c r="M20" i="21"/>
  <c r="J6" i="25"/>
  <c r="J6" i="28" s="1"/>
  <c r="G10" i="25"/>
  <c r="B107" i="6"/>
  <c r="B82" i="6"/>
  <c r="B81" i="6" s="1"/>
  <c r="B48" i="6"/>
  <c r="K19" i="7"/>
  <c r="G19" i="7"/>
  <c r="C19" i="7"/>
  <c r="L16" i="7"/>
  <c r="D16" i="7"/>
  <c r="O4" i="7"/>
  <c r="O3" i="7" s="1"/>
  <c r="C4" i="7"/>
  <c r="C3" i="7" s="1"/>
  <c r="G4" i="8"/>
  <c r="B19" i="9"/>
  <c r="C23" i="14"/>
  <c r="B4" i="11"/>
  <c r="O30" i="14"/>
  <c r="G6" i="14"/>
  <c r="K16" i="18"/>
  <c r="C16" i="18"/>
  <c r="I19" i="20"/>
  <c r="K18" i="21"/>
  <c r="J17" i="21"/>
  <c r="J16" i="20"/>
  <c r="O16" i="20"/>
  <c r="O16" i="24" s="1"/>
  <c r="N17" i="21"/>
  <c r="L6" i="21"/>
  <c r="G25" i="10"/>
  <c r="O24" i="10"/>
  <c r="G23" i="10"/>
  <c r="O22" i="10"/>
  <c r="G21" i="10"/>
  <c r="O20" i="10"/>
  <c r="I17" i="15"/>
  <c r="M4" i="9"/>
  <c r="J16" i="11"/>
  <c r="B16" i="11"/>
  <c r="D9" i="14"/>
  <c r="D9" i="17" s="1"/>
  <c r="D4" i="11"/>
  <c r="Q4" i="18"/>
  <c r="Q3" i="18" s="1"/>
  <c r="L15" i="18"/>
  <c r="K29" i="19"/>
  <c r="G29" i="19"/>
  <c r="G30" i="26"/>
  <c r="P14" i="21"/>
  <c r="H14" i="21"/>
  <c r="N12" i="21"/>
  <c r="J12" i="21"/>
  <c r="P10" i="21"/>
  <c r="L10" i="21"/>
  <c r="D10" i="21"/>
  <c r="N8" i="21"/>
  <c r="J8" i="21"/>
  <c r="F8" i="21"/>
  <c r="H6" i="21"/>
  <c r="D6" i="21"/>
  <c r="G4" i="20"/>
  <c r="C13" i="21"/>
  <c r="P10" i="32"/>
  <c r="Q29" i="7"/>
  <c r="M29" i="7"/>
  <c r="I29" i="7"/>
  <c r="E29" i="7"/>
  <c r="D28" i="15"/>
  <c r="D26" i="15"/>
  <c r="H22" i="15"/>
  <c r="D22" i="15"/>
  <c r="D20" i="15"/>
  <c r="J16" i="7"/>
  <c r="Q4" i="7"/>
  <c r="M4" i="7"/>
  <c r="M3" i="7" s="1"/>
  <c r="I4" i="7"/>
  <c r="I3" i="7" s="1"/>
  <c r="E4" i="7"/>
  <c r="E3" i="7" s="1"/>
  <c r="I15" i="10"/>
  <c r="I13" i="10"/>
  <c r="I11" i="10"/>
  <c r="I7" i="10"/>
  <c r="I5" i="10"/>
  <c r="I29" i="9"/>
  <c r="M29" i="9"/>
  <c r="D28" i="16"/>
  <c r="H26" i="10"/>
  <c r="D26" i="10"/>
  <c r="P25" i="10"/>
  <c r="H24" i="10"/>
  <c r="D24" i="10"/>
  <c r="P23" i="10"/>
  <c r="H22" i="10"/>
  <c r="D22" i="10"/>
  <c r="P21" i="10"/>
  <c r="P20" i="10"/>
  <c r="H19" i="9"/>
  <c r="J18" i="10"/>
  <c r="N17" i="10"/>
  <c r="J17" i="10"/>
  <c r="F17" i="10"/>
  <c r="B16" i="9"/>
  <c r="B16" i="13" s="1"/>
  <c r="P15" i="10"/>
  <c r="P14" i="10"/>
  <c r="P13" i="10"/>
  <c r="P12" i="10"/>
  <c r="P11" i="10"/>
  <c r="P10" i="10"/>
  <c r="P9" i="10"/>
  <c r="P7" i="10"/>
  <c r="D6" i="10"/>
  <c r="P4" i="9"/>
  <c r="H4" i="9"/>
  <c r="E4" i="9"/>
  <c r="I32" i="14"/>
  <c r="I32" i="17" s="1"/>
  <c r="E32" i="14"/>
  <c r="I31" i="14"/>
  <c r="E31" i="14"/>
  <c r="Q29" i="11"/>
  <c r="M29" i="11"/>
  <c r="I29" i="11"/>
  <c r="I30" i="14"/>
  <c r="I30" i="17" s="1"/>
  <c r="E30" i="14"/>
  <c r="O24" i="14"/>
  <c r="G23" i="14"/>
  <c r="O22" i="14"/>
  <c r="G21" i="14"/>
  <c r="O20" i="14"/>
  <c r="G19" i="11"/>
  <c r="Q16" i="11"/>
  <c r="Q17" i="14"/>
  <c r="M16" i="11"/>
  <c r="M17" i="14"/>
  <c r="I16" i="11"/>
  <c r="E17" i="14"/>
  <c r="C10" i="14"/>
  <c r="O9" i="14"/>
  <c r="O9" i="17" s="1"/>
  <c r="G8" i="14"/>
  <c r="C8" i="14"/>
  <c r="O7" i="14"/>
  <c r="C6" i="14"/>
  <c r="O5" i="14"/>
  <c r="O4" i="11"/>
  <c r="Q30" i="14"/>
  <c r="P16" i="19"/>
  <c r="P17" i="26"/>
  <c r="L16" i="19"/>
  <c r="E27" i="21"/>
  <c r="K25" i="21"/>
  <c r="M23" i="21"/>
  <c r="I23" i="21"/>
  <c r="P22" i="21"/>
  <c r="P22" i="27"/>
  <c r="G21" i="21"/>
  <c r="P18" i="27"/>
  <c r="P18" i="21"/>
  <c r="C17" i="21"/>
  <c r="N4" i="20"/>
  <c r="J4" i="20"/>
  <c r="O25" i="21"/>
  <c r="E29" i="22"/>
  <c r="E33" i="25"/>
  <c r="E33" i="28" s="1"/>
  <c r="P29" i="22"/>
  <c r="P29" i="25" s="1"/>
  <c r="P29" i="28" s="1"/>
  <c r="C29" i="22"/>
  <c r="N29" i="22"/>
  <c r="D17" i="25"/>
  <c r="H9" i="32"/>
  <c r="H10" i="32"/>
  <c r="D9" i="32"/>
  <c r="D10" i="32"/>
  <c r="C9" i="31"/>
  <c r="C10" i="31"/>
  <c r="E8" i="34"/>
  <c r="F10" i="34"/>
  <c r="E8" i="30"/>
  <c r="F10" i="30"/>
  <c r="M5" i="30"/>
  <c r="I5" i="30"/>
  <c r="E5" i="30"/>
  <c r="M19" i="22"/>
  <c r="D16" i="22"/>
  <c r="D16" i="25" s="1"/>
  <c r="N10" i="25"/>
  <c r="P8" i="25"/>
  <c r="P8" i="28" s="1"/>
  <c r="H8" i="25"/>
  <c r="M4" i="22"/>
  <c r="B33" i="10"/>
  <c r="J32" i="10"/>
  <c r="F32" i="10"/>
  <c r="B31" i="10"/>
  <c r="N30" i="10"/>
  <c r="J30" i="10"/>
  <c r="F30" i="10"/>
  <c r="B29" i="9"/>
  <c r="Q22" i="16"/>
  <c r="Q21" i="16"/>
  <c r="I20" i="16"/>
  <c r="M19" i="9"/>
  <c r="P18" i="10"/>
  <c r="P17" i="10"/>
  <c r="O4" i="9"/>
  <c r="K4" i="9"/>
  <c r="G4" i="9"/>
  <c r="J29" i="11"/>
  <c r="B29" i="11"/>
  <c r="L24" i="14"/>
  <c r="H24" i="14"/>
  <c r="L22" i="14"/>
  <c r="H22" i="14"/>
  <c r="L20" i="14"/>
  <c r="H20" i="14"/>
  <c r="D19" i="11"/>
  <c r="G17" i="14"/>
  <c r="C16" i="11"/>
  <c r="I10" i="14"/>
  <c r="E10" i="14"/>
  <c r="Q9" i="14"/>
  <c r="I9" i="14"/>
  <c r="I9" i="17" s="1"/>
  <c r="E9" i="14"/>
  <c r="I8" i="14"/>
  <c r="E8" i="14"/>
  <c r="E7" i="14"/>
  <c r="Q6" i="14"/>
  <c r="Q6" i="17" s="1"/>
  <c r="M6" i="14"/>
  <c r="E6" i="14"/>
  <c r="Q4" i="11"/>
  <c r="Q5" i="14"/>
  <c r="M4" i="11"/>
  <c r="I4" i="11"/>
  <c r="I5" i="14"/>
  <c r="I5" i="17" s="1"/>
  <c r="E5" i="14"/>
  <c r="C17" i="14"/>
  <c r="N14" i="21"/>
  <c r="L12" i="21"/>
  <c r="K11" i="21"/>
  <c r="J10" i="21"/>
  <c r="H8" i="21"/>
  <c r="K4" i="19"/>
  <c r="Q5" i="26"/>
  <c r="F33" i="21"/>
  <c r="Q32" i="21"/>
  <c r="I32" i="21"/>
  <c r="E32" i="21"/>
  <c r="O30" i="21"/>
  <c r="K30" i="21"/>
  <c r="G30" i="21"/>
  <c r="C29" i="20"/>
  <c r="M20" i="25"/>
  <c r="P9" i="33"/>
  <c r="P10" i="33"/>
  <c r="L9" i="33"/>
  <c r="L10" i="33"/>
  <c r="D9" i="33"/>
  <c r="D10" i="33"/>
  <c r="P8" i="35"/>
  <c r="Q10" i="35"/>
  <c r="L8" i="35"/>
  <c r="M10" i="35"/>
  <c r="H8" i="35"/>
  <c r="I10" i="35"/>
  <c r="P8" i="34"/>
  <c r="P10" i="34"/>
  <c r="Q10" i="34"/>
  <c r="L8" i="34"/>
  <c r="M10" i="34"/>
  <c r="H8" i="34"/>
  <c r="H10" i="34"/>
  <c r="D8" i="34"/>
  <c r="E10" i="34"/>
  <c r="P8" i="33"/>
  <c r="Q10" i="33"/>
  <c r="L8" i="33"/>
  <c r="M10" i="33"/>
  <c r="H8" i="33"/>
  <c r="I10" i="33"/>
  <c r="E10" i="33"/>
  <c r="D8" i="33"/>
  <c r="L8" i="31"/>
  <c r="M10" i="31"/>
  <c r="I10" i="31"/>
  <c r="H8" i="31"/>
  <c r="D8" i="31"/>
  <c r="E10" i="31"/>
  <c r="P8" i="30"/>
  <c r="Q10" i="30"/>
  <c r="L8" i="30"/>
  <c r="L10" i="30"/>
  <c r="M10" i="30"/>
  <c r="H8" i="30"/>
  <c r="H10" i="30"/>
  <c r="I10" i="30"/>
  <c r="P5" i="30"/>
  <c r="H5" i="30"/>
  <c r="D5" i="30"/>
  <c r="C8" i="36"/>
  <c r="N19" i="18"/>
  <c r="C19" i="18"/>
  <c r="Q16" i="18"/>
  <c r="M16" i="18"/>
  <c r="I16" i="18"/>
  <c r="E16" i="18"/>
  <c r="P26" i="26"/>
  <c r="G25" i="26"/>
  <c r="E23" i="26"/>
  <c r="G18" i="26"/>
  <c r="J16" i="19"/>
  <c r="O16" i="19"/>
  <c r="P4" i="19"/>
  <c r="C4" i="19"/>
  <c r="F14" i="21"/>
  <c r="O11" i="21"/>
  <c r="F10" i="21"/>
  <c r="Q5" i="21"/>
  <c r="N6" i="21"/>
  <c r="I32" i="25"/>
  <c r="P31" i="25"/>
  <c r="L31" i="25"/>
  <c r="D31" i="25"/>
  <c r="D31" i="28" s="1"/>
  <c r="K30" i="25"/>
  <c r="N24" i="25"/>
  <c r="J24" i="25"/>
  <c r="J24" i="28" s="1"/>
  <c r="F24" i="25"/>
  <c r="Q23" i="25"/>
  <c r="M23" i="25"/>
  <c r="M23" i="28" s="1"/>
  <c r="I23" i="25"/>
  <c r="E23" i="25"/>
  <c r="E23" i="28" s="1"/>
  <c r="P22" i="25"/>
  <c r="P22" i="28" s="1"/>
  <c r="L22" i="25"/>
  <c r="H22" i="25"/>
  <c r="D22" i="25"/>
  <c r="D22" i="28" s="1"/>
  <c r="G21" i="25"/>
  <c r="C21" i="25"/>
  <c r="N17" i="25"/>
  <c r="J16" i="22"/>
  <c r="J17" i="25"/>
  <c r="F17" i="25"/>
  <c r="Q31" i="38"/>
  <c r="Q44" i="38"/>
  <c r="M44" i="38"/>
  <c r="E44" i="38"/>
  <c r="Q10" i="32"/>
  <c r="Q9" i="32"/>
  <c r="I10" i="32"/>
  <c r="K10" i="32"/>
  <c r="C19" i="19"/>
  <c r="C19" i="23" s="1"/>
  <c r="P18" i="26"/>
  <c r="D15" i="21"/>
  <c r="Q12" i="21"/>
  <c r="P11" i="21"/>
  <c r="O10" i="21"/>
  <c r="M8" i="21"/>
  <c r="L7" i="21"/>
  <c r="K6" i="21"/>
  <c r="N9" i="25"/>
  <c r="P7" i="25"/>
  <c r="P7" i="28" s="1"/>
  <c r="J5" i="25"/>
  <c r="C10" i="35"/>
  <c r="C10" i="32"/>
  <c r="I9" i="32"/>
  <c r="H31" i="39"/>
  <c r="K40" i="39"/>
  <c r="K53" i="39"/>
  <c r="G40" i="39"/>
  <c r="G53" i="39"/>
  <c r="K39" i="39"/>
  <c r="K52" i="39"/>
  <c r="K38" i="39"/>
  <c r="K51" i="39"/>
  <c r="G51" i="39"/>
  <c r="G38" i="39"/>
  <c r="K37" i="39"/>
  <c r="K50" i="39"/>
  <c r="G50" i="39"/>
  <c r="G37" i="39"/>
  <c r="K36" i="39"/>
  <c r="K49" i="39"/>
  <c r="G49" i="39"/>
  <c r="G36" i="39"/>
  <c r="K35" i="39"/>
  <c r="K48" i="39"/>
  <c r="G48" i="39"/>
  <c r="G35" i="39"/>
  <c r="K34" i="39"/>
  <c r="K47" i="39"/>
  <c r="G34" i="39"/>
  <c r="G47" i="39"/>
  <c r="K33" i="39"/>
  <c r="K46" i="39"/>
  <c r="K32" i="39"/>
  <c r="K45" i="39"/>
  <c r="G32" i="39"/>
  <c r="G45" i="39"/>
  <c r="P3" i="30"/>
  <c r="K53" i="38"/>
  <c r="K40" i="37"/>
  <c r="G53" i="38"/>
  <c r="G40" i="37"/>
  <c r="K52" i="38"/>
  <c r="K39" i="37"/>
  <c r="G52" i="38"/>
  <c r="G39" i="37"/>
  <c r="C52" i="38"/>
  <c r="C39" i="37"/>
  <c r="K51" i="38"/>
  <c r="K38" i="37"/>
  <c r="G51" i="38"/>
  <c r="G38" i="37"/>
  <c r="K50" i="38"/>
  <c r="K37" i="37"/>
  <c r="G50" i="38"/>
  <c r="G37" i="37"/>
  <c r="C50" i="38"/>
  <c r="C37" i="37"/>
  <c r="K49" i="38"/>
  <c r="K36" i="37"/>
  <c r="G49" i="38"/>
  <c r="G36" i="37"/>
  <c r="K48" i="38"/>
  <c r="K35" i="37"/>
  <c r="G48" i="38"/>
  <c r="G35" i="37"/>
  <c r="C48" i="38"/>
  <c r="C35" i="37"/>
  <c r="K47" i="38"/>
  <c r="K34" i="37"/>
  <c r="G47" i="38"/>
  <c r="G34" i="37"/>
  <c r="K46" i="38"/>
  <c r="K33" i="37"/>
  <c r="G46" i="38"/>
  <c r="G33" i="37"/>
  <c r="C46" i="38"/>
  <c r="C33" i="37"/>
  <c r="K45" i="38"/>
  <c r="K32" i="37"/>
  <c r="G45" i="38"/>
  <c r="G32" i="37"/>
  <c r="P31" i="38"/>
  <c r="L31" i="38"/>
  <c r="H31" i="38"/>
  <c r="D31" i="38"/>
  <c r="C53" i="39"/>
  <c r="C51" i="39"/>
  <c r="G46" i="39"/>
  <c r="C45" i="39"/>
  <c r="O35" i="39"/>
  <c r="I31" i="39"/>
  <c r="J53" i="37"/>
  <c r="F52" i="37"/>
  <c r="J51" i="37"/>
  <c r="F50" i="37"/>
  <c r="J49" i="37"/>
  <c r="O31" i="38"/>
  <c r="K31" i="38"/>
  <c r="G31" i="38"/>
  <c r="C31" i="38"/>
  <c r="Q31" i="39"/>
  <c r="N52" i="37"/>
  <c r="B52" i="37"/>
  <c r="N50" i="37"/>
  <c r="B50" i="37"/>
  <c r="N31" i="38"/>
  <c r="J31" i="38"/>
  <c r="F31" i="38"/>
  <c r="B31" i="38"/>
  <c r="N53" i="38"/>
  <c r="F53" i="38"/>
  <c r="N52" i="38"/>
  <c r="F52" i="38"/>
  <c r="N51" i="38"/>
  <c r="F51" i="38"/>
  <c r="N50" i="38"/>
  <c r="F50" i="38"/>
  <c r="N49" i="38"/>
  <c r="F49" i="38"/>
  <c r="N48" i="38"/>
  <c r="F48" i="38"/>
  <c r="N47" i="38"/>
  <c r="F47" i="38"/>
  <c r="N46" i="38"/>
  <c r="F46" i="38"/>
  <c r="N45" i="38"/>
  <c r="F45" i="38"/>
  <c r="N44" i="38"/>
  <c r="F44" i="38"/>
  <c r="P31" i="39"/>
  <c r="E31" i="39"/>
  <c r="N29" i="7"/>
  <c r="F29" i="7"/>
  <c r="P19" i="7"/>
  <c r="H19" i="7"/>
  <c r="L19" i="7"/>
  <c r="N16" i="7"/>
  <c r="F16" i="7"/>
  <c r="P4" i="7"/>
  <c r="P3" i="7" s="1"/>
  <c r="H4" i="7"/>
  <c r="H3" i="7" s="1"/>
  <c r="M29" i="8"/>
  <c r="E29" i="8"/>
  <c r="Q29" i="8"/>
  <c r="G29" i="8"/>
  <c r="O27" i="10"/>
  <c r="G27" i="10"/>
  <c r="G26" i="10"/>
  <c r="O25" i="10"/>
  <c r="G24" i="10"/>
  <c r="O23" i="10"/>
  <c r="G22" i="10"/>
  <c r="O21" i="10"/>
  <c r="K19" i="8"/>
  <c r="G20" i="10"/>
  <c r="C19" i="8"/>
  <c r="M16" i="8"/>
  <c r="E16" i="8"/>
  <c r="Q16" i="8"/>
  <c r="G16" i="8"/>
  <c r="O15" i="10"/>
  <c r="G14" i="10"/>
  <c r="O13" i="10"/>
  <c r="G12" i="10"/>
  <c r="O11" i="10"/>
  <c r="G10" i="10"/>
  <c r="O9" i="10"/>
  <c r="G8" i="10"/>
  <c r="O7" i="10"/>
  <c r="G6" i="10"/>
  <c r="O5" i="10"/>
  <c r="K4" i="8"/>
  <c r="C4" i="8"/>
  <c r="C4" i="12" s="1"/>
  <c r="L33" i="10"/>
  <c r="H33" i="10"/>
  <c r="H33" i="16"/>
  <c r="D33" i="10"/>
  <c r="P32" i="10"/>
  <c r="L32" i="10"/>
  <c r="L31" i="10"/>
  <c r="H31" i="10"/>
  <c r="D31" i="10"/>
  <c r="D31" i="16"/>
  <c r="P30" i="10"/>
  <c r="L30" i="10"/>
  <c r="L29" i="9"/>
  <c r="D30" i="10"/>
  <c r="D29" i="9"/>
  <c r="J27" i="10"/>
  <c r="B27" i="10"/>
  <c r="B26" i="10"/>
  <c r="J25" i="10"/>
  <c r="B24" i="10"/>
  <c r="J23" i="10"/>
  <c r="B22" i="10"/>
  <c r="J21" i="10"/>
  <c r="B21" i="10"/>
  <c r="N19" i="9"/>
  <c r="F19" i="9"/>
  <c r="B20" i="10"/>
  <c r="L18" i="10"/>
  <c r="H18" i="10"/>
  <c r="H18" i="16"/>
  <c r="D18" i="10"/>
  <c r="L17" i="10"/>
  <c r="L17" i="16"/>
  <c r="L16" i="9"/>
  <c r="H17" i="10"/>
  <c r="H17" i="16"/>
  <c r="D17" i="10"/>
  <c r="D17" i="16"/>
  <c r="D16" i="9"/>
  <c r="D16" i="13" s="1"/>
  <c r="B15" i="10"/>
  <c r="B14" i="10"/>
  <c r="B13" i="10"/>
  <c r="B12" i="10"/>
  <c r="B11" i="10"/>
  <c r="B10" i="10"/>
  <c r="B9" i="10"/>
  <c r="J8" i="10"/>
  <c r="B8" i="10"/>
  <c r="J6" i="10"/>
  <c r="B6" i="10"/>
  <c r="N4" i="9"/>
  <c r="J5" i="10"/>
  <c r="F4" i="9"/>
  <c r="B5" i="10"/>
  <c r="K33" i="10"/>
  <c r="Q32" i="10"/>
  <c r="K31" i="10"/>
  <c r="Q30" i="10"/>
  <c r="Q27" i="10"/>
  <c r="F27" i="10"/>
  <c r="K26" i="10"/>
  <c r="Q25" i="10"/>
  <c r="F25" i="10"/>
  <c r="K24" i="10"/>
  <c r="Q23" i="10"/>
  <c r="F23" i="10"/>
  <c r="K22" i="10"/>
  <c r="Q21" i="10"/>
  <c r="F21" i="10"/>
  <c r="K20" i="10"/>
  <c r="K18" i="10"/>
  <c r="Q17" i="10"/>
  <c r="Q15" i="10"/>
  <c r="F15" i="10"/>
  <c r="K14" i="10"/>
  <c r="Q13" i="10"/>
  <c r="F13" i="10"/>
  <c r="K12" i="10"/>
  <c r="Q11" i="10"/>
  <c r="F11" i="10"/>
  <c r="K10" i="10"/>
  <c r="Q9" i="10"/>
  <c r="F9" i="10"/>
  <c r="K8" i="10"/>
  <c r="Q7" i="10"/>
  <c r="F7" i="10"/>
  <c r="K6" i="10"/>
  <c r="Q5" i="10"/>
  <c r="F5" i="10"/>
  <c r="P32" i="14"/>
  <c r="D32" i="14"/>
  <c r="D32" i="17" s="1"/>
  <c r="P31" i="14"/>
  <c r="L31" i="14"/>
  <c r="H31" i="14"/>
  <c r="H31" i="17" s="1"/>
  <c r="D31" i="14"/>
  <c r="D31" i="17" s="1"/>
  <c r="P30" i="14"/>
  <c r="P29" i="11"/>
  <c r="H29" i="11"/>
  <c r="D30" i="14"/>
  <c r="D30" i="17" s="1"/>
  <c r="L29" i="11"/>
  <c r="N24" i="14"/>
  <c r="J24" i="14"/>
  <c r="F24" i="14"/>
  <c r="B24" i="14"/>
  <c r="N23" i="14"/>
  <c r="J23" i="14"/>
  <c r="F23" i="14"/>
  <c r="B23" i="14"/>
  <c r="N22" i="14"/>
  <c r="J22" i="14"/>
  <c r="F22" i="14"/>
  <c r="B22" i="14"/>
  <c r="N21" i="14"/>
  <c r="J21" i="14"/>
  <c r="F21" i="14"/>
  <c r="B21" i="14"/>
  <c r="N20" i="14"/>
  <c r="N19" i="11"/>
  <c r="J20" i="14"/>
  <c r="F20" i="14"/>
  <c r="F19" i="11"/>
  <c r="B20" i="14"/>
  <c r="P17" i="14"/>
  <c r="P16" i="11"/>
  <c r="L17" i="14"/>
  <c r="L17" i="17" s="1"/>
  <c r="H17" i="14"/>
  <c r="H17" i="17" s="1"/>
  <c r="H16" i="11"/>
  <c r="D17" i="14"/>
  <c r="L16" i="11"/>
  <c r="N10" i="14"/>
  <c r="J10" i="14"/>
  <c r="F10" i="14"/>
  <c r="B10" i="14"/>
  <c r="N9" i="14"/>
  <c r="J9" i="14"/>
  <c r="F9" i="14"/>
  <c r="B9" i="14"/>
  <c r="N8" i="14"/>
  <c r="J8" i="14"/>
  <c r="F8" i="14"/>
  <c r="B8" i="14"/>
  <c r="N7" i="14"/>
  <c r="J7" i="14"/>
  <c r="F7" i="14"/>
  <c r="B7" i="14"/>
  <c r="N6" i="14"/>
  <c r="J6" i="14"/>
  <c r="F6" i="14"/>
  <c r="B6" i="14"/>
  <c r="N5" i="14"/>
  <c r="N4" i="11"/>
  <c r="J5" i="14"/>
  <c r="F5" i="14"/>
  <c r="F4" i="11"/>
  <c r="B5" i="14"/>
  <c r="D7" i="14"/>
  <c r="D5" i="14"/>
  <c r="D5" i="17" s="1"/>
  <c r="P32" i="25"/>
  <c r="O29" i="18"/>
  <c r="K29" i="18"/>
  <c r="G29" i="18"/>
  <c r="C31" i="25"/>
  <c r="N29" i="18"/>
  <c r="J29" i="18"/>
  <c r="J30" i="26"/>
  <c r="F29" i="18"/>
  <c r="J19" i="18"/>
  <c r="J10" i="28"/>
  <c r="D29" i="7"/>
  <c r="O29" i="8"/>
  <c r="I19" i="8"/>
  <c r="I19" i="12" s="1"/>
  <c r="I4" i="8"/>
  <c r="J29" i="9"/>
  <c r="J29" i="13" s="1"/>
  <c r="E27" i="10"/>
  <c r="M25" i="10"/>
  <c r="E25" i="10"/>
  <c r="E24" i="10"/>
  <c r="M23" i="10"/>
  <c r="E23" i="10"/>
  <c r="M21" i="10"/>
  <c r="E21" i="10"/>
  <c r="E20" i="10"/>
  <c r="P19" i="9"/>
  <c r="P19" i="13" s="1"/>
  <c r="J16" i="9"/>
  <c r="E15" i="10"/>
  <c r="E14" i="10"/>
  <c r="E13" i="10"/>
  <c r="E12" i="10"/>
  <c r="E11" i="10"/>
  <c r="E10" i="10"/>
  <c r="E9" i="10"/>
  <c r="I33" i="10"/>
  <c r="N32" i="10"/>
  <c r="C32" i="10"/>
  <c r="I31" i="10"/>
  <c r="N27" i="10"/>
  <c r="C27" i="10"/>
  <c r="I26" i="10"/>
  <c r="N25" i="10"/>
  <c r="C25" i="10"/>
  <c r="I24" i="10"/>
  <c r="N23" i="10"/>
  <c r="C23" i="10"/>
  <c r="I22" i="10"/>
  <c r="N21" i="10"/>
  <c r="C21" i="10"/>
  <c r="I20" i="10"/>
  <c r="I18" i="10"/>
  <c r="C17" i="10"/>
  <c r="N15" i="10"/>
  <c r="C15" i="10"/>
  <c r="I14" i="10"/>
  <c r="N13" i="10"/>
  <c r="C13" i="10"/>
  <c r="I12" i="10"/>
  <c r="N11" i="10"/>
  <c r="C11" i="10"/>
  <c r="I10" i="10"/>
  <c r="N9" i="10"/>
  <c r="C9" i="10"/>
  <c r="I8" i="10"/>
  <c r="N7" i="10"/>
  <c r="C7" i="10"/>
  <c r="I6" i="10"/>
  <c r="N5" i="10"/>
  <c r="C5" i="10"/>
  <c r="D26" i="16"/>
  <c r="P33" i="21"/>
  <c r="L33" i="21"/>
  <c r="H33" i="21"/>
  <c r="H29" i="19"/>
  <c r="D33" i="21"/>
  <c r="O32" i="21"/>
  <c r="O29" i="19"/>
  <c r="G32" i="21"/>
  <c r="C29" i="19"/>
  <c r="N31" i="21"/>
  <c r="N29" i="19"/>
  <c r="J31" i="21"/>
  <c r="J29" i="19"/>
  <c r="J29" i="23" s="1"/>
  <c r="F31" i="21"/>
  <c r="F29" i="19"/>
  <c r="F29" i="23" s="1"/>
  <c r="Q29" i="19"/>
  <c r="Q30" i="21"/>
  <c r="M29" i="19"/>
  <c r="M30" i="21"/>
  <c r="I29" i="19"/>
  <c r="I29" i="23" s="1"/>
  <c r="I30" i="21"/>
  <c r="E29" i="19"/>
  <c r="E30" i="21"/>
  <c r="D29" i="19"/>
  <c r="D33" i="27"/>
  <c r="C24" i="6"/>
  <c r="C25" i="6"/>
  <c r="C26" i="6"/>
  <c r="C8" i="16" s="1"/>
  <c r="C23" i="6"/>
  <c r="C20" i="6"/>
  <c r="C21" i="6"/>
  <c r="P29" i="7"/>
  <c r="H29" i="7"/>
  <c r="L29" i="7"/>
  <c r="N19" i="7"/>
  <c r="F19" i="7"/>
  <c r="P16" i="7"/>
  <c r="H16" i="7"/>
  <c r="N4" i="7"/>
  <c r="N3" i="7" s="1"/>
  <c r="F4" i="7"/>
  <c r="F3" i="7" s="1"/>
  <c r="K29" i="8"/>
  <c r="C29" i="8"/>
  <c r="M19" i="8"/>
  <c r="E19" i="8"/>
  <c r="E19" i="12" s="1"/>
  <c r="Q19" i="8"/>
  <c r="G18" i="10"/>
  <c r="O17" i="10"/>
  <c r="K16" i="8"/>
  <c r="K16" i="12" s="1"/>
  <c r="C16" i="8"/>
  <c r="M4" i="8"/>
  <c r="E4" i="8"/>
  <c r="Q4" i="8"/>
  <c r="J33" i="10"/>
  <c r="B32" i="10"/>
  <c r="J31" i="10"/>
  <c r="N29" i="9"/>
  <c r="N29" i="13" s="1"/>
  <c r="F29" i="9"/>
  <c r="B30" i="10"/>
  <c r="P27" i="10"/>
  <c r="L27" i="10"/>
  <c r="H27" i="10"/>
  <c r="D27" i="10"/>
  <c r="P26" i="10"/>
  <c r="L26" i="10"/>
  <c r="L25" i="10"/>
  <c r="H25" i="10"/>
  <c r="H25" i="16"/>
  <c r="D25" i="10"/>
  <c r="D25" i="16"/>
  <c r="P24" i="10"/>
  <c r="L24" i="10"/>
  <c r="L23" i="10"/>
  <c r="L23" i="16"/>
  <c r="H23" i="10"/>
  <c r="D23" i="10"/>
  <c r="D23" i="16"/>
  <c r="P22" i="10"/>
  <c r="L22" i="10"/>
  <c r="L22" i="16"/>
  <c r="L21" i="10"/>
  <c r="H21" i="10"/>
  <c r="H21" i="16"/>
  <c r="D21" i="10"/>
  <c r="D21" i="16"/>
  <c r="L20" i="10"/>
  <c r="L20" i="16"/>
  <c r="L19" i="9"/>
  <c r="H20" i="10"/>
  <c r="D20" i="10"/>
  <c r="D20" i="16"/>
  <c r="D19" i="9"/>
  <c r="B18" i="10"/>
  <c r="N16" i="9"/>
  <c r="N16" i="13" s="1"/>
  <c r="F16" i="9"/>
  <c r="F16" i="13" s="1"/>
  <c r="B17" i="10"/>
  <c r="L15" i="10"/>
  <c r="H15" i="10"/>
  <c r="H15" i="16"/>
  <c r="D15" i="10"/>
  <c r="D15" i="16"/>
  <c r="L14" i="10"/>
  <c r="L14" i="16"/>
  <c r="H14" i="10"/>
  <c r="D14" i="10"/>
  <c r="D14" i="16"/>
  <c r="L13" i="10"/>
  <c r="H13" i="10"/>
  <c r="H13" i="16"/>
  <c r="D13" i="10"/>
  <c r="D13" i="16"/>
  <c r="L12" i="10"/>
  <c r="H12" i="10"/>
  <c r="D12" i="10"/>
  <c r="D12" i="16"/>
  <c r="L11" i="10"/>
  <c r="H11" i="10"/>
  <c r="H11" i="16"/>
  <c r="D11" i="10"/>
  <c r="D11" i="16"/>
  <c r="L10" i="10"/>
  <c r="L10" i="16"/>
  <c r="H10" i="10"/>
  <c r="D10" i="10"/>
  <c r="D10" i="16"/>
  <c r="L9" i="10"/>
  <c r="H9" i="10"/>
  <c r="H9" i="16"/>
  <c r="D9" i="10"/>
  <c r="D9" i="16"/>
  <c r="P8" i="10"/>
  <c r="L8" i="10"/>
  <c r="H8" i="10"/>
  <c r="D8" i="10"/>
  <c r="D8" i="16"/>
  <c r="L7" i="10"/>
  <c r="H7" i="10"/>
  <c r="D7" i="10"/>
  <c r="D7" i="16"/>
  <c r="P6" i="10"/>
  <c r="L6" i="10"/>
  <c r="H6" i="10"/>
  <c r="P5" i="10"/>
  <c r="L5" i="10"/>
  <c r="L4" i="9"/>
  <c r="H5" i="10"/>
  <c r="D5" i="10"/>
  <c r="D5" i="16"/>
  <c r="D4" i="9"/>
  <c r="Q33" i="10"/>
  <c r="F33" i="10"/>
  <c r="K32" i="10"/>
  <c r="Q31" i="10"/>
  <c r="F31" i="10"/>
  <c r="K30" i="10"/>
  <c r="K27" i="10"/>
  <c r="Q26" i="10"/>
  <c r="F26" i="10"/>
  <c r="K25" i="10"/>
  <c r="Q24" i="10"/>
  <c r="F24" i="10"/>
  <c r="K23" i="10"/>
  <c r="Q22" i="10"/>
  <c r="F22" i="10"/>
  <c r="K21" i="10"/>
  <c r="Q20" i="10"/>
  <c r="Q18" i="10"/>
  <c r="F18" i="10"/>
  <c r="K17" i="10"/>
  <c r="K15" i="10"/>
  <c r="Q14" i="10"/>
  <c r="K13" i="10"/>
  <c r="Q12" i="10"/>
  <c r="K11" i="10"/>
  <c r="Q10" i="10"/>
  <c r="K9" i="10"/>
  <c r="Q8" i="10"/>
  <c r="K7" i="10"/>
  <c r="Q6" i="10"/>
  <c r="K5" i="10"/>
  <c r="N32" i="14"/>
  <c r="J32" i="14"/>
  <c r="F32" i="14"/>
  <c r="B32" i="14"/>
  <c r="N31" i="14"/>
  <c r="J31" i="14"/>
  <c r="F31" i="14"/>
  <c r="B31" i="14"/>
  <c r="N30" i="14"/>
  <c r="N29" i="11"/>
  <c r="J30" i="14"/>
  <c r="F30" i="14"/>
  <c r="F29" i="11"/>
  <c r="B30" i="14"/>
  <c r="P24" i="14"/>
  <c r="D24" i="14"/>
  <c r="D24" i="17" s="1"/>
  <c r="P23" i="14"/>
  <c r="L23" i="14"/>
  <c r="L23" i="17" s="1"/>
  <c r="H23" i="14"/>
  <c r="D23" i="14"/>
  <c r="D23" i="17" s="1"/>
  <c r="P22" i="14"/>
  <c r="D22" i="14"/>
  <c r="D22" i="17" s="1"/>
  <c r="P21" i="14"/>
  <c r="L21" i="14"/>
  <c r="H21" i="14"/>
  <c r="D21" i="14"/>
  <c r="D21" i="17" s="1"/>
  <c r="P20" i="14"/>
  <c r="P19" i="11"/>
  <c r="H19" i="11"/>
  <c r="D20" i="14"/>
  <c r="D20" i="17" s="1"/>
  <c r="L19" i="11"/>
  <c r="N17" i="14"/>
  <c r="N16" i="11"/>
  <c r="J17" i="14"/>
  <c r="F17" i="14"/>
  <c r="F16" i="11"/>
  <c r="B17" i="14"/>
  <c r="P10" i="14"/>
  <c r="L10" i="14"/>
  <c r="H10" i="14"/>
  <c r="D10" i="14"/>
  <c r="D10" i="17" s="1"/>
  <c r="P9" i="14"/>
  <c r="L9" i="14"/>
  <c r="H9" i="14"/>
  <c r="P8" i="14"/>
  <c r="L8" i="14"/>
  <c r="H8" i="14"/>
  <c r="D8" i="14"/>
  <c r="D8" i="17" s="1"/>
  <c r="P7" i="14"/>
  <c r="L7" i="14"/>
  <c r="L7" i="17" s="1"/>
  <c r="H7" i="14"/>
  <c r="P6" i="14"/>
  <c r="L6" i="14"/>
  <c r="H6" i="14"/>
  <c r="H6" i="17" s="1"/>
  <c r="D6" i="14"/>
  <c r="D6" i="17" s="1"/>
  <c r="P5" i="14"/>
  <c r="P4" i="11"/>
  <c r="L5" i="14"/>
  <c r="L5" i="17" s="1"/>
  <c r="H5" i="14"/>
  <c r="H4" i="11"/>
  <c r="L4" i="11"/>
  <c r="H20" i="15"/>
  <c r="D32" i="16"/>
  <c r="D24" i="16"/>
  <c r="D6" i="16"/>
  <c r="H30" i="14"/>
  <c r="G24" i="25"/>
  <c r="C24" i="25"/>
  <c r="E22" i="25"/>
  <c r="E22" i="26"/>
  <c r="P21" i="25"/>
  <c r="P21" i="28" s="1"/>
  <c r="P21" i="26"/>
  <c r="O19" i="18"/>
  <c r="O20" i="25"/>
  <c r="G20" i="25"/>
  <c r="G19" i="18"/>
  <c r="C20" i="25"/>
  <c r="D19" i="7"/>
  <c r="I29" i="8"/>
  <c r="D25" i="15"/>
  <c r="L23" i="15"/>
  <c r="D23" i="15"/>
  <c r="D21" i="15"/>
  <c r="O19" i="8"/>
  <c r="I16" i="8"/>
  <c r="D15" i="15"/>
  <c r="D13" i="15"/>
  <c r="D11" i="15"/>
  <c r="L9" i="15"/>
  <c r="D9" i="15"/>
  <c r="D7" i="15"/>
  <c r="D5" i="15"/>
  <c r="O4" i="8"/>
  <c r="M33" i="10"/>
  <c r="E33" i="10"/>
  <c r="E32" i="10"/>
  <c r="M31" i="10"/>
  <c r="E31" i="10"/>
  <c r="P29" i="9"/>
  <c r="J19" i="9"/>
  <c r="J19" i="13" s="1"/>
  <c r="E18" i="10"/>
  <c r="E17" i="10"/>
  <c r="P16" i="9"/>
  <c r="J4" i="9"/>
  <c r="N33" i="10"/>
  <c r="C33" i="10"/>
  <c r="I32" i="10"/>
  <c r="N31" i="10"/>
  <c r="C31" i="10"/>
  <c r="I30" i="10"/>
  <c r="I27" i="10"/>
  <c r="C26" i="10"/>
  <c r="I25" i="10"/>
  <c r="N24" i="10"/>
  <c r="C24" i="10"/>
  <c r="C22" i="10"/>
  <c r="N20" i="10"/>
  <c r="C20" i="10"/>
  <c r="N18" i="10"/>
  <c r="C18" i="10"/>
  <c r="I17" i="10"/>
  <c r="N14" i="10"/>
  <c r="C14" i="10"/>
  <c r="N12" i="10"/>
  <c r="C12" i="10"/>
  <c r="N10" i="10"/>
  <c r="C10" i="10"/>
  <c r="I9" i="10"/>
  <c r="N8" i="10"/>
  <c r="C8" i="10"/>
  <c r="N6" i="10"/>
  <c r="C6" i="10"/>
  <c r="D29" i="11"/>
  <c r="J19" i="11"/>
  <c r="D16" i="11"/>
  <c r="J4" i="11"/>
  <c r="D30" i="16"/>
  <c r="H28" i="16"/>
  <c r="D22" i="16"/>
  <c r="K19" i="18"/>
  <c r="N30" i="25"/>
  <c r="D11" i="27"/>
  <c r="B24" i="6"/>
  <c r="B25" i="6"/>
  <c r="B26" i="6"/>
  <c r="B115" i="6"/>
  <c r="B116" i="6"/>
  <c r="B117" i="6"/>
  <c r="B118" i="6"/>
  <c r="B119" i="6"/>
  <c r="B23" i="6"/>
  <c r="B20" i="6"/>
  <c r="B21" i="6"/>
  <c r="P29" i="8"/>
  <c r="P19" i="8"/>
  <c r="P16" i="8"/>
  <c r="P4" i="8"/>
  <c r="P4" i="12" s="1"/>
  <c r="Q29" i="9"/>
  <c r="Q19" i="9"/>
  <c r="Q16" i="9"/>
  <c r="Q16" i="13" s="1"/>
  <c r="I14" i="16"/>
  <c r="Q13" i="16"/>
  <c r="I8" i="16"/>
  <c r="Q4" i="9"/>
  <c r="M32" i="10"/>
  <c r="M30" i="10"/>
  <c r="M27" i="10"/>
  <c r="M26" i="10"/>
  <c r="M24" i="10"/>
  <c r="M22" i="10"/>
  <c r="M20" i="10"/>
  <c r="M18" i="10"/>
  <c r="M17" i="10"/>
  <c r="M15" i="10"/>
  <c r="M14" i="10"/>
  <c r="M13" i="10"/>
  <c r="M12" i="10"/>
  <c r="M11" i="10"/>
  <c r="M10" i="10"/>
  <c r="M9" i="10"/>
  <c r="M8" i="10"/>
  <c r="M7" i="10"/>
  <c r="M6" i="10"/>
  <c r="M5" i="10"/>
  <c r="K32" i="14"/>
  <c r="G32" i="14"/>
  <c r="C32" i="14"/>
  <c r="O31" i="14"/>
  <c r="K31" i="14"/>
  <c r="K31" i="17" s="1"/>
  <c r="K30" i="14"/>
  <c r="G30" i="14"/>
  <c r="C30" i="14"/>
  <c r="C29" i="11"/>
  <c r="K24" i="14"/>
  <c r="G24" i="14"/>
  <c r="C24" i="14"/>
  <c r="O23" i="14"/>
  <c r="K23" i="14"/>
  <c r="K22" i="14"/>
  <c r="G22" i="14"/>
  <c r="C22" i="14"/>
  <c r="O21" i="14"/>
  <c r="K21" i="14"/>
  <c r="K20" i="14"/>
  <c r="G20" i="14"/>
  <c r="C20" i="14"/>
  <c r="C19" i="11"/>
  <c r="O17" i="14"/>
  <c r="K17" i="14"/>
  <c r="O10" i="14"/>
  <c r="K10" i="14"/>
  <c r="K9" i="14"/>
  <c r="G9" i="14"/>
  <c r="C9" i="14"/>
  <c r="O8" i="14"/>
  <c r="K8" i="14"/>
  <c r="K7" i="14"/>
  <c r="G7" i="14"/>
  <c r="C7" i="14"/>
  <c r="O6" i="14"/>
  <c r="K6" i="14"/>
  <c r="K6" i="17" s="1"/>
  <c r="K5" i="14"/>
  <c r="G5" i="14"/>
  <c r="C5" i="14"/>
  <c r="C4" i="11"/>
  <c r="F19" i="18"/>
  <c r="P19" i="18"/>
  <c r="L19" i="18"/>
  <c r="H19" i="18"/>
  <c r="F13" i="27"/>
  <c r="P11" i="27"/>
  <c r="E8" i="27"/>
  <c r="K15" i="18"/>
  <c r="G6" i="26"/>
  <c r="G15" i="18"/>
  <c r="C4" i="18"/>
  <c r="C3" i="18" s="1"/>
  <c r="C15" i="18"/>
  <c r="N4" i="18"/>
  <c r="N3" i="18" s="1"/>
  <c r="N15" i="18"/>
  <c r="J4" i="18"/>
  <c r="J3" i="18" s="1"/>
  <c r="J15" i="18"/>
  <c r="F4" i="18"/>
  <c r="F3" i="18" s="1"/>
  <c r="F15" i="18"/>
  <c r="D4" i="18"/>
  <c r="D3" i="18" s="1"/>
  <c r="P29" i="19"/>
  <c r="P29" i="23" s="1"/>
  <c r="J26" i="21"/>
  <c r="J26" i="26"/>
  <c r="F26" i="21"/>
  <c r="P24" i="26"/>
  <c r="H24" i="21"/>
  <c r="D24" i="21"/>
  <c r="G23" i="21"/>
  <c r="G19" i="19"/>
  <c r="N19" i="19"/>
  <c r="N19" i="23" s="1"/>
  <c r="J19" i="19"/>
  <c r="F22" i="21"/>
  <c r="Q19" i="19"/>
  <c r="Q21" i="21"/>
  <c r="P19" i="19"/>
  <c r="L19" i="19"/>
  <c r="H19" i="19"/>
  <c r="D19" i="19"/>
  <c r="D20" i="21"/>
  <c r="D20" i="26"/>
  <c r="I19" i="19"/>
  <c r="K33" i="21"/>
  <c r="G33" i="21"/>
  <c r="G29" i="20"/>
  <c r="C33" i="21"/>
  <c r="N32" i="21"/>
  <c r="N29" i="20"/>
  <c r="J32" i="21"/>
  <c r="J29" i="20"/>
  <c r="F32" i="21"/>
  <c r="Q31" i="21"/>
  <c r="Q29" i="20"/>
  <c r="M31" i="21"/>
  <c r="E31" i="21"/>
  <c r="P30" i="21"/>
  <c r="P29" i="20"/>
  <c r="P29" i="24" s="1"/>
  <c r="P30" i="27"/>
  <c r="L30" i="21"/>
  <c r="L29" i="20"/>
  <c r="H30" i="21"/>
  <c r="H29" i="20"/>
  <c r="D30" i="21"/>
  <c r="D29" i="20"/>
  <c r="I29" i="20"/>
  <c r="I29" i="24" s="1"/>
  <c r="M27" i="21"/>
  <c r="G27" i="21"/>
  <c r="E25" i="21"/>
  <c r="C23" i="21"/>
  <c r="P20" i="21"/>
  <c r="L32" i="25"/>
  <c r="L29" i="22"/>
  <c r="H32" i="25"/>
  <c r="H29" i="22"/>
  <c r="D32" i="25"/>
  <c r="D32" i="28" s="1"/>
  <c r="O31" i="25"/>
  <c r="O29" i="22"/>
  <c r="K31" i="25"/>
  <c r="G31" i="25"/>
  <c r="J29" i="22"/>
  <c r="J30" i="25"/>
  <c r="F30" i="25"/>
  <c r="F29" i="22"/>
  <c r="Q29" i="22"/>
  <c r="P20" i="25"/>
  <c r="P20" i="28" s="1"/>
  <c r="P19" i="22"/>
  <c r="L19" i="22"/>
  <c r="H20" i="25"/>
  <c r="H19" i="22"/>
  <c r="D19" i="22"/>
  <c r="I19" i="22"/>
  <c r="O10" i="25"/>
  <c r="K10" i="25"/>
  <c r="C10" i="25"/>
  <c r="J9" i="25"/>
  <c r="F9" i="25"/>
  <c r="Q8" i="25"/>
  <c r="M8" i="25"/>
  <c r="M8" i="28" s="1"/>
  <c r="I8" i="25"/>
  <c r="E8" i="25"/>
  <c r="L7" i="25"/>
  <c r="H7" i="25"/>
  <c r="D7" i="25"/>
  <c r="O6" i="25"/>
  <c r="K6" i="25"/>
  <c r="G6" i="25"/>
  <c r="N4" i="22"/>
  <c r="N5" i="25"/>
  <c r="F5" i="25"/>
  <c r="Q4" i="22"/>
  <c r="F18" i="25"/>
  <c r="F18" i="28" s="1"/>
  <c r="K3" i="30"/>
  <c r="G3" i="30"/>
  <c r="C3" i="30"/>
  <c r="N40" i="39"/>
  <c r="N53" i="39"/>
  <c r="J40" i="39"/>
  <c r="J53" i="39"/>
  <c r="F40" i="39"/>
  <c r="F53" i="39"/>
  <c r="B40" i="39"/>
  <c r="B53" i="39"/>
  <c r="N39" i="39"/>
  <c r="N52" i="39"/>
  <c r="J39" i="39"/>
  <c r="J52" i="39"/>
  <c r="F39" i="39"/>
  <c r="F52" i="39"/>
  <c r="B39" i="39"/>
  <c r="B52" i="39"/>
  <c r="N38" i="39"/>
  <c r="N51" i="39"/>
  <c r="J38" i="39"/>
  <c r="J51" i="39"/>
  <c r="B38" i="39"/>
  <c r="B51" i="39"/>
  <c r="N37" i="39"/>
  <c r="N50" i="39"/>
  <c r="J37" i="39"/>
  <c r="J50" i="39"/>
  <c r="F37" i="39"/>
  <c r="F50" i="39"/>
  <c r="B37" i="39"/>
  <c r="B50" i="39"/>
  <c r="N36" i="39"/>
  <c r="N49" i="39"/>
  <c r="J36" i="39"/>
  <c r="J49" i="39"/>
  <c r="F36" i="39"/>
  <c r="F49" i="39"/>
  <c r="B36" i="39"/>
  <c r="B49" i="39"/>
  <c r="N35" i="39"/>
  <c r="N48" i="39"/>
  <c r="J35" i="39"/>
  <c r="J48" i="39"/>
  <c r="F35" i="39"/>
  <c r="F48" i="39"/>
  <c r="B35" i="39"/>
  <c r="B48" i="39"/>
  <c r="N34" i="39"/>
  <c r="N47" i="39"/>
  <c r="J34" i="39"/>
  <c r="J47" i="39"/>
  <c r="F34" i="39"/>
  <c r="F47" i="39"/>
  <c r="B34" i="39"/>
  <c r="B47" i="39"/>
  <c r="N33" i="39"/>
  <c r="N46" i="39"/>
  <c r="J33" i="39"/>
  <c r="J46" i="39"/>
  <c r="F33" i="39"/>
  <c r="F46" i="39"/>
  <c r="B33" i="39"/>
  <c r="B46" i="39"/>
  <c r="N32" i="39"/>
  <c r="N45" i="39"/>
  <c r="J32" i="39"/>
  <c r="J45" i="39"/>
  <c r="F32" i="39"/>
  <c r="F45" i="39"/>
  <c r="B32" i="39"/>
  <c r="B45" i="39"/>
  <c r="K4" i="7"/>
  <c r="K3" i="7" s="1"/>
  <c r="H29" i="8"/>
  <c r="H29" i="12" s="1"/>
  <c r="H16" i="8"/>
  <c r="H4" i="8"/>
  <c r="G33" i="16"/>
  <c r="K32" i="16"/>
  <c r="G32" i="16"/>
  <c r="G31" i="16"/>
  <c r="K30" i="16"/>
  <c r="G30" i="16"/>
  <c r="I19" i="9"/>
  <c r="I19" i="13" s="1"/>
  <c r="C17" i="16"/>
  <c r="I16" i="9"/>
  <c r="K14" i="16"/>
  <c r="K12" i="16"/>
  <c r="K10" i="16"/>
  <c r="I4" i="9"/>
  <c r="I4" i="13" s="1"/>
  <c r="E30" i="10"/>
  <c r="E26" i="10"/>
  <c r="E22" i="10"/>
  <c r="E8" i="10"/>
  <c r="E7" i="10"/>
  <c r="E6" i="10"/>
  <c r="E5" i="10"/>
  <c r="K29" i="11"/>
  <c r="K19" i="11"/>
  <c r="K16" i="11"/>
  <c r="K4" i="11"/>
  <c r="P5" i="25"/>
  <c r="P5" i="28" s="1"/>
  <c r="P15" i="18"/>
  <c r="P4" i="18"/>
  <c r="P3" i="18" s="1"/>
  <c r="L4" i="18"/>
  <c r="L3" i="18" s="1"/>
  <c r="H4" i="18"/>
  <c r="H3" i="18" s="1"/>
  <c r="H5" i="25"/>
  <c r="K4" i="18"/>
  <c r="K3" i="18" s="1"/>
  <c r="O19" i="19"/>
  <c r="H16" i="19"/>
  <c r="D16" i="19"/>
  <c r="D16" i="23" s="1"/>
  <c r="E14" i="26"/>
  <c r="P13" i="26"/>
  <c r="J11" i="26"/>
  <c r="M10" i="26"/>
  <c r="P9" i="26"/>
  <c r="J7" i="26"/>
  <c r="M6" i="26"/>
  <c r="E6" i="26"/>
  <c r="P5" i="26"/>
  <c r="L4" i="19"/>
  <c r="L4" i="23" s="1"/>
  <c r="H4" i="19"/>
  <c r="H4" i="23" s="1"/>
  <c r="D4" i="19"/>
  <c r="J4" i="19"/>
  <c r="O29" i="20"/>
  <c r="P26" i="27"/>
  <c r="P26" i="21"/>
  <c r="L26" i="21"/>
  <c r="H26" i="21"/>
  <c r="D26" i="21"/>
  <c r="N24" i="21"/>
  <c r="J24" i="27"/>
  <c r="J24" i="21"/>
  <c r="F24" i="21"/>
  <c r="Q23" i="21"/>
  <c r="L22" i="21"/>
  <c r="H22" i="21"/>
  <c r="H19" i="20"/>
  <c r="D22" i="21"/>
  <c r="O21" i="21"/>
  <c r="N20" i="21"/>
  <c r="N19" i="20"/>
  <c r="J20" i="27"/>
  <c r="J19" i="20"/>
  <c r="J19" i="24" s="1"/>
  <c r="J20" i="21"/>
  <c r="F20" i="21"/>
  <c r="Q19" i="20"/>
  <c r="Q18" i="21"/>
  <c r="Q16" i="20"/>
  <c r="Q16" i="24" s="1"/>
  <c r="M18" i="27"/>
  <c r="M18" i="21"/>
  <c r="I18" i="21"/>
  <c r="E18" i="21"/>
  <c r="P17" i="21"/>
  <c r="P16" i="20"/>
  <c r="P17" i="27"/>
  <c r="L17" i="21"/>
  <c r="L16" i="20"/>
  <c r="H17" i="21"/>
  <c r="H16" i="20"/>
  <c r="H16" i="24" s="1"/>
  <c r="D17" i="21"/>
  <c r="D16" i="20"/>
  <c r="D16" i="24" s="1"/>
  <c r="D17" i="27"/>
  <c r="M16" i="20"/>
  <c r="Q15" i="21"/>
  <c r="M15" i="21"/>
  <c r="I15" i="21"/>
  <c r="D14" i="27"/>
  <c r="D14" i="21"/>
  <c r="O13" i="21"/>
  <c r="K13" i="27"/>
  <c r="K13" i="21"/>
  <c r="G13" i="27"/>
  <c r="G13" i="21"/>
  <c r="F12" i="21"/>
  <c r="Q11" i="21"/>
  <c r="M11" i="21"/>
  <c r="I11" i="21"/>
  <c r="E11" i="27"/>
  <c r="E11" i="21"/>
  <c r="P10" i="27"/>
  <c r="O9" i="21"/>
  <c r="K9" i="27"/>
  <c r="K9" i="21"/>
  <c r="G9" i="21"/>
  <c r="C9" i="21"/>
  <c r="Q7" i="21"/>
  <c r="M7" i="27"/>
  <c r="M7" i="21"/>
  <c r="I7" i="21"/>
  <c r="E7" i="27"/>
  <c r="E7" i="21"/>
  <c r="P6" i="27"/>
  <c r="P6" i="21"/>
  <c r="O5" i="21"/>
  <c r="O4" i="20"/>
  <c r="O4" i="24" s="1"/>
  <c r="K4" i="20"/>
  <c r="K5" i="21"/>
  <c r="G5" i="21"/>
  <c r="C5" i="21"/>
  <c r="C4" i="20"/>
  <c r="I27" i="21"/>
  <c r="C27" i="21"/>
  <c r="G25" i="21"/>
  <c r="P24" i="21"/>
  <c r="E23" i="21"/>
  <c r="N22" i="21"/>
  <c r="C21" i="21"/>
  <c r="L20" i="21"/>
  <c r="L14" i="21"/>
  <c r="H10" i="21"/>
  <c r="K29" i="22"/>
  <c r="O21" i="25"/>
  <c r="O21" i="28" s="1"/>
  <c r="O19" i="22"/>
  <c r="K21" i="25"/>
  <c r="K19" i="22"/>
  <c r="N20" i="25"/>
  <c r="N19" i="22"/>
  <c r="J20" i="25"/>
  <c r="J20" i="28" s="1"/>
  <c r="J19" i="22"/>
  <c r="F20" i="25"/>
  <c r="F19" i="22"/>
  <c r="Q19" i="22"/>
  <c r="C19" i="22"/>
  <c r="N18" i="25"/>
  <c r="N18" i="28" s="1"/>
  <c r="N16" i="22"/>
  <c r="M17" i="25"/>
  <c r="M16" i="22"/>
  <c r="I17" i="25"/>
  <c r="E17" i="25"/>
  <c r="I10" i="25"/>
  <c r="K8" i="25"/>
  <c r="C8" i="25"/>
  <c r="I4" i="22"/>
  <c r="E6" i="25"/>
  <c r="E6" i="28" s="1"/>
  <c r="J4" i="22"/>
  <c r="P11" i="26"/>
  <c r="J13" i="27"/>
  <c r="L20" i="25"/>
  <c r="Q17" i="25"/>
  <c r="F51" i="39"/>
  <c r="Q32" i="17"/>
  <c r="Q9" i="17"/>
  <c r="L17" i="25"/>
  <c r="L16" i="18"/>
  <c r="J28" i="26"/>
  <c r="P25" i="26"/>
  <c r="O24" i="26"/>
  <c r="K19" i="19"/>
  <c r="Q16" i="19"/>
  <c r="Q16" i="23" s="1"/>
  <c r="Q17" i="21"/>
  <c r="M16" i="19"/>
  <c r="I16" i="19"/>
  <c r="E16" i="19"/>
  <c r="E16" i="23" s="1"/>
  <c r="K17" i="21"/>
  <c r="K16" i="20"/>
  <c r="C16" i="20"/>
  <c r="C16" i="24" s="1"/>
  <c r="N15" i="21"/>
  <c r="J15" i="21"/>
  <c r="F15" i="21"/>
  <c r="Q14" i="21"/>
  <c r="M14" i="21"/>
  <c r="M14" i="27"/>
  <c r="I14" i="21"/>
  <c r="E14" i="21"/>
  <c r="P13" i="21"/>
  <c r="L13" i="21"/>
  <c r="H13" i="21"/>
  <c r="D13" i="21"/>
  <c r="O12" i="21"/>
  <c r="K12" i="21"/>
  <c r="G12" i="21"/>
  <c r="C12" i="21"/>
  <c r="N11" i="21"/>
  <c r="J11" i="21"/>
  <c r="F11" i="21"/>
  <c r="Q10" i="21"/>
  <c r="M10" i="21"/>
  <c r="M10" i="27"/>
  <c r="I10" i="21"/>
  <c r="E10" i="27"/>
  <c r="E10" i="21"/>
  <c r="P9" i="21"/>
  <c r="L9" i="21"/>
  <c r="H9" i="21"/>
  <c r="D9" i="27"/>
  <c r="D9" i="21"/>
  <c r="O8" i="21"/>
  <c r="K8" i="21"/>
  <c r="G8" i="21"/>
  <c r="C8" i="21"/>
  <c r="N7" i="21"/>
  <c r="J7" i="21"/>
  <c r="F7" i="21"/>
  <c r="Q6" i="27"/>
  <c r="Q6" i="21"/>
  <c r="Q4" i="20"/>
  <c r="M6" i="21"/>
  <c r="I6" i="21"/>
  <c r="E6" i="21"/>
  <c r="E6" i="27"/>
  <c r="P5" i="27"/>
  <c r="P5" i="21"/>
  <c r="P4" i="20"/>
  <c r="L5" i="21"/>
  <c r="L4" i="20"/>
  <c r="H5" i="21"/>
  <c r="H4" i="20"/>
  <c r="D5" i="21"/>
  <c r="D4" i="20"/>
  <c r="M4" i="20"/>
  <c r="E4" i="20"/>
  <c r="E4" i="24" s="1"/>
  <c r="N33" i="21"/>
  <c r="P31" i="21"/>
  <c r="C30" i="21"/>
  <c r="D18" i="21"/>
  <c r="M17" i="21"/>
  <c r="E17" i="21"/>
  <c r="G15" i="21"/>
  <c r="C11" i="21"/>
  <c r="H17" i="25"/>
  <c r="P10" i="28"/>
  <c r="C5" i="25"/>
  <c r="C4" i="22"/>
  <c r="K4" i="22"/>
  <c r="E4" i="22"/>
  <c r="G26" i="26"/>
  <c r="E13" i="26"/>
  <c r="P8" i="26"/>
  <c r="L18" i="27"/>
  <c r="E14" i="27"/>
  <c r="L5" i="27"/>
  <c r="M9" i="32"/>
  <c r="M10" i="32"/>
  <c r="E10" i="32"/>
  <c r="E9" i="32"/>
  <c r="N8" i="35"/>
  <c r="O10" i="35"/>
  <c r="N10" i="35"/>
  <c r="J8" i="35"/>
  <c r="J10" i="35"/>
  <c r="K10" i="35"/>
  <c r="F8" i="35"/>
  <c r="G10" i="35"/>
  <c r="F10" i="35"/>
  <c r="N8" i="34"/>
  <c r="O10" i="34"/>
  <c r="N10" i="34"/>
  <c r="K10" i="34"/>
  <c r="J8" i="34"/>
  <c r="J10" i="34"/>
  <c r="F8" i="34"/>
  <c r="G10" i="34"/>
  <c r="B8" i="34"/>
  <c r="C10" i="34"/>
  <c r="J8" i="33"/>
  <c r="K10" i="33"/>
  <c r="F8" i="33"/>
  <c r="G10" i="33"/>
  <c r="B8" i="33"/>
  <c r="C10" i="33"/>
  <c r="N10" i="32"/>
  <c r="N8" i="32"/>
  <c r="O10" i="32"/>
  <c r="J8" i="32"/>
  <c r="J10" i="32"/>
  <c r="G10" i="32"/>
  <c r="F10" i="32"/>
  <c r="N8" i="31"/>
  <c r="N10" i="31"/>
  <c r="O10" i="31"/>
  <c r="K10" i="31"/>
  <c r="J8" i="31"/>
  <c r="J10" i="31"/>
  <c r="F8" i="31"/>
  <c r="F10" i="31"/>
  <c r="G10" i="31"/>
  <c r="O10" i="30"/>
  <c r="N8" i="30"/>
  <c r="N10" i="30"/>
  <c r="J8" i="30"/>
  <c r="K10" i="30"/>
  <c r="J10" i="30"/>
  <c r="G10" i="30"/>
  <c r="F8" i="30"/>
  <c r="C10" i="30"/>
  <c r="F5" i="30"/>
  <c r="B5" i="30"/>
  <c r="B11" i="29"/>
  <c r="B8" i="30"/>
  <c r="D19" i="18"/>
  <c r="Q15" i="18"/>
  <c r="M15" i="18"/>
  <c r="M5" i="25"/>
  <c r="M5" i="28" s="1"/>
  <c r="M4" i="18"/>
  <c r="M3" i="18" s="1"/>
  <c r="I15" i="18"/>
  <c r="I5" i="25"/>
  <c r="E15" i="18"/>
  <c r="E5" i="25"/>
  <c r="E5" i="28" s="1"/>
  <c r="I4" i="18"/>
  <c r="I3" i="18" s="1"/>
  <c r="E31" i="26"/>
  <c r="P30" i="26"/>
  <c r="L29" i="19"/>
  <c r="J14" i="26"/>
  <c r="P12" i="26"/>
  <c r="F10" i="26"/>
  <c r="M9" i="26"/>
  <c r="E9" i="26"/>
  <c r="D8" i="26"/>
  <c r="Q4" i="19"/>
  <c r="M4" i="19"/>
  <c r="I4" i="19"/>
  <c r="E4" i="19"/>
  <c r="E4" i="23" s="1"/>
  <c r="E5" i="21"/>
  <c r="O4" i="19"/>
  <c r="O4" i="23" s="1"/>
  <c r="J33" i="27"/>
  <c r="J33" i="21"/>
  <c r="H31" i="21"/>
  <c r="D31" i="27"/>
  <c r="K29" i="20"/>
  <c r="K29" i="24" s="1"/>
  <c r="N27" i="21"/>
  <c r="J27" i="21"/>
  <c r="J28" i="27"/>
  <c r="F27" i="21"/>
  <c r="Q26" i="21"/>
  <c r="M26" i="21"/>
  <c r="I26" i="21"/>
  <c r="E26" i="27"/>
  <c r="E26" i="21"/>
  <c r="P25" i="21"/>
  <c r="P25" i="27"/>
  <c r="L25" i="21"/>
  <c r="H25" i="21"/>
  <c r="D25" i="21"/>
  <c r="O24" i="21"/>
  <c r="K24" i="21"/>
  <c r="G24" i="21"/>
  <c r="C24" i="21"/>
  <c r="N23" i="21"/>
  <c r="J23" i="21"/>
  <c r="J23" i="27"/>
  <c r="F23" i="21"/>
  <c r="Q22" i="21"/>
  <c r="M22" i="21"/>
  <c r="I22" i="21"/>
  <c r="E22" i="21"/>
  <c r="P21" i="27"/>
  <c r="P21" i="21"/>
  <c r="P19" i="20"/>
  <c r="P19" i="24" s="1"/>
  <c r="L21" i="21"/>
  <c r="L21" i="27"/>
  <c r="H21" i="21"/>
  <c r="D21" i="21"/>
  <c r="D21" i="27"/>
  <c r="O20" i="21"/>
  <c r="O19" i="20"/>
  <c r="K20" i="21"/>
  <c r="K19" i="20"/>
  <c r="G20" i="21"/>
  <c r="G19" i="20"/>
  <c r="G19" i="24" s="1"/>
  <c r="C20" i="21"/>
  <c r="C19" i="20"/>
  <c r="C19" i="24" s="1"/>
  <c r="L19" i="20"/>
  <c r="L19" i="24" s="1"/>
  <c r="D19" i="20"/>
  <c r="G16" i="20"/>
  <c r="E12" i="27"/>
  <c r="P7" i="27"/>
  <c r="J5" i="27"/>
  <c r="I4" i="20"/>
  <c r="L31" i="21"/>
  <c r="H18" i="21"/>
  <c r="O17" i="21"/>
  <c r="I17" i="21"/>
  <c r="K15" i="21"/>
  <c r="C15" i="21"/>
  <c r="G11" i="21"/>
  <c r="N10" i="21"/>
  <c r="C7" i="21"/>
  <c r="J6" i="21"/>
  <c r="I30" i="25"/>
  <c r="I29" i="22"/>
  <c r="I29" i="25" s="1"/>
  <c r="O24" i="25"/>
  <c r="N23" i="25"/>
  <c r="M22" i="25"/>
  <c r="M22" i="28" s="1"/>
  <c r="L21" i="25"/>
  <c r="K20" i="25"/>
  <c r="F10" i="25"/>
  <c r="E9" i="25"/>
  <c r="D8" i="25"/>
  <c r="C7" i="25"/>
  <c r="Q5" i="25"/>
  <c r="O4" i="22"/>
  <c r="G4" i="22"/>
  <c r="P28" i="26"/>
  <c r="O24" i="27"/>
  <c r="E24" i="27"/>
  <c r="P9" i="27"/>
  <c r="P23" i="28"/>
  <c r="N29" i="8"/>
  <c r="J29" i="8"/>
  <c r="J29" i="12" s="1"/>
  <c r="F29" i="8"/>
  <c r="B29" i="8"/>
  <c r="N19" i="8"/>
  <c r="J19" i="8"/>
  <c r="J19" i="12" s="1"/>
  <c r="F19" i="8"/>
  <c r="B19" i="8"/>
  <c r="N16" i="8"/>
  <c r="J16" i="8"/>
  <c r="F16" i="8"/>
  <c r="B16" i="8"/>
  <c r="N4" i="8"/>
  <c r="N4" i="12" s="1"/>
  <c r="J4" i="8"/>
  <c r="F4" i="8"/>
  <c r="B4" i="8"/>
  <c r="O29" i="9"/>
  <c r="K29" i="9"/>
  <c r="G29" i="9"/>
  <c r="C29" i="9"/>
  <c r="O19" i="9"/>
  <c r="K19" i="9"/>
  <c r="G19" i="9"/>
  <c r="C19" i="9"/>
  <c r="O16" i="9"/>
  <c r="K16" i="9"/>
  <c r="K16" i="13" s="1"/>
  <c r="G16" i="9"/>
  <c r="C16" i="9"/>
  <c r="C16" i="13" s="1"/>
  <c r="C4" i="9"/>
  <c r="C4" i="13" s="1"/>
  <c r="E29" i="11"/>
  <c r="E19" i="11"/>
  <c r="E19" i="14" s="1"/>
  <c r="E16" i="11"/>
  <c r="E4" i="11"/>
  <c r="E29" i="18"/>
  <c r="Q19" i="18"/>
  <c r="M19" i="18"/>
  <c r="I19" i="18"/>
  <c r="E19" i="18"/>
  <c r="N16" i="18"/>
  <c r="J16" i="18"/>
  <c r="F16" i="18"/>
  <c r="F19" i="19"/>
  <c r="G16" i="19"/>
  <c r="J12" i="26"/>
  <c r="G4" i="19"/>
  <c r="E33" i="27"/>
  <c r="P32" i="27"/>
  <c r="D32" i="27"/>
  <c r="K31" i="27"/>
  <c r="J30" i="27"/>
  <c r="F29" i="20"/>
  <c r="F29" i="24" s="1"/>
  <c r="P28" i="27"/>
  <c r="D28" i="27"/>
  <c r="K26" i="27"/>
  <c r="J25" i="27"/>
  <c r="G22" i="27"/>
  <c r="E20" i="27"/>
  <c r="E19" i="20"/>
  <c r="F16" i="20"/>
  <c r="J9" i="27"/>
  <c r="F4" i="20"/>
  <c r="F4" i="24" s="1"/>
  <c r="E33" i="21"/>
  <c r="D32" i="21"/>
  <c r="C31" i="21"/>
  <c r="P27" i="21"/>
  <c r="O26" i="21"/>
  <c r="K22" i="21"/>
  <c r="G18" i="21"/>
  <c r="C14" i="21"/>
  <c r="N9" i="21"/>
  <c r="J5" i="21"/>
  <c r="N32" i="25"/>
  <c r="J32" i="25"/>
  <c r="J32" i="28" s="1"/>
  <c r="F32" i="25"/>
  <c r="Q31" i="25"/>
  <c r="M31" i="25"/>
  <c r="M31" i="28" s="1"/>
  <c r="I31" i="25"/>
  <c r="E31" i="25"/>
  <c r="E31" i="28" s="1"/>
  <c r="P30" i="25"/>
  <c r="P30" i="28" s="1"/>
  <c r="L30" i="25"/>
  <c r="H30" i="25"/>
  <c r="D30" i="25"/>
  <c r="D29" i="22"/>
  <c r="I24" i="25"/>
  <c r="H23" i="25"/>
  <c r="G22" i="25"/>
  <c r="F21" i="25"/>
  <c r="E20" i="25"/>
  <c r="E20" i="28" s="1"/>
  <c r="E19" i="22"/>
  <c r="O17" i="25"/>
  <c r="O16" i="22"/>
  <c r="K17" i="25"/>
  <c r="K17" i="28" s="1"/>
  <c r="K16" i="22"/>
  <c r="G17" i="25"/>
  <c r="G16" i="22"/>
  <c r="C17" i="25"/>
  <c r="C16" i="22"/>
  <c r="H16" i="22"/>
  <c r="Q10" i="25"/>
  <c r="P9" i="25"/>
  <c r="P9" i="28" s="1"/>
  <c r="O8" i="25"/>
  <c r="N7" i="25"/>
  <c r="M6" i="25"/>
  <c r="M6" i="28" s="1"/>
  <c r="P4" i="22"/>
  <c r="L5" i="25"/>
  <c r="L4" i="22"/>
  <c r="H4" i="22"/>
  <c r="D4" i="22"/>
  <c r="E20" i="26"/>
  <c r="B3" i="29"/>
  <c r="N3" i="30"/>
  <c r="J26" i="27"/>
  <c r="E25" i="27"/>
  <c r="P24" i="27"/>
  <c r="D24" i="27"/>
  <c r="K23" i="27"/>
  <c r="J22" i="27"/>
  <c r="E21" i="27"/>
  <c r="P20" i="27"/>
  <c r="L20" i="27"/>
  <c r="D20" i="27"/>
  <c r="J18" i="27"/>
  <c r="M17" i="27"/>
  <c r="E17" i="27"/>
  <c r="J14" i="27"/>
  <c r="E13" i="27"/>
  <c r="P12" i="27"/>
  <c r="D12" i="27"/>
  <c r="K11" i="27"/>
  <c r="J10" i="27"/>
  <c r="E9" i="27"/>
  <c r="P8" i="27"/>
  <c r="D8" i="27"/>
  <c r="O7" i="27"/>
  <c r="G7" i="27"/>
  <c r="J6" i="27"/>
  <c r="M5" i="27"/>
  <c r="I5" i="27"/>
  <c r="E5" i="27"/>
  <c r="G28" i="27"/>
  <c r="E9" i="35"/>
  <c r="E10" i="35"/>
  <c r="Q9" i="31"/>
  <c r="Q10" i="31"/>
  <c r="O8" i="35"/>
  <c r="P10" i="35"/>
  <c r="K8" i="35"/>
  <c r="L10" i="35"/>
  <c r="G8" i="35"/>
  <c r="H10" i="35"/>
  <c r="C8" i="35"/>
  <c r="D10" i="35"/>
  <c r="C8" i="34"/>
  <c r="D10" i="34"/>
  <c r="G8" i="33"/>
  <c r="H10" i="33"/>
  <c r="K8" i="32"/>
  <c r="L10" i="32"/>
  <c r="O8" i="31"/>
  <c r="P10" i="31"/>
  <c r="K8" i="31"/>
  <c r="L10" i="31"/>
  <c r="G8" i="31"/>
  <c r="C8" i="31"/>
  <c r="O8" i="30"/>
  <c r="P53" i="38"/>
  <c r="P40" i="37"/>
  <c r="L53" i="38"/>
  <c r="L40" i="37"/>
  <c r="L53" i="37"/>
  <c r="H53" i="38"/>
  <c r="H40" i="37"/>
  <c r="D53" i="38"/>
  <c r="D40" i="37"/>
  <c r="D53" i="37"/>
  <c r="P52" i="38"/>
  <c r="P39" i="37"/>
  <c r="L52" i="38"/>
  <c r="L39" i="37"/>
  <c r="L52" i="37"/>
  <c r="H52" i="38"/>
  <c r="H39" i="37"/>
  <c r="D52" i="38"/>
  <c r="D39" i="37"/>
  <c r="D52" i="37"/>
  <c r="P51" i="38"/>
  <c r="P51" i="39"/>
  <c r="P38" i="37"/>
  <c r="L51" i="38"/>
  <c r="L51" i="39"/>
  <c r="L38" i="37"/>
  <c r="L51" i="37"/>
  <c r="H51" i="38"/>
  <c r="H51" i="39"/>
  <c r="H38" i="37"/>
  <c r="D51" i="38"/>
  <c r="D51" i="39"/>
  <c r="D38" i="37"/>
  <c r="D51" i="37"/>
  <c r="P50" i="38"/>
  <c r="P50" i="39"/>
  <c r="P37" i="37"/>
  <c r="L50" i="38"/>
  <c r="L50" i="39"/>
  <c r="L37" i="37"/>
  <c r="L50" i="37"/>
  <c r="H50" i="38"/>
  <c r="H50" i="39"/>
  <c r="H37" i="37"/>
  <c r="D50" i="38"/>
  <c r="D50" i="39"/>
  <c r="D37" i="37"/>
  <c r="D50" i="37"/>
  <c r="P49" i="38"/>
  <c r="P49" i="39"/>
  <c r="P36" i="37"/>
  <c r="L49" i="38"/>
  <c r="L49" i="39"/>
  <c r="L36" i="37"/>
  <c r="L49" i="37"/>
  <c r="H49" i="38"/>
  <c r="H49" i="39"/>
  <c r="H36" i="37"/>
  <c r="D49" i="38"/>
  <c r="D49" i="39"/>
  <c r="D36" i="37"/>
  <c r="D49" i="37"/>
  <c r="P48" i="38"/>
  <c r="P48" i="39"/>
  <c r="P35" i="37"/>
  <c r="L48" i="38"/>
  <c r="L48" i="39"/>
  <c r="L35" i="37"/>
  <c r="L48" i="37"/>
  <c r="H48" i="38"/>
  <c r="H48" i="39"/>
  <c r="H35" i="37"/>
  <c r="D48" i="38"/>
  <c r="D48" i="39"/>
  <c r="D35" i="37"/>
  <c r="D48" i="37"/>
  <c r="P47" i="38"/>
  <c r="P34" i="37"/>
  <c r="L47" i="38"/>
  <c r="L34" i="37"/>
  <c r="L47" i="37"/>
  <c r="H47" i="38"/>
  <c r="H34" i="37"/>
  <c r="D47" i="38"/>
  <c r="D34" i="37"/>
  <c r="D47" i="37"/>
  <c r="P46" i="38"/>
  <c r="P46" i="37"/>
  <c r="P33" i="37"/>
  <c r="L46" i="38"/>
  <c r="L46" i="37"/>
  <c r="L33" i="37"/>
  <c r="H46" i="38"/>
  <c r="H46" i="37"/>
  <c r="H33" i="37"/>
  <c r="D46" i="38"/>
  <c r="D33" i="37"/>
  <c r="P45" i="38"/>
  <c r="P45" i="37"/>
  <c r="P32" i="37"/>
  <c r="L45" i="38"/>
  <c r="L45" i="37"/>
  <c r="L32" i="37"/>
  <c r="H45" i="38"/>
  <c r="H45" i="37"/>
  <c r="H32" i="37"/>
  <c r="D45" i="38"/>
  <c r="D32" i="37"/>
  <c r="P44" i="38"/>
  <c r="P44" i="39"/>
  <c r="L44" i="38"/>
  <c r="L44" i="39"/>
  <c r="H44" i="38"/>
  <c r="H44" i="39"/>
  <c r="D44" i="38"/>
  <c r="D44" i="39"/>
  <c r="M31" i="38"/>
  <c r="I31" i="38"/>
  <c r="E31" i="38"/>
  <c r="M8" i="33"/>
  <c r="N10" i="33"/>
  <c r="J10" i="33"/>
  <c r="E8" i="33"/>
  <c r="F10" i="33"/>
  <c r="M3" i="30"/>
  <c r="I3" i="30"/>
  <c r="E3" i="30"/>
  <c r="I44" i="38"/>
  <c r="Q45" i="37"/>
  <c r="Q46" i="37"/>
  <c r="I45" i="37"/>
  <c r="I46" i="37"/>
  <c r="Q53" i="37"/>
  <c r="M53" i="37"/>
  <c r="I53" i="37"/>
  <c r="E53" i="37"/>
  <c r="Q52" i="37"/>
  <c r="M52" i="37"/>
  <c r="I52" i="37"/>
  <c r="E52" i="37"/>
  <c r="Q47" i="37"/>
  <c r="M47" i="37"/>
  <c r="I47" i="37"/>
  <c r="E47" i="37"/>
  <c r="M46" i="37"/>
  <c r="E46" i="37"/>
  <c r="M45" i="37"/>
  <c r="E45" i="37"/>
  <c r="O45" i="37"/>
  <c r="O46" i="37"/>
  <c r="O47" i="37"/>
  <c r="O48" i="37"/>
  <c r="O49" i="37"/>
  <c r="O50" i="37"/>
  <c r="O51" i="37"/>
  <c r="O52" i="37"/>
  <c r="O53" i="37"/>
  <c r="K45" i="37"/>
  <c r="K46" i="37"/>
  <c r="K47" i="37"/>
  <c r="K48" i="37"/>
  <c r="K49" i="37"/>
  <c r="K50" i="37"/>
  <c r="K51" i="37"/>
  <c r="K52" i="37"/>
  <c r="K53" i="37"/>
  <c r="G45" i="37"/>
  <c r="G46" i="37"/>
  <c r="G47" i="37"/>
  <c r="G48" i="37"/>
  <c r="G49" i="37"/>
  <c r="G50" i="37"/>
  <c r="G51" i="37"/>
  <c r="G52" i="37"/>
  <c r="G53" i="37"/>
  <c r="C45" i="37"/>
  <c r="C46" i="37"/>
  <c r="C47" i="37"/>
  <c r="C48" i="37"/>
  <c r="C49" i="37"/>
  <c r="C50" i="37"/>
  <c r="C51" i="37"/>
  <c r="C52" i="37"/>
  <c r="C53" i="37"/>
  <c r="N45" i="37"/>
  <c r="N46" i="37"/>
  <c r="J45" i="37"/>
  <c r="J46" i="37"/>
  <c r="F45" i="37"/>
  <c r="F46" i="37"/>
  <c r="B45" i="37"/>
  <c r="B46" i="37"/>
  <c r="B47" i="37"/>
  <c r="Q51" i="37"/>
  <c r="M51" i="37"/>
  <c r="I51" i="37"/>
  <c r="E51" i="37"/>
  <c r="Q50" i="37"/>
  <c r="M50" i="37"/>
  <c r="I50" i="37"/>
  <c r="E50" i="37"/>
  <c r="Q49" i="37"/>
  <c r="M49" i="37"/>
  <c r="I49" i="37"/>
  <c r="E49" i="37"/>
  <c r="Q48" i="37"/>
  <c r="M48" i="37"/>
  <c r="I48" i="37"/>
  <c r="E48" i="37"/>
  <c r="L16" i="25" l="1"/>
  <c r="N19" i="24"/>
  <c r="H16" i="23"/>
  <c r="K29" i="13"/>
  <c r="O29" i="24"/>
  <c r="H4" i="12"/>
  <c r="N29" i="12"/>
  <c r="P29" i="12"/>
  <c r="O4" i="12"/>
  <c r="F4" i="12"/>
  <c r="M29" i="23"/>
  <c r="K16" i="24"/>
  <c r="J19" i="23"/>
  <c r="P29" i="13"/>
  <c r="K29" i="12"/>
  <c r="K29" i="15" s="1"/>
  <c r="J4" i="12"/>
  <c r="J4" i="15" s="1"/>
  <c r="K19" i="12"/>
  <c r="J16" i="12"/>
  <c r="J4" i="13"/>
  <c r="J16" i="13"/>
  <c r="M29" i="24"/>
  <c r="K19" i="13"/>
  <c r="K19" i="16" s="1"/>
  <c r="C4" i="24"/>
  <c r="C4" i="27" s="1"/>
  <c r="N29" i="24"/>
  <c r="N29" i="27" s="1"/>
  <c r="B161" i="6"/>
  <c r="O29" i="23"/>
  <c r="H29" i="23"/>
  <c r="G29" i="12"/>
  <c r="G29" i="13"/>
  <c r="G29" i="16" s="1"/>
  <c r="F16" i="12"/>
  <c r="F16" i="15" s="1"/>
  <c r="H29" i="24"/>
  <c r="G19" i="23"/>
  <c r="G19" i="26" s="1"/>
  <c r="E4" i="13"/>
  <c r="E4" i="16" s="1"/>
  <c r="E19" i="24"/>
  <c r="E19" i="27" s="1"/>
  <c r="I4" i="23"/>
  <c r="C16" i="12"/>
  <c r="G16" i="12"/>
  <c r="G16" i="15" s="1"/>
  <c r="O29" i="13"/>
  <c r="O29" i="16" s="1"/>
  <c r="K4" i="24"/>
  <c r="K4" i="27" s="1"/>
  <c r="D16" i="14"/>
  <c r="D16" i="17" s="1"/>
  <c r="O4" i="13"/>
  <c r="O29" i="12"/>
  <c r="O29" i="15" s="1"/>
  <c r="G16" i="13"/>
  <c r="N29" i="23"/>
  <c r="C19" i="13"/>
  <c r="C19" i="16" s="1"/>
  <c r="K19" i="24"/>
  <c r="K19" i="27" s="1"/>
  <c r="O19" i="23"/>
  <c r="O19" i="26" s="1"/>
  <c r="Q29" i="24"/>
  <c r="Q29" i="27" s="1"/>
  <c r="G29" i="24"/>
  <c r="G29" i="27" s="1"/>
  <c r="C19" i="12"/>
  <c r="C19" i="15" s="1"/>
  <c r="P16" i="23"/>
  <c r="M4" i="14"/>
  <c r="O16" i="13"/>
  <c r="O16" i="23"/>
  <c r="O16" i="26" s="1"/>
  <c r="F19" i="12"/>
  <c r="F19" i="15" s="1"/>
  <c r="M16" i="24"/>
  <c r="J4" i="23"/>
  <c r="J4" i="26" s="1"/>
  <c r="P19" i="12"/>
  <c r="P19" i="15" s="1"/>
  <c r="H4" i="24"/>
  <c r="M4" i="12"/>
  <c r="O19" i="24"/>
  <c r="P16" i="24"/>
  <c r="P16" i="27" s="1"/>
  <c r="L19" i="13"/>
  <c r="L19" i="16" s="1"/>
  <c r="G4" i="23"/>
  <c r="G4" i="26" s="1"/>
  <c r="P4" i="24"/>
  <c r="P4" i="27" s="1"/>
  <c r="C29" i="24"/>
  <c r="C29" i="27" s="1"/>
  <c r="G4" i="24"/>
  <c r="I4" i="24"/>
  <c r="C9" i="17"/>
  <c r="C20" i="17"/>
  <c r="C28" i="16"/>
  <c r="C5" i="16"/>
  <c r="C18" i="16"/>
  <c r="C6" i="26"/>
  <c r="C24" i="17"/>
  <c r="C13" i="15"/>
  <c r="C6" i="16"/>
  <c r="C20" i="26"/>
  <c r="C7" i="26"/>
  <c r="C23" i="27"/>
  <c r="C5" i="17"/>
  <c r="C30" i="17"/>
  <c r="M29" i="13"/>
  <c r="D19" i="24"/>
  <c r="D4" i="24"/>
  <c r="D4" i="27" s="1"/>
  <c r="P19" i="23"/>
  <c r="P19" i="26" s="1"/>
  <c r="N16" i="14"/>
  <c r="N16" i="17" s="1"/>
  <c r="D4" i="13"/>
  <c r="D4" i="16" s="1"/>
  <c r="N16" i="12"/>
  <c r="N16" i="15" s="1"/>
  <c r="E16" i="12"/>
  <c r="E16" i="15" s="1"/>
  <c r="I16" i="14"/>
  <c r="Q4" i="23"/>
  <c r="J29" i="24"/>
  <c r="J29" i="27" s="1"/>
  <c r="P16" i="13"/>
  <c r="P16" i="16" s="1"/>
  <c r="C29" i="12"/>
  <c r="C29" i="15" s="1"/>
  <c r="G16" i="24"/>
  <c r="G16" i="27" s="1"/>
  <c r="I4" i="12"/>
  <c r="I4" i="15" s="1"/>
  <c r="L16" i="13"/>
  <c r="L16" i="16" s="1"/>
  <c r="B29" i="13"/>
  <c r="L4" i="24"/>
  <c r="Q29" i="23"/>
  <c r="G16" i="25"/>
  <c r="G16" i="28" s="1"/>
  <c r="Q4" i="24"/>
  <c r="Q4" i="27" s="1"/>
  <c r="D4" i="23"/>
  <c r="D4" i="26" s="1"/>
  <c r="C29" i="13"/>
  <c r="C29" i="16" s="1"/>
  <c r="B29" i="12"/>
  <c r="B29" i="15" s="1"/>
  <c r="H19" i="24"/>
  <c r="H19" i="27" s="1"/>
  <c r="Q4" i="12"/>
  <c r="B4" i="14"/>
  <c r="B4" i="17" s="1"/>
  <c r="N19" i="12"/>
  <c r="N19" i="15" s="1"/>
  <c r="D29" i="25"/>
  <c r="D29" i="28" s="1"/>
  <c r="F16" i="24"/>
  <c r="F16" i="27" s="1"/>
  <c r="D29" i="24"/>
  <c r="D29" i="27" s="1"/>
  <c r="G19" i="14"/>
  <c r="G19" i="17" s="1"/>
  <c r="D29" i="23"/>
  <c r="D29" i="26" s="1"/>
  <c r="I16" i="13"/>
  <c r="B4" i="13"/>
  <c r="M4" i="23"/>
  <c r="M4" i="26" s="1"/>
  <c r="B4" i="12"/>
  <c r="B4" i="15" s="1"/>
  <c r="I16" i="23"/>
  <c r="I16" i="26" s="1"/>
  <c r="Q4" i="13"/>
  <c r="Q4" i="16" s="1"/>
  <c r="L31" i="39"/>
  <c r="Q31" i="37"/>
  <c r="C28" i="26"/>
  <c r="C10" i="26"/>
  <c r="C21" i="26"/>
  <c r="C8" i="28"/>
  <c r="C11" i="26"/>
  <c r="C21" i="27"/>
  <c r="C30" i="28"/>
  <c r="C9" i="28"/>
  <c r="C9" i="27"/>
  <c r="C22" i="26"/>
  <c r="C11" i="27"/>
  <c r="C33" i="26"/>
  <c r="C5" i="27"/>
  <c r="C12" i="26"/>
  <c r="C24" i="26"/>
  <c r="B114" i="6"/>
  <c r="B144" i="6" s="1"/>
  <c r="C23" i="26"/>
  <c r="C22" i="28"/>
  <c r="C20" i="28"/>
  <c r="C25" i="26"/>
  <c r="C7" i="27"/>
  <c r="C5" i="26"/>
  <c r="C7" i="28"/>
  <c r="C6" i="27"/>
  <c r="C24" i="27"/>
  <c r="C5" i="28"/>
  <c r="C25" i="27"/>
  <c r="C24" i="28"/>
  <c r="C18" i="26"/>
  <c r="C26" i="27"/>
  <c r="C9" i="26"/>
  <c r="C12" i="27"/>
  <c r="C13" i="27"/>
  <c r="C18" i="27"/>
  <c r="C20" i="27"/>
  <c r="C8" i="27"/>
  <c r="C10" i="28"/>
  <c r="C33" i="27"/>
  <c r="C32" i="26"/>
  <c r="C21" i="28"/>
  <c r="C17" i="27"/>
  <c r="C23" i="28"/>
  <c r="C32" i="27"/>
  <c r="C31" i="28"/>
  <c r="C28" i="27"/>
  <c r="C22" i="27"/>
  <c r="C13" i="26"/>
  <c r="C30" i="27"/>
  <c r="C17" i="28"/>
  <c r="C31" i="27"/>
  <c r="C32" i="28"/>
  <c r="C14" i="27"/>
  <c r="C10" i="27"/>
  <c r="C14" i="26"/>
  <c r="C31" i="26"/>
  <c r="C26" i="26"/>
  <c r="C165" i="6"/>
  <c r="C162" i="6"/>
  <c r="C159" i="6"/>
  <c r="C163" i="6"/>
  <c r="C164" i="6"/>
  <c r="C161" i="6"/>
  <c r="C172" i="6"/>
  <c r="C158" i="6"/>
  <c r="C170" i="6"/>
  <c r="C171" i="6"/>
  <c r="C157" i="6"/>
  <c r="C155" i="6"/>
  <c r="C156" i="6"/>
  <c r="C154" i="6"/>
  <c r="C169" i="6"/>
  <c r="C168" i="6"/>
  <c r="C167" i="6"/>
  <c r="C153" i="6"/>
  <c r="C140" i="6"/>
  <c r="C135" i="6"/>
  <c r="C138" i="6"/>
  <c r="C139" i="6"/>
  <c r="C141" i="6"/>
  <c r="C137" i="6"/>
  <c r="C148" i="6"/>
  <c r="C146" i="6"/>
  <c r="C147" i="6"/>
  <c r="C133" i="6"/>
  <c r="C134" i="6"/>
  <c r="C131" i="6"/>
  <c r="C132" i="6"/>
  <c r="C145" i="6"/>
  <c r="C143" i="6"/>
  <c r="C144" i="6"/>
  <c r="C130" i="6"/>
  <c r="C129" i="6"/>
  <c r="M19" i="23"/>
  <c r="M19" i="26" s="1"/>
  <c r="F4" i="23"/>
  <c r="F4" i="26" s="1"/>
  <c r="N16" i="23"/>
  <c r="N16" i="26" s="1"/>
  <c r="J4" i="24"/>
  <c r="J4" i="27" s="1"/>
  <c r="H4" i="13"/>
  <c r="H19" i="13"/>
  <c r="H19" i="16" s="1"/>
  <c r="I19" i="24"/>
  <c r="I19" i="27" s="1"/>
  <c r="K16" i="23"/>
  <c r="K16" i="26" s="1"/>
  <c r="E29" i="13"/>
  <c r="E29" i="16" s="1"/>
  <c r="L16" i="24"/>
  <c r="L16" i="27" s="1"/>
  <c r="M4" i="13"/>
  <c r="M4" i="16" s="1"/>
  <c r="D27" i="13"/>
  <c r="D27" i="12"/>
  <c r="D27" i="15" s="1"/>
  <c r="M27" i="12"/>
  <c r="M27" i="15" s="1"/>
  <c r="M27" i="13"/>
  <c r="M27" i="16" s="1"/>
  <c r="G16" i="23"/>
  <c r="G16" i="26" s="1"/>
  <c r="M27" i="23"/>
  <c r="M27" i="26" s="1"/>
  <c r="M27" i="24"/>
  <c r="M27" i="27" s="1"/>
  <c r="O19" i="13"/>
  <c r="O19" i="16" s="1"/>
  <c r="E15" i="24"/>
  <c r="E15" i="23"/>
  <c r="E15" i="26" s="1"/>
  <c r="Q19" i="13"/>
  <c r="Q19" i="16" s="1"/>
  <c r="I29" i="12"/>
  <c r="I29" i="15" s="1"/>
  <c r="D19" i="13"/>
  <c r="D19" i="16" s="1"/>
  <c r="E4" i="12"/>
  <c r="M19" i="12"/>
  <c r="M19" i="15" s="1"/>
  <c r="N27" i="12"/>
  <c r="N27" i="13"/>
  <c r="N27" i="16" s="1"/>
  <c r="E29" i="23"/>
  <c r="E29" i="26" s="1"/>
  <c r="N19" i="13"/>
  <c r="N19" i="16" s="1"/>
  <c r="M16" i="12"/>
  <c r="E29" i="12"/>
  <c r="E29" i="15" s="1"/>
  <c r="P27" i="13"/>
  <c r="P27" i="16" s="1"/>
  <c r="P27" i="12"/>
  <c r="P27" i="15" s="1"/>
  <c r="N27" i="23"/>
  <c r="N27" i="26" s="1"/>
  <c r="N27" i="24"/>
  <c r="N27" i="27" s="1"/>
  <c r="C27" i="12"/>
  <c r="C27" i="15" s="1"/>
  <c r="C27" i="13"/>
  <c r="L19" i="12"/>
  <c r="L19" i="15" s="1"/>
  <c r="I27" i="13"/>
  <c r="I27" i="16" s="1"/>
  <c r="I27" i="12"/>
  <c r="I27" i="15" s="1"/>
  <c r="E27" i="12"/>
  <c r="E27" i="13"/>
  <c r="E27" i="16" s="1"/>
  <c r="E19" i="23"/>
  <c r="D15" i="23"/>
  <c r="D15" i="24"/>
  <c r="D15" i="27" s="1"/>
  <c r="E19" i="13"/>
  <c r="E19" i="16" s="1"/>
  <c r="C16" i="23"/>
  <c r="C16" i="26" s="1"/>
  <c r="F16" i="23"/>
  <c r="F3" i="19"/>
  <c r="F3" i="23" s="1"/>
  <c r="F3" i="26" s="1"/>
  <c r="F19" i="23"/>
  <c r="F19" i="26" s="1"/>
  <c r="B16" i="10"/>
  <c r="B16" i="12"/>
  <c r="Q27" i="13"/>
  <c r="Q27" i="16" s="1"/>
  <c r="Q27" i="12"/>
  <c r="Q27" i="15" s="1"/>
  <c r="F29" i="12"/>
  <c r="F29" i="15" s="1"/>
  <c r="L29" i="23"/>
  <c r="L29" i="26" s="1"/>
  <c r="I15" i="24"/>
  <c r="I15" i="27" s="1"/>
  <c r="I15" i="23"/>
  <c r="M4" i="24"/>
  <c r="I19" i="23"/>
  <c r="I19" i="26" s="1"/>
  <c r="Q19" i="23"/>
  <c r="Q19" i="26" s="1"/>
  <c r="G15" i="23"/>
  <c r="G15" i="26" s="1"/>
  <c r="G15" i="24"/>
  <c r="G15" i="27" s="1"/>
  <c r="H27" i="23"/>
  <c r="H27" i="26" s="1"/>
  <c r="H27" i="24"/>
  <c r="H27" i="27" s="1"/>
  <c r="Q29" i="13"/>
  <c r="I16" i="12"/>
  <c r="I16" i="15" s="1"/>
  <c r="F29" i="13"/>
  <c r="F29" i="16" s="1"/>
  <c r="D29" i="13"/>
  <c r="D29" i="16" s="1"/>
  <c r="C4" i="23"/>
  <c r="C4" i="26" s="1"/>
  <c r="K4" i="23"/>
  <c r="K4" i="26" s="1"/>
  <c r="M19" i="13"/>
  <c r="M19" i="16" s="1"/>
  <c r="N4" i="21"/>
  <c r="N4" i="24"/>
  <c r="P4" i="13"/>
  <c r="P4" i="16" s="1"/>
  <c r="G29" i="23"/>
  <c r="B19" i="13"/>
  <c r="B19" i="16" s="1"/>
  <c r="K27" i="12"/>
  <c r="K27" i="15" s="1"/>
  <c r="K27" i="13"/>
  <c r="K27" i="16" s="1"/>
  <c r="H15" i="23"/>
  <c r="H15" i="26" s="1"/>
  <c r="H15" i="24"/>
  <c r="L16" i="12"/>
  <c r="L16" i="15" s="1"/>
  <c r="P15" i="23"/>
  <c r="P15" i="26" s="1"/>
  <c r="P15" i="24"/>
  <c r="M29" i="12"/>
  <c r="M29" i="15" s="1"/>
  <c r="H16" i="12"/>
  <c r="H16" i="15" s="1"/>
  <c r="J15" i="24"/>
  <c r="J15" i="23"/>
  <c r="J15" i="26" s="1"/>
  <c r="L27" i="23"/>
  <c r="L27" i="26" s="1"/>
  <c r="L27" i="24"/>
  <c r="L27" i="27" s="1"/>
  <c r="O19" i="12"/>
  <c r="O19" i="15" s="1"/>
  <c r="G27" i="24"/>
  <c r="G27" i="27" s="1"/>
  <c r="G27" i="23"/>
  <c r="G27" i="26" s="1"/>
  <c r="L4" i="13"/>
  <c r="K4" i="12"/>
  <c r="K4" i="15" s="1"/>
  <c r="P4" i="23"/>
  <c r="P4" i="26" s="1"/>
  <c r="K29" i="23"/>
  <c r="K29" i="26" s="1"/>
  <c r="G4" i="12"/>
  <c r="G4" i="15" s="1"/>
  <c r="B47" i="6"/>
  <c r="B58" i="6" s="1"/>
  <c r="B100" i="6"/>
  <c r="B121" i="6" s="1"/>
  <c r="O15" i="23"/>
  <c r="O15" i="26" s="1"/>
  <c r="O15" i="24"/>
  <c r="O15" i="27" s="1"/>
  <c r="E29" i="24"/>
  <c r="E29" i="27" s="1"/>
  <c r="K27" i="23"/>
  <c r="K27" i="26" s="1"/>
  <c r="K27" i="24"/>
  <c r="K27" i="27" s="1"/>
  <c r="B27" i="12"/>
  <c r="B27" i="15" s="1"/>
  <c r="B27" i="13"/>
  <c r="Q19" i="24"/>
  <c r="Q19" i="27" s="1"/>
  <c r="K15" i="23"/>
  <c r="K15" i="26" s="1"/>
  <c r="K15" i="24"/>
  <c r="K15" i="27" s="1"/>
  <c r="P27" i="23"/>
  <c r="P27" i="26" s="1"/>
  <c r="P27" i="24"/>
  <c r="P27" i="27" s="1"/>
  <c r="P16" i="12"/>
  <c r="F4" i="13"/>
  <c r="F4" i="16" s="1"/>
  <c r="L29" i="13"/>
  <c r="L29" i="16" s="1"/>
  <c r="L15" i="23"/>
  <c r="L15" i="26" s="1"/>
  <c r="L15" i="24"/>
  <c r="L15" i="27" s="1"/>
  <c r="J27" i="12"/>
  <c r="J27" i="15" s="1"/>
  <c r="J27" i="13"/>
  <c r="J27" i="16" s="1"/>
  <c r="E16" i="24"/>
  <c r="D16" i="12"/>
  <c r="M15" i="23"/>
  <c r="M15" i="24"/>
  <c r="M15" i="27" s="1"/>
  <c r="D19" i="23"/>
  <c r="D19" i="26" s="1"/>
  <c r="N15" i="23"/>
  <c r="N15" i="26" s="1"/>
  <c r="N15" i="24"/>
  <c r="N15" i="27" s="1"/>
  <c r="F27" i="23"/>
  <c r="F27" i="26" s="1"/>
  <c r="F27" i="24"/>
  <c r="F27" i="27" s="1"/>
  <c r="C29" i="23"/>
  <c r="C29" i="26" s="1"/>
  <c r="J16" i="23"/>
  <c r="J16" i="26" s="1"/>
  <c r="G4" i="13"/>
  <c r="G4" i="16" s="1"/>
  <c r="N4" i="23"/>
  <c r="N4" i="26" s="1"/>
  <c r="H19" i="12"/>
  <c r="H19" i="15" s="1"/>
  <c r="L4" i="12"/>
  <c r="L4" i="15" s="1"/>
  <c r="I16" i="24"/>
  <c r="I16" i="27" s="1"/>
  <c r="H16" i="13"/>
  <c r="H16" i="16" s="1"/>
  <c r="L29" i="12"/>
  <c r="L29" i="15" s="1"/>
  <c r="M19" i="21"/>
  <c r="M19" i="24"/>
  <c r="M19" i="27" s="1"/>
  <c r="E27" i="23"/>
  <c r="E27" i="26" s="1"/>
  <c r="E27" i="24"/>
  <c r="E27" i="27" s="1"/>
  <c r="G19" i="13"/>
  <c r="G19" i="16" s="1"/>
  <c r="Q15" i="23"/>
  <c r="Q15" i="24"/>
  <c r="Q15" i="27" s="1"/>
  <c r="M16" i="23"/>
  <c r="M16" i="26" s="1"/>
  <c r="H19" i="23"/>
  <c r="H19" i="26" s="1"/>
  <c r="O27" i="24"/>
  <c r="O27" i="23"/>
  <c r="O27" i="26" s="1"/>
  <c r="Q19" i="12"/>
  <c r="Q19" i="15" s="1"/>
  <c r="J27" i="24"/>
  <c r="J27" i="27" s="1"/>
  <c r="J27" i="23"/>
  <c r="N4" i="13"/>
  <c r="Q16" i="12"/>
  <c r="Q16" i="15" s="1"/>
  <c r="L27" i="13"/>
  <c r="L27" i="16" s="1"/>
  <c r="L27" i="12"/>
  <c r="L27" i="15" s="1"/>
  <c r="K4" i="13"/>
  <c r="K4" i="16" s="1"/>
  <c r="I29" i="13"/>
  <c r="I29" i="16" s="1"/>
  <c r="J16" i="24"/>
  <c r="H29" i="13"/>
  <c r="Q27" i="23"/>
  <c r="Q27" i="26" s="1"/>
  <c r="Q27" i="24"/>
  <c r="Q27" i="27" s="1"/>
  <c r="K19" i="23"/>
  <c r="K19" i="26" s="1"/>
  <c r="F15" i="23"/>
  <c r="F15" i="26" s="1"/>
  <c r="F15" i="24"/>
  <c r="F15" i="27" s="1"/>
  <c r="G27" i="13"/>
  <c r="G27" i="12"/>
  <c r="G27" i="15" s="1"/>
  <c r="O27" i="13"/>
  <c r="O27" i="16" s="1"/>
  <c r="O27" i="12"/>
  <c r="O27" i="15" s="1"/>
  <c r="B19" i="12"/>
  <c r="B19" i="15" s="1"/>
  <c r="I27" i="23"/>
  <c r="I27" i="26" s="1"/>
  <c r="I27" i="24"/>
  <c r="I27" i="27" s="1"/>
  <c r="D27" i="23"/>
  <c r="D27" i="26" s="1"/>
  <c r="D27" i="24"/>
  <c r="L29" i="24"/>
  <c r="L29" i="27" s="1"/>
  <c r="L19" i="23"/>
  <c r="L19" i="26" s="1"/>
  <c r="C15" i="24"/>
  <c r="C15" i="27" s="1"/>
  <c r="C15" i="23"/>
  <c r="F27" i="13"/>
  <c r="F27" i="16" s="1"/>
  <c r="F27" i="12"/>
  <c r="F27" i="15" s="1"/>
  <c r="F19" i="13"/>
  <c r="F19" i="16" s="1"/>
  <c r="Q29" i="12"/>
  <c r="H27" i="13"/>
  <c r="H27" i="16" s="1"/>
  <c r="H27" i="12"/>
  <c r="H27" i="15" s="1"/>
  <c r="C27" i="24"/>
  <c r="C27" i="27" s="1"/>
  <c r="C27" i="23"/>
  <c r="C27" i="26" s="1"/>
  <c r="L16" i="23"/>
  <c r="L16" i="26" s="1"/>
  <c r="M16" i="13"/>
  <c r="F19" i="24"/>
  <c r="F19" i="27" s="1"/>
  <c r="E16" i="13"/>
  <c r="E16" i="16" s="1"/>
  <c r="N16" i="21"/>
  <c r="N16" i="24"/>
  <c r="N16" i="27" s="1"/>
  <c r="D4" i="12"/>
  <c r="D4" i="15" s="1"/>
  <c r="D29" i="12"/>
  <c r="D29" i="15" s="1"/>
  <c r="G19" i="12"/>
  <c r="G19" i="15" s="1"/>
  <c r="D19" i="12"/>
  <c r="D19" i="15" s="1"/>
  <c r="M31" i="39"/>
  <c r="M31" i="37"/>
  <c r="N19" i="25"/>
  <c r="N19" i="28" s="1"/>
  <c r="C16" i="25"/>
  <c r="C16" i="28" s="1"/>
  <c r="C19" i="14"/>
  <c r="C19" i="17" s="1"/>
  <c r="J6" i="15"/>
  <c r="J8" i="15"/>
  <c r="J10" i="15"/>
  <c r="J12" i="15"/>
  <c r="J14" i="15"/>
  <c r="N9" i="26"/>
  <c r="N21" i="27"/>
  <c r="N33" i="27"/>
  <c r="J5" i="15"/>
  <c r="J7" i="15"/>
  <c r="J9" i="15"/>
  <c r="J11" i="15"/>
  <c r="J13" i="15"/>
  <c r="J15" i="15"/>
  <c r="N23" i="26"/>
  <c r="N10" i="26"/>
  <c r="Q31" i="26"/>
  <c r="N30" i="27"/>
  <c r="Q18" i="27"/>
  <c r="Q5" i="27"/>
  <c r="N14" i="27"/>
  <c r="Q25" i="27"/>
  <c r="O17" i="28"/>
  <c r="O24" i="28"/>
  <c r="O25" i="26"/>
  <c r="O6" i="26"/>
  <c r="O17" i="26"/>
  <c r="F24" i="28"/>
  <c r="I28" i="26"/>
  <c r="O25" i="27"/>
  <c r="I20" i="26"/>
  <c r="O23" i="27"/>
  <c r="I29" i="28"/>
  <c r="F32" i="26"/>
  <c r="O8" i="26"/>
  <c r="F6" i="26"/>
  <c r="O30" i="27"/>
  <c r="O33" i="27"/>
  <c r="O14" i="26"/>
  <c r="I18" i="26"/>
  <c r="O30" i="28"/>
  <c r="F21" i="28"/>
  <c r="F10" i="28"/>
  <c r="O32" i="26"/>
  <c r="O20" i="26"/>
  <c r="O12" i="26"/>
  <c r="O8" i="28"/>
  <c r="O7" i="26"/>
  <c r="I24" i="28"/>
  <c r="O16" i="27"/>
  <c r="O18" i="27"/>
  <c r="O10" i="26"/>
  <c r="F8" i="26"/>
  <c r="Q9" i="27"/>
  <c r="Q17" i="27"/>
  <c r="Q10" i="28"/>
  <c r="Q31" i="28"/>
  <c r="N23" i="27"/>
  <c r="N28" i="27"/>
  <c r="Q13" i="26"/>
  <c r="N28" i="26"/>
  <c r="N20" i="28"/>
  <c r="Q23" i="28"/>
  <c r="N8" i="27"/>
  <c r="N11" i="26"/>
  <c r="N5" i="27"/>
  <c r="Q32" i="28"/>
  <c r="Q5" i="28"/>
  <c r="N23" i="28"/>
  <c r="Q11" i="27"/>
  <c r="Q14" i="26"/>
  <c r="N5" i="28"/>
  <c r="N13" i="26"/>
  <c r="N30" i="28"/>
  <c r="N18" i="27"/>
  <c r="Q21" i="27"/>
  <c r="N32" i="28"/>
  <c r="Q15" i="26"/>
  <c r="Q22" i="27"/>
  <c r="H30" i="26"/>
  <c r="Q9" i="28"/>
  <c r="N20" i="27"/>
  <c r="Q30" i="27"/>
  <c r="N22" i="26"/>
  <c r="N24" i="28"/>
  <c r="N14" i="26"/>
  <c r="N12" i="27"/>
  <c r="N17" i="27"/>
  <c r="N10" i="27"/>
  <c r="N11" i="27"/>
  <c r="Q8" i="28"/>
  <c r="N26" i="27"/>
  <c r="N7" i="28"/>
  <c r="Q17" i="26"/>
  <c r="N9" i="27"/>
  <c r="N32" i="26"/>
  <c r="Q10" i="27"/>
  <c r="Q14" i="27"/>
  <c r="N18" i="26"/>
  <c r="Q26" i="26"/>
  <c r="N24" i="27"/>
  <c r="N7" i="26"/>
  <c r="N22" i="27"/>
  <c r="Q33" i="27"/>
  <c r="Q7" i="27"/>
  <c r="Q10" i="26"/>
  <c r="Q25" i="26"/>
  <c r="N32" i="27"/>
  <c r="Q13" i="27"/>
  <c r="N13" i="27"/>
  <c r="Q17" i="28"/>
  <c r="Q23" i="27"/>
  <c r="Q28" i="27"/>
  <c r="N5" i="26"/>
  <c r="Q8" i="26"/>
  <c r="O26" i="26"/>
  <c r="K9" i="17"/>
  <c r="L24" i="16"/>
  <c r="L24" i="15"/>
  <c r="K20" i="16"/>
  <c r="K22" i="16"/>
  <c r="K24" i="16"/>
  <c r="K26" i="16"/>
  <c r="L11" i="15"/>
  <c r="L10" i="17"/>
  <c r="L33" i="15"/>
  <c r="L18" i="15"/>
  <c r="L5" i="16"/>
  <c r="L25" i="15"/>
  <c r="L8" i="17"/>
  <c r="L6" i="16"/>
  <c r="L7" i="16"/>
  <c r="L12" i="16"/>
  <c r="L26" i="16"/>
  <c r="L30" i="16"/>
  <c r="L31" i="16"/>
  <c r="L22" i="17"/>
  <c r="O23" i="17"/>
  <c r="K20" i="17"/>
  <c r="L21" i="17"/>
  <c r="L13" i="16"/>
  <c r="K9" i="16"/>
  <c r="K11" i="16"/>
  <c r="K13" i="16"/>
  <c r="K15" i="16"/>
  <c r="K31" i="16"/>
  <c r="K33" i="16"/>
  <c r="K7" i="17"/>
  <c r="K17" i="17"/>
  <c r="K32" i="17"/>
  <c r="L7" i="15"/>
  <c r="L6" i="17"/>
  <c r="L26" i="15"/>
  <c r="L14" i="15"/>
  <c r="K28" i="16"/>
  <c r="K17" i="16"/>
  <c r="L9" i="16"/>
  <c r="L25" i="16"/>
  <c r="L20" i="17"/>
  <c r="L12" i="15"/>
  <c r="K18" i="16"/>
  <c r="K8" i="17"/>
  <c r="L13" i="15"/>
  <c r="L21" i="15"/>
  <c r="L11" i="16"/>
  <c r="L15" i="16"/>
  <c r="L21" i="16"/>
  <c r="L17" i="15"/>
  <c r="L24" i="17"/>
  <c r="L5" i="15"/>
  <c r="L8" i="16"/>
  <c r="K21" i="16"/>
  <c r="K23" i="16"/>
  <c r="K25" i="16"/>
  <c r="L9" i="17"/>
  <c r="L22" i="15"/>
  <c r="L10" i="15"/>
  <c r="L31" i="15"/>
  <c r="O30" i="16"/>
  <c r="O32" i="16"/>
  <c r="O6" i="17"/>
  <c r="O31" i="17"/>
  <c r="O24" i="15"/>
  <c r="E9" i="15"/>
  <c r="O20" i="16"/>
  <c r="O22" i="16"/>
  <c r="O24" i="16"/>
  <c r="O26" i="16"/>
  <c r="O6" i="15"/>
  <c r="O30" i="15"/>
  <c r="O31" i="16"/>
  <c r="O33" i="16"/>
  <c r="O17" i="17"/>
  <c r="O17" i="15"/>
  <c r="O21" i="16"/>
  <c r="O23" i="16"/>
  <c r="O25" i="16"/>
  <c r="O22" i="15"/>
  <c r="Q9" i="26"/>
  <c r="N12" i="26"/>
  <c r="E31" i="37"/>
  <c r="K7" i="28"/>
  <c r="Q8" i="27"/>
  <c r="Q26" i="27"/>
  <c r="N9" i="28"/>
  <c r="N26" i="26"/>
  <c r="Q30" i="28"/>
  <c r="H26" i="27"/>
  <c r="N22" i="28"/>
  <c r="Q23" i="26"/>
  <c r="N21" i="26"/>
  <c r="N31" i="28"/>
  <c r="E29" i="10"/>
  <c r="H17" i="27"/>
  <c r="Q22" i="26"/>
  <c r="N31" i="26"/>
  <c r="Q20" i="27"/>
  <c r="G17" i="27"/>
  <c r="P23" i="27"/>
  <c r="N31" i="27"/>
  <c r="E18" i="27"/>
  <c r="P17" i="28"/>
  <c r="N10" i="28"/>
  <c r="N25" i="27"/>
  <c r="O30" i="26"/>
  <c r="N8" i="28"/>
  <c r="O5" i="26"/>
  <c r="Q7" i="26"/>
  <c r="Q22" i="28"/>
  <c r="O17" i="27"/>
  <c r="P7" i="26"/>
  <c r="H17" i="26"/>
  <c r="N24" i="26"/>
  <c r="Q32" i="27"/>
  <c r="N25" i="26"/>
  <c r="O16" i="25"/>
  <c r="K19" i="14"/>
  <c r="K19" i="17" s="1"/>
  <c r="O27" i="27"/>
  <c r="H16" i="25"/>
  <c r="H16" i="28" s="1"/>
  <c r="K29" i="14"/>
  <c r="K29" i="17" s="1"/>
  <c r="L16" i="14"/>
  <c r="L16" i="17" s="1"/>
  <c r="I16" i="25"/>
  <c r="I16" i="28" s="1"/>
  <c r="M29" i="14"/>
  <c r="M29" i="17" s="1"/>
  <c r="O19" i="25"/>
  <c r="O19" i="28" s="1"/>
  <c r="K16" i="25"/>
  <c r="K16" i="28" s="1"/>
  <c r="F16" i="26"/>
  <c r="O3" i="9"/>
  <c r="O3" i="13" s="1"/>
  <c r="D16" i="26"/>
  <c r="H4" i="10"/>
  <c r="P29" i="26"/>
  <c r="L19" i="14"/>
  <c r="L19" i="17" s="1"/>
  <c r="C29" i="25"/>
  <c r="C29" i="28" s="1"/>
  <c r="Q29" i="14"/>
  <c r="Q29" i="17" s="1"/>
  <c r="H14" i="26"/>
  <c r="E20" i="16"/>
  <c r="O32" i="17"/>
  <c r="D6" i="26"/>
  <c r="P13" i="27"/>
  <c r="O26" i="27"/>
  <c r="Q12" i="26"/>
  <c r="E30" i="28"/>
  <c r="E3" i="9"/>
  <c r="E3" i="13" s="1"/>
  <c r="I31" i="37"/>
  <c r="F33" i="26"/>
  <c r="Q16" i="14"/>
  <c r="Q16" i="17" s="1"/>
  <c r="G21" i="28"/>
  <c r="Q19" i="14"/>
  <c r="Q19" i="17" s="1"/>
  <c r="O22" i="27"/>
  <c r="H31" i="28"/>
  <c r="L9" i="28"/>
  <c r="E6" i="16"/>
  <c r="I32" i="26"/>
  <c r="E26" i="15"/>
  <c r="D18" i="27"/>
  <c r="M29" i="27"/>
  <c r="Q16" i="25"/>
  <c r="Q16" i="28" s="1"/>
  <c r="E25" i="16"/>
  <c r="E23" i="17"/>
  <c r="E6" i="17"/>
  <c r="E22" i="16"/>
  <c r="E7" i="17"/>
  <c r="E6" i="15"/>
  <c r="E13" i="15"/>
  <c r="E8" i="16"/>
  <c r="E25" i="15"/>
  <c r="I24" i="16"/>
  <c r="I22" i="16"/>
  <c r="I21" i="17"/>
  <c r="I6" i="17"/>
  <c r="I33" i="16"/>
  <c r="I20" i="15"/>
  <c r="I12" i="15"/>
  <c r="I21" i="16"/>
  <c r="I32" i="16"/>
  <c r="I25" i="27"/>
  <c r="I24" i="27"/>
  <c r="I11" i="26"/>
  <c r="I20" i="17"/>
  <c r="E8" i="17"/>
  <c r="E31" i="17"/>
  <c r="G21" i="16"/>
  <c r="G24" i="16"/>
  <c r="G26" i="16"/>
  <c r="I31" i="17"/>
  <c r="E23" i="16"/>
  <c r="E5" i="15"/>
  <c r="I6" i="16"/>
  <c r="I7" i="16"/>
  <c r="I26" i="15"/>
  <c r="I23" i="16"/>
  <c r="M25" i="27"/>
  <c r="I20" i="27"/>
  <c r="M31" i="26"/>
  <c r="I5" i="28"/>
  <c r="I10" i="27"/>
  <c r="H13" i="27"/>
  <c r="Q16" i="26"/>
  <c r="I32" i="27"/>
  <c r="I10" i="28"/>
  <c r="M17" i="28"/>
  <c r="I18" i="27"/>
  <c r="E9" i="17"/>
  <c r="E20" i="17"/>
  <c r="E28" i="16"/>
  <c r="H11" i="15"/>
  <c r="H30" i="17"/>
  <c r="I11" i="15"/>
  <c r="H21" i="17"/>
  <c r="H5" i="16"/>
  <c r="H8" i="16"/>
  <c r="E20" i="15"/>
  <c r="I19" i="15"/>
  <c r="H31" i="15"/>
  <c r="H33" i="15"/>
  <c r="I30" i="27"/>
  <c r="D18" i="26"/>
  <c r="I23" i="28"/>
  <c r="D9" i="26"/>
  <c r="D22" i="26"/>
  <c r="H26" i="26"/>
  <c r="I22" i="17"/>
  <c r="H10" i="15"/>
  <c r="M24" i="27"/>
  <c r="B27" i="16"/>
  <c r="E7" i="16"/>
  <c r="E10" i="16"/>
  <c r="E31" i="16"/>
  <c r="I13" i="27"/>
  <c r="I33" i="27"/>
  <c r="E19" i="17"/>
  <c r="I30" i="28"/>
  <c r="I6" i="27"/>
  <c r="I28" i="27"/>
  <c r="G20" i="16"/>
  <c r="G22" i="16"/>
  <c r="G23" i="16"/>
  <c r="G25" i="16"/>
  <c r="G27" i="16"/>
  <c r="E24" i="16"/>
  <c r="G22" i="15"/>
  <c r="I23" i="17"/>
  <c r="I5" i="16"/>
  <c r="I31" i="16"/>
  <c r="M10" i="28"/>
  <c r="M23" i="26"/>
  <c r="I9" i="16"/>
  <c r="I25" i="15"/>
  <c r="H18" i="15"/>
  <c r="M9" i="28"/>
  <c r="I9" i="27"/>
  <c r="M13" i="27"/>
  <c r="I21" i="27"/>
  <c r="D30" i="28"/>
  <c r="M33" i="27"/>
  <c r="D5" i="27"/>
  <c r="I26" i="27"/>
  <c r="M30" i="28"/>
  <c r="I24" i="17"/>
  <c r="I20" i="28"/>
  <c r="F6" i="27"/>
  <c r="M9" i="27"/>
  <c r="I17" i="27"/>
  <c r="M21" i="27"/>
  <c r="M28" i="26"/>
  <c r="I31" i="28"/>
  <c r="I8" i="27"/>
  <c r="M12" i="27"/>
  <c r="I15" i="26"/>
  <c r="I22" i="27"/>
  <c r="D8" i="28"/>
  <c r="D25" i="27"/>
  <c r="I5" i="26"/>
  <c r="I13" i="26"/>
  <c r="D30" i="26"/>
  <c r="M6" i="27"/>
  <c r="D13" i="27"/>
  <c r="M17" i="26"/>
  <c r="M22" i="26"/>
  <c r="M25" i="26"/>
  <c r="I7" i="27"/>
  <c r="M11" i="27"/>
  <c r="I10" i="26"/>
  <c r="D13" i="26"/>
  <c r="M14" i="26"/>
  <c r="E22" i="17"/>
  <c r="D7" i="28"/>
  <c r="Q29" i="25"/>
  <c r="Q29" i="28" s="1"/>
  <c r="L29" i="25"/>
  <c r="D7" i="27"/>
  <c r="I30" i="16"/>
  <c r="H9" i="15"/>
  <c r="H25" i="15"/>
  <c r="L24" i="28"/>
  <c r="I8" i="15"/>
  <c r="Q29" i="26"/>
  <c r="H24" i="16"/>
  <c r="I21" i="15"/>
  <c r="I10" i="17"/>
  <c r="H20" i="17"/>
  <c r="H24" i="17"/>
  <c r="I26" i="16"/>
  <c r="I22" i="15"/>
  <c r="M3" i="11"/>
  <c r="M3" i="14" s="1"/>
  <c r="M3" i="17" s="1"/>
  <c r="E32" i="17"/>
  <c r="E30" i="16"/>
  <c r="H24" i="15"/>
  <c r="G4" i="27"/>
  <c r="I18" i="15"/>
  <c r="H7" i="15"/>
  <c r="H15" i="15"/>
  <c r="H23" i="15"/>
  <c r="H30" i="16"/>
  <c r="H9" i="17"/>
  <c r="H10" i="17"/>
  <c r="F16" i="14"/>
  <c r="F16" i="17" s="1"/>
  <c r="H10" i="16"/>
  <c r="H12" i="16"/>
  <c r="H14" i="16"/>
  <c r="H20" i="16"/>
  <c r="E28" i="15"/>
  <c r="H32" i="16"/>
  <c r="I13" i="15"/>
  <c r="H17" i="15"/>
  <c r="H30" i="15"/>
  <c r="H32" i="15"/>
  <c r="H26" i="16"/>
  <c r="I23" i="15"/>
  <c r="H31" i="16"/>
  <c r="E17" i="15"/>
  <c r="H22" i="17"/>
  <c r="B29" i="14"/>
  <c r="B29" i="17" s="1"/>
  <c r="I6" i="15"/>
  <c r="I9" i="15"/>
  <c r="I10" i="15"/>
  <c r="I14" i="15"/>
  <c r="H28" i="15"/>
  <c r="E21" i="17"/>
  <c r="H8" i="15"/>
  <c r="I17" i="17"/>
  <c r="H32" i="17"/>
  <c r="D22" i="27"/>
  <c r="D26" i="27"/>
  <c r="D5" i="26"/>
  <c r="D17" i="26"/>
  <c r="I16" i="17"/>
  <c r="G9" i="16"/>
  <c r="G10" i="16"/>
  <c r="G11" i="16"/>
  <c r="G12" i="16"/>
  <c r="G13" i="16"/>
  <c r="G14" i="16"/>
  <c r="G15" i="16"/>
  <c r="F9" i="28"/>
  <c r="D24" i="26"/>
  <c r="E32" i="16"/>
  <c r="H5" i="15"/>
  <c r="H13" i="15"/>
  <c r="H21" i="15"/>
  <c r="G24" i="26"/>
  <c r="H22" i="16"/>
  <c r="H5" i="17"/>
  <c r="H7" i="17"/>
  <c r="H8" i="17"/>
  <c r="H23" i="17"/>
  <c r="H6" i="16"/>
  <c r="H7" i="16"/>
  <c r="H23" i="16"/>
  <c r="E27" i="15"/>
  <c r="D25" i="26"/>
  <c r="I5" i="15"/>
  <c r="D15" i="26"/>
  <c r="I7" i="15"/>
  <c r="I15" i="15"/>
  <c r="I8" i="17"/>
  <c r="I28" i="16"/>
  <c r="I24" i="15"/>
  <c r="P16" i="26"/>
  <c r="H26" i="15"/>
  <c r="D4" i="14"/>
  <c r="D4" i="17" s="1"/>
  <c r="I25" i="16"/>
  <c r="H6" i="15"/>
  <c r="H14" i="15"/>
  <c r="D24" i="28"/>
  <c r="I31" i="15"/>
  <c r="I33" i="15"/>
  <c r="D18" i="15"/>
  <c r="M4" i="10"/>
  <c r="G6" i="27"/>
  <c r="G30" i="27"/>
  <c r="G11" i="26"/>
  <c r="G8" i="27"/>
  <c r="E16" i="26"/>
  <c r="C19" i="25"/>
  <c r="C19" i="28" s="1"/>
  <c r="G20" i="27"/>
  <c r="I9" i="28"/>
  <c r="J5" i="28"/>
  <c r="J5" i="26"/>
  <c r="J9" i="26"/>
  <c r="J17" i="26"/>
  <c r="J17" i="27"/>
  <c r="J25" i="26"/>
  <c r="J22" i="28"/>
  <c r="J11" i="27"/>
  <c r="J13" i="26"/>
  <c r="E16" i="27"/>
  <c r="E16" i="25"/>
  <c r="E16" i="28" s="1"/>
  <c r="G10" i="28"/>
  <c r="G23" i="26"/>
  <c r="G17" i="28"/>
  <c r="G22" i="28"/>
  <c r="P15" i="27"/>
  <c r="G31" i="27"/>
  <c r="G9" i="26"/>
  <c r="M15" i="26"/>
  <c r="E16" i="14"/>
  <c r="E16" i="17" s="1"/>
  <c r="B4" i="10"/>
  <c r="G33" i="26"/>
  <c r="G12" i="27"/>
  <c r="G30" i="28"/>
  <c r="G5" i="27"/>
  <c r="G9" i="27"/>
  <c r="G8" i="28"/>
  <c r="G23" i="28"/>
  <c r="P3" i="19"/>
  <c r="P3" i="23" s="1"/>
  <c r="P3" i="26" s="1"/>
  <c r="G14" i="27"/>
  <c r="G28" i="26"/>
  <c r="C15" i="26"/>
  <c r="G11" i="27"/>
  <c r="G23" i="27"/>
  <c r="G10" i="27"/>
  <c r="G32" i="27"/>
  <c r="G8" i="26"/>
  <c r="G9" i="28"/>
  <c r="G5" i="26"/>
  <c r="I6" i="26"/>
  <c r="I26" i="26"/>
  <c r="I6" i="28"/>
  <c r="I33" i="26"/>
  <c r="I32" i="28"/>
  <c r="I9" i="26"/>
  <c r="I21" i="28"/>
  <c r="D3" i="8"/>
  <c r="I8" i="28"/>
  <c r="J9" i="28"/>
  <c r="J30" i="28"/>
  <c r="J32" i="27"/>
  <c r="I12" i="26"/>
  <c r="I30" i="26"/>
  <c r="P15" i="16"/>
  <c r="P23" i="16"/>
  <c r="G20" i="28"/>
  <c r="G24" i="27"/>
  <c r="H19" i="14"/>
  <c r="H19" i="17" s="1"/>
  <c r="J31" i="27"/>
  <c r="I23" i="26"/>
  <c r="J24" i="26"/>
  <c r="I23" i="27"/>
  <c r="O4" i="14"/>
  <c r="O4" i="17" s="1"/>
  <c r="O29" i="14"/>
  <c r="O29" i="17" s="1"/>
  <c r="E16" i="10"/>
  <c r="G6" i="28"/>
  <c r="G33" i="27"/>
  <c r="I12" i="27"/>
  <c r="P8" i="15"/>
  <c r="P12" i="15"/>
  <c r="P20" i="15"/>
  <c r="P24" i="15"/>
  <c r="G24" i="28"/>
  <c r="J23" i="26"/>
  <c r="J31" i="26"/>
  <c r="G29" i="25"/>
  <c r="G29" i="28" s="1"/>
  <c r="P21" i="16"/>
  <c r="P17" i="17"/>
  <c r="P30" i="17"/>
  <c r="P31" i="17"/>
  <c r="J17" i="28"/>
  <c r="J20" i="26"/>
  <c r="J8" i="27"/>
  <c r="I25" i="26"/>
  <c r="E11" i="16"/>
  <c r="E29" i="25"/>
  <c r="E29" i="28" s="1"/>
  <c r="K3" i="9"/>
  <c r="K3" i="13" s="1"/>
  <c r="J6" i="26"/>
  <c r="I31" i="26"/>
  <c r="J32" i="26"/>
  <c r="J7" i="27"/>
  <c r="I14" i="27"/>
  <c r="I31" i="27"/>
  <c r="I21" i="26"/>
  <c r="I17" i="28"/>
  <c r="K29" i="25"/>
  <c r="K29" i="28" s="1"/>
  <c r="I11" i="27"/>
  <c r="H29" i="10"/>
  <c r="J12" i="27"/>
  <c r="J22" i="26"/>
  <c r="J15" i="27"/>
  <c r="G14" i="26"/>
  <c r="I17" i="26"/>
  <c r="J18" i="26"/>
  <c r="H29" i="16"/>
  <c r="I29" i="26"/>
  <c r="G31" i="26"/>
  <c r="K31" i="37"/>
  <c r="J10" i="26"/>
  <c r="G4" i="10"/>
  <c r="E18" i="15"/>
  <c r="J33" i="26"/>
  <c r="O18" i="26"/>
  <c r="N31" i="37"/>
  <c r="J21" i="26"/>
  <c r="J7" i="28"/>
  <c r="H3" i="9"/>
  <c r="H3" i="13" s="1"/>
  <c r="E33" i="26"/>
  <c r="E12" i="16"/>
  <c r="E15" i="16"/>
  <c r="E18" i="16"/>
  <c r="F25" i="27"/>
  <c r="F26" i="27"/>
  <c r="H7" i="27"/>
  <c r="F30" i="27"/>
  <c r="L8" i="26"/>
  <c r="H6" i="28"/>
  <c r="F17" i="27"/>
  <c r="L12" i="26"/>
  <c r="H24" i="28"/>
  <c r="F5" i="26"/>
  <c r="F13" i="26"/>
  <c r="P5" i="15"/>
  <c r="P9" i="15"/>
  <c r="P17" i="15"/>
  <c r="P25" i="15"/>
  <c r="F22" i="28"/>
  <c r="P9" i="17"/>
  <c r="P6" i="16"/>
  <c r="P12" i="16"/>
  <c r="F25" i="26"/>
  <c r="F10" i="27"/>
  <c r="H12" i="27"/>
  <c r="F22" i="27"/>
  <c r="H24" i="27"/>
  <c r="L5" i="28"/>
  <c r="H23" i="28"/>
  <c r="H30" i="28"/>
  <c r="F21" i="27"/>
  <c r="L28" i="27"/>
  <c r="L32" i="27"/>
  <c r="F24" i="26"/>
  <c r="F23" i="27"/>
  <c r="F28" i="27"/>
  <c r="L6" i="28"/>
  <c r="H17" i="28"/>
  <c r="L33" i="27"/>
  <c r="L10" i="26"/>
  <c r="F28" i="26"/>
  <c r="L17" i="28"/>
  <c r="L22" i="28"/>
  <c r="L5" i="26"/>
  <c r="F7" i="26"/>
  <c r="H9" i="28"/>
  <c r="H7" i="28"/>
  <c r="H32" i="28"/>
  <c r="P6" i="15"/>
  <c r="P10" i="15"/>
  <c r="P14" i="15"/>
  <c r="P18" i="15"/>
  <c r="P22" i="15"/>
  <c r="P26" i="15"/>
  <c r="P7" i="16"/>
  <c r="P14" i="16"/>
  <c r="P7" i="17"/>
  <c r="P8" i="17"/>
  <c r="P22" i="17"/>
  <c r="P23" i="17"/>
  <c r="P22" i="16"/>
  <c r="P26" i="16"/>
  <c r="P17" i="16"/>
  <c r="F8" i="27"/>
  <c r="G13" i="26"/>
  <c r="G20" i="26"/>
  <c r="G7" i="28"/>
  <c r="G22" i="26"/>
  <c r="P22" i="26"/>
  <c r="P31" i="27"/>
  <c r="P6" i="28"/>
  <c r="P14" i="27"/>
  <c r="P16" i="28"/>
  <c r="Q20" i="28"/>
  <c r="Q28" i="26"/>
  <c r="Q21" i="28"/>
  <c r="F31" i="27"/>
  <c r="F6" i="28"/>
  <c r="F12" i="26"/>
  <c r="F9" i="26"/>
  <c r="F17" i="26"/>
  <c r="F31" i="28"/>
  <c r="F14" i="27"/>
  <c r="F32" i="28"/>
  <c r="L11" i="27"/>
  <c r="H28" i="27"/>
  <c r="H32" i="27"/>
  <c r="L25" i="27"/>
  <c r="F8" i="28"/>
  <c r="L31" i="28"/>
  <c r="F12" i="27"/>
  <c r="F7" i="28"/>
  <c r="F30" i="28"/>
  <c r="F22" i="26"/>
  <c r="P13" i="15"/>
  <c r="P21" i="15"/>
  <c r="F18" i="26"/>
  <c r="P31" i="16"/>
  <c r="P33" i="16"/>
  <c r="P10" i="17"/>
  <c r="H25" i="26"/>
  <c r="H33" i="26"/>
  <c r="P32" i="16"/>
  <c r="H8" i="27"/>
  <c r="L12" i="27"/>
  <c r="F18" i="27"/>
  <c r="L30" i="28"/>
  <c r="F5" i="27"/>
  <c r="F11" i="27"/>
  <c r="H6" i="26"/>
  <c r="L23" i="28"/>
  <c r="F20" i="28"/>
  <c r="H10" i="27"/>
  <c r="F20" i="27"/>
  <c r="L22" i="27"/>
  <c r="F24" i="27"/>
  <c r="F5" i="28"/>
  <c r="H30" i="27"/>
  <c r="P25" i="16"/>
  <c r="P5" i="17"/>
  <c r="P6" i="17"/>
  <c r="P5" i="16"/>
  <c r="P8" i="16"/>
  <c r="H8" i="28"/>
  <c r="O5" i="16"/>
  <c r="Q30" i="26"/>
  <c r="P9" i="16"/>
  <c r="O10" i="15"/>
  <c r="O32" i="15"/>
  <c r="P30" i="15"/>
  <c r="P32" i="15"/>
  <c r="P32" i="28"/>
  <c r="O20" i="15"/>
  <c r="P32" i="17"/>
  <c r="O15" i="15"/>
  <c r="K31" i="15"/>
  <c r="H31" i="26"/>
  <c r="Q7" i="28"/>
  <c r="Q33" i="26"/>
  <c r="F23" i="28"/>
  <c r="N20" i="26"/>
  <c r="N33" i="26"/>
  <c r="N7" i="27"/>
  <c r="G31" i="28"/>
  <c r="Q31" i="27"/>
  <c r="F32" i="27"/>
  <c r="H20" i="26"/>
  <c r="P20" i="26"/>
  <c r="Q21" i="26"/>
  <c r="H24" i="26"/>
  <c r="F26" i="26"/>
  <c r="H11" i="27"/>
  <c r="K5" i="17"/>
  <c r="K23" i="17"/>
  <c r="K24" i="17"/>
  <c r="K30" i="17"/>
  <c r="P7" i="15"/>
  <c r="P11" i="15"/>
  <c r="P15" i="15"/>
  <c r="P23" i="15"/>
  <c r="P28" i="15"/>
  <c r="P11" i="16"/>
  <c r="P10" i="16"/>
  <c r="P18" i="16"/>
  <c r="P20" i="17"/>
  <c r="P21" i="17"/>
  <c r="P24" i="17"/>
  <c r="P24" i="16"/>
  <c r="P28" i="16"/>
  <c r="F30" i="26"/>
  <c r="F31" i="26"/>
  <c r="P33" i="26"/>
  <c r="P32" i="26"/>
  <c r="Q12" i="27"/>
  <c r="G17" i="26"/>
  <c r="H18" i="26"/>
  <c r="F21" i="26"/>
  <c r="F17" i="28"/>
  <c r="P31" i="28"/>
  <c r="F11" i="26"/>
  <c r="F20" i="26"/>
  <c r="G21" i="26"/>
  <c r="H22" i="26"/>
  <c r="G7" i="26"/>
  <c r="E32" i="27"/>
  <c r="H8" i="26"/>
  <c r="Q24" i="16"/>
  <c r="Q23" i="15"/>
  <c r="Q24" i="15"/>
  <c r="F9" i="27"/>
  <c r="G25" i="27"/>
  <c r="E28" i="27"/>
  <c r="E18" i="26"/>
  <c r="Q30" i="17"/>
  <c r="O20" i="17"/>
  <c r="Q32" i="16"/>
  <c r="Q5" i="15"/>
  <c r="Q6" i="15"/>
  <c r="Q7" i="15"/>
  <c r="Q8" i="15"/>
  <c r="Q9" i="15"/>
  <c r="Q10" i="15"/>
  <c r="Q11" i="15"/>
  <c r="Q12" i="15"/>
  <c r="Q13" i="15"/>
  <c r="Q14" i="15"/>
  <c r="Q15" i="15"/>
  <c r="G18" i="27"/>
  <c r="O30" i="17"/>
  <c r="L28" i="16"/>
  <c r="I22" i="26"/>
  <c r="F23" i="26"/>
  <c r="G32" i="26"/>
  <c r="P13" i="16"/>
  <c r="D17" i="15"/>
  <c r="P31" i="15"/>
  <c r="P33" i="15"/>
  <c r="N30" i="26"/>
  <c r="D7" i="17"/>
  <c r="P20" i="16"/>
  <c r="O12" i="15"/>
  <c r="O28" i="15"/>
  <c r="D17" i="17"/>
  <c r="L31" i="17"/>
  <c r="D18" i="16"/>
  <c r="L18" i="16"/>
  <c r="P30" i="16"/>
  <c r="L32" i="16"/>
  <c r="D33" i="16"/>
  <c r="L33" i="16"/>
  <c r="C17" i="26"/>
  <c r="C19" i="26"/>
  <c r="I24" i="26"/>
  <c r="N17" i="28"/>
  <c r="F33" i="27"/>
  <c r="F14" i="26"/>
  <c r="G21" i="27"/>
  <c r="I14" i="26"/>
  <c r="Q18" i="26"/>
  <c r="L20" i="15"/>
  <c r="D24" i="15"/>
  <c r="L28" i="15"/>
  <c r="L32" i="17"/>
  <c r="C6" i="28"/>
  <c r="L8" i="15"/>
  <c r="D12" i="15"/>
  <c r="C30" i="26"/>
  <c r="Q32" i="26"/>
  <c r="N21" i="28"/>
  <c r="I7" i="28"/>
  <c r="P10" i="26"/>
  <c r="Q11" i="26"/>
  <c r="Q24" i="26"/>
  <c r="I22" i="28"/>
  <c r="L30" i="15"/>
  <c r="L32" i="15"/>
  <c r="F7" i="27"/>
  <c r="Q24" i="27"/>
  <c r="I8" i="26"/>
  <c r="G10" i="26"/>
  <c r="N17" i="26"/>
  <c r="Q28" i="15"/>
  <c r="P3" i="9"/>
  <c r="P3" i="13" s="1"/>
  <c r="K18" i="26"/>
  <c r="G3" i="7"/>
  <c r="G10" i="17"/>
  <c r="G7" i="16"/>
  <c r="O31" i="37"/>
  <c r="J31" i="37"/>
  <c r="E32" i="28"/>
  <c r="E21" i="28"/>
  <c r="E24" i="28"/>
  <c r="E21" i="26"/>
  <c r="E26" i="26"/>
  <c r="E32" i="26"/>
  <c r="E10" i="28"/>
  <c r="E12" i="26"/>
  <c r="E25" i="26"/>
  <c r="D16" i="15"/>
  <c r="G16" i="17"/>
  <c r="Q18" i="16"/>
  <c r="Q18" i="15"/>
  <c r="Q20" i="16"/>
  <c r="Q12" i="16"/>
  <c r="Q26" i="15"/>
  <c r="Q22" i="15"/>
  <c r="Q30" i="16"/>
  <c r="Q25" i="16"/>
  <c r="Q15" i="16"/>
  <c r="Q11" i="16"/>
  <c r="Q10" i="17"/>
  <c r="Q7" i="17"/>
  <c r="Q31" i="17"/>
  <c r="Q14" i="16"/>
  <c r="Q23" i="16"/>
  <c r="M29" i="25"/>
  <c r="M29" i="28" s="1"/>
  <c r="K14" i="26"/>
  <c r="K30" i="27"/>
  <c r="K23" i="28"/>
  <c r="O16" i="15"/>
  <c r="K6" i="27"/>
  <c r="G22" i="17"/>
  <c r="E22" i="27"/>
  <c r="G5" i="15"/>
  <c r="G13" i="15"/>
  <c r="B30" i="17"/>
  <c r="N29" i="14"/>
  <c r="N29" i="17" s="1"/>
  <c r="E17" i="26"/>
  <c r="G23" i="15"/>
  <c r="N29" i="25"/>
  <c r="N29" i="28" s="1"/>
  <c r="G30" i="15"/>
  <c r="Q26" i="16"/>
  <c r="Q21" i="15"/>
  <c r="Q17" i="17"/>
  <c r="Q31" i="16"/>
  <c r="Q33" i="16"/>
  <c r="E9" i="28"/>
  <c r="E5" i="26"/>
  <c r="L9" i="27"/>
  <c r="E17" i="28"/>
  <c r="K12" i="26"/>
  <c r="F17" i="15"/>
  <c r="F18" i="15"/>
  <c r="F20" i="15"/>
  <c r="F21" i="15"/>
  <c r="F22" i="15"/>
  <c r="F23" i="15"/>
  <c r="F24" i="15"/>
  <c r="F25" i="15"/>
  <c r="F26" i="15"/>
  <c r="E8" i="28"/>
  <c r="E22" i="28"/>
  <c r="G31" i="15"/>
  <c r="K30" i="15"/>
  <c r="E30" i="26"/>
  <c r="G9" i="15"/>
  <c r="G17" i="15"/>
  <c r="G20" i="15"/>
  <c r="Q29" i="15"/>
  <c r="C17" i="17"/>
  <c r="Q20" i="15"/>
  <c r="E10" i="26"/>
  <c r="Q21" i="17"/>
  <c r="C16" i="14"/>
  <c r="C16" i="17" s="1"/>
  <c r="F31" i="37"/>
  <c r="G5" i="28"/>
  <c r="O9" i="26"/>
  <c r="G12" i="26"/>
  <c r="Q30" i="15"/>
  <c r="Q31" i="15"/>
  <c r="Q32" i="15"/>
  <c r="Q33" i="15"/>
  <c r="C31" i="39"/>
  <c r="H29" i="25"/>
  <c r="H29" i="28" s="1"/>
  <c r="E31" i="27"/>
  <c r="E8" i="26"/>
  <c r="G7" i="17"/>
  <c r="G32" i="17"/>
  <c r="Q28" i="16"/>
  <c r="G7" i="15"/>
  <c r="G8" i="15"/>
  <c r="Q5" i="17"/>
  <c r="E23" i="27"/>
  <c r="Q17" i="15"/>
  <c r="Q20" i="17"/>
  <c r="G4" i="14"/>
  <c r="G4" i="17" s="1"/>
  <c r="E19" i="25"/>
  <c r="E19" i="28" s="1"/>
  <c r="J28" i="15"/>
  <c r="K14" i="27"/>
  <c r="K7" i="26"/>
  <c r="K28" i="27"/>
  <c r="K23" i="26"/>
  <c r="K8" i="28"/>
  <c r="L19" i="25"/>
  <c r="L19" i="28" s="1"/>
  <c r="K10" i="26"/>
  <c r="J31" i="17"/>
  <c r="J32" i="17"/>
  <c r="K23" i="15"/>
  <c r="K6" i="16"/>
  <c r="N29" i="26"/>
  <c r="J11" i="16"/>
  <c r="M20" i="26"/>
  <c r="M8" i="26"/>
  <c r="M18" i="15"/>
  <c r="M8" i="17"/>
  <c r="M26" i="16"/>
  <c r="M10" i="16"/>
  <c r="M22" i="15"/>
  <c r="M32" i="16"/>
  <c r="K20" i="28"/>
  <c r="K33" i="26"/>
  <c r="K30" i="26"/>
  <c r="K9" i="28"/>
  <c r="K22" i="27"/>
  <c r="K20" i="26"/>
  <c r="M24" i="17"/>
  <c r="K5" i="27"/>
  <c r="K21" i="27"/>
  <c r="K8" i="26"/>
  <c r="F29" i="25"/>
  <c r="F29" i="28" s="1"/>
  <c r="K33" i="27"/>
  <c r="M7" i="16"/>
  <c r="M8" i="16"/>
  <c r="K17" i="15"/>
  <c r="M21" i="16"/>
  <c r="D16" i="28"/>
  <c r="J26" i="16"/>
  <c r="D19" i="14"/>
  <c r="D19" i="17" s="1"/>
  <c r="J31" i="16"/>
  <c r="K18" i="27"/>
  <c r="K20" i="27"/>
  <c r="K9" i="26"/>
  <c r="K26" i="26"/>
  <c r="K5" i="28"/>
  <c r="K7" i="27"/>
  <c r="K10" i="27"/>
  <c r="H44" i="37"/>
  <c r="K13" i="26"/>
  <c r="K8" i="27"/>
  <c r="K12" i="27"/>
  <c r="K17" i="27"/>
  <c r="K22" i="26"/>
  <c r="K21" i="28"/>
  <c r="K21" i="26"/>
  <c r="M23" i="17"/>
  <c r="J30" i="15"/>
  <c r="J31" i="15"/>
  <c r="J32" i="15"/>
  <c r="J33" i="15"/>
  <c r="K31" i="28"/>
  <c r="K6" i="26"/>
  <c r="P4" i="10"/>
  <c r="K11" i="26"/>
  <c r="B31" i="37"/>
  <c r="K5" i="26"/>
  <c r="K24" i="28"/>
  <c r="D31" i="26"/>
  <c r="D10" i="27"/>
  <c r="D12" i="26"/>
  <c r="D5" i="28"/>
  <c r="D26" i="26"/>
  <c r="D23" i="27"/>
  <c r="D21" i="28"/>
  <c r="D20" i="28"/>
  <c r="D28" i="26"/>
  <c r="D10" i="26"/>
  <c r="D10" i="28"/>
  <c r="M22" i="27"/>
  <c r="M20" i="27"/>
  <c r="M26" i="27"/>
  <c r="M12" i="26"/>
  <c r="M21" i="28"/>
  <c r="M30" i="27"/>
  <c r="M33" i="26"/>
  <c r="M11" i="26"/>
  <c r="M5" i="26"/>
  <c r="M8" i="27"/>
  <c r="M12" i="16"/>
  <c r="M13" i="16"/>
  <c r="M15" i="16"/>
  <c r="M17" i="16"/>
  <c r="G3" i="11"/>
  <c r="G29" i="14"/>
  <c r="O19" i="14"/>
  <c r="O19" i="17" s="1"/>
  <c r="D29" i="14"/>
  <c r="D29" i="17" s="1"/>
  <c r="O4" i="10"/>
  <c r="K32" i="26"/>
  <c r="D21" i="26"/>
  <c r="O29" i="26"/>
  <c r="B5" i="17"/>
  <c r="J5" i="17"/>
  <c r="B6" i="17"/>
  <c r="B8" i="17"/>
  <c r="J9" i="17"/>
  <c r="B20" i="17"/>
  <c r="J21" i="17"/>
  <c r="J22" i="17"/>
  <c r="J23" i="17"/>
  <c r="J24" i="17"/>
  <c r="B6" i="16"/>
  <c r="B8" i="16"/>
  <c r="J21" i="16"/>
  <c r="J23" i="16"/>
  <c r="E33" i="15"/>
  <c r="D6" i="27"/>
  <c r="K24" i="15"/>
  <c r="G6" i="17"/>
  <c r="O4" i="16"/>
  <c r="M19" i="14"/>
  <c r="M19" i="17" s="1"/>
  <c r="I7" i="26"/>
  <c r="J9" i="16"/>
  <c r="F29" i="14"/>
  <c r="F29" i="17" s="1"/>
  <c r="K24" i="26"/>
  <c r="D33" i="26"/>
  <c r="K7" i="15"/>
  <c r="K8" i="15"/>
  <c r="K20" i="15"/>
  <c r="M30" i="15"/>
  <c r="O31" i="39"/>
  <c r="K25" i="26"/>
  <c r="M20" i="28"/>
  <c r="C29" i="21"/>
  <c r="M4" i="17"/>
  <c r="E10" i="17"/>
  <c r="J29" i="14"/>
  <c r="J29" i="17" s="1"/>
  <c r="E26" i="16"/>
  <c r="E22" i="15"/>
  <c r="E23" i="15"/>
  <c r="K25" i="27"/>
  <c r="M28" i="27"/>
  <c r="M18" i="26"/>
  <c r="E17" i="17"/>
  <c r="E30" i="17"/>
  <c r="E7" i="15"/>
  <c r="E10" i="15"/>
  <c r="E11" i="15"/>
  <c r="E14" i="15"/>
  <c r="E15" i="15"/>
  <c r="K18" i="15"/>
  <c r="K28" i="26"/>
  <c r="K33" i="15"/>
  <c r="G26" i="27"/>
  <c r="J17" i="15"/>
  <c r="J18" i="15"/>
  <c r="J20" i="15"/>
  <c r="J21" i="15"/>
  <c r="J22" i="15"/>
  <c r="J23" i="15"/>
  <c r="J24" i="15"/>
  <c r="J25" i="15"/>
  <c r="J26" i="15"/>
  <c r="M21" i="26"/>
  <c r="K6" i="28"/>
  <c r="L7" i="28"/>
  <c r="K10" i="28"/>
  <c r="O29" i="25"/>
  <c r="O29" i="28" s="1"/>
  <c r="D30" i="27"/>
  <c r="M31" i="27"/>
  <c r="D7" i="26"/>
  <c r="K10" i="17"/>
  <c r="K21" i="17"/>
  <c r="K22" i="17"/>
  <c r="K24" i="27"/>
  <c r="C30" i="15"/>
  <c r="M26" i="26"/>
  <c r="M30" i="26"/>
  <c r="F29" i="26"/>
  <c r="K31" i="26"/>
  <c r="G26" i="15"/>
  <c r="E31" i="15"/>
  <c r="C31" i="37"/>
  <c r="K31" i="39"/>
  <c r="K32" i="27"/>
  <c r="K17" i="26"/>
  <c r="K30" i="28"/>
  <c r="C3" i="19"/>
  <c r="E5" i="17"/>
  <c r="E21" i="15"/>
  <c r="D17" i="28"/>
  <c r="M23" i="27"/>
  <c r="E24" i="17"/>
  <c r="M16" i="16"/>
  <c r="K32" i="15"/>
  <c r="J16" i="14"/>
  <c r="J16" i="17" s="1"/>
  <c r="J16" i="21"/>
  <c r="J16" i="27"/>
  <c r="H19" i="10"/>
  <c r="L31" i="37"/>
  <c r="P44" i="37"/>
  <c r="Q3" i="11"/>
  <c r="B30" i="15"/>
  <c r="B31" i="15"/>
  <c r="B32" i="15"/>
  <c r="B33" i="15"/>
  <c r="L17" i="26"/>
  <c r="L11" i="26"/>
  <c r="L7" i="27"/>
  <c r="L24" i="26"/>
  <c r="L6" i="27"/>
  <c r="L28" i="26"/>
  <c r="L14" i="27"/>
  <c r="L14" i="26"/>
  <c r="L10" i="28"/>
  <c r="N27" i="15"/>
  <c r="J27" i="26"/>
  <c r="B20" i="16"/>
  <c r="B22" i="16"/>
  <c r="M31" i="15"/>
  <c r="M14" i="16"/>
  <c r="M11" i="16"/>
  <c r="M9" i="16"/>
  <c r="M10" i="15"/>
  <c r="M18" i="16"/>
  <c r="M17" i="17"/>
  <c r="M7" i="17"/>
  <c r="M22" i="17"/>
  <c r="M5" i="17"/>
  <c r="M33" i="16"/>
  <c r="O8" i="16"/>
  <c r="O22" i="17"/>
  <c r="O6" i="16"/>
  <c r="O5" i="17"/>
  <c r="M24" i="16"/>
  <c r="L23" i="27"/>
  <c r="O7" i="28"/>
  <c r="O13" i="26"/>
  <c r="O23" i="28"/>
  <c r="O6" i="27"/>
  <c r="O22" i="26"/>
  <c r="O10" i="27"/>
  <c r="O22" i="28"/>
  <c r="O5" i="28"/>
  <c r="O21" i="26"/>
  <c r="O28" i="27"/>
  <c r="O28" i="26"/>
  <c r="O32" i="27"/>
  <c r="O9" i="28"/>
  <c r="B19" i="14"/>
  <c r="B19" i="17" s="1"/>
  <c r="E15" i="27"/>
  <c r="D44" i="37"/>
  <c r="C29" i="14"/>
  <c r="C29" i="17" s="1"/>
  <c r="O3" i="11"/>
  <c r="O3" i="14" s="1"/>
  <c r="O3" i="17" s="1"/>
  <c r="L3" i="8"/>
  <c r="E19" i="15"/>
  <c r="J29" i="26"/>
  <c r="I19" i="14"/>
  <c r="I19" i="17" s="1"/>
  <c r="I3" i="11"/>
  <c r="I3" i="14" s="1"/>
  <c r="I3" i="17" s="1"/>
  <c r="D3" i="7"/>
  <c r="M44" i="37"/>
  <c r="B31" i="16"/>
  <c r="M19" i="10"/>
  <c r="L25" i="26"/>
  <c r="E29" i="21"/>
  <c r="M29" i="26"/>
  <c r="M29" i="21"/>
  <c r="L32" i="26"/>
  <c r="M23" i="16"/>
  <c r="O5" i="15"/>
  <c r="O11" i="15"/>
  <c r="O13" i="15"/>
  <c r="O25" i="15"/>
  <c r="M29" i="10"/>
  <c r="M33" i="15"/>
  <c r="B29" i="16"/>
  <c r="I29" i="10"/>
  <c r="O7" i="17"/>
  <c r="M16" i="14"/>
  <c r="M16" i="17" s="1"/>
  <c r="O24" i="17"/>
  <c r="M31" i="16"/>
  <c r="Q3" i="7"/>
  <c r="Q4" i="14"/>
  <c r="Q4" i="17" s="1"/>
  <c r="B16" i="14"/>
  <c r="B16" i="17" s="1"/>
  <c r="B3" i="11"/>
  <c r="B3" i="14" s="1"/>
  <c r="B3" i="17" s="1"/>
  <c r="O16" i="21"/>
  <c r="B3" i="9"/>
  <c r="B3" i="13" s="1"/>
  <c r="B19" i="10"/>
  <c r="H32" i="26"/>
  <c r="H6" i="27"/>
  <c r="H13" i="26"/>
  <c r="H5" i="27"/>
  <c r="H22" i="28"/>
  <c r="H10" i="28"/>
  <c r="H18" i="27"/>
  <c r="H28" i="26"/>
  <c r="H23" i="26"/>
  <c r="H21" i="28"/>
  <c r="H33" i="27"/>
  <c r="H7" i="26"/>
  <c r="H10" i="26"/>
  <c r="L7" i="26"/>
  <c r="H5" i="28"/>
  <c r="O9" i="16"/>
  <c r="O11" i="16"/>
  <c r="O12" i="16"/>
  <c r="O13" i="16"/>
  <c r="O14" i="16"/>
  <c r="O15" i="16"/>
  <c r="B5" i="15"/>
  <c r="B6" i="15"/>
  <c r="B7" i="15"/>
  <c r="B8" i="15"/>
  <c r="B9" i="15"/>
  <c r="B10" i="15"/>
  <c r="B11" i="15"/>
  <c r="B12" i="15"/>
  <c r="B13" i="15"/>
  <c r="B14" i="15"/>
  <c r="B15" i="15"/>
  <c r="N17" i="15"/>
  <c r="N18" i="15"/>
  <c r="N20" i="15"/>
  <c r="N21" i="15"/>
  <c r="N22" i="15"/>
  <c r="N23" i="15"/>
  <c r="N24" i="15"/>
  <c r="N25" i="15"/>
  <c r="N26" i="15"/>
  <c r="O6" i="28"/>
  <c r="O10" i="28"/>
  <c r="H19" i="25"/>
  <c r="H19" i="28" s="1"/>
  <c r="J29" i="25"/>
  <c r="J29" i="28" s="1"/>
  <c r="O31" i="28"/>
  <c r="L29" i="28"/>
  <c r="H11" i="26"/>
  <c r="O8" i="17"/>
  <c r="P29" i="15"/>
  <c r="O31" i="15"/>
  <c r="O16" i="17"/>
  <c r="B4" i="16"/>
  <c r="B30" i="16"/>
  <c r="J33" i="16"/>
  <c r="H29" i="26"/>
  <c r="O26" i="15"/>
  <c r="O31" i="26"/>
  <c r="B7" i="17"/>
  <c r="B9" i="17"/>
  <c r="B10" i="17"/>
  <c r="H16" i="14"/>
  <c r="H16" i="17" s="1"/>
  <c r="B21" i="17"/>
  <c r="B22" i="17"/>
  <c r="B23" i="17"/>
  <c r="B24" i="17"/>
  <c r="L29" i="14"/>
  <c r="L29" i="17" s="1"/>
  <c r="B9" i="16"/>
  <c r="B10" i="16"/>
  <c r="B11" i="16"/>
  <c r="B12" i="16"/>
  <c r="B13" i="16"/>
  <c r="B14" i="16"/>
  <c r="B15" i="16"/>
  <c r="O7" i="15"/>
  <c r="K13" i="15"/>
  <c r="M16" i="15"/>
  <c r="O21" i="15"/>
  <c r="O23" i="15"/>
  <c r="E24" i="15"/>
  <c r="E17" i="16"/>
  <c r="G31" i="39"/>
  <c r="M3" i="9"/>
  <c r="O28" i="16"/>
  <c r="E29" i="14"/>
  <c r="E29" i="17" s="1"/>
  <c r="L13" i="27"/>
  <c r="L21" i="28"/>
  <c r="H21" i="27"/>
  <c r="O11" i="26"/>
  <c r="L30" i="26"/>
  <c r="O33" i="26"/>
  <c r="L21" i="26"/>
  <c r="H15" i="27"/>
  <c r="K19" i="25"/>
  <c r="K19" i="28" s="1"/>
  <c r="L17" i="27"/>
  <c r="O21" i="27"/>
  <c r="H5" i="26"/>
  <c r="H9" i="26"/>
  <c r="L13" i="26"/>
  <c r="O10" i="16"/>
  <c r="L8" i="27"/>
  <c r="O11" i="27"/>
  <c r="H20" i="27"/>
  <c r="L24" i="27"/>
  <c r="O16" i="28"/>
  <c r="O14" i="27"/>
  <c r="H23" i="27"/>
  <c r="O31" i="27"/>
  <c r="B28" i="15"/>
  <c r="O20" i="27"/>
  <c r="H25" i="27"/>
  <c r="H31" i="27"/>
  <c r="H12" i="26"/>
  <c r="H9" i="27"/>
  <c r="O8" i="27"/>
  <c r="O12" i="27"/>
  <c r="L16" i="28"/>
  <c r="L20" i="28"/>
  <c r="O5" i="27"/>
  <c r="M16" i="25"/>
  <c r="M16" i="28" s="1"/>
  <c r="O9" i="27"/>
  <c r="O13" i="27"/>
  <c r="H22" i="27"/>
  <c r="L26" i="27"/>
  <c r="L9" i="26"/>
  <c r="H16" i="26"/>
  <c r="K16" i="14"/>
  <c r="K16" i="17" s="1"/>
  <c r="O17" i="16"/>
  <c r="O18" i="16"/>
  <c r="B17" i="15"/>
  <c r="B18" i="15"/>
  <c r="B20" i="15"/>
  <c r="B21" i="15"/>
  <c r="B22" i="15"/>
  <c r="B23" i="15"/>
  <c r="B24" i="15"/>
  <c r="B25" i="15"/>
  <c r="B26" i="15"/>
  <c r="B31" i="39"/>
  <c r="J31" i="39"/>
  <c r="H14" i="27"/>
  <c r="O23" i="26"/>
  <c r="H20" i="28"/>
  <c r="L32" i="28"/>
  <c r="I16" i="21"/>
  <c r="L30" i="27"/>
  <c r="L20" i="26"/>
  <c r="O10" i="17"/>
  <c r="O21" i="17"/>
  <c r="E19" i="26"/>
  <c r="J7" i="16"/>
  <c r="O14" i="15"/>
  <c r="O33" i="15"/>
  <c r="J19" i="14"/>
  <c r="J19" i="17" s="1"/>
  <c r="G19" i="25"/>
  <c r="G19" i="28" s="1"/>
  <c r="O20" i="28"/>
  <c r="J17" i="16"/>
  <c r="B33" i="16"/>
  <c r="O8" i="15"/>
  <c r="J17" i="17"/>
  <c r="B31" i="17"/>
  <c r="B32" i="17"/>
  <c r="H21" i="26"/>
  <c r="J12" i="16"/>
  <c r="M29" i="16"/>
  <c r="O18" i="15"/>
  <c r="K8" i="16"/>
  <c r="F4" i="25"/>
  <c r="F4" i="28" s="1"/>
  <c r="E14" i="16"/>
  <c r="B21" i="16"/>
  <c r="J25" i="16"/>
  <c r="B26" i="16"/>
  <c r="O9" i="15"/>
  <c r="K14" i="15"/>
  <c r="E30" i="15"/>
  <c r="E32" i="15"/>
  <c r="G31" i="37"/>
  <c r="I4" i="14"/>
  <c r="I4" i="17" s="1"/>
  <c r="I29" i="14"/>
  <c r="I29" i="17" s="1"/>
  <c r="K44" i="37"/>
  <c r="I44" i="37"/>
  <c r="D10" i="31"/>
  <c r="H3" i="22"/>
  <c r="H3" i="25" s="1"/>
  <c r="H3" i="28" s="1"/>
  <c r="H4" i="25"/>
  <c r="H4" i="28" s="1"/>
  <c r="E19" i="21"/>
  <c r="G16" i="16"/>
  <c r="G16" i="10"/>
  <c r="G19" i="10"/>
  <c r="G29" i="10"/>
  <c r="F4" i="15"/>
  <c r="F3" i="8"/>
  <c r="G16" i="21"/>
  <c r="O3" i="19"/>
  <c r="O4" i="26"/>
  <c r="I4" i="26"/>
  <c r="I3" i="19"/>
  <c r="D27" i="27"/>
  <c r="E4" i="25"/>
  <c r="E4" i="28" s="1"/>
  <c r="E3" i="22"/>
  <c r="E3" i="25" s="1"/>
  <c r="E3" i="28" s="1"/>
  <c r="E4" i="27"/>
  <c r="E3" i="20"/>
  <c r="E3" i="24" s="1"/>
  <c r="E4" i="21"/>
  <c r="H4" i="27"/>
  <c r="H4" i="21"/>
  <c r="H3" i="20"/>
  <c r="H3" i="24" s="1"/>
  <c r="P3" i="20"/>
  <c r="P3" i="24" s="1"/>
  <c r="P4" i="21"/>
  <c r="K16" i="27"/>
  <c r="K16" i="21"/>
  <c r="J4" i="25"/>
  <c r="J4" i="28" s="1"/>
  <c r="J3" i="22"/>
  <c r="J3" i="25" s="1"/>
  <c r="J3" i="28" s="1"/>
  <c r="F16" i="25"/>
  <c r="F16" i="28" s="1"/>
  <c r="Q19" i="25"/>
  <c r="Q19" i="28" s="1"/>
  <c r="L16" i="21"/>
  <c r="P16" i="21"/>
  <c r="N19" i="27"/>
  <c r="N19" i="21"/>
  <c r="N3" i="20"/>
  <c r="N3" i="24" s="1"/>
  <c r="J3" i="19"/>
  <c r="K4" i="14"/>
  <c r="K4" i="17" s="1"/>
  <c r="K3" i="11"/>
  <c r="K3" i="14" s="1"/>
  <c r="J4" i="21"/>
  <c r="Q29" i="21"/>
  <c r="J29" i="21"/>
  <c r="G29" i="21"/>
  <c r="I19" i="21"/>
  <c r="Q3" i="9"/>
  <c r="Q4" i="10"/>
  <c r="Q29" i="16"/>
  <c r="Q29" i="10"/>
  <c r="B148" i="6"/>
  <c r="B172" i="6"/>
  <c r="B135" i="6"/>
  <c r="B159" i="6"/>
  <c r="B122" i="6"/>
  <c r="B131" i="6"/>
  <c r="B155" i="6"/>
  <c r="M4" i="25"/>
  <c r="M4" i="28" s="1"/>
  <c r="J4" i="16"/>
  <c r="J4" i="10"/>
  <c r="J3" i="9"/>
  <c r="J3" i="13" s="1"/>
  <c r="N17" i="17"/>
  <c r="F16" i="16"/>
  <c r="F16" i="10"/>
  <c r="D19" i="10"/>
  <c r="F30" i="16"/>
  <c r="F32" i="16"/>
  <c r="N33" i="16"/>
  <c r="Q4" i="15"/>
  <c r="Q3" i="8"/>
  <c r="B89" i="6"/>
  <c r="B91" i="6"/>
  <c r="B92" i="6"/>
  <c r="B93" i="6"/>
  <c r="B94" i="6"/>
  <c r="B113" i="6"/>
  <c r="G3" i="20"/>
  <c r="G3" i="24" s="1"/>
  <c r="I3" i="8"/>
  <c r="C31" i="17"/>
  <c r="F4" i="14"/>
  <c r="F4" i="17" s="1"/>
  <c r="F3" i="11"/>
  <c r="F3" i="14" s="1"/>
  <c r="F3" i="17" s="1"/>
  <c r="N4" i="14"/>
  <c r="N4" i="17" s="1"/>
  <c r="N3" i="11"/>
  <c r="N3" i="14" s="1"/>
  <c r="N3" i="17" s="1"/>
  <c r="F6" i="17"/>
  <c r="F8" i="17"/>
  <c r="F20" i="17"/>
  <c r="F3" i="9"/>
  <c r="F3" i="13" s="1"/>
  <c r="F4" i="10"/>
  <c r="N5" i="16"/>
  <c r="N7" i="16"/>
  <c r="N20" i="16"/>
  <c r="F24" i="16"/>
  <c r="N25" i="16"/>
  <c r="D29" i="10"/>
  <c r="C4" i="15"/>
  <c r="C3" i="8"/>
  <c r="C3" i="12" s="1"/>
  <c r="C20" i="15"/>
  <c r="C22" i="15"/>
  <c r="N32" i="16"/>
  <c r="C23" i="15"/>
  <c r="M7" i="15"/>
  <c r="M11" i="15"/>
  <c r="M15" i="15"/>
  <c r="F44" i="37"/>
  <c r="N44" i="37"/>
  <c r="O44" i="37"/>
  <c r="D31" i="37"/>
  <c r="P31" i="37"/>
  <c r="L3" i="22"/>
  <c r="L3" i="25" s="1"/>
  <c r="L3" i="28" s="1"/>
  <c r="L4" i="25"/>
  <c r="L4" i="28" s="1"/>
  <c r="F29" i="27"/>
  <c r="F29" i="21"/>
  <c r="G3" i="19"/>
  <c r="N28" i="15"/>
  <c r="K16" i="16"/>
  <c r="K16" i="10"/>
  <c r="K19" i="10"/>
  <c r="K29" i="16"/>
  <c r="K29" i="10"/>
  <c r="J3" i="8"/>
  <c r="J16" i="15"/>
  <c r="J19" i="15"/>
  <c r="J29" i="15"/>
  <c r="D19" i="27"/>
  <c r="D19" i="21"/>
  <c r="G19" i="27"/>
  <c r="G19" i="21"/>
  <c r="O19" i="27"/>
  <c r="O19" i="21"/>
  <c r="M9" i="17"/>
  <c r="M32" i="17"/>
  <c r="K4" i="25"/>
  <c r="K4" i="28" s="1"/>
  <c r="K3" i="22"/>
  <c r="K3" i="25" s="1"/>
  <c r="K3" i="28" s="1"/>
  <c r="M4" i="27"/>
  <c r="M3" i="20"/>
  <c r="M3" i="24" s="1"/>
  <c r="M4" i="21"/>
  <c r="Q3" i="20"/>
  <c r="Q3" i="24" s="1"/>
  <c r="Q4" i="21"/>
  <c r="C16" i="21"/>
  <c r="C16" i="27"/>
  <c r="M20" i="17"/>
  <c r="M30" i="17"/>
  <c r="N16" i="25"/>
  <c r="N16" i="28" s="1"/>
  <c r="F19" i="25"/>
  <c r="F19" i="28" s="1"/>
  <c r="F3" i="22"/>
  <c r="F3" i="25" s="1"/>
  <c r="F3" i="28" s="1"/>
  <c r="K4" i="21"/>
  <c r="K3" i="20"/>
  <c r="K3" i="24" s="1"/>
  <c r="M16" i="27"/>
  <c r="M16" i="21"/>
  <c r="H19" i="21"/>
  <c r="D3" i="19"/>
  <c r="L3" i="19"/>
  <c r="L4" i="26"/>
  <c r="M21" i="17"/>
  <c r="I4" i="16"/>
  <c r="I3" i="9"/>
  <c r="I3" i="13" s="1"/>
  <c r="I4" i="10"/>
  <c r="C9" i="16"/>
  <c r="C10" i="16"/>
  <c r="C11" i="16"/>
  <c r="C12" i="16"/>
  <c r="C13" i="16"/>
  <c r="C14" i="16"/>
  <c r="C15" i="16"/>
  <c r="I16" i="16"/>
  <c r="I16" i="10"/>
  <c r="F5" i="15"/>
  <c r="F6" i="15"/>
  <c r="F7" i="15"/>
  <c r="F8" i="15"/>
  <c r="F9" i="15"/>
  <c r="F10" i="15"/>
  <c r="F11" i="15"/>
  <c r="F12" i="15"/>
  <c r="F13" i="15"/>
  <c r="F14" i="15"/>
  <c r="F15" i="15"/>
  <c r="H29" i="15"/>
  <c r="N30" i="15"/>
  <c r="N31" i="15"/>
  <c r="N32" i="15"/>
  <c r="N33" i="15"/>
  <c r="N4" i="25"/>
  <c r="N4" i="28" s="1"/>
  <c r="N3" i="22"/>
  <c r="N3" i="25" s="1"/>
  <c r="N3" i="28" s="1"/>
  <c r="P29" i="27"/>
  <c r="P29" i="21"/>
  <c r="N3" i="19"/>
  <c r="N19" i="26"/>
  <c r="G5" i="17"/>
  <c r="C7" i="17"/>
  <c r="G24" i="17"/>
  <c r="G30" i="17"/>
  <c r="C32" i="17"/>
  <c r="M5" i="16"/>
  <c r="M6" i="16"/>
  <c r="Q19" i="10"/>
  <c r="G5" i="16"/>
  <c r="B147" i="6"/>
  <c r="B171" i="6"/>
  <c r="B125" i="6"/>
  <c r="B134" i="6"/>
  <c r="B158" i="6"/>
  <c r="N4" i="27"/>
  <c r="G29" i="26"/>
  <c r="C21" i="17"/>
  <c r="J14" i="16"/>
  <c r="B23" i="16"/>
  <c r="G11" i="15"/>
  <c r="J4" i="14"/>
  <c r="J4" i="17" s="1"/>
  <c r="J3" i="11"/>
  <c r="J3" i="14" s="1"/>
  <c r="J3" i="17" s="1"/>
  <c r="C8" i="17"/>
  <c r="J19" i="10"/>
  <c r="J19" i="16"/>
  <c r="M30" i="16"/>
  <c r="F19" i="21"/>
  <c r="M6" i="17"/>
  <c r="B25" i="16"/>
  <c r="J28" i="16"/>
  <c r="C7" i="15"/>
  <c r="M17" i="15"/>
  <c r="F17" i="17"/>
  <c r="P19" i="14"/>
  <c r="P19" i="17" s="1"/>
  <c r="N30" i="17"/>
  <c r="N31" i="17"/>
  <c r="N32" i="17"/>
  <c r="D4" i="10"/>
  <c r="D3" i="9"/>
  <c r="D3" i="13" s="1"/>
  <c r="H16" i="10"/>
  <c r="F17" i="16"/>
  <c r="B18" i="16"/>
  <c r="L19" i="10"/>
  <c r="N29" i="16"/>
  <c r="N29" i="10"/>
  <c r="N31" i="16"/>
  <c r="F33" i="16"/>
  <c r="E4" i="15"/>
  <c r="E3" i="8"/>
  <c r="M6" i="15"/>
  <c r="G18" i="15"/>
  <c r="C31" i="15"/>
  <c r="C33" i="15"/>
  <c r="G4" i="21"/>
  <c r="L33" i="26"/>
  <c r="C23" i="17"/>
  <c r="G8" i="16"/>
  <c r="J20" i="16"/>
  <c r="J30" i="16"/>
  <c r="J16" i="10"/>
  <c r="J16" i="16"/>
  <c r="M20" i="16"/>
  <c r="M28" i="16"/>
  <c r="G6" i="16"/>
  <c r="J16" i="25"/>
  <c r="J16" i="28" s="1"/>
  <c r="J15" i="16"/>
  <c r="N22" i="16"/>
  <c r="J32" i="16"/>
  <c r="C11" i="15"/>
  <c r="G32" i="15"/>
  <c r="F5" i="17"/>
  <c r="N5" i="17"/>
  <c r="J6" i="17"/>
  <c r="N7" i="17"/>
  <c r="J8" i="17"/>
  <c r="F9" i="17"/>
  <c r="N10" i="17"/>
  <c r="J20" i="17"/>
  <c r="F21" i="17"/>
  <c r="F22" i="17"/>
  <c r="F23" i="17"/>
  <c r="F24" i="17"/>
  <c r="J5" i="16"/>
  <c r="J6" i="16"/>
  <c r="J8" i="16"/>
  <c r="F9" i="16"/>
  <c r="F10" i="16"/>
  <c r="F11" i="16"/>
  <c r="F12" i="16"/>
  <c r="F13" i="16"/>
  <c r="F14" i="16"/>
  <c r="F15" i="16"/>
  <c r="D16" i="10"/>
  <c r="D16" i="16"/>
  <c r="F19" i="10"/>
  <c r="F22" i="16"/>
  <c r="N23" i="16"/>
  <c r="F25" i="16"/>
  <c r="B28" i="16"/>
  <c r="K3" i="8"/>
  <c r="K4" i="10"/>
  <c r="G6" i="15"/>
  <c r="G10" i="15"/>
  <c r="K11" i="15"/>
  <c r="C12" i="15"/>
  <c r="K12" i="15"/>
  <c r="G14" i="15"/>
  <c r="K21" i="15"/>
  <c r="G24" i="15"/>
  <c r="K26" i="15"/>
  <c r="G28" i="15"/>
  <c r="E13" i="16"/>
  <c r="E5" i="16"/>
  <c r="E21" i="16"/>
  <c r="M24" i="15"/>
  <c r="E33" i="16"/>
  <c r="H4" i="16"/>
  <c r="N24" i="16"/>
  <c r="B16" i="16"/>
  <c r="C25" i="15"/>
  <c r="E8" i="15"/>
  <c r="E12" i="15"/>
  <c r="C17" i="15"/>
  <c r="C44" i="37"/>
  <c r="Q44" i="37"/>
  <c r="P10" i="30"/>
  <c r="H10" i="31"/>
  <c r="F4" i="27"/>
  <c r="F3" i="20"/>
  <c r="F3" i="24" s="1"/>
  <c r="F4" i="21"/>
  <c r="F16" i="21"/>
  <c r="E4" i="14"/>
  <c r="E4" i="17" s="1"/>
  <c r="E3" i="11"/>
  <c r="E3" i="14" s="1"/>
  <c r="C4" i="16"/>
  <c r="C3" i="9"/>
  <c r="C3" i="13" s="1"/>
  <c r="C4" i="10"/>
  <c r="O16" i="16"/>
  <c r="O16" i="10"/>
  <c r="O19" i="10"/>
  <c r="O29" i="10"/>
  <c r="N4" i="15"/>
  <c r="N3" i="8"/>
  <c r="N29" i="15"/>
  <c r="G3" i="22"/>
  <c r="G3" i="25" s="1"/>
  <c r="G3" i="28" s="1"/>
  <c r="G4" i="25"/>
  <c r="G4" i="28" s="1"/>
  <c r="L19" i="27"/>
  <c r="L19" i="21"/>
  <c r="P19" i="27"/>
  <c r="P19" i="21"/>
  <c r="M3" i="19"/>
  <c r="C3" i="22"/>
  <c r="C3" i="25" s="1"/>
  <c r="C3" i="28" s="1"/>
  <c r="C4" i="25"/>
  <c r="C4" i="28" s="1"/>
  <c r="D4" i="21"/>
  <c r="D3" i="20"/>
  <c r="D3" i="24" s="1"/>
  <c r="L4" i="27"/>
  <c r="L4" i="21"/>
  <c r="L3" i="20"/>
  <c r="L3" i="24" s="1"/>
  <c r="I4" i="25"/>
  <c r="I4" i="28" s="1"/>
  <c r="I3" i="22"/>
  <c r="I3" i="25" s="1"/>
  <c r="I3" i="28" s="1"/>
  <c r="H16" i="27"/>
  <c r="H16" i="21"/>
  <c r="Q19" i="21"/>
  <c r="J19" i="21"/>
  <c r="J19" i="27"/>
  <c r="I19" i="16"/>
  <c r="I19" i="10"/>
  <c r="Q4" i="25"/>
  <c r="Q4" i="28" s="1"/>
  <c r="Q3" i="22"/>
  <c r="Q3" i="25" s="1"/>
  <c r="Q3" i="28" s="1"/>
  <c r="I19" i="25"/>
  <c r="I19" i="28" s="1"/>
  <c r="J3" i="20"/>
  <c r="J3" i="24" s="1"/>
  <c r="I29" i="27"/>
  <c r="I29" i="21"/>
  <c r="L29" i="21"/>
  <c r="Q16" i="16"/>
  <c r="Q16" i="10"/>
  <c r="B146" i="6"/>
  <c r="B170" i="6"/>
  <c r="B124" i="6"/>
  <c r="B133" i="6"/>
  <c r="B157" i="6"/>
  <c r="O3" i="8"/>
  <c r="O4" i="15"/>
  <c r="L4" i="14"/>
  <c r="L4" i="17" s="1"/>
  <c r="L3" i="11"/>
  <c r="L3" i="14" s="1"/>
  <c r="L3" i="17" s="1"/>
  <c r="P4" i="14"/>
  <c r="P4" i="17" s="1"/>
  <c r="P3" i="11"/>
  <c r="P3" i="14" s="1"/>
  <c r="P3" i="17" s="1"/>
  <c r="F30" i="17"/>
  <c r="L4" i="10"/>
  <c r="L4" i="16"/>
  <c r="L3" i="9"/>
  <c r="L3" i="13" s="1"/>
  <c r="N16" i="16"/>
  <c r="N16" i="10"/>
  <c r="F18" i="16"/>
  <c r="D27" i="16"/>
  <c r="F31" i="16"/>
  <c r="C16" i="15"/>
  <c r="E16" i="21"/>
  <c r="E19" i="10"/>
  <c r="J29" i="10"/>
  <c r="J29" i="16"/>
  <c r="F5" i="16"/>
  <c r="F7" i="17"/>
  <c r="F10" i="17"/>
  <c r="N19" i="14"/>
  <c r="N19" i="17" s="1"/>
  <c r="H29" i="14"/>
  <c r="H29" i="17" s="1"/>
  <c r="N6" i="16"/>
  <c r="N8" i="16"/>
  <c r="N9" i="16"/>
  <c r="N10" i="16"/>
  <c r="N11" i="16"/>
  <c r="N12" i="16"/>
  <c r="N13" i="16"/>
  <c r="N14" i="16"/>
  <c r="N15" i="16"/>
  <c r="L16" i="10"/>
  <c r="F20" i="16"/>
  <c r="N21" i="16"/>
  <c r="F23" i="16"/>
  <c r="F28" i="16"/>
  <c r="L29" i="10"/>
  <c r="C8" i="15"/>
  <c r="C26" i="15"/>
  <c r="G8" i="17"/>
  <c r="G17" i="17"/>
  <c r="M21" i="15"/>
  <c r="M25" i="15"/>
  <c r="G31" i="17"/>
  <c r="C9" i="15"/>
  <c r="G3" i="8"/>
  <c r="D3" i="11"/>
  <c r="G21" i="17"/>
  <c r="M8" i="15"/>
  <c r="M12" i="15"/>
  <c r="B44" i="37"/>
  <c r="J44" i="37"/>
  <c r="G44" i="37"/>
  <c r="E44" i="37"/>
  <c r="H31" i="37"/>
  <c r="L44" i="37"/>
  <c r="D4" i="25"/>
  <c r="D4" i="28" s="1"/>
  <c r="D3" i="22"/>
  <c r="D3" i="25" s="1"/>
  <c r="D3" i="28" s="1"/>
  <c r="P4" i="25"/>
  <c r="P4" i="28" s="1"/>
  <c r="P3" i="22"/>
  <c r="P3" i="25" s="1"/>
  <c r="P3" i="28" s="1"/>
  <c r="G28" i="16"/>
  <c r="F28" i="15"/>
  <c r="C16" i="16"/>
  <c r="C16" i="10"/>
  <c r="C19" i="10"/>
  <c r="C29" i="10"/>
  <c r="B3" i="8"/>
  <c r="B16" i="15"/>
  <c r="O3" i="22"/>
  <c r="O3" i="25" s="1"/>
  <c r="O3" i="28" s="1"/>
  <c r="O4" i="25"/>
  <c r="O4" i="28" s="1"/>
  <c r="I4" i="21"/>
  <c r="I3" i="20"/>
  <c r="I3" i="24" s="1"/>
  <c r="I4" i="27"/>
  <c r="C19" i="27"/>
  <c r="C19" i="21"/>
  <c r="K19" i="21"/>
  <c r="K29" i="21"/>
  <c r="K29" i="27"/>
  <c r="E4" i="26"/>
  <c r="E3" i="19"/>
  <c r="Q3" i="19"/>
  <c r="Q4" i="26"/>
  <c r="J19" i="25"/>
  <c r="J19" i="28" s="1"/>
  <c r="C4" i="21"/>
  <c r="C3" i="20"/>
  <c r="C3" i="24" s="1"/>
  <c r="O4" i="27"/>
  <c r="O4" i="21"/>
  <c r="O3" i="20"/>
  <c r="O3" i="24" s="1"/>
  <c r="D16" i="27"/>
  <c r="D16" i="21"/>
  <c r="Q16" i="27"/>
  <c r="Q16" i="21"/>
  <c r="O29" i="21"/>
  <c r="O29" i="27"/>
  <c r="H4" i="26"/>
  <c r="H3" i="19"/>
  <c r="M31" i="17"/>
  <c r="G3" i="9"/>
  <c r="C7" i="16"/>
  <c r="G17" i="16"/>
  <c r="G18" i="16"/>
  <c r="C20" i="16"/>
  <c r="C21" i="16"/>
  <c r="C22" i="16"/>
  <c r="C23" i="16"/>
  <c r="C24" i="16"/>
  <c r="C25" i="16"/>
  <c r="C26" i="16"/>
  <c r="C27" i="16"/>
  <c r="C30" i="16"/>
  <c r="C31" i="16"/>
  <c r="C32" i="16"/>
  <c r="C33" i="16"/>
  <c r="H3" i="8"/>
  <c r="H3" i="12" s="1"/>
  <c r="H4" i="15"/>
  <c r="N5" i="15"/>
  <c r="N6" i="15"/>
  <c r="N7" i="15"/>
  <c r="N8" i="15"/>
  <c r="N9" i="15"/>
  <c r="N10" i="15"/>
  <c r="N11" i="15"/>
  <c r="N12" i="15"/>
  <c r="N13" i="15"/>
  <c r="N14" i="15"/>
  <c r="N15" i="15"/>
  <c r="F30" i="15"/>
  <c r="F31" i="15"/>
  <c r="F32" i="15"/>
  <c r="F33" i="15"/>
  <c r="F31" i="39"/>
  <c r="N31" i="39"/>
  <c r="D19" i="25"/>
  <c r="D19" i="28" s="1"/>
  <c r="P19" i="25"/>
  <c r="P19" i="28" s="1"/>
  <c r="D29" i="21"/>
  <c r="H29" i="27"/>
  <c r="H29" i="21"/>
  <c r="N29" i="21"/>
  <c r="J19" i="26"/>
  <c r="C4" i="14"/>
  <c r="C4" i="17" s="1"/>
  <c r="C3" i="11"/>
  <c r="C3" i="14" s="1"/>
  <c r="C3" i="17" s="1"/>
  <c r="G9" i="17"/>
  <c r="G20" i="17"/>
  <c r="C22" i="17"/>
  <c r="P4" i="15"/>
  <c r="P3" i="8"/>
  <c r="P3" i="12" s="1"/>
  <c r="P16" i="15"/>
  <c r="B162" i="6"/>
  <c r="B163" i="6"/>
  <c r="B164" i="6"/>
  <c r="B165" i="6"/>
  <c r="B149" i="6"/>
  <c r="B173" i="6"/>
  <c r="B145" i="6"/>
  <c r="B169" i="6"/>
  <c r="B123" i="6"/>
  <c r="B132" i="6"/>
  <c r="B156" i="6"/>
  <c r="B138" i="6"/>
  <c r="B139" i="6"/>
  <c r="B140" i="6"/>
  <c r="B141" i="6"/>
  <c r="M3" i="22"/>
  <c r="M3" i="25" s="1"/>
  <c r="M3" i="28" s="1"/>
  <c r="J10" i="16"/>
  <c r="J18" i="16"/>
  <c r="M25" i="16"/>
  <c r="C5" i="15"/>
  <c r="C6" i="17"/>
  <c r="C10" i="17"/>
  <c r="G23" i="17"/>
  <c r="P16" i="10"/>
  <c r="P29" i="10"/>
  <c r="P29" i="16"/>
  <c r="L6" i="26"/>
  <c r="L22" i="26"/>
  <c r="L18" i="26"/>
  <c r="L26" i="26"/>
  <c r="L31" i="27"/>
  <c r="L31" i="26"/>
  <c r="L10" i="27"/>
  <c r="K3" i="19"/>
  <c r="M10" i="17"/>
  <c r="J13" i="16"/>
  <c r="N26" i="16"/>
  <c r="G21" i="15"/>
  <c r="G33" i="15"/>
  <c r="H4" i="14"/>
  <c r="H4" i="17" s="1"/>
  <c r="H3" i="11"/>
  <c r="H3" i="14" s="1"/>
  <c r="H3" i="17" s="1"/>
  <c r="B17" i="17"/>
  <c r="J30" i="17"/>
  <c r="F31" i="17"/>
  <c r="F32" i="17"/>
  <c r="B17" i="16"/>
  <c r="N17" i="16"/>
  <c r="N18" i="16"/>
  <c r="F29" i="10"/>
  <c r="B32" i="16"/>
  <c r="M3" i="8"/>
  <c r="M3" i="12" s="1"/>
  <c r="M4" i="15"/>
  <c r="M14" i="15"/>
  <c r="K16" i="15"/>
  <c r="C18" i="15"/>
  <c r="M20" i="15"/>
  <c r="M26" i="15"/>
  <c r="C32" i="15"/>
  <c r="K5" i="16"/>
  <c r="B90" i="6"/>
  <c r="J22" i="16"/>
  <c r="N28" i="16"/>
  <c r="G15" i="15"/>
  <c r="E4" i="10"/>
  <c r="P19" i="10"/>
  <c r="P19" i="16"/>
  <c r="M22" i="16"/>
  <c r="K7" i="16"/>
  <c r="B130" i="6"/>
  <c r="B154" i="6"/>
  <c r="B137" i="6"/>
  <c r="L23" i="26"/>
  <c r="M19" i="25"/>
  <c r="M19" i="28" s="1"/>
  <c r="L8" i="28"/>
  <c r="B7" i="16"/>
  <c r="J24" i="16"/>
  <c r="N30" i="16"/>
  <c r="G25" i="15"/>
  <c r="N6" i="17"/>
  <c r="J7" i="17"/>
  <c r="N8" i="17"/>
  <c r="N9" i="17"/>
  <c r="J10" i="17"/>
  <c r="P16" i="14"/>
  <c r="P16" i="17" s="1"/>
  <c r="F19" i="14"/>
  <c r="F19" i="17" s="1"/>
  <c r="N20" i="17"/>
  <c r="N21" i="17"/>
  <c r="N22" i="17"/>
  <c r="N23" i="17"/>
  <c r="N24" i="17"/>
  <c r="P29" i="14"/>
  <c r="P29" i="17" s="1"/>
  <c r="B5" i="16"/>
  <c r="N4" i="16"/>
  <c r="N3" i="9"/>
  <c r="N3" i="13" s="1"/>
  <c r="N4" i="10"/>
  <c r="F6" i="16"/>
  <c r="F7" i="16"/>
  <c r="F8" i="16"/>
  <c r="M16" i="10"/>
  <c r="N19" i="10"/>
  <c r="F21" i="16"/>
  <c r="B24" i="16"/>
  <c r="F26" i="16"/>
  <c r="K5" i="15"/>
  <c r="C6" i="15"/>
  <c r="K6" i="15"/>
  <c r="K9" i="15"/>
  <c r="C10" i="15"/>
  <c r="K10" i="15"/>
  <c r="G12" i="15"/>
  <c r="C14" i="15"/>
  <c r="K15" i="15"/>
  <c r="K19" i="15"/>
  <c r="K22" i="15"/>
  <c r="C24" i="15"/>
  <c r="K25" i="15"/>
  <c r="C28" i="15"/>
  <c r="K28" i="15"/>
  <c r="G29" i="15"/>
  <c r="O7" i="16"/>
  <c r="B29" i="10"/>
  <c r="M23" i="15"/>
  <c r="M28" i="15"/>
  <c r="C15" i="15"/>
  <c r="E9" i="16"/>
  <c r="C21" i="15"/>
  <c r="M32" i="15"/>
  <c r="M5" i="15"/>
  <c r="M9" i="15"/>
  <c r="M13" i="15"/>
  <c r="G3" i="13" l="1"/>
  <c r="Q3" i="12"/>
  <c r="Q3" i="13"/>
  <c r="B57" i="6"/>
  <c r="B55" i="6"/>
  <c r="B61" i="6"/>
  <c r="B60" i="6"/>
  <c r="B168" i="6"/>
  <c r="B59" i="6"/>
  <c r="D3" i="12"/>
  <c r="D3" i="15" s="1"/>
  <c r="E3" i="23"/>
  <c r="E3" i="26" s="1"/>
  <c r="O3" i="12"/>
  <c r="O3" i="15" s="1"/>
  <c r="L3" i="12"/>
  <c r="L3" i="15" s="1"/>
  <c r="C3" i="23"/>
  <c r="C3" i="26" s="1"/>
  <c r="L3" i="23"/>
  <c r="L3" i="26" s="1"/>
  <c r="J3" i="12"/>
  <c r="J3" i="15" s="1"/>
  <c r="O3" i="23"/>
  <c r="O3" i="26" s="1"/>
  <c r="K3" i="23"/>
  <c r="K3" i="26" s="1"/>
  <c r="N3" i="12"/>
  <c r="N3" i="15" s="1"/>
  <c r="J3" i="23"/>
  <c r="J3" i="26" s="1"/>
  <c r="M3" i="23"/>
  <c r="M3" i="26" s="1"/>
  <c r="D3" i="23"/>
  <c r="D3" i="26" s="1"/>
  <c r="G3" i="23"/>
  <c r="G3" i="26" s="1"/>
  <c r="I3" i="12"/>
  <c r="I3" i="15" s="1"/>
  <c r="F3" i="12"/>
  <c r="F3" i="15" s="1"/>
  <c r="M3" i="13"/>
  <c r="Q3" i="23"/>
  <c r="Q3" i="26" s="1"/>
  <c r="B56" i="6"/>
  <c r="B99" i="6"/>
  <c r="B129" i="6" s="1"/>
  <c r="H3" i="23"/>
  <c r="H3" i="26" s="1"/>
  <c r="G3" i="12"/>
  <c r="G3" i="15" s="1"/>
  <c r="B3" i="12"/>
  <c r="B3" i="15" s="1"/>
  <c r="K3" i="12"/>
  <c r="K3" i="15" s="1"/>
  <c r="E3" i="12"/>
  <c r="E3" i="15" s="1"/>
  <c r="N3" i="23"/>
  <c r="N3" i="26" s="1"/>
  <c r="I3" i="23"/>
  <c r="I3" i="26" s="1"/>
  <c r="G3" i="14"/>
  <c r="G3" i="17" s="1"/>
  <c r="Q3" i="15"/>
  <c r="G29" i="17"/>
  <c r="O3" i="10"/>
  <c r="B3" i="10"/>
  <c r="H3" i="10"/>
  <c r="B3" i="16"/>
  <c r="Q3" i="14"/>
  <c r="Q3" i="17" s="1"/>
  <c r="D3" i="14"/>
  <c r="D3" i="17" s="1"/>
  <c r="E3" i="16"/>
  <c r="I3" i="27"/>
  <c r="I3" i="21"/>
  <c r="E3" i="17"/>
  <c r="Q3" i="27"/>
  <c r="Q3" i="21"/>
  <c r="J3" i="10"/>
  <c r="Q3" i="10"/>
  <c r="N3" i="27"/>
  <c r="N3" i="21"/>
  <c r="H3" i="27"/>
  <c r="H3" i="21"/>
  <c r="E3" i="27"/>
  <c r="E3" i="21"/>
  <c r="H3" i="16"/>
  <c r="D3" i="27"/>
  <c r="D3" i="21"/>
  <c r="F3" i="21"/>
  <c r="F3" i="27"/>
  <c r="K3" i="27"/>
  <c r="K3" i="21"/>
  <c r="C3" i="15"/>
  <c r="G3" i="27"/>
  <c r="G3" i="21"/>
  <c r="B143" i="6"/>
  <c r="B167" i="6"/>
  <c r="K3" i="10"/>
  <c r="N3" i="10"/>
  <c r="M3" i="10"/>
  <c r="O3" i="27"/>
  <c r="O3" i="21"/>
  <c r="C3" i="27"/>
  <c r="C3" i="21"/>
  <c r="P3" i="16"/>
  <c r="J3" i="21"/>
  <c r="J3" i="27"/>
  <c r="L3" i="27"/>
  <c r="L3" i="21"/>
  <c r="C3" i="10"/>
  <c r="D3" i="10"/>
  <c r="M3" i="21"/>
  <c r="M3" i="27"/>
  <c r="K3" i="16"/>
  <c r="P3" i="27"/>
  <c r="P3" i="21"/>
  <c r="E3" i="10"/>
  <c r="P3" i="15"/>
  <c r="H3" i="15"/>
  <c r="G3" i="10"/>
  <c r="P3" i="10"/>
  <c r="L3" i="10"/>
  <c r="I3" i="10"/>
  <c r="F3" i="10"/>
  <c r="K3" i="17"/>
  <c r="O3" i="16"/>
  <c r="B153" i="6" l="1"/>
  <c r="M3" i="16"/>
  <c r="N3" i="16"/>
  <c r="Q3" i="16"/>
  <c r="F3" i="16"/>
  <c r="I3" i="16"/>
  <c r="L3" i="16"/>
  <c r="G3" i="16"/>
  <c r="C3" i="16"/>
  <c r="M3" i="15"/>
  <c r="J3" i="16"/>
  <c r="D3" i="16"/>
  <c r="B39" i="4"/>
  <c r="B33" i="4"/>
  <c r="B23" i="4"/>
  <c r="B38" i="4"/>
  <c r="B4" i="4"/>
  <c r="B30" i="4"/>
  <c r="B7" i="4"/>
  <c r="B12" i="4"/>
  <c r="B36" i="4"/>
  <c r="B43" i="4"/>
  <c r="B9" i="4"/>
  <c r="B22" i="4"/>
  <c r="B45" i="4"/>
  <c r="B15" i="4"/>
  <c r="B42" i="4"/>
  <c r="B13" i="4"/>
  <c r="B11" i="4"/>
  <c r="B35" i="4"/>
  <c r="B26" i="4"/>
  <c r="B37" i="4"/>
  <c r="B17" i="4"/>
  <c r="B14" i="4"/>
  <c r="B28" i="4"/>
  <c r="B8" i="4"/>
  <c r="B20" i="4"/>
  <c r="B29" i="4"/>
  <c r="B34" i="4"/>
  <c r="B10" i="4"/>
  <c r="B16" i="4"/>
  <c r="B27" i="4"/>
  <c r="B25" i="4"/>
  <c r="B21" i="4"/>
  <c r="B44" i="4"/>
  <c r="B24" i="4"/>
  <c r="B31" i="6" l="1"/>
</calcChain>
</file>

<file path=xl/sharedStrings.xml><?xml version="1.0" encoding="utf-8"?>
<sst xmlns="http://schemas.openxmlformats.org/spreadsheetml/2006/main" count="2099" uniqueCount="1055">
  <si>
    <t>detailed split of CO2 emissions</t>
  </si>
  <si>
    <t>detailed split of useful energy demand</t>
  </si>
  <si>
    <t>detailed split of final energy consumption</t>
  </si>
  <si>
    <t>ICT and multimedia</t>
  </si>
  <si>
    <t>Miscellaneous building technologies</t>
  </si>
  <si>
    <t>Building lighting</t>
  </si>
  <si>
    <t>Street lighting</t>
  </si>
  <si>
    <t>Ventilation and others</t>
  </si>
  <si>
    <t>Services / specific electric uses</t>
  </si>
  <si>
    <t>Services sector: Specific electric uses</t>
  </si>
  <si>
    <t>Thermal energy service per useful surface area</t>
  </si>
  <si>
    <t>Final energy consumption per useful surface area</t>
  </si>
  <si>
    <t>Thermal energy service per building</t>
  </si>
  <si>
    <t>Final energy consumption per building</t>
  </si>
  <si>
    <t>System efficiency indicator of total stock</t>
  </si>
  <si>
    <t>Thermal energy service</t>
  </si>
  <si>
    <t>Final energy consumption</t>
  </si>
  <si>
    <t>Number of new and renovated buildings</t>
  </si>
  <si>
    <t>Services sector: Thermal uses in new and renovated buildings</t>
  </si>
  <si>
    <t>Number of buildings</t>
  </si>
  <si>
    <t>Services sector: Thermal uses</t>
  </si>
  <si>
    <t>Services sector summary</t>
  </si>
  <si>
    <t>Click on the link to jump to the sheet</t>
  </si>
  <si>
    <t>Energy intensity (toe/physical output index)</t>
  </si>
  <si>
    <t>Electricity</t>
  </si>
  <si>
    <t>Geothermal</t>
  </si>
  <si>
    <t>Solar</t>
  </si>
  <si>
    <t>LPG</t>
  </si>
  <si>
    <t>Liquids</t>
  </si>
  <si>
    <t>Solids</t>
  </si>
  <si>
    <t>Ratio of energy service to energy consumption (system efficiency indicator)</t>
  </si>
  <si>
    <t>Cooling</t>
  </si>
  <si>
    <t>Space heating</t>
  </si>
  <si>
    <t>Specific electricity uses</t>
  </si>
  <si>
    <t>Catering</t>
  </si>
  <si>
    <t>Hot water</t>
  </si>
  <si>
    <t>Thermal uses</t>
  </si>
  <si>
    <t>Emissions per capita (kg CO2 / capita)</t>
  </si>
  <si>
    <t>Thermal energy service per capita (kWh useful / capita)</t>
  </si>
  <si>
    <t>Energy consumption per capita (kWh / capita)</t>
  </si>
  <si>
    <t>Emissions per useful surface area (kg CO2 / sqm)</t>
  </si>
  <si>
    <t>Thermal energy service per useful surface area (kWh useful / sqm)</t>
  </si>
  <si>
    <t>Energy consumption per useful surface area (kWh / sqm)</t>
  </si>
  <si>
    <t>Emissions per building (kg CO2 / representative building cell)</t>
  </si>
  <si>
    <t>Thermal energy service per building (kWh useful / representative building cell)</t>
  </si>
  <si>
    <t>Energy consumption per building (kWh / representative building cell)</t>
  </si>
  <si>
    <t>Additional building indicators</t>
  </si>
  <si>
    <t>Share of emissions in end-uses (in %)</t>
  </si>
  <si>
    <t>Emissions by end-uses (kt of CO2)</t>
  </si>
  <si>
    <t>Liquid biofuels</t>
  </si>
  <si>
    <t>Biogas</t>
  </si>
  <si>
    <t>Renewable energies and wastes</t>
  </si>
  <si>
    <t>Liquified petroleum gas (LPG)</t>
  </si>
  <si>
    <t>Emissions by fuel - Eurostat structure (kt of CO2)</t>
  </si>
  <si>
    <t>Emissions</t>
  </si>
  <si>
    <t>Shares of energy consumption in end-uses (in %)</t>
  </si>
  <si>
    <t>Energy consumption by end-uses (ktoe)</t>
  </si>
  <si>
    <t>Energy consumption by fuel - Eurostat structure (ktoe)</t>
  </si>
  <si>
    <t>Energy consumption</t>
  </si>
  <si>
    <t>New and renovated buildings useful surface area (in sqm/representative building cell)</t>
  </si>
  <si>
    <t>Services useful surface area (in sqm/representative building cell)</t>
  </si>
  <si>
    <t>Services useful surface area (in sqm/employee)</t>
  </si>
  <si>
    <t>Services useful surface area (in sqm/capita)</t>
  </si>
  <si>
    <t>Representative building cell size (employees/representative building cell)</t>
  </si>
  <si>
    <t>Indicators</t>
  </si>
  <si>
    <t>Relative heating degree-days</t>
  </si>
  <si>
    <t>Actual heating degree-days</t>
  </si>
  <si>
    <t>New and renovated buildings useful surface area (in 000 sqm)</t>
  </si>
  <si>
    <t>Total services useful surface area (in 000 sqm)</t>
  </si>
  <si>
    <t>Number of representative building cells</t>
  </si>
  <si>
    <t>Employment data (employees)</t>
  </si>
  <si>
    <t>Population (inhabitants)</t>
  </si>
  <si>
    <t>Electric space cooling</t>
  </si>
  <si>
    <t>Gas heat pumps</t>
  </si>
  <si>
    <t>Space cooling</t>
  </si>
  <si>
    <t>Circulation, other electricity</t>
  </si>
  <si>
    <t>Conventional electric heating</t>
  </si>
  <si>
    <t>Advanced electric heating</t>
  </si>
  <si>
    <t>Conventional gas heaters</t>
  </si>
  <si>
    <t>Stock of buildings</t>
  </si>
  <si>
    <t>Electricity in circulation and other use</t>
  </si>
  <si>
    <t>Final energy consumption (ktoe)</t>
  </si>
  <si>
    <t>Thermal energy service (ktoe useful)</t>
  </si>
  <si>
    <t>Ratio of energy service to energy consumption</t>
  </si>
  <si>
    <t>CO2 emissions (kt CO2)</t>
  </si>
  <si>
    <t>Solar (as of solar equiped buildings)</t>
  </si>
  <si>
    <t>Solar (as of total)</t>
  </si>
  <si>
    <t>Final energy consumption (kWh / representative building cell)</t>
  </si>
  <si>
    <t>Thermal energy service (kWh useful / representative building cell)</t>
  </si>
  <si>
    <t>CO2 emissions (kg CO2 / representative building cell)</t>
  </si>
  <si>
    <t>Final energy consumption (kWh / sqm)</t>
  </si>
  <si>
    <t>Thermal energy service (kWh useful / sqm)</t>
  </si>
  <si>
    <t>CO2 emissions (kg CO2 / sqm)</t>
  </si>
  <si>
    <t>ICT and multimedia (unit per capita)</t>
  </si>
  <si>
    <t>Miscellaneous building technologies (sqm per building cell)</t>
  </si>
  <si>
    <t>Street lighting (unit per capita)</t>
  </si>
  <si>
    <t>Ventilation and others (sqm per building cell)</t>
  </si>
  <si>
    <t>Penetration factor</t>
  </si>
  <si>
    <t>ICT and multimedia (W per appliance)</t>
  </si>
  <si>
    <t>Miscellaneous building technologies (W per serviced m2)</t>
  </si>
  <si>
    <t>Street lighting (W per appliance)</t>
  </si>
  <si>
    <t>Ventilation and others (W per serviced m2)</t>
  </si>
  <si>
    <t>W per new appliance (in average operating mode)</t>
  </si>
  <si>
    <t>W per appliance (in average operating mode)</t>
  </si>
  <si>
    <t>Operating hours per appliance</t>
  </si>
  <si>
    <t>Number of replaced appliances</t>
  </si>
  <si>
    <t>Number of new appliances</t>
  </si>
  <si>
    <t>Stock of appliances</t>
  </si>
  <si>
    <t>Total MW installed (in average operating mode)</t>
  </si>
  <si>
    <t>Lumens per useful surface area (lumen per sqm)</t>
  </si>
  <si>
    <t>Emission intensity (kt of CO2 / ktoe)</t>
  </si>
  <si>
    <t>Useful energy demand intensity (toe useful / physical output index)</t>
  </si>
  <si>
    <t>Energy intensity (toe / physical output index)</t>
  </si>
  <si>
    <t>Residual fuel oil and other liquids</t>
  </si>
  <si>
    <t>by fuel (EUROSTAT DATA)</t>
  </si>
  <si>
    <t>Energy consumption (ktoe)</t>
  </si>
  <si>
    <t>Idle capacity (production index)</t>
  </si>
  <si>
    <t>Decommissioned capacity (production index)</t>
  </si>
  <si>
    <t>Capacity investment (production index)</t>
  </si>
  <si>
    <t>Installed capacity (production index)</t>
  </si>
  <si>
    <t>Physical output (index)</t>
  </si>
  <si>
    <t>Specific heat uses</t>
  </si>
  <si>
    <t>Low enthalpy heat</t>
  </si>
  <si>
    <t>Motor drives</t>
  </si>
  <si>
    <t>Ventilation</t>
  </si>
  <si>
    <t>Lighting</t>
  </si>
  <si>
    <t>Agriculture, forestry and fishing</t>
  </si>
  <si>
    <t>Market shares of energy uses (%)</t>
  </si>
  <si>
    <t>Biomass</t>
  </si>
  <si>
    <t>Fuel oil and other liquids</t>
  </si>
  <si>
    <t>Detailed split of energy consumption (ktoe)</t>
  </si>
  <si>
    <t>Ratio of useful energy demand to final energy consumption (system efficiency indicator)</t>
  </si>
  <si>
    <t>Market shares of useful energy demand (%)</t>
  </si>
  <si>
    <t>Detailed split of useful energy demand (ktoe)</t>
  </si>
  <si>
    <t>Emission intensity (kt of CO2 per ktoe)</t>
  </si>
  <si>
    <t>Market shares of CO2 emissions by subsector (%)</t>
  </si>
  <si>
    <t>Detailed split of CO2 emissions by subsector (kt of CO2)</t>
  </si>
  <si>
    <t>Services and Agriculture sector</t>
  </si>
  <si>
    <t>Legal Notice</t>
  </si>
  <si>
    <t>Neither the European Commission nor any person acting on behalf of the Commission is responsible for the use which might be made of this information.</t>
  </si>
  <si>
    <t>Building lighting (W per appliance)</t>
  </si>
  <si>
    <t>Building lighting (unit per building cell)</t>
  </si>
  <si>
    <t>Prepared by JRC C.6</t>
  </si>
  <si>
    <t>The information made available is property of the Joint Research Centre of the European Commission.</t>
  </si>
  <si>
    <t>Use conditions</t>
  </si>
  <si>
    <t>This work is licensed under</t>
  </si>
  <si>
    <t>CC BY 4.0</t>
  </si>
  <si>
    <t>Value added (M€2015)</t>
  </si>
  <si>
    <t>Mean heating degree-days over period 2000- 2020</t>
  </si>
  <si>
    <t>GDP per capita (€2015)</t>
  </si>
  <si>
    <t>Value added per employee (€2015)</t>
  </si>
  <si>
    <t>Value added per capita (€2015)</t>
  </si>
  <si>
    <t>Value added per capita relative to EU</t>
  </si>
  <si>
    <t>Natural gas</t>
  </si>
  <si>
    <t>Value added intensity (toe / M€2015)</t>
  </si>
  <si>
    <t>v2021-1.00</t>
  </si>
  <si>
    <t>Code</t>
  </si>
  <si>
    <t>Ambient heat</t>
  </si>
  <si>
    <t>Solar and geothermal</t>
  </si>
  <si>
    <t>JRC-IDEES-2021 - Integrated Database of the European Energy System</t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</si>
  <si>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</si>
  <si>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building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</si>
  <si>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useful surface area</t>
    </r>
  </si>
  <si>
    <t>Street lighting (thousand units)</t>
  </si>
  <si>
    <t>ICT and multimedia (thousand units)</t>
  </si>
  <si>
    <t>Ventilation and others (serviced million m2)</t>
  </si>
  <si>
    <t>Miscellaneous building technologies (serviced million m2)</t>
  </si>
  <si>
    <t>Building lighting (million units)</t>
  </si>
  <si>
    <t>Diesel oil</t>
  </si>
  <si>
    <t>Distributed heat</t>
  </si>
  <si>
    <t>Diesel oil and other liquids (without biofuels)</t>
  </si>
  <si>
    <t>Biomass and waste</t>
  </si>
  <si>
    <t>Diesel oil (without biofuels)</t>
  </si>
  <si>
    <t>Diesel oil and liquid biofuels</t>
  </si>
  <si>
    <t>Pumping devices (diesel oil and liquid biofuels)</t>
  </si>
  <si>
    <t>Farming machine drives (diesel oil and liquid biofuels)</t>
  </si>
  <si>
    <t>Natural gas and biogas</t>
  </si>
  <si>
    <t>Pumping devices (electricity)</t>
  </si>
  <si>
    <t>Gross domestic product (M€2015)</t>
  </si>
  <si>
    <t>Commercial refrigeration</t>
  </si>
  <si>
    <t>Commercial refrigeration (thousand units)</t>
  </si>
  <si>
    <t>Commercial refrigeration (W per appliance)</t>
  </si>
  <si>
    <t>Commercial refrigeration (unit per capita)</t>
  </si>
  <si>
    <t>Agriculture, forestry and fishing summary</t>
  </si>
  <si>
    <t>CY</t>
  </si>
  <si>
    <t>Cyprus</t>
  </si>
  <si>
    <t>CY - Services sector summary</t>
  </si>
  <si>
    <t>Macro.number.CY.Population</t>
  </si>
  <si>
    <t>Macro.Meuro2015.CY.GDP</t>
  </si>
  <si>
    <t>Macro.Meuro2015.CY.VA</t>
  </si>
  <si>
    <t>Macro.number.CY.Employees</t>
  </si>
  <si>
    <t>NUM.number.CY.Ser.Bld</t>
  </si>
  <si>
    <t>SurfaceArea.ksqm.CY.Ser.Bld</t>
  </si>
  <si>
    <t>NUM.number.CY.Ser.BldNew</t>
  </si>
  <si>
    <t>SurfaceArea.ksqm.CY.Ser.BldNew</t>
  </si>
  <si>
    <t>HDD.Celsius.CY.Actual</t>
  </si>
  <si>
    <t>HDD.Celsius.CY.Mean</t>
  </si>
  <si>
    <t>HDD.ratio.CY.Relative</t>
  </si>
  <si>
    <t>FEC.ktoe.CY.ES.Ser</t>
  </si>
  <si>
    <t>FEC.ktoe.CY.ES.Ser.Solids</t>
  </si>
  <si>
    <t>FEC.ktoe.CY.ES.Ser.LPG</t>
  </si>
  <si>
    <t>FEC.ktoe.CY.ES.Ser.Oil</t>
  </si>
  <si>
    <t>FEC.ktoe.CY.ES.Ser.NG</t>
  </si>
  <si>
    <t>FEC.ktoe.CY.ES.Ser.Biomass_Waste</t>
  </si>
  <si>
    <t>FEC.ktoe.CY.ES.Ser.Biogas</t>
  </si>
  <si>
    <t>FEC.ktoe.CY.ES.Ser.LiqBio</t>
  </si>
  <si>
    <t>FEC.ktoe.CY.ES.Ser.Solar</t>
  </si>
  <si>
    <t>FEC.ktoe.CY.ES.Ser.Geo</t>
  </si>
  <si>
    <t>FEC.ktoe.CY.ES.Ser.Ambient</t>
  </si>
  <si>
    <t>FEC.ktoe.CY.ES.Ser.Steam_Distr</t>
  </si>
  <si>
    <t>FEC.ktoe.CY.ES.Ser.Elec</t>
  </si>
  <si>
    <t>FEC.ktoe.CY.Ser</t>
  </si>
  <si>
    <t>FEC.ktoe.CY.Ser.Bld.Thermal</t>
  </si>
  <si>
    <t>FEC.ktoe.CY.Ser.Bld.Thermal.SH</t>
  </si>
  <si>
    <t>FEC.ktoe.CY.Ser.Bld.Thermal.SC</t>
  </si>
  <si>
    <t>FEC.ktoe.CY.Ser.Bld.Thermal.HW</t>
  </si>
  <si>
    <t>FEC.ktoe.CY.Ser.Bld.Thermal.CA</t>
  </si>
  <si>
    <t>FEC.ktoe.CY.Ser.SEU</t>
  </si>
  <si>
    <t>EMI.ktCO2.CY.ES.Ser</t>
  </si>
  <si>
    <t>EMI.ktCO2.CY.ES.Ser.Solids</t>
  </si>
  <si>
    <t>EMI.ktCO2.CY.ES.Ser.LPG</t>
  </si>
  <si>
    <t>EMI.ktCO2.CY.ES.Ser.Oil</t>
  </si>
  <si>
    <t>EMI.ktCO2.CY.ES.Ser.NG</t>
  </si>
  <si>
    <t>EMI.ktCO2.CY.ES.Ser.Biomass_Waste</t>
  </si>
  <si>
    <t>EMI.ktCO2.CY.ES.Ser.Biogas</t>
  </si>
  <si>
    <t>EMI.ktCO2.CY.ES.Ser.LiqBio</t>
  </si>
  <si>
    <t>EMI.ktCO2.CY.ES.Ser.Solar</t>
  </si>
  <si>
    <t>EMI.ktCO2.CY.ES.Ser.Geo</t>
  </si>
  <si>
    <t>EMI.ktCO2.CY.ES.Ser.Ambient</t>
  </si>
  <si>
    <t>EMI.ktCO2.CY.ES.Ser.Steam_Distr</t>
  </si>
  <si>
    <t>EMI.ktCO2.CY.ES.Ser.Elec</t>
  </si>
  <si>
    <t>EMI.ktCO2.CY.Ser</t>
  </si>
  <si>
    <t>EMI.ktCO2.CY.Ser.Bld.Thermal</t>
  </si>
  <si>
    <t>EMI.ktCO2.CY.Ser.Bld.Thermal.SH</t>
  </si>
  <si>
    <t>EMI.ktCO2.CY.Ser.Bld.Thermal.SC</t>
  </si>
  <si>
    <t>EMI.ktCO2.CY.Ser.Bld.Thermal.HW</t>
  </si>
  <si>
    <t>EMI.ktCO2.CY.Ser.Bld.Thermal.CA</t>
  </si>
  <si>
    <t>EMI.ktCO2.CY.Ser.SEU</t>
  </si>
  <si>
    <t>Eff.ratio.CY.Ser.Bld.Thermal</t>
  </si>
  <si>
    <t>Eff.ratio.CY.Ser.Bld.Thermal.SH</t>
  </si>
  <si>
    <t>Eff.ratio.CY.Ser.Bld.Thermal.SC</t>
  </si>
  <si>
    <t>Eff.ratio.CY.Ser.Bld.Thermal.HW</t>
  </si>
  <si>
    <t>Eff.ratio.CY.Ser.Bld.Thermal.CA</t>
  </si>
  <si>
    <t>CY - Number of buildings</t>
  </si>
  <si>
    <t>NUM.number.CY.Ser.Bld.Thermal</t>
  </si>
  <si>
    <t>NUM.number.CY.Ser.Bld.Thermal.SH</t>
  </si>
  <si>
    <t>NUM.number.CY.Ser.Bld.Thermal.SH.Solids</t>
  </si>
  <si>
    <t>NUM.number.CY.Ser.Bld.Thermal.SH.LPG</t>
  </si>
  <si>
    <t>NUM.number.CY.Ser.Bld.Thermal.SH.Oil</t>
  </si>
  <si>
    <t>NUM.number.CY.Ser.Bld.Thermal.SH.GasHP</t>
  </si>
  <si>
    <t>NUM.number.CY.Ser.Bld.Thermal.SH.GasTH</t>
  </si>
  <si>
    <t>NUM.number.CY.Ser.Bld.Thermal.SH.Biomass</t>
  </si>
  <si>
    <t>NUM.number.CY.Ser.Bld.Thermal.SH.Geo</t>
  </si>
  <si>
    <t>NUM.number.CY.Ser.Bld.Thermal.SH.DistrHeat</t>
  </si>
  <si>
    <t>NUM.number.CY.Ser.Bld.Thermal.SH.AdvElc</t>
  </si>
  <si>
    <t>NUM.number.CY.Ser.Bld.Thermal.SH.ConvElc</t>
  </si>
  <si>
    <t>NUM.number.CY.Ser.Bld.Thermal.SC</t>
  </si>
  <si>
    <t>NUM.number.CY.Ser.Bld.Thermal.SC.GasHP</t>
  </si>
  <si>
    <t>NUM.number.CY.Ser.Bld.Thermal.SC.AC</t>
  </si>
  <si>
    <t>NUM.number.CY.Ser.Bld.Thermal.HW</t>
  </si>
  <si>
    <t>NUM.number.CY.Ser.Bld.Thermal.HW.Solids</t>
  </si>
  <si>
    <t>NUM.number.CY.Ser.Bld.Thermal.HW.LPG</t>
  </si>
  <si>
    <t>NUM.number.CY.Ser.Bld.Thermal.HW.Oil</t>
  </si>
  <si>
    <t>NUM.number.CY.Ser.Bld.Thermal.HW.Gas</t>
  </si>
  <si>
    <t>NUM.number.CY.Ser.Bld.Thermal.HW.Biomass</t>
  </si>
  <si>
    <t>NUM.number.CY.Ser.Bld.Thermal.HW.DistrHeat</t>
  </si>
  <si>
    <t>NUM.number.CY.Ser.Bld.Thermal.HW.Elc</t>
  </si>
  <si>
    <t>NUM.number.CY.Ser.Bld.Thermal.HW.Solar</t>
  </si>
  <si>
    <t>NUM.number.CY.Ser.Bld.Thermal.CA</t>
  </si>
  <si>
    <t>NUM.number.CY.Ser.Bld.Thermal.CA.LPG</t>
  </si>
  <si>
    <t>NUM.number.CY.Ser.Bld.Thermal.CA.Gas</t>
  </si>
  <si>
    <t>NUM.number.CY.Ser.Bld.Thermal.CA.Biomass</t>
  </si>
  <si>
    <t>NUM.number.CY.Ser.Bld.Thermal.CA.Elc</t>
  </si>
  <si>
    <t>CY - Final energy consumption</t>
  </si>
  <si>
    <t>FEC.ktoe.CY.Ser.Bld.Thermal.SH.Solids.Solids</t>
  </si>
  <si>
    <t>FEC.ktoe.CY.Ser.Bld.Thermal.SH.LPG.LPG</t>
  </si>
  <si>
    <t>FEC.ktoe.CY.Ser.Bld.Thermal.SH.Oil.Oil_LiqBio</t>
  </si>
  <si>
    <t>FEC.ktoe.CY.Ser.Bld.Thermal.SH.GasHP.NG_Biogas</t>
  </si>
  <si>
    <t>FEC.ktoe.CY.Ser.Bld.Thermal.SH.GasTH.NG_Biogas</t>
  </si>
  <si>
    <t>FEC.ktoe.CY.Ser.Bld.Thermal.SH.Biomass.Biomass_Waste</t>
  </si>
  <si>
    <t>FEC.ktoe.CY.Ser.Bld.Thermal.SH.Geo.Geo</t>
  </si>
  <si>
    <t>FEC.ktoe.CY.Ser.Bld.Thermal.SH.DistrHeat.Steam_Distr</t>
  </si>
  <si>
    <t>FEC.ktoe.CY.Ser.Bld.Thermal.SH.AdvElc.Elec</t>
  </si>
  <si>
    <t>FEC.ktoe.CY.Ser.Bld.Thermal.SH.ConvElc.Elec</t>
  </si>
  <si>
    <t>FEC.ktoe.CY.Ser.Bld.Thermal.SH.TotalCirculation.Elec</t>
  </si>
  <si>
    <t>FEC.ktoe.CY.Ser.Bld.Thermal.SC.GasHP.NG_Biogas</t>
  </si>
  <si>
    <t>FEC.ktoe.CY.Ser.Bld.Thermal.SC.AC.Elec</t>
  </si>
  <si>
    <t>FEC.ktoe.CY.Ser.Bld.Thermal.HW.Solids.Solids</t>
  </si>
  <si>
    <t>FEC.ktoe.CY.Ser.Bld.Thermal.HW.LPG.LPG</t>
  </si>
  <si>
    <t>FEC.ktoe.CY.Ser.Bld.Thermal.HW.Oil.Oil_LiqBio</t>
  </si>
  <si>
    <t>FEC.ktoe.CY.Ser.Bld.Thermal.HW.Gas.NG_Biogas</t>
  </si>
  <si>
    <t>FEC.ktoe.CY.Ser.Bld.Thermal.HW.Biomass.Biomass_Waste</t>
  </si>
  <si>
    <t>FEC.ktoe.CY.Ser.Bld.Thermal.HW.DistrHeat.Steam_Distr</t>
  </si>
  <si>
    <t>FEC.ktoe.CY.Ser.Bld.Thermal.HW.Elc.Elec</t>
  </si>
  <si>
    <t>FEC.ktoe.CY.Ser.Bld.Thermal.HW.TotalSolar.Solar</t>
  </si>
  <si>
    <t>FEC.ktoe.CY.Ser.Bld.Thermal.CA.LPG</t>
  </si>
  <si>
    <t>FEC.ktoe.CY.Ser.Bld.Thermal.CA.Gas.NG_Biogas</t>
  </si>
  <si>
    <t>FEC.ktoe.CY.Ser.Bld.Thermal.CA.Biomass.Biomass_Waste</t>
  </si>
  <si>
    <t>FEC.ktoe.CY.Ser.Bld.Thermal.CA.Elc.Elec</t>
  </si>
  <si>
    <t>CY - Thermal energy service</t>
  </si>
  <si>
    <t>TES.ktoe.CY.Ser.Bld.Thermal</t>
  </si>
  <si>
    <t>TES.ktoe.CY.Ser.Bld.Thermal.SH</t>
  </si>
  <si>
    <t>TES.ktoe.CY.Ser.Bld.Thermal.SH.Solids.Solids</t>
  </si>
  <si>
    <t>TES.ktoe.CY.Ser.Bld.Thermal.SH.LPG.LPG</t>
  </si>
  <si>
    <t>TES.ktoe.CY.Ser.Bld.Thermal.SH.Oil.Oil_LiqBio</t>
  </si>
  <si>
    <t>TES.ktoe.CY.Ser.Bld.Thermal.SH.GasHP.NG_Biogas</t>
  </si>
  <si>
    <t>TES.ktoe.CY.Ser.Bld.Thermal.SH.GasTH.NG_Biogas</t>
  </si>
  <si>
    <t>TES.ktoe.CY.Ser.Bld.Thermal.SH.Biomass.Biomass_Waste</t>
  </si>
  <si>
    <t>TES.ktoe.CY.Ser.Bld.Thermal.SH.Geo.Geo</t>
  </si>
  <si>
    <t>TES.ktoe.CY.Ser.Bld.Thermal.SH.DistrHeat.Steam_Distr</t>
  </si>
  <si>
    <t>TES.ktoe.CY.Ser.Bld.Thermal.SH.AdvElc.Elec</t>
  </si>
  <si>
    <t>TES.ktoe.CY.Ser.Bld.Thermal.SH.ConvElc.Elec</t>
  </si>
  <si>
    <t>TES.ktoe.CY.Ser.Bld.Thermal.SH.TotalCirculation.Elec</t>
  </si>
  <si>
    <t>TES.ktoe.CY.Ser.Bld.Thermal.SC</t>
  </si>
  <si>
    <t>TES.ktoe.CY.Ser.Bld.Thermal.SC.GasHP.NG_Biogas</t>
  </si>
  <si>
    <t>TES.ktoe.CY.Ser.Bld.Thermal.SC.AC.Elec</t>
  </si>
  <si>
    <t>TES.ktoe.CY.Ser.Bld.Thermal.HW</t>
  </si>
  <si>
    <t>TES.ktoe.CY.Ser.Bld.Thermal.HW.Solids.Solids</t>
  </si>
  <si>
    <t>TES.ktoe.CY.Ser.Bld.Thermal.HW.LPG.LPG</t>
  </si>
  <si>
    <t>TES.ktoe.CY.Ser.Bld.Thermal.HW.Oil.Oil_LiqBio</t>
  </si>
  <si>
    <t>TES.ktoe.CY.Ser.Bld.Thermal.HW.Gas.NG_Biogas</t>
  </si>
  <si>
    <t>TES.ktoe.CY.Ser.Bld.Thermal.HW.Biomass.Biomass_Waste</t>
  </si>
  <si>
    <t>TES.ktoe.CY.Ser.Bld.Thermal.HW.DistrHeat.Steam_Distr</t>
  </si>
  <si>
    <t>TES.ktoe.CY.Ser.Bld.Thermal.HW.Elc.Elec</t>
  </si>
  <si>
    <t>TES.ktoe.CY.Ser.Bld.Thermal.HW.TotalSolar.Solar</t>
  </si>
  <si>
    <t>TES.ktoe.CY.Ser.Bld.Thermal.CA</t>
  </si>
  <si>
    <t>TES.ktoe.CY.Ser.Bld.Thermal.CA.LPG</t>
  </si>
  <si>
    <t>TES.ktoe.CY.Ser.Bld.Thermal.CA.Gas.NG_Biogas</t>
  </si>
  <si>
    <t>TES.ktoe.CY.Ser.Bld.Thermal.CA.Biomass.Biomass_Waste</t>
  </si>
  <si>
    <t>TES.ktoe.CY.Ser.Bld.Thermal.CA.Elc.Elec</t>
  </si>
  <si>
    <t>CY - System efficiency indicator of total stock</t>
  </si>
  <si>
    <t>Eff.ratio.CY.Ser.Bld.Thermal.SH.Solids.Solids</t>
  </si>
  <si>
    <t>Eff.ratio.CY.Ser.Bld.Thermal.SH.LPG.LPG</t>
  </si>
  <si>
    <t>Eff.ratio.CY.Ser.Bld.Thermal.SH.Oil.Oil_LiqBio</t>
  </si>
  <si>
    <t>Eff.ratio.CY.Ser.Bld.Thermal.SH.GasHP.NG_Biogas</t>
  </si>
  <si>
    <t>Eff.ratio.CY.Ser.Bld.Thermal.SH.GasTH.NG_Biogas</t>
  </si>
  <si>
    <t>Eff.ratio.CY.Ser.Bld.Thermal.SH.Biomass.Biomass_Waste</t>
  </si>
  <si>
    <t>Eff.ratio.CY.Ser.Bld.Thermal.SH.Geo.Geo</t>
  </si>
  <si>
    <t>Eff.ratio.CY.Ser.Bld.Thermal.SH.DistrHeat.Steam_Distr</t>
  </si>
  <si>
    <t>Eff.ratio.CY.Ser.Bld.Thermal.SH.AdvElc.Elec</t>
  </si>
  <si>
    <t>Eff.ratio.CY.Ser.Bld.Thermal.SH.ConvElc.Elec</t>
  </si>
  <si>
    <t>Eff.ratio.CY.Ser.Bld.Thermal.SH.TotalCirculation.Elec</t>
  </si>
  <si>
    <t>Eff.ratio.CY.Ser.Bld.Thermal.SC.GasHP.NG_Biogas</t>
  </si>
  <si>
    <t>Eff.ratio.CY.Ser.Bld.Thermal.SC.AC.Elec</t>
  </si>
  <si>
    <t>Eff.ratio.CY.Ser.Bld.Thermal.HW.Solids.Solids</t>
  </si>
  <si>
    <t>Eff.ratio.CY.Ser.Bld.Thermal.HW.LPG.LPG</t>
  </si>
  <si>
    <t>Eff.ratio.CY.Ser.Bld.Thermal.HW.Oil.Oil_LiqBio</t>
  </si>
  <si>
    <t>Eff.ratio.CY.Ser.Bld.Thermal.HW.Gas.NG_Biogas</t>
  </si>
  <si>
    <t>Eff.ratio.CY.Ser.Bld.Thermal.HW.Biomass.Biomass_Waste</t>
  </si>
  <si>
    <t>Eff.ratio.CY.Ser.Bld.Thermal.HW.DistrHeat.Steam_Distr</t>
  </si>
  <si>
    <t>Eff.ratio.CY.Ser.Bld.Thermal.HW.Elc.Elec</t>
  </si>
  <si>
    <t>Eff.ratio.CY.Ser.Bld.Thermal.HW.TotalSolar.Solar</t>
  </si>
  <si>
    <t>Eff.ratio.CY.Ser.Bld.Thermal.CA.LPG</t>
  </si>
  <si>
    <t>Eff.ratio.CY.Ser.Bld.Thermal.CA.Gas.NG_Biogas</t>
  </si>
  <si>
    <t>Eff.ratio.CY.Ser.Bld.Thermal.CA.Biomass.Biomass_Waste</t>
  </si>
  <si>
    <t>Eff.ratio.CY.Ser.Bld.Thermal.CA.Elc.Elec</t>
  </si>
  <si>
    <t>CY - CO2 emissions</t>
  </si>
  <si>
    <t>EMI.ktCO2.CY.Ser.Bld.Thermal.SH.Solids.Solids</t>
  </si>
  <si>
    <t>EMI.ktCO2.CY.Ser.Bld.Thermal.SH.LPG.LPG</t>
  </si>
  <si>
    <t>EMI.ktCO2.CY.Ser.Bld.Thermal.SH.Oil.Oil_LiqBio</t>
  </si>
  <si>
    <t>EMI.ktCO2.CY.Ser.Bld.Thermal.SH.GasHP.NG_Biogas</t>
  </si>
  <si>
    <t>EMI.ktCO2.CY.Ser.Bld.Thermal.SH.GasTH.NG_Biogas</t>
  </si>
  <si>
    <t>EMI.ktCO2.CY.Ser.Bld.Thermal.SH.Biomass.Biomass_Waste</t>
  </si>
  <si>
    <t>EMI.ktCO2.CY.Ser.Bld.Thermal.SH.Geo.Geo</t>
  </si>
  <si>
    <t>EMI.ktCO2.CY.Ser.Bld.Thermal.SH.DistrHeat.Steam_Distr</t>
  </si>
  <si>
    <t>EMI.ktCO2.CY.Ser.Bld.Thermal.SH.AdvElc.Elec</t>
  </si>
  <si>
    <t>EMI.ktCO2.CY.Ser.Bld.Thermal.SH.ConvElc.Elec</t>
  </si>
  <si>
    <t>EMI.ktCO2.CY.Ser.Bld.Thermal.SH.TotalCirculation.Elec</t>
  </si>
  <si>
    <t>EMI.ktCO2.CY.Ser.Bld.Thermal.SC.GasHP.NG_Biogas</t>
  </si>
  <si>
    <t>EMI.ktCO2.CY.Ser.Bld.Thermal.SC.AC.Elec</t>
  </si>
  <si>
    <t>EMI.ktCO2.CY.Ser.Bld.Thermal.HW.Solids.Solids</t>
  </si>
  <si>
    <t>EMI.ktCO2.CY.Ser.Bld.Thermal.HW.LPG.LPG</t>
  </si>
  <si>
    <t>EMI.ktCO2.CY.Ser.Bld.Thermal.HW.Oil.Oil_LiqBio</t>
  </si>
  <si>
    <t>EMI.ktCO2.CY.Ser.Bld.Thermal.HW.Gas.NG_Biogas</t>
  </si>
  <si>
    <t>EMI.ktCO2.CY.Ser.Bld.Thermal.HW.Biomass.Biomass_Waste</t>
  </si>
  <si>
    <t>EMI.ktCO2.CY.Ser.Bld.Thermal.HW.DistrHeat.Steam_Distr</t>
  </si>
  <si>
    <t>EMI.ktCO2.CY.Ser.Bld.Thermal.HW.Elc.Elec</t>
  </si>
  <si>
    <t>EMI.ktCO2.CY.Ser.Bld.Thermal.HW.TotalSolar.Solar</t>
  </si>
  <si>
    <t>EMI.ktCO2.CY.Ser.Bld.Thermal.CA.LPG</t>
  </si>
  <si>
    <t>EMI.ktCO2.CY.Ser.Bld.Thermal.CA.Gas.NG_Biogas</t>
  </si>
  <si>
    <t>EMI.ktCO2.CY.Ser.Bld.Thermal.CA.Biomass.Biomass_Waste</t>
  </si>
  <si>
    <t>EMI.ktCO2.CY.Ser.Bld.Thermal.CA.Elc.Elec</t>
  </si>
  <si>
    <t>CY - Final energy consumption per building</t>
  </si>
  <si>
    <t>FEC_per_building.kWh.CY.Ser.Bld.Thermal</t>
  </si>
  <si>
    <t>FEC_per_building.kWh.CY.Ser.Bld.Thermal.SH</t>
  </si>
  <si>
    <t>FEC_per_building.kWh.CY.Ser.Bld.Thermal.SH.Solids.Solids</t>
  </si>
  <si>
    <t>FEC_per_building.kWh.CY.Ser.Bld.Thermal.SH.LPG.LPG</t>
  </si>
  <si>
    <t>FEC_per_building.kWh.CY.Ser.Bld.Thermal.SH.Oil.Oil_LiqBio</t>
  </si>
  <si>
    <t>FEC_per_building.kWh.CY.Ser.Bld.Thermal.SH.GasHP.NG_Biogas</t>
  </si>
  <si>
    <t>FEC_per_building.kWh.CY.Ser.Bld.Thermal.SH.GasTH.NG_Biogas</t>
  </si>
  <si>
    <t>FEC_per_building.kWh.CY.Ser.Bld.Thermal.SH.Biomass.Biomass_Waste</t>
  </si>
  <si>
    <t>FEC_per_building.kWh.CY.Ser.Bld.Thermal.SH.Geo.Geo</t>
  </si>
  <si>
    <t>FEC_per_building.kWh.CY.Ser.Bld.Thermal.SH.DistrHeat.Steam_Distr</t>
  </si>
  <si>
    <t>FEC_per_building.kWh.CY.Ser.Bld.Thermal.SH.AdvElc.Elec</t>
  </si>
  <si>
    <t>FEC_per_building.kWh.CY.Ser.Bld.Thermal.SH.ConvElc.Elec</t>
  </si>
  <si>
    <t>FEC_per_building.kWh.CY.Ser.Bld.Thermal.SH.TotalCirculation.Elec</t>
  </si>
  <si>
    <t>FEC_per_building.kWh.CY.Ser.Bld.Thermal.SC</t>
  </si>
  <si>
    <t>FEC_per_building.kWh.CY.Ser.Bld.Thermal.SC.GasHP.NG_Biogas</t>
  </si>
  <si>
    <t>FEC_per_building.kWh.CY.Ser.Bld.Thermal.SC.AC.Elec</t>
  </si>
  <si>
    <t>FEC_per_building.kWh.CY.Ser.Bld.Thermal.HW</t>
  </si>
  <si>
    <t>FEC_per_building.kWh.CY.Ser.Bld.Thermal.HW.Solids.Solids</t>
  </si>
  <si>
    <t>FEC_per_building.kWh.CY.Ser.Bld.Thermal.HW.LPG.LPG</t>
  </si>
  <si>
    <t>FEC_per_building.kWh.CY.Ser.Bld.Thermal.HW.Oil.Oil_LiqBio</t>
  </si>
  <si>
    <t>FEC_per_building.kWh.CY.Ser.Bld.Thermal.HW.Gas.NG_Biogas</t>
  </si>
  <si>
    <t>FEC_per_building.kWh.CY.Ser.Bld.Thermal.HW.Biomass.Biomass_Waste</t>
  </si>
  <si>
    <t>FEC_per_building.kWh.CY.Ser.Bld.Thermal.HW.DistrHeat.Steam_Distr</t>
  </si>
  <si>
    <t>FEC_per_building.kWh.CY.Ser.Bld.Thermal.HW.Elc.Elec</t>
  </si>
  <si>
    <t>FEC_per_building.kWh.CY.Ser.Bld.Thermal.HW.TotalSolar.Solar</t>
  </si>
  <si>
    <t>FEC_per_building.kWh.CY.Ser.Bld.Thermal.CA</t>
  </si>
  <si>
    <t>FEC_per_building.kWh.CY.Ser.Bld.Thermal.CA.LPG</t>
  </si>
  <si>
    <t>FEC_per_building.kWh.CY.Ser.Bld.Thermal.CA.Gas.NG_Biogas</t>
  </si>
  <si>
    <t>FEC_per_building.kWh.CY.Ser.Bld.Thermal.CA.Biomass.Biomass_Waste</t>
  </si>
  <si>
    <t>FEC_per_building.kWh.CY.Ser.Bld.Thermal.CA.Elc.Elec</t>
  </si>
  <si>
    <t>CY - Thermal energy service per building</t>
  </si>
  <si>
    <t>TES_per_building.kWh.CY.Ser.Bld.Thermal</t>
  </si>
  <si>
    <t>TES_per_building.kWh.CY.Ser.Bld.Thermal.SH</t>
  </si>
  <si>
    <t>TES_per_building.kWh.CY.Ser.Bld.Thermal.SH.Solids.Solids</t>
  </si>
  <si>
    <t>TES_per_building.kWh.CY.Ser.Bld.Thermal.SH.LPG.LPG</t>
  </si>
  <si>
    <t>TES_per_building.kWh.CY.Ser.Bld.Thermal.SH.Oil.Oil_LiqBio</t>
  </si>
  <si>
    <t>TES_per_building.kWh.CY.Ser.Bld.Thermal.SH.GasHP.NG_Biogas</t>
  </si>
  <si>
    <t>TES_per_building.kWh.CY.Ser.Bld.Thermal.SH.GasTH.NG_Biogas</t>
  </si>
  <si>
    <t>TES_per_building.kWh.CY.Ser.Bld.Thermal.SH.Biomass.Biomass_Waste</t>
  </si>
  <si>
    <t>TES_per_building.kWh.CY.Ser.Bld.Thermal.SH.Geo.Geo</t>
  </si>
  <si>
    <t>TES_per_building.kWh.CY.Ser.Bld.Thermal.SH.DistrHeat.Steam_Distr</t>
  </si>
  <si>
    <t>TES_per_building.kWh.CY.Ser.Bld.Thermal.SH.AdvElc.Elec</t>
  </si>
  <si>
    <t>TES_per_building.kWh.CY.Ser.Bld.Thermal.SH.ConvElc.Elec</t>
  </si>
  <si>
    <t>TES_per_building.kWh.CY.Ser.Bld.Thermal.SH.TotalCirculation.Elec</t>
  </si>
  <si>
    <t>TES_per_building.kWh.CY.Ser.Bld.Thermal.SC</t>
  </si>
  <si>
    <t>TES_per_building.kWh.CY.Ser.Bld.Thermal.SC.GasHP.NG_Biogas</t>
  </si>
  <si>
    <t>TES_per_building.kWh.CY.Ser.Bld.Thermal.SC.AC.Elec</t>
  </si>
  <si>
    <t>TES_per_building.kWh.CY.Ser.Bld.Thermal.HW</t>
  </si>
  <si>
    <t>TES_per_building.kWh.CY.Ser.Bld.Thermal.HW.Solids.Solids</t>
  </si>
  <si>
    <t>TES_per_building.kWh.CY.Ser.Bld.Thermal.HW.LPG.LPG</t>
  </si>
  <si>
    <t>TES_per_building.kWh.CY.Ser.Bld.Thermal.HW.Oil.Oil_LiqBio</t>
  </si>
  <si>
    <t>TES_per_building.kWh.CY.Ser.Bld.Thermal.HW.Gas.NG_Biogas</t>
  </si>
  <si>
    <t>TES_per_building.kWh.CY.Ser.Bld.Thermal.HW.Biomass.Biomass_Waste</t>
  </si>
  <si>
    <t>TES_per_building.kWh.CY.Ser.Bld.Thermal.HW.DistrHeat.Steam_Distr</t>
  </si>
  <si>
    <t>TES_per_building.kWh.CY.Ser.Bld.Thermal.HW.Elc.Elec</t>
  </si>
  <si>
    <t>TES_per_building.kWh.CY.Ser.Bld.Thermal.HW.TotalSolar.Solar</t>
  </si>
  <si>
    <t>TES_per_building.kWh.CY.Ser.Bld.Thermal.CA</t>
  </si>
  <si>
    <t>TES_per_building.kWh.CY.Ser.Bld.Thermal.CA.LPG</t>
  </si>
  <si>
    <t>TES_per_building.kWh.CY.Ser.Bld.Thermal.CA.Gas.NG_Biogas</t>
  </si>
  <si>
    <t>TES_per_building.kWh.CY.Ser.Bld.Thermal.CA.Biomass.Biomass_Waste</t>
  </si>
  <si>
    <t>TES_per_building.kWh.CY.Ser.Bld.Thermal.CA.Elc.Elec</t>
  </si>
  <si>
    <t>CY - CO2 emissions per building</t>
  </si>
  <si>
    <t>EMI_per_building.kgCO2.CY.Ser.Bld.Thermal</t>
  </si>
  <si>
    <t>EMI_per_building.kgCO2.CY.Ser.Bld.Thermal.SH</t>
  </si>
  <si>
    <t>EMI_per_building.kgCO2.CY.Ser.Bld.Thermal.SH.Solids.Solids</t>
  </si>
  <si>
    <t>EMI_per_building.kgCO2.CY.Ser.Bld.Thermal.SH.LPG.LPG</t>
  </si>
  <si>
    <t>EMI_per_building.kgCO2.CY.Ser.Bld.Thermal.SH.Oil.Oil_LiqBio</t>
  </si>
  <si>
    <t>EMI_per_building.kgCO2.CY.Ser.Bld.Thermal.SH.GasHP.NG_Biogas</t>
  </si>
  <si>
    <t>EMI_per_building.kgCO2.CY.Ser.Bld.Thermal.SH.GasTH.NG_Biogas</t>
  </si>
  <si>
    <t>EMI_per_building.kgCO2.CY.Ser.Bld.Thermal.SH.Biomass.Biomass_Waste</t>
  </si>
  <si>
    <t>EMI_per_building.kgCO2.CY.Ser.Bld.Thermal.SH.Geo.Geo</t>
  </si>
  <si>
    <t>EMI_per_building.kgCO2.CY.Ser.Bld.Thermal.SH.DistrHeat.Steam_Distr</t>
  </si>
  <si>
    <t>EMI_per_building.kgCO2.CY.Ser.Bld.Thermal.SH.AdvElc.Elec</t>
  </si>
  <si>
    <t>EMI_per_building.kgCO2.CY.Ser.Bld.Thermal.SH.ConvElc.Elec</t>
  </si>
  <si>
    <t>EMI_per_building.kgCO2.CY.Ser.Bld.Thermal.SH.TotalCirculation.Elec</t>
  </si>
  <si>
    <t>EMI_per_building.kgCO2.CY.Ser.Bld.Thermal.SC</t>
  </si>
  <si>
    <t>EMI_per_building.kgCO2.CY.Ser.Bld.Thermal.SC.GasHP.NG_Biogas</t>
  </si>
  <si>
    <t>EMI_per_building.kgCO2.CY.Ser.Bld.Thermal.SC.AC.Elec</t>
  </si>
  <si>
    <t>EMI_per_building.kgCO2.CY.Ser.Bld.Thermal.HW</t>
  </si>
  <si>
    <t>EMI_per_building.kgCO2.CY.Ser.Bld.Thermal.HW.Solids.Solids</t>
  </si>
  <si>
    <t>EMI_per_building.kgCO2.CY.Ser.Bld.Thermal.HW.LPG.LPG</t>
  </si>
  <si>
    <t>EMI_per_building.kgCO2.CY.Ser.Bld.Thermal.HW.Oil.Oil_LiqBio</t>
  </si>
  <si>
    <t>EMI_per_building.kgCO2.CY.Ser.Bld.Thermal.HW.Gas.NG_Biogas</t>
  </si>
  <si>
    <t>EMI_per_building.kgCO2.CY.Ser.Bld.Thermal.HW.Biomass.Biomass_Waste</t>
  </si>
  <si>
    <t>EMI_per_building.kgCO2.CY.Ser.Bld.Thermal.HW.DistrHeat.Steam_Distr</t>
  </si>
  <si>
    <t>EMI_per_building.kgCO2.CY.Ser.Bld.Thermal.HW.Elc.Elec</t>
  </si>
  <si>
    <t>EMI_per_building.kgCO2.CY.Ser.Bld.Thermal.HW.TotalSolar.Solar</t>
  </si>
  <si>
    <t>EMI_per_building.kgCO2.CY.Ser.Bld.Thermal.CA</t>
  </si>
  <si>
    <t>EMI_per_building.kgCO2.CY.Ser.Bld.Thermal.CA.LPG</t>
  </si>
  <si>
    <t>EMI_per_building.kgCO2.CY.Ser.Bld.Thermal.CA.Gas.NG_Biogas</t>
  </si>
  <si>
    <t>EMI_per_building.kgCO2.CY.Ser.Bld.Thermal.CA.Biomass.Biomass_Waste</t>
  </si>
  <si>
    <t>EMI_per_building.kgCO2.CY.Ser.Bld.Thermal.CA.Elc.Elec</t>
  </si>
  <si>
    <t>CY - Final energy consumption per useful surface area</t>
  </si>
  <si>
    <t>FEC_per_sqm.kWh.CY.Ser.Bld.Thermal</t>
  </si>
  <si>
    <t>FEC_per_sqm.kWh.CY.Ser.Bld.Thermal.SH</t>
  </si>
  <si>
    <t>FEC_per_sqm.kWh.CY.Ser.Bld.Thermal.SH.Solids.Solids</t>
  </si>
  <si>
    <t>FEC_per_sqm.kWh.CY.Ser.Bld.Thermal.SH.LPG.LPG</t>
  </si>
  <si>
    <t>FEC_per_sqm.kWh.CY.Ser.Bld.Thermal.SH.Oil.Oil_LiqBio</t>
  </si>
  <si>
    <t>FEC_per_sqm.kWh.CY.Ser.Bld.Thermal.SH.GasHP.NG_Biogas</t>
  </si>
  <si>
    <t>FEC_per_sqm.kWh.CY.Ser.Bld.Thermal.SH.GasTH.NG_Biogas</t>
  </si>
  <si>
    <t>FEC_per_sqm.kWh.CY.Ser.Bld.Thermal.SH.Biomass.Biomass_Waste</t>
  </si>
  <si>
    <t>FEC_per_sqm.kWh.CY.Ser.Bld.Thermal.SH.Geo.Geo</t>
  </si>
  <si>
    <t>FEC_per_sqm.kWh.CY.Ser.Bld.Thermal.SH.DistrHeat.Steam_Distr</t>
  </si>
  <si>
    <t>FEC_per_sqm.kWh.CY.Ser.Bld.Thermal.SH.AdvElc.Elec</t>
  </si>
  <si>
    <t>FEC_per_sqm.kWh.CY.Ser.Bld.Thermal.SH.ConvElc.Elec</t>
  </si>
  <si>
    <t>FEC_per_sqm.kWh.CY.Ser.Bld.Thermal.SH.TotalCirculation.Elec</t>
  </si>
  <si>
    <t>FEC_per_sqm.kWh.CY.Ser.Bld.Thermal.SC</t>
  </si>
  <si>
    <t>FEC_per_sqm.kWh.CY.Ser.Bld.Thermal.SC.GasHP.NG_Biogas</t>
  </si>
  <si>
    <t>FEC_per_sqm.kWh.CY.Ser.Bld.Thermal.SC.AC.Elec</t>
  </si>
  <si>
    <t>FEC_per_sqm.kWh.CY.Ser.Bld.Thermal.HW</t>
  </si>
  <si>
    <t>FEC_per_sqm.kWh.CY.Ser.Bld.Thermal.HW.Solids.Solids</t>
  </si>
  <si>
    <t>FEC_per_sqm.kWh.CY.Ser.Bld.Thermal.HW.LPG.LPG</t>
  </si>
  <si>
    <t>FEC_per_sqm.kWh.CY.Ser.Bld.Thermal.HW.Oil.Oil_LiqBio</t>
  </si>
  <si>
    <t>FEC_per_sqm.kWh.CY.Ser.Bld.Thermal.HW.Gas.NG_Biogas</t>
  </si>
  <si>
    <t>FEC_per_sqm.kWh.CY.Ser.Bld.Thermal.HW.Biomass.Biomass_Waste</t>
  </si>
  <si>
    <t>FEC_per_sqm.kWh.CY.Ser.Bld.Thermal.HW.DistrHeat.Steam_Distr</t>
  </si>
  <si>
    <t>FEC_per_sqm.kWh.CY.Ser.Bld.Thermal.HW.Elc.Elec</t>
  </si>
  <si>
    <t>FEC_per_sqm.kWh.CY.Ser.Bld.Thermal.HW.TotalSolar.Solar</t>
  </si>
  <si>
    <t>FEC_per_sqm.kWh.CY.Ser.Bld.Thermal.CA</t>
  </si>
  <si>
    <t>FEC_per_sqm.kWh.CY.Ser.Bld.Thermal.CA.LPG</t>
  </si>
  <si>
    <t>FEC_per_sqm.kWh.CY.Ser.Bld.Thermal.CA.Gas.NG_Biogas</t>
  </si>
  <si>
    <t>FEC_per_sqm.kWh.CY.Ser.Bld.Thermal.CA.Biomass.Biomass_Waste</t>
  </si>
  <si>
    <t>FEC_per_sqm.kWh.CY.Ser.Bld.Thermal.CA.Elc.Elec</t>
  </si>
  <si>
    <t>CY - Thermal energy service per useful surface area</t>
  </si>
  <si>
    <t>TES_per_sqm.kWh.CY.Ser.Bld.Thermal</t>
  </si>
  <si>
    <t>TES_per_sqm.kWh.CY.Ser.Bld.Thermal.SH</t>
  </si>
  <si>
    <t>TES_per_sqm.kWh.CY.Ser.Bld.Thermal.SH.Solids.Solids</t>
  </si>
  <si>
    <t>TES_per_sqm.kWh.CY.Ser.Bld.Thermal.SH.LPG.LPG</t>
  </si>
  <si>
    <t>TES_per_sqm.kWh.CY.Ser.Bld.Thermal.SH.Oil.Oil_LiqBio</t>
  </si>
  <si>
    <t>TES_per_sqm.kWh.CY.Ser.Bld.Thermal.SH.GasHP.NG_Biogas</t>
  </si>
  <si>
    <t>TES_per_sqm.kWh.CY.Ser.Bld.Thermal.SH.GasTH.NG_Biogas</t>
  </si>
  <si>
    <t>TES_per_sqm.kWh.CY.Ser.Bld.Thermal.SH.Biomass.Biomass_Waste</t>
  </si>
  <si>
    <t>TES_per_sqm.kWh.CY.Ser.Bld.Thermal.SH.Geo.Geo</t>
  </si>
  <si>
    <t>TES_per_sqm.kWh.CY.Ser.Bld.Thermal.SH.DistrHeat.Steam_Distr</t>
  </si>
  <si>
    <t>TES_per_sqm.kWh.CY.Ser.Bld.Thermal.SH.AdvElc.Elec</t>
  </si>
  <si>
    <t>TES_per_sqm.kWh.CY.Ser.Bld.Thermal.SH.ConvElc.Elec</t>
  </si>
  <si>
    <t>TES_per_sqm.kWh.CY.Ser.Bld.Thermal.SH.TotalCirculation.Elec</t>
  </si>
  <si>
    <t>TES_per_sqm.kWh.CY.Ser.Bld.Thermal.SC</t>
  </si>
  <si>
    <t>TES_per_sqm.kWh.CY.Ser.Bld.Thermal.SC.GasHP.NG_Biogas</t>
  </si>
  <si>
    <t>TES_per_sqm.kWh.CY.Ser.Bld.Thermal.SC.AC.Elec</t>
  </si>
  <si>
    <t>TES_per_sqm.kWh.CY.Ser.Bld.Thermal.HW</t>
  </si>
  <si>
    <t>TES_per_sqm.kWh.CY.Ser.Bld.Thermal.HW.Solids.Solids</t>
  </si>
  <si>
    <t>TES_per_sqm.kWh.CY.Ser.Bld.Thermal.HW.LPG.LPG</t>
  </si>
  <si>
    <t>TES_per_sqm.kWh.CY.Ser.Bld.Thermal.HW.Oil.Oil_LiqBio</t>
  </si>
  <si>
    <t>TES_per_sqm.kWh.CY.Ser.Bld.Thermal.HW.Gas.NG_Biogas</t>
  </si>
  <si>
    <t>TES_per_sqm.kWh.CY.Ser.Bld.Thermal.HW.Biomass.Biomass_Waste</t>
  </si>
  <si>
    <t>TES_per_sqm.kWh.CY.Ser.Bld.Thermal.HW.DistrHeat.Steam_Distr</t>
  </si>
  <si>
    <t>TES_per_sqm.kWh.CY.Ser.Bld.Thermal.HW.Elc.Elec</t>
  </si>
  <si>
    <t>TES_per_sqm.kWh.CY.Ser.Bld.Thermal.HW.TotalSolar.Solar</t>
  </si>
  <si>
    <t>TES_per_sqm.kWh.CY.Ser.Bld.Thermal.CA</t>
  </si>
  <si>
    <t>TES_per_sqm.kWh.CY.Ser.Bld.Thermal.CA.LPG</t>
  </si>
  <si>
    <t>TES_per_sqm.kWh.CY.Ser.Bld.Thermal.CA.Gas.NG_Biogas</t>
  </si>
  <si>
    <t>TES_per_sqm.kWh.CY.Ser.Bld.Thermal.CA.Biomass.Biomass_Waste</t>
  </si>
  <si>
    <t>TES_per_sqm.kWh.CY.Ser.Bld.Thermal.CA.Elc.Elec</t>
  </si>
  <si>
    <t>CY - CO2 emissions per useful surface area</t>
  </si>
  <si>
    <t>EMI_per_sqm.kgCO2.CY.Ser.Bld.Thermal</t>
  </si>
  <si>
    <t>EMI_per_sqm.kgCO2.CY.Ser.Bld.Thermal.SH</t>
  </si>
  <si>
    <t>EMI_per_sqm.kgCO2.CY.Ser.Bld.Thermal.SH.Solids.Solids</t>
  </si>
  <si>
    <t>EMI_per_sqm.kgCO2.CY.Ser.Bld.Thermal.SH.LPG.LPG</t>
  </si>
  <si>
    <t>EMI_per_sqm.kgCO2.CY.Ser.Bld.Thermal.SH.Oil.Oil_LiqBio</t>
  </si>
  <si>
    <t>EMI_per_sqm.kgCO2.CY.Ser.Bld.Thermal.SH.GasHP.NG_Biogas</t>
  </si>
  <si>
    <t>EMI_per_sqm.kgCO2.CY.Ser.Bld.Thermal.SH.GasTH.NG_Biogas</t>
  </si>
  <si>
    <t>EMI_per_sqm.kgCO2.CY.Ser.Bld.Thermal.SH.Biomass.Biomass_Waste</t>
  </si>
  <si>
    <t>EMI_per_sqm.kgCO2.CY.Ser.Bld.Thermal.SH.Geo.Geo</t>
  </si>
  <si>
    <t>EMI_per_sqm.kgCO2.CY.Ser.Bld.Thermal.SH.DistrHeat.Steam_Distr</t>
  </si>
  <si>
    <t>EMI_per_sqm.kgCO2.CY.Ser.Bld.Thermal.SH.AdvElc.Elec</t>
  </si>
  <si>
    <t>EMI_per_sqm.kgCO2.CY.Ser.Bld.Thermal.SH.ConvElc.Elec</t>
  </si>
  <si>
    <t>EMI_per_sqm.kgCO2.CY.Ser.Bld.Thermal.SH.TotalCirculation.Elec</t>
  </si>
  <si>
    <t>EMI_per_sqm.kgCO2.CY.Ser.Bld.Thermal.SC</t>
  </si>
  <si>
    <t>EMI_per_sqm.kgCO2.CY.Ser.Bld.Thermal.SC.GasHP.NG_Biogas</t>
  </si>
  <si>
    <t>EMI_per_sqm.kgCO2.CY.Ser.Bld.Thermal.SC.AC.Elec</t>
  </si>
  <si>
    <t>EMI_per_sqm.kgCO2.CY.Ser.Bld.Thermal.HW</t>
  </si>
  <si>
    <t>EMI_per_sqm.kgCO2.CY.Ser.Bld.Thermal.HW.Solids.Solids</t>
  </si>
  <si>
    <t>EMI_per_sqm.kgCO2.CY.Ser.Bld.Thermal.HW.LPG.LPG</t>
  </si>
  <si>
    <t>EMI_per_sqm.kgCO2.CY.Ser.Bld.Thermal.HW.Oil.Oil_LiqBio</t>
  </si>
  <si>
    <t>EMI_per_sqm.kgCO2.CY.Ser.Bld.Thermal.HW.Gas.NG_Biogas</t>
  </si>
  <si>
    <t>EMI_per_sqm.kgCO2.CY.Ser.Bld.Thermal.HW.Biomass.Biomass_Waste</t>
  </si>
  <si>
    <t>EMI_per_sqm.kgCO2.CY.Ser.Bld.Thermal.HW.DistrHeat.Steam_Distr</t>
  </si>
  <si>
    <t>EMI_per_sqm.kgCO2.CY.Ser.Bld.Thermal.HW.Elc.Elec</t>
  </si>
  <si>
    <t>EMI_per_sqm.kgCO2.CY.Ser.Bld.Thermal.HW.TotalSolar.Solar</t>
  </si>
  <si>
    <t>EMI_per_sqm.kgCO2.CY.Ser.Bld.Thermal.CA</t>
  </si>
  <si>
    <t>EMI_per_sqm.kgCO2.CY.Ser.Bld.Thermal.CA.LPG</t>
  </si>
  <si>
    <t>EMI_per_sqm.kgCO2.CY.Ser.Bld.Thermal.CA.Gas.NG_Biogas</t>
  </si>
  <si>
    <t>EMI_per_sqm.kgCO2.CY.Ser.Bld.Thermal.CA.Biomass.Biomass_Waste</t>
  </si>
  <si>
    <t>EMI_per_sqm.kgCO2.CY.Ser.Bld.Thermal.CA.Elc.Elec</t>
  </si>
  <si>
    <t>CY - Number of new and renovated buildings</t>
  </si>
  <si>
    <t>NUM.number.CY.Ser.BldNew.Thermal</t>
  </si>
  <si>
    <t>NUM.number.CY.Ser.BldNew.Thermal.SH</t>
  </si>
  <si>
    <t>NUM.number.CY.Ser.BldNew.Thermal.SH.Solids</t>
  </si>
  <si>
    <t>NUM.number.CY.Ser.BldNew.Thermal.SH.LPG</t>
  </si>
  <si>
    <t>NUM.number.CY.Ser.BldNew.Thermal.SH.Oil</t>
  </si>
  <si>
    <t>NUM.number.CY.Ser.BldNew.Thermal.SH.GasHP</t>
  </si>
  <si>
    <t>NUM.number.CY.Ser.BldNew.Thermal.SH.GasTH</t>
  </si>
  <si>
    <t>NUM.number.CY.Ser.BldNew.Thermal.SH.Biomass</t>
  </si>
  <si>
    <t>NUM.number.CY.Ser.BldNew.Thermal.SH.Geo</t>
  </si>
  <si>
    <t>NUM.number.CY.Ser.BldNew.Thermal.SH.DistrHeat</t>
  </si>
  <si>
    <t>NUM.number.CY.Ser.BldNew.Thermal.SH.AdvElc</t>
  </si>
  <si>
    <t>NUM.number.CY.Ser.BldNew.Thermal.SH.ConvElc</t>
  </si>
  <si>
    <t>NUM.number.CY.Ser.BldNew.Thermal.SC</t>
  </si>
  <si>
    <t>NUM.number.CY.Ser.BldNew.Thermal.SC.GasHP</t>
  </si>
  <si>
    <t>NUM.number.CY.Ser.BldNew.Thermal.SC.AC</t>
  </si>
  <si>
    <t>NUM.number.CY.Ser.BldNew.Thermal.HW</t>
  </si>
  <si>
    <t>NUM.number.CY.Ser.BldNew.Thermal.HW.Solids</t>
  </si>
  <si>
    <t>NUM.number.CY.Ser.BldNew.Thermal.HW.LPG</t>
  </si>
  <si>
    <t>NUM.number.CY.Ser.BldNew.Thermal.HW.Oil</t>
  </si>
  <si>
    <t>NUM.number.CY.Ser.BldNew.Thermal.HW.Gas</t>
  </si>
  <si>
    <t>NUM.number.CY.Ser.BldNew.Thermal.HW.Biomass</t>
  </si>
  <si>
    <t>NUM.number.CY.Ser.BldNew.Thermal.HW.DistrHeat</t>
  </si>
  <si>
    <t>NUM.number.CY.Ser.BldNew.Thermal.HW.Elc</t>
  </si>
  <si>
    <t>NUM.number.CY.Ser.BldNew.Thermal.HW.Solar</t>
  </si>
  <si>
    <t>NUM.number.CY.Ser.BldNew.Thermal.CA</t>
  </si>
  <si>
    <t>NUM.number.CY.Ser.BldNew.Thermal.CA.LPG</t>
  </si>
  <si>
    <t>NUM.number.CY.Ser.BldNew.Thermal.CA.Gas</t>
  </si>
  <si>
    <t>NUM.number.CY.Ser.BldNew.Thermal.CA.Biomass</t>
  </si>
  <si>
    <t>NUM.number.CY.Ser.BldNew.Thermal.CA.Elc</t>
  </si>
  <si>
    <t>CY - Final energy consumption in new and renovated buildings</t>
  </si>
  <si>
    <t>FEC.ktoe.CY.Ser.BldNew.Thermal</t>
  </si>
  <si>
    <t>FEC.ktoe.CY.Ser.BldNew.Thermal.SH</t>
  </si>
  <si>
    <t>FEC.ktoe.CY.Ser.BldNew.Thermal.SH.Solids.Solids</t>
  </si>
  <si>
    <t>FEC.ktoe.CY.Ser.BldNew.Thermal.SH.LPG.LPG</t>
  </si>
  <si>
    <t>FEC.ktoe.CY.Ser.BldNew.Thermal.SH.Oil.Oil_LiqBio</t>
  </si>
  <si>
    <t>FEC.ktoe.CY.Ser.BldNew.Thermal.SH.GasHP.NG_Biogas</t>
  </si>
  <si>
    <t>FEC.ktoe.CY.Ser.BldNew.Thermal.SH.GasTH.NG_Biogas</t>
  </si>
  <si>
    <t>FEC.ktoe.CY.Ser.BldNew.Thermal.SH.Biomass.Biomass_Waste</t>
  </si>
  <si>
    <t>FEC.ktoe.CY.Ser.BldNew.Thermal.SH.Geo.Geo</t>
  </si>
  <si>
    <t>FEC.ktoe.CY.Ser.BldNew.Thermal.SH.DistrHeat.Steam_Distr</t>
  </si>
  <si>
    <t>FEC.ktoe.CY.Ser.BldNew.Thermal.SH.AdvElc.Elec</t>
  </si>
  <si>
    <t>FEC.ktoe.CY.Ser.BldNew.Thermal.SH.ConvElc.Elec</t>
  </si>
  <si>
    <t>FEC.ktoe.CY.Ser.BldNew.Thermal.SH.TotalCirculation.Elec</t>
  </si>
  <si>
    <t>FEC.ktoe.CY.Ser.BldNew.Thermal.SC</t>
  </si>
  <si>
    <t>FEC.ktoe.CY.Ser.BldNew.Thermal.SC.GasHP.NG_Biogas</t>
  </si>
  <si>
    <t>FEC.ktoe.CY.Ser.BldNew.Thermal.SC.AC.Elec</t>
  </si>
  <si>
    <t>FEC.ktoe.CY.Ser.BldNew.Thermal.HW</t>
  </si>
  <si>
    <t>FEC.ktoe.CY.Ser.BldNew.Thermal.HW.Solids.Solids</t>
  </si>
  <si>
    <t>FEC.ktoe.CY.Ser.BldNew.Thermal.HW.LPG.LPG</t>
  </si>
  <si>
    <t>FEC.ktoe.CY.Ser.BldNew.Thermal.HW.Oil.Oil_LiqBio</t>
  </si>
  <si>
    <t>FEC.ktoe.CY.Ser.BldNew.Thermal.HW.Gas.NG_Biogas</t>
  </si>
  <si>
    <t>FEC.ktoe.CY.Ser.BldNew.Thermal.HW.Biomass.Biomass_Waste</t>
  </si>
  <si>
    <t>FEC.ktoe.CY.Ser.BldNew.Thermal.HW.DistrHeat.Steam_Distr</t>
  </si>
  <si>
    <t>FEC.ktoe.CY.Ser.BldNew.Thermal.HW.Elc.Elec</t>
  </si>
  <si>
    <t>FEC.ktoe.CY.Ser.BldNew.Thermal.HW.TotalSolar.Solar</t>
  </si>
  <si>
    <t>FEC.ktoe.CY.Ser.BldNew.Thermal.CA</t>
  </si>
  <si>
    <t>FEC.ktoe.CY.Ser.BldNew.Thermal.CA.LPG</t>
  </si>
  <si>
    <t>FEC.ktoe.CY.Ser.BldNew.Thermal.CA.Gas.NG_Biogas</t>
  </si>
  <si>
    <t>FEC.ktoe.CY.Ser.BldNew.Thermal.CA.Biomass.Biomass_Waste</t>
  </si>
  <si>
    <t>FEC.ktoe.CY.Ser.BldNew.Thermal.CA.Elc.Elec</t>
  </si>
  <si>
    <t>CY - Thermal energy service in new and renovated buildings</t>
  </si>
  <si>
    <t>TES.ktoe.CY.Ser.BldNew.Thermal</t>
  </si>
  <si>
    <t>TES.ktoe.CY.Ser.BldNew.Thermal.SH</t>
  </si>
  <si>
    <t>TES.ktoe.CY.Ser.BldNew.Thermal.SH.Solids.Solids</t>
  </si>
  <si>
    <t>TES.ktoe.CY.Ser.BldNew.Thermal.SH.LPG.LPG</t>
  </si>
  <si>
    <t>TES.ktoe.CY.Ser.BldNew.Thermal.SH.Oil.Oil_LiqBio</t>
  </si>
  <si>
    <t>TES.ktoe.CY.Ser.BldNew.Thermal.SH.GasHP.NG_Biogas</t>
  </si>
  <si>
    <t>TES.ktoe.CY.Ser.BldNew.Thermal.SH.GasTH.NG_Biogas</t>
  </si>
  <si>
    <t>TES.ktoe.CY.Ser.BldNew.Thermal.SH.Biomass.Biomass_Waste</t>
  </si>
  <si>
    <t>TES.ktoe.CY.Ser.BldNew.Thermal.SH.Geo.Geo</t>
  </si>
  <si>
    <t>TES.ktoe.CY.Ser.BldNew.Thermal.SH.DistrHeat.Steam_Distr</t>
  </si>
  <si>
    <t>TES.ktoe.CY.Ser.BldNew.Thermal.SH.AdvElc.Elec</t>
  </si>
  <si>
    <t>TES.ktoe.CY.Ser.BldNew.Thermal.SH.ConvElc.Elec</t>
  </si>
  <si>
    <t>TES.ktoe.CY.Ser.BldNew.Thermal.SH.TotalCirculation.Elec</t>
  </si>
  <si>
    <t>TES.ktoe.CY.Ser.BldNew.Thermal.SC</t>
  </si>
  <si>
    <t>TES.ktoe.CY.Ser.BldNew.Thermal.SC.GasHP.NG_Biogas</t>
  </si>
  <si>
    <t>TES.ktoe.CY.Ser.BldNew.Thermal.SC.AC.Elec</t>
  </si>
  <si>
    <t>TES.ktoe.CY.Ser.BldNew.Thermal.HW</t>
  </si>
  <si>
    <t>TES.ktoe.CY.Ser.BldNew.Thermal.HW.Solids.Solids</t>
  </si>
  <si>
    <t>TES.ktoe.CY.Ser.BldNew.Thermal.HW.LPG.LPG</t>
  </si>
  <si>
    <t>TES.ktoe.CY.Ser.BldNew.Thermal.HW.Oil.Oil_LiqBio</t>
  </si>
  <si>
    <t>TES.ktoe.CY.Ser.BldNew.Thermal.HW.Gas.NG_Biogas</t>
  </si>
  <si>
    <t>TES.ktoe.CY.Ser.BldNew.Thermal.HW.Biomass.Biomass_Waste</t>
  </si>
  <si>
    <t>TES.ktoe.CY.Ser.BldNew.Thermal.HW.DistrHeat.Steam_Distr</t>
  </si>
  <si>
    <t>TES.ktoe.CY.Ser.BldNew.Thermal.HW.Elc.Elec</t>
  </si>
  <si>
    <t>TES.ktoe.CY.Ser.BldNew.Thermal.HW.TotalSolar.Solar</t>
  </si>
  <si>
    <t>TES.ktoe.CY.Ser.BldNew.Thermal.CA</t>
  </si>
  <si>
    <t>TES.ktoe.CY.Ser.BldNew.Thermal.CA.LPG</t>
  </si>
  <si>
    <t>TES.ktoe.CY.Ser.BldNew.Thermal.CA.Gas.NG_Biogas</t>
  </si>
  <si>
    <t>TES.ktoe.CY.Ser.BldNew.Thermal.CA.Biomass.Biomass_Waste</t>
  </si>
  <si>
    <t>TES.ktoe.CY.Ser.BldNew.Thermal.CA.Elc.Elec</t>
  </si>
  <si>
    <t>CY - System efficiency indicator of new and renovated buildings</t>
  </si>
  <si>
    <t>Eff.ratio.CY.Ser.BldNew.Thermal</t>
  </si>
  <si>
    <t>Eff.ratio.CY.Ser.BldNew.Thermal.SH</t>
  </si>
  <si>
    <t>Eff.ratio.CY.Ser.BldNew.Thermal.SH.Solids.Solids</t>
  </si>
  <si>
    <t>Eff.ratio.CY.Ser.BldNew.Thermal.SH.LPG.LPG</t>
  </si>
  <si>
    <t>Eff.ratio.CY.Ser.BldNew.Thermal.SH.Oil.Oil_LiqBio</t>
  </si>
  <si>
    <t>Eff.ratio.CY.Ser.BldNew.Thermal.SH.GasHP.NG_Biogas</t>
  </si>
  <si>
    <t>Eff.ratio.CY.Ser.BldNew.Thermal.SH.GasTH.NG_Biogas</t>
  </si>
  <si>
    <t>Eff.ratio.CY.Ser.BldNew.Thermal.SH.Biomass.Biomass_Waste</t>
  </si>
  <si>
    <t>Eff.ratio.CY.Ser.BldNew.Thermal.SH.Geo.Geo</t>
  </si>
  <si>
    <t>Eff.ratio.CY.Ser.BldNew.Thermal.SH.DistrHeat.Steam_Distr</t>
  </si>
  <si>
    <t>Eff.ratio.CY.Ser.BldNew.Thermal.SH.AdvElc.Elec</t>
  </si>
  <si>
    <t>Eff.ratio.CY.Ser.BldNew.Thermal.SH.ConvElc.Elec</t>
  </si>
  <si>
    <t>Eff.ratio.CY.Ser.BldNew.Thermal.SH.TotalCirculation.Elec</t>
  </si>
  <si>
    <t>Eff.ratio.CY.Ser.BldNew.Thermal.SC</t>
  </si>
  <si>
    <t>Eff.ratio.CY.Ser.BldNew.Thermal.SC.GasHP.NG_Biogas</t>
  </si>
  <si>
    <t>Eff.ratio.CY.Ser.BldNew.Thermal.SC.AC.Elec</t>
  </si>
  <si>
    <t>Eff.ratio.CY.Ser.BldNew.Thermal.HW</t>
  </si>
  <si>
    <t>Eff.ratio.CY.Ser.BldNew.Thermal.HW.Solids.Solids</t>
  </si>
  <si>
    <t>Eff.ratio.CY.Ser.BldNew.Thermal.HW.LPG.LPG</t>
  </si>
  <si>
    <t>Eff.ratio.CY.Ser.BldNew.Thermal.HW.Oil.Oil_LiqBio</t>
  </si>
  <si>
    <t>Eff.ratio.CY.Ser.BldNew.Thermal.HW.Gas.NG_Biogas</t>
  </si>
  <si>
    <t>Eff.ratio.CY.Ser.BldNew.Thermal.HW.Biomass.Biomass_Waste</t>
  </si>
  <si>
    <t>Eff.ratio.CY.Ser.BldNew.Thermal.HW.DistrHeat.Steam_Distr</t>
  </si>
  <si>
    <t>Eff.ratio.CY.Ser.BldNew.Thermal.HW.Elc.Elec</t>
  </si>
  <si>
    <t>Eff.ratio.CY.Ser.BldNew.Thermal.HW.TotalSolar.Solar</t>
  </si>
  <si>
    <t>Eff.ratio.CY.Ser.BldNew.Thermal.CA</t>
  </si>
  <si>
    <t>Eff.ratio.CY.Ser.BldNew.Thermal.CA.LPG</t>
  </si>
  <si>
    <t>Eff.ratio.CY.Ser.BldNew.Thermal.CA.Gas.NG_Biogas</t>
  </si>
  <si>
    <t>Eff.ratio.CY.Ser.BldNew.Thermal.CA.Biomass.Biomass_Waste</t>
  </si>
  <si>
    <t>Eff.ratio.CY.Ser.BldNew.Thermal.CA.Elc.Elec</t>
  </si>
  <si>
    <t>CY - CO2 emissions in new and renovated buildings</t>
  </si>
  <si>
    <t>EMI.ktCO2.CY.Ser.BldNew.Thermal</t>
  </si>
  <si>
    <t>EMI.ktCO2.CY.Ser.BldNew.Thermal.SH</t>
  </si>
  <si>
    <t>EMI.ktCO2.CY.Ser.BldNew.Thermal.SH.Solids.Solids</t>
  </si>
  <si>
    <t>EMI.ktCO2.CY.Ser.BldNew.Thermal.SH.LPG.LPG</t>
  </si>
  <si>
    <t>EMI.ktCO2.CY.Ser.BldNew.Thermal.SH.Oil.Oil_LiqBio</t>
  </si>
  <si>
    <t>EMI.ktCO2.CY.Ser.BldNew.Thermal.SH.GasHP.NG_Biogas</t>
  </si>
  <si>
    <t>EMI.ktCO2.CY.Ser.BldNew.Thermal.SH.GasTH.NG_Biogas</t>
  </si>
  <si>
    <t>EMI.ktCO2.CY.Ser.BldNew.Thermal.SH.Biomass.Biomass_Waste</t>
  </si>
  <si>
    <t>EMI.ktCO2.CY.Ser.BldNew.Thermal.SH.Geo.Geo</t>
  </si>
  <si>
    <t>EMI.ktCO2.CY.Ser.BldNew.Thermal.SH.DistrHeat.Steam_Distr</t>
  </si>
  <si>
    <t>EMI.ktCO2.CY.Ser.BldNew.Thermal.SH.AdvElc.Elec</t>
  </si>
  <si>
    <t>EMI.ktCO2.CY.Ser.BldNew.Thermal.SH.ConvElc.Elec</t>
  </si>
  <si>
    <t>EMI.ktCO2.CY.Ser.BldNew.Thermal.SH.TotalCirculation.Elec</t>
  </si>
  <si>
    <t>EMI.ktCO2.CY.Ser.BldNew.Thermal.SC</t>
  </si>
  <si>
    <t>EMI.ktCO2.CY.Ser.BldNew.Thermal.SC.GasHP.NG_Biogas</t>
  </si>
  <si>
    <t>EMI.ktCO2.CY.Ser.BldNew.Thermal.SC.AC.Elec</t>
  </si>
  <si>
    <t>EMI.ktCO2.CY.Ser.BldNew.Thermal.HW</t>
  </si>
  <si>
    <t>EMI.ktCO2.CY.Ser.BldNew.Thermal.HW.Solids.Solids</t>
  </si>
  <si>
    <t>EMI.ktCO2.CY.Ser.BldNew.Thermal.HW.LPG.LPG</t>
  </si>
  <si>
    <t>EMI.ktCO2.CY.Ser.BldNew.Thermal.HW.Oil.Oil_LiqBio</t>
  </si>
  <si>
    <t>EMI.ktCO2.CY.Ser.BldNew.Thermal.HW.Gas.NG_Biogas</t>
  </si>
  <si>
    <t>EMI.ktCO2.CY.Ser.BldNew.Thermal.HW.Biomass.Biomass_Waste</t>
  </si>
  <si>
    <t>EMI.ktCO2.CY.Ser.BldNew.Thermal.HW.DistrHeat.Steam_Distr</t>
  </si>
  <si>
    <t>EMI.ktCO2.CY.Ser.BldNew.Thermal.HW.Elc.Elec</t>
  </si>
  <si>
    <t>EMI.ktCO2.CY.Ser.BldNew.Thermal.HW.TotalSolar.Solar</t>
  </si>
  <si>
    <t>EMI.ktCO2.CY.Ser.BldNew.Thermal.CA</t>
  </si>
  <si>
    <t>EMI.ktCO2.CY.Ser.BldNew.Thermal.CA.LPG</t>
  </si>
  <si>
    <t>EMI.ktCO2.CY.Ser.BldNew.Thermal.CA.Gas.NG_Biogas</t>
  </si>
  <si>
    <t>EMI.ktCO2.CY.Ser.BldNew.Thermal.CA.Biomass.Biomass_Waste</t>
  </si>
  <si>
    <t>EMI.ktCO2.CY.Ser.BldNew.Thermal.CA.Elc.Elec</t>
  </si>
  <si>
    <t>CY - Final energy consumption of new and renovated buildings (per building)</t>
  </si>
  <si>
    <t>FEC_per_building.kWh.CY.Ser.BldNew.Thermal</t>
  </si>
  <si>
    <t>FEC_per_building.kWh.CY.Ser.BldNew.Thermal.SH</t>
  </si>
  <si>
    <t>FEC_per_building.kWh.CY.Ser.BldNew.Thermal.SH.Solids.Solids</t>
  </si>
  <si>
    <t>FEC_per_building.kWh.CY.Ser.BldNew.Thermal.SH.LPG.LPG</t>
  </si>
  <si>
    <t>FEC_per_building.kWh.CY.Ser.BldNew.Thermal.SH.Oil.Oil_LiqBio</t>
  </si>
  <si>
    <t>FEC_per_building.kWh.CY.Ser.BldNew.Thermal.SH.GasHP.NG_Biogas</t>
  </si>
  <si>
    <t>FEC_per_building.kWh.CY.Ser.BldNew.Thermal.SH.GasTH.NG_Biogas</t>
  </si>
  <si>
    <t>FEC_per_building.kWh.CY.Ser.BldNew.Thermal.SH.Biomass.Biomass_Waste</t>
  </si>
  <si>
    <t>FEC_per_building.kWh.CY.Ser.BldNew.Thermal.SH.Geo.Geo</t>
  </si>
  <si>
    <t>FEC_per_building.kWh.CY.Ser.BldNew.Thermal.SH.DistrHeat.Steam_Distr</t>
  </si>
  <si>
    <t>FEC_per_building.kWh.CY.Ser.BldNew.Thermal.SH.AdvElc.Elec</t>
  </si>
  <si>
    <t>FEC_per_building.kWh.CY.Ser.BldNew.Thermal.SH.ConvElc.Elec</t>
  </si>
  <si>
    <t>FEC_per_building.kWh.CY.Ser.BldNew.Thermal.SH.TotalCirculation.Elec</t>
  </si>
  <si>
    <t>FEC_per_building.kWh.CY.Ser.BldNew.Thermal.SC</t>
  </si>
  <si>
    <t>FEC_per_building.kWh.CY.Ser.BldNew.Thermal.SC.GasHP.NG_Biogas</t>
  </si>
  <si>
    <t>FEC_per_building.kWh.CY.Ser.BldNew.Thermal.SC.AC.Elec</t>
  </si>
  <si>
    <t>FEC_per_building.kWh.CY.Ser.BldNew.Thermal.HW</t>
  </si>
  <si>
    <t>FEC_per_building.kWh.CY.Ser.BldNew.Thermal.HW.Solids.Solids</t>
  </si>
  <si>
    <t>FEC_per_building.kWh.CY.Ser.BldNew.Thermal.HW.LPG.LPG</t>
  </si>
  <si>
    <t>FEC_per_building.kWh.CY.Ser.BldNew.Thermal.HW.Oil.Oil_LiqBio</t>
  </si>
  <si>
    <t>FEC_per_building.kWh.CY.Ser.BldNew.Thermal.HW.Gas.NG_Biogas</t>
  </si>
  <si>
    <t>FEC_per_building.kWh.CY.Ser.BldNew.Thermal.HW.Biomass.Biomass_Waste</t>
  </si>
  <si>
    <t>FEC_per_building.kWh.CY.Ser.BldNew.Thermal.HW.DistrHeat.Steam_Distr</t>
  </si>
  <si>
    <t>FEC_per_building.kWh.CY.Ser.BldNew.Thermal.HW.Elc.Elec</t>
  </si>
  <si>
    <t>FEC_per_building.kWh.CY.Ser.BldNew.Thermal.HW.TotalSolar.Solar</t>
  </si>
  <si>
    <t>FEC_per_building.kWh.CY.Ser.BldNew.Thermal.CA</t>
  </si>
  <si>
    <t>FEC_per_building.kWh.CY.Ser.BldNew.Thermal.CA.LPG</t>
  </si>
  <si>
    <t>FEC_per_building.kWh.CY.Ser.BldNew.Thermal.CA.Gas.NG_Biogas</t>
  </si>
  <si>
    <t>FEC_per_building.kWh.CY.Ser.BldNew.Thermal.CA.Biomass.Biomass_Waste</t>
  </si>
  <si>
    <t>FEC_per_building.kWh.CY.Ser.BldNew.Thermal.CA.Elc.Elec</t>
  </si>
  <si>
    <t>CY - Thermal energy service of new and renovated buildings (per building)</t>
  </si>
  <si>
    <t>TES_per_building.kWh.CY.Ser.BldNew.Thermal</t>
  </si>
  <si>
    <t>TES_per_building.kWh.CY.Ser.BldNew.Thermal.SH</t>
  </si>
  <si>
    <t>TES_per_building.kWh.CY.Ser.BldNew.Thermal.SH.Solids.Solids</t>
  </si>
  <si>
    <t>TES_per_building.kWh.CY.Ser.BldNew.Thermal.SH.LPG.LPG</t>
  </si>
  <si>
    <t>TES_per_building.kWh.CY.Ser.BldNew.Thermal.SH.Oil.Oil_LiqBio</t>
  </si>
  <si>
    <t>TES_per_building.kWh.CY.Ser.BldNew.Thermal.SH.GasHP.NG_Biogas</t>
  </si>
  <si>
    <t>TES_per_building.kWh.CY.Ser.BldNew.Thermal.SH.GasTH.NG_Biogas</t>
  </si>
  <si>
    <t>TES_per_building.kWh.CY.Ser.BldNew.Thermal.SH.Biomass.Biomass_Waste</t>
  </si>
  <si>
    <t>TES_per_building.kWh.CY.Ser.BldNew.Thermal.SH.Geo.Geo</t>
  </si>
  <si>
    <t>TES_per_building.kWh.CY.Ser.BldNew.Thermal.SH.DistrHeat.Steam_Distr</t>
  </si>
  <si>
    <t>TES_per_building.kWh.CY.Ser.BldNew.Thermal.SH.AdvElc.Elec</t>
  </si>
  <si>
    <t>TES_per_building.kWh.CY.Ser.BldNew.Thermal.SH.ConvElc.Elec</t>
  </si>
  <si>
    <t>TES_per_building.kWh.CY.Ser.BldNew.Thermal.SH.TotalCirculation.Elec</t>
  </si>
  <si>
    <t>TES_per_building.kWh.CY.Ser.BldNew.Thermal.SC</t>
  </si>
  <si>
    <t>TES_per_building.kWh.CY.Ser.BldNew.Thermal.SC.GasHP.NG_Biogas</t>
  </si>
  <si>
    <t>TES_per_building.kWh.CY.Ser.BldNew.Thermal.SC.AC.Elec</t>
  </si>
  <si>
    <t>TES_per_building.kWh.CY.Ser.BldNew.Thermal.HW</t>
  </si>
  <si>
    <t>TES_per_building.kWh.CY.Ser.BldNew.Thermal.HW.Solids.Solids</t>
  </si>
  <si>
    <t>TES_per_building.kWh.CY.Ser.BldNew.Thermal.HW.LPG.LPG</t>
  </si>
  <si>
    <t>TES_per_building.kWh.CY.Ser.BldNew.Thermal.HW.Oil.Oil_LiqBio</t>
  </si>
  <si>
    <t>TES_per_building.kWh.CY.Ser.BldNew.Thermal.HW.Gas.NG_Biogas</t>
  </si>
  <si>
    <t>TES_per_building.kWh.CY.Ser.BldNew.Thermal.HW.Biomass.Biomass_Waste</t>
  </si>
  <si>
    <t>TES_per_building.kWh.CY.Ser.BldNew.Thermal.HW.DistrHeat.Steam_Distr</t>
  </si>
  <si>
    <t>TES_per_building.kWh.CY.Ser.BldNew.Thermal.HW.Elc.Elec</t>
  </si>
  <si>
    <t>TES_per_building.kWh.CY.Ser.BldNew.Thermal.HW.TotalSolar.Solar</t>
  </si>
  <si>
    <t>TES_per_building.kWh.CY.Ser.BldNew.Thermal.CA</t>
  </si>
  <si>
    <t>TES_per_building.kWh.CY.Ser.BldNew.Thermal.CA.LPG</t>
  </si>
  <si>
    <t>TES_per_building.kWh.CY.Ser.BldNew.Thermal.CA.Gas.NG_Biogas</t>
  </si>
  <si>
    <t>TES_per_building.kWh.CY.Ser.BldNew.Thermal.CA.Biomass.Biomass_Waste</t>
  </si>
  <si>
    <t>TES_per_building.kWh.CY.Ser.BldNew.Thermal.CA.Elc.Elec</t>
  </si>
  <si>
    <t>CY - CO2 emissions in new and renovated buildings (per building)</t>
  </si>
  <si>
    <t>EMI_per_building.kgCO2.CY.Ser.BldNew.Thermal</t>
  </si>
  <si>
    <t>EMI_per_building.kgCO2.CY.Ser.BldNew.Thermal.SH</t>
  </si>
  <si>
    <t>EMI_per_building.kgCO2.CY.Ser.BldNew.Thermal.SH.Solids.Solids</t>
  </si>
  <si>
    <t>EMI_per_building.kgCO2.CY.Ser.BldNew.Thermal.SH.LPG.LPG</t>
  </si>
  <si>
    <t>EMI_per_building.kgCO2.CY.Ser.BldNew.Thermal.SH.Oil.Oil_LiqBio</t>
  </si>
  <si>
    <t>EMI_per_building.kgCO2.CY.Ser.BldNew.Thermal.SH.GasHP.NG_Biogas</t>
  </si>
  <si>
    <t>EMI_per_building.kgCO2.CY.Ser.BldNew.Thermal.SH.GasTH.NG_Biogas</t>
  </si>
  <si>
    <t>EMI_per_building.kgCO2.CY.Ser.BldNew.Thermal.SH.Biomass.Biomass_Waste</t>
  </si>
  <si>
    <t>EMI_per_building.kgCO2.CY.Ser.BldNew.Thermal.SH.Geo.Geo</t>
  </si>
  <si>
    <t>EMI_per_building.kgCO2.CY.Ser.BldNew.Thermal.SH.DistrHeat.Steam_Distr</t>
  </si>
  <si>
    <t>EMI_per_building.kgCO2.CY.Ser.BldNew.Thermal.SH.AdvElc.Elec</t>
  </si>
  <si>
    <t>EMI_per_building.kgCO2.CY.Ser.BldNew.Thermal.SH.ConvElc.Elec</t>
  </si>
  <si>
    <t>EMI_per_building.kgCO2.CY.Ser.BldNew.Thermal.SH.TotalCirculation.Elec</t>
  </si>
  <si>
    <t>EMI_per_building.kgCO2.CY.Ser.BldNew.Thermal.SC</t>
  </si>
  <si>
    <t>EMI_per_building.kgCO2.CY.Ser.BldNew.Thermal.SC.GasHP.NG_Biogas</t>
  </si>
  <si>
    <t>EMI_per_building.kgCO2.CY.Ser.BldNew.Thermal.SC.AC.Elec</t>
  </si>
  <si>
    <t>EMI_per_building.kgCO2.CY.Ser.BldNew.Thermal.HW</t>
  </si>
  <si>
    <t>EMI_per_building.kgCO2.CY.Ser.BldNew.Thermal.HW.Solids.Solids</t>
  </si>
  <si>
    <t>EMI_per_building.kgCO2.CY.Ser.BldNew.Thermal.HW.LPG.LPG</t>
  </si>
  <si>
    <t>EMI_per_building.kgCO2.CY.Ser.BldNew.Thermal.HW.Oil.Oil_LiqBio</t>
  </si>
  <si>
    <t>EMI_per_building.kgCO2.CY.Ser.BldNew.Thermal.HW.Gas.NG_Biogas</t>
  </si>
  <si>
    <t>EMI_per_building.kgCO2.CY.Ser.BldNew.Thermal.HW.Biomass.Biomass_Waste</t>
  </si>
  <si>
    <t>EMI_per_building.kgCO2.CY.Ser.BldNew.Thermal.HW.DistrHeat.Steam_Distr</t>
  </si>
  <si>
    <t>EMI_per_building.kgCO2.CY.Ser.BldNew.Thermal.HW.Elc.Elec</t>
  </si>
  <si>
    <t>EMI_per_building.kgCO2.CY.Ser.BldNew.Thermal.HW.TotalSolar.Solar</t>
  </si>
  <si>
    <t>EMI_per_building.kgCO2.CY.Ser.BldNew.Thermal.CA</t>
  </si>
  <si>
    <t>EMI_per_building.kgCO2.CY.Ser.BldNew.Thermal.CA.LPG</t>
  </si>
  <si>
    <t>EMI_per_building.kgCO2.CY.Ser.BldNew.Thermal.CA.Gas.NG_Biogas</t>
  </si>
  <si>
    <t>EMI_per_building.kgCO2.CY.Ser.BldNew.Thermal.CA.Biomass.Biomass_Waste</t>
  </si>
  <si>
    <t>EMI_per_building.kgCO2.CY.Ser.BldNew.Thermal.CA.Elc.Elec</t>
  </si>
  <si>
    <t>CY - Final energy consumption in new and renovated buildings per surface area</t>
  </si>
  <si>
    <t>FEC_per_sqm.kWh.CY.Ser.BldNew.Thermal</t>
  </si>
  <si>
    <t>FEC_per_sqm.kWh.CY.Ser.BldNew.Thermal.SH</t>
  </si>
  <si>
    <t>FEC_per_sqm.kWh.CY.Ser.BldNew.Thermal.SH.Solids.Solids</t>
  </si>
  <si>
    <t>FEC_per_sqm.kWh.CY.Ser.BldNew.Thermal.SH.LPG.LPG</t>
  </si>
  <si>
    <t>FEC_per_sqm.kWh.CY.Ser.BldNew.Thermal.SH.Oil.Oil_LiqBio</t>
  </si>
  <si>
    <t>FEC_per_sqm.kWh.CY.Ser.BldNew.Thermal.SH.GasHP.NG_Biogas</t>
  </si>
  <si>
    <t>FEC_per_sqm.kWh.CY.Ser.BldNew.Thermal.SH.GasTH.NG_Biogas</t>
  </si>
  <si>
    <t>FEC_per_sqm.kWh.CY.Ser.BldNew.Thermal.SH.Biomass.Biomass_Waste</t>
  </si>
  <si>
    <t>FEC_per_sqm.kWh.CY.Ser.BldNew.Thermal.SH.Geo.Geo</t>
  </si>
  <si>
    <t>FEC_per_sqm.kWh.CY.Ser.BldNew.Thermal.SH.DistrHeat.Steam_Distr</t>
  </si>
  <si>
    <t>FEC_per_sqm.kWh.CY.Ser.BldNew.Thermal.SH.AdvElc.Elec</t>
  </si>
  <si>
    <t>FEC_per_sqm.kWh.CY.Ser.BldNew.Thermal.SH.ConvElc.Elec</t>
  </si>
  <si>
    <t>FEC_per_sqm.kWh.CY.Ser.BldNew.Thermal.SH.TotalCirculation.Elec</t>
  </si>
  <si>
    <t>FEC_per_sqm.kWh.CY.Ser.BldNew.Thermal.SC</t>
  </si>
  <si>
    <t>FEC_per_sqm.kWh.CY.Ser.BldNew.Thermal.SC.GasHP.NG_Biogas</t>
  </si>
  <si>
    <t>FEC_per_sqm.kWh.CY.Ser.BldNew.Thermal.SC.AC.Elec</t>
  </si>
  <si>
    <t>FEC_per_sqm.kWh.CY.Ser.BldNew.Thermal.HW</t>
  </si>
  <si>
    <t>FEC_per_sqm.kWh.CY.Ser.BldNew.Thermal.HW.Solids.Solids</t>
  </si>
  <si>
    <t>FEC_per_sqm.kWh.CY.Ser.BldNew.Thermal.HW.LPG.LPG</t>
  </si>
  <si>
    <t>FEC_per_sqm.kWh.CY.Ser.BldNew.Thermal.HW.Oil.Oil_LiqBio</t>
  </si>
  <si>
    <t>FEC_per_sqm.kWh.CY.Ser.BldNew.Thermal.HW.Gas.NG_Biogas</t>
  </si>
  <si>
    <t>FEC_per_sqm.kWh.CY.Ser.BldNew.Thermal.HW.Biomass.Biomass_Waste</t>
  </si>
  <si>
    <t>FEC_per_sqm.kWh.CY.Ser.BldNew.Thermal.HW.DistrHeat.Steam_Distr</t>
  </si>
  <si>
    <t>FEC_per_sqm.kWh.CY.Ser.BldNew.Thermal.HW.Elc.Elec</t>
  </si>
  <si>
    <t>FEC_per_sqm.kWh.CY.Ser.BldNew.Thermal.HW.TotalSolar.Solar</t>
  </si>
  <si>
    <t>FEC_per_sqm.kWh.CY.Ser.BldNew.Thermal.CA</t>
  </si>
  <si>
    <t>FEC_per_sqm.kWh.CY.Ser.BldNew.Thermal.CA.LPG</t>
  </si>
  <si>
    <t>FEC_per_sqm.kWh.CY.Ser.BldNew.Thermal.CA.Gas.NG_Biogas</t>
  </si>
  <si>
    <t>FEC_per_sqm.kWh.CY.Ser.BldNew.Thermal.CA.Biomass.Biomass_Waste</t>
  </si>
  <si>
    <t>FEC_per_sqm.kWh.CY.Ser.BldNew.Thermal.CA.Elc.Elec</t>
  </si>
  <si>
    <t>CY - Thermal energy service in new and renovated buildings per surface area</t>
  </si>
  <si>
    <t>TES_per_sqm.kWh.CY.Ser.BldNew.Thermal</t>
  </si>
  <si>
    <t>TES_per_sqm.kWh.CY.Ser.BldNew.Thermal.SH</t>
  </si>
  <si>
    <t>TES_per_sqm.kWh.CY.Ser.BldNew.Thermal.SH.Solids.Solids</t>
  </si>
  <si>
    <t>TES_per_sqm.kWh.CY.Ser.BldNew.Thermal.SH.LPG.LPG</t>
  </si>
  <si>
    <t>TES_per_sqm.kWh.CY.Ser.BldNew.Thermal.SH.Oil.Oil_LiqBio</t>
  </si>
  <si>
    <t>TES_per_sqm.kWh.CY.Ser.BldNew.Thermal.SH.GasHP.NG_Biogas</t>
  </si>
  <si>
    <t>TES_per_sqm.kWh.CY.Ser.BldNew.Thermal.SH.GasTH.NG_Biogas</t>
  </si>
  <si>
    <t>TES_per_sqm.kWh.CY.Ser.BldNew.Thermal.SH.Biomass.Biomass_Waste</t>
  </si>
  <si>
    <t>TES_per_sqm.kWh.CY.Ser.BldNew.Thermal.SH.Geo.Geo</t>
  </si>
  <si>
    <t>TES_per_sqm.kWh.CY.Ser.BldNew.Thermal.SH.DistrHeat.Steam_Distr</t>
  </si>
  <si>
    <t>TES_per_sqm.kWh.CY.Ser.BldNew.Thermal.SH.AdvElc.Elec</t>
  </si>
  <si>
    <t>TES_per_sqm.kWh.CY.Ser.BldNew.Thermal.SH.ConvElc.Elec</t>
  </si>
  <si>
    <t>TES_per_sqm.kWh.CY.Ser.BldNew.Thermal.SH.TotalCirculation.Elec</t>
  </si>
  <si>
    <t>TES_per_sqm.kWh.CY.Ser.BldNew.Thermal.SC</t>
  </si>
  <si>
    <t>TES_per_sqm.kWh.CY.Ser.BldNew.Thermal.SC.GasHP.NG_Biogas</t>
  </si>
  <si>
    <t>TES_per_sqm.kWh.CY.Ser.BldNew.Thermal.SC.AC.Elec</t>
  </si>
  <si>
    <t>TES_per_sqm.kWh.CY.Ser.BldNew.Thermal.HW</t>
  </si>
  <si>
    <t>TES_per_sqm.kWh.CY.Ser.BldNew.Thermal.HW.Solids.Solids</t>
  </si>
  <si>
    <t>TES_per_sqm.kWh.CY.Ser.BldNew.Thermal.HW.LPG.LPG</t>
  </si>
  <si>
    <t>TES_per_sqm.kWh.CY.Ser.BldNew.Thermal.HW.Oil.Oil_LiqBio</t>
  </si>
  <si>
    <t>TES_per_sqm.kWh.CY.Ser.BldNew.Thermal.HW.Gas.NG_Biogas</t>
  </si>
  <si>
    <t>TES_per_sqm.kWh.CY.Ser.BldNew.Thermal.HW.Biomass.Biomass_Waste</t>
  </si>
  <si>
    <t>TES_per_sqm.kWh.CY.Ser.BldNew.Thermal.HW.DistrHeat.Steam_Distr</t>
  </si>
  <si>
    <t>TES_per_sqm.kWh.CY.Ser.BldNew.Thermal.HW.Elc.Elec</t>
  </si>
  <si>
    <t>TES_per_sqm.kWh.CY.Ser.BldNew.Thermal.HW.TotalSolar.Solar</t>
  </si>
  <si>
    <t>TES_per_sqm.kWh.CY.Ser.BldNew.Thermal.CA</t>
  </si>
  <si>
    <t>TES_per_sqm.kWh.CY.Ser.BldNew.Thermal.CA.LPG</t>
  </si>
  <si>
    <t>TES_per_sqm.kWh.CY.Ser.BldNew.Thermal.CA.Gas.NG_Biogas</t>
  </si>
  <si>
    <t>TES_per_sqm.kWh.CY.Ser.BldNew.Thermal.CA.Biomass.Biomass_Waste</t>
  </si>
  <si>
    <t>TES_per_sqm.kWh.CY.Ser.BldNew.Thermal.CA.Elc.Elec</t>
  </si>
  <si>
    <t>CY - CO2 emissions in new and renovated buildings per surface area</t>
  </si>
  <si>
    <t>EMI_per_sqm.kgCO2.CY.Ser.BldNew.Thermal</t>
  </si>
  <si>
    <t>EMI_per_sqm.kgCO2.CY.Ser.BldNew.Thermal.SH</t>
  </si>
  <si>
    <t>EMI_per_sqm.kgCO2.CY.Ser.BldNew.Thermal.SH.Solids.Solids</t>
  </si>
  <si>
    <t>EMI_per_sqm.kgCO2.CY.Ser.BldNew.Thermal.SH.LPG.LPG</t>
  </si>
  <si>
    <t>EMI_per_sqm.kgCO2.CY.Ser.BldNew.Thermal.SH.Oil.Oil_LiqBio</t>
  </si>
  <si>
    <t>EMI_per_sqm.kgCO2.CY.Ser.BldNew.Thermal.SH.GasHP.NG_Biogas</t>
  </si>
  <si>
    <t>EMI_per_sqm.kgCO2.CY.Ser.BldNew.Thermal.SH.GasTH.NG_Biogas</t>
  </si>
  <si>
    <t>EMI_per_sqm.kgCO2.CY.Ser.BldNew.Thermal.SH.Biomass.Biomass_Waste</t>
  </si>
  <si>
    <t>EMI_per_sqm.kgCO2.CY.Ser.BldNew.Thermal.SH.Geo.Geo</t>
  </si>
  <si>
    <t>EMI_per_sqm.kgCO2.CY.Ser.BldNew.Thermal.SH.DistrHeat.Steam_Distr</t>
  </si>
  <si>
    <t>EMI_per_sqm.kgCO2.CY.Ser.BldNew.Thermal.SH.AdvElc.Elec</t>
  </si>
  <si>
    <t>EMI_per_sqm.kgCO2.CY.Ser.BldNew.Thermal.SH.ConvElc.Elec</t>
  </si>
  <si>
    <t>EMI_per_sqm.kgCO2.CY.Ser.BldNew.Thermal.SH.TotalCirculation.Elec</t>
  </si>
  <si>
    <t>EMI_per_sqm.kgCO2.CY.Ser.BldNew.Thermal.SC</t>
  </si>
  <si>
    <t>EMI_per_sqm.kgCO2.CY.Ser.BldNew.Thermal.SC.GasHP.NG_Biogas</t>
  </si>
  <si>
    <t>EMI_per_sqm.kgCO2.CY.Ser.BldNew.Thermal.SC.AC.Elec</t>
  </si>
  <si>
    <t>EMI_per_sqm.kgCO2.CY.Ser.BldNew.Thermal.HW</t>
  </si>
  <si>
    <t>EMI_per_sqm.kgCO2.CY.Ser.BldNew.Thermal.HW.Solids.Solids</t>
  </si>
  <si>
    <t>EMI_per_sqm.kgCO2.CY.Ser.BldNew.Thermal.HW.LPG.LPG</t>
  </si>
  <si>
    <t>EMI_per_sqm.kgCO2.CY.Ser.BldNew.Thermal.HW.Oil.Oil_LiqBio</t>
  </si>
  <si>
    <t>EMI_per_sqm.kgCO2.CY.Ser.BldNew.Thermal.HW.Gas.NG_Biogas</t>
  </si>
  <si>
    <t>EMI_per_sqm.kgCO2.CY.Ser.BldNew.Thermal.HW.Biomass.Biomass_Waste</t>
  </si>
  <si>
    <t>EMI_per_sqm.kgCO2.CY.Ser.BldNew.Thermal.HW.DistrHeat.Steam_Distr</t>
  </si>
  <si>
    <t>EMI_per_sqm.kgCO2.CY.Ser.BldNew.Thermal.HW.Elc.Elec</t>
  </si>
  <si>
    <t>EMI_per_sqm.kgCO2.CY.Ser.BldNew.Thermal.HW.TotalSolar.Solar</t>
  </si>
  <si>
    <t>EMI_per_sqm.kgCO2.CY.Ser.BldNew.Thermal.CA</t>
  </si>
  <si>
    <t>EMI_per_sqm.kgCO2.CY.Ser.BldNew.Thermal.CA.LPG</t>
  </si>
  <si>
    <t>EMI_per_sqm.kgCO2.CY.Ser.BldNew.Thermal.CA.Gas.NG_Biogas</t>
  </si>
  <si>
    <t>EMI_per_sqm.kgCO2.CY.Ser.BldNew.Thermal.CA.Biomass.Biomass_Waste</t>
  </si>
  <si>
    <t>EMI_per_sqm.kgCO2.CY.Ser.BldNew.Thermal.CA.Elc.Elec</t>
  </si>
  <si>
    <t>FEC.ktoe.CY.Ser.SEU.VE</t>
  </si>
  <si>
    <t>FEC.ktoe.CY.Ser.SEU.SL</t>
  </si>
  <si>
    <t>FEC.ktoe.CY.Ser.SEU.BL</t>
  </si>
  <si>
    <t>FEC.ktoe.CY.Ser.SEU.CR</t>
  </si>
  <si>
    <t>FEC.ktoe.CY.Ser.SEU.BT</t>
  </si>
  <si>
    <t>FEC.ktoe.CY.Ser.SEU.IT</t>
  </si>
  <si>
    <t>Size.MW.CY.Ser.SEU</t>
  </si>
  <si>
    <t>Size.MW.CY.Ser.SEU.VE</t>
  </si>
  <si>
    <t>Size.MW.CY.Ser.SEU.SL</t>
  </si>
  <si>
    <t>Size.MW.CY.Ser.SEU.BL</t>
  </si>
  <si>
    <t>Size.MW.CY.Ser.SEU.CR</t>
  </si>
  <si>
    <t>Size.MW.CY.Ser.SEU.BT</t>
  </si>
  <si>
    <t>Size.MW.CY.Ser.SEU.IT</t>
  </si>
  <si>
    <t>NUM.Msqm.CY.Ser.SEU.VE</t>
  </si>
  <si>
    <t>NUM.k.CY.Ser.SEU.SL</t>
  </si>
  <si>
    <t>NUM.M.CY.Ser.SEU.BL</t>
  </si>
  <si>
    <t>NUM.k.CY.Ser.SEU.CR</t>
  </si>
  <si>
    <t>NUM.Msqm.CY.Ser.SEU.BT</t>
  </si>
  <si>
    <t>NUM.k.CY.Ser.SEU.IT</t>
  </si>
  <si>
    <t>NUM.Msqm.CY.Ser.SEUnew.VE</t>
  </si>
  <si>
    <t>NUM.k.CY.Ser.SEUnew.SL</t>
  </si>
  <si>
    <t>NUM.M.CY.Ser.SEUnew.BL</t>
  </si>
  <si>
    <t>NUM.k.CY.Ser.SEUnew.CR</t>
  </si>
  <si>
    <t>NUM.Msqm.CY.Ser.SEUnew.BT</t>
  </si>
  <si>
    <t>NUM.k.CY.Ser.SEUnew.IT</t>
  </si>
  <si>
    <t>NUM.Msqm.CY.Ser.SEUrepl.VE</t>
  </si>
  <si>
    <t>NUM.k.CY.Ser.SEUrepl.SL</t>
  </si>
  <si>
    <t>NUM.M.CY.Ser.SEUrepl.BL</t>
  </si>
  <si>
    <t>NUM.k.CY.Ser.SEUrepl.CR</t>
  </si>
  <si>
    <t>NUM.Msqm.CY.Ser.SEUrepl.BT</t>
  </si>
  <si>
    <t>NUM.k.CY.Ser.SEUrepl.IT</t>
  </si>
  <si>
    <t>Op.hours.CY.Ser.SEU.VE</t>
  </si>
  <si>
    <t>Op.hours.CY.Ser.SEU.SL</t>
  </si>
  <si>
    <t>Op.hours.CY.Ser.SEU.BL</t>
  </si>
  <si>
    <t>Op.hours.CY.Ser.SEU.CR</t>
  </si>
  <si>
    <t>Op.hours.CY.Ser.SEU.BT</t>
  </si>
  <si>
    <t>Op.hours.CY.Ser.SEU.IT</t>
  </si>
  <si>
    <t>Size_per_appl.W.CY.Ser.SEU.VE</t>
  </si>
  <si>
    <t>Size_per_appl.W.CY.Ser.SEU.SL</t>
  </si>
  <si>
    <t>Size_per_appl.W.CY.Ser.SEU.BL</t>
  </si>
  <si>
    <t>Size_per_appl.W.CY.Ser.SEU.CR</t>
  </si>
  <si>
    <t>Size_per_appl.W.CY.Ser.SEU.BT</t>
  </si>
  <si>
    <t>Size_per_appl.W.CY.Ser.SEU.IT</t>
  </si>
  <si>
    <t>Size_per_appl.W.CY.Ser.SEUnew.VE</t>
  </si>
  <si>
    <t>Size_per_appl.W.CY.Ser.SEUnew.SL</t>
  </si>
  <si>
    <t>Size_per_appl.W.CY.Ser.SEUnew.BL</t>
  </si>
  <si>
    <t>Size_per_appl.W.CY.Ser.SEUnew.CR</t>
  </si>
  <si>
    <t>Size_per_appl.W.CY.Ser.SEUnew.BT</t>
  </si>
  <si>
    <t>Size_per_appl.W.CY.Ser.SEUnew.IT</t>
  </si>
  <si>
    <t>NUM.sqm_per_building.CY.Ser.SEU.VE</t>
  </si>
  <si>
    <t>NUM.number_per_capita.CY.Ser.SEU.SL</t>
  </si>
  <si>
    <t>NUM.number_per_building.CY.Ser.SEU.BL</t>
  </si>
  <si>
    <t>NUM.number_per_capita.CY.Ser.SEU.CR</t>
  </si>
  <si>
    <t>NUM.sqm_per_building.CY.Ser.SEU.BT</t>
  </si>
  <si>
    <t>NUM.number_per_capita.CY.Ser.SEU.IT</t>
  </si>
  <si>
    <t>Lumens_per_sqm.lumen.CY.Ser.SEU.BL</t>
  </si>
  <si>
    <t>CY - Services / specific electric uses</t>
  </si>
  <si>
    <t>CY - Ventilation and others</t>
  </si>
  <si>
    <t>CY - Street lighting</t>
  </si>
  <si>
    <t>CY - Building lighting</t>
  </si>
  <si>
    <t>CY - Commercial refrigeration</t>
  </si>
  <si>
    <t>CY - Miscellaneous building technologies</t>
  </si>
  <si>
    <t>CY - ICT and multimedia</t>
  </si>
  <si>
    <t>CY - Agriculture, forestry and fishing</t>
  </si>
  <si>
    <t>VA.Meuro2015.CY.AGR.AGR</t>
  </si>
  <si>
    <t>OUTPUT.index.CY.AGR.AGR</t>
  </si>
  <si>
    <t>CAP.index.CY.AGR.AGR</t>
  </si>
  <si>
    <t>NEWCAP.index.CY.AGR.AGR</t>
  </si>
  <si>
    <t>CAPOUT.index.CY.AGR.AGR</t>
  </si>
  <si>
    <t>CAPIDLE.index.CY.AGR.AGR</t>
  </si>
  <si>
    <t>FEC.ktoe.CY.ES.AGR</t>
  </si>
  <si>
    <t>FEC.ktoe.CY.ES.AGR.Solids</t>
  </si>
  <si>
    <t>FEC.ktoe.CY.ES.AGR.LPG</t>
  </si>
  <si>
    <t>FEC.ktoe.CY.ES.AGR.Diesel</t>
  </si>
  <si>
    <t>FEC.ktoe.CY.ES.AGR.RFO</t>
  </si>
  <si>
    <t>FEC.ktoe.CY.ES.AGR.NG</t>
  </si>
  <si>
    <t>FEC.ktoe.CY.ES.AGR.Biomass_Waste</t>
  </si>
  <si>
    <t>FEC.ktoe.CY.ES.AGR.Biogas</t>
  </si>
  <si>
    <t>FEC.ktoe.CY.ES.AGR.LiqBio</t>
  </si>
  <si>
    <t>FEC.ktoe.CY.ES.AGR.Solar</t>
  </si>
  <si>
    <t>FEC.ktoe.CY.ES.AGR.Geo</t>
  </si>
  <si>
    <t>FEC.ktoe.CY.ES.AGR.Ambient</t>
  </si>
  <si>
    <t>FEC.ktoe.CY.ES.AGR.Steam_Distr</t>
  </si>
  <si>
    <t>FEC.ktoe.CY.ES.AGR.Elec</t>
  </si>
  <si>
    <t>CY - Agriculture, forestry and fishing / final energy consumption</t>
  </si>
  <si>
    <t>FEC.ktoe.CY.AGR.AGR.LIGHT.GENERIC.ELEC</t>
  </si>
  <si>
    <t>FEC.ktoe.CY.AGR.AGR.FANS.GENERIC.ELEC</t>
  </si>
  <si>
    <t>FEC.ktoe.CY.AGR.AGR.MOTOR.GENERIC.ELEC</t>
  </si>
  <si>
    <t>FEC.ktoe.CY.AGR.AGR.LOW_ENTH.THERM.DIESEL_LIQBIO</t>
  </si>
  <si>
    <t>FEC.ktoe.CY.AGR.AGR.LOW_ENTH.THERM.NG_BIOGAS</t>
  </si>
  <si>
    <t>FEC.ktoe.CY.AGR.AGR.LOW_ENTH.THERM.SOLAR_GEO</t>
  </si>
  <si>
    <t>FEC.ktoe.CY.AGR.AGR.LOW_ENTH.HP.AMBIENT</t>
  </si>
  <si>
    <t>FEC.ktoe.CY.AGR.AGR.LOW_ENTH.THERM.STEAM_DISTR</t>
  </si>
  <si>
    <t>FEC.ktoe.CY.AGR.AGR.LOW_ENTH.THERM.ELEC</t>
  </si>
  <si>
    <t>FEC.ktoe.CY.AGR.AGR.FARM_DRIVES.MECH.DIESEL_LIQBIO</t>
  </si>
  <si>
    <t>FEC.ktoe.CY.AGR.AGR.HEAT_USE.THERM.SOLIDS</t>
  </si>
  <si>
    <t>FEC.ktoe.CY.AGR.AGR.HEAT_USE.THERM.LPG</t>
  </si>
  <si>
    <t>FEC.ktoe.CY.AGR.AGR.HEAT_USE.THERM.DIESEL_LIQBIO</t>
  </si>
  <si>
    <t>FEC.ktoe.CY.AGR.AGR.HEAT_USE.THERM.RFO</t>
  </si>
  <si>
    <t>FEC.ktoe.CY.AGR.AGR.HEAT_USE.THERM.NG_BIOGAS</t>
  </si>
  <si>
    <t>FEC.ktoe.CY.AGR.AGR.HEAT_USE.THERM.BIOMASS_WASTE</t>
  </si>
  <si>
    <t>FEC.ktoe.CY.AGR.AGR.HEAT_USE.THERM.SOLAR_GEO</t>
  </si>
  <si>
    <t>FEC.ktoe.CY.AGR.AGR.FARM_PUMP.MECH.DIESEL_LIQBIO</t>
  </si>
  <si>
    <t>FEC.ktoe.CY.AGR.AGR.FARM_PUMP_ELEC.MECH.ELEC</t>
  </si>
  <si>
    <t>FEC.ktoe.CY.AGR.AGR.GENERIC.MECH.ELEC</t>
  </si>
  <si>
    <t>CY - Agriculture, forestry and fishing / useful energy demand</t>
  </si>
  <si>
    <t>UED.ktoe.CY.AGR.AGR.LIGHT.GENERIC.ELEC</t>
  </si>
  <si>
    <t>UED.ktoe.CY.AGR.AGR.FANS.GENERIC.ELEC</t>
  </si>
  <si>
    <t>UED.ktoe.CY.AGR.AGR.MOTOR.GENERIC.ELEC</t>
  </si>
  <si>
    <t>UED.ktoe.CY.AGR.AGR.LOW_ENTH.THERM.DIESEL_LIQBIO</t>
  </si>
  <si>
    <t>UED.ktoe.CY.AGR.AGR.LOW_ENTH.THERM.NG_BIOGAS</t>
  </si>
  <si>
    <t>UED.ktoe.CY.AGR.AGR.LOW_ENTH.THERM.SOLAR_GEO</t>
  </si>
  <si>
    <t>UED.ktoe.CY.AGR.AGR.LOW_ENTH.HP.AMBIENT</t>
  </si>
  <si>
    <t>UED.ktoe.CY.AGR.AGR.LOW_ENTH.THERM.STEAM_DISTR</t>
  </si>
  <si>
    <t>UED.ktoe.CY.AGR.AGR.LOW_ENTH.THERM.ELEC</t>
  </si>
  <si>
    <t>UED.ktoe.CY.AGR.AGR.FARM_DRIVES.MECH.DIESEL_LIQBIO</t>
  </si>
  <si>
    <t>UED.ktoe.CY.AGR.AGR.HEAT_USE.THERM.SOLIDS</t>
  </si>
  <si>
    <t>UED.ktoe.CY.AGR.AGR.HEAT_USE.THERM.LPG</t>
  </si>
  <si>
    <t>UED.ktoe.CY.AGR.AGR.HEAT_USE.THERM.DIESEL_LIQBIO</t>
  </si>
  <si>
    <t>UED.ktoe.CY.AGR.AGR.HEAT_USE.THERM.RFO</t>
  </si>
  <si>
    <t>UED.ktoe.CY.AGR.AGR.HEAT_USE.THERM.NG_BIOGAS</t>
  </si>
  <si>
    <t>UED.ktoe.CY.AGR.AGR.HEAT_USE.THERM.BIOMASS_WASTE</t>
  </si>
  <si>
    <t>UED.ktoe.CY.AGR.AGR.HEAT_USE.THERM.SOLAR_GEO</t>
  </si>
  <si>
    <t>UED.ktoe.CY.AGR.AGR.FARM_PUMP.MECH.DIESEL_LIQBIO</t>
  </si>
  <si>
    <t>UED.ktoe.CY.AGR.AGR.FARM_PUMP_ELEC.MECH.ELEC</t>
  </si>
  <si>
    <t>UED.ktoe.CY.AGR.AGR.GENERIC.MECH.ELEC</t>
  </si>
  <si>
    <t>CY - Agriculture, forestry and fishing / CO2 emissions</t>
  </si>
  <si>
    <t>FUEL_EMI.ktCO2.CY.AGR.AGR.LIGHT.GENERIC.ELEC</t>
  </si>
  <si>
    <t>FUEL_EMI.ktCO2.CY.AGR.AGR.FANS.GENERIC.ELEC</t>
  </si>
  <si>
    <t>FUEL_EMI.ktCO2.CY.AGR.AGR.MOTOR.GENERIC.ELEC</t>
  </si>
  <si>
    <t>FUEL_EMI.ktCO2.CY.AGR.AGR.LOW_ENTH.THERM.DIESEL_LIQBIO</t>
  </si>
  <si>
    <t>FUEL_EMI.ktCO2.CY.AGR.AGR.LOW_ENTH.THERM.NG_BIOGAS</t>
  </si>
  <si>
    <t>FUEL_EMI.ktCO2.CY.AGR.AGR.LOW_ENTH.THERM.SOLAR_GEO</t>
  </si>
  <si>
    <t>FUEL_EMI.ktCO2.CY.AGR.AGR.LOW_ENTH.HP.AMBIENT</t>
  </si>
  <si>
    <t>FUEL_EMI.ktCO2.CY.AGR.AGR.LOW_ENTH.THERM.STEAM_DISTR</t>
  </si>
  <si>
    <t>FUEL_EMI.ktCO2.CY.AGR.AGR.LOW_ENTH.THERM.ELEC</t>
  </si>
  <si>
    <t>FUEL_EMI.ktCO2.CY.AGR.AGR.FARM_DRIVES.MECH.DIESEL_LIQBIO</t>
  </si>
  <si>
    <t>FUEL_EMI.ktCO2.CY.AGR.AGR.HEAT_USE.THERM.SOLIDS</t>
  </si>
  <si>
    <t>FUEL_EMI.ktCO2.CY.AGR.AGR.HEAT_USE.THERM.LPG</t>
  </si>
  <si>
    <t>FUEL_EMI.ktCO2.CY.AGR.AGR.HEAT_USE.THERM.DIESEL_LIQBIO</t>
  </si>
  <si>
    <t>FUEL_EMI.ktCO2.CY.AGR.AGR.HEAT_USE.THERM.RFO</t>
  </si>
  <si>
    <t>FUEL_EMI.ktCO2.CY.AGR.AGR.HEAT_USE.THERM.NG_BIOGAS</t>
  </si>
  <si>
    <t>FUEL_EMI.ktCO2.CY.AGR.AGR.HEAT_USE.THERM.BIOMASS_WASTE</t>
  </si>
  <si>
    <t>FUEL_EMI.ktCO2.CY.AGR.AGR.HEAT_USE.THERM.SOLAR_GEO</t>
  </si>
  <si>
    <t>FUEL_EMI.ktCO2.CY.AGR.AGR.FARM_PUMP.MECH.DIESEL_LIQBIO</t>
  </si>
  <si>
    <t>FUEL_EMI.ktCO2.CY.AGR.AGR.FARM_PUMP_ELEC.MECH.ELEC</t>
  </si>
  <si>
    <t>FUEL_EMI.ktCO2.CY.AGR.AGR.GENERIC.MECH.ELEC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</si>
</sst>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0;\-#,##0.000;&quot;&quot;"/>
    <numFmt numFmtId="168" formatCode="0.0%;\-0.0%;&quot;-&quot;"/>
    <numFmt numFmtId="169" formatCode="#,##0;\-#,##0;&quot;-&quot;"/>
    <numFmt numFmtId="170" formatCode="#,##0.0;\-#,##0.0;&quot;&quot;"/>
    <numFmt numFmtId="171" formatCode="0.000;\-0.000;&quot;-&quot;"/>
    <numFmt numFmtId="172" formatCode="0.0;\-0.0;&quot;-&quot;"/>
    <numFmt numFmtId="173" formatCode="#,##0;\-#,##0;&quot;&quot;"/>
    <numFmt numFmtId="174" formatCode="#,##0.00;\-#,##0.00;&quot;-&quot;"/>
    <numFmt numFmtId="175" formatCode="#,##0.000000000000000000_ ;\-#,##0.000000000000000000\ "/>
    <numFmt numFmtId="176" formatCode="0.00%;\-0.00%;&quot;-&quot;"/>
    <numFmt numFmtId="177" formatCode="mmmm\ yyyy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b/>
      <sz val="8"/>
      <color theme="3" tint="-0.499984740745262"/>
      <name val="Calibri"/>
      <family val="2"/>
      <scheme val="minor"/>
    </font>
    <font>
      <sz val="8"/>
      <color theme="3" tint="-0.499984740745262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sz val="9"/>
      <color rgb="FFBE0000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9"/>
      <color rgb="FF050505"/>
      <name val="Calibri"/>
      <family val="2"/>
      <scheme val="minor"/>
    </font>
    <font>
      <sz val="10"/>
      <color rgb="FFBE0000"/>
      <name val="Calibri"/>
      <family val="2"/>
      <scheme val="minor"/>
    </font>
    <font>
      <sz val="8"/>
      <color rgb="FF006EBE"/>
      <name val="Calibri"/>
      <family val="2"/>
      <scheme val="minor"/>
    </font>
    <font>
      <sz val="8"/>
      <color rgb="FF506428"/>
      <name val="Calibri"/>
      <family val="2"/>
      <scheme val="minor"/>
    </font>
    <font>
      <sz val="8"/>
      <color rgb="FF828282"/>
      <name val="Calibri"/>
      <family val="2"/>
      <scheme val="minor"/>
    </font>
    <font>
      <b/>
      <sz val="14"/>
      <color rgb="FF006EBE"/>
      <name val="Calibri"/>
      <family val="2"/>
      <scheme val="minor"/>
    </font>
    <font>
      <i/>
      <sz val="9"/>
      <color rgb="FF050505"/>
      <name val="Calibri"/>
      <family val="2"/>
      <scheme val="minor"/>
    </font>
    <font>
      <b/>
      <sz val="9"/>
      <color rgb="FF050505"/>
      <name val="Calibri"/>
      <family val="2"/>
      <scheme val="minor"/>
    </font>
    <font>
      <vertAlign val="subscript"/>
      <sz val="9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CD7C3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7D7D7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" fillId="0" borderId="0"/>
  </cellStyleXfs>
  <cellXfs count="312">
    <xf numFmtId="0" fontId="0" fillId="0" borderId="0" xfId="0"/>
    <xf numFmtId="0" fontId="11" fillId="2" borderId="0" xfId="5" applyFont="1" applyFill="1" applyAlignment="1">
      <alignment vertical="center"/>
    </xf>
    <xf numFmtId="0" fontId="11" fillId="2" borderId="0" xfId="5" applyNumberFormat="1" applyFont="1" applyFill="1" applyAlignment="1">
      <alignment vertical="center"/>
    </xf>
    <xf numFmtId="166" fontId="11" fillId="2" borderId="0" xfId="5" applyNumberFormat="1" applyFont="1" applyFill="1" applyAlignment="1">
      <alignment vertical="center"/>
    </xf>
    <xf numFmtId="0" fontId="12" fillId="2" borderId="0" xfId="5" applyFont="1" applyFill="1" applyBorder="1" applyAlignment="1">
      <alignment horizontal="left" vertical="center"/>
    </xf>
    <xf numFmtId="0" fontId="12" fillId="2" borderId="0" xfId="5" applyFont="1" applyFill="1" applyAlignment="1">
      <alignment horizontal="left" vertical="center"/>
    </xf>
    <xf numFmtId="3" fontId="11" fillId="2" borderId="0" xfId="5" applyNumberFormat="1" applyFont="1" applyFill="1" applyAlignment="1">
      <alignment vertical="center"/>
    </xf>
    <xf numFmtId="0" fontId="11" fillId="2" borderId="0" xfId="5" applyNumberFormat="1" applyFont="1" applyFill="1" applyAlignment="1">
      <alignment vertical="center" shrinkToFit="1"/>
    </xf>
    <xf numFmtId="0" fontId="11" fillId="2" borderId="2" xfId="5" applyNumberFormat="1" applyFont="1" applyFill="1" applyBorder="1" applyAlignment="1">
      <alignment vertical="center" shrinkToFit="1"/>
    </xf>
    <xf numFmtId="0" fontId="11" fillId="2" borderId="5" xfId="5" applyNumberFormat="1" applyFont="1" applyFill="1" applyBorder="1" applyAlignment="1">
      <alignment vertical="center" shrinkToFit="1"/>
    </xf>
    <xf numFmtId="0" fontId="11" fillId="2" borderId="0" xfId="5" applyNumberFormat="1" applyFont="1" applyFill="1" applyBorder="1" applyAlignment="1">
      <alignment vertical="center" shrinkToFit="1"/>
    </xf>
    <xf numFmtId="0" fontId="11" fillId="2" borderId="1" xfId="5" applyNumberFormat="1" applyFont="1" applyFill="1" applyBorder="1" applyAlignment="1">
      <alignment vertical="center" shrinkToFit="1"/>
    </xf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6" fillId="2" borderId="1" xfId="0" applyFont="1" applyFill="1" applyBorder="1"/>
    <xf numFmtId="0" fontId="5" fillId="2" borderId="0" xfId="0" applyFont="1" applyFill="1"/>
    <xf numFmtId="0" fontId="4" fillId="2" borderId="0" xfId="3" applyFont="1" applyFill="1"/>
    <xf numFmtId="0" fontId="3" fillId="2" borderId="0" xfId="3" applyFill="1"/>
    <xf numFmtId="0" fontId="4" fillId="2" borderId="0" xfId="3" applyFont="1" applyFill="1" applyAlignment="1">
      <alignment horizontal="left"/>
    </xf>
    <xf numFmtId="0" fontId="4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left" indent="1"/>
    </xf>
    <xf numFmtId="0" fontId="15" fillId="2" borderId="0" xfId="3" applyFont="1" applyFill="1"/>
    <xf numFmtId="0" fontId="15" fillId="2" borderId="0" xfId="3" applyFont="1" applyFill="1" applyAlignment="1">
      <alignment horizontal="left" indent="1"/>
    </xf>
    <xf numFmtId="0" fontId="15" fillId="2" borderId="0" xfId="3" applyFont="1" applyFill="1" applyAlignment="1">
      <alignment horizontal="left" indent="2"/>
    </xf>
    <xf numFmtId="1" fontId="17" fillId="3" borderId="2" xfId="5" applyNumberFormat="1" applyFont="1" applyFill="1" applyBorder="1" applyAlignment="1">
      <alignment horizontal="center" vertical="center"/>
    </xf>
    <xf numFmtId="0" fontId="16" fillId="3" borderId="2" xfId="5" applyFont="1" applyFill="1" applyBorder="1" applyAlignment="1">
      <alignment horizontal="left" vertical="center" wrapText="1"/>
    </xf>
    <xf numFmtId="172" fontId="11" fillId="2" borderId="0" xfId="5" applyNumberFormat="1" applyFont="1" applyFill="1" applyBorder="1" applyAlignment="1">
      <alignment vertical="center"/>
    </xf>
    <xf numFmtId="0" fontId="13" fillId="2" borderId="2" xfId="5" applyNumberFormat="1" applyFont="1" applyFill="1" applyBorder="1" applyAlignment="1">
      <alignment horizontal="left" vertical="center"/>
    </xf>
    <xf numFmtId="0" fontId="12" fillId="2" borderId="2" xfId="5" applyNumberFormat="1" applyFont="1" applyFill="1" applyBorder="1" applyAlignment="1">
      <alignment vertical="center"/>
    </xf>
    <xf numFmtId="0" fontId="12" fillId="2" borderId="2" xfId="5" applyNumberFormat="1" applyFont="1" applyFill="1" applyBorder="1" applyAlignment="1">
      <alignment vertical="center" shrinkToFit="1"/>
    </xf>
    <xf numFmtId="0" fontId="17" fillId="2" borderId="5" xfId="5" applyFont="1" applyFill="1" applyBorder="1" applyAlignment="1">
      <alignment horizontal="left" vertical="center"/>
    </xf>
    <xf numFmtId="169" fontId="18" fillId="2" borderId="5" xfId="5" applyNumberFormat="1" applyFont="1" applyFill="1" applyBorder="1" applyAlignment="1">
      <alignment vertical="center"/>
    </xf>
    <xf numFmtId="0" fontId="17" fillId="2" borderId="0" xfId="5" applyFont="1" applyFill="1" applyBorder="1" applyAlignment="1">
      <alignment horizontal="left" vertical="center"/>
    </xf>
    <xf numFmtId="169" fontId="18" fillId="2" borderId="0" xfId="5" applyNumberFormat="1" applyFont="1" applyFill="1" applyBorder="1" applyAlignment="1">
      <alignment vertical="center"/>
    </xf>
    <xf numFmtId="0" fontId="17" fillId="2" borderId="1" xfId="5" applyFont="1" applyFill="1" applyBorder="1" applyAlignment="1">
      <alignment horizontal="left" vertical="center"/>
    </xf>
    <xf numFmtId="169" fontId="18" fillId="2" borderId="1" xfId="5" applyNumberFormat="1" applyFont="1" applyFill="1" applyBorder="1" applyAlignment="1">
      <alignment vertical="center"/>
    </xf>
    <xf numFmtId="0" fontId="17" fillId="2" borderId="3" xfId="5" applyFont="1" applyFill="1" applyBorder="1" applyAlignment="1">
      <alignment horizontal="left" vertical="center"/>
    </xf>
    <xf numFmtId="169" fontId="18" fillId="2" borderId="3" xfId="5" applyNumberFormat="1" applyFont="1" applyFill="1" applyBorder="1" applyAlignment="1">
      <alignment vertical="center"/>
    </xf>
    <xf numFmtId="173" fontId="18" fillId="2" borderId="0" xfId="5" applyNumberFormat="1" applyFont="1" applyFill="1" applyBorder="1" applyAlignment="1">
      <alignment vertical="center"/>
    </xf>
    <xf numFmtId="173" fontId="18" fillId="2" borderId="1" xfId="5" applyNumberFormat="1" applyFont="1" applyFill="1" applyBorder="1" applyAlignment="1">
      <alignment vertical="center"/>
    </xf>
    <xf numFmtId="172" fontId="18" fillId="2" borderId="5" xfId="5" applyNumberFormat="1" applyFont="1" applyFill="1" applyBorder="1" applyAlignment="1">
      <alignment vertical="center"/>
    </xf>
    <xf numFmtId="172" fontId="18" fillId="2" borderId="0" xfId="5" applyNumberFormat="1" applyFont="1" applyFill="1" applyBorder="1" applyAlignment="1">
      <alignment vertical="center"/>
    </xf>
    <xf numFmtId="0" fontId="19" fillId="2" borderId="1" xfId="5" applyFont="1" applyFill="1" applyBorder="1" applyAlignment="1">
      <alignment horizontal="left" vertical="center"/>
    </xf>
    <xf numFmtId="171" fontId="18" fillId="2" borderId="1" xfId="5" applyNumberFormat="1" applyFont="1" applyFill="1" applyBorder="1" applyAlignment="1">
      <alignment vertical="center"/>
    </xf>
    <xf numFmtId="0" fontId="16" fillId="4" borderId="2" xfId="5" applyNumberFormat="1" applyFont="1" applyFill="1" applyBorder="1" applyAlignment="1">
      <alignment horizontal="left" vertical="center"/>
    </xf>
    <xf numFmtId="0" fontId="20" fillId="4" borderId="2" xfId="5" applyNumberFormat="1" applyFont="1" applyFill="1" applyBorder="1" applyAlignment="1">
      <alignment vertical="center"/>
    </xf>
    <xf numFmtId="0" fontId="17" fillId="2" borderId="5" xfId="5" applyFont="1" applyFill="1" applyBorder="1" applyAlignment="1">
      <alignment horizontal="left" vertical="center" indent="1"/>
    </xf>
    <xf numFmtId="0" fontId="17" fillId="2" borderId="0" xfId="5" applyFont="1" applyFill="1" applyBorder="1" applyAlignment="1">
      <alignment horizontal="left" vertical="center" indent="1"/>
    </xf>
    <xf numFmtId="0" fontId="17" fillId="2" borderId="1" xfId="5" applyFont="1" applyFill="1" applyBorder="1" applyAlignment="1">
      <alignment horizontal="left" vertical="center" indent="1"/>
    </xf>
    <xf numFmtId="165" fontId="18" fillId="2" borderId="1" xfId="5" applyNumberFormat="1" applyFont="1" applyFill="1" applyBorder="1" applyAlignment="1">
      <alignment vertical="center"/>
    </xf>
    <xf numFmtId="165" fontId="18" fillId="2" borderId="5" xfId="5" applyNumberFormat="1" applyFont="1" applyFill="1" applyBorder="1" applyAlignment="1">
      <alignment vertical="center"/>
    </xf>
    <xf numFmtId="165" fontId="18" fillId="2" borderId="0" xfId="5" applyNumberFormat="1" applyFont="1" applyFill="1" applyBorder="1" applyAlignment="1">
      <alignment vertical="center"/>
    </xf>
    <xf numFmtId="166" fontId="18" fillId="2" borderId="0" xfId="5" applyNumberFormat="1" applyFont="1" applyFill="1" applyBorder="1" applyAlignment="1">
      <alignment vertical="center"/>
    </xf>
    <xf numFmtId="167" fontId="18" fillId="2" borderId="1" xfId="5" applyNumberFormat="1" applyFont="1" applyFill="1" applyBorder="1" applyAlignment="1">
      <alignment vertical="center"/>
    </xf>
    <xf numFmtId="170" fontId="18" fillId="2" borderId="1" xfId="5" applyNumberFormat="1" applyFont="1" applyFill="1" applyBorder="1" applyAlignment="1">
      <alignment vertical="center"/>
    </xf>
    <xf numFmtId="0" fontId="18" fillId="2" borderId="5" xfId="5" applyFont="1" applyFill="1" applyBorder="1" applyAlignment="1">
      <alignment horizontal="left" vertical="center" indent="2"/>
    </xf>
    <xf numFmtId="166" fontId="18" fillId="2" borderId="5" xfId="5" applyNumberFormat="1" applyFont="1" applyFill="1" applyBorder="1" applyAlignment="1">
      <alignment vertical="center"/>
    </xf>
    <xf numFmtId="0" fontId="18" fillId="2" borderId="0" xfId="5" applyFont="1" applyFill="1" applyBorder="1" applyAlignment="1">
      <alignment horizontal="left" vertical="center" indent="2"/>
    </xf>
    <xf numFmtId="0" fontId="18" fillId="2" borderId="0" xfId="5" applyFont="1" applyFill="1" applyBorder="1" applyAlignment="1">
      <alignment horizontal="left" vertical="center" indent="3"/>
    </xf>
    <xf numFmtId="0" fontId="18" fillId="2" borderId="1" xfId="5" applyFont="1" applyFill="1" applyBorder="1" applyAlignment="1">
      <alignment horizontal="left" vertical="center" indent="2"/>
    </xf>
    <xf numFmtId="166" fontId="18" fillId="2" borderId="1" xfId="5" applyNumberFormat="1" applyFont="1" applyFill="1" applyBorder="1" applyAlignment="1">
      <alignment vertical="center"/>
    </xf>
    <xf numFmtId="166" fontId="18" fillId="2" borderId="4" xfId="1" applyNumberFormat="1" applyFont="1" applyFill="1" applyBorder="1" applyAlignment="1">
      <alignment vertical="center"/>
    </xf>
    <xf numFmtId="166" fontId="18" fillId="2" borderId="0" xfId="1" applyNumberFormat="1" applyFont="1" applyFill="1" applyBorder="1" applyAlignment="1">
      <alignment vertical="center"/>
    </xf>
    <xf numFmtId="0" fontId="18" fillId="2" borderId="3" xfId="5" applyFont="1" applyFill="1" applyBorder="1" applyAlignment="1">
      <alignment horizontal="left" vertical="center" indent="3"/>
    </xf>
    <xf numFmtId="166" fontId="18" fillId="2" borderId="3" xfId="1" applyNumberFormat="1" applyFont="1" applyFill="1" applyBorder="1" applyAlignment="1">
      <alignment vertical="center"/>
    </xf>
    <xf numFmtId="166" fontId="18" fillId="2" borderId="1" xfId="1" applyNumberFormat="1" applyFont="1" applyFill="1" applyBorder="1" applyAlignment="1">
      <alignment vertical="center"/>
    </xf>
    <xf numFmtId="0" fontId="19" fillId="2" borderId="2" xfId="5" applyFont="1" applyFill="1" applyBorder="1" applyAlignment="1">
      <alignment horizontal="left" vertical="center" indent="2"/>
    </xf>
    <xf numFmtId="168" fontId="18" fillId="2" borderId="2" xfId="5" applyNumberFormat="1" applyFont="1" applyFill="1" applyBorder="1" applyAlignment="1">
      <alignment vertical="center"/>
    </xf>
    <xf numFmtId="168" fontId="18" fillId="2" borderId="5" xfId="5" applyNumberFormat="1" applyFont="1" applyFill="1" applyBorder="1" applyAlignment="1">
      <alignment vertical="center"/>
    </xf>
    <xf numFmtId="168" fontId="18" fillId="2" borderId="0" xfId="5" applyNumberFormat="1" applyFont="1" applyFill="1" applyBorder="1" applyAlignment="1">
      <alignment vertical="center"/>
    </xf>
    <xf numFmtId="168" fontId="18" fillId="2" borderId="1" xfId="5" applyNumberFormat="1" applyFont="1" applyFill="1" applyBorder="1" applyAlignment="1">
      <alignment vertical="center"/>
    </xf>
    <xf numFmtId="0" fontId="18" fillId="2" borderId="1" xfId="5" applyFont="1" applyFill="1" applyBorder="1" applyAlignment="1">
      <alignment horizontal="left" vertical="center" indent="3"/>
    </xf>
    <xf numFmtId="167" fontId="18" fillId="2" borderId="5" xfId="5" applyNumberFormat="1" applyFont="1" applyFill="1" applyBorder="1" applyAlignment="1">
      <alignment vertical="center"/>
    </xf>
    <xf numFmtId="167" fontId="18" fillId="2" borderId="0" xfId="5" applyNumberFormat="1" applyFont="1" applyFill="1" applyBorder="1" applyAlignment="1">
      <alignment vertical="center"/>
    </xf>
    <xf numFmtId="0" fontId="19" fillId="2" borderId="4" xfId="5" applyFont="1" applyFill="1" applyBorder="1" applyAlignment="1">
      <alignment horizontal="left" vertical="center" indent="2"/>
    </xf>
    <xf numFmtId="0" fontId="19" fillId="2" borderId="1" xfId="5" applyFont="1" applyFill="1" applyBorder="1" applyAlignment="1">
      <alignment horizontal="left" vertical="center" indent="2"/>
    </xf>
    <xf numFmtId="0" fontId="21" fillId="5" borderId="2" xfId="5" applyFont="1" applyFill="1" applyBorder="1" applyAlignment="1">
      <alignment horizontal="left" vertical="center" indent="1"/>
    </xf>
    <xf numFmtId="166" fontId="22" fillId="5" borderId="2" xfId="5" applyNumberFormat="1" applyFont="1" applyFill="1" applyBorder="1" applyAlignment="1">
      <alignment vertical="center"/>
    </xf>
    <xf numFmtId="0" fontId="21" fillId="5" borderId="5" xfId="5" applyFont="1" applyFill="1" applyBorder="1" applyAlignment="1">
      <alignment horizontal="left" vertical="center" indent="1"/>
    </xf>
    <xf numFmtId="166" fontId="22" fillId="5" borderId="5" xfId="5" applyNumberFormat="1" applyFont="1" applyFill="1" applyBorder="1" applyAlignment="1">
      <alignment vertical="center"/>
    </xf>
    <xf numFmtId="168" fontId="23" fillId="5" borderId="2" xfId="2" applyNumberFormat="1" applyFont="1" applyFill="1" applyBorder="1" applyAlignment="1">
      <alignment vertical="center"/>
    </xf>
    <xf numFmtId="0" fontId="21" fillId="5" borderId="4" xfId="5" applyFont="1" applyFill="1" applyBorder="1" applyAlignment="1">
      <alignment horizontal="left" vertical="center" indent="1"/>
    </xf>
    <xf numFmtId="166" fontId="22" fillId="5" borderId="4" xfId="5" applyNumberFormat="1" applyFont="1" applyFill="1" applyBorder="1" applyAlignment="1">
      <alignment vertical="center"/>
    </xf>
    <xf numFmtId="167" fontId="23" fillId="5" borderId="2" xfId="1" applyNumberFormat="1" applyFont="1" applyFill="1" applyBorder="1" applyAlignment="1">
      <alignment vertical="center"/>
    </xf>
    <xf numFmtId="1" fontId="17" fillId="3" borderId="2" xfId="5" applyNumberFormat="1" applyFont="1" applyFill="1" applyBorder="1" applyAlignment="1">
      <alignment horizontal="center" vertical="center" shrinkToFit="1"/>
    </xf>
    <xf numFmtId="169" fontId="18" fillId="2" borderId="5" xfId="5" applyNumberFormat="1" applyFont="1" applyFill="1" applyBorder="1" applyAlignment="1">
      <alignment vertical="center" shrinkToFit="1"/>
    </xf>
    <xf numFmtId="169" fontId="18" fillId="2" borderId="0" xfId="5" applyNumberFormat="1" applyFont="1" applyFill="1" applyBorder="1" applyAlignment="1">
      <alignment vertical="center" shrinkToFit="1"/>
    </xf>
    <xf numFmtId="169" fontId="18" fillId="2" borderId="1" xfId="5" applyNumberFormat="1" applyFont="1" applyFill="1" applyBorder="1" applyAlignment="1">
      <alignment vertical="center" shrinkToFit="1"/>
    </xf>
    <xf numFmtId="169" fontId="18" fillId="2" borderId="3" xfId="5" applyNumberFormat="1" applyFont="1" applyFill="1" applyBorder="1" applyAlignment="1">
      <alignment vertical="center" shrinkToFit="1"/>
    </xf>
    <xf numFmtId="173" fontId="18" fillId="2" borderId="0" xfId="5" applyNumberFormat="1" applyFont="1" applyFill="1" applyBorder="1" applyAlignment="1">
      <alignment vertical="center" shrinkToFit="1"/>
    </xf>
    <xf numFmtId="173" fontId="18" fillId="2" borderId="1" xfId="5" applyNumberFormat="1" applyFont="1" applyFill="1" applyBorder="1" applyAlignment="1">
      <alignment vertical="center" shrinkToFit="1"/>
    </xf>
    <xf numFmtId="172" fontId="18" fillId="2" borderId="5" xfId="5" applyNumberFormat="1" applyFont="1" applyFill="1" applyBorder="1" applyAlignment="1">
      <alignment vertical="center" shrinkToFit="1"/>
    </xf>
    <xf numFmtId="172" fontId="18" fillId="2" borderId="0" xfId="5" applyNumberFormat="1" applyFont="1" applyFill="1" applyBorder="1" applyAlignment="1">
      <alignment vertical="center" shrinkToFit="1"/>
    </xf>
    <xf numFmtId="171" fontId="18" fillId="2" borderId="1" xfId="5" applyNumberFormat="1" applyFont="1" applyFill="1" applyBorder="1" applyAlignment="1">
      <alignment vertical="center" shrinkToFit="1"/>
    </xf>
    <xf numFmtId="0" fontId="20" fillId="4" borderId="2" xfId="5" applyNumberFormat="1" applyFont="1" applyFill="1" applyBorder="1" applyAlignment="1">
      <alignment vertical="center" shrinkToFit="1"/>
    </xf>
    <xf numFmtId="165" fontId="18" fillId="2" borderId="1" xfId="5" applyNumberFormat="1" applyFont="1" applyFill="1" applyBorder="1" applyAlignment="1">
      <alignment vertical="center" shrinkToFit="1"/>
    </xf>
    <xf numFmtId="165" fontId="18" fillId="2" borderId="5" xfId="5" applyNumberFormat="1" applyFont="1" applyFill="1" applyBorder="1" applyAlignment="1">
      <alignment vertical="center" shrinkToFit="1"/>
    </xf>
    <xf numFmtId="165" fontId="18" fillId="2" borderId="0" xfId="5" applyNumberFormat="1" applyFont="1" applyFill="1" applyBorder="1" applyAlignment="1">
      <alignment vertical="center" shrinkToFit="1"/>
    </xf>
    <xf numFmtId="166" fontId="18" fillId="2" borderId="0" xfId="5" applyNumberFormat="1" applyFont="1" applyFill="1" applyBorder="1" applyAlignment="1">
      <alignment vertical="center" shrinkToFit="1"/>
    </xf>
    <xf numFmtId="170" fontId="18" fillId="2" borderId="1" xfId="5" applyNumberFormat="1" applyFont="1" applyFill="1" applyBorder="1" applyAlignment="1">
      <alignment vertical="center" shrinkToFit="1"/>
    </xf>
    <xf numFmtId="166" fontId="22" fillId="5" borderId="2" xfId="5" applyNumberFormat="1" applyFont="1" applyFill="1" applyBorder="1" applyAlignment="1">
      <alignment vertical="center" shrinkToFit="1"/>
    </xf>
    <xf numFmtId="166" fontId="18" fillId="2" borderId="5" xfId="5" applyNumberFormat="1" applyFont="1" applyFill="1" applyBorder="1" applyAlignment="1">
      <alignment vertical="center" shrinkToFit="1"/>
    </xf>
    <xf numFmtId="166" fontId="18" fillId="2" borderId="1" xfId="5" applyNumberFormat="1" applyFont="1" applyFill="1" applyBorder="1" applyAlignment="1">
      <alignment vertical="center" shrinkToFit="1"/>
    </xf>
    <xf numFmtId="166" fontId="11" fillId="2" borderId="0" xfId="5" applyNumberFormat="1" applyFont="1" applyFill="1" applyAlignment="1">
      <alignment vertical="center" shrinkToFit="1"/>
    </xf>
    <xf numFmtId="166" fontId="22" fillId="5" borderId="5" xfId="5" applyNumberFormat="1" applyFont="1" applyFill="1" applyBorder="1" applyAlignment="1">
      <alignment vertical="center" shrinkToFit="1"/>
    </xf>
    <xf numFmtId="166" fontId="18" fillId="2" borderId="4" xfId="1" applyNumberFormat="1" applyFont="1" applyFill="1" applyBorder="1" applyAlignment="1">
      <alignment vertical="center" shrinkToFit="1"/>
    </xf>
    <xf numFmtId="166" fontId="18" fillId="2" borderId="0" xfId="1" applyNumberFormat="1" applyFont="1" applyFill="1" applyBorder="1" applyAlignment="1">
      <alignment vertical="center" shrinkToFit="1"/>
    </xf>
    <xf numFmtId="166" fontId="18" fillId="2" borderId="3" xfId="1" applyNumberFormat="1" applyFont="1" applyFill="1" applyBorder="1" applyAlignment="1">
      <alignment vertical="center" shrinkToFit="1"/>
    </xf>
    <xf numFmtId="166" fontId="18" fillId="2" borderId="1" xfId="1" applyNumberFormat="1" applyFont="1" applyFill="1" applyBorder="1" applyAlignment="1">
      <alignment vertical="center" shrinkToFit="1"/>
    </xf>
    <xf numFmtId="168" fontId="23" fillId="5" borderId="2" xfId="2" applyNumberFormat="1" applyFont="1" applyFill="1" applyBorder="1" applyAlignment="1">
      <alignment vertical="center" shrinkToFit="1"/>
    </xf>
    <xf numFmtId="168" fontId="18" fillId="2" borderId="2" xfId="5" applyNumberFormat="1" applyFont="1" applyFill="1" applyBorder="1" applyAlignment="1">
      <alignment vertical="center" shrinkToFit="1"/>
    </xf>
    <xf numFmtId="168" fontId="18" fillId="2" borderId="5" xfId="5" applyNumberFormat="1" applyFont="1" applyFill="1" applyBorder="1" applyAlignment="1">
      <alignment vertical="center" shrinkToFit="1"/>
    </xf>
    <xf numFmtId="168" fontId="18" fillId="2" borderId="0" xfId="5" applyNumberFormat="1" applyFont="1" applyFill="1" applyBorder="1" applyAlignment="1">
      <alignment vertical="center" shrinkToFit="1"/>
    </xf>
    <xf numFmtId="168" fontId="18" fillId="2" borderId="1" xfId="5" applyNumberFormat="1" applyFont="1" applyFill="1" applyBorder="1" applyAlignment="1">
      <alignment vertical="center" shrinkToFit="1"/>
    </xf>
    <xf numFmtId="166" fontId="22" fillId="5" borderId="4" xfId="5" applyNumberFormat="1" applyFont="1" applyFill="1" applyBorder="1" applyAlignment="1">
      <alignment vertical="center" shrinkToFit="1"/>
    </xf>
    <xf numFmtId="0" fontId="11" fillId="2" borderId="0" xfId="5" applyFont="1" applyFill="1" applyAlignment="1">
      <alignment vertical="center" shrinkToFit="1"/>
    </xf>
    <xf numFmtId="167" fontId="23" fillId="5" borderId="2" xfId="1" applyNumberFormat="1" applyFont="1" applyFill="1" applyBorder="1" applyAlignment="1">
      <alignment vertical="center" shrinkToFit="1"/>
    </xf>
    <xf numFmtId="167" fontId="18" fillId="2" borderId="5" xfId="5" applyNumberFormat="1" applyFont="1" applyFill="1" applyBorder="1" applyAlignment="1">
      <alignment vertical="center" shrinkToFit="1"/>
    </xf>
    <xf numFmtId="167" fontId="18" fillId="2" borderId="0" xfId="5" applyNumberFormat="1" applyFont="1" applyFill="1" applyBorder="1" applyAlignment="1">
      <alignment vertical="center" shrinkToFit="1"/>
    </xf>
    <xf numFmtId="167" fontId="18" fillId="2" borderId="1" xfId="5" applyNumberFormat="1" applyFont="1" applyFill="1" applyBorder="1" applyAlignment="1">
      <alignment vertical="center" shrinkToFit="1"/>
    </xf>
    <xf numFmtId="0" fontId="10" fillId="2" borderId="2" xfId="5" applyNumberFormat="1" applyFont="1" applyFill="1" applyBorder="1" applyAlignment="1">
      <alignment horizontal="center" vertical="center" shrinkToFit="1"/>
    </xf>
    <xf numFmtId="0" fontId="25" fillId="6" borderId="2" xfId="5" applyFont="1" applyFill="1" applyBorder="1" applyAlignment="1">
      <alignment horizontal="left" vertical="center"/>
    </xf>
    <xf numFmtId="169" fontId="23" fillId="6" borderId="2" xfId="1" applyNumberFormat="1" applyFont="1" applyFill="1" applyBorder="1" applyAlignment="1">
      <alignment vertical="center"/>
    </xf>
    <xf numFmtId="166" fontId="23" fillId="6" borderId="2" xfId="1" applyNumberFormat="1" applyFont="1" applyFill="1" applyBorder="1" applyAlignment="1">
      <alignment vertical="center"/>
    </xf>
    <xf numFmtId="165" fontId="23" fillId="6" borderId="2" xfId="1" applyNumberFormat="1" applyFont="1" applyFill="1" applyBorder="1" applyAlignment="1">
      <alignment vertical="center"/>
    </xf>
    <xf numFmtId="0" fontId="26" fillId="2" borderId="0" xfId="5" applyFont="1" applyFill="1" applyBorder="1" applyAlignment="1">
      <alignment horizontal="left" vertical="center" indent="2"/>
    </xf>
    <xf numFmtId="0" fontId="26" fillId="2" borderId="7" xfId="5" applyFont="1" applyFill="1" applyBorder="1" applyAlignment="1">
      <alignment horizontal="left" vertical="center" indent="2"/>
    </xf>
    <xf numFmtId="0" fontId="17" fillId="5" borderId="2" xfId="5" applyFont="1" applyFill="1" applyBorder="1" applyAlignment="1">
      <alignment horizontal="left" vertical="center" indent="1"/>
    </xf>
    <xf numFmtId="166" fontId="18" fillId="5" borderId="2" xfId="1" applyNumberFormat="1" applyFont="1" applyFill="1" applyBorder="1" applyAlignment="1">
      <alignment vertical="center"/>
    </xf>
    <xf numFmtId="0" fontId="18" fillId="2" borderId="0" xfId="5" applyFont="1" applyFill="1" applyAlignment="1">
      <alignment horizontal="left" vertical="center" indent="2"/>
    </xf>
    <xf numFmtId="166" fontId="18" fillId="2" borderId="0" xfId="1" applyNumberFormat="1" applyFont="1" applyFill="1" applyAlignment="1">
      <alignment vertical="center"/>
    </xf>
    <xf numFmtId="0" fontId="18" fillId="2" borderId="7" xfId="5" applyFont="1" applyFill="1" applyBorder="1" applyAlignment="1">
      <alignment horizontal="left" vertical="center" indent="2"/>
    </xf>
    <xf numFmtId="166" fontId="18" fillId="2" borderId="7" xfId="1" applyNumberFormat="1" applyFont="1" applyFill="1" applyBorder="1" applyAlignment="1">
      <alignment vertical="center"/>
    </xf>
    <xf numFmtId="165" fontId="18" fillId="5" borderId="2" xfId="1" applyNumberFormat="1" applyFont="1" applyFill="1" applyBorder="1" applyAlignment="1">
      <alignment vertical="center"/>
    </xf>
    <xf numFmtId="165" fontId="18" fillId="2" borderId="0" xfId="1" applyNumberFormat="1" applyFont="1" applyFill="1" applyAlignment="1">
      <alignment vertical="center"/>
    </xf>
    <xf numFmtId="165" fontId="18" fillId="2" borderId="0" xfId="1" applyNumberFormat="1" applyFont="1" applyFill="1" applyBorder="1" applyAlignment="1">
      <alignment vertical="center"/>
    </xf>
    <xf numFmtId="165" fontId="18" fillId="2" borderId="7" xfId="1" applyNumberFormat="1" applyFont="1" applyFill="1" applyBorder="1" applyAlignment="1">
      <alignment vertical="center"/>
    </xf>
    <xf numFmtId="169" fontId="18" fillId="5" borderId="2" xfId="1" applyNumberFormat="1" applyFont="1" applyFill="1" applyBorder="1" applyAlignment="1">
      <alignment vertical="center"/>
    </xf>
    <xf numFmtId="169" fontId="18" fillId="2" borderId="0" xfId="1" applyNumberFormat="1" applyFont="1" applyFill="1" applyAlignment="1">
      <alignment vertical="center"/>
    </xf>
    <xf numFmtId="169" fontId="18" fillId="2" borderId="0" xfId="1" applyNumberFormat="1" applyFont="1" applyFill="1" applyBorder="1" applyAlignment="1">
      <alignment vertical="center"/>
    </xf>
    <xf numFmtId="0" fontId="19" fillId="2" borderId="7" xfId="5" applyFont="1" applyFill="1" applyBorder="1" applyAlignment="1">
      <alignment horizontal="left" vertical="center" indent="2"/>
    </xf>
    <xf numFmtId="169" fontId="19" fillId="2" borderId="7" xfId="1" applyNumberFormat="1" applyFont="1" applyFill="1" applyBorder="1" applyAlignment="1">
      <alignment vertical="center"/>
    </xf>
    <xf numFmtId="0" fontId="19" fillId="2" borderId="6" xfId="5" applyFont="1" applyFill="1" applyBorder="1" applyAlignment="1">
      <alignment horizontal="left" vertical="center" indent="2"/>
    </xf>
    <xf numFmtId="166" fontId="19" fillId="2" borderId="6" xfId="1" applyNumberFormat="1" applyFont="1" applyFill="1" applyBorder="1" applyAlignment="1">
      <alignment vertical="center"/>
    </xf>
    <xf numFmtId="166" fontId="19" fillId="2" borderId="1" xfId="1" applyNumberFormat="1" applyFont="1" applyFill="1" applyBorder="1" applyAlignment="1">
      <alignment vertical="center"/>
    </xf>
    <xf numFmtId="166" fontId="18" fillId="2" borderId="6" xfId="1" applyNumberFormat="1" applyFont="1" applyFill="1" applyBorder="1" applyAlignment="1">
      <alignment vertical="center"/>
    </xf>
    <xf numFmtId="165" fontId="18" fillId="2" borderId="6" xfId="1" applyNumberFormat="1" applyFont="1" applyFill="1" applyBorder="1" applyAlignment="1">
      <alignment vertical="center"/>
    </xf>
    <xf numFmtId="165" fontId="18" fillId="2" borderId="1" xfId="1" applyNumberFormat="1" applyFont="1" applyFill="1" applyBorder="1" applyAlignment="1">
      <alignment vertical="center"/>
    </xf>
    <xf numFmtId="169" fontId="19" fillId="2" borderId="6" xfId="1" applyNumberFormat="1" applyFont="1" applyFill="1" applyBorder="1" applyAlignment="1">
      <alignment vertical="center"/>
    </xf>
    <xf numFmtId="169" fontId="19" fillId="2" borderId="1" xfId="1" applyNumberFormat="1" applyFont="1" applyFill="1" applyBorder="1" applyAlignment="1">
      <alignment vertical="center"/>
    </xf>
    <xf numFmtId="169" fontId="18" fillId="2" borderId="1" xfId="1" applyNumberFormat="1" applyFont="1" applyFill="1" applyBorder="1" applyAlignment="1">
      <alignment vertical="center"/>
    </xf>
    <xf numFmtId="165" fontId="19" fillId="2" borderId="6" xfId="1" applyNumberFormat="1" applyFont="1" applyFill="1" applyBorder="1" applyAlignment="1">
      <alignment vertical="center"/>
    </xf>
    <xf numFmtId="166" fontId="23" fillId="6" borderId="2" xfId="1" applyNumberFormat="1" applyFont="1" applyFill="1" applyBorder="1" applyAlignment="1">
      <alignment vertical="center" shrinkToFit="1"/>
    </xf>
    <xf numFmtId="166" fontId="18" fillId="5" borderId="2" xfId="1" applyNumberFormat="1" applyFont="1" applyFill="1" applyBorder="1" applyAlignment="1">
      <alignment vertical="center" shrinkToFit="1"/>
    </xf>
    <xf numFmtId="166" fontId="18" fillId="2" borderId="0" xfId="1" applyNumberFormat="1" applyFont="1" applyFill="1" applyAlignment="1">
      <alignment vertical="center" shrinkToFit="1"/>
    </xf>
    <xf numFmtId="166" fontId="18" fillId="2" borderId="7" xfId="1" applyNumberFormat="1" applyFont="1" applyFill="1" applyBorder="1" applyAlignment="1">
      <alignment vertical="center" shrinkToFit="1"/>
    </xf>
    <xf numFmtId="166" fontId="19" fillId="2" borderId="6" xfId="1" applyNumberFormat="1" applyFont="1" applyFill="1" applyBorder="1" applyAlignment="1">
      <alignment vertical="center" shrinkToFit="1"/>
    </xf>
    <xf numFmtId="166" fontId="19" fillId="2" borderId="1" xfId="1" applyNumberFormat="1" applyFont="1" applyFill="1" applyBorder="1" applyAlignment="1">
      <alignment vertical="center" shrinkToFit="1"/>
    </xf>
    <xf numFmtId="166" fontId="18" fillId="2" borderId="6" xfId="1" applyNumberFormat="1" applyFont="1" applyFill="1" applyBorder="1" applyAlignment="1">
      <alignment vertical="center" shrinkToFit="1"/>
    </xf>
    <xf numFmtId="165" fontId="23" fillId="6" borderId="2" xfId="1" applyNumberFormat="1" applyFont="1" applyFill="1" applyBorder="1" applyAlignment="1">
      <alignment vertical="center" shrinkToFit="1"/>
    </xf>
    <xf numFmtId="165" fontId="18" fillId="5" borderId="2" xfId="1" applyNumberFormat="1" applyFont="1" applyFill="1" applyBorder="1" applyAlignment="1">
      <alignment vertical="center" shrinkToFit="1"/>
    </xf>
    <xf numFmtId="165" fontId="18" fillId="2" borderId="0" xfId="1" applyNumberFormat="1" applyFont="1" applyFill="1" applyAlignment="1">
      <alignment vertical="center" shrinkToFit="1"/>
    </xf>
    <xf numFmtId="165" fontId="18" fillId="2" borderId="0" xfId="1" applyNumberFormat="1" applyFont="1" applyFill="1" applyBorder="1" applyAlignment="1">
      <alignment vertical="center" shrinkToFit="1"/>
    </xf>
    <xf numFmtId="165" fontId="18" fillId="2" borderId="7" xfId="1" applyNumberFormat="1" applyFont="1" applyFill="1" applyBorder="1" applyAlignment="1">
      <alignment vertical="center" shrinkToFit="1"/>
    </xf>
    <xf numFmtId="165" fontId="18" fillId="2" borderId="6" xfId="1" applyNumberFormat="1" applyFont="1" applyFill="1" applyBorder="1" applyAlignment="1">
      <alignment vertical="center" shrinkToFit="1"/>
    </xf>
    <xf numFmtId="165" fontId="18" fillId="2" borderId="1" xfId="1" applyNumberFormat="1" applyFont="1" applyFill="1" applyBorder="1" applyAlignment="1">
      <alignment vertical="center" shrinkToFit="1"/>
    </xf>
    <xf numFmtId="169" fontId="23" fillId="6" borderId="2" xfId="1" applyNumberFormat="1" applyFont="1" applyFill="1" applyBorder="1" applyAlignment="1">
      <alignment vertical="center" shrinkToFit="1"/>
    </xf>
    <xf numFmtId="169" fontId="18" fillId="5" borderId="2" xfId="1" applyNumberFormat="1" applyFont="1" applyFill="1" applyBorder="1" applyAlignment="1">
      <alignment vertical="center" shrinkToFit="1"/>
    </xf>
    <xf numFmtId="169" fontId="18" fillId="2" borderId="0" xfId="1" applyNumberFormat="1" applyFont="1" applyFill="1" applyAlignment="1">
      <alignment vertical="center" shrinkToFit="1"/>
    </xf>
    <xf numFmtId="169" fontId="18" fillId="2" borderId="0" xfId="1" applyNumberFormat="1" applyFont="1" applyFill="1" applyBorder="1" applyAlignment="1">
      <alignment vertical="center" shrinkToFit="1"/>
    </xf>
    <xf numFmtId="169" fontId="19" fillId="2" borderId="7" xfId="1" applyNumberFormat="1" applyFont="1" applyFill="1" applyBorder="1" applyAlignment="1">
      <alignment vertical="center" shrinkToFit="1"/>
    </xf>
    <xf numFmtId="169" fontId="19" fillId="2" borderId="6" xfId="1" applyNumberFormat="1" applyFont="1" applyFill="1" applyBorder="1" applyAlignment="1">
      <alignment vertical="center" shrinkToFit="1"/>
    </xf>
    <xf numFmtId="169" fontId="19" fillId="2" borderId="1" xfId="1" applyNumberFormat="1" applyFont="1" applyFill="1" applyBorder="1" applyAlignment="1">
      <alignment vertical="center" shrinkToFit="1"/>
    </xf>
    <xf numFmtId="169" fontId="18" fillId="2" borderId="1" xfId="1" applyNumberFormat="1" applyFont="1" applyFill="1" applyBorder="1" applyAlignment="1">
      <alignment vertical="center" shrinkToFit="1"/>
    </xf>
    <xf numFmtId="165" fontId="19" fillId="2" borderId="6" xfId="1" applyNumberFormat="1" applyFont="1" applyFill="1" applyBorder="1" applyAlignment="1">
      <alignment vertical="center" shrinkToFit="1"/>
    </xf>
    <xf numFmtId="169" fontId="11" fillId="2" borderId="0" xfId="5" applyNumberFormat="1" applyFont="1" applyFill="1" applyAlignment="1">
      <alignment vertical="center"/>
    </xf>
    <xf numFmtId="0" fontId="16" fillId="6" borderId="2" xfId="5" applyFont="1" applyFill="1" applyBorder="1" applyAlignment="1">
      <alignment horizontal="left" vertical="center"/>
    </xf>
    <xf numFmtId="166" fontId="17" fillId="6" borderId="2" xfId="5" applyNumberFormat="1" applyFont="1" applyFill="1" applyBorder="1" applyAlignment="1">
      <alignment vertical="center"/>
    </xf>
    <xf numFmtId="166" fontId="18" fillId="2" borderId="0" xfId="5" applyNumberFormat="1" applyFont="1" applyFill="1" applyAlignment="1">
      <alignment vertical="center"/>
    </xf>
    <xf numFmtId="169" fontId="18" fillId="2" borderId="0" xfId="5" applyNumberFormat="1" applyFont="1" applyFill="1" applyAlignment="1">
      <alignment vertical="center"/>
    </xf>
    <xf numFmtId="173" fontId="18" fillId="2" borderId="0" xfId="5" applyNumberFormat="1" applyFont="1" applyFill="1" applyAlignment="1">
      <alignment vertical="center"/>
    </xf>
    <xf numFmtId="172" fontId="17" fillId="6" borderId="2" xfId="5" applyNumberFormat="1" applyFont="1" applyFill="1" applyBorder="1" applyAlignment="1">
      <alignment vertical="center"/>
    </xf>
    <xf numFmtId="172" fontId="18" fillId="2" borderId="0" xfId="5" applyNumberFormat="1" applyFont="1" applyFill="1" applyAlignment="1">
      <alignment vertical="center"/>
    </xf>
    <xf numFmtId="172" fontId="18" fillId="2" borderId="1" xfId="5" applyNumberFormat="1" applyFont="1" applyFill="1" applyBorder="1" applyAlignment="1">
      <alignment vertical="center"/>
    </xf>
    <xf numFmtId="165" fontId="17" fillId="6" borderId="2" xfId="2" applyNumberFormat="1" applyFont="1" applyFill="1" applyBorder="1" applyAlignment="1">
      <alignment vertical="center"/>
    </xf>
    <xf numFmtId="165" fontId="18" fillId="2" borderId="0" xfId="5" applyNumberFormat="1" applyFont="1" applyFill="1" applyAlignment="1">
      <alignment vertical="center"/>
    </xf>
    <xf numFmtId="166" fontId="17" fillId="6" borderId="2" xfId="5" applyNumberFormat="1" applyFont="1" applyFill="1" applyBorder="1" applyAlignment="1">
      <alignment vertical="center" shrinkToFit="1"/>
    </xf>
    <xf numFmtId="166" fontId="18" fillId="2" borderId="0" xfId="5" applyNumberFormat="1" applyFont="1" applyFill="1" applyAlignment="1">
      <alignment vertical="center" shrinkToFit="1"/>
    </xf>
    <xf numFmtId="169" fontId="18" fillId="2" borderId="0" xfId="5" applyNumberFormat="1" applyFont="1" applyFill="1" applyAlignment="1">
      <alignment vertical="center" shrinkToFit="1"/>
    </xf>
    <xf numFmtId="173" fontId="18" fillId="2" borderId="0" xfId="5" applyNumberFormat="1" applyFont="1" applyFill="1" applyAlignment="1">
      <alignment vertical="center" shrinkToFit="1"/>
    </xf>
    <xf numFmtId="172" fontId="17" fillId="6" borderId="2" xfId="5" applyNumberFormat="1" applyFont="1" applyFill="1" applyBorder="1" applyAlignment="1">
      <alignment vertical="center" shrinkToFit="1"/>
    </xf>
    <xf numFmtId="172" fontId="18" fillId="2" borderId="0" xfId="5" applyNumberFormat="1" applyFont="1" applyFill="1" applyAlignment="1">
      <alignment vertical="center" shrinkToFit="1"/>
    </xf>
    <xf numFmtId="172" fontId="18" fillId="2" borderId="1" xfId="5" applyNumberFormat="1" applyFont="1" applyFill="1" applyBorder="1" applyAlignment="1">
      <alignment vertical="center" shrinkToFit="1"/>
    </xf>
    <xf numFmtId="165" fontId="17" fillId="6" borderId="2" xfId="2" applyNumberFormat="1" applyFont="1" applyFill="1" applyBorder="1" applyAlignment="1">
      <alignment vertical="center" shrinkToFit="1"/>
    </xf>
    <xf numFmtId="165" fontId="18" fillId="2" borderId="0" xfId="5" applyNumberFormat="1" applyFont="1" applyFill="1" applyAlignment="1">
      <alignment vertical="center" shrinkToFit="1"/>
    </xf>
    <xf numFmtId="0" fontId="24" fillId="2" borderId="2" xfId="5" applyFont="1" applyFill="1" applyBorder="1" applyAlignment="1">
      <alignment horizontal="left" vertical="center"/>
    </xf>
    <xf numFmtId="166" fontId="18" fillId="2" borderId="2" xfId="5" applyNumberFormat="1" applyFont="1" applyFill="1" applyBorder="1" applyAlignment="1">
      <alignment vertical="center"/>
    </xf>
    <xf numFmtId="0" fontId="24" fillId="2" borderId="5" xfId="5" applyFont="1" applyFill="1" applyBorder="1" applyAlignment="1">
      <alignment horizontal="left" vertical="center"/>
    </xf>
    <xf numFmtId="0" fontId="24" fillId="2" borderId="7" xfId="5" applyFont="1" applyFill="1" applyBorder="1" applyAlignment="1">
      <alignment horizontal="left" vertical="center"/>
    </xf>
    <xf numFmtId="165" fontId="18" fillId="2" borderId="7" xfId="5" applyNumberFormat="1" applyFont="1" applyFill="1" applyBorder="1" applyAlignment="1">
      <alignment vertical="center"/>
    </xf>
    <xf numFmtId="0" fontId="24" fillId="2" borderId="0" xfId="5" applyFont="1" applyFill="1" applyBorder="1" applyAlignment="1">
      <alignment horizontal="left" vertical="center"/>
    </xf>
    <xf numFmtId="0" fontId="24" fillId="2" borderId="1" xfId="5" applyFont="1" applyFill="1" applyBorder="1" applyAlignment="1">
      <alignment horizontal="left" vertical="center"/>
    </xf>
    <xf numFmtId="172" fontId="18" fillId="2" borderId="2" xfId="5" applyNumberFormat="1" applyFont="1" applyFill="1" applyBorder="1" applyAlignment="1">
      <alignment vertical="center"/>
    </xf>
    <xf numFmtId="166" fontId="18" fillId="2" borderId="2" xfId="5" applyNumberFormat="1" applyFont="1" applyFill="1" applyBorder="1" applyAlignment="1">
      <alignment vertical="center" shrinkToFit="1"/>
    </xf>
    <xf numFmtId="165" fontId="18" fillId="2" borderId="7" xfId="5" applyNumberFormat="1" applyFont="1" applyFill="1" applyBorder="1" applyAlignment="1">
      <alignment vertical="center" shrinkToFit="1"/>
    </xf>
    <xf numFmtId="169" fontId="11" fillId="2" borderId="0" xfId="5" applyNumberFormat="1" applyFont="1" applyFill="1" applyAlignment="1">
      <alignment vertical="center" shrinkToFit="1"/>
    </xf>
    <xf numFmtId="172" fontId="18" fillId="2" borderId="2" xfId="5" applyNumberFormat="1" applyFont="1" applyFill="1" applyBorder="1" applyAlignment="1">
      <alignment vertical="center" shrinkToFit="1"/>
    </xf>
    <xf numFmtId="172" fontId="11" fillId="2" borderId="0" xfId="5" applyNumberFormat="1" applyFont="1" applyFill="1" applyBorder="1" applyAlignment="1">
      <alignment vertical="center" shrinkToFit="1"/>
    </xf>
    <xf numFmtId="0" fontId="14" fillId="2" borderId="2" xfId="5" applyNumberFormat="1" applyFont="1" applyFill="1" applyBorder="1" applyAlignment="1">
      <alignment vertical="center" shrinkToFit="1"/>
    </xf>
    <xf numFmtId="0" fontId="14" fillId="2" borderId="5" xfId="5" applyNumberFormat="1" applyFont="1" applyFill="1" applyBorder="1" applyAlignment="1">
      <alignment vertical="center" shrinkToFit="1"/>
    </xf>
    <xf numFmtId="0" fontId="14" fillId="2" borderId="6" xfId="5" applyNumberFormat="1" applyFont="1" applyFill="1" applyBorder="1" applyAlignment="1">
      <alignment vertical="center" shrinkToFit="1"/>
    </xf>
    <xf numFmtId="0" fontId="14" fillId="2" borderId="3" xfId="5" applyNumberFormat="1" applyFont="1" applyFill="1" applyBorder="1" applyAlignment="1">
      <alignment vertical="center" shrinkToFit="1"/>
    </xf>
    <xf numFmtId="0" fontId="14" fillId="2" borderId="1" xfId="5" applyNumberFormat="1" applyFont="1" applyFill="1" applyBorder="1" applyAlignment="1">
      <alignment vertical="center" shrinkToFit="1"/>
    </xf>
    <xf numFmtId="175" fontId="11" fillId="2" borderId="0" xfId="5" applyNumberFormat="1" applyFont="1" applyFill="1" applyAlignment="1">
      <alignment vertical="center"/>
    </xf>
    <xf numFmtId="0" fontId="14" fillId="2" borderId="0" xfId="5" applyNumberFormat="1" applyFont="1" applyFill="1" applyBorder="1" applyAlignment="1">
      <alignment vertical="center" shrinkToFit="1"/>
    </xf>
    <xf numFmtId="174" fontId="18" fillId="2" borderId="1" xfId="5" applyNumberFormat="1" applyFont="1" applyFill="1" applyBorder="1" applyAlignment="1">
      <alignment vertical="center"/>
    </xf>
    <xf numFmtId="0" fontId="17" fillId="6" borderId="2" xfId="5" applyFont="1" applyFill="1" applyBorder="1" applyAlignment="1">
      <alignment horizontal="left" vertical="center"/>
    </xf>
    <xf numFmtId="166" fontId="18" fillId="6" borderId="2" xfId="5" applyNumberFormat="1" applyFont="1" applyFill="1" applyBorder="1" applyAlignment="1">
      <alignment vertical="center"/>
    </xf>
    <xf numFmtId="0" fontId="17" fillId="6" borderId="5" xfId="5" applyFont="1" applyFill="1" applyBorder="1" applyAlignment="1">
      <alignment horizontal="left" vertical="center"/>
    </xf>
    <xf numFmtId="166" fontId="18" fillId="6" borderId="5" xfId="5" applyNumberFormat="1" applyFont="1" applyFill="1" applyBorder="1" applyAlignment="1">
      <alignment vertical="center"/>
    </xf>
    <xf numFmtId="0" fontId="17" fillId="6" borderId="1" xfId="5" applyFont="1" applyFill="1" applyBorder="1" applyAlignment="1">
      <alignment horizontal="left" vertical="center"/>
    </xf>
    <xf numFmtId="166" fontId="18" fillId="6" borderId="1" xfId="5" applyNumberFormat="1" applyFont="1" applyFill="1" applyBorder="1" applyAlignment="1">
      <alignment vertical="center"/>
    </xf>
    <xf numFmtId="0" fontId="17" fillId="5" borderId="6" xfId="5" applyFont="1" applyFill="1" applyBorder="1" applyAlignment="1">
      <alignment horizontal="left" vertical="center" indent="1"/>
    </xf>
    <xf numFmtId="166" fontId="18" fillId="5" borderId="6" xfId="5" applyNumberFormat="1" applyFont="1" applyFill="1" applyBorder="1" applyAlignment="1">
      <alignment vertical="center"/>
    </xf>
    <xf numFmtId="0" fontId="17" fillId="5" borderId="3" xfId="5" applyFont="1" applyFill="1" applyBorder="1" applyAlignment="1">
      <alignment horizontal="left" vertical="center" indent="1"/>
    </xf>
    <xf numFmtId="166" fontId="18" fillId="5" borderId="3" xfId="5" applyNumberFormat="1" applyFont="1" applyFill="1" applyBorder="1" applyAlignment="1">
      <alignment vertical="center"/>
    </xf>
    <xf numFmtId="0" fontId="19" fillId="5" borderId="2" xfId="5" applyFont="1" applyFill="1" applyBorder="1" applyAlignment="1">
      <alignment horizontal="left" vertical="center" indent="1"/>
    </xf>
    <xf numFmtId="166" fontId="18" fillId="5" borderId="2" xfId="5" applyNumberFormat="1" applyFont="1" applyFill="1" applyBorder="1" applyAlignment="1">
      <alignment vertical="center"/>
    </xf>
    <xf numFmtId="3" fontId="18" fillId="6" borderId="2" xfId="5" applyNumberFormat="1" applyFont="1" applyFill="1" applyBorder="1" applyAlignment="1">
      <alignment vertical="center"/>
    </xf>
    <xf numFmtId="165" fontId="20" fillId="6" borderId="2" xfId="5" applyNumberFormat="1" applyFont="1" applyFill="1" applyBorder="1" applyAlignment="1">
      <alignment vertical="center"/>
    </xf>
    <xf numFmtId="0" fontId="16" fillId="6" borderId="2" xfId="5" applyNumberFormat="1" applyFont="1" applyFill="1" applyBorder="1" applyAlignment="1">
      <alignment horizontal="left" vertical="center"/>
    </xf>
    <xf numFmtId="0" fontId="25" fillId="5" borderId="2" xfId="5" applyFont="1" applyFill="1" applyBorder="1" applyAlignment="1">
      <alignment horizontal="left" vertical="center" indent="1"/>
    </xf>
    <xf numFmtId="0" fontId="23" fillId="5" borderId="2" xfId="5" applyFont="1" applyFill="1" applyBorder="1" applyAlignment="1">
      <alignment horizontal="left" vertical="center" indent="1"/>
    </xf>
    <xf numFmtId="176" fontId="23" fillId="5" borderId="2" xfId="2" applyNumberFormat="1" applyFont="1" applyFill="1" applyBorder="1" applyAlignment="1">
      <alignment vertical="center"/>
    </xf>
    <xf numFmtId="174" fontId="23" fillId="5" borderId="2" xfId="2" applyNumberFormat="1" applyFont="1" applyFill="1" applyBorder="1" applyAlignment="1">
      <alignment vertical="center"/>
    </xf>
    <xf numFmtId="165" fontId="23" fillId="5" borderId="2" xfId="2" applyNumberFormat="1" applyFont="1" applyFill="1" applyBorder="1" applyAlignment="1">
      <alignment vertical="center"/>
    </xf>
    <xf numFmtId="0" fontId="27" fillId="2" borderId="5" xfId="5" applyFont="1" applyFill="1" applyBorder="1" applyAlignment="1">
      <alignment horizontal="left" vertical="center" indent="2"/>
    </xf>
    <xf numFmtId="166" fontId="27" fillId="2" borderId="5" xfId="5" applyNumberFormat="1" applyFont="1" applyFill="1" applyBorder="1" applyAlignment="1">
      <alignment vertical="center"/>
    </xf>
    <xf numFmtId="0" fontId="27" fillId="2" borderId="0" xfId="5" applyFont="1" applyFill="1" applyBorder="1" applyAlignment="1">
      <alignment horizontal="left" vertical="center" indent="2"/>
    </xf>
    <xf numFmtId="166" fontId="27" fillId="2" borderId="0" xfId="5" applyNumberFormat="1" applyFont="1" applyFill="1" applyBorder="1" applyAlignment="1">
      <alignment vertical="center"/>
    </xf>
    <xf numFmtId="0" fontId="27" fillId="2" borderId="3" xfId="5" applyFont="1" applyFill="1" applyBorder="1" applyAlignment="1">
      <alignment horizontal="left" vertical="center" indent="2"/>
    </xf>
    <xf numFmtId="166" fontId="27" fillId="2" borderId="3" xfId="5" applyNumberFormat="1" applyFont="1" applyFill="1" applyBorder="1" applyAlignment="1">
      <alignment vertical="center"/>
    </xf>
    <xf numFmtId="176" fontId="27" fillId="2" borderId="5" xfId="5" applyNumberFormat="1" applyFont="1" applyFill="1" applyBorder="1" applyAlignment="1">
      <alignment vertical="center"/>
    </xf>
    <xf numFmtId="176" fontId="27" fillId="2" borderId="0" xfId="5" applyNumberFormat="1" applyFont="1" applyFill="1" applyBorder="1" applyAlignment="1">
      <alignment vertical="center"/>
    </xf>
    <xf numFmtId="176" fontId="27" fillId="2" borderId="3" xfId="5" applyNumberFormat="1" applyFont="1" applyFill="1" applyBorder="1" applyAlignment="1">
      <alignment vertical="center"/>
    </xf>
    <xf numFmtId="174" fontId="27" fillId="2" borderId="5" xfId="5" applyNumberFormat="1" applyFont="1" applyFill="1" applyBorder="1" applyAlignment="1">
      <alignment vertical="center"/>
    </xf>
    <xf numFmtId="174" fontId="27" fillId="2" borderId="0" xfId="5" applyNumberFormat="1" applyFont="1" applyFill="1" applyBorder="1" applyAlignment="1">
      <alignment vertical="center"/>
    </xf>
    <xf numFmtId="174" fontId="27" fillId="2" borderId="3" xfId="5" applyNumberFormat="1" applyFont="1" applyFill="1" applyBorder="1" applyAlignment="1">
      <alignment vertical="center"/>
    </xf>
    <xf numFmtId="165" fontId="27" fillId="2" borderId="5" xfId="5" applyNumberFormat="1" applyFont="1" applyFill="1" applyBorder="1" applyAlignment="1">
      <alignment vertical="center"/>
    </xf>
    <xf numFmtId="165" fontId="27" fillId="2" borderId="0" xfId="5" applyNumberFormat="1" applyFont="1" applyFill="1" applyBorder="1" applyAlignment="1">
      <alignment vertical="center"/>
    </xf>
    <xf numFmtId="165" fontId="27" fillId="2" borderId="3" xfId="5" applyNumberFormat="1" applyFont="1" applyFill="1" applyBorder="1" applyAlignment="1">
      <alignment vertical="center"/>
    </xf>
    <xf numFmtId="0" fontId="28" fillId="2" borderId="0" xfId="5" applyFont="1" applyFill="1" applyBorder="1" applyAlignment="1">
      <alignment horizontal="left" vertical="center" indent="3"/>
    </xf>
    <xf numFmtId="166" fontId="28" fillId="2" borderId="0" xfId="5" applyNumberFormat="1" applyFont="1" applyFill="1" applyAlignment="1">
      <alignment vertical="center"/>
    </xf>
    <xf numFmtId="166" fontId="28" fillId="2" borderId="0" xfId="5" applyNumberFormat="1" applyFont="1" applyFill="1" applyBorder="1" applyAlignment="1">
      <alignment vertical="center"/>
    </xf>
    <xf numFmtId="0" fontId="26" fillId="2" borderId="8" xfId="5" applyFont="1" applyFill="1" applyBorder="1" applyAlignment="1">
      <alignment horizontal="left" vertical="center" indent="2"/>
    </xf>
    <xf numFmtId="166" fontId="26" fillId="2" borderId="8" xfId="5" applyNumberFormat="1" applyFont="1" applyFill="1" applyBorder="1" applyAlignment="1">
      <alignment vertical="center"/>
    </xf>
    <xf numFmtId="166" fontId="26" fillId="2" borderId="7" xfId="5" applyNumberFormat="1" applyFont="1" applyFill="1" applyBorder="1" applyAlignment="1">
      <alignment vertical="center"/>
    </xf>
    <xf numFmtId="176" fontId="26" fillId="2" borderId="0" xfId="5" applyNumberFormat="1" applyFont="1" applyFill="1" applyBorder="1" applyAlignment="1">
      <alignment vertical="center"/>
    </xf>
    <xf numFmtId="0" fontId="26" fillId="2" borderId="1" xfId="5" applyFont="1" applyFill="1" applyBorder="1" applyAlignment="1">
      <alignment horizontal="left" vertical="center" indent="2"/>
    </xf>
    <xf numFmtId="176" fontId="26" fillId="2" borderId="1" xfId="5" applyNumberFormat="1" applyFont="1" applyFill="1" applyBorder="1" applyAlignment="1">
      <alignment vertical="center"/>
    </xf>
    <xf numFmtId="174" fontId="26" fillId="2" borderId="0" xfId="5" applyNumberFormat="1" applyFont="1" applyFill="1" applyBorder="1" applyAlignment="1">
      <alignment vertical="center"/>
    </xf>
    <xf numFmtId="174" fontId="26" fillId="2" borderId="1" xfId="5" applyNumberFormat="1" applyFont="1" applyFill="1" applyBorder="1" applyAlignment="1">
      <alignment vertical="center"/>
    </xf>
    <xf numFmtId="165" fontId="26" fillId="2" borderId="0" xfId="5" applyNumberFormat="1" applyFont="1" applyFill="1" applyBorder="1" applyAlignment="1">
      <alignment vertical="center"/>
    </xf>
    <xf numFmtId="165" fontId="26" fillId="2" borderId="1" xfId="5" applyNumberFormat="1" applyFont="1" applyFill="1" applyBorder="1" applyAlignment="1">
      <alignment vertical="center"/>
    </xf>
    <xf numFmtId="165" fontId="20" fillId="6" borderId="2" xfId="5" applyNumberFormat="1" applyFont="1" applyFill="1" applyBorder="1" applyAlignment="1">
      <alignment vertical="center" shrinkToFit="1"/>
    </xf>
    <xf numFmtId="166" fontId="27" fillId="2" borderId="5" xfId="5" applyNumberFormat="1" applyFont="1" applyFill="1" applyBorder="1" applyAlignment="1">
      <alignment vertical="center" shrinkToFit="1"/>
    </xf>
    <xf numFmtId="166" fontId="27" fillId="2" borderId="0" xfId="5" applyNumberFormat="1" applyFont="1" applyFill="1" applyBorder="1" applyAlignment="1">
      <alignment vertical="center" shrinkToFit="1"/>
    </xf>
    <xf numFmtId="166" fontId="27" fillId="2" borderId="3" xfId="5" applyNumberFormat="1" applyFont="1" applyFill="1" applyBorder="1" applyAlignment="1">
      <alignment vertical="center" shrinkToFit="1"/>
    </xf>
    <xf numFmtId="166" fontId="28" fillId="2" borderId="0" xfId="5" applyNumberFormat="1" applyFont="1" applyFill="1" applyAlignment="1">
      <alignment vertical="center" shrinkToFit="1"/>
    </xf>
    <xf numFmtId="166" fontId="28" fillId="2" borderId="0" xfId="5" applyNumberFormat="1" applyFont="1" applyFill="1" applyBorder="1" applyAlignment="1">
      <alignment vertical="center" shrinkToFit="1"/>
    </xf>
    <xf numFmtId="166" fontId="26" fillId="2" borderId="8" xfId="5" applyNumberFormat="1" applyFont="1" applyFill="1" applyBorder="1" applyAlignment="1">
      <alignment vertical="center" shrinkToFit="1"/>
    </xf>
    <xf numFmtId="166" fontId="26" fillId="2" borderId="7" xfId="5" applyNumberFormat="1" applyFont="1" applyFill="1" applyBorder="1" applyAlignment="1">
      <alignment vertical="center" shrinkToFit="1"/>
    </xf>
    <xf numFmtId="176" fontId="23" fillId="5" borderId="2" xfId="2" applyNumberFormat="1" applyFont="1" applyFill="1" applyBorder="1" applyAlignment="1">
      <alignment vertical="center" shrinkToFit="1"/>
    </xf>
    <xf numFmtId="176" fontId="27" fillId="2" borderId="5" xfId="5" applyNumberFormat="1" applyFont="1" applyFill="1" applyBorder="1" applyAlignment="1">
      <alignment vertical="center" shrinkToFit="1"/>
    </xf>
    <xf numFmtId="176" fontId="27" fillId="2" borderId="0" xfId="5" applyNumberFormat="1" applyFont="1" applyFill="1" applyBorder="1" applyAlignment="1">
      <alignment vertical="center" shrinkToFit="1"/>
    </xf>
    <xf numFmtId="176" fontId="27" fillId="2" borderId="3" xfId="5" applyNumberFormat="1" applyFont="1" applyFill="1" applyBorder="1" applyAlignment="1">
      <alignment vertical="center" shrinkToFit="1"/>
    </xf>
    <xf numFmtId="176" fontId="26" fillId="2" borderId="0" xfId="5" applyNumberFormat="1" applyFont="1" applyFill="1" applyBorder="1" applyAlignment="1">
      <alignment vertical="center" shrinkToFit="1"/>
    </xf>
    <xf numFmtId="176" fontId="26" fillId="2" borderId="1" xfId="5" applyNumberFormat="1" applyFont="1" applyFill="1" applyBorder="1" applyAlignment="1">
      <alignment vertical="center" shrinkToFit="1"/>
    </xf>
    <xf numFmtId="174" fontId="23" fillId="5" borderId="2" xfId="2" applyNumberFormat="1" applyFont="1" applyFill="1" applyBorder="1" applyAlignment="1">
      <alignment vertical="center" shrinkToFit="1"/>
    </xf>
    <xf numFmtId="174" fontId="27" fillId="2" borderId="5" xfId="5" applyNumberFormat="1" applyFont="1" applyFill="1" applyBorder="1" applyAlignment="1">
      <alignment vertical="center" shrinkToFit="1"/>
    </xf>
    <xf numFmtId="174" fontId="27" fillId="2" borderId="0" xfId="5" applyNumberFormat="1" applyFont="1" applyFill="1" applyBorder="1" applyAlignment="1">
      <alignment vertical="center" shrinkToFit="1"/>
    </xf>
    <xf numFmtId="174" fontId="27" fillId="2" borderId="3" xfId="5" applyNumberFormat="1" applyFont="1" applyFill="1" applyBorder="1" applyAlignment="1">
      <alignment vertical="center" shrinkToFit="1"/>
    </xf>
    <xf numFmtId="174" fontId="26" fillId="2" borderId="0" xfId="5" applyNumberFormat="1" applyFont="1" applyFill="1" applyBorder="1" applyAlignment="1">
      <alignment vertical="center" shrinkToFit="1"/>
    </xf>
    <xf numFmtId="174" fontId="26" fillId="2" borderId="1" xfId="5" applyNumberFormat="1" applyFont="1" applyFill="1" applyBorder="1" applyAlignment="1">
      <alignment vertical="center" shrinkToFit="1"/>
    </xf>
    <xf numFmtId="165" fontId="23" fillId="5" borderId="2" xfId="2" applyNumberFormat="1" applyFont="1" applyFill="1" applyBorder="1" applyAlignment="1">
      <alignment vertical="center" shrinkToFit="1"/>
    </xf>
    <xf numFmtId="165" fontId="27" fillId="2" borderId="5" xfId="5" applyNumberFormat="1" applyFont="1" applyFill="1" applyBorder="1" applyAlignment="1">
      <alignment vertical="center" shrinkToFit="1"/>
    </xf>
    <xf numFmtId="165" fontId="27" fillId="2" borderId="0" xfId="5" applyNumberFormat="1" applyFont="1" applyFill="1" applyBorder="1" applyAlignment="1">
      <alignment vertical="center" shrinkToFit="1"/>
    </xf>
    <xf numFmtId="165" fontId="27" fillId="2" borderId="3" xfId="5" applyNumberFormat="1" applyFont="1" applyFill="1" applyBorder="1" applyAlignment="1">
      <alignment vertical="center" shrinkToFit="1"/>
    </xf>
    <xf numFmtId="165" fontId="26" fillId="2" borderId="0" xfId="5" applyNumberFormat="1" applyFont="1" applyFill="1" applyBorder="1" applyAlignment="1">
      <alignment vertical="center" shrinkToFit="1"/>
    </xf>
    <xf numFmtId="165" fontId="26" fillId="2" borderId="1" xfId="5" applyNumberFormat="1" applyFont="1" applyFill="1" applyBorder="1" applyAlignment="1">
      <alignment vertical="center" shrinkToFit="1"/>
    </xf>
    <xf numFmtId="0" fontId="29" fillId="2" borderId="0" xfId="0" applyFont="1" applyFill="1"/>
    <xf numFmtId="0" fontId="30" fillId="2" borderId="1" xfId="0" applyFont="1" applyFill="1" applyBorder="1"/>
    <xf numFmtId="0" fontId="24" fillId="2" borderId="0" xfId="0" applyFont="1" applyFill="1"/>
    <xf numFmtId="0" fontId="31" fillId="2" borderId="0" xfId="0" applyFont="1" applyFill="1" applyAlignment="1">
      <alignment horizontal="left"/>
    </xf>
    <xf numFmtId="0" fontId="24" fillId="2" borderId="0" xfId="0" applyFont="1" applyFill="1" applyAlignment="1">
      <alignment horizontal="left"/>
    </xf>
    <xf numFmtId="0" fontId="24" fillId="2" borderId="0" xfId="0" applyFont="1" applyFill="1" applyAlignment="1">
      <alignment horizontal="left" indent="1"/>
    </xf>
    <xf numFmtId="0" fontId="33" fillId="2" borderId="0" xfId="6" applyFont="1" applyFill="1"/>
    <xf numFmtId="0" fontId="18" fillId="2" borderId="0" xfId="6" applyFont="1" applyFill="1" applyAlignment="1">
      <alignment vertical="center"/>
    </xf>
    <xf numFmtId="0" fontId="18" fillId="2" borderId="0" xfId="6" applyFont="1" applyFill="1" applyAlignment="1">
      <alignment horizontal="center" vertical="center"/>
    </xf>
    <xf numFmtId="0" fontId="34" fillId="2" borderId="2" xfId="6" applyFont="1" applyFill="1" applyBorder="1" applyAlignment="1">
      <alignment vertical="center"/>
    </xf>
    <xf numFmtId="0" fontId="35" fillId="2" borderId="2" xfId="6" applyFont="1" applyFill="1" applyBorder="1" applyAlignment="1">
      <alignment vertical="center"/>
    </xf>
    <xf numFmtId="0" fontId="36" fillId="2" borderId="0" xfId="6" applyFont="1" applyFill="1" applyAlignment="1">
      <alignment vertical="center"/>
    </xf>
    <xf numFmtId="0" fontId="35" fillId="2" borderId="0" xfId="6" applyFont="1" applyFill="1" applyAlignment="1">
      <alignment vertical="center"/>
    </xf>
    <xf numFmtId="0" fontId="16" fillId="2" borderId="0" xfId="6" applyFont="1" applyFill="1" applyAlignment="1">
      <alignment vertical="center"/>
    </xf>
    <xf numFmtId="0" fontId="20" fillId="2" borderId="0" xfId="6" applyFont="1" applyFill="1" applyAlignment="1">
      <alignment vertical="center"/>
    </xf>
    <xf numFmtId="0" fontId="39" fillId="2" borderId="0" xfId="9" applyFont="1" applyFill="1" applyAlignment="1">
      <alignment vertical="center"/>
    </xf>
    <xf numFmtId="0" fontId="40" fillId="2" borderId="0" xfId="3" applyFont="1" applyFill="1" applyAlignment="1">
      <alignment horizontal="left" vertical="center" indent="1"/>
    </xf>
    <xf numFmtId="0" fontId="37" fillId="2" borderId="0" xfId="6" applyFont="1" applyFill="1" applyAlignment="1">
      <alignment horizontal="left" vertical="center"/>
    </xf>
    <xf numFmtId="177" fontId="38" fillId="2" borderId="0" xfId="6" quotePrefix="1" applyNumberFormat="1" applyFont="1" applyFill="1" applyAlignment="1">
      <alignment horizontal="left" vertical="center"/>
    </xf>
  </cellXfs>
  <cellStyles count="10">
    <cellStyle name="Comma" xfId="1" builtinId="3"/>
    <cellStyle name="Comma 2" xfId="4"/>
    <cellStyle name="Hyperlink" xfId="3" builtinId="8"/>
    <cellStyle name="Normal" xfId="0" builtinId="0"/>
    <cellStyle name="Normal 2" xfId="5"/>
    <cellStyle name="Normal 2 2" xfId="9"/>
    <cellStyle name="Normal 3" xfId="6"/>
    <cellStyle name="Percent" xfId="2" builtinId="5"/>
    <cellStyle name="Percent 2" xfId="7"/>
    <cellStyle name="Percent 3" xfId="8"/>
  </cellStyles>
  <dxfs count="0"/>
  <tableStyles count="0" defaultTableStyle="TableStyleMedium2" defaultPivotStyle="PivotStyleLight16"/>
  <colors>
    <mruColors>
      <color rgb="FF0564C3"/>
      <color rgb="FF050505"/>
      <color rgb="FF006EBE"/>
      <color rgb="FF506428"/>
      <color rgb="FFBE0000"/>
      <color rgb="FFF0F0F0"/>
      <color rgb="FFD7D7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77561" cy="20118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300"/>
    <col min="5" max="21" width="9.7109375" style="300" customWidth="1"/>
    <col min="22" max="22" width="9.7109375" style="301" customWidth="1"/>
    <col min="23" max="23" width="107.42578125" style="300" customWidth="1"/>
    <col min="24" max="24" width="44.7109375" style="300" customWidth="1"/>
    <col min="25" max="26" width="9.7109375" style="300" customWidth="1"/>
    <col min="27" max="16384" width="9.140625" style="300"/>
  </cols>
  <sheetData>
    <row r="2" spans="1:23" ht="21" x14ac:dyDescent="0.35">
      <c r="A2" s="299"/>
    </row>
    <row r="6" spans="1:23" ht="31.5" x14ac:dyDescent="0.25">
      <c r="A6" s="302"/>
      <c r="B6" s="303" t="s">
        <v>159</v>
      </c>
      <c r="C6" s="303"/>
      <c r="D6" s="303"/>
      <c r="E6" s="303"/>
      <c r="F6" s="303"/>
      <c r="G6" s="303"/>
      <c r="H6" s="303"/>
      <c r="I6" s="303"/>
      <c r="J6" s="303"/>
      <c r="K6" s="303"/>
      <c r="L6" s="303"/>
      <c r="M6" s="303"/>
      <c r="N6" s="303"/>
      <c r="O6" s="303"/>
      <c r="P6" s="303"/>
      <c r="Q6" s="303"/>
      <c r="V6" s="300"/>
    </row>
    <row r="7" spans="1:23" ht="15" customHeight="1" x14ac:dyDescent="0.25">
      <c r="V7" s="300"/>
    </row>
    <row r="8" spans="1:23" ht="15" customHeight="1" x14ac:dyDescent="0.25">
      <c r="V8" s="300"/>
    </row>
    <row r="9" spans="1:23" ht="15" customHeight="1" x14ac:dyDescent="0.25">
      <c r="V9" s="300"/>
    </row>
    <row r="10" spans="1:23" ht="28.5" x14ac:dyDescent="0.25">
      <c r="C10" s="304" t="s">
        <v>185</v>
      </c>
      <c r="V10" s="300"/>
    </row>
    <row r="11" spans="1:23" ht="15" customHeight="1" x14ac:dyDescent="0.25">
      <c r="V11" s="300"/>
    </row>
    <row r="15" spans="1:23" ht="30" customHeight="1" x14ac:dyDescent="0.25">
      <c r="C15" s="304" t="s">
        <v>137</v>
      </c>
    </row>
    <row r="16" spans="1:23" ht="15" customHeight="1" x14ac:dyDescent="0.25">
      <c r="W16" s="305"/>
    </row>
    <row r="17" spans="12:32" ht="15" customHeight="1" x14ac:dyDescent="0.25">
      <c r="W17" s="305"/>
    </row>
    <row r="28" spans="12:32" ht="21" x14ac:dyDescent="0.25">
      <c r="L28" s="310" t="s">
        <v>142</v>
      </c>
      <c r="M28" s="310"/>
      <c r="N28" s="310"/>
      <c r="O28" s="310"/>
    </row>
    <row r="29" spans="12:32" ht="15" customHeight="1" x14ac:dyDescent="0.25">
      <c r="V29" s="300"/>
    </row>
    <row r="30" spans="12:32" ht="18.75" x14ac:dyDescent="0.25">
      <c r="L30" s="311">
        <v>45432.782766203702</v>
      </c>
      <c r="M30" s="311"/>
      <c r="N30" s="311"/>
      <c r="O30" s="311"/>
      <c r="V30" s="300"/>
    </row>
    <row r="31" spans="12:32" ht="15" customHeight="1" x14ac:dyDescent="0.25">
      <c r="L31" s="306" t="s">
        <v>155</v>
      </c>
      <c r="V31" s="300"/>
      <c r="AA31" s="307"/>
      <c r="AB31" s="307"/>
      <c r="AC31" s="307"/>
      <c r="AD31" s="307"/>
      <c r="AE31" s="307"/>
      <c r="AF31" s="307"/>
    </row>
    <row r="32" spans="12:32" ht="15" customHeight="1" x14ac:dyDescent="0.25">
      <c r="V32" s="300"/>
    </row>
    <row r="33" spans="2:32" ht="15" customHeight="1" x14ac:dyDescent="0.25">
      <c r="B33" s="308" t="s">
        <v>138</v>
      </c>
      <c r="V33" s="300"/>
    </row>
    <row r="34" spans="2:32" ht="15" customHeight="1" x14ac:dyDescent="0.25">
      <c r="B34" s="308"/>
      <c r="V34" s="308"/>
    </row>
    <row r="35" spans="2:32" ht="15" customHeight="1" x14ac:dyDescent="0.25">
      <c r="B35" s="308" t="s">
        <v>143</v>
      </c>
      <c r="V35" s="308"/>
    </row>
    <row r="36" spans="2:32" ht="15" customHeight="1" x14ac:dyDescent="0.25">
      <c r="B36" s="308" t="s">
        <v>139</v>
      </c>
      <c r="E36" s="307"/>
      <c r="F36" s="307"/>
      <c r="G36" s="307"/>
      <c r="H36" s="307"/>
      <c r="I36" s="307"/>
      <c r="J36" s="307"/>
      <c r="K36" s="307"/>
      <c r="L36" s="307"/>
      <c r="M36" s="307"/>
      <c r="N36" s="307"/>
      <c r="O36" s="307"/>
      <c r="P36" s="307"/>
      <c r="Q36" s="307"/>
      <c r="R36" s="307"/>
      <c r="S36" s="307"/>
      <c r="T36" s="307"/>
      <c r="U36" s="307"/>
      <c r="W36" s="307"/>
      <c r="X36" s="307"/>
      <c r="Y36" s="307"/>
      <c r="Z36" s="307"/>
    </row>
    <row r="38" spans="2:32" ht="15" customHeight="1" x14ac:dyDescent="0.25">
      <c r="B38" s="308" t="s">
        <v>144</v>
      </c>
    </row>
    <row r="39" spans="2:32" ht="15" customHeight="1" x14ac:dyDescent="0.25">
      <c r="B39" s="308" t="s">
        <v>145</v>
      </c>
    </row>
    <row r="40" spans="2:32" ht="15" customHeight="1" x14ac:dyDescent="0.25">
      <c r="B40" s="309" t="s">
        <v>146</v>
      </c>
      <c r="AA40" s="307"/>
      <c r="AB40" s="307"/>
      <c r="AC40" s="307"/>
      <c r="AD40" s="307"/>
      <c r="AE40" s="307"/>
      <c r="AF40" s="307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45"/>
  <sheetViews>
    <sheetView showGridLines="0" zoomScale="115" zoomScaleNormal="115" workbookViewId="0"/>
  </sheetViews>
  <sheetFormatPr defaultRowHeight="15" x14ac:dyDescent="0.25"/>
  <cols>
    <col min="1" max="1" width="7.7109375" style="15" customWidth="1"/>
    <col min="2" max="2" width="15.85546875" style="15" customWidth="1"/>
    <col min="3" max="3" width="2.85546875" style="15" customWidth="1"/>
    <col min="4" max="4" width="54.7109375" style="15" customWidth="1"/>
    <col min="5" max="16384" width="9.140625" style="15"/>
  </cols>
  <sheetData>
    <row r="1" spans="1:4" ht="18.75" x14ac:dyDescent="0.3">
      <c r="A1" s="293" t="s">
        <v>184</v>
      </c>
      <c r="B1" s="293" t="s">
        <v>185</v>
      </c>
      <c r="C1" s="13"/>
      <c r="D1" s="14"/>
    </row>
    <row r="2" spans="1:4" ht="18.75" x14ac:dyDescent="0.3">
      <c r="A2" s="12"/>
      <c r="B2" s="13"/>
      <c r="C2" s="13"/>
      <c r="D2" s="14"/>
    </row>
    <row r="3" spans="1:4" ht="18.75" x14ac:dyDescent="0.3">
      <c r="A3" s="12"/>
      <c r="B3" s="294" t="s">
        <v>22</v>
      </c>
      <c r="C3" s="16"/>
      <c r="D3" s="16"/>
    </row>
    <row r="4" spans="1:4" ht="15" customHeight="1" x14ac:dyDescent="0.3">
      <c r="A4" s="17"/>
      <c r="B4" s="24" t="str">
        <f ca="1">HYPERLINK("#"&amp;CELL("address",SER_summary!$B$2),MID(CELL("filename",SER_summary!$B$2),FIND("]",CELL("filename",SER_summary!$B$2))+1,256))</f>
        <v>SER_summary</v>
      </c>
      <c r="C4" s="18"/>
      <c r="D4" s="295" t="s">
        <v>21</v>
      </c>
    </row>
    <row r="5" spans="1:4" x14ac:dyDescent="0.25">
      <c r="A5" s="19"/>
      <c r="B5" s="20"/>
      <c r="C5" s="21"/>
      <c r="D5" s="22"/>
    </row>
    <row r="6" spans="1:4" x14ac:dyDescent="0.25">
      <c r="A6" s="19"/>
      <c r="B6" s="296" t="s">
        <v>20</v>
      </c>
      <c r="C6" s="21"/>
      <c r="D6" s="22"/>
    </row>
    <row r="7" spans="1:4" x14ac:dyDescent="0.25">
      <c r="A7" s="19"/>
      <c r="B7" s="25" t="str">
        <f ca="1">HYPERLINK("#"&amp;CELL("address",SER_hh_num!$B$2),MID(CELL("filename",SER_hh_num!$B$2),FIND("]",CELL("filename",SER_hh_num!$B$2))+1,256))</f>
        <v>SER_hh_num</v>
      </c>
      <c r="C7" s="21"/>
      <c r="D7" s="297" t="s">
        <v>19</v>
      </c>
    </row>
    <row r="8" spans="1:4" x14ac:dyDescent="0.25">
      <c r="B8" s="25" t="str">
        <f ca="1">HYPERLINK("#"&amp;CELL("address",SER_hh_fec!$B$2),MID(CELL("filename",SER_hh_fec!$B$2),FIND("]",CELL("filename",SER_hh_fec!$B$2))+1,256))</f>
        <v>SER_hh_fec</v>
      </c>
      <c r="C8" s="21"/>
      <c r="D8" s="297" t="s">
        <v>16</v>
      </c>
    </row>
    <row r="9" spans="1:4" x14ac:dyDescent="0.25">
      <c r="B9" s="25" t="str">
        <f ca="1">HYPERLINK("#"&amp;CELL("address",SER_hh_tes!$B$2),MID(CELL("filename",SER_hh_tes!$B$2),FIND("]",CELL("filename",SER_hh_tes!$B$2))+1,256))</f>
        <v>SER_hh_tes</v>
      </c>
      <c r="C9" s="21"/>
      <c r="D9" s="297" t="s">
        <v>15</v>
      </c>
    </row>
    <row r="10" spans="1:4" x14ac:dyDescent="0.25">
      <c r="B10" s="25" t="str">
        <f ca="1">HYPERLINK("#"&amp;CELL("address",SER_hh_eff!$B$2),MID(CELL("filename",SER_hh_eff!$B$2),FIND("]",CELL("filename",SER_hh_eff!$B$2))+1,256))</f>
        <v>SER_hh_eff</v>
      </c>
      <c r="C10" s="21"/>
      <c r="D10" s="297" t="s">
        <v>14</v>
      </c>
    </row>
    <row r="11" spans="1:4" x14ac:dyDescent="0.25">
      <c r="B11" s="25" t="str">
        <f ca="1">HYPERLINK("#"&amp;CELL("address",SER_hh_emi!$B$2),MID(CELL("filename",SER_hh_emi!$B$2),FIND("]",CELL("filename",SER_hh_emi!$B$2))+1,256))</f>
        <v>SER_hh_emi</v>
      </c>
      <c r="C11" s="21"/>
      <c r="D11" s="297" t="s">
        <v>160</v>
      </c>
    </row>
    <row r="12" spans="1:4" x14ac:dyDescent="0.25">
      <c r="B12" s="25" t="str">
        <f ca="1">HYPERLINK("#"&amp;CELL("address",SER_hh_fech!$B$2),MID(CELL("filename",SER_hh_fech!$B$2),FIND("]",CELL("filename",SER_hh_fech!$B$2))+1,256))</f>
        <v>SER_hh_fech</v>
      </c>
      <c r="C12" s="21"/>
      <c r="D12" s="297" t="s">
        <v>13</v>
      </c>
    </row>
    <row r="13" spans="1:4" x14ac:dyDescent="0.25">
      <c r="B13" s="25" t="str">
        <f ca="1">HYPERLINK("#"&amp;CELL("address",SER_hh_tesh!$B$2),MID(CELL("filename",SER_hh_tesh!$B$2),FIND("]",CELL("filename",SER_hh_tesh!$B$2))+1,256))</f>
        <v>SER_hh_tesh</v>
      </c>
      <c r="C13" s="21"/>
      <c r="D13" s="297" t="s">
        <v>12</v>
      </c>
    </row>
    <row r="14" spans="1:4" x14ac:dyDescent="0.25">
      <c r="B14" s="25" t="str">
        <f ca="1">HYPERLINK("#"&amp;CELL("address",SER_hh_emih!$B$2),MID(CELL("filename",SER_hh_emih!$B$2),FIND("]",CELL("filename",SER_hh_emih!$B$2))+1,256))</f>
        <v>SER_hh_emih</v>
      </c>
      <c r="C14" s="21"/>
      <c r="D14" s="297" t="s">
        <v>161</v>
      </c>
    </row>
    <row r="15" spans="1:4" x14ac:dyDescent="0.25">
      <c r="B15" s="25" t="str">
        <f ca="1">HYPERLINK("#"&amp;CELL("address",SER_hh_fecs!$B$2),MID(CELL("filename",SER_hh_fecs!$B$2),FIND("]",CELL("filename",SER_hh_fecs!$B$2))+1,256))</f>
        <v>SER_hh_fecs</v>
      </c>
      <c r="C15" s="21"/>
      <c r="D15" s="297" t="s">
        <v>11</v>
      </c>
    </row>
    <row r="16" spans="1:4" x14ac:dyDescent="0.25">
      <c r="B16" s="25" t="str">
        <f ca="1">HYPERLINK("#"&amp;CELL("address",SER_hh_tess!$B$2),MID(CELL("filename",SER_hh_tess!$B$2),FIND("]",CELL("filename",SER_hh_tess!$B$2))+1,256))</f>
        <v>SER_hh_tess</v>
      </c>
      <c r="C16" s="21"/>
      <c r="D16" s="297" t="s">
        <v>10</v>
      </c>
    </row>
    <row r="17" spans="1:4" x14ac:dyDescent="0.25">
      <c r="B17" s="25" t="str">
        <f ca="1">HYPERLINK("#"&amp;CELL("address",SER_hh_emis!$B$2),MID(CELL("filename",SER_hh_emis!$B$2),FIND("]",CELL("filename",SER_hh_emis!$B$2))+1,256))</f>
        <v>SER_hh_emis</v>
      </c>
      <c r="C17" s="21"/>
      <c r="D17" s="297" t="s">
        <v>162</v>
      </c>
    </row>
    <row r="18" spans="1:4" x14ac:dyDescent="0.25">
      <c r="B18" s="21"/>
      <c r="C18" s="21"/>
      <c r="D18" s="23"/>
    </row>
    <row r="19" spans="1:4" x14ac:dyDescent="0.25">
      <c r="A19" s="19"/>
      <c r="B19" s="296" t="s">
        <v>18</v>
      </c>
      <c r="C19" s="21"/>
      <c r="D19" s="22"/>
    </row>
    <row r="20" spans="1:4" x14ac:dyDescent="0.25">
      <c r="A20" s="19"/>
      <c r="B20" s="25" t="str">
        <f ca="1">HYPERLINK("#"&amp;CELL("address",SER_hh_num_in!$B$2),MID(CELL("filename",SER_hh_num_in!$B$2),FIND("]",CELL("filename",SER_hh_num_in!$B$2))+1,256))</f>
        <v>SER_hh_num_in</v>
      </c>
      <c r="C20" s="21"/>
      <c r="D20" s="297" t="s">
        <v>17</v>
      </c>
    </row>
    <row r="21" spans="1:4" x14ac:dyDescent="0.25">
      <c r="B21" s="25" t="str">
        <f ca="1">HYPERLINK("#"&amp;CELL("address",SER_hh_fec_in!$B$2),MID(CELL("filename",SER_hh_fec_in!$B$2),FIND("]",CELL("filename",SER_hh_fec_in!$B$2))+1,256))</f>
        <v>SER_hh_fec_in</v>
      </c>
      <c r="C21" s="21"/>
      <c r="D21" s="297" t="s">
        <v>16</v>
      </c>
    </row>
    <row r="22" spans="1:4" x14ac:dyDescent="0.25">
      <c r="B22" s="25" t="str">
        <f ca="1">HYPERLINK("#"&amp;CELL("address",SER_hh_tes_in!$B$2),MID(CELL("filename",SER_hh_tes_in!$B$2),FIND("]",CELL("filename",SER_hh_tes_in!$B$2))+1,256))</f>
        <v>SER_hh_tes_in</v>
      </c>
      <c r="C22" s="21"/>
      <c r="D22" s="297" t="s">
        <v>15</v>
      </c>
    </row>
    <row r="23" spans="1:4" x14ac:dyDescent="0.25">
      <c r="B23" s="25" t="str">
        <f ca="1">HYPERLINK("#"&amp;CELL("address",SER_hh_eff_in!$B$2),MID(CELL("filename",SER_hh_eff_in!$B$2),FIND("]",CELL("filename",SER_hh_eff_in!$B$2))+1,256))</f>
        <v>SER_hh_eff_in</v>
      </c>
      <c r="C23" s="21"/>
      <c r="D23" s="297" t="s">
        <v>14</v>
      </c>
    </row>
    <row r="24" spans="1:4" x14ac:dyDescent="0.25">
      <c r="B24" s="25" t="str">
        <f ca="1">HYPERLINK("#"&amp;CELL("address",SER_hh_emi_in!$B$2),MID(CELL("filename",SER_hh_emi_in!$B$2),FIND("]",CELL("filename",SER_hh_emi_in!$B$2))+1,256))</f>
        <v>SER_hh_emi_in</v>
      </c>
      <c r="C24" s="21"/>
      <c r="D24" s="297" t="s">
        <v>160</v>
      </c>
    </row>
    <row r="25" spans="1:4" x14ac:dyDescent="0.25">
      <c r="B25" s="25" t="str">
        <f ca="1">HYPERLINK("#"&amp;CELL("address",SER_hh_fech_in!$B$2),MID(CELL("filename",SER_hh_fech_in!$B$2),FIND("]",CELL("filename",SER_hh_fech_in!$B$2))+1,256))</f>
        <v>SER_hh_fech_in</v>
      </c>
      <c r="C25" s="21"/>
      <c r="D25" s="297" t="s">
        <v>13</v>
      </c>
    </row>
    <row r="26" spans="1:4" x14ac:dyDescent="0.25">
      <c r="B26" s="25" t="str">
        <f ca="1">HYPERLINK("#"&amp;CELL("address",SER_hh_tesh_in!$B$2),MID(CELL("filename",SER_hh_tesh_in!$B$2),FIND("]",CELL("filename",SER_hh_tesh_in!$B$2))+1,256))</f>
        <v>SER_hh_tesh_in</v>
      </c>
      <c r="C26" s="21"/>
      <c r="D26" s="297" t="s">
        <v>12</v>
      </c>
    </row>
    <row r="27" spans="1:4" x14ac:dyDescent="0.25">
      <c r="B27" s="25" t="str">
        <f ca="1">HYPERLINK("#"&amp;CELL("address",SER_hh_emih_in!$B$2),MID(CELL("filename",SER_hh_emih_in!$B$2),FIND("]",CELL("filename",SER_hh_emih_in!$B$2))+1,256))</f>
        <v>SER_hh_emih_in</v>
      </c>
      <c r="C27" s="21"/>
      <c r="D27" s="297" t="s">
        <v>161</v>
      </c>
    </row>
    <row r="28" spans="1:4" x14ac:dyDescent="0.25">
      <c r="B28" s="25" t="str">
        <f ca="1">HYPERLINK("#"&amp;CELL("address",SER_hh_fecs_in!$B$2),MID(CELL("filename",SER_hh_fecs_in!$B$2),FIND("]",CELL("filename",SER_hh_fecs_in!$B$2))+1,256))</f>
        <v>SER_hh_fecs_in</v>
      </c>
      <c r="C28" s="21"/>
      <c r="D28" s="297" t="s">
        <v>11</v>
      </c>
    </row>
    <row r="29" spans="1:4" x14ac:dyDescent="0.25">
      <c r="B29" s="25" t="str">
        <f ca="1">HYPERLINK("#"&amp;CELL("address",SER_hh_tess_in!$B$2),MID(CELL("filename",SER_hh_tess_in!$B$2),FIND("]",CELL("filename",SER_hh_tess_in!$B$2))+1,256))</f>
        <v>SER_hh_tess_in</v>
      </c>
      <c r="C29" s="21"/>
      <c r="D29" s="297" t="s">
        <v>10</v>
      </c>
    </row>
    <row r="30" spans="1:4" x14ac:dyDescent="0.25">
      <c r="B30" s="25" t="str">
        <f ca="1">HYPERLINK("#"&amp;CELL("address",SER_hh_emis_in!$B$2),MID(CELL("filename",SER_hh_emis_in!$B$2),FIND("]",CELL("filename",SER_hh_emis_in!$B$2))+1,256))</f>
        <v>SER_hh_emis_in</v>
      </c>
      <c r="C30" s="21"/>
      <c r="D30" s="297" t="s">
        <v>162</v>
      </c>
    </row>
    <row r="31" spans="1:4" x14ac:dyDescent="0.25">
      <c r="B31" s="21"/>
      <c r="C31" s="21"/>
      <c r="D31" s="23"/>
    </row>
    <row r="32" spans="1:4" x14ac:dyDescent="0.25">
      <c r="B32" s="296" t="s">
        <v>9</v>
      </c>
      <c r="C32" s="21"/>
      <c r="D32" s="23"/>
    </row>
    <row r="33" spans="2:4" x14ac:dyDescent="0.25">
      <c r="B33" s="25" t="str">
        <f ca="1">HYPERLINK("#"&amp;CELL("address",'SER_se-appl'!$B$2),MID(CELL("filename",'SER_se-appl'!$B$2),FIND("]",CELL("filename",'SER_se-appl'!$B$2))+1,256))</f>
        <v>SER_se-appl</v>
      </c>
      <c r="C33" s="18"/>
      <c r="D33" s="297" t="s">
        <v>8</v>
      </c>
    </row>
    <row r="34" spans="2:4" x14ac:dyDescent="0.25">
      <c r="B34" s="25" t="str">
        <f ca="1">HYPERLINK("#"&amp;CELL("address",SER_VE!$B$2),MID(CELL("filename",SER_VE!$B$2),FIND("]",CELL("filename",SER_VE!$B$2))+1,256))</f>
        <v>SER_VE</v>
      </c>
      <c r="C34" s="18"/>
      <c r="D34" s="297" t="s">
        <v>7</v>
      </c>
    </row>
    <row r="35" spans="2:4" x14ac:dyDescent="0.25">
      <c r="B35" s="25" t="str">
        <f ca="1">HYPERLINK("#"&amp;CELL("address",SER_SL!$B$2),MID(CELL("filename",SER_SL!$B$2),FIND("]",CELL("filename",SER_SL!$B$2))+1,256))</f>
        <v>SER_SL</v>
      </c>
      <c r="C35" s="18"/>
      <c r="D35" s="297" t="s">
        <v>6</v>
      </c>
    </row>
    <row r="36" spans="2:4" x14ac:dyDescent="0.25">
      <c r="B36" s="25" t="str">
        <f ca="1">HYPERLINK("#"&amp;CELL("address",SER_BL!$B$2),MID(CELL("filename",SER_BL!$B$2),FIND("]",CELL("filename",SER_BL!$B$2))+1,256))</f>
        <v>SER_BL</v>
      </c>
      <c r="C36" s="18"/>
      <c r="D36" s="297" t="s">
        <v>5</v>
      </c>
    </row>
    <row r="37" spans="2:4" x14ac:dyDescent="0.25">
      <c r="B37" s="25" t="str">
        <f ca="1">HYPERLINK("#"&amp;CELL("address",SER_CR!$B$2),MID(CELL("filename",SER_CR!$B$2),FIND("]",CELL("filename",SER_CR!$B$2))+1,256))</f>
        <v>SER_CR</v>
      </c>
      <c r="C37" s="18"/>
      <c r="D37" s="297" t="s">
        <v>179</v>
      </c>
    </row>
    <row r="38" spans="2:4" x14ac:dyDescent="0.25">
      <c r="B38" s="25" t="str">
        <f ca="1">HYPERLINK("#"&amp;CELL("address",SER_BT!$B$2),MID(CELL("filename",SER_BT!$B$2),FIND("]",CELL("filename",SER_BT!$B$2))+1,256))</f>
        <v>SER_BT</v>
      </c>
      <c r="C38" s="18"/>
      <c r="D38" s="297" t="s">
        <v>4</v>
      </c>
    </row>
    <row r="39" spans="2:4" x14ac:dyDescent="0.25">
      <c r="B39" s="25" t="str">
        <f ca="1">HYPERLINK("#"&amp;CELL("address",SER_IT!$B$2),MID(CELL("filename",SER_IT!$B$2),FIND("]",CELL("filename",SER_IT!$B$2))+1,256))</f>
        <v>SER_IT</v>
      </c>
      <c r="C39" s="18"/>
      <c r="D39" s="297" t="s">
        <v>3</v>
      </c>
    </row>
    <row r="41" spans="2:4" x14ac:dyDescent="0.25">
      <c r="B41" s="296" t="s">
        <v>126</v>
      </c>
    </row>
    <row r="42" spans="2:4" x14ac:dyDescent="0.25">
      <c r="B42" s="25" t="str">
        <f ca="1">HYPERLINK("#"&amp;CELL("address",AGR!$B$2),MID(CELL("filename",AGR!$B$2),FIND("]",CELL("filename",AGR!$B$2))+1,256))</f>
        <v>AGR</v>
      </c>
      <c r="D42" s="295" t="s">
        <v>183</v>
      </c>
    </row>
    <row r="43" spans="2:4" x14ac:dyDescent="0.25">
      <c r="B43" s="26" t="str">
        <f ca="1">HYPERLINK("#"&amp;CELL("address",AGR_fec!$B$2),MID(CELL("filename",AGR_fec!$B$2),FIND("]",CELL("filename",AGR_fec!$B$2))+1,256))</f>
        <v>AGR_fec</v>
      </c>
      <c r="D43" s="298" t="s">
        <v>2</v>
      </c>
    </row>
    <row r="44" spans="2:4" x14ac:dyDescent="0.25">
      <c r="B44" s="26" t="str">
        <f ca="1">HYPERLINK("#"&amp;CELL("address",AGR_ued!$B$2),MID(CELL("filename",AGR_ued!$B$2),FIND("]",CELL("filename",AGR_ued!$B$2))+1,256))</f>
        <v>AGR_ued</v>
      </c>
      <c r="D44" s="298" t="s">
        <v>1</v>
      </c>
    </row>
    <row r="45" spans="2:4" x14ac:dyDescent="0.25">
      <c r="B45" s="26" t="str">
        <f ca="1">HYPERLINK("#"&amp;CELL("address",AGR_emi!$B$2),MID(CELL("filename",AGR_emi!$B$2),FIND("]",CELL("filename",AGR_emi!$B$2))+1,256))</f>
        <v>AGR_emi</v>
      </c>
      <c r="D45" s="298" t="s">
        <v>0</v>
      </c>
    </row>
  </sheetData>
  <pageMargins left="0.39370078740157483" right="0.39370078740157483" top="0.39370078740157483" bottom="0.3937007874015748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9" tint="0.79998168889431442"/>
    <pageSetUpPr fitToPage="1"/>
  </sheetPr>
  <dimension ref="A1:DA173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186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" customHeight="1" x14ac:dyDescent="0.25">
      <c r="A3" s="33" t="s">
        <v>71</v>
      </c>
      <c r="B3" s="34">
        <v>690497</v>
      </c>
      <c r="C3" s="34">
        <v>697549</v>
      </c>
      <c r="D3" s="34">
        <v>705539</v>
      </c>
      <c r="E3" s="34">
        <v>713720</v>
      </c>
      <c r="F3" s="34">
        <v>722893</v>
      </c>
      <c r="G3" s="34">
        <v>733067</v>
      </c>
      <c r="H3" s="34">
        <v>744013</v>
      </c>
      <c r="I3" s="34">
        <v>757916</v>
      </c>
      <c r="J3" s="34">
        <v>776333</v>
      </c>
      <c r="K3" s="34">
        <v>796930</v>
      </c>
      <c r="L3" s="34">
        <v>819140</v>
      </c>
      <c r="M3" s="34">
        <v>839751</v>
      </c>
      <c r="N3" s="34">
        <v>862011</v>
      </c>
      <c r="O3" s="34">
        <v>865878</v>
      </c>
      <c r="P3" s="34">
        <v>858000</v>
      </c>
      <c r="Q3" s="34">
        <v>847008</v>
      </c>
      <c r="R3" s="34">
        <v>848319</v>
      </c>
      <c r="S3" s="34">
        <v>854802</v>
      </c>
      <c r="T3" s="34">
        <v>864236</v>
      </c>
      <c r="U3" s="34">
        <v>875899</v>
      </c>
      <c r="V3" s="34">
        <v>888005</v>
      </c>
      <c r="W3" s="34">
        <v>896007</v>
      </c>
      <c r="DA3" s="88" t="s">
        <v>187</v>
      </c>
    </row>
    <row r="4" spans="1:105" ht="12" customHeight="1" x14ac:dyDescent="0.25">
      <c r="A4" s="35" t="s">
        <v>178</v>
      </c>
      <c r="B4" s="36">
        <v>14001.580986691202</v>
      </c>
      <c r="C4" s="36">
        <v>14554.931132241149</v>
      </c>
      <c r="D4" s="36">
        <v>15096.831425858363</v>
      </c>
      <c r="E4" s="36">
        <v>15492.844160377474</v>
      </c>
      <c r="F4" s="36">
        <v>16271.685073198067</v>
      </c>
      <c r="G4" s="36">
        <v>17061.225878909572</v>
      </c>
      <c r="H4" s="36">
        <v>17865.436370626681</v>
      </c>
      <c r="I4" s="36">
        <v>18776.351041233043</v>
      </c>
      <c r="J4" s="36">
        <v>19461.097461097459</v>
      </c>
      <c r="K4" s="36">
        <v>19068.891225992222</v>
      </c>
      <c r="L4" s="36">
        <v>19504.204291484177</v>
      </c>
      <c r="M4" s="36">
        <v>19585.663421802721</v>
      </c>
      <c r="N4" s="36">
        <v>18910.498287953596</v>
      </c>
      <c r="O4" s="36">
        <v>17664.574500376981</v>
      </c>
      <c r="P4" s="36">
        <v>17350.932909884876</v>
      </c>
      <c r="Q4" s="36">
        <v>17944.2</v>
      </c>
      <c r="R4" s="36">
        <v>19123.76162936887</v>
      </c>
      <c r="S4" s="36">
        <v>20220.195906665605</v>
      </c>
      <c r="T4" s="36">
        <v>21362.144581875524</v>
      </c>
      <c r="U4" s="36">
        <v>22545.060161273064</v>
      </c>
      <c r="V4" s="36">
        <v>21780.582811498447</v>
      </c>
      <c r="W4" s="36">
        <v>23939.152397506936</v>
      </c>
      <c r="DA4" s="89" t="s">
        <v>188</v>
      </c>
    </row>
    <row r="5" spans="1:105" ht="12" customHeight="1" x14ac:dyDescent="0.25">
      <c r="A5" s="35" t="s">
        <v>147</v>
      </c>
      <c r="B5" s="36">
        <v>9402.2945504426971</v>
      </c>
      <c r="C5" s="36">
        <v>9767.4955077461018</v>
      </c>
      <c r="D5" s="36">
        <v>10047.043092445148</v>
      </c>
      <c r="E5" s="36">
        <v>10312.730473675445</v>
      </c>
      <c r="F5" s="36">
        <v>10837.037209410561</v>
      </c>
      <c r="G5" s="36">
        <v>11427.140140949301</v>
      </c>
      <c r="H5" s="36">
        <v>12048.633764969978</v>
      </c>
      <c r="I5" s="36">
        <v>12606.739380271918</v>
      </c>
      <c r="J5" s="36">
        <v>13113.87826376185</v>
      </c>
      <c r="K5" s="36">
        <v>13307.469069802963</v>
      </c>
      <c r="L5" s="36">
        <v>13899.21244143156</v>
      </c>
      <c r="M5" s="36">
        <v>14300.648250890612</v>
      </c>
      <c r="N5" s="36">
        <v>14013.945369446788</v>
      </c>
      <c r="O5" s="36">
        <v>13265.578205004345</v>
      </c>
      <c r="P5" s="36">
        <v>13166.640181160859</v>
      </c>
      <c r="Q5" s="36">
        <v>13551.099999999999</v>
      </c>
      <c r="R5" s="36">
        <v>14264.744350765639</v>
      </c>
      <c r="S5" s="36">
        <v>15035.091397366399</v>
      </c>
      <c r="T5" s="36">
        <v>15731.041656347517</v>
      </c>
      <c r="U5" s="36">
        <v>16458.906975160295</v>
      </c>
      <c r="V5" s="36">
        <v>15912.208105062749</v>
      </c>
      <c r="W5" s="36">
        <v>17787.987278855857</v>
      </c>
      <c r="DA5" s="89" t="s">
        <v>189</v>
      </c>
    </row>
    <row r="6" spans="1:105" ht="12" customHeight="1" x14ac:dyDescent="0.25">
      <c r="A6" s="37" t="s">
        <v>70</v>
      </c>
      <c r="B6" s="38">
        <v>231510.00000000003</v>
      </c>
      <c r="C6" s="38">
        <v>239300</v>
      </c>
      <c r="D6" s="38">
        <v>243370</v>
      </c>
      <c r="E6" s="38">
        <v>252679.99999999997</v>
      </c>
      <c r="F6" s="38">
        <v>262480</v>
      </c>
      <c r="G6" s="38">
        <v>272400</v>
      </c>
      <c r="H6" s="38">
        <v>279590</v>
      </c>
      <c r="I6" s="38">
        <v>290669.99999999994</v>
      </c>
      <c r="J6" s="38">
        <v>299640.00000000006</v>
      </c>
      <c r="K6" s="38">
        <v>301620</v>
      </c>
      <c r="L6" s="38">
        <v>307180</v>
      </c>
      <c r="M6" s="38">
        <v>312300</v>
      </c>
      <c r="N6" s="38">
        <v>307310</v>
      </c>
      <c r="O6" s="38">
        <v>296500</v>
      </c>
      <c r="P6" s="38">
        <v>294510</v>
      </c>
      <c r="Q6" s="38">
        <v>299810</v>
      </c>
      <c r="R6" s="38">
        <v>313520</v>
      </c>
      <c r="S6" s="38">
        <v>329159.99999999994</v>
      </c>
      <c r="T6" s="38">
        <v>345229.99999999994</v>
      </c>
      <c r="U6" s="38">
        <v>356640</v>
      </c>
      <c r="V6" s="38">
        <v>350140.00000000006</v>
      </c>
      <c r="W6" s="38">
        <v>361530</v>
      </c>
      <c r="DA6" s="90" t="s">
        <v>190</v>
      </c>
    </row>
    <row r="7" spans="1:105" s="2" customFormat="1" ht="12" customHeight="1" x14ac:dyDescent="0.25">
      <c r="DA7" s="7"/>
    </row>
    <row r="8" spans="1:105" ht="12" customHeight="1" x14ac:dyDescent="0.25">
      <c r="A8" s="33" t="s">
        <v>69</v>
      </c>
      <c r="B8" s="34">
        <v>16275.690969441697</v>
      </c>
      <c r="C8" s="34">
        <v>16602.318428732429</v>
      </c>
      <c r="D8" s="34">
        <v>16839.114908157051</v>
      </c>
      <c r="E8" s="34">
        <v>17121.606030851839</v>
      </c>
      <c r="F8" s="34">
        <v>17501.28582415159</v>
      </c>
      <c r="G8" s="34">
        <v>17896.264895794902</v>
      </c>
      <c r="H8" s="34">
        <v>18274.04658327542</v>
      </c>
      <c r="I8" s="34">
        <v>18742.685921310989</v>
      </c>
      <c r="J8" s="34">
        <v>19206.346886543943</v>
      </c>
      <c r="K8" s="34">
        <v>19830.408461658633</v>
      </c>
      <c r="L8" s="34">
        <v>20510.225734665259</v>
      </c>
      <c r="M8" s="34">
        <v>20983.935494143545</v>
      </c>
      <c r="N8" s="34">
        <v>21473.536037340236</v>
      </c>
      <c r="O8" s="34">
        <v>21481.928376746037</v>
      </c>
      <c r="P8" s="34">
        <v>21263.534772894371</v>
      </c>
      <c r="Q8" s="34">
        <v>21123.161918869624</v>
      </c>
      <c r="R8" s="34">
        <v>21299.684710310848</v>
      </c>
      <c r="S8" s="34">
        <v>21597.600117315535</v>
      </c>
      <c r="T8" s="34">
        <v>21894.444918233832</v>
      </c>
      <c r="U8" s="34">
        <v>22183.990637620434</v>
      </c>
      <c r="V8" s="34">
        <v>22434.508888888889</v>
      </c>
      <c r="W8" s="34">
        <v>22675.700517501151</v>
      </c>
      <c r="DA8" s="88" t="s">
        <v>191</v>
      </c>
    </row>
    <row r="9" spans="1:105" ht="12" customHeight="1" x14ac:dyDescent="0.25">
      <c r="A9" s="39" t="s">
        <v>68</v>
      </c>
      <c r="B9" s="40">
        <v>14648.121872497528</v>
      </c>
      <c r="C9" s="40">
        <v>14942.086585859184</v>
      </c>
      <c r="D9" s="40">
        <v>15155.203417341345</v>
      </c>
      <c r="E9" s="40">
        <v>15409.445427766657</v>
      </c>
      <c r="F9" s="40">
        <v>15751.157241736433</v>
      </c>
      <c r="G9" s="40">
        <v>16106.638406215414</v>
      </c>
      <c r="H9" s="40">
        <v>16446.641924947879</v>
      </c>
      <c r="I9" s="40">
        <v>16868.417329179891</v>
      </c>
      <c r="J9" s="40">
        <v>17285.712197889548</v>
      </c>
      <c r="K9" s="40">
        <v>17847.367615492771</v>
      </c>
      <c r="L9" s="40">
        <v>18459.203161198733</v>
      </c>
      <c r="M9" s="40">
        <v>18885.54194472919</v>
      </c>
      <c r="N9" s="40">
        <v>19326.182433606213</v>
      </c>
      <c r="O9" s="40">
        <v>19333.735539071433</v>
      </c>
      <c r="P9" s="40">
        <v>19137.181295604933</v>
      </c>
      <c r="Q9" s="40">
        <v>19010.845726982661</v>
      </c>
      <c r="R9" s="40">
        <v>19169.716239279765</v>
      </c>
      <c r="S9" s="40">
        <v>19437.840105583979</v>
      </c>
      <c r="T9" s="40">
        <v>19705.00042641045</v>
      </c>
      <c r="U9" s="40">
        <v>19965.591573858394</v>
      </c>
      <c r="V9" s="40">
        <v>20191.058000000001</v>
      </c>
      <c r="W9" s="40">
        <v>20408.130465751037</v>
      </c>
      <c r="DA9" s="91" t="s">
        <v>192</v>
      </c>
    </row>
    <row r="10" spans="1:105" ht="12" customHeight="1" x14ac:dyDescent="0.25">
      <c r="A10" s="35" t="s">
        <v>17</v>
      </c>
      <c r="B10" s="41"/>
      <c r="C10" s="41">
        <v>391.51955459205618</v>
      </c>
      <c r="D10" s="41">
        <v>302.97356671211105</v>
      </c>
      <c r="E10" s="41">
        <v>349.95320196844591</v>
      </c>
      <c r="F10" s="41">
        <v>448.42686455957158</v>
      </c>
      <c r="G10" s="41">
        <v>465.01113488929582</v>
      </c>
      <c r="H10" s="41">
        <v>449.09874271266318</v>
      </c>
      <c r="I10" s="41">
        <v>541.88388124696633</v>
      </c>
      <c r="J10" s="41">
        <v>538.83299642359907</v>
      </c>
      <c r="K10" s="41">
        <v>701.16109428458151</v>
      </c>
      <c r="L10" s="41">
        <v>758.84428015576509</v>
      </c>
      <c r="M10" s="41">
        <v>555.94924659283106</v>
      </c>
      <c r="N10" s="41">
        <v>573.76751829049408</v>
      </c>
      <c r="O10" s="41">
        <v>94.486802478846087</v>
      </c>
      <c r="P10" s="41">
        <v>86.094463073044878</v>
      </c>
      <c r="Q10" s="41">
        <v>84.809471086880038</v>
      </c>
      <c r="R10" s="41">
        <v>285.4050693735453</v>
      </c>
      <c r="S10" s="41">
        <v>407.70759623309243</v>
      </c>
      <c r="T10" s="41">
        <v>408.17263657456073</v>
      </c>
      <c r="U10" s="41">
        <v>402.40368288265819</v>
      </c>
      <c r="V10" s="41">
        <v>364.86871847267537</v>
      </c>
      <c r="W10" s="41">
        <v>356.83342700859521</v>
      </c>
      <c r="DA10" s="92" t="s">
        <v>193</v>
      </c>
    </row>
    <row r="11" spans="1:105" ht="12" customHeight="1" x14ac:dyDescent="0.25">
      <c r="A11" s="37" t="s">
        <v>67</v>
      </c>
      <c r="B11" s="42"/>
      <c r="C11" s="42">
        <v>352.36759913285056</v>
      </c>
      <c r="D11" s="42">
        <v>272.67621004089995</v>
      </c>
      <c r="E11" s="42">
        <v>314.95788177160136</v>
      </c>
      <c r="F11" s="42">
        <v>403.58417810361448</v>
      </c>
      <c r="G11" s="42">
        <v>418.51002140036621</v>
      </c>
      <c r="H11" s="42">
        <v>404.18886844139689</v>
      </c>
      <c r="I11" s="42">
        <v>487.69549312226968</v>
      </c>
      <c r="J11" s="42">
        <v>484.94969678123908</v>
      </c>
      <c r="K11" s="42">
        <v>631.04498485612339</v>
      </c>
      <c r="L11" s="42">
        <v>682.95985214018856</v>
      </c>
      <c r="M11" s="42">
        <v>500.35432193354796</v>
      </c>
      <c r="N11" s="42">
        <v>516.39076646144474</v>
      </c>
      <c r="O11" s="42">
        <v>85.038122230961477</v>
      </c>
      <c r="P11" s="42">
        <v>77.485016765740383</v>
      </c>
      <c r="Q11" s="42">
        <v>76.328523978192038</v>
      </c>
      <c r="R11" s="42">
        <v>256.86456243619079</v>
      </c>
      <c r="S11" s="42">
        <v>366.93683660978314</v>
      </c>
      <c r="T11" s="42">
        <v>367.35537291710466</v>
      </c>
      <c r="U11" s="42">
        <v>362.16331459439238</v>
      </c>
      <c r="V11" s="42">
        <v>328.38184662540783</v>
      </c>
      <c r="W11" s="42">
        <v>321.15008430773571</v>
      </c>
      <c r="DA11" s="93" t="s">
        <v>194</v>
      </c>
    </row>
    <row r="12" spans="1:105" s="2" customFormat="1" ht="12" customHeight="1" x14ac:dyDescent="0.25">
      <c r="DA12" s="7"/>
    </row>
    <row r="13" spans="1:105" ht="12" customHeight="1" x14ac:dyDescent="0.25">
      <c r="A13" s="33" t="s">
        <v>66</v>
      </c>
      <c r="B13" s="43">
        <v>863.34</v>
      </c>
      <c r="C13" s="43">
        <v>636.57000000000005</v>
      </c>
      <c r="D13" s="43">
        <v>714.82</v>
      </c>
      <c r="E13" s="43">
        <v>793.64</v>
      </c>
      <c r="F13" s="43">
        <v>844.33</v>
      </c>
      <c r="G13" s="43">
        <v>767.46</v>
      </c>
      <c r="H13" s="43">
        <v>852.91</v>
      </c>
      <c r="I13" s="43">
        <v>804.12</v>
      </c>
      <c r="J13" s="43">
        <v>734.66</v>
      </c>
      <c r="K13" s="43">
        <v>710.65</v>
      </c>
      <c r="L13" s="43">
        <v>498.76</v>
      </c>
      <c r="M13" s="43">
        <v>794.38</v>
      </c>
      <c r="N13" s="43">
        <v>817.04</v>
      </c>
      <c r="O13" s="43">
        <v>707.11</v>
      </c>
      <c r="P13" s="43">
        <v>523.15</v>
      </c>
      <c r="Q13" s="43">
        <v>749.52</v>
      </c>
      <c r="R13" s="43">
        <v>677.81</v>
      </c>
      <c r="S13" s="43">
        <v>720.83</v>
      </c>
      <c r="T13" s="43">
        <v>470.75</v>
      </c>
      <c r="U13" s="43">
        <v>693.06</v>
      </c>
      <c r="V13" s="43">
        <v>630.45000000000005</v>
      </c>
      <c r="W13" s="43">
        <v>609.84</v>
      </c>
      <c r="DA13" s="94" t="s">
        <v>195</v>
      </c>
    </row>
    <row r="14" spans="1:105" ht="12" customHeight="1" x14ac:dyDescent="0.25">
      <c r="A14" s="35" t="s">
        <v>148</v>
      </c>
      <c r="B14" s="44">
        <f>AVERAGE($B$13:$V$13)</f>
        <v>714.54095238095226</v>
      </c>
      <c r="C14" s="44">
        <f t="shared" ref="C14:W14" si="0">AVERAGE($B$13:$V$13)</f>
        <v>714.54095238095226</v>
      </c>
      <c r="D14" s="44">
        <f t="shared" si="0"/>
        <v>714.54095238095226</v>
      </c>
      <c r="E14" s="44">
        <f t="shared" si="0"/>
        <v>714.54095238095226</v>
      </c>
      <c r="F14" s="44">
        <f t="shared" si="0"/>
        <v>714.54095238095226</v>
      </c>
      <c r="G14" s="44">
        <f t="shared" si="0"/>
        <v>714.54095238095226</v>
      </c>
      <c r="H14" s="44">
        <f t="shared" si="0"/>
        <v>714.54095238095226</v>
      </c>
      <c r="I14" s="44">
        <f t="shared" si="0"/>
        <v>714.54095238095226</v>
      </c>
      <c r="J14" s="44">
        <f t="shared" si="0"/>
        <v>714.54095238095226</v>
      </c>
      <c r="K14" s="44">
        <f t="shared" si="0"/>
        <v>714.54095238095226</v>
      </c>
      <c r="L14" s="44">
        <f t="shared" si="0"/>
        <v>714.54095238095226</v>
      </c>
      <c r="M14" s="44">
        <f t="shared" si="0"/>
        <v>714.54095238095226</v>
      </c>
      <c r="N14" s="44">
        <f t="shared" si="0"/>
        <v>714.54095238095226</v>
      </c>
      <c r="O14" s="44">
        <f t="shared" si="0"/>
        <v>714.54095238095226</v>
      </c>
      <c r="P14" s="44">
        <f t="shared" si="0"/>
        <v>714.54095238095226</v>
      </c>
      <c r="Q14" s="44">
        <f t="shared" si="0"/>
        <v>714.54095238095226</v>
      </c>
      <c r="R14" s="44">
        <f t="shared" si="0"/>
        <v>714.54095238095226</v>
      </c>
      <c r="S14" s="44">
        <f t="shared" si="0"/>
        <v>714.54095238095226</v>
      </c>
      <c r="T14" s="44">
        <f t="shared" si="0"/>
        <v>714.54095238095226</v>
      </c>
      <c r="U14" s="44">
        <f t="shared" si="0"/>
        <v>714.54095238095226</v>
      </c>
      <c r="V14" s="44">
        <f t="shared" si="0"/>
        <v>714.54095238095226</v>
      </c>
      <c r="W14" s="44">
        <f t="shared" si="0"/>
        <v>714.54095238095226</v>
      </c>
      <c r="DA14" s="95" t="s">
        <v>196</v>
      </c>
    </row>
    <row r="15" spans="1:105" ht="12" customHeight="1" x14ac:dyDescent="0.25">
      <c r="A15" s="45" t="s">
        <v>65</v>
      </c>
      <c r="B15" s="46">
        <f>B13/B14</f>
        <v>1.2082442540532186</v>
      </c>
      <c r="C15" s="46">
        <f t="shared" ref="C15:W15" si="1">C13/C14</f>
        <v>0.89087965900185018</v>
      </c>
      <c r="D15" s="46">
        <f t="shared" si="1"/>
        <v>1.00039052711831</v>
      </c>
      <c r="E15" s="46">
        <f t="shared" si="1"/>
        <v>1.1106991101846275</v>
      </c>
      <c r="F15" s="46">
        <f t="shared" si="1"/>
        <v>1.1816397607255009</v>
      </c>
      <c r="G15" s="46">
        <f t="shared" si="1"/>
        <v>1.0740602024876447</v>
      </c>
      <c r="H15" s="46">
        <f t="shared" si="1"/>
        <v>1.1936474699707307</v>
      </c>
      <c r="I15" s="46">
        <f t="shared" si="1"/>
        <v>1.1253658692627171</v>
      </c>
      <c r="J15" s="46">
        <f t="shared" si="1"/>
        <v>1.0281566053730136</v>
      </c>
      <c r="K15" s="46">
        <f t="shared" si="1"/>
        <v>0.99455461248513877</v>
      </c>
      <c r="L15" s="46">
        <f t="shared" si="1"/>
        <v>0.69801457612479823</v>
      </c>
      <c r="M15" s="46">
        <f t="shared" si="1"/>
        <v>1.1117347401195308</v>
      </c>
      <c r="N15" s="46">
        <f t="shared" si="1"/>
        <v>1.143447408126163</v>
      </c>
      <c r="O15" s="46">
        <f t="shared" si="1"/>
        <v>0.9896003827965475</v>
      </c>
      <c r="P15" s="46">
        <f t="shared" si="1"/>
        <v>0.73214837897924478</v>
      </c>
      <c r="Q15" s="46">
        <f t="shared" si="1"/>
        <v>1.0489531740658007</v>
      </c>
      <c r="R15" s="46">
        <f t="shared" si="1"/>
        <v>0.94859503537402645</v>
      </c>
      <c r="S15" s="46">
        <f t="shared" si="1"/>
        <v>1.0088015215896189</v>
      </c>
      <c r="T15" s="46">
        <f t="shared" si="1"/>
        <v>0.65881458358879774</v>
      </c>
      <c r="U15" s="46">
        <f t="shared" si="1"/>
        <v>0.9699374090325058</v>
      </c>
      <c r="V15" s="46">
        <f t="shared" si="1"/>
        <v>0.88231471954021778</v>
      </c>
      <c r="W15" s="46">
        <f t="shared" si="1"/>
        <v>0.85347102635325001</v>
      </c>
      <c r="DA15" s="96" t="s">
        <v>197</v>
      </c>
    </row>
    <row r="16" spans="1:105" s="2" customFormat="1" ht="12" customHeight="1" x14ac:dyDescent="0.25">
      <c r="DA16" s="7"/>
    </row>
    <row r="17" spans="1:105" s="2" customFormat="1" ht="12.95" customHeight="1" x14ac:dyDescent="0.25">
      <c r="A17" s="47" t="s">
        <v>64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DA17" s="97"/>
    </row>
    <row r="18" spans="1:105" s="2" customFormat="1" ht="12" customHeight="1" x14ac:dyDescent="0.25">
      <c r="DA18" s="7"/>
    </row>
    <row r="19" spans="1:105" ht="12" customHeight="1" x14ac:dyDescent="0.25">
      <c r="A19" s="49" t="s">
        <v>149</v>
      </c>
      <c r="B19" s="34">
        <f t="shared" ref="B19:C19" si="2">B4*1000000/B3</f>
        <v>20277.540650706957</v>
      </c>
      <c r="C19" s="34">
        <f t="shared" si="2"/>
        <v>20865.818934929513</v>
      </c>
      <c r="D19" s="34">
        <f t="shared" ref="D19:W19" si="3">D4*1000000/D3</f>
        <v>21397.585995754118</v>
      </c>
      <c r="E19" s="34">
        <f t="shared" si="3"/>
        <v>21707.173906262222</v>
      </c>
      <c r="F19" s="34">
        <f t="shared" si="3"/>
        <v>22509.119708169903</v>
      </c>
      <c r="G19" s="34">
        <f t="shared" si="3"/>
        <v>23273.760623394006</v>
      </c>
      <c r="H19" s="34">
        <f t="shared" si="3"/>
        <v>24012.263724728844</v>
      </c>
      <c r="I19" s="34">
        <f t="shared" si="3"/>
        <v>24773.657029582493</v>
      </c>
      <c r="J19" s="34">
        <f t="shared" si="3"/>
        <v>25067.976578475289</v>
      </c>
      <c r="K19" s="34">
        <f t="shared" si="3"/>
        <v>23927.937492618199</v>
      </c>
      <c r="L19" s="34">
        <f t="shared" si="3"/>
        <v>23810.58706873572</v>
      </c>
      <c r="M19" s="34">
        <f t="shared" si="3"/>
        <v>23323.179635156997</v>
      </c>
      <c r="N19" s="34">
        <f t="shared" si="3"/>
        <v>21937.653101820739</v>
      </c>
      <c r="O19" s="34">
        <f t="shared" si="3"/>
        <v>20400.766043688578</v>
      </c>
      <c r="P19" s="34">
        <f t="shared" si="3"/>
        <v>20222.532529003351</v>
      </c>
      <c r="Q19" s="34">
        <f t="shared" si="3"/>
        <v>21185.396123767427</v>
      </c>
      <c r="R19" s="34">
        <f t="shared" si="3"/>
        <v>22543.12543909646</v>
      </c>
      <c r="S19" s="34">
        <f t="shared" si="3"/>
        <v>23654.8298982286</v>
      </c>
      <c r="T19" s="34">
        <f t="shared" si="3"/>
        <v>24717.952714160856</v>
      </c>
      <c r="U19" s="34">
        <f t="shared" si="3"/>
        <v>25739.337710481534</v>
      </c>
      <c r="V19" s="34">
        <f t="shared" si="3"/>
        <v>24527.545240734507</v>
      </c>
      <c r="W19" s="34">
        <f t="shared" si="3"/>
        <v>26717.595283861549</v>
      </c>
      <c r="DA19" s="88"/>
    </row>
    <row r="20" spans="1:105" ht="12" customHeight="1" x14ac:dyDescent="0.25">
      <c r="A20" s="50" t="s">
        <v>150</v>
      </c>
      <c r="B20" s="36">
        <f t="shared" ref="B20:C20" si="4">B5*1000000/B6</f>
        <v>40612.908947530115</v>
      </c>
      <c r="C20" s="36">
        <f t="shared" si="4"/>
        <v>40816.947378796911</v>
      </c>
      <c r="D20" s="36">
        <f t="shared" ref="D20:W20" si="5">D5*1000000/D6</f>
        <v>41282.997462485713</v>
      </c>
      <c r="E20" s="36">
        <f t="shared" si="5"/>
        <v>40813.402222872595</v>
      </c>
      <c r="F20" s="36">
        <f t="shared" si="5"/>
        <v>41287.096957522706</v>
      </c>
      <c r="G20" s="36">
        <f t="shared" si="5"/>
        <v>41949.853674556907</v>
      </c>
      <c r="H20" s="36">
        <f t="shared" si="5"/>
        <v>43093.936710790724</v>
      </c>
      <c r="I20" s="36">
        <f t="shared" si="5"/>
        <v>43371.312417077512</v>
      </c>
      <c r="J20" s="36">
        <f t="shared" si="5"/>
        <v>43765.44608117023</v>
      </c>
      <c r="K20" s="36">
        <f t="shared" si="5"/>
        <v>44119.982328104779</v>
      </c>
      <c r="L20" s="36">
        <f t="shared" si="5"/>
        <v>45247.777984997592</v>
      </c>
      <c r="M20" s="36">
        <f t="shared" si="5"/>
        <v>45791.380886617393</v>
      </c>
      <c r="N20" s="36">
        <f t="shared" si="5"/>
        <v>45601.982914473294</v>
      </c>
      <c r="O20" s="36">
        <f t="shared" si="5"/>
        <v>44740.567301869625</v>
      </c>
      <c r="P20" s="36">
        <f t="shared" si="5"/>
        <v>44706.937561240229</v>
      </c>
      <c r="Q20" s="36">
        <f t="shared" si="5"/>
        <v>45198.959340915906</v>
      </c>
      <c r="R20" s="36">
        <f t="shared" si="5"/>
        <v>45498.674249699026</v>
      </c>
      <c r="S20" s="36">
        <f t="shared" si="5"/>
        <v>45677.152136852601</v>
      </c>
      <c r="T20" s="36">
        <f t="shared" si="5"/>
        <v>45566.844296114243</v>
      </c>
      <c r="U20" s="36">
        <f t="shared" si="5"/>
        <v>46149.918615859955</v>
      </c>
      <c r="V20" s="36">
        <f t="shared" si="5"/>
        <v>45445.273619302985</v>
      </c>
      <c r="W20" s="36">
        <f t="shared" si="5"/>
        <v>49201.967413093953</v>
      </c>
      <c r="DA20" s="89"/>
    </row>
    <row r="21" spans="1:105" ht="12" customHeight="1" x14ac:dyDescent="0.25">
      <c r="A21" s="50" t="s">
        <v>151</v>
      </c>
      <c r="B21" s="36">
        <f t="shared" ref="B21:C21" si="6">B5*1000000/B3</f>
        <v>13616.705866126424</v>
      </c>
      <c r="C21" s="36">
        <f t="shared" si="6"/>
        <v>14002.594094101061</v>
      </c>
      <c r="D21" s="36">
        <f t="shared" ref="D21:W21" si="7">D5*1000000/D3</f>
        <v>14240.237736603007</v>
      </c>
      <c r="E21" s="36">
        <f t="shared" si="7"/>
        <v>14449.266482199526</v>
      </c>
      <c r="F21" s="36">
        <f t="shared" si="7"/>
        <v>14991.205073794546</v>
      </c>
      <c r="G21" s="36">
        <f t="shared" si="7"/>
        <v>15588.12515220205</v>
      </c>
      <c r="H21" s="36">
        <f t="shared" si="7"/>
        <v>16194.117260007524</v>
      </c>
      <c r="I21" s="36">
        <f t="shared" si="7"/>
        <v>16633.4255778634</v>
      </c>
      <c r="J21" s="36">
        <f t="shared" si="7"/>
        <v>16892.07886791087</v>
      </c>
      <c r="K21" s="36">
        <f t="shared" si="7"/>
        <v>16698.41651061318</v>
      </c>
      <c r="L21" s="36">
        <f t="shared" si="7"/>
        <v>16968.054839748467</v>
      </c>
      <c r="M21" s="36">
        <f t="shared" si="7"/>
        <v>17029.629319751464</v>
      </c>
      <c r="N21" s="36">
        <f t="shared" si="7"/>
        <v>16257.269767377433</v>
      </c>
      <c r="O21" s="36">
        <f t="shared" si="7"/>
        <v>15320.37793430985</v>
      </c>
      <c r="P21" s="36">
        <f t="shared" si="7"/>
        <v>15345.73447687746</v>
      </c>
      <c r="Q21" s="36">
        <f t="shared" si="7"/>
        <v>15998.78631606785</v>
      </c>
      <c r="R21" s="36">
        <f t="shared" si="7"/>
        <v>16815.30691964419</v>
      </c>
      <c r="S21" s="36">
        <f t="shared" si="7"/>
        <v>17588.975455563275</v>
      </c>
      <c r="T21" s="36">
        <f t="shared" si="7"/>
        <v>18202.252227802957</v>
      </c>
      <c r="U21" s="36">
        <f t="shared" si="7"/>
        <v>18790.873120257354</v>
      </c>
      <c r="V21" s="36">
        <f t="shared" si="7"/>
        <v>17919.05237590188</v>
      </c>
      <c r="W21" s="36">
        <f t="shared" si="7"/>
        <v>19852.509275994336</v>
      </c>
      <c r="DA21" s="89"/>
    </row>
    <row r="22" spans="1:105" ht="12" customHeight="1" x14ac:dyDescent="0.25">
      <c r="A22" s="51" t="s">
        <v>152</v>
      </c>
      <c r="B22" s="52">
        <v>0.93593917128219251</v>
      </c>
      <c r="C22" s="52">
        <v>0.93800780622050639</v>
      </c>
      <c r="D22" s="52">
        <v>0.93575496434620853</v>
      </c>
      <c r="E22" s="52">
        <v>0.93895416307660751</v>
      </c>
      <c r="F22" s="52">
        <v>0.95187047721002216</v>
      </c>
      <c r="G22" s="52">
        <v>0.97014340099814078</v>
      </c>
      <c r="H22" s="52">
        <v>0.97938348372488426</v>
      </c>
      <c r="I22" s="52">
        <v>0.97624530827278366</v>
      </c>
      <c r="J22" s="52">
        <v>0.97855794188749023</v>
      </c>
      <c r="K22" s="52">
        <v>0.98955812327329995</v>
      </c>
      <c r="L22" s="52">
        <v>0.99213508571010955</v>
      </c>
      <c r="M22" s="52">
        <v>0.97718635820682787</v>
      </c>
      <c r="N22" s="52">
        <v>0.93570796917643173</v>
      </c>
      <c r="O22" s="52">
        <v>0.87844258591020297</v>
      </c>
      <c r="P22" s="52">
        <v>0.86851939714115167</v>
      </c>
      <c r="Q22" s="52">
        <v>0.89248256330349296</v>
      </c>
      <c r="R22" s="52">
        <v>0.92304572809572061</v>
      </c>
      <c r="S22" s="52">
        <v>0.94071061848480031</v>
      </c>
      <c r="T22" s="52">
        <v>0.95337438422764031</v>
      </c>
      <c r="U22" s="52">
        <v>0.96577956515946273</v>
      </c>
      <c r="V22" s="52">
        <v>0.97565784546549472</v>
      </c>
      <c r="W22" s="52">
        <v>1.0259279243553998</v>
      </c>
      <c r="DA22" s="98"/>
    </row>
    <row r="23" spans="1:105" ht="12" customHeight="1" x14ac:dyDescent="0.25">
      <c r="A23" s="49" t="s">
        <v>63</v>
      </c>
      <c r="B23" s="53">
        <f t="shared" ref="B23:C23" si="8">B6/B8</f>
        <v>14.224280888268886</v>
      </c>
      <c r="C23" s="53">
        <f t="shared" si="8"/>
        <v>14.413649577149467</v>
      </c>
      <c r="D23" s="53">
        <f t="shared" ref="D23:W23" si="9">D6/D8</f>
        <v>14.452659853405295</v>
      </c>
      <c r="E23" s="53">
        <f t="shared" si="9"/>
        <v>14.757961346890573</v>
      </c>
      <c r="F23" s="53">
        <f t="shared" si="9"/>
        <v>14.997755172810239</v>
      </c>
      <c r="G23" s="53">
        <f t="shared" si="9"/>
        <v>15.221053196636914</v>
      </c>
      <c r="H23" s="53">
        <f t="shared" si="9"/>
        <v>15.299840608696019</v>
      </c>
      <c r="I23" s="53">
        <f t="shared" si="9"/>
        <v>15.50844960110544</v>
      </c>
      <c r="J23" s="53">
        <f t="shared" si="9"/>
        <v>15.601092793441591</v>
      </c>
      <c r="K23" s="53">
        <f t="shared" si="9"/>
        <v>15.20997414567487</v>
      </c>
      <c r="L23" s="53">
        <f t="shared" si="9"/>
        <v>14.976919511949651</v>
      </c>
      <c r="M23" s="53">
        <f t="shared" si="9"/>
        <v>14.88281357361018</v>
      </c>
      <c r="N23" s="53">
        <f t="shared" si="9"/>
        <v>14.311103651751626</v>
      </c>
      <c r="O23" s="53">
        <f t="shared" si="9"/>
        <v>13.802299067385317</v>
      </c>
      <c r="P23" s="53">
        <f t="shared" si="9"/>
        <v>13.850472329531295</v>
      </c>
      <c r="Q23" s="53">
        <f t="shared" si="9"/>
        <v>14.193424315522357</v>
      </c>
      <c r="R23" s="53">
        <f t="shared" si="9"/>
        <v>14.719466708736295</v>
      </c>
      <c r="S23" s="53">
        <f t="shared" si="9"/>
        <v>15.240582204135778</v>
      </c>
      <c r="T23" s="53">
        <f t="shared" si="9"/>
        <v>15.767926580887657</v>
      </c>
      <c r="U23" s="53">
        <f t="shared" si="9"/>
        <v>16.076458281369657</v>
      </c>
      <c r="V23" s="53">
        <f t="shared" si="9"/>
        <v>15.607205922542546</v>
      </c>
      <c r="W23" s="53">
        <f t="shared" si="9"/>
        <v>15.943498624043409</v>
      </c>
      <c r="DA23" s="99"/>
    </row>
    <row r="24" spans="1:105" ht="12" customHeight="1" x14ac:dyDescent="0.25">
      <c r="A24" s="50" t="s">
        <v>62</v>
      </c>
      <c r="B24" s="54">
        <f t="shared" ref="B24:C24" si="10">B9*1000/B3</f>
        <v>21.213881990070238</v>
      </c>
      <c r="C24" s="54">
        <f t="shared" si="10"/>
        <v>21.420841526343217</v>
      </c>
      <c r="D24" s="54">
        <f t="shared" ref="D24:W24" si="11">D9*1000/D3</f>
        <v>21.480319893501768</v>
      </c>
      <c r="E24" s="54">
        <f t="shared" si="11"/>
        <v>21.590323134796076</v>
      </c>
      <c r="F24" s="54">
        <f t="shared" si="11"/>
        <v>21.78905763610442</v>
      </c>
      <c r="G24" s="54">
        <f t="shared" si="11"/>
        <v>21.971577504123655</v>
      </c>
      <c r="H24" s="54">
        <f t="shared" si="11"/>
        <v>22.105315263238516</v>
      </c>
      <c r="I24" s="54">
        <f t="shared" si="11"/>
        <v>22.256315118271537</v>
      </c>
      <c r="J24" s="54">
        <f t="shared" si="11"/>
        <v>22.265847513746738</v>
      </c>
      <c r="K24" s="54">
        <f t="shared" si="11"/>
        <v>22.395150910986878</v>
      </c>
      <c r="L24" s="54">
        <f t="shared" si="11"/>
        <v>22.534857486142457</v>
      </c>
      <c r="M24" s="54">
        <f t="shared" si="11"/>
        <v>22.489454546322886</v>
      </c>
      <c r="N24" s="54">
        <f t="shared" si="11"/>
        <v>22.419879135656288</v>
      </c>
      <c r="O24" s="54">
        <f t="shared" si="11"/>
        <v>22.328475303762694</v>
      </c>
      <c r="P24" s="54">
        <f t="shared" si="11"/>
        <v>22.304407104434652</v>
      </c>
      <c r="Q24" s="54">
        <f t="shared" si="11"/>
        <v>22.444706221172243</v>
      </c>
      <c r="R24" s="54">
        <f t="shared" si="11"/>
        <v>22.597296817918455</v>
      </c>
      <c r="S24" s="54">
        <f t="shared" si="11"/>
        <v>22.739581921408675</v>
      </c>
      <c r="T24" s="54">
        <f t="shared" si="11"/>
        <v>22.800485546089785</v>
      </c>
      <c r="U24" s="54">
        <f t="shared" si="11"/>
        <v>22.794399324417991</v>
      </c>
      <c r="V24" s="54">
        <f t="shared" si="11"/>
        <v>22.737549901182987</v>
      </c>
      <c r="W24" s="54">
        <f t="shared" si="11"/>
        <v>22.776753379997071</v>
      </c>
      <c r="DA24" s="100"/>
    </row>
    <row r="25" spans="1:105" ht="12" customHeight="1" x14ac:dyDescent="0.25">
      <c r="A25" s="50" t="s">
        <v>61</v>
      </c>
      <c r="B25" s="54">
        <f t="shared" ref="B25:C25" si="12">B9*1000/B6</f>
        <v>63.272091367532838</v>
      </c>
      <c r="C25" s="54">
        <f t="shared" si="12"/>
        <v>62.440813146089369</v>
      </c>
      <c r="D25" s="54">
        <f t="shared" ref="D25:W25" si="13">D9*1000/D6</f>
        <v>62.272274386084334</v>
      </c>
      <c r="E25" s="54">
        <f t="shared" si="13"/>
        <v>60.984032878607955</v>
      </c>
      <c r="F25" s="54">
        <f t="shared" si="13"/>
        <v>60.008980652759952</v>
      </c>
      <c r="G25" s="54">
        <f t="shared" si="13"/>
        <v>59.128628510335588</v>
      </c>
      <c r="H25" s="54">
        <f t="shared" si="13"/>
        <v>58.824142225930395</v>
      </c>
      <c r="I25" s="54">
        <f t="shared" si="13"/>
        <v>58.032880342587447</v>
      </c>
      <c r="J25" s="54">
        <f t="shared" si="13"/>
        <v>57.688266579527244</v>
      </c>
      <c r="K25" s="54">
        <f t="shared" si="13"/>
        <v>59.171698214616974</v>
      </c>
      <c r="L25" s="54">
        <f t="shared" si="13"/>
        <v>60.092464226833556</v>
      </c>
      <c r="M25" s="54">
        <f t="shared" si="13"/>
        <v>60.472436582546237</v>
      </c>
      <c r="N25" s="54">
        <f t="shared" si="13"/>
        <v>62.88823153690479</v>
      </c>
      <c r="O25" s="54">
        <f t="shared" si="13"/>
        <v>65.206527956396059</v>
      </c>
      <c r="P25" s="54">
        <f t="shared" si="13"/>
        <v>64.979733440646953</v>
      </c>
      <c r="Q25" s="54">
        <f t="shared" si="13"/>
        <v>63.409645198567965</v>
      </c>
      <c r="R25" s="54">
        <f t="shared" si="13"/>
        <v>61.143519517988537</v>
      </c>
      <c r="S25" s="54">
        <f t="shared" si="13"/>
        <v>59.052862150880969</v>
      </c>
      <c r="T25" s="54">
        <f t="shared" si="13"/>
        <v>57.077891337399571</v>
      </c>
      <c r="U25" s="54">
        <f t="shared" si="13"/>
        <v>55.982479738274996</v>
      </c>
      <c r="V25" s="54">
        <f t="shared" si="13"/>
        <v>57.665670874507327</v>
      </c>
      <c r="W25" s="54">
        <f t="shared" si="13"/>
        <v>56.449341591986936</v>
      </c>
      <c r="DA25" s="100"/>
    </row>
    <row r="26" spans="1:105" ht="12" customHeight="1" x14ac:dyDescent="0.25">
      <c r="A26" s="50" t="s">
        <v>60</v>
      </c>
      <c r="B26" s="55">
        <f t="shared" ref="B26:C26" si="14">B9*1000/B8</f>
        <v>900.00000000000011</v>
      </c>
      <c r="C26" s="55">
        <f t="shared" si="14"/>
        <v>899.99999999999989</v>
      </c>
      <c r="D26" s="55">
        <f t="shared" ref="D26:W26" si="15">D9*1000/D8</f>
        <v>899.99999999999989</v>
      </c>
      <c r="E26" s="55">
        <f t="shared" si="15"/>
        <v>900.00000000000011</v>
      </c>
      <c r="F26" s="55">
        <f t="shared" si="15"/>
        <v>900.00000000000011</v>
      </c>
      <c r="G26" s="55">
        <f t="shared" si="15"/>
        <v>900.00000000000011</v>
      </c>
      <c r="H26" s="55">
        <f t="shared" si="15"/>
        <v>900</v>
      </c>
      <c r="I26" s="55">
        <f t="shared" si="15"/>
        <v>900</v>
      </c>
      <c r="J26" s="55">
        <f t="shared" si="15"/>
        <v>900</v>
      </c>
      <c r="K26" s="55">
        <f t="shared" si="15"/>
        <v>900.00000000000011</v>
      </c>
      <c r="L26" s="55">
        <f t="shared" si="15"/>
        <v>899.99999999999989</v>
      </c>
      <c r="M26" s="55">
        <f t="shared" si="15"/>
        <v>900</v>
      </c>
      <c r="N26" s="55">
        <f t="shared" si="15"/>
        <v>899.99999999999989</v>
      </c>
      <c r="O26" s="55">
        <f t="shared" si="15"/>
        <v>900</v>
      </c>
      <c r="P26" s="55">
        <f t="shared" si="15"/>
        <v>900</v>
      </c>
      <c r="Q26" s="55">
        <f t="shared" si="15"/>
        <v>900</v>
      </c>
      <c r="R26" s="55">
        <f t="shared" si="15"/>
        <v>900.00000000000011</v>
      </c>
      <c r="S26" s="55">
        <f t="shared" si="15"/>
        <v>899.99999999999977</v>
      </c>
      <c r="T26" s="55">
        <f t="shared" si="15"/>
        <v>900.00000000000011</v>
      </c>
      <c r="U26" s="55">
        <f t="shared" si="15"/>
        <v>900.00000000000023</v>
      </c>
      <c r="V26" s="55">
        <f t="shared" si="15"/>
        <v>900</v>
      </c>
      <c r="W26" s="55">
        <f t="shared" si="15"/>
        <v>900</v>
      </c>
      <c r="DA26" s="101"/>
    </row>
    <row r="27" spans="1:105" ht="12" customHeight="1" x14ac:dyDescent="0.25">
      <c r="A27" s="51" t="s">
        <v>59</v>
      </c>
      <c r="B27" s="56" t="str">
        <f t="shared" ref="B27:C27" si="16">IF(SUM(B11)=0,"",B11*1000/B10)</f>
        <v/>
      </c>
      <c r="C27" s="57">
        <f t="shared" si="16"/>
        <v>899.99999999999989</v>
      </c>
      <c r="D27" s="57">
        <f t="shared" ref="D27:W27" si="17">IF(SUM(D11)=0,"",D11*1000/D10)</f>
        <v>899.99999999999989</v>
      </c>
      <c r="E27" s="57">
        <f t="shared" si="17"/>
        <v>900.00000000000023</v>
      </c>
      <c r="F27" s="57">
        <f t="shared" si="17"/>
        <v>900.00000000000011</v>
      </c>
      <c r="G27" s="57">
        <f t="shared" si="17"/>
        <v>900</v>
      </c>
      <c r="H27" s="57">
        <f t="shared" si="17"/>
        <v>900.00000000000011</v>
      </c>
      <c r="I27" s="57">
        <f t="shared" si="17"/>
        <v>900</v>
      </c>
      <c r="J27" s="57">
        <f t="shared" si="17"/>
        <v>899.99999999999977</v>
      </c>
      <c r="K27" s="57">
        <f t="shared" si="17"/>
        <v>900</v>
      </c>
      <c r="L27" s="57">
        <f t="shared" si="17"/>
        <v>900</v>
      </c>
      <c r="M27" s="57">
        <f t="shared" si="17"/>
        <v>900</v>
      </c>
      <c r="N27" s="57">
        <f t="shared" si="17"/>
        <v>900.00000000000011</v>
      </c>
      <c r="O27" s="57">
        <f t="shared" si="17"/>
        <v>900</v>
      </c>
      <c r="P27" s="57">
        <f t="shared" si="17"/>
        <v>899.99999999999989</v>
      </c>
      <c r="Q27" s="57">
        <f t="shared" si="17"/>
        <v>900.00000000000011</v>
      </c>
      <c r="R27" s="57">
        <f t="shared" si="17"/>
        <v>900</v>
      </c>
      <c r="S27" s="57">
        <f t="shared" si="17"/>
        <v>899.99999999999977</v>
      </c>
      <c r="T27" s="57">
        <f t="shared" si="17"/>
        <v>900.00000000000011</v>
      </c>
      <c r="U27" s="57">
        <f t="shared" si="17"/>
        <v>900</v>
      </c>
      <c r="V27" s="57">
        <f t="shared" si="17"/>
        <v>899.99999999999989</v>
      </c>
      <c r="W27" s="57">
        <f t="shared" si="17"/>
        <v>900.00000000000011</v>
      </c>
      <c r="DA27" s="102"/>
    </row>
    <row r="28" spans="1:105" s="2" customFormat="1" ht="12" customHeight="1" x14ac:dyDescent="0.25">
      <c r="DA28" s="7"/>
    </row>
    <row r="29" spans="1:105" s="2" customFormat="1" ht="12.95" customHeight="1" x14ac:dyDescent="0.25">
      <c r="A29" s="47" t="s">
        <v>58</v>
      </c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DA29" s="97"/>
    </row>
    <row r="30" spans="1:105" s="2" customFormat="1" ht="12" customHeight="1" x14ac:dyDescent="0.25">
      <c r="DA30" s="7"/>
    </row>
    <row r="31" spans="1:105" ht="12.95" customHeight="1" x14ac:dyDescent="0.25">
      <c r="A31" s="79" t="s">
        <v>57</v>
      </c>
      <c r="B31" s="80">
        <f>SUM(B32:B33,B36:B37,B44:B45)</f>
        <v>153.45398041081992</v>
      </c>
      <c r="C31" s="80">
        <f t="shared" ref="C31:W31" si="18">SUM(C32:C33,C36:C37,C44:C45)</f>
        <v>164.23063096836103</v>
      </c>
      <c r="D31" s="80">
        <f t="shared" si="18"/>
        <v>175.05112702354037</v>
      </c>
      <c r="E31" s="80">
        <f t="shared" si="18"/>
        <v>181.89014249882763</v>
      </c>
      <c r="F31" s="80">
        <f t="shared" si="18"/>
        <v>185.12876041811239</v>
      </c>
      <c r="G31" s="80">
        <f t="shared" si="18"/>
        <v>192.13269141094395</v>
      </c>
      <c r="H31" s="80">
        <f t="shared" si="18"/>
        <v>220.09604471195186</v>
      </c>
      <c r="I31" s="80">
        <f t="shared" si="18"/>
        <v>229.76562586582003</v>
      </c>
      <c r="J31" s="80">
        <f t="shared" si="18"/>
        <v>252.23705959047874</v>
      </c>
      <c r="K31" s="80">
        <f t="shared" si="18"/>
        <v>255.21515679809755</v>
      </c>
      <c r="L31" s="80">
        <f t="shared" si="18"/>
        <v>268.79099290806954</v>
      </c>
      <c r="M31" s="80">
        <f t="shared" si="18"/>
        <v>262.65715177813712</v>
      </c>
      <c r="N31" s="80">
        <f t="shared" si="18"/>
        <v>241.00771009700915</v>
      </c>
      <c r="O31" s="80">
        <f t="shared" si="18"/>
        <v>221.13437288740312</v>
      </c>
      <c r="P31" s="80">
        <f t="shared" si="18"/>
        <v>222.25928924497549</v>
      </c>
      <c r="Q31" s="80">
        <f t="shared" si="18"/>
        <v>225.07572514055391</v>
      </c>
      <c r="R31" s="80">
        <f t="shared" si="18"/>
        <v>239.26852620428613</v>
      </c>
      <c r="S31" s="80">
        <f t="shared" si="18"/>
        <v>249.91184972828319</v>
      </c>
      <c r="T31" s="80">
        <f t="shared" si="18"/>
        <v>255.0180184178318</v>
      </c>
      <c r="U31" s="80">
        <f t="shared" si="18"/>
        <v>263.89964531177685</v>
      </c>
      <c r="V31" s="80">
        <f t="shared" si="18"/>
        <v>219.16524540276981</v>
      </c>
      <c r="W31" s="80">
        <f t="shared" si="18"/>
        <v>239.58814317047387</v>
      </c>
      <c r="DA31" s="103" t="s">
        <v>198</v>
      </c>
    </row>
    <row r="32" spans="1:105" ht="12" customHeight="1" x14ac:dyDescent="0.25">
      <c r="A32" s="58" t="s">
        <v>29</v>
      </c>
      <c r="B32" s="59">
        <v>0</v>
      </c>
      <c r="C32" s="59">
        <v>0</v>
      </c>
      <c r="D32" s="59">
        <v>0</v>
      </c>
      <c r="E32" s="59">
        <v>0</v>
      </c>
      <c r="F32" s="59">
        <v>0</v>
      </c>
      <c r="G32" s="59">
        <v>0</v>
      </c>
      <c r="H32" s="59">
        <v>0</v>
      </c>
      <c r="I32" s="59">
        <v>0</v>
      </c>
      <c r="J32" s="59">
        <v>0</v>
      </c>
      <c r="K32" s="59">
        <v>0</v>
      </c>
      <c r="L32" s="59">
        <v>0</v>
      </c>
      <c r="M32" s="59">
        <v>0</v>
      </c>
      <c r="N32" s="59">
        <v>0</v>
      </c>
      <c r="O32" s="59">
        <v>0</v>
      </c>
      <c r="P32" s="59">
        <v>0</v>
      </c>
      <c r="Q32" s="59">
        <v>0</v>
      </c>
      <c r="R32" s="59">
        <v>0</v>
      </c>
      <c r="S32" s="59">
        <v>0</v>
      </c>
      <c r="T32" s="59">
        <v>0</v>
      </c>
      <c r="U32" s="59">
        <v>0</v>
      </c>
      <c r="V32" s="59">
        <v>0</v>
      </c>
      <c r="W32" s="59">
        <v>0</v>
      </c>
      <c r="DA32" s="104" t="s">
        <v>199</v>
      </c>
    </row>
    <row r="33" spans="1:105" ht="12" customHeight="1" x14ac:dyDescent="0.25">
      <c r="A33" s="60" t="s">
        <v>28</v>
      </c>
      <c r="B33" s="55">
        <f>SUM(B34:B35)</f>
        <v>26.079603643211094</v>
      </c>
      <c r="C33" s="55">
        <f t="shared" ref="C33:W33" si="19">SUM(C34:C35)</f>
        <v>26.352689754975749</v>
      </c>
      <c r="D33" s="55">
        <f t="shared" si="19"/>
        <v>25.26034530791711</v>
      </c>
      <c r="E33" s="55">
        <f t="shared" si="19"/>
        <v>25.943054871599518</v>
      </c>
      <c r="F33" s="55">
        <f t="shared" si="19"/>
        <v>23.348753957022957</v>
      </c>
      <c r="G33" s="55">
        <f t="shared" si="19"/>
        <v>22.402166905354949</v>
      </c>
      <c r="H33" s="55">
        <f t="shared" si="19"/>
        <v>40.238435081685303</v>
      </c>
      <c r="I33" s="55">
        <f t="shared" si="19"/>
        <v>41.266809974204648</v>
      </c>
      <c r="J33" s="55">
        <f t="shared" si="19"/>
        <v>51.636629406706788</v>
      </c>
      <c r="K33" s="55">
        <f t="shared" si="19"/>
        <v>42.304557179707658</v>
      </c>
      <c r="L33" s="55">
        <f t="shared" si="19"/>
        <v>46.427171109200344</v>
      </c>
      <c r="M33" s="55">
        <f t="shared" si="19"/>
        <v>46.536543422184003</v>
      </c>
      <c r="N33" s="55">
        <f t="shared" si="19"/>
        <v>42.261736887360271</v>
      </c>
      <c r="O33" s="55">
        <f t="shared" si="19"/>
        <v>43.114617368873596</v>
      </c>
      <c r="P33" s="55">
        <f t="shared" si="19"/>
        <v>39.941358555460013</v>
      </c>
      <c r="Q33" s="55">
        <f t="shared" si="19"/>
        <v>37.026569217540846</v>
      </c>
      <c r="R33" s="55">
        <f t="shared" si="19"/>
        <v>35.920808254514185</v>
      </c>
      <c r="S33" s="55">
        <f t="shared" si="19"/>
        <v>41.521324161650902</v>
      </c>
      <c r="T33" s="55">
        <f t="shared" si="19"/>
        <v>41.366466036113501</v>
      </c>
      <c r="U33" s="55">
        <f t="shared" si="19"/>
        <v>50.110748065348233</v>
      </c>
      <c r="V33" s="55">
        <f t="shared" si="19"/>
        <v>39.24239036973345</v>
      </c>
      <c r="W33" s="55">
        <f t="shared" si="19"/>
        <v>40.634479793637141</v>
      </c>
      <c r="DA33" s="101"/>
    </row>
    <row r="34" spans="1:105" ht="12" customHeight="1" x14ac:dyDescent="0.25">
      <c r="A34" s="61" t="s">
        <v>52</v>
      </c>
      <c r="B34" s="55">
        <v>0</v>
      </c>
      <c r="C34" s="55">
        <v>0</v>
      </c>
      <c r="D34" s="55">
        <v>0</v>
      </c>
      <c r="E34" s="55">
        <v>0</v>
      </c>
      <c r="F34" s="55">
        <v>0</v>
      </c>
      <c r="G34" s="55">
        <v>0</v>
      </c>
      <c r="H34" s="55">
        <v>14.68667239896819</v>
      </c>
      <c r="I34" s="55">
        <v>14.68667239896819</v>
      </c>
      <c r="J34" s="55">
        <v>15.816337059329321</v>
      </c>
      <c r="K34" s="55">
        <v>14.68667239896819</v>
      </c>
      <c r="L34" s="55">
        <v>14.68667239896819</v>
      </c>
      <c r="M34" s="55">
        <v>15.816337059329321</v>
      </c>
      <c r="N34" s="55">
        <v>15.816337059329321</v>
      </c>
      <c r="O34" s="55">
        <v>14.686672398968181</v>
      </c>
      <c r="P34" s="55">
        <v>12.427171109200341</v>
      </c>
      <c r="Q34" s="55">
        <v>13.556921754084261</v>
      </c>
      <c r="R34" s="55">
        <v>13.556921754084261</v>
      </c>
      <c r="S34" s="55">
        <v>16.365434221840065</v>
      </c>
      <c r="T34" s="55">
        <v>16.561994840928634</v>
      </c>
      <c r="U34" s="55">
        <v>18.962768701633706</v>
      </c>
      <c r="V34" s="55">
        <v>14.003181427343081</v>
      </c>
      <c r="W34" s="55">
        <v>12.257695614789338</v>
      </c>
      <c r="DA34" s="101" t="s">
        <v>200</v>
      </c>
    </row>
    <row r="35" spans="1:105" ht="12" customHeight="1" x14ac:dyDescent="0.25">
      <c r="A35" s="61" t="s">
        <v>170</v>
      </c>
      <c r="B35" s="55">
        <v>26.079603643211094</v>
      </c>
      <c r="C35" s="55">
        <v>26.352689754975749</v>
      </c>
      <c r="D35" s="55">
        <v>25.26034530791711</v>
      </c>
      <c r="E35" s="55">
        <v>25.943054871599518</v>
      </c>
      <c r="F35" s="55">
        <v>23.348753957022957</v>
      </c>
      <c r="G35" s="55">
        <v>22.402166905354949</v>
      </c>
      <c r="H35" s="55">
        <v>25.551762682717111</v>
      </c>
      <c r="I35" s="55">
        <v>26.580137575236456</v>
      </c>
      <c r="J35" s="55">
        <v>35.820292347377467</v>
      </c>
      <c r="K35" s="55">
        <v>27.617884780739466</v>
      </c>
      <c r="L35" s="55">
        <v>31.740498710232153</v>
      </c>
      <c r="M35" s="55">
        <v>30.720206362854682</v>
      </c>
      <c r="N35" s="55">
        <v>26.445399828030951</v>
      </c>
      <c r="O35" s="55">
        <v>28.427944969905415</v>
      </c>
      <c r="P35" s="55">
        <v>27.514187446259672</v>
      </c>
      <c r="Q35" s="55">
        <v>23.469647463456585</v>
      </c>
      <c r="R35" s="55">
        <v>22.363886500429924</v>
      </c>
      <c r="S35" s="55">
        <v>25.155889939810837</v>
      </c>
      <c r="T35" s="55">
        <v>24.804471195184867</v>
      </c>
      <c r="U35" s="55">
        <v>31.147979363714526</v>
      </c>
      <c r="V35" s="55">
        <v>25.23920894239037</v>
      </c>
      <c r="W35" s="55">
        <v>28.376784178847803</v>
      </c>
      <c r="DA35" s="101" t="s">
        <v>201</v>
      </c>
    </row>
    <row r="36" spans="1:105" ht="12" customHeight="1" x14ac:dyDescent="0.25">
      <c r="A36" s="60" t="s">
        <v>153</v>
      </c>
      <c r="B36" s="55">
        <v>0</v>
      </c>
      <c r="C36" s="55">
        <v>0</v>
      </c>
      <c r="D36" s="55">
        <v>0</v>
      </c>
      <c r="E36" s="55">
        <v>0</v>
      </c>
      <c r="F36" s="55">
        <v>0</v>
      </c>
      <c r="G36" s="55">
        <v>0</v>
      </c>
      <c r="H36" s="55">
        <v>0</v>
      </c>
      <c r="I36" s="55">
        <v>0</v>
      </c>
      <c r="J36" s="55">
        <v>0</v>
      </c>
      <c r="K36" s="55">
        <v>0</v>
      </c>
      <c r="L36" s="55">
        <v>0</v>
      </c>
      <c r="M36" s="55">
        <v>0</v>
      </c>
      <c r="N36" s="55">
        <v>0</v>
      </c>
      <c r="O36" s="55">
        <v>0</v>
      </c>
      <c r="P36" s="55">
        <v>0</v>
      </c>
      <c r="Q36" s="55">
        <v>0</v>
      </c>
      <c r="R36" s="55">
        <v>0</v>
      </c>
      <c r="S36" s="55">
        <v>0</v>
      </c>
      <c r="T36" s="55">
        <v>0</v>
      </c>
      <c r="U36" s="55">
        <v>0</v>
      </c>
      <c r="V36" s="55">
        <v>0</v>
      </c>
      <c r="W36" s="55">
        <v>0</v>
      </c>
      <c r="DA36" s="101" t="s">
        <v>202</v>
      </c>
    </row>
    <row r="37" spans="1:105" ht="12" customHeight="1" x14ac:dyDescent="0.25">
      <c r="A37" s="60" t="s">
        <v>51</v>
      </c>
      <c r="B37" s="55">
        <f>SUM(B38:B42)</f>
        <v>6.9960448673508484</v>
      </c>
      <c r="C37" s="55">
        <f t="shared" ref="C37:W37" si="20">SUM(C38:C42)</f>
        <v>6.8375284876758506</v>
      </c>
      <c r="D37" s="55">
        <f t="shared" si="20"/>
        <v>7.6583655505329791</v>
      </c>
      <c r="E37" s="55">
        <f t="shared" si="20"/>
        <v>7.7957548671248933</v>
      </c>
      <c r="F37" s="55">
        <f t="shared" si="20"/>
        <v>8.7830159193869157</v>
      </c>
      <c r="G37" s="55">
        <f t="shared" si="20"/>
        <v>9.7687876182287177</v>
      </c>
      <c r="H37" s="55">
        <f t="shared" si="20"/>
        <v>10.007652622527944</v>
      </c>
      <c r="I37" s="55">
        <f t="shared" si="20"/>
        <v>13.31805674978504</v>
      </c>
      <c r="J37" s="55">
        <f t="shared" si="20"/>
        <v>14.942218400687874</v>
      </c>
      <c r="K37" s="55">
        <f t="shared" si="20"/>
        <v>15.644453998280309</v>
      </c>
      <c r="L37" s="55">
        <f t="shared" si="20"/>
        <v>14.95176268271711</v>
      </c>
      <c r="M37" s="55">
        <f t="shared" si="20"/>
        <v>15.582373172828891</v>
      </c>
      <c r="N37" s="55">
        <f t="shared" si="20"/>
        <v>16.263198624247636</v>
      </c>
      <c r="O37" s="55">
        <f t="shared" si="20"/>
        <v>16.346173688736027</v>
      </c>
      <c r="P37" s="55">
        <f t="shared" si="20"/>
        <v>16.432674118658635</v>
      </c>
      <c r="Q37" s="55">
        <f t="shared" si="20"/>
        <v>18.384780739466898</v>
      </c>
      <c r="R37" s="55">
        <f t="shared" si="20"/>
        <v>17.952880481513326</v>
      </c>
      <c r="S37" s="55">
        <f t="shared" si="20"/>
        <v>20.308856405846946</v>
      </c>
      <c r="T37" s="55">
        <f t="shared" si="20"/>
        <v>18.567411865864148</v>
      </c>
      <c r="U37" s="55">
        <f t="shared" si="20"/>
        <v>19.377644024075664</v>
      </c>
      <c r="V37" s="55">
        <f t="shared" si="20"/>
        <v>18.864402407566637</v>
      </c>
      <c r="W37" s="55">
        <f t="shared" si="20"/>
        <v>19.29466895958727</v>
      </c>
      <c r="DA37" s="101"/>
    </row>
    <row r="38" spans="1:105" ht="12" customHeight="1" x14ac:dyDescent="0.25">
      <c r="A38" s="61" t="s">
        <v>171</v>
      </c>
      <c r="B38" s="55">
        <v>1.7614789337919179</v>
      </c>
      <c r="C38" s="55">
        <v>1.761478933791917</v>
      </c>
      <c r="D38" s="55">
        <v>2.4660791057609623</v>
      </c>
      <c r="E38" s="55">
        <v>2.4660791057609632</v>
      </c>
      <c r="F38" s="55">
        <v>2.9425623387790187</v>
      </c>
      <c r="G38" s="55">
        <v>3.6782459157351672</v>
      </c>
      <c r="H38" s="55">
        <v>3.6782459157351672</v>
      </c>
      <c r="I38" s="55">
        <v>5.4839208942390378</v>
      </c>
      <c r="J38" s="55">
        <v>6.534823731728288</v>
      </c>
      <c r="K38" s="55">
        <v>6.6877042132416147</v>
      </c>
      <c r="L38" s="55">
        <v>5.541272570937231</v>
      </c>
      <c r="M38" s="55">
        <v>5.9091143594153053</v>
      </c>
      <c r="N38" s="55">
        <v>6.3271711092003446</v>
      </c>
      <c r="O38" s="55">
        <v>6.2190885640584685</v>
      </c>
      <c r="P38" s="55">
        <v>6.1384350816852962</v>
      </c>
      <c r="Q38" s="55">
        <v>7.923387790197765</v>
      </c>
      <c r="R38" s="55">
        <v>7.1783319002579535</v>
      </c>
      <c r="S38" s="55">
        <v>8.0896818572656901</v>
      </c>
      <c r="T38" s="55">
        <v>6.7536543422184039</v>
      </c>
      <c r="U38" s="55">
        <v>7.1856405846947595</v>
      </c>
      <c r="V38" s="55">
        <v>7.005417024935511</v>
      </c>
      <c r="W38" s="55">
        <v>7.1180567497850404</v>
      </c>
      <c r="DA38" s="101" t="s">
        <v>203</v>
      </c>
    </row>
    <row r="39" spans="1:105" ht="12" customHeight="1" x14ac:dyDescent="0.25">
      <c r="A39" s="61" t="s">
        <v>50</v>
      </c>
      <c r="B39" s="55">
        <v>0</v>
      </c>
      <c r="C39" s="55">
        <v>0</v>
      </c>
      <c r="D39" s="55">
        <v>0</v>
      </c>
      <c r="E39" s="55">
        <v>0</v>
      </c>
      <c r="F39" s="55">
        <v>0</v>
      </c>
      <c r="G39" s="55">
        <v>0</v>
      </c>
      <c r="H39" s="55">
        <v>0</v>
      </c>
      <c r="I39" s="55">
        <v>0</v>
      </c>
      <c r="J39" s="55">
        <v>0</v>
      </c>
      <c r="K39" s="55">
        <v>0.26276870163370591</v>
      </c>
      <c r="L39" s="55">
        <v>0.28658641444539978</v>
      </c>
      <c r="M39" s="55">
        <v>0.26276870163370591</v>
      </c>
      <c r="N39" s="55">
        <v>0.26276870163370591</v>
      </c>
      <c r="O39" s="55">
        <v>0.26276870163370591</v>
      </c>
      <c r="P39" s="55">
        <v>0.28658641444539978</v>
      </c>
      <c r="Q39" s="55">
        <v>0.28658641444539978</v>
      </c>
      <c r="R39" s="55">
        <v>0.3821152192605331</v>
      </c>
      <c r="S39" s="55">
        <v>0.40103181427343071</v>
      </c>
      <c r="T39" s="55">
        <v>1.065520206362855</v>
      </c>
      <c r="U39" s="55">
        <v>1.280997420464316</v>
      </c>
      <c r="V39" s="55">
        <v>0.48177128116938939</v>
      </c>
      <c r="W39" s="55">
        <v>0.56414445399828028</v>
      </c>
      <c r="DA39" s="101" t="s">
        <v>204</v>
      </c>
    </row>
    <row r="40" spans="1:105" ht="12" customHeight="1" x14ac:dyDescent="0.25">
      <c r="A40" s="61" t="s">
        <v>49</v>
      </c>
      <c r="B40" s="55">
        <v>0</v>
      </c>
      <c r="C40" s="55">
        <v>0</v>
      </c>
      <c r="D40" s="55">
        <v>0</v>
      </c>
      <c r="E40" s="55">
        <v>0</v>
      </c>
      <c r="F40" s="55">
        <v>0</v>
      </c>
      <c r="G40" s="55">
        <v>0</v>
      </c>
      <c r="H40" s="55">
        <v>0</v>
      </c>
      <c r="I40" s="55">
        <v>0</v>
      </c>
      <c r="J40" s="55">
        <v>0</v>
      </c>
      <c r="K40" s="55">
        <v>0</v>
      </c>
      <c r="L40" s="55">
        <v>0</v>
      </c>
      <c r="M40" s="55">
        <v>0</v>
      </c>
      <c r="N40" s="55">
        <v>0</v>
      </c>
      <c r="O40" s="55">
        <v>0</v>
      </c>
      <c r="P40" s="55">
        <v>0</v>
      </c>
      <c r="Q40" s="55">
        <v>0</v>
      </c>
      <c r="R40" s="55">
        <v>5.0386930352536538E-2</v>
      </c>
      <c r="S40" s="55">
        <v>1.2858125537403271</v>
      </c>
      <c r="T40" s="55">
        <v>0</v>
      </c>
      <c r="U40" s="55">
        <v>0</v>
      </c>
      <c r="V40" s="55">
        <v>0.2818572656921754</v>
      </c>
      <c r="W40" s="55">
        <v>0.32347377472055028</v>
      </c>
      <c r="DA40" s="101" t="s">
        <v>205</v>
      </c>
    </row>
    <row r="41" spans="1:105" ht="12" customHeight="1" x14ac:dyDescent="0.25">
      <c r="A41" s="61" t="s">
        <v>26</v>
      </c>
      <c r="B41" s="55">
        <v>5.2345659335589305</v>
      </c>
      <c r="C41" s="55">
        <v>5.0760495538839336</v>
      </c>
      <c r="D41" s="55">
        <v>5.1922864447720167</v>
      </c>
      <c r="E41" s="55">
        <v>5.3296757613639301</v>
      </c>
      <c r="F41" s="55">
        <v>5.840453580607897</v>
      </c>
      <c r="G41" s="55">
        <v>6.0905417024935504</v>
      </c>
      <c r="H41" s="55">
        <v>6.3294067067927768</v>
      </c>
      <c r="I41" s="55">
        <v>7.8341358555460019</v>
      </c>
      <c r="J41" s="55">
        <v>8.4073946689595864</v>
      </c>
      <c r="K41" s="55">
        <v>8.6939810834049869</v>
      </c>
      <c r="L41" s="55">
        <v>9.1239036973344803</v>
      </c>
      <c r="M41" s="55">
        <v>9.4104901117798789</v>
      </c>
      <c r="N41" s="55">
        <v>9.6732588134135842</v>
      </c>
      <c r="O41" s="55">
        <v>9.8643164230438511</v>
      </c>
      <c r="P41" s="55">
        <v>10.007652622527941</v>
      </c>
      <c r="Q41" s="55">
        <v>10.17480653482373</v>
      </c>
      <c r="R41" s="55">
        <v>10.3420464316423</v>
      </c>
      <c r="S41" s="55">
        <v>10.5323301805675</v>
      </c>
      <c r="T41" s="55">
        <v>10.748237317282889</v>
      </c>
      <c r="U41" s="55">
        <v>10.91100601891659</v>
      </c>
      <c r="V41" s="55">
        <v>11.095356835769561</v>
      </c>
      <c r="W41" s="55">
        <v>11.288993981083401</v>
      </c>
      <c r="DA41" s="101" t="s">
        <v>206</v>
      </c>
    </row>
    <row r="42" spans="1:105" ht="12" customHeight="1" x14ac:dyDescent="0.25">
      <c r="A42" s="61" t="s">
        <v>25</v>
      </c>
      <c r="B42" s="55">
        <v>0</v>
      </c>
      <c r="C42" s="55">
        <v>0</v>
      </c>
      <c r="D42" s="55">
        <v>0</v>
      </c>
      <c r="E42" s="55">
        <v>0</v>
      </c>
      <c r="F42" s="55">
        <v>0</v>
      </c>
      <c r="G42" s="55">
        <v>0</v>
      </c>
      <c r="H42" s="55">
        <v>0</v>
      </c>
      <c r="I42" s="55">
        <v>0</v>
      </c>
      <c r="J42" s="55">
        <v>0</v>
      </c>
      <c r="K42" s="55">
        <v>0</v>
      </c>
      <c r="L42" s="55">
        <v>0</v>
      </c>
      <c r="M42" s="55">
        <v>0</v>
      </c>
      <c r="N42" s="55">
        <v>0</v>
      </c>
      <c r="O42" s="55">
        <v>0</v>
      </c>
      <c r="P42" s="55">
        <v>0</v>
      </c>
      <c r="Q42" s="55">
        <v>0</v>
      </c>
      <c r="R42" s="55">
        <v>0</v>
      </c>
      <c r="S42" s="55">
        <v>0</v>
      </c>
      <c r="T42" s="55">
        <v>0</v>
      </c>
      <c r="U42" s="55">
        <v>0</v>
      </c>
      <c r="V42" s="55">
        <v>0</v>
      </c>
      <c r="W42" s="55">
        <v>0</v>
      </c>
      <c r="DA42" s="101" t="s">
        <v>207</v>
      </c>
    </row>
    <row r="43" spans="1:105" ht="12" customHeight="1" x14ac:dyDescent="0.25">
      <c r="A43" s="61" t="s">
        <v>157</v>
      </c>
      <c r="B43" s="55">
        <v>3.8733859288480998E-2</v>
      </c>
      <c r="C43" s="55">
        <v>0.19889566019606386</v>
      </c>
      <c r="D43" s="55">
        <v>0.44488254854629061</v>
      </c>
      <c r="E43" s="55">
        <v>0.76349888679668054</v>
      </c>
      <c r="F43" s="55">
        <v>1.225087528461966</v>
      </c>
      <c r="G43" s="55">
        <v>1.8608555472390251</v>
      </c>
      <c r="H43" s="55">
        <v>2.3059245945489355</v>
      </c>
      <c r="I43" s="55">
        <v>2.875163419671269</v>
      </c>
      <c r="J43" s="55">
        <v>3.2726049675424642</v>
      </c>
      <c r="K43" s="55">
        <v>4.4662286670942182</v>
      </c>
      <c r="L43" s="55">
        <v>5.5363869546330147</v>
      </c>
      <c r="M43" s="55">
        <v>8.1384788588664971</v>
      </c>
      <c r="N43" s="55">
        <v>13.86258836432933</v>
      </c>
      <c r="O43" s="55">
        <v>27.935344754167481</v>
      </c>
      <c r="P43" s="55">
        <v>28.881936701929614</v>
      </c>
      <c r="Q43" s="55">
        <v>32.313438323030816</v>
      </c>
      <c r="R43" s="55">
        <v>32.314823574496756</v>
      </c>
      <c r="S43" s="55">
        <v>34.068538611181928</v>
      </c>
      <c r="T43" s="55">
        <v>36.032072226999148</v>
      </c>
      <c r="U43" s="55">
        <v>38.005417024935561</v>
      </c>
      <c r="V43" s="55">
        <v>35.311865864144437</v>
      </c>
      <c r="W43" s="55">
        <v>36.032072226999119</v>
      </c>
      <c r="DA43" s="101" t="s">
        <v>208</v>
      </c>
    </row>
    <row r="44" spans="1:105" ht="12" customHeight="1" x14ac:dyDescent="0.25">
      <c r="A44" s="60" t="s">
        <v>169</v>
      </c>
      <c r="B44" s="55">
        <v>0</v>
      </c>
      <c r="C44" s="55">
        <v>0</v>
      </c>
      <c r="D44" s="55">
        <v>0</v>
      </c>
      <c r="E44" s="55">
        <v>0</v>
      </c>
      <c r="F44" s="55">
        <v>0</v>
      </c>
      <c r="G44" s="55">
        <v>0</v>
      </c>
      <c r="H44" s="55">
        <v>0</v>
      </c>
      <c r="I44" s="55">
        <v>0</v>
      </c>
      <c r="J44" s="55">
        <v>0</v>
      </c>
      <c r="K44" s="55">
        <v>0</v>
      </c>
      <c r="L44" s="55">
        <v>0</v>
      </c>
      <c r="M44" s="55">
        <v>0</v>
      </c>
      <c r="N44" s="55">
        <v>0</v>
      </c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>
        <v>0</v>
      </c>
      <c r="U44" s="55">
        <v>0</v>
      </c>
      <c r="V44" s="55">
        <v>0</v>
      </c>
      <c r="W44" s="55">
        <v>0</v>
      </c>
      <c r="DA44" s="101" t="s">
        <v>209</v>
      </c>
    </row>
    <row r="45" spans="1:105" ht="12" customHeight="1" x14ac:dyDescent="0.25">
      <c r="A45" s="62" t="s">
        <v>24</v>
      </c>
      <c r="B45" s="63">
        <v>120.37833190025799</v>
      </c>
      <c r="C45" s="63">
        <v>131.04041272570942</v>
      </c>
      <c r="D45" s="63">
        <v>142.13241616509029</v>
      </c>
      <c r="E45" s="63">
        <v>148.15133276010323</v>
      </c>
      <c r="F45" s="63">
        <v>152.9969905417025</v>
      </c>
      <c r="G45" s="63">
        <v>159.96173688736027</v>
      </c>
      <c r="H45" s="63">
        <v>169.84995700773862</v>
      </c>
      <c r="I45" s="63">
        <v>175.18075914183032</v>
      </c>
      <c r="J45" s="63">
        <v>185.65821178308406</v>
      </c>
      <c r="K45" s="63">
        <v>197.26614562010957</v>
      </c>
      <c r="L45" s="63">
        <v>207.41205911615208</v>
      </c>
      <c r="M45" s="63">
        <v>200.53823518312421</v>
      </c>
      <c r="N45" s="63">
        <v>182.48277458540124</v>
      </c>
      <c r="O45" s="63">
        <v>161.67358182979351</v>
      </c>
      <c r="P45" s="63">
        <v>165.88525657085685</v>
      </c>
      <c r="Q45" s="63">
        <v>169.66437518354616</v>
      </c>
      <c r="R45" s="63">
        <v>185.39483746825863</v>
      </c>
      <c r="S45" s="63">
        <v>188.08166916078534</v>
      </c>
      <c r="T45" s="63">
        <v>195.08414051585413</v>
      </c>
      <c r="U45" s="63">
        <v>194.41125322235294</v>
      </c>
      <c r="V45" s="63">
        <v>161.05845262546973</v>
      </c>
      <c r="W45" s="63">
        <v>179.65899441724946</v>
      </c>
      <c r="DA45" s="105" t="s">
        <v>210</v>
      </c>
    </row>
    <row r="46" spans="1:105" s="2" customFormat="1" ht="12" customHeight="1" x14ac:dyDescent="0.25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DA46" s="106"/>
    </row>
    <row r="47" spans="1:105" ht="12.95" customHeight="1" x14ac:dyDescent="0.25">
      <c r="A47" s="81" t="s">
        <v>56</v>
      </c>
      <c r="B47" s="82">
        <f t="shared" ref="B47" si="21">SUM(B48,B53)</f>
        <v>153.45398041081995</v>
      </c>
      <c r="C47" s="82">
        <f t="shared" ref="C47:W47" si="22">SUM(C48,C53)</f>
        <v>164.23063096836103</v>
      </c>
      <c r="D47" s="82">
        <f t="shared" si="22"/>
        <v>175.05112702354037</v>
      </c>
      <c r="E47" s="82">
        <f t="shared" si="22"/>
        <v>181.89014249882763</v>
      </c>
      <c r="F47" s="82">
        <f t="shared" si="22"/>
        <v>185.12876041811239</v>
      </c>
      <c r="G47" s="82">
        <f t="shared" si="22"/>
        <v>192.13269141094395</v>
      </c>
      <c r="H47" s="82">
        <f t="shared" si="22"/>
        <v>220.09604471195189</v>
      </c>
      <c r="I47" s="82">
        <f t="shared" si="22"/>
        <v>229.76562586582003</v>
      </c>
      <c r="J47" s="82">
        <f t="shared" si="22"/>
        <v>252.23705959047874</v>
      </c>
      <c r="K47" s="82">
        <f t="shared" si="22"/>
        <v>255.2151567980975</v>
      </c>
      <c r="L47" s="82">
        <f t="shared" si="22"/>
        <v>268.79099290806948</v>
      </c>
      <c r="M47" s="82">
        <f t="shared" si="22"/>
        <v>262.65715177813706</v>
      </c>
      <c r="N47" s="82">
        <f t="shared" si="22"/>
        <v>241.00771009700918</v>
      </c>
      <c r="O47" s="82">
        <f t="shared" si="22"/>
        <v>221.13437288740312</v>
      </c>
      <c r="P47" s="82">
        <f t="shared" si="22"/>
        <v>222.25928924497549</v>
      </c>
      <c r="Q47" s="82">
        <f t="shared" si="22"/>
        <v>225.07572514055391</v>
      </c>
      <c r="R47" s="82">
        <f t="shared" si="22"/>
        <v>239.2685262042861</v>
      </c>
      <c r="S47" s="82">
        <f t="shared" si="22"/>
        <v>249.91184972828316</v>
      </c>
      <c r="T47" s="82">
        <f t="shared" si="22"/>
        <v>255.0180184178318</v>
      </c>
      <c r="U47" s="82">
        <f t="shared" si="22"/>
        <v>263.89964531177685</v>
      </c>
      <c r="V47" s="82">
        <f t="shared" si="22"/>
        <v>219.16524540276978</v>
      </c>
      <c r="W47" s="82">
        <f t="shared" si="22"/>
        <v>239.58814317047387</v>
      </c>
      <c r="DA47" s="107" t="s">
        <v>211</v>
      </c>
    </row>
    <row r="48" spans="1:105" ht="12" customHeight="1" x14ac:dyDescent="0.25">
      <c r="A48" s="77" t="s">
        <v>36</v>
      </c>
      <c r="B48" s="64">
        <f t="shared" ref="B48" si="23">SUM(B49:B52)</f>
        <v>97.729723140090925</v>
      </c>
      <c r="C48" s="64">
        <f t="shared" ref="C48:W48" si="24">SUM(C49:C52)</f>
        <v>106.49453919699963</v>
      </c>
      <c r="D48" s="64">
        <f t="shared" si="24"/>
        <v>115.25036441324841</v>
      </c>
      <c r="E48" s="64">
        <f t="shared" si="24"/>
        <v>120.20775809535502</v>
      </c>
      <c r="F48" s="64">
        <f t="shared" si="24"/>
        <v>121.16041681507903</v>
      </c>
      <c r="G48" s="64">
        <f t="shared" si="24"/>
        <v>126.20949755509261</v>
      </c>
      <c r="H48" s="64">
        <f t="shared" si="24"/>
        <v>152.46743428621755</v>
      </c>
      <c r="I48" s="64">
        <f t="shared" si="24"/>
        <v>160.089696053978</v>
      </c>
      <c r="J48" s="64">
        <f t="shared" si="24"/>
        <v>180.3516977025925</v>
      </c>
      <c r="K48" s="64">
        <f t="shared" si="24"/>
        <v>181.04553025713841</v>
      </c>
      <c r="L48" s="64">
        <f t="shared" si="24"/>
        <v>192.33173647427523</v>
      </c>
      <c r="M48" s="64">
        <f t="shared" si="24"/>
        <v>184.44325524548242</v>
      </c>
      <c r="N48" s="64">
        <f t="shared" si="24"/>
        <v>160.94383847865103</v>
      </c>
      <c r="O48" s="64">
        <f t="shared" si="24"/>
        <v>140.58925899629261</v>
      </c>
      <c r="P48" s="64">
        <f t="shared" si="24"/>
        <v>141.65869915524104</v>
      </c>
      <c r="Q48" s="64">
        <f t="shared" si="24"/>
        <v>144.08640712034386</v>
      </c>
      <c r="R48" s="64">
        <f t="shared" si="24"/>
        <v>157.49884376596208</v>
      </c>
      <c r="S48" s="64">
        <f t="shared" si="24"/>
        <v>168.08475743386751</v>
      </c>
      <c r="T48" s="64">
        <f t="shared" si="24"/>
        <v>174.61771931678126</v>
      </c>
      <c r="U48" s="64">
        <f t="shared" si="24"/>
        <v>185.07759190017532</v>
      </c>
      <c r="V48" s="64">
        <f t="shared" si="24"/>
        <v>149.30560043978608</v>
      </c>
      <c r="W48" s="64">
        <f t="shared" si="24"/>
        <v>167.16928471359196</v>
      </c>
      <c r="DA48" s="108" t="s">
        <v>212</v>
      </c>
    </row>
    <row r="49" spans="1:105" ht="12" customHeight="1" x14ac:dyDescent="0.25">
      <c r="A49" s="61" t="s">
        <v>32</v>
      </c>
      <c r="B49" s="65">
        <v>32.355505507608171</v>
      </c>
      <c r="C49" s="65">
        <v>40.224074946847381</v>
      </c>
      <c r="D49" s="65">
        <v>46.566570020797222</v>
      </c>
      <c r="E49" s="65">
        <v>47.575247640304184</v>
      </c>
      <c r="F49" s="65">
        <v>49.446555015264764</v>
      </c>
      <c r="G49" s="65">
        <v>53.360566565196329</v>
      </c>
      <c r="H49" s="65">
        <v>75.397457805522833</v>
      </c>
      <c r="I49" s="65">
        <v>78.737174300515505</v>
      </c>
      <c r="J49" s="65">
        <v>95.929284316332001</v>
      </c>
      <c r="K49" s="65">
        <v>95.375984713727405</v>
      </c>
      <c r="L49" s="65">
        <v>103.01298991637582</v>
      </c>
      <c r="M49" s="65">
        <v>97.137751271765609</v>
      </c>
      <c r="N49" s="65">
        <v>66.289351456108577</v>
      </c>
      <c r="O49" s="65">
        <v>51.91505429130968</v>
      </c>
      <c r="P49" s="65">
        <v>57.631677051559222</v>
      </c>
      <c r="Q49" s="65">
        <v>58.811093367575253</v>
      </c>
      <c r="R49" s="65">
        <v>68.65609153344883</v>
      </c>
      <c r="S49" s="65">
        <v>80.478627460170969</v>
      </c>
      <c r="T49" s="65">
        <v>78.653315911613703</v>
      </c>
      <c r="U49" s="65">
        <v>93.635841225467686</v>
      </c>
      <c r="V49" s="65">
        <v>61.547974826142635</v>
      </c>
      <c r="W49" s="65">
        <v>82.521125681250993</v>
      </c>
      <c r="DA49" s="109" t="s">
        <v>213</v>
      </c>
    </row>
    <row r="50" spans="1:105" ht="12" customHeight="1" x14ac:dyDescent="0.25">
      <c r="A50" s="61" t="s">
        <v>31</v>
      </c>
      <c r="B50" s="65">
        <v>16.94972860814455</v>
      </c>
      <c r="C50" s="65">
        <v>17.202453845884648</v>
      </c>
      <c r="D50" s="65">
        <v>18.809042809154427</v>
      </c>
      <c r="E50" s="65">
        <v>21.933363673953981</v>
      </c>
      <c r="F50" s="65">
        <v>19.877074971017262</v>
      </c>
      <c r="G50" s="65">
        <v>19.489386604640181</v>
      </c>
      <c r="H50" s="65">
        <v>23.343421841298966</v>
      </c>
      <c r="I50" s="65">
        <v>26.998459352497491</v>
      </c>
      <c r="J50" s="65">
        <v>28.220352649922319</v>
      </c>
      <c r="K50" s="65">
        <v>28.598869337676657</v>
      </c>
      <c r="L50" s="65">
        <v>31.464880109517406</v>
      </c>
      <c r="M50" s="65">
        <v>27.988637468846932</v>
      </c>
      <c r="N50" s="65">
        <v>34.108641285562328</v>
      </c>
      <c r="O50" s="65">
        <v>28.351606748309589</v>
      </c>
      <c r="P50" s="65">
        <v>24.701099019183044</v>
      </c>
      <c r="Q50" s="65">
        <v>26.186346843399658</v>
      </c>
      <c r="R50" s="65">
        <v>29.553905779488659</v>
      </c>
      <c r="S50" s="65">
        <v>27.903179076736706</v>
      </c>
      <c r="T50" s="65">
        <v>35.632972128131478</v>
      </c>
      <c r="U50" s="65">
        <v>30.663742611092726</v>
      </c>
      <c r="V50" s="65">
        <v>32.232166741360267</v>
      </c>
      <c r="W50" s="65">
        <v>29.119499936393062</v>
      </c>
      <c r="DA50" s="109" t="s">
        <v>214</v>
      </c>
    </row>
    <row r="51" spans="1:105" ht="12" customHeight="1" x14ac:dyDescent="0.25">
      <c r="A51" s="61" t="s">
        <v>35</v>
      </c>
      <c r="B51" s="65">
        <v>27.043229913404602</v>
      </c>
      <c r="C51" s="65">
        <v>27.424690544505104</v>
      </c>
      <c r="D51" s="65">
        <v>27.682332076178152</v>
      </c>
      <c r="E51" s="65">
        <v>27.993144503943014</v>
      </c>
      <c r="F51" s="65">
        <v>28.134302820521846</v>
      </c>
      <c r="G51" s="65">
        <v>28.698084318715733</v>
      </c>
      <c r="H51" s="65">
        <v>27.244401210237278</v>
      </c>
      <c r="I51" s="65">
        <v>26.790464078113182</v>
      </c>
      <c r="J51" s="65">
        <v>27.574167763537076</v>
      </c>
      <c r="K51" s="65">
        <v>28.120730841439503</v>
      </c>
      <c r="L51" s="65">
        <v>28.530647361259511</v>
      </c>
      <c r="M51" s="65">
        <v>29.082450159496428</v>
      </c>
      <c r="N51" s="65">
        <v>29.461757170929701</v>
      </c>
      <c r="O51" s="65">
        <v>29.437710112173832</v>
      </c>
      <c r="P51" s="65">
        <v>28.761059686795129</v>
      </c>
      <c r="Q51" s="65">
        <v>28.570795350482058</v>
      </c>
      <c r="R51" s="65">
        <v>28.774985916319615</v>
      </c>
      <c r="S51" s="65">
        <v>28.419072773996099</v>
      </c>
      <c r="T51" s="65">
        <v>28.388240902376452</v>
      </c>
      <c r="U51" s="65">
        <v>27.802860191125056</v>
      </c>
      <c r="V51" s="65">
        <v>26.169464603145041</v>
      </c>
      <c r="W51" s="65">
        <v>26.124177349303551</v>
      </c>
      <c r="DA51" s="109" t="s">
        <v>215</v>
      </c>
    </row>
    <row r="52" spans="1:105" ht="12" customHeight="1" x14ac:dyDescent="0.25">
      <c r="A52" s="66" t="s">
        <v>34</v>
      </c>
      <c r="B52" s="67">
        <v>21.381259110933595</v>
      </c>
      <c r="C52" s="67">
        <v>21.643319859762496</v>
      </c>
      <c r="D52" s="67">
        <v>22.192419507118608</v>
      </c>
      <c r="E52" s="67">
        <v>22.70600227715385</v>
      </c>
      <c r="F52" s="67">
        <v>23.70248400827515</v>
      </c>
      <c r="G52" s="67">
        <v>24.661460066540364</v>
      </c>
      <c r="H52" s="67">
        <v>26.482153429158465</v>
      </c>
      <c r="I52" s="67">
        <v>27.563598322851806</v>
      </c>
      <c r="J52" s="67">
        <v>28.627892972801121</v>
      </c>
      <c r="K52" s="67">
        <v>28.949945364294862</v>
      </c>
      <c r="L52" s="67">
        <v>29.323219087122514</v>
      </c>
      <c r="M52" s="67">
        <v>30.234416345373468</v>
      </c>
      <c r="N52" s="67">
        <v>31.08408856605044</v>
      </c>
      <c r="O52" s="67">
        <v>30.884887844499527</v>
      </c>
      <c r="P52" s="67">
        <v>30.564863397703647</v>
      </c>
      <c r="Q52" s="67">
        <v>30.518171558886895</v>
      </c>
      <c r="R52" s="67">
        <v>30.513860536704975</v>
      </c>
      <c r="S52" s="67">
        <v>31.283878122963724</v>
      </c>
      <c r="T52" s="67">
        <v>31.943190374659611</v>
      </c>
      <c r="U52" s="67">
        <v>32.97514787248987</v>
      </c>
      <c r="V52" s="67">
        <v>29.355994269138122</v>
      </c>
      <c r="W52" s="67">
        <v>29.404481746644368</v>
      </c>
      <c r="DA52" s="110" t="s">
        <v>216</v>
      </c>
    </row>
    <row r="53" spans="1:105" ht="12" customHeight="1" x14ac:dyDescent="0.25">
      <c r="A53" s="78" t="s">
        <v>33</v>
      </c>
      <c r="B53" s="68">
        <v>55.724257270729019</v>
      </c>
      <c r="C53" s="68">
        <v>57.736091771361387</v>
      </c>
      <c r="D53" s="68">
        <v>59.800762610291976</v>
      </c>
      <c r="E53" s="68">
        <v>61.682384403472604</v>
      </c>
      <c r="F53" s="68">
        <v>63.968343603033361</v>
      </c>
      <c r="G53" s="68">
        <v>65.923193855851338</v>
      </c>
      <c r="H53" s="68">
        <v>67.628610425734337</v>
      </c>
      <c r="I53" s="68">
        <v>69.675929811842025</v>
      </c>
      <c r="J53" s="68">
        <v>71.885361887886233</v>
      </c>
      <c r="K53" s="68">
        <v>74.169626540959086</v>
      </c>
      <c r="L53" s="68">
        <v>76.45925643379428</v>
      </c>
      <c r="M53" s="68">
        <v>78.213896532654658</v>
      </c>
      <c r="N53" s="68">
        <v>80.063871618358149</v>
      </c>
      <c r="O53" s="68">
        <v>80.545113891110503</v>
      </c>
      <c r="P53" s="68">
        <v>80.600590089734467</v>
      </c>
      <c r="Q53" s="68">
        <v>80.989318020210064</v>
      </c>
      <c r="R53" s="68">
        <v>81.76968243832404</v>
      </c>
      <c r="S53" s="68">
        <v>81.82709229441565</v>
      </c>
      <c r="T53" s="68">
        <v>80.40029910105055</v>
      </c>
      <c r="U53" s="68">
        <v>78.82205341160153</v>
      </c>
      <c r="V53" s="68">
        <v>69.859644962983708</v>
      </c>
      <c r="W53" s="68">
        <v>72.418858456881907</v>
      </c>
      <c r="DA53" s="111" t="s">
        <v>217</v>
      </c>
    </row>
    <row r="54" spans="1:105" s="2" customFormat="1" ht="12" customHeight="1" x14ac:dyDescent="0.25">
      <c r="DA54" s="7"/>
    </row>
    <row r="55" spans="1:105" ht="12.95" customHeight="1" x14ac:dyDescent="0.25">
      <c r="A55" s="79" t="s">
        <v>55</v>
      </c>
      <c r="B55" s="83">
        <f t="shared" ref="B55" si="25">IF(B47=0,0,B47/B$47)</f>
        <v>1</v>
      </c>
      <c r="C55" s="83">
        <f t="shared" ref="C55:W55" si="26">IF(C47=0,0,C47/C$47)</f>
        <v>1</v>
      </c>
      <c r="D55" s="83">
        <f t="shared" si="26"/>
        <v>1</v>
      </c>
      <c r="E55" s="83">
        <f t="shared" si="26"/>
        <v>1</v>
      </c>
      <c r="F55" s="83">
        <f t="shared" si="26"/>
        <v>1</v>
      </c>
      <c r="G55" s="83">
        <f t="shared" si="26"/>
        <v>1</v>
      </c>
      <c r="H55" s="83">
        <f t="shared" si="26"/>
        <v>1</v>
      </c>
      <c r="I55" s="83">
        <f t="shared" si="26"/>
        <v>1</v>
      </c>
      <c r="J55" s="83">
        <f t="shared" si="26"/>
        <v>1</v>
      </c>
      <c r="K55" s="83">
        <f t="shared" si="26"/>
        <v>1</v>
      </c>
      <c r="L55" s="83">
        <f t="shared" si="26"/>
        <v>1</v>
      </c>
      <c r="M55" s="83">
        <f t="shared" si="26"/>
        <v>1</v>
      </c>
      <c r="N55" s="83">
        <f t="shared" si="26"/>
        <v>1</v>
      </c>
      <c r="O55" s="83">
        <f t="shared" si="26"/>
        <v>1</v>
      </c>
      <c r="P55" s="83">
        <f t="shared" si="26"/>
        <v>1</v>
      </c>
      <c r="Q55" s="83">
        <f t="shared" si="26"/>
        <v>1</v>
      </c>
      <c r="R55" s="83">
        <f t="shared" si="26"/>
        <v>1</v>
      </c>
      <c r="S55" s="83">
        <f t="shared" si="26"/>
        <v>1</v>
      </c>
      <c r="T55" s="83">
        <f t="shared" si="26"/>
        <v>1</v>
      </c>
      <c r="U55" s="83">
        <f t="shared" si="26"/>
        <v>1</v>
      </c>
      <c r="V55" s="83">
        <f t="shared" si="26"/>
        <v>1</v>
      </c>
      <c r="W55" s="83">
        <f t="shared" si="26"/>
        <v>1</v>
      </c>
      <c r="DA55" s="112"/>
    </row>
    <row r="56" spans="1:105" ht="12" customHeight="1" x14ac:dyDescent="0.25">
      <c r="A56" s="69" t="s">
        <v>36</v>
      </c>
      <c r="B56" s="70">
        <f t="shared" ref="B56" si="27">IF(B48=0,0,B48/B$47)</f>
        <v>0.63686665460520087</v>
      </c>
      <c r="C56" s="70">
        <f t="shared" ref="C56:W56" si="28">IF(C48=0,0,C48/C$47)</f>
        <v>0.64844504687749605</v>
      </c>
      <c r="D56" s="70">
        <f t="shared" si="28"/>
        <v>0.65838116196618302</v>
      </c>
      <c r="E56" s="70">
        <f t="shared" si="28"/>
        <v>0.66088110352725582</v>
      </c>
      <c r="F56" s="70">
        <f t="shared" si="28"/>
        <v>0.65446566239323822</v>
      </c>
      <c r="G56" s="70">
        <f t="shared" si="28"/>
        <v>0.65688715766307992</v>
      </c>
      <c r="H56" s="70">
        <f t="shared" si="28"/>
        <v>0.69273136864298268</v>
      </c>
      <c r="I56" s="70">
        <f t="shared" si="28"/>
        <v>0.69675215973110005</v>
      </c>
      <c r="J56" s="70">
        <f t="shared" si="28"/>
        <v>0.71500872233209423</v>
      </c>
      <c r="K56" s="70">
        <f t="shared" si="28"/>
        <v>0.70938392738314049</v>
      </c>
      <c r="L56" s="70">
        <f t="shared" si="28"/>
        <v>0.71554382977429432</v>
      </c>
      <c r="M56" s="70">
        <f t="shared" si="28"/>
        <v>0.70222057155816242</v>
      </c>
      <c r="N56" s="70">
        <f t="shared" si="28"/>
        <v>0.66779539299331436</v>
      </c>
      <c r="O56" s="70">
        <f t="shared" si="28"/>
        <v>0.63576393466373338</v>
      </c>
      <c r="P56" s="70">
        <f t="shared" si="28"/>
        <v>0.63735783389059608</v>
      </c>
      <c r="Q56" s="70">
        <f t="shared" si="28"/>
        <v>0.64016857895433044</v>
      </c>
      <c r="R56" s="70">
        <f t="shared" si="28"/>
        <v>0.65825140591826303</v>
      </c>
      <c r="S56" s="70">
        <f t="shared" si="28"/>
        <v>0.67257618082783099</v>
      </c>
      <c r="T56" s="70">
        <f t="shared" si="28"/>
        <v>0.68472698674444465</v>
      </c>
      <c r="U56" s="70">
        <f t="shared" si="28"/>
        <v>0.70131807748934483</v>
      </c>
      <c r="V56" s="70">
        <f t="shared" si="28"/>
        <v>0.68124670116103714</v>
      </c>
      <c r="W56" s="70">
        <f t="shared" si="28"/>
        <v>0.69773605029630448</v>
      </c>
      <c r="DA56" s="113"/>
    </row>
    <row r="57" spans="1:105" ht="12" customHeight="1" x14ac:dyDescent="0.25">
      <c r="A57" s="61" t="s">
        <v>32</v>
      </c>
      <c r="B57" s="71">
        <f t="shared" ref="B57" si="29">IF(B49=0,0,B49/B$47)</f>
        <v>0.21084826487385663</v>
      </c>
      <c r="C57" s="71">
        <f t="shared" ref="C57:W57" si="30">IF(C49=0,0,C49/C$47)</f>
        <v>0.24492431594320876</v>
      </c>
      <c r="D57" s="71">
        <f t="shared" si="30"/>
        <v>0.26601696780012779</v>
      </c>
      <c r="E57" s="71">
        <f t="shared" si="30"/>
        <v>0.26156034069086964</v>
      </c>
      <c r="F57" s="71">
        <f t="shared" si="30"/>
        <v>0.26709277858064823</v>
      </c>
      <c r="G57" s="71">
        <f t="shared" si="30"/>
        <v>0.27772767962254702</v>
      </c>
      <c r="H57" s="71">
        <f t="shared" si="30"/>
        <v>0.34256616425887332</v>
      </c>
      <c r="I57" s="71">
        <f t="shared" si="30"/>
        <v>0.3426847423491316</v>
      </c>
      <c r="J57" s="71">
        <f t="shared" si="30"/>
        <v>0.38031399696808499</v>
      </c>
      <c r="K57" s="71">
        <f t="shared" si="30"/>
        <v>0.37370815240875377</v>
      </c>
      <c r="L57" s="71">
        <f t="shared" si="30"/>
        <v>0.38324569138969544</v>
      </c>
      <c r="M57" s="71">
        <f t="shared" si="30"/>
        <v>0.36982717056878983</v>
      </c>
      <c r="N57" s="71">
        <f t="shared" si="30"/>
        <v>0.27505075015826724</v>
      </c>
      <c r="O57" s="71">
        <f t="shared" si="30"/>
        <v>0.23476700439394699</v>
      </c>
      <c r="P57" s="71">
        <f t="shared" si="30"/>
        <v>0.25929929519407963</v>
      </c>
      <c r="Q57" s="71">
        <f t="shared" si="30"/>
        <v>0.26129469684413664</v>
      </c>
      <c r="R57" s="71">
        <f t="shared" si="30"/>
        <v>0.28694159078336384</v>
      </c>
      <c r="S57" s="71">
        <f t="shared" si="30"/>
        <v>0.32202805728368389</v>
      </c>
      <c r="T57" s="71">
        <f t="shared" si="30"/>
        <v>0.30842258284175411</v>
      </c>
      <c r="U57" s="71">
        <f t="shared" si="30"/>
        <v>0.35481609349964927</v>
      </c>
      <c r="V57" s="71">
        <f t="shared" si="30"/>
        <v>0.28082908269982848</v>
      </c>
      <c r="W57" s="71">
        <f t="shared" si="30"/>
        <v>0.34442908813953632</v>
      </c>
      <c r="DA57" s="114"/>
    </row>
    <row r="58" spans="1:105" ht="12" customHeight="1" x14ac:dyDescent="0.25">
      <c r="A58" s="61" t="s">
        <v>31</v>
      </c>
      <c r="B58" s="72">
        <f t="shared" ref="B58" si="31">IF(B50=0,0,B50/B$47)</f>
        <v>0.1104547993005298</v>
      </c>
      <c r="C58" s="72">
        <f t="shared" ref="C58:W58" si="32">IF(C50=0,0,C50/C$47)</f>
        <v>0.10474570879045514</v>
      </c>
      <c r="D58" s="72">
        <f t="shared" si="32"/>
        <v>0.10744885296639672</v>
      </c>
      <c r="E58" s="72">
        <f t="shared" si="32"/>
        <v>0.12058577431756838</v>
      </c>
      <c r="F58" s="72">
        <f t="shared" si="32"/>
        <v>0.10736891948136522</v>
      </c>
      <c r="G58" s="72">
        <f t="shared" si="32"/>
        <v>0.10143711859506101</v>
      </c>
      <c r="H58" s="72">
        <f t="shared" si="32"/>
        <v>0.10606016056240081</v>
      </c>
      <c r="I58" s="72">
        <f t="shared" si="32"/>
        <v>0.11750434492000218</v>
      </c>
      <c r="J58" s="72">
        <f t="shared" si="32"/>
        <v>0.11188027919346853</v>
      </c>
      <c r="K58" s="72">
        <f t="shared" si="32"/>
        <v>0.11205787969834967</v>
      </c>
      <c r="L58" s="72">
        <f t="shared" si="32"/>
        <v>0.11706076817938189</v>
      </c>
      <c r="M58" s="72">
        <f t="shared" si="32"/>
        <v>0.10655958643946827</v>
      </c>
      <c r="N58" s="72">
        <f t="shared" si="32"/>
        <v>0.14152510420448</v>
      </c>
      <c r="O58" s="72">
        <f t="shared" si="32"/>
        <v>0.12820985891119524</v>
      </c>
      <c r="P58" s="72">
        <f t="shared" si="32"/>
        <v>0.11113640785540958</v>
      </c>
      <c r="Q58" s="72">
        <f t="shared" si="32"/>
        <v>0.11634460725183476</v>
      </c>
      <c r="R58" s="72">
        <f t="shared" si="32"/>
        <v>0.12351773235003631</v>
      </c>
      <c r="S58" s="72">
        <f t="shared" si="32"/>
        <v>0.11165208495345241</v>
      </c>
      <c r="T58" s="72">
        <f t="shared" si="32"/>
        <v>0.13972727240688138</v>
      </c>
      <c r="U58" s="72">
        <f t="shared" si="32"/>
        <v>0.11619470945050307</v>
      </c>
      <c r="V58" s="72">
        <f t="shared" si="32"/>
        <v>0.14706787420663239</v>
      </c>
      <c r="W58" s="72">
        <f t="shared" si="32"/>
        <v>0.12153982058984321</v>
      </c>
      <c r="DA58" s="115"/>
    </row>
    <row r="59" spans="1:105" ht="12" customHeight="1" x14ac:dyDescent="0.25">
      <c r="A59" s="61" t="s">
        <v>35</v>
      </c>
      <c r="B59" s="72">
        <f t="shared" ref="B59" si="33">IF(B51=0,0,B51/B$47)</f>
        <v>0.17623022772694269</v>
      </c>
      <c r="C59" s="72">
        <f t="shared" ref="C59:W59" si="34">IF(C51=0,0,C51/C$47)</f>
        <v>0.16698888863057745</v>
      </c>
      <c r="D59" s="72">
        <f t="shared" si="34"/>
        <v>0.15813855384350375</v>
      </c>
      <c r="E59" s="72">
        <f t="shared" si="34"/>
        <v>0.15390138310614301</v>
      </c>
      <c r="F59" s="72">
        <f t="shared" si="34"/>
        <v>0.15197154000804985</v>
      </c>
      <c r="G59" s="72">
        <f t="shared" si="34"/>
        <v>0.14936596217941223</v>
      </c>
      <c r="H59" s="72">
        <f t="shared" si="34"/>
        <v>0.12378414726122437</v>
      </c>
      <c r="I59" s="72">
        <f t="shared" si="34"/>
        <v>0.11659909517430794</v>
      </c>
      <c r="J59" s="72">
        <f t="shared" si="34"/>
        <v>0.10931846338640845</v>
      </c>
      <c r="K59" s="72">
        <f t="shared" si="34"/>
        <v>0.11018440751810839</v>
      </c>
      <c r="L59" s="72">
        <f t="shared" si="34"/>
        <v>0.10614435793619549</v>
      </c>
      <c r="M59" s="72">
        <f t="shared" si="34"/>
        <v>0.11072399880457845</v>
      </c>
      <c r="N59" s="72">
        <f t="shared" si="34"/>
        <v>0.12224404422195002</v>
      </c>
      <c r="O59" s="72">
        <f t="shared" si="34"/>
        <v>0.1331213674644913</v>
      </c>
      <c r="P59" s="72">
        <f t="shared" si="34"/>
        <v>0.12940318393214387</v>
      </c>
      <c r="Q59" s="72">
        <f t="shared" si="34"/>
        <v>0.1269385907015976</v>
      </c>
      <c r="R59" s="72">
        <f t="shared" si="34"/>
        <v>0.12026231102268627</v>
      </c>
      <c r="S59" s="72">
        <f t="shared" si="34"/>
        <v>0.11371638761785308</v>
      </c>
      <c r="T59" s="72">
        <f t="shared" si="34"/>
        <v>0.11131856908974963</v>
      </c>
      <c r="U59" s="72">
        <f t="shared" si="34"/>
        <v>0.1053539126900991</v>
      </c>
      <c r="V59" s="72">
        <f t="shared" si="34"/>
        <v>0.11940517555624408</v>
      </c>
      <c r="W59" s="72">
        <f t="shared" si="34"/>
        <v>0.10903785556163957</v>
      </c>
      <c r="DA59" s="115"/>
    </row>
    <row r="60" spans="1:105" ht="12" customHeight="1" x14ac:dyDescent="0.25">
      <c r="A60" s="61" t="s">
        <v>34</v>
      </c>
      <c r="B60" s="73">
        <f t="shared" ref="B60" si="35">IF(B52=0,0,B52/B$47)</f>
        <v>0.13933336270387167</v>
      </c>
      <c r="C60" s="73">
        <f t="shared" ref="C60:W60" si="36">IF(C52=0,0,C52/C$47)</f>
        <v>0.13178613351325474</v>
      </c>
      <c r="D60" s="73">
        <f t="shared" si="36"/>
        <v>0.12677678735615472</v>
      </c>
      <c r="E60" s="73">
        <f t="shared" si="36"/>
        <v>0.12483360541267485</v>
      </c>
      <c r="F60" s="73">
        <f t="shared" si="36"/>
        <v>0.12803242432317488</v>
      </c>
      <c r="G60" s="73">
        <f t="shared" si="36"/>
        <v>0.12835639726605963</v>
      </c>
      <c r="H60" s="73">
        <f t="shared" si="36"/>
        <v>0.12032089656048418</v>
      </c>
      <c r="I60" s="73">
        <f t="shared" si="36"/>
        <v>0.1199639772876582</v>
      </c>
      <c r="J60" s="73">
        <f t="shared" si="36"/>
        <v>0.11349598278413227</v>
      </c>
      <c r="K60" s="73">
        <f t="shared" si="36"/>
        <v>0.11343348775792876</v>
      </c>
      <c r="L60" s="73">
        <f t="shared" si="36"/>
        <v>0.10909301226902157</v>
      </c>
      <c r="M60" s="73">
        <f t="shared" si="36"/>
        <v>0.11510981574532594</v>
      </c>
      <c r="N60" s="73">
        <f t="shared" si="36"/>
        <v>0.12897549440861719</v>
      </c>
      <c r="O60" s="73">
        <f t="shared" si="36"/>
        <v>0.13966570389409994</v>
      </c>
      <c r="P60" s="73">
        <f t="shared" si="36"/>
        <v>0.13751894690896305</v>
      </c>
      <c r="Q60" s="73">
        <f t="shared" si="36"/>
        <v>0.13559068415676143</v>
      </c>
      <c r="R60" s="73">
        <f t="shared" si="36"/>
        <v>0.12752977176217659</v>
      </c>
      <c r="S60" s="73">
        <f t="shared" si="36"/>
        <v>0.12517965097284159</v>
      </c>
      <c r="T60" s="73">
        <f t="shared" si="36"/>
        <v>0.12525856240605948</v>
      </c>
      <c r="U60" s="73">
        <f t="shared" si="36"/>
        <v>0.12495336184909345</v>
      </c>
      <c r="V60" s="73">
        <f t="shared" si="36"/>
        <v>0.13394456869833216</v>
      </c>
      <c r="W60" s="73">
        <f t="shared" si="36"/>
        <v>0.12272928600528546</v>
      </c>
      <c r="DA60" s="116"/>
    </row>
    <row r="61" spans="1:105" ht="12" customHeight="1" x14ac:dyDescent="0.25">
      <c r="A61" s="69" t="s">
        <v>33</v>
      </c>
      <c r="B61" s="70">
        <f t="shared" ref="B61" si="37">IF(B53=0,0,B53/B$47)</f>
        <v>0.36313334539479913</v>
      </c>
      <c r="C61" s="70">
        <f t="shared" ref="C61:W61" si="38">IF(C53=0,0,C53/C$47)</f>
        <v>0.35155495312250384</v>
      </c>
      <c r="D61" s="70">
        <f t="shared" si="38"/>
        <v>0.34161883803381704</v>
      </c>
      <c r="E61" s="70">
        <f t="shared" si="38"/>
        <v>0.33911889647274412</v>
      </c>
      <c r="F61" s="70">
        <f t="shared" si="38"/>
        <v>0.34553433760676178</v>
      </c>
      <c r="G61" s="70">
        <f t="shared" si="38"/>
        <v>0.34311284233692013</v>
      </c>
      <c r="H61" s="70">
        <f t="shared" si="38"/>
        <v>0.30726863135701726</v>
      </c>
      <c r="I61" s="70">
        <f t="shared" si="38"/>
        <v>0.3032478402689</v>
      </c>
      <c r="J61" s="70">
        <f t="shared" si="38"/>
        <v>0.28499127766790583</v>
      </c>
      <c r="K61" s="70">
        <f t="shared" si="38"/>
        <v>0.29061607261685951</v>
      </c>
      <c r="L61" s="70">
        <f t="shared" si="38"/>
        <v>0.28445617022570574</v>
      </c>
      <c r="M61" s="70">
        <f t="shared" si="38"/>
        <v>0.29777942844183763</v>
      </c>
      <c r="N61" s="70">
        <f t="shared" si="38"/>
        <v>0.33220460700668558</v>
      </c>
      <c r="O61" s="70">
        <f t="shared" si="38"/>
        <v>0.36423606533626662</v>
      </c>
      <c r="P61" s="70">
        <f t="shared" si="38"/>
        <v>0.36264216610940397</v>
      </c>
      <c r="Q61" s="70">
        <f t="shared" si="38"/>
        <v>0.35983142104566962</v>
      </c>
      <c r="R61" s="70">
        <f t="shared" si="38"/>
        <v>0.34174859408173708</v>
      </c>
      <c r="S61" s="70">
        <f t="shared" si="38"/>
        <v>0.32742381917216895</v>
      </c>
      <c r="T61" s="70">
        <f t="shared" si="38"/>
        <v>0.3152730132555554</v>
      </c>
      <c r="U61" s="70">
        <f t="shared" si="38"/>
        <v>0.29868192251065523</v>
      </c>
      <c r="V61" s="70">
        <f t="shared" si="38"/>
        <v>0.31875329883896286</v>
      </c>
      <c r="W61" s="70">
        <f t="shared" si="38"/>
        <v>0.30226394970369547</v>
      </c>
      <c r="DA61" s="113"/>
    </row>
    <row r="62" spans="1:105" s="2" customFormat="1" ht="12" customHeight="1" x14ac:dyDescent="0.25">
      <c r="DA62" s="7"/>
    </row>
    <row r="63" spans="1:105" s="2" customFormat="1" ht="12.95" customHeight="1" x14ac:dyDescent="0.25">
      <c r="A63" s="47" t="s">
        <v>54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DA63" s="97"/>
    </row>
    <row r="64" spans="1:105" s="2" customFormat="1" ht="12" customHeight="1" x14ac:dyDescent="0.25">
      <c r="DA64" s="7"/>
    </row>
    <row r="65" spans="1:105" ht="12.95" customHeight="1" x14ac:dyDescent="0.25">
      <c r="A65" s="79" t="s">
        <v>53</v>
      </c>
      <c r="B65" s="80">
        <v>80.909852639246594</v>
      </c>
      <c r="C65" s="80">
        <v>81.757080126404162</v>
      </c>
      <c r="D65" s="80">
        <v>78.368170177773834</v>
      </c>
      <c r="E65" s="80">
        <v>80.486221163081936</v>
      </c>
      <c r="F65" s="80">
        <v>72.437613232842423</v>
      </c>
      <c r="G65" s="80">
        <v>69.634233007911021</v>
      </c>
      <c r="H65" s="80">
        <v>118.33920648000002</v>
      </c>
      <c r="I65" s="80">
        <v>121.52983428000002</v>
      </c>
      <c r="J65" s="80">
        <v>153.18261287999999</v>
      </c>
      <c r="K65" s="80">
        <v>124.65463356000002</v>
      </c>
      <c r="L65" s="80">
        <v>137.44374624</v>
      </c>
      <c r="M65" s="80">
        <v>137.1664098</v>
      </c>
      <c r="N65" s="80">
        <v>124.27068744000002</v>
      </c>
      <c r="O65" s="80">
        <v>127.33764371999999</v>
      </c>
      <c r="P65" s="80">
        <v>118.40024052</v>
      </c>
      <c r="Q65" s="80">
        <v>108.93590028000001</v>
      </c>
      <c r="R65" s="80">
        <v>105.63718716</v>
      </c>
      <c r="S65" s="80">
        <v>121.54470551999998</v>
      </c>
      <c r="T65" s="80">
        <v>120.66732036000002</v>
      </c>
      <c r="U65" s="80">
        <v>146.74850352000001</v>
      </c>
      <c r="V65" s="80">
        <v>115.12279008000003</v>
      </c>
      <c r="W65" s="80">
        <v>120.53288772000002</v>
      </c>
      <c r="DA65" s="103" t="s">
        <v>218</v>
      </c>
    </row>
    <row r="66" spans="1:105" ht="12" customHeight="1" x14ac:dyDescent="0.25">
      <c r="A66" s="58" t="s">
        <v>29</v>
      </c>
      <c r="B66" s="59">
        <v>0</v>
      </c>
      <c r="C66" s="59">
        <v>0</v>
      </c>
      <c r="D66" s="59">
        <v>0</v>
      </c>
      <c r="E66" s="59">
        <v>0</v>
      </c>
      <c r="F66" s="59">
        <v>0</v>
      </c>
      <c r="G66" s="59">
        <v>0</v>
      </c>
      <c r="H66" s="59">
        <v>0</v>
      </c>
      <c r="I66" s="59">
        <v>0</v>
      </c>
      <c r="J66" s="59">
        <v>0</v>
      </c>
      <c r="K66" s="59">
        <v>0</v>
      </c>
      <c r="L66" s="59">
        <v>0</v>
      </c>
      <c r="M66" s="59">
        <v>0</v>
      </c>
      <c r="N66" s="59">
        <v>0</v>
      </c>
      <c r="O66" s="59">
        <v>0</v>
      </c>
      <c r="P66" s="59">
        <v>0</v>
      </c>
      <c r="Q66" s="59">
        <v>0</v>
      </c>
      <c r="R66" s="59">
        <v>0</v>
      </c>
      <c r="S66" s="59">
        <v>0</v>
      </c>
      <c r="T66" s="59">
        <v>0</v>
      </c>
      <c r="U66" s="59">
        <v>0</v>
      </c>
      <c r="V66" s="59">
        <v>0</v>
      </c>
      <c r="W66" s="59">
        <v>0</v>
      </c>
      <c r="DA66" s="104" t="s">
        <v>219</v>
      </c>
    </row>
    <row r="67" spans="1:105" ht="12" customHeight="1" x14ac:dyDescent="0.25">
      <c r="A67" s="60" t="s">
        <v>28</v>
      </c>
      <c r="B67" s="55">
        <f>SUM(B68:B69)</f>
        <v>80.909852639246594</v>
      </c>
      <c r="C67" s="55">
        <f t="shared" ref="C67:W67" si="39">SUM(C68:C69)</f>
        <v>81.757080126404162</v>
      </c>
      <c r="D67" s="55">
        <f t="shared" si="39"/>
        <v>78.368170177773834</v>
      </c>
      <c r="E67" s="55">
        <f t="shared" si="39"/>
        <v>80.486221163081936</v>
      </c>
      <c r="F67" s="55">
        <f t="shared" si="39"/>
        <v>72.437613232842423</v>
      </c>
      <c r="G67" s="55">
        <f t="shared" si="39"/>
        <v>69.634233007911021</v>
      </c>
      <c r="H67" s="55">
        <f t="shared" si="39"/>
        <v>118.33920648</v>
      </c>
      <c r="I67" s="55">
        <f t="shared" si="39"/>
        <v>121.52983428000002</v>
      </c>
      <c r="J67" s="55">
        <f t="shared" si="39"/>
        <v>153.18261287999999</v>
      </c>
      <c r="K67" s="55">
        <f t="shared" si="39"/>
        <v>124.65463356000001</v>
      </c>
      <c r="L67" s="55">
        <f t="shared" si="39"/>
        <v>137.44374624</v>
      </c>
      <c r="M67" s="55">
        <f t="shared" si="39"/>
        <v>137.1664098</v>
      </c>
      <c r="N67" s="55">
        <f t="shared" si="39"/>
        <v>124.27068744000002</v>
      </c>
      <c r="O67" s="55">
        <f t="shared" si="39"/>
        <v>127.33764371999999</v>
      </c>
      <c r="P67" s="55">
        <f t="shared" si="39"/>
        <v>118.40024052</v>
      </c>
      <c r="Q67" s="55">
        <f t="shared" si="39"/>
        <v>108.93590028</v>
      </c>
      <c r="R67" s="55">
        <f t="shared" si="39"/>
        <v>105.63718716</v>
      </c>
      <c r="S67" s="55">
        <f t="shared" si="39"/>
        <v>121.54470551999998</v>
      </c>
      <c r="T67" s="55">
        <f t="shared" si="39"/>
        <v>120.66732036000002</v>
      </c>
      <c r="U67" s="55">
        <f t="shared" si="39"/>
        <v>146.74850352000001</v>
      </c>
      <c r="V67" s="55">
        <f t="shared" si="39"/>
        <v>115.12279008000003</v>
      </c>
      <c r="W67" s="55">
        <f t="shared" si="39"/>
        <v>120.53288772000002</v>
      </c>
      <c r="DA67" s="101"/>
    </row>
    <row r="68" spans="1:105" ht="12" customHeight="1" x14ac:dyDescent="0.25">
      <c r="A68" s="61" t="s">
        <v>52</v>
      </c>
      <c r="B68" s="55">
        <v>0</v>
      </c>
      <c r="C68" s="55">
        <v>0</v>
      </c>
      <c r="D68" s="55">
        <v>0</v>
      </c>
      <c r="E68" s="55">
        <v>0</v>
      </c>
      <c r="F68" s="55">
        <v>0</v>
      </c>
      <c r="G68" s="55">
        <v>0</v>
      </c>
      <c r="H68" s="55">
        <v>38.800290960000019</v>
      </c>
      <c r="I68" s="55">
        <v>38.800290960000019</v>
      </c>
      <c r="J68" s="55">
        <v>41.784719040000006</v>
      </c>
      <c r="K68" s="55">
        <v>38.800290960000019</v>
      </c>
      <c r="L68" s="55">
        <v>38.800290960000019</v>
      </c>
      <c r="M68" s="55">
        <v>41.784719040000006</v>
      </c>
      <c r="N68" s="55">
        <v>41.784719040000006</v>
      </c>
      <c r="O68" s="55">
        <v>38.800290959999991</v>
      </c>
      <c r="P68" s="55">
        <v>32.830980479999994</v>
      </c>
      <c r="Q68" s="55">
        <v>35.815635719999996</v>
      </c>
      <c r="R68" s="55">
        <v>35.815635719999996</v>
      </c>
      <c r="S68" s="55">
        <v>43.235362799999997</v>
      </c>
      <c r="T68" s="55">
        <v>43.754650560000009</v>
      </c>
      <c r="U68" s="55">
        <v>50.097184920000011</v>
      </c>
      <c r="V68" s="55">
        <v>36.994596120000011</v>
      </c>
      <c r="W68" s="55">
        <v>32.383248120000005</v>
      </c>
      <c r="DA68" s="101" t="s">
        <v>220</v>
      </c>
    </row>
    <row r="69" spans="1:105" ht="12" customHeight="1" x14ac:dyDescent="0.25">
      <c r="A69" s="61" t="s">
        <v>170</v>
      </c>
      <c r="B69" s="55">
        <v>80.909852639246594</v>
      </c>
      <c r="C69" s="55">
        <v>81.757080126404162</v>
      </c>
      <c r="D69" s="55">
        <v>78.368170177773834</v>
      </c>
      <c r="E69" s="55">
        <v>80.486221163081936</v>
      </c>
      <c r="F69" s="55">
        <v>72.437613232842423</v>
      </c>
      <c r="G69" s="55">
        <v>69.634233007911021</v>
      </c>
      <c r="H69" s="55">
        <v>79.538915519999989</v>
      </c>
      <c r="I69" s="55">
        <v>82.729543320000005</v>
      </c>
      <c r="J69" s="55">
        <v>111.39789383999999</v>
      </c>
      <c r="K69" s="55">
        <v>85.854342599999995</v>
      </c>
      <c r="L69" s="55">
        <v>98.643455279999984</v>
      </c>
      <c r="M69" s="55">
        <v>95.381690759999998</v>
      </c>
      <c r="N69" s="55">
        <v>82.485968400000019</v>
      </c>
      <c r="O69" s="55">
        <v>88.537352760000005</v>
      </c>
      <c r="P69" s="55">
        <v>85.569260040000003</v>
      </c>
      <c r="Q69" s="55">
        <v>73.12026456000001</v>
      </c>
      <c r="R69" s="55">
        <v>69.821551440000007</v>
      </c>
      <c r="S69" s="55">
        <v>78.309342719999989</v>
      </c>
      <c r="T69" s="55">
        <v>76.912669800000003</v>
      </c>
      <c r="U69" s="55">
        <v>96.651318599999996</v>
      </c>
      <c r="V69" s="55">
        <v>78.128193960000019</v>
      </c>
      <c r="W69" s="55">
        <v>88.149639600000015</v>
      </c>
      <c r="DA69" s="101" t="s">
        <v>221</v>
      </c>
    </row>
    <row r="70" spans="1:105" ht="12" customHeight="1" x14ac:dyDescent="0.25">
      <c r="A70" s="60" t="s">
        <v>153</v>
      </c>
      <c r="B70" s="55">
        <v>0</v>
      </c>
      <c r="C70" s="55">
        <v>0</v>
      </c>
      <c r="D70" s="55">
        <v>0</v>
      </c>
      <c r="E70" s="55">
        <v>0</v>
      </c>
      <c r="F70" s="55">
        <v>0</v>
      </c>
      <c r="G70" s="55">
        <v>0</v>
      </c>
      <c r="H70" s="55">
        <v>0</v>
      </c>
      <c r="I70" s="55">
        <v>0</v>
      </c>
      <c r="J70" s="55">
        <v>0</v>
      </c>
      <c r="K70" s="55">
        <v>0</v>
      </c>
      <c r="L70" s="55">
        <v>0</v>
      </c>
      <c r="M70" s="55">
        <v>0</v>
      </c>
      <c r="N70" s="55">
        <v>0</v>
      </c>
      <c r="O70" s="55">
        <v>0</v>
      </c>
      <c r="P70" s="55">
        <v>0</v>
      </c>
      <c r="Q70" s="55">
        <v>0</v>
      </c>
      <c r="R70" s="55">
        <v>0</v>
      </c>
      <c r="S70" s="55">
        <v>0</v>
      </c>
      <c r="T70" s="55">
        <v>0</v>
      </c>
      <c r="U70" s="55">
        <v>0</v>
      </c>
      <c r="V70" s="55">
        <v>0</v>
      </c>
      <c r="W70" s="55">
        <v>0</v>
      </c>
      <c r="DA70" s="101" t="s">
        <v>222</v>
      </c>
    </row>
    <row r="71" spans="1:105" ht="12" customHeight="1" x14ac:dyDescent="0.25">
      <c r="A71" s="60" t="s">
        <v>51</v>
      </c>
      <c r="B71" s="55">
        <f>SUM(B72:B76)</f>
        <v>0</v>
      </c>
      <c r="C71" s="55">
        <f t="shared" ref="C71:W71" si="40">SUM(C72:C76)</f>
        <v>0</v>
      </c>
      <c r="D71" s="55">
        <f t="shared" si="40"/>
        <v>0</v>
      </c>
      <c r="E71" s="55">
        <f t="shared" si="40"/>
        <v>0</v>
      </c>
      <c r="F71" s="55">
        <f t="shared" si="40"/>
        <v>0</v>
      </c>
      <c r="G71" s="55">
        <f t="shared" si="40"/>
        <v>0</v>
      </c>
      <c r="H71" s="55">
        <f t="shared" si="40"/>
        <v>0</v>
      </c>
      <c r="I71" s="55">
        <f t="shared" si="40"/>
        <v>0</v>
      </c>
      <c r="J71" s="55">
        <f t="shared" si="40"/>
        <v>0</v>
      </c>
      <c r="K71" s="55">
        <f t="shared" si="40"/>
        <v>0</v>
      </c>
      <c r="L71" s="55">
        <f t="shared" si="40"/>
        <v>0</v>
      </c>
      <c r="M71" s="55">
        <f t="shared" si="40"/>
        <v>0</v>
      </c>
      <c r="N71" s="55">
        <f t="shared" si="40"/>
        <v>0</v>
      </c>
      <c r="O71" s="55">
        <f t="shared" si="40"/>
        <v>0</v>
      </c>
      <c r="P71" s="55">
        <f t="shared" si="40"/>
        <v>0</v>
      </c>
      <c r="Q71" s="55">
        <f t="shared" si="40"/>
        <v>0</v>
      </c>
      <c r="R71" s="55">
        <f t="shared" si="40"/>
        <v>0</v>
      </c>
      <c r="S71" s="55">
        <f t="shared" si="40"/>
        <v>0</v>
      </c>
      <c r="T71" s="55">
        <f t="shared" si="40"/>
        <v>0</v>
      </c>
      <c r="U71" s="55">
        <f t="shared" si="40"/>
        <v>0</v>
      </c>
      <c r="V71" s="55">
        <f t="shared" si="40"/>
        <v>0</v>
      </c>
      <c r="W71" s="55">
        <f t="shared" si="40"/>
        <v>0</v>
      </c>
      <c r="DA71" s="101"/>
    </row>
    <row r="72" spans="1:105" ht="12" customHeight="1" x14ac:dyDescent="0.25">
      <c r="A72" s="61" t="s">
        <v>171</v>
      </c>
      <c r="B72" s="55">
        <v>0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DA72" s="101" t="s">
        <v>223</v>
      </c>
    </row>
    <row r="73" spans="1:105" ht="12" customHeight="1" x14ac:dyDescent="0.25">
      <c r="A73" s="61" t="s">
        <v>50</v>
      </c>
      <c r="B73" s="55">
        <v>0</v>
      </c>
      <c r="C73" s="55">
        <v>0</v>
      </c>
      <c r="D73" s="55">
        <v>0</v>
      </c>
      <c r="E73" s="55">
        <v>0</v>
      </c>
      <c r="F73" s="55">
        <v>0</v>
      </c>
      <c r="G73" s="55">
        <v>0</v>
      </c>
      <c r="H73" s="55">
        <v>0</v>
      </c>
      <c r="I73" s="55">
        <v>0</v>
      </c>
      <c r="J73" s="55">
        <v>0</v>
      </c>
      <c r="K73" s="55">
        <v>0</v>
      </c>
      <c r="L73" s="55">
        <v>0</v>
      </c>
      <c r="M73" s="55">
        <v>0</v>
      </c>
      <c r="N73" s="55">
        <v>0</v>
      </c>
      <c r="O73" s="55">
        <v>0</v>
      </c>
      <c r="P73" s="55">
        <v>0</v>
      </c>
      <c r="Q73" s="55">
        <v>0</v>
      </c>
      <c r="R73" s="55">
        <v>0</v>
      </c>
      <c r="S73" s="55">
        <v>0</v>
      </c>
      <c r="T73" s="55">
        <v>0</v>
      </c>
      <c r="U73" s="55">
        <v>0</v>
      </c>
      <c r="V73" s="55">
        <v>0</v>
      </c>
      <c r="W73" s="55">
        <v>0</v>
      </c>
      <c r="DA73" s="101" t="s">
        <v>224</v>
      </c>
    </row>
    <row r="74" spans="1:105" ht="12" customHeight="1" x14ac:dyDescent="0.25">
      <c r="A74" s="61" t="s">
        <v>49</v>
      </c>
      <c r="B74" s="55">
        <v>0</v>
      </c>
      <c r="C74" s="55">
        <v>0</v>
      </c>
      <c r="D74" s="55">
        <v>0</v>
      </c>
      <c r="E74" s="55">
        <v>0</v>
      </c>
      <c r="F74" s="55">
        <v>0</v>
      </c>
      <c r="G74" s="55">
        <v>0</v>
      </c>
      <c r="H74" s="55">
        <v>0</v>
      </c>
      <c r="I74" s="55">
        <v>0</v>
      </c>
      <c r="J74" s="55">
        <v>0</v>
      </c>
      <c r="K74" s="55">
        <v>0</v>
      </c>
      <c r="L74" s="55">
        <v>0</v>
      </c>
      <c r="M74" s="55">
        <v>0</v>
      </c>
      <c r="N74" s="55">
        <v>0</v>
      </c>
      <c r="O74" s="55">
        <v>0</v>
      </c>
      <c r="P74" s="55">
        <v>0</v>
      </c>
      <c r="Q74" s="55">
        <v>0</v>
      </c>
      <c r="R74" s="55">
        <v>0</v>
      </c>
      <c r="S74" s="55">
        <v>0</v>
      </c>
      <c r="T74" s="55">
        <v>0</v>
      </c>
      <c r="U74" s="55">
        <v>0</v>
      </c>
      <c r="V74" s="55">
        <v>0</v>
      </c>
      <c r="W74" s="55">
        <v>0</v>
      </c>
      <c r="DA74" s="101" t="s">
        <v>225</v>
      </c>
    </row>
    <row r="75" spans="1:105" ht="12" customHeight="1" x14ac:dyDescent="0.25">
      <c r="A75" s="61" t="s">
        <v>26</v>
      </c>
      <c r="B75" s="55">
        <v>0</v>
      </c>
      <c r="C75" s="55">
        <v>0</v>
      </c>
      <c r="D75" s="55">
        <v>0</v>
      </c>
      <c r="E75" s="55">
        <v>0</v>
      </c>
      <c r="F75" s="55">
        <v>0</v>
      </c>
      <c r="G75" s="55">
        <v>0</v>
      </c>
      <c r="H75" s="55">
        <v>0</v>
      </c>
      <c r="I75" s="55">
        <v>0</v>
      </c>
      <c r="J75" s="55">
        <v>0</v>
      </c>
      <c r="K75" s="55">
        <v>0</v>
      </c>
      <c r="L75" s="55">
        <v>0</v>
      </c>
      <c r="M75" s="55">
        <v>0</v>
      </c>
      <c r="N75" s="55">
        <v>0</v>
      </c>
      <c r="O75" s="55">
        <v>0</v>
      </c>
      <c r="P75" s="55">
        <v>0</v>
      </c>
      <c r="Q75" s="55">
        <v>0</v>
      </c>
      <c r="R75" s="55">
        <v>0</v>
      </c>
      <c r="S75" s="55">
        <v>0</v>
      </c>
      <c r="T75" s="55">
        <v>0</v>
      </c>
      <c r="U75" s="55">
        <v>0</v>
      </c>
      <c r="V75" s="55">
        <v>0</v>
      </c>
      <c r="W75" s="55">
        <v>0</v>
      </c>
      <c r="DA75" s="101" t="s">
        <v>226</v>
      </c>
    </row>
    <row r="76" spans="1:105" ht="12" customHeight="1" x14ac:dyDescent="0.25">
      <c r="A76" s="61" t="s">
        <v>25</v>
      </c>
      <c r="B76" s="55">
        <v>0</v>
      </c>
      <c r="C76" s="55">
        <v>0</v>
      </c>
      <c r="D76" s="55">
        <v>0</v>
      </c>
      <c r="E76" s="55">
        <v>0</v>
      </c>
      <c r="F76" s="55">
        <v>0</v>
      </c>
      <c r="G76" s="55">
        <v>0</v>
      </c>
      <c r="H76" s="55">
        <v>0</v>
      </c>
      <c r="I76" s="55">
        <v>0</v>
      </c>
      <c r="J76" s="55">
        <v>0</v>
      </c>
      <c r="K76" s="55">
        <v>0</v>
      </c>
      <c r="L76" s="55">
        <v>0</v>
      </c>
      <c r="M76" s="55">
        <v>0</v>
      </c>
      <c r="N76" s="55">
        <v>0</v>
      </c>
      <c r="O76" s="55">
        <v>0</v>
      </c>
      <c r="P76" s="55">
        <v>0</v>
      </c>
      <c r="Q76" s="55">
        <v>0</v>
      </c>
      <c r="R76" s="55">
        <v>0</v>
      </c>
      <c r="S76" s="55">
        <v>0</v>
      </c>
      <c r="T76" s="55">
        <v>0</v>
      </c>
      <c r="U76" s="55">
        <v>0</v>
      </c>
      <c r="V76" s="55">
        <v>0</v>
      </c>
      <c r="W76" s="55">
        <v>0</v>
      </c>
      <c r="DA76" s="101" t="s">
        <v>227</v>
      </c>
    </row>
    <row r="77" spans="1:105" ht="12" customHeight="1" x14ac:dyDescent="0.25">
      <c r="A77" s="61" t="s">
        <v>157</v>
      </c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DA77" s="101" t="s">
        <v>228</v>
      </c>
    </row>
    <row r="78" spans="1:105" ht="12" customHeight="1" x14ac:dyDescent="0.25">
      <c r="A78" s="60" t="s">
        <v>169</v>
      </c>
      <c r="B78" s="55">
        <v>0</v>
      </c>
      <c r="C78" s="55">
        <v>0</v>
      </c>
      <c r="D78" s="55">
        <v>0</v>
      </c>
      <c r="E78" s="55">
        <v>0</v>
      </c>
      <c r="F78" s="55">
        <v>0</v>
      </c>
      <c r="G78" s="55">
        <v>0</v>
      </c>
      <c r="H78" s="55">
        <v>0</v>
      </c>
      <c r="I78" s="55">
        <v>0</v>
      </c>
      <c r="J78" s="55">
        <v>0</v>
      </c>
      <c r="K78" s="55">
        <v>0</v>
      </c>
      <c r="L78" s="55">
        <v>0</v>
      </c>
      <c r="M78" s="55">
        <v>0</v>
      </c>
      <c r="N78" s="55">
        <v>0</v>
      </c>
      <c r="O78" s="55">
        <v>0</v>
      </c>
      <c r="P78" s="55">
        <v>0</v>
      </c>
      <c r="Q78" s="55">
        <v>0</v>
      </c>
      <c r="R78" s="55">
        <v>0</v>
      </c>
      <c r="S78" s="55">
        <v>0</v>
      </c>
      <c r="T78" s="55">
        <v>0</v>
      </c>
      <c r="U78" s="55">
        <v>0</v>
      </c>
      <c r="V78" s="55">
        <v>0</v>
      </c>
      <c r="W78" s="55">
        <v>0</v>
      </c>
      <c r="DA78" s="101" t="s">
        <v>229</v>
      </c>
    </row>
    <row r="79" spans="1:105" ht="12" customHeight="1" x14ac:dyDescent="0.25">
      <c r="A79" s="62" t="s">
        <v>24</v>
      </c>
      <c r="B79" s="63">
        <v>0</v>
      </c>
      <c r="C79" s="63">
        <v>0</v>
      </c>
      <c r="D79" s="63">
        <v>0</v>
      </c>
      <c r="E79" s="63">
        <v>0</v>
      </c>
      <c r="F79" s="63">
        <v>0</v>
      </c>
      <c r="G79" s="63">
        <v>0</v>
      </c>
      <c r="H79" s="63">
        <v>0</v>
      </c>
      <c r="I79" s="63">
        <v>0</v>
      </c>
      <c r="J79" s="63">
        <v>0</v>
      </c>
      <c r="K79" s="63">
        <v>0</v>
      </c>
      <c r="L79" s="63">
        <v>0</v>
      </c>
      <c r="M79" s="63">
        <v>0</v>
      </c>
      <c r="N79" s="63">
        <v>0</v>
      </c>
      <c r="O79" s="63">
        <v>0</v>
      </c>
      <c r="P79" s="63">
        <v>0</v>
      </c>
      <c r="Q79" s="63">
        <v>0</v>
      </c>
      <c r="R79" s="63">
        <v>0</v>
      </c>
      <c r="S79" s="63">
        <v>0</v>
      </c>
      <c r="T79" s="63">
        <v>0</v>
      </c>
      <c r="U79" s="63">
        <v>0</v>
      </c>
      <c r="V79" s="63">
        <v>0</v>
      </c>
      <c r="W79" s="63">
        <v>0</v>
      </c>
      <c r="DA79" s="105" t="s">
        <v>230</v>
      </c>
    </row>
    <row r="80" spans="1:105" s="2" customFormat="1" ht="12" customHeight="1" x14ac:dyDescent="0.25">
      <c r="DA80" s="7"/>
    </row>
    <row r="81" spans="1:105" ht="12.95" customHeight="1" x14ac:dyDescent="0.25">
      <c r="A81" s="81" t="s">
        <v>48</v>
      </c>
      <c r="B81" s="82">
        <f t="shared" ref="B81" si="41">B82+B87</f>
        <v>80.909852639246594</v>
      </c>
      <c r="C81" s="82">
        <f t="shared" ref="C81:W81" si="42">C82+C87</f>
        <v>81.757080126404162</v>
      </c>
      <c r="D81" s="82">
        <f t="shared" si="42"/>
        <v>78.368170177773834</v>
      </c>
      <c r="E81" s="82">
        <f t="shared" si="42"/>
        <v>80.486221163081936</v>
      </c>
      <c r="F81" s="82">
        <f t="shared" si="42"/>
        <v>72.437613232842438</v>
      </c>
      <c r="G81" s="82">
        <f t="shared" si="42"/>
        <v>69.634233007911021</v>
      </c>
      <c r="H81" s="82">
        <f t="shared" si="42"/>
        <v>118.33920648</v>
      </c>
      <c r="I81" s="82">
        <f t="shared" si="42"/>
        <v>121.52983428000002</v>
      </c>
      <c r="J81" s="82">
        <f t="shared" si="42"/>
        <v>153.18261287999999</v>
      </c>
      <c r="K81" s="82">
        <f t="shared" si="42"/>
        <v>124.65463355999999</v>
      </c>
      <c r="L81" s="82">
        <f t="shared" si="42"/>
        <v>137.44374624000005</v>
      </c>
      <c r="M81" s="82">
        <f t="shared" si="42"/>
        <v>137.1664098</v>
      </c>
      <c r="N81" s="82">
        <f t="shared" si="42"/>
        <v>124.27068744000003</v>
      </c>
      <c r="O81" s="82">
        <f t="shared" si="42"/>
        <v>127.33764372000002</v>
      </c>
      <c r="P81" s="82">
        <f t="shared" si="42"/>
        <v>118.40024052000001</v>
      </c>
      <c r="Q81" s="82">
        <f t="shared" si="42"/>
        <v>108.93590028000001</v>
      </c>
      <c r="R81" s="82">
        <f t="shared" si="42"/>
        <v>105.63718716</v>
      </c>
      <c r="S81" s="82">
        <f t="shared" si="42"/>
        <v>121.54470551999999</v>
      </c>
      <c r="T81" s="82">
        <f t="shared" si="42"/>
        <v>120.66732036000009</v>
      </c>
      <c r="U81" s="82">
        <f t="shared" si="42"/>
        <v>146.74850352000001</v>
      </c>
      <c r="V81" s="82">
        <f t="shared" si="42"/>
        <v>115.1227900800001</v>
      </c>
      <c r="W81" s="82">
        <f t="shared" si="42"/>
        <v>120.53288771999986</v>
      </c>
      <c r="DA81" s="107" t="s">
        <v>231</v>
      </c>
    </row>
    <row r="82" spans="1:105" ht="12" customHeight="1" x14ac:dyDescent="0.25">
      <c r="A82" s="77" t="s">
        <v>36</v>
      </c>
      <c r="B82" s="64">
        <f t="shared" ref="B82" si="43">SUM(B83:B86)</f>
        <v>80.909852639246594</v>
      </c>
      <c r="C82" s="64">
        <f t="shared" ref="C82:W82" si="44">SUM(C83:C86)</f>
        <v>81.757080126404162</v>
      </c>
      <c r="D82" s="64">
        <f t="shared" si="44"/>
        <v>78.368170177773834</v>
      </c>
      <c r="E82" s="64">
        <f t="shared" si="44"/>
        <v>80.486221163081936</v>
      </c>
      <c r="F82" s="64">
        <f t="shared" si="44"/>
        <v>72.437613232842438</v>
      </c>
      <c r="G82" s="64">
        <f t="shared" si="44"/>
        <v>69.634233007911021</v>
      </c>
      <c r="H82" s="64">
        <f t="shared" si="44"/>
        <v>118.33920648</v>
      </c>
      <c r="I82" s="64">
        <f t="shared" si="44"/>
        <v>121.52983428000002</v>
      </c>
      <c r="J82" s="64">
        <f t="shared" si="44"/>
        <v>153.18261287999999</v>
      </c>
      <c r="K82" s="64">
        <f t="shared" si="44"/>
        <v>124.65463355999999</v>
      </c>
      <c r="L82" s="64">
        <f t="shared" si="44"/>
        <v>137.44374624000005</v>
      </c>
      <c r="M82" s="64">
        <f t="shared" si="44"/>
        <v>137.1664098</v>
      </c>
      <c r="N82" s="64">
        <f t="shared" si="44"/>
        <v>124.27068744000003</v>
      </c>
      <c r="O82" s="64">
        <f t="shared" si="44"/>
        <v>127.33764372000002</v>
      </c>
      <c r="P82" s="64">
        <f t="shared" si="44"/>
        <v>118.40024052000001</v>
      </c>
      <c r="Q82" s="64">
        <f t="shared" si="44"/>
        <v>108.93590028000001</v>
      </c>
      <c r="R82" s="64">
        <f t="shared" si="44"/>
        <v>105.63718716</v>
      </c>
      <c r="S82" s="64">
        <f t="shared" si="44"/>
        <v>121.54470551999999</v>
      </c>
      <c r="T82" s="64">
        <f t="shared" si="44"/>
        <v>120.66732036000009</v>
      </c>
      <c r="U82" s="64">
        <f t="shared" si="44"/>
        <v>146.74850352000001</v>
      </c>
      <c r="V82" s="64">
        <f t="shared" si="44"/>
        <v>115.1227900800001</v>
      </c>
      <c r="W82" s="64">
        <f t="shared" si="44"/>
        <v>120.53288771999986</v>
      </c>
      <c r="DA82" s="108" t="s">
        <v>232</v>
      </c>
    </row>
    <row r="83" spans="1:105" ht="12" customHeight="1" x14ac:dyDescent="0.25">
      <c r="A83" s="61" t="s">
        <v>32</v>
      </c>
      <c r="B83" s="65">
        <v>77.183414806263201</v>
      </c>
      <c r="C83" s="65">
        <v>78.007597241719964</v>
      </c>
      <c r="D83" s="65">
        <v>74.611600677874634</v>
      </c>
      <c r="E83" s="65">
        <v>76.759246099533016</v>
      </c>
      <c r="F83" s="65">
        <v>68.694223356125548</v>
      </c>
      <c r="G83" s="65">
        <v>65.877525540557926</v>
      </c>
      <c r="H83" s="65">
        <v>75.832197953451342</v>
      </c>
      <c r="I83" s="65">
        <v>79.085031758138825</v>
      </c>
      <c r="J83" s="65">
        <v>107.81190606053887</v>
      </c>
      <c r="K83" s="65">
        <v>82.281344195324365</v>
      </c>
      <c r="L83" s="65">
        <v>95.088835893192424</v>
      </c>
      <c r="M83" s="65">
        <v>91.822513570477923</v>
      </c>
      <c r="N83" s="65">
        <v>78.898032698101375</v>
      </c>
      <c r="O83" s="65">
        <v>85.03929691457337</v>
      </c>
      <c r="P83" s="65">
        <v>82.067892182256159</v>
      </c>
      <c r="Q83" s="65">
        <v>69.622935236071754</v>
      </c>
      <c r="R83" s="65">
        <v>66.296364405834552</v>
      </c>
      <c r="S83" s="65">
        <v>74.996317833201132</v>
      </c>
      <c r="T83" s="65">
        <v>73.422727169852195</v>
      </c>
      <c r="U83" s="65">
        <v>93.168214522348819</v>
      </c>
      <c r="V83" s="65">
        <v>74.986345596824421</v>
      </c>
      <c r="W83" s="65">
        <v>84.734048586077776</v>
      </c>
      <c r="DA83" s="109" t="s">
        <v>233</v>
      </c>
    </row>
    <row r="84" spans="1:105" ht="12" customHeight="1" x14ac:dyDescent="0.25">
      <c r="A84" s="61" t="s">
        <v>31</v>
      </c>
      <c r="B84" s="65">
        <v>0</v>
      </c>
      <c r="C84" s="65">
        <v>0</v>
      </c>
      <c r="D84" s="65">
        <v>0</v>
      </c>
      <c r="E84" s="65">
        <v>0</v>
      </c>
      <c r="F84" s="65">
        <v>0</v>
      </c>
      <c r="G84" s="65">
        <v>0</v>
      </c>
      <c r="H84" s="65">
        <v>0</v>
      </c>
      <c r="I84" s="65">
        <v>0</v>
      </c>
      <c r="J84" s="65">
        <v>0</v>
      </c>
      <c r="K84" s="65">
        <v>0</v>
      </c>
      <c r="L84" s="65">
        <v>0</v>
      </c>
      <c r="M84" s="65">
        <v>0</v>
      </c>
      <c r="N84" s="65">
        <v>0</v>
      </c>
      <c r="O84" s="65">
        <v>0</v>
      </c>
      <c r="P84" s="65">
        <v>0</v>
      </c>
      <c r="Q84" s="65">
        <v>0</v>
      </c>
      <c r="R84" s="65">
        <v>0</v>
      </c>
      <c r="S84" s="65">
        <v>0</v>
      </c>
      <c r="T84" s="65">
        <v>0</v>
      </c>
      <c r="U84" s="65">
        <v>0</v>
      </c>
      <c r="V84" s="65">
        <v>0</v>
      </c>
      <c r="W84" s="65">
        <v>0</v>
      </c>
      <c r="DA84" s="109" t="s">
        <v>234</v>
      </c>
    </row>
    <row r="85" spans="1:105" ht="12" customHeight="1" x14ac:dyDescent="0.25">
      <c r="A85" s="61" t="s">
        <v>35</v>
      </c>
      <c r="B85" s="65">
        <v>3.7264378329833985</v>
      </c>
      <c r="C85" s="65">
        <v>3.7494828846841961</v>
      </c>
      <c r="D85" s="65">
        <v>3.7565694998992067</v>
      </c>
      <c r="E85" s="65">
        <v>3.7269750635489243</v>
      </c>
      <c r="F85" s="65">
        <v>3.7433898767168863</v>
      </c>
      <c r="G85" s="65">
        <v>3.7567074673530994</v>
      </c>
      <c r="H85" s="65">
        <v>27.217635147822218</v>
      </c>
      <c r="I85" s="65">
        <v>27.404027714766052</v>
      </c>
      <c r="J85" s="65">
        <v>27.687907362152593</v>
      </c>
      <c r="K85" s="65">
        <v>27.857240184615375</v>
      </c>
      <c r="L85" s="65">
        <v>28.623585336856305</v>
      </c>
      <c r="M85" s="65">
        <v>27.457864203196706</v>
      </c>
      <c r="N85" s="65">
        <v>26.163628314418244</v>
      </c>
      <c r="O85" s="65">
        <v>24.597459295859458</v>
      </c>
      <c r="P85" s="65">
        <v>21.420597060852185</v>
      </c>
      <c r="Q85" s="65">
        <v>20.871522017208203</v>
      </c>
      <c r="R85" s="65">
        <v>21.142382424847966</v>
      </c>
      <c r="S85" s="65">
        <v>21.175024139532695</v>
      </c>
      <c r="T85" s="65">
        <v>20.403074471738403</v>
      </c>
      <c r="U85" s="65">
        <v>19.973450514467295</v>
      </c>
      <c r="V85" s="65">
        <v>16.00688511193696</v>
      </c>
      <c r="W85" s="65">
        <v>15.075600054611447</v>
      </c>
      <c r="DA85" s="109" t="s">
        <v>235</v>
      </c>
    </row>
    <row r="86" spans="1:105" ht="12" customHeight="1" x14ac:dyDescent="0.25">
      <c r="A86" s="66" t="s">
        <v>34</v>
      </c>
      <c r="B86" s="67">
        <v>0</v>
      </c>
      <c r="C86" s="67">
        <v>0</v>
      </c>
      <c r="D86" s="67">
        <v>0</v>
      </c>
      <c r="E86" s="67">
        <v>0</v>
      </c>
      <c r="F86" s="67">
        <v>0</v>
      </c>
      <c r="G86" s="67">
        <v>0</v>
      </c>
      <c r="H86" s="67">
        <v>15.28937337872644</v>
      </c>
      <c r="I86" s="67">
        <v>15.040774807095147</v>
      </c>
      <c r="J86" s="67">
        <v>17.682799457308523</v>
      </c>
      <c r="K86" s="67">
        <v>14.516049180060254</v>
      </c>
      <c r="L86" s="67">
        <v>13.731325009951314</v>
      </c>
      <c r="M86" s="67">
        <v>17.88603202632536</v>
      </c>
      <c r="N86" s="67">
        <v>19.209026427480413</v>
      </c>
      <c r="O86" s="67">
        <v>17.700887509567199</v>
      </c>
      <c r="P86" s="67">
        <v>14.911751276891664</v>
      </c>
      <c r="Q86" s="67">
        <v>18.441443026720052</v>
      </c>
      <c r="R86" s="67">
        <v>18.198440329317471</v>
      </c>
      <c r="S86" s="67">
        <v>25.373363547266166</v>
      </c>
      <c r="T86" s="67">
        <v>26.841518718409489</v>
      </c>
      <c r="U86" s="67">
        <v>33.606838483183914</v>
      </c>
      <c r="V86" s="67">
        <v>24.129559371238713</v>
      </c>
      <c r="W86" s="67">
        <v>20.723239079310648</v>
      </c>
      <c r="DA86" s="110" t="s">
        <v>236</v>
      </c>
    </row>
    <row r="87" spans="1:105" ht="12" customHeight="1" x14ac:dyDescent="0.25">
      <c r="A87" s="78" t="s">
        <v>33</v>
      </c>
      <c r="B87" s="68">
        <v>0</v>
      </c>
      <c r="C87" s="68">
        <v>0</v>
      </c>
      <c r="D87" s="68">
        <v>0</v>
      </c>
      <c r="E87" s="68">
        <v>0</v>
      </c>
      <c r="F87" s="68">
        <v>0</v>
      </c>
      <c r="G87" s="68">
        <v>0</v>
      </c>
      <c r="H87" s="68">
        <v>0</v>
      </c>
      <c r="I87" s="68">
        <v>0</v>
      </c>
      <c r="J87" s="68">
        <v>0</v>
      </c>
      <c r="K87" s="68">
        <v>0</v>
      </c>
      <c r="L87" s="68">
        <v>0</v>
      </c>
      <c r="M87" s="68">
        <v>0</v>
      </c>
      <c r="N87" s="68">
        <v>0</v>
      </c>
      <c r="O87" s="68">
        <v>0</v>
      </c>
      <c r="P87" s="68">
        <v>0</v>
      </c>
      <c r="Q87" s="68">
        <v>0</v>
      </c>
      <c r="R87" s="68">
        <v>0</v>
      </c>
      <c r="S87" s="68">
        <v>0</v>
      </c>
      <c r="T87" s="68">
        <v>0</v>
      </c>
      <c r="U87" s="68">
        <v>0</v>
      </c>
      <c r="V87" s="68">
        <v>0</v>
      </c>
      <c r="W87" s="68">
        <v>0</v>
      </c>
      <c r="DA87" s="111" t="s">
        <v>237</v>
      </c>
    </row>
    <row r="88" spans="1:105" s="2" customFormat="1" ht="12" customHeight="1" x14ac:dyDescent="0.25">
      <c r="DA88" s="7"/>
    </row>
    <row r="89" spans="1:105" ht="12.95" customHeight="1" x14ac:dyDescent="0.25">
      <c r="A89" s="79" t="s">
        <v>47</v>
      </c>
      <c r="B89" s="83">
        <f t="shared" ref="B89" si="45">IF(B81=0,0,B81/B$81)</f>
        <v>1</v>
      </c>
      <c r="C89" s="83">
        <f t="shared" ref="C89:W89" si="46">IF(C81=0,0,C81/C$81)</f>
        <v>1</v>
      </c>
      <c r="D89" s="83">
        <f t="shared" si="46"/>
        <v>1</v>
      </c>
      <c r="E89" s="83">
        <f t="shared" si="46"/>
        <v>1</v>
      </c>
      <c r="F89" s="83">
        <f t="shared" si="46"/>
        <v>1</v>
      </c>
      <c r="G89" s="83">
        <f t="shared" si="46"/>
        <v>1</v>
      </c>
      <c r="H89" s="83">
        <f t="shared" si="46"/>
        <v>1</v>
      </c>
      <c r="I89" s="83">
        <f t="shared" si="46"/>
        <v>1</v>
      </c>
      <c r="J89" s="83">
        <f t="shared" si="46"/>
        <v>1</v>
      </c>
      <c r="K89" s="83">
        <f t="shared" si="46"/>
        <v>1</v>
      </c>
      <c r="L89" s="83">
        <f t="shared" si="46"/>
        <v>1</v>
      </c>
      <c r="M89" s="83">
        <f t="shared" si="46"/>
        <v>1</v>
      </c>
      <c r="N89" s="83">
        <f t="shared" si="46"/>
        <v>1</v>
      </c>
      <c r="O89" s="83">
        <f t="shared" si="46"/>
        <v>1</v>
      </c>
      <c r="P89" s="83">
        <f t="shared" si="46"/>
        <v>1</v>
      </c>
      <c r="Q89" s="83">
        <f t="shared" si="46"/>
        <v>1</v>
      </c>
      <c r="R89" s="83">
        <f t="shared" si="46"/>
        <v>1</v>
      </c>
      <c r="S89" s="83">
        <f t="shared" si="46"/>
        <v>1</v>
      </c>
      <c r="T89" s="83">
        <f t="shared" si="46"/>
        <v>1</v>
      </c>
      <c r="U89" s="83">
        <f t="shared" si="46"/>
        <v>1</v>
      </c>
      <c r="V89" s="83">
        <f t="shared" si="46"/>
        <v>1</v>
      </c>
      <c r="W89" s="83">
        <f t="shared" si="46"/>
        <v>1</v>
      </c>
      <c r="DA89" s="112"/>
    </row>
    <row r="90" spans="1:105" ht="12" customHeight="1" x14ac:dyDescent="0.25">
      <c r="A90" s="69" t="s">
        <v>36</v>
      </c>
      <c r="B90" s="70">
        <f t="shared" ref="B90" si="47">IF(B82=0,0,B82/B$81)</f>
        <v>1</v>
      </c>
      <c r="C90" s="70">
        <f t="shared" ref="C90:W90" si="48">IF(C82=0,0,C82/C$81)</f>
        <v>1</v>
      </c>
      <c r="D90" s="70">
        <f t="shared" si="48"/>
        <v>1</v>
      </c>
      <c r="E90" s="70">
        <f t="shared" si="48"/>
        <v>1</v>
      </c>
      <c r="F90" s="70">
        <f t="shared" si="48"/>
        <v>1</v>
      </c>
      <c r="G90" s="70">
        <f t="shared" si="48"/>
        <v>1</v>
      </c>
      <c r="H90" s="70">
        <f t="shared" si="48"/>
        <v>1</v>
      </c>
      <c r="I90" s="70">
        <f t="shared" si="48"/>
        <v>1</v>
      </c>
      <c r="J90" s="70">
        <f t="shared" si="48"/>
        <v>1</v>
      </c>
      <c r="K90" s="70">
        <f t="shared" si="48"/>
        <v>1</v>
      </c>
      <c r="L90" s="70">
        <f t="shared" si="48"/>
        <v>1</v>
      </c>
      <c r="M90" s="70">
        <f t="shared" si="48"/>
        <v>1</v>
      </c>
      <c r="N90" s="70">
        <f t="shared" si="48"/>
        <v>1</v>
      </c>
      <c r="O90" s="70">
        <f t="shared" si="48"/>
        <v>1</v>
      </c>
      <c r="P90" s="70">
        <f t="shared" si="48"/>
        <v>1</v>
      </c>
      <c r="Q90" s="70">
        <f t="shared" si="48"/>
        <v>1</v>
      </c>
      <c r="R90" s="70">
        <f t="shared" si="48"/>
        <v>1</v>
      </c>
      <c r="S90" s="70">
        <f t="shared" si="48"/>
        <v>1</v>
      </c>
      <c r="T90" s="70">
        <f t="shared" si="48"/>
        <v>1</v>
      </c>
      <c r="U90" s="70">
        <f t="shared" si="48"/>
        <v>1</v>
      </c>
      <c r="V90" s="70">
        <f t="shared" si="48"/>
        <v>1</v>
      </c>
      <c r="W90" s="70">
        <f t="shared" si="48"/>
        <v>1</v>
      </c>
      <c r="DA90" s="113"/>
    </row>
    <row r="91" spans="1:105" ht="12" customHeight="1" x14ac:dyDescent="0.25">
      <c r="A91" s="61" t="s">
        <v>32</v>
      </c>
      <c r="B91" s="71">
        <f t="shared" ref="B91" si="49">IF(B83=0,0,B83/B$81)</f>
        <v>0.95394333679485865</v>
      </c>
      <c r="C91" s="71">
        <f t="shared" ref="C91:W91" si="50">IF(C83=0,0,C83/C$81)</f>
        <v>0.95413873784524661</v>
      </c>
      <c r="D91" s="71">
        <f t="shared" si="50"/>
        <v>0.95206511149389306</v>
      </c>
      <c r="E91" s="71">
        <f t="shared" si="50"/>
        <v>0.95369424716812967</v>
      </c>
      <c r="F91" s="71">
        <f t="shared" si="50"/>
        <v>0.94832256738382326</v>
      </c>
      <c r="G91" s="71">
        <f t="shared" si="50"/>
        <v>0.94605085307787762</v>
      </c>
      <c r="H91" s="71">
        <f t="shared" si="50"/>
        <v>0.64080367115075609</v>
      </c>
      <c r="I91" s="71">
        <f t="shared" si="50"/>
        <v>0.65074582078282095</v>
      </c>
      <c r="J91" s="71">
        <f t="shared" si="50"/>
        <v>0.70381294608805522</v>
      </c>
      <c r="K91" s="71">
        <f t="shared" si="50"/>
        <v>0.66007449418813546</v>
      </c>
      <c r="L91" s="71">
        <f t="shared" si="50"/>
        <v>0.69183821377475563</v>
      </c>
      <c r="M91" s="71">
        <f t="shared" si="50"/>
        <v>0.66942419579518608</v>
      </c>
      <c r="N91" s="71">
        <f t="shared" si="50"/>
        <v>0.63488851895339093</v>
      </c>
      <c r="O91" s="71">
        <f t="shared" si="50"/>
        <v>0.66782527483832221</v>
      </c>
      <c r="P91" s="71">
        <f t="shared" si="50"/>
        <v>0.69313957321221287</v>
      </c>
      <c r="Q91" s="71">
        <f t="shared" si="50"/>
        <v>0.63911837197029264</v>
      </c>
      <c r="R91" s="71">
        <f t="shared" si="50"/>
        <v>0.62758547617725635</v>
      </c>
      <c r="S91" s="71">
        <f t="shared" si="50"/>
        <v>0.61702661183263641</v>
      </c>
      <c r="T91" s="71">
        <f t="shared" si="50"/>
        <v>0.60847234322268939</v>
      </c>
      <c r="U91" s="71">
        <f t="shared" si="50"/>
        <v>0.63488357487510005</v>
      </c>
      <c r="V91" s="71">
        <f t="shared" si="50"/>
        <v>0.6513596964138515</v>
      </c>
      <c r="W91" s="71">
        <f t="shared" si="50"/>
        <v>0.70299525871243163</v>
      </c>
      <c r="DA91" s="114"/>
    </row>
    <row r="92" spans="1:105" ht="12" customHeight="1" x14ac:dyDescent="0.25">
      <c r="A92" s="61" t="s">
        <v>31</v>
      </c>
      <c r="B92" s="72">
        <f t="shared" ref="B92" si="51">IF(B84=0,0,B84/B$81)</f>
        <v>0</v>
      </c>
      <c r="C92" s="72">
        <f t="shared" ref="C92:W92" si="52">IF(C84=0,0,C84/C$81)</f>
        <v>0</v>
      </c>
      <c r="D92" s="72">
        <f t="shared" si="52"/>
        <v>0</v>
      </c>
      <c r="E92" s="72">
        <f t="shared" si="52"/>
        <v>0</v>
      </c>
      <c r="F92" s="72">
        <f t="shared" si="52"/>
        <v>0</v>
      </c>
      <c r="G92" s="72">
        <f t="shared" si="52"/>
        <v>0</v>
      </c>
      <c r="H92" s="72">
        <f t="shared" si="52"/>
        <v>0</v>
      </c>
      <c r="I92" s="72">
        <f t="shared" si="52"/>
        <v>0</v>
      </c>
      <c r="J92" s="72">
        <f t="shared" si="52"/>
        <v>0</v>
      </c>
      <c r="K92" s="72">
        <f t="shared" si="52"/>
        <v>0</v>
      </c>
      <c r="L92" s="72">
        <f t="shared" si="52"/>
        <v>0</v>
      </c>
      <c r="M92" s="72">
        <f t="shared" si="52"/>
        <v>0</v>
      </c>
      <c r="N92" s="72">
        <f t="shared" si="52"/>
        <v>0</v>
      </c>
      <c r="O92" s="72">
        <f t="shared" si="52"/>
        <v>0</v>
      </c>
      <c r="P92" s="72">
        <f t="shared" si="52"/>
        <v>0</v>
      </c>
      <c r="Q92" s="72">
        <f t="shared" si="52"/>
        <v>0</v>
      </c>
      <c r="R92" s="72">
        <f t="shared" si="52"/>
        <v>0</v>
      </c>
      <c r="S92" s="72">
        <f t="shared" si="52"/>
        <v>0</v>
      </c>
      <c r="T92" s="72">
        <f t="shared" si="52"/>
        <v>0</v>
      </c>
      <c r="U92" s="72">
        <f t="shared" si="52"/>
        <v>0</v>
      </c>
      <c r="V92" s="72">
        <f t="shared" si="52"/>
        <v>0</v>
      </c>
      <c r="W92" s="72">
        <f t="shared" si="52"/>
        <v>0</v>
      </c>
      <c r="DA92" s="115"/>
    </row>
    <row r="93" spans="1:105" ht="12" customHeight="1" x14ac:dyDescent="0.25">
      <c r="A93" s="61" t="s">
        <v>35</v>
      </c>
      <c r="B93" s="72">
        <f t="shared" ref="B93" si="53">IF(B85=0,0,B85/B$81)</f>
        <v>4.6056663205141367E-2</v>
      </c>
      <c r="C93" s="72">
        <f t="shared" ref="C93:W93" si="54">IF(C85=0,0,C85/C$81)</f>
        <v>4.5861262154753349E-2</v>
      </c>
      <c r="D93" s="72">
        <f t="shared" si="54"/>
        <v>4.7934888506106978E-2</v>
      </c>
      <c r="E93" s="72">
        <f t="shared" si="54"/>
        <v>4.6305752831870342E-2</v>
      </c>
      <c r="F93" s="72">
        <f t="shared" si="54"/>
        <v>5.1677432616176723E-2</v>
      </c>
      <c r="G93" s="72">
        <f t="shared" si="54"/>
        <v>5.3949146922122437E-2</v>
      </c>
      <c r="H93" s="72">
        <f t="shared" si="54"/>
        <v>0.22999676909631933</v>
      </c>
      <c r="I93" s="72">
        <f t="shared" si="54"/>
        <v>0.2254921836857626</v>
      </c>
      <c r="J93" s="72">
        <f t="shared" si="54"/>
        <v>0.18075097977237609</v>
      </c>
      <c r="K93" s="72">
        <f t="shared" si="54"/>
        <v>0.22347536861681802</v>
      </c>
      <c r="L93" s="72">
        <f t="shared" si="54"/>
        <v>0.20825673135301973</v>
      </c>
      <c r="M93" s="72">
        <f t="shared" si="54"/>
        <v>0.20017921474530498</v>
      </c>
      <c r="N93" s="72">
        <f t="shared" si="54"/>
        <v>0.21053740711823518</v>
      </c>
      <c r="O93" s="72">
        <f t="shared" si="54"/>
        <v>0.19316722516042686</v>
      </c>
      <c r="P93" s="72">
        <f t="shared" si="54"/>
        <v>0.18091683738795991</v>
      </c>
      <c r="Q93" s="72">
        <f t="shared" si="54"/>
        <v>0.19159452451911385</v>
      </c>
      <c r="R93" s="72">
        <f t="shared" si="54"/>
        <v>0.20014147473299654</v>
      </c>
      <c r="S93" s="72">
        <f t="shared" si="54"/>
        <v>0.17421593189880555</v>
      </c>
      <c r="T93" s="72">
        <f t="shared" si="54"/>
        <v>0.16908533653409777</v>
      </c>
      <c r="U93" s="72">
        <f t="shared" si="54"/>
        <v>0.13610667254092415</v>
      </c>
      <c r="V93" s="72">
        <f t="shared" si="54"/>
        <v>0.13904184480599888</v>
      </c>
      <c r="W93" s="72">
        <f t="shared" si="54"/>
        <v>0.12507457789970441</v>
      </c>
      <c r="DA93" s="115"/>
    </row>
    <row r="94" spans="1:105" ht="12" customHeight="1" x14ac:dyDescent="0.25">
      <c r="A94" s="61" t="s">
        <v>34</v>
      </c>
      <c r="B94" s="73">
        <f t="shared" ref="B94" si="55">IF(B86=0,0,B86/B$81)</f>
        <v>0</v>
      </c>
      <c r="C94" s="73">
        <f t="shared" ref="C94:W94" si="56">IF(C86=0,0,C86/C$81)</f>
        <v>0</v>
      </c>
      <c r="D94" s="73">
        <f t="shared" si="56"/>
        <v>0</v>
      </c>
      <c r="E94" s="73">
        <f t="shared" si="56"/>
        <v>0</v>
      </c>
      <c r="F94" s="73">
        <f t="shared" si="56"/>
        <v>0</v>
      </c>
      <c r="G94" s="73">
        <f t="shared" si="56"/>
        <v>0</v>
      </c>
      <c r="H94" s="73">
        <f t="shared" si="56"/>
        <v>0.12919955975292458</v>
      </c>
      <c r="I94" s="73">
        <f t="shared" si="56"/>
        <v>0.12376199553141648</v>
      </c>
      <c r="J94" s="73">
        <f t="shared" si="56"/>
        <v>0.11543607413956865</v>
      </c>
      <c r="K94" s="73">
        <f t="shared" si="56"/>
        <v>0.11645013719504656</v>
      </c>
      <c r="L94" s="73">
        <f t="shared" si="56"/>
        <v>9.9905054872224563E-2</v>
      </c>
      <c r="M94" s="73">
        <f t="shared" si="56"/>
        <v>0.13039658945950891</v>
      </c>
      <c r="N94" s="73">
        <f t="shared" si="56"/>
        <v>0.15457407392837391</v>
      </c>
      <c r="O94" s="73">
        <f t="shared" si="56"/>
        <v>0.13900750000125098</v>
      </c>
      <c r="P94" s="73">
        <f t="shared" si="56"/>
        <v>0.12594358939982719</v>
      </c>
      <c r="Q94" s="73">
        <f t="shared" si="56"/>
        <v>0.16928710351059348</v>
      </c>
      <c r="R94" s="73">
        <f t="shared" si="56"/>
        <v>0.172273049089747</v>
      </c>
      <c r="S94" s="73">
        <f t="shared" si="56"/>
        <v>0.20875745626855807</v>
      </c>
      <c r="T94" s="73">
        <f t="shared" si="56"/>
        <v>0.22244232024321278</v>
      </c>
      <c r="U94" s="73">
        <f t="shared" si="56"/>
        <v>0.22900975258397585</v>
      </c>
      <c r="V94" s="73">
        <f t="shared" si="56"/>
        <v>0.20959845878014957</v>
      </c>
      <c r="W94" s="73">
        <f t="shared" si="56"/>
        <v>0.17193016338786404</v>
      </c>
      <c r="DA94" s="116"/>
    </row>
    <row r="95" spans="1:105" ht="12" customHeight="1" x14ac:dyDescent="0.25">
      <c r="A95" s="69" t="s">
        <v>33</v>
      </c>
      <c r="B95" s="70">
        <f t="shared" ref="B95" si="57">IF(B87=0,0,B87/B$81)</f>
        <v>0</v>
      </c>
      <c r="C95" s="70">
        <f t="shared" ref="C95:W95" si="58">IF(C87=0,0,C87/C$81)</f>
        <v>0</v>
      </c>
      <c r="D95" s="70">
        <f t="shared" si="58"/>
        <v>0</v>
      </c>
      <c r="E95" s="70">
        <f t="shared" si="58"/>
        <v>0</v>
      </c>
      <c r="F95" s="70">
        <f t="shared" si="58"/>
        <v>0</v>
      </c>
      <c r="G95" s="70">
        <f t="shared" si="58"/>
        <v>0</v>
      </c>
      <c r="H95" s="70">
        <f t="shared" si="58"/>
        <v>0</v>
      </c>
      <c r="I95" s="70">
        <f t="shared" si="58"/>
        <v>0</v>
      </c>
      <c r="J95" s="70">
        <f t="shared" si="58"/>
        <v>0</v>
      </c>
      <c r="K95" s="70">
        <f t="shared" si="58"/>
        <v>0</v>
      </c>
      <c r="L95" s="70">
        <f t="shared" si="58"/>
        <v>0</v>
      </c>
      <c r="M95" s="70">
        <f t="shared" si="58"/>
        <v>0</v>
      </c>
      <c r="N95" s="70">
        <f t="shared" si="58"/>
        <v>0</v>
      </c>
      <c r="O95" s="70">
        <f t="shared" si="58"/>
        <v>0</v>
      </c>
      <c r="P95" s="70">
        <f t="shared" si="58"/>
        <v>0</v>
      </c>
      <c r="Q95" s="70">
        <f t="shared" si="58"/>
        <v>0</v>
      </c>
      <c r="R95" s="70">
        <f t="shared" si="58"/>
        <v>0</v>
      </c>
      <c r="S95" s="70">
        <f t="shared" si="58"/>
        <v>0</v>
      </c>
      <c r="T95" s="70">
        <f t="shared" si="58"/>
        <v>0</v>
      </c>
      <c r="U95" s="70">
        <f t="shared" si="58"/>
        <v>0</v>
      </c>
      <c r="V95" s="70">
        <f t="shared" si="58"/>
        <v>0</v>
      </c>
      <c r="W95" s="70">
        <f t="shared" si="58"/>
        <v>0</v>
      </c>
      <c r="DA95" s="113"/>
    </row>
    <row r="96" spans="1:105" s="2" customFormat="1" ht="12" customHeight="1" x14ac:dyDescent="0.25">
      <c r="DA96" s="7"/>
    </row>
    <row r="97" spans="1:105" s="2" customFormat="1" ht="12.95" customHeight="1" x14ac:dyDescent="0.25">
      <c r="A97" s="47" t="s">
        <v>46</v>
      </c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DA97" s="97"/>
    </row>
    <row r="98" spans="1:105" s="2" customFormat="1" ht="12" customHeight="1" x14ac:dyDescent="0.25">
      <c r="DA98" s="7"/>
    </row>
    <row r="99" spans="1:105" ht="12.95" customHeight="1" x14ac:dyDescent="0.25">
      <c r="A99" s="81" t="s">
        <v>45</v>
      </c>
      <c r="B99" s="82">
        <f t="shared" ref="B99:B105" si="59">B47*11630*1000/B$8</f>
        <v>109652.47469546022</v>
      </c>
      <c r="C99" s="82">
        <f t="shared" ref="C99:W99" si="60">C47*11630*1000/C$8</f>
        <v>115044.30820074721</v>
      </c>
      <c r="D99" s="82">
        <f t="shared" si="60"/>
        <v>120899.73958771367</v>
      </c>
      <c r="E99" s="82">
        <f t="shared" si="60"/>
        <v>123550.46328303585</v>
      </c>
      <c r="F99" s="82">
        <f t="shared" si="60"/>
        <v>123022.24563931552</v>
      </c>
      <c r="G99" s="82">
        <f t="shared" si="60"/>
        <v>124858.63469948531</v>
      </c>
      <c r="H99" s="82">
        <f t="shared" si="60"/>
        <v>140073.90143914142</v>
      </c>
      <c r="I99" s="82">
        <f t="shared" si="60"/>
        <v>142571.57378821279</v>
      </c>
      <c r="J99" s="82">
        <f t="shared" si="60"/>
        <v>152736.85414338234</v>
      </c>
      <c r="K99" s="82">
        <f t="shared" si="60"/>
        <v>149676.80969863466</v>
      </c>
      <c r="L99" s="82">
        <f t="shared" si="60"/>
        <v>152413.69295304187</v>
      </c>
      <c r="M99" s="82">
        <f t="shared" si="60"/>
        <v>145573.392371144</v>
      </c>
      <c r="N99" s="82">
        <f t="shared" si="60"/>
        <v>130529.0224932788</v>
      </c>
      <c r="O99" s="82">
        <f t="shared" si="60"/>
        <v>119718.89634751959</v>
      </c>
      <c r="P99" s="82">
        <f t="shared" si="60"/>
        <v>121563.77392220449</v>
      </c>
      <c r="Q99" s="82">
        <f t="shared" si="60"/>
        <v>123922.29408828585</v>
      </c>
      <c r="R99" s="82">
        <f t="shared" si="60"/>
        <v>130644.79580811771</v>
      </c>
      <c r="S99" s="82">
        <f t="shared" si="60"/>
        <v>134573.97102235042</v>
      </c>
      <c r="T99" s="82">
        <f t="shared" si="60"/>
        <v>135461.73768166176</v>
      </c>
      <c r="U99" s="82">
        <f t="shared" si="60"/>
        <v>138349.89948883146</v>
      </c>
      <c r="V99" s="82">
        <f t="shared" si="60"/>
        <v>113614.78054447623</v>
      </c>
      <c r="W99" s="82">
        <f t="shared" si="60"/>
        <v>122880.8831251786</v>
      </c>
      <c r="DA99" s="107"/>
    </row>
    <row r="100" spans="1:105" ht="12" customHeight="1" x14ac:dyDescent="0.25">
      <c r="A100" s="77" t="s">
        <v>36</v>
      </c>
      <c r="B100" s="64">
        <f t="shared" si="59"/>
        <v>69834.00472847918</v>
      </c>
      <c r="C100" s="64">
        <f t="shared" ref="C100:W100" si="61">C48*11630*1000/C$8</f>
        <v>74599.91182422264</v>
      </c>
      <c r="D100" s="64">
        <f t="shared" si="61"/>
        <v>79598.111031167849</v>
      </c>
      <c r="E100" s="64">
        <f t="shared" si="61"/>
        <v>81652.166515796445</v>
      </c>
      <c r="F100" s="64">
        <f t="shared" si="61"/>
        <v>80513.835481438291</v>
      </c>
      <c r="G100" s="64">
        <f t="shared" si="61"/>
        <v>82018.0336574377</v>
      </c>
      <c r="H100" s="64">
        <f t="shared" si="61"/>
        <v>97033.585455098713</v>
      </c>
      <c r="I100" s="64">
        <f t="shared" si="61"/>
        <v>99337.051953199145</v>
      </c>
      <c r="J100" s="64">
        <f t="shared" si="61"/>
        <v>109208.18293408323</v>
      </c>
      <c r="K100" s="64">
        <f t="shared" si="61"/>
        <v>106178.3231021964</v>
      </c>
      <c r="L100" s="64">
        <f t="shared" si="61"/>
        <v>109058.67756566295</v>
      </c>
      <c r="M100" s="64">
        <f t="shared" si="61"/>
        <v>102224.63079452539</v>
      </c>
      <c r="N100" s="64">
        <f t="shared" si="61"/>
        <v>87166.679872932291</v>
      </c>
      <c r="O100" s="64">
        <f t="shared" si="61"/>
        <v>76112.956595498705</v>
      </c>
      <c r="P100" s="64">
        <f t="shared" si="61"/>
        <v>77479.623626622386</v>
      </c>
      <c r="Q100" s="64">
        <f t="shared" si="61"/>
        <v>79331.158907258578</v>
      </c>
      <c r="R100" s="64">
        <f t="shared" si="61"/>
        <v>85997.120516597875</v>
      </c>
      <c r="S100" s="64">
        <f t="shared" si="61"/>
        <v>90511.247469047667</v>
      </c>
      <c r="T100" s="64">
        <f t="shared" si="61"/>
        <v>92754.307461930657</v>
      </c>
      <c r="U100" s="64">
        <f t="shared" si="61"/>
        <v>97027.28553035135</v>
      </c>
      <c r="V100" s="64">
        <f t="shared" si="61"/>
        <v>77399.694449059622</v>
      </c>
      <c r="W100" s="64">
        <f t="shared" si="61"/>
        <v>85738.422048683933</v>
      </c>
      <c r="DA100" s="108"/>
    </row>
    <row r="101" spans="1:105" ht="12" customHeight="1" x14ac:dyDescent="0.25">
      <c r="A101" s="61" t="s">
        <v>32</v>
      </c>
      <c r="B101" s="65">
        <f t="shared" si="59"/>
        <v>23120.03402866226</v>
      </c>
      <c r="C101" s="65">
        <f t="shared" ref="C101:W101" si="62">C49*11630*1000/C$8</f>
        <v>28177.148489227693</v>
      </c>
      <c r="D101" s="65">
        <f t="shared" si="62"/>
        <v>32161.38213294866</v>
      </c>
      <c r="E101" s="65">
        <f t="shared" si="62"/>
        <v>32315.901268825641</v>
      </c>
      <c r="F101" s="65">
        <f t="shared" si="62"/>
        <v>32858.35341503581</v>
      </c>
      <c r="G101" s="65">
        <f t="shared" si="62"/>
        <v>34676.698895927286</v>
      </c>
      <c r="H101" s="65">
        <f t="shared" si="62"/>
        <v>47984.579128782156</v>
      </c>
      <c r="I101" s="65">
        <f t="shared" si="62"/>
        <v>48857.103029923914</v>
      </c>
      <c r="J101" s="65">
        <f t="shared" si="62"/>
        <v>58087.963483601146</v>
      </c>
      <c r="K101" s="65">
        <f t="shared" si="62"/>
        <v>55935.444010913394</v>
      </c>
      <c r="L101" s="65">
        <f t="shared" si="62"/>
        <v>58411.891133045276</v>
      </c>
      <c r="M101" s="65">
        <f t="shared" si="62"/>
        <v>53836.995810720451</v>
      </c>
      <c r="N101" s="65">
        <f t="shared" si="62"/>
        <v>35902.105554201677</v>
      </c>
      <c r="O101" s="65">
        <f t="shared" si="62"/>
        <v>28106.046664856618</v>
      </c>
      <c r="P101" s="65">
        <f t="shared" si="62"/>
        <v>31521.40089916006</v>
      </c>
      <c r="Q101" s="65">
        <f t="shared" si="62"/>
        <v>32380.238266028595</v>
      </c>
      <c r="R101" s="65">
        <f t="shared" si="62"/>
        <v>37487.42553674904</v>
      </c>
      <c r="S101" s="65">
        <f t="shared" si="62"/>
        <v>43336.59444927828</v>
      </c>
      <c r="T101" s="65">
        <f t="shared" si="62"/>
        <v>41779.459012010288</v>
      </c>
      <c r="U101" s="65">
        <f t="shared" si="62"/>
        <v>49088.770872696288</v>
      </c>
      <c r="V101" s="65">
        <f t="shared" si="62"/>
        <v>31906.334601447576</v>
      </c>
      <c r="W101" s="65">
        <f t="shared" si="62"/>
        <v>42323.750524586205</v>
      </c>
      <c r="DA101" s="109"/>
    </row>
    <row r="102" spans="1:105" ht="12" customHeight="1" x14ac:dyDescent="0.25">
      <c r="A102" s="61" t="s">
        <v>31</v>
      </c>
      <c r="B102" s="65">
        <f t="shared" si="59"/>
        <v>12111.642085293481</v>
      </c>
      <c r="C102" s="65">
        <f t="shared" ref="C102:W102" si="63">C50*11630*1000/C$8</f>
        <v>12050.397604794838</v>
      </c>
      <c r="D102" s="65">
        <f t="shared" si="63"/>
        <v>12990.5383426359</v>
      </c>
      <c r="E102" s="65">
        <f t="shared" si="63"/>
        <v>14898.428282279179</v>
      </c>
      <c r="F102" s="65">
        <f t="shared" si="63"/>
        <v>13208.7655864644</v>
      </c>
      <c r="G102" s="65">
        <f t="shared" si="63"/>
        <v>12665.300135629092</v>
      </c>
      <c r="H102" s="65">
        <f t="shared" si="63"/>
        <v>14856.260477237247</v>
      </c>
      <c r="I102" s="65">
        <f t="shared" si="63"/>
        <v>16752.779382197696</v>
      </c>
      <c r="J102" s="65">
        <f t="shared" si="63"/>
        <v>17088.241884693696</v>
      </c>
      <c r="K102" s="65">
        <f t="shared" si="63"/>
        <v>16772.465934842381</v>
      </c>
      <c r="L102" s="65">
        <f t="shared" si="63"/>
        <v>17841.663978139524</v>
      </c>
      <c r="M102" s="65">
        <f t="shared" si="63"/>
        <v>15512.240487659552</v>
      </c>
      <c r="N102" s="65">
        <f t="shared" si="63"/>
        <v>18473.133510070198</v>
      </c>
      <c r="O102" s="65">
        <f t="shared" si="63"/>
        <v>15349.142809719491</v>
      </c>
      <c r="P102" s="65">
        <f t="shared" si="63"/>
        <v>13510.161159060919</v>
      </c>
      <c r="Q102" s="65">
        <f t="shared" si="63"/>
        <v>14417.690635447982</v>
      </c>
      <c r="R102" s="65">
        <f t="shared" si="63"/>
        <v>16136.948921552226</v>
      </c>
      <c r="S102" s="65">
        <f t="shared" si="63"/>
        <v>15025.464445110914</v>
      </c>
      <c r="T102" s="65">
        <f t="shared" si="63"/>
        <v>18927.69912175506</v>
      </c>
      <c r="U102" s="65">
        <f t="shared" si="63"/>
        <v>16075.526373611072</v>
      </c>
      <c r="V102" s="65">
        <f t="shared" si="63"/>
        <v>16709.084253129178</v>
      </c>
      <c r="W102" s="65">
        <f t="shared" si="63"/>
        <v>14934.920488955702</v>
      </c>
      <c r="DA102" s="109"/>
    </row>
    <row r="103" spans="1:105" ht="12" customHeight="1" x14ac:dyDescent="0.25">
      <c r="A103" s="61" t="s">
        <v>35</v>
      </c>
      <c r="B103" s="65">
        <f t="shared" si="59"/>
        <v>19324.080586403776</v>
      </c>
      <c r="C103" s="65">
        <f t="shared" ref="C103:W103" si="64">C51*11630*1000/C$8</f>
        <v>19211.121169716407</v>
      </c>
      <c r="D103" s="65">
        <f t="shared" si="64"/>
        <v>19118.909978457239</v>
      </c>
      <c r="E103" s="65">
        <f t="shared" si="64"/>
        <v>19014.587182663952</v>
      </c>
      <c r="F103" s="65">
        <f t="shared" si="64"/>
        <v>18695.880125055377</v>
      </c>
      <c r="G103" s="65">
        <f t="shared" si="64"/>
        <v>18649.630108296369</v>
      </c>
      <c r="H103" s="65">
        <f t="shared" si="64"/>
        <v>17338.928443196914</v>
      </c>
      <c r="I103" s="65">
        <f t="shared" si="64"/>
        <v>16623.716501282692</v>
      </c>
      <c r="J103" s="65">
        <f t="shared" si="64"/>
        <v>16696.95819742855</v>
      </c>
      <c r="K103" s="65">
        <f t="shared" si="64"/>
        <v>16492.050595844717</v>
      </c>
      <c r="L103" s="65">
        <f t="shared" si="64"/>
        <v>16177.85357918507</v>
      </c>
      <c r="M103" s="65">
        <f t="shared" si="64"/>
        <v>16118.468122880979</v>
      </c>
      <c r="N103" s="65">
        <f t="shared" si="64"/>
        <v>15956.395597916282</v>
      </c>
      <c r="O103" s="65">
        <f t="shared" si="64"/>
        <v>15937.143193121497</v>
      </c>
      <c r="P103" s="65">
        <f t="shared" si="64"/>
        <v>15730.739396340583</v>
      </c>
      <c r="Q103" s="65">
        <f t="shared" si="64"/>
        <v>15730.521368075928</v>
      </c>
      <c r="R103" s="65">
        <f t="shared" si="64"/>
        <v>15711.64506697119</v>
      </c>
      <c r="S103" s="65">
        <f t="shared" si="64"/>
        <v>15303.265852051331</v>
      </c>
      <c r="T103" s="65">
        <f t="shared" si="64"/>
        <v>15079.406805133605</v>
      </c>
      <c r="U103" s="65">
        <f t="shared" si="64"/>
        <v>14575.703231430332</v>
      </c>
      <c r="V103" s="65">
        <f t="shared" si="64"/>
        <v>13566.19281669733</v>
      </c>
      <c r="W103" s="65">
        <f t="shared" si="64"/>
        <v>13398.667985489939</v>
      </c>
      <c r="DA103" s="109"/>
    </row>
    <row r="104" spans="1:105" ht="12" customHeight="1" x14ac:dyDescent="0.25">
      <c r="A104" s="66" t="s">
        <v>34</v>
      </c>
      <c r="B104" s="67">
        <f t="shared" si="59"/>
        <v>15278.248028119668</v>
      </c>
      <c r="C104" s="67">
        <f t="shared" ref="C104:W104" si="65">C52*11630*1000/C$8</f>
        <v>15161.244560483699</v>
      </c>
      <c r="D104" s="67">
        <f t="shared" si="65"/>
        <v>15327.280577126057</v>
      </c>
      <c r="E104" s="67">
        <f t="shared" si="65"/>
        <v>15423.249782027671</v>
      </c>
      <c r="F104" s="67">
        <f t="shared" si="65"/>
        <v>15750.836354882691</v>
      </c>
      <c r="G104" s="67">
        <f t="shared" si="65"/>
        <v>16026.404517584951</v>
      </c>
      <c r="H104" s="67">
        <f t="shared" si="65"/>
        <v>16853.817405882393</v>
      </c>
      <c r="I104" s="67">
        <f t="shared" si="65"/>
        <v>17103.453039794844</v>
      </c>
      <c r="J104" s="67">
        <f t="shared" si="65"/>
        <v>17335.019368359841</v>
      </c>
      <c r="K104" s="67">
        <f t="shared" si="65"/>
        <v>16978.36256059591</v>
      </c>
      <c r="L104" s="67">
        <f t="shared" si="65"/>
        <v>16627.268875293084</v>
      </c>
      <c r="M104" s="67">
        <f t="shared" si="65"/>
        <v>16756.926373264425</v>
      </c>
      <c r="N104" s="67">
        <f t="shared" si="65"/>
        <v>16835.045210744149</v>
      </c>
      <c r="O104" s="67">
        <f t="shared" si="65"/>
        <v>16720.623927801113</v>
      </c>
      <c r="P104" s="67">
        <f t="shared" si="65"/>
        <v>16717.322172060827</v>
      </c>
      <c r="Q104" s="67">
        <f t="shared" si="65"/>
        <v>16802.70863770607</v>
      </c>
      <c r="R104" s="67">
        <f t="shared" si="65"/>
        <v>16661.100991325417</v>
      </c>
      <c r="S104" s="67">
        <f t="shared" si="65"/>
        <v>16845.922722607127</v>
      </c>
      <c r="T104" s="67">
        <f t="shared" si="65"/>
        <v>16967.742523031691</v>
      </c>
      <c r="U104" s="67">
        <f t="shared" si="65"/>
        <v>17287.285052613664</v>
      </c>
      <c r="V104" s="67">
        <f t="shared" si="65"/>
        <v>15218.082777785527</v>
      </c>
      <c r="W104" s="67">
        <f t="shared" si="65"/>
        <v>15081.083049652101</v>
      </c>
      <c r="DA104" s="110"/>
    </row>
    <row r="105" spans="1:105" ht="12" customHeight="1" x14ac:dyDescent="0.25">
      <c r="A105" s="78" t="s">
        <v>33</v>
      </c>
      <c r="B105" s="68">
        <f t="shared" si="59"/>
        <v>39818.469966981022</v>
      </c>
      <c r="C105" s="68">
        <f t="shared" ref="C105:W105" si="66">C53*11630*1000/C$8</f>
        <v>40444.396376524564</v>
      </c>
      <c r="D105" s="68">
        <f t="shared" si="66"/>
        <v>41301.628556545817</v>
      </c>
      <c r="E105" s="68">
        <f t="shared" si="66"/>
        <v>41898.296767239408</v>
      </c>
      <c r="F105" s="68">
        <f t="shared" si="66"/>
        <v>42508.410157877217</v>
      </c>
      <c r="G105" s="68">
        <f t="shared" si="66"/>
        <v>42840.601042047601</v>
      </c>
      <c r="H105" s="68">
        <f t="shared" si="66"/>
        <v>43040.315984042718</v>
      </c>
      <c r="I105" s="68">
        <f t="shared" si="66"/>
        <v>43234.521835013642</v>
      </c>
      <c r="J105" s="68">
        <f t="shared" si="66"/>
        <v>43528.671209299107</v>
      </c>
      <c r="K105" s="68">
        <f t="shared" si="66"/>
        <v>43498.48659643827</v>
      </c>
      <c r="L105" s="68">
        <f t="shared" si="66"/>
        <v>43355.015387378924</v>
      </c>
      <c r="M105" s="68">
        <f t="shared" si="66"/>
        <v>43348.761576618628</v>
      </c>
      <c r="N105" s="68">
        <f t="shared" si="66"/>
        <v>43362.342620346506</v>
      </c>
      <c r="O105" s="68">
        <f t="shared" si="66"/>
        <v>43605.939752020873</v>
      </c>
      <c r="P105" s="68">
        <f t="shared" si="66"/>
        <v>44084.150295582112</v>
      </c>
      <c r="Q105" s="68">
        <f t="shared" si="66"/>
        <v>44591.135181027283</v>
      </c>
      <c r="R105" s="68">
        <f t="shared" si="66"/>
        <v>44647.675291519845</v>
      </c>
      <c r="S105" s="68">
        <f t="shared" si="66"/>
        <v>44062.723553302778</v>
      </c>
      <c r="T105" s="68">
        <f t="shared" si="66"/>
        <v>42707.430219731112</v>
      </c>
      <c r="U105" s="68">
        <f t="shared" si="66"/>
        <v>41322.613958480091</v>
      </c>
      <c r="V105" s="68">
        <f t="shared" si="66"/>
        <v>36215.086095416613</v>
      </c>
      <c r="W105" s="68">
        <f t="shared" si="66"/>
        <v>37142.46107649467</v>
      </c>
      <c r="DA105" s="111"/>
    </row>
    <row r="106" spans="1:105" s="2" customFormat="1" ht="12" customHeight="1" x14ac:dyDescent="0.25">
      <c r="DA106" s="7"/>
    </row>
    <row r="107" spans="1:105" ht="12.95" customHeight="1" x14ac:dyDescent="0.25">
      <c r="A107" s="84" t="s">
        <v>44</v>
      </c>
      <c r="B107" s="85">
        <f t="shared" ref="B107" si="67">SUM(B108:B111)</f>
        <v>54146.950020681412</v>
      </c>
      <c r="C107" s="85">
        <f t="shared" ref="C107:W107" si="68">SUM(C108:C111)</f>
        <v>59129.641209067988</v>
      </c>
      <c r="D107" s="85">
        <f t="shared" si="68"/>
        <v>65734.217604090387</v>
      </c>
      <c r="E107" s="85">
        <f t="shared" si="68"/>
        <v>71887.617953323977</v>
      </c>
      <c r="F107" s="85">
        <f t="shared" si="68"/>
        <v>71379.414360472569</v>
      </c>
      <c r="G107" s="85">
        <f t="shared" si="68"/>
        <v>73759.680431191649</v>
      </c>
      <c r="H107" s="85">
        <f t="shared" si="68"/>
        <v>88823.57112175753</v>
      </c>
      <c r="I107" s="85">
        <f t="shared" si="68"/>
        <v>96564.189854267242</v>
      </c>
      <c r="J107" s="85">
        <f t="shared" si="68"/>
        <v>104882.30496308483</v>
      </c>
      <c r="K107" s="85">
        <f t="shared" si="68"/>
        <v>105858.32724584753</v>
      </c>
      <c r="L107" s="85">
        <f t="shared" si="68"/>
        <v>112311.9985108932</v>
      </c>
      <c r="M107" s="85">
        <f t="shared" si="68"/>
        <v>106678.79874250501</v>
      </c>
      <c r="N107" s="85">
        <f t="shared" si="68"/>
        <v>110691.05852610625</v>
      </c>
      <c r="O107" s="85">
        <f t="shared" si="68"/>
        <v>107282.95528184979</v>
      </c>
      <c r="P107" s="85">
        <f t="shared" si="68"/>
        <v>105704.18314276429</v>
      </c>
      <c r="Q107" s="85">
        <f t="shared" si="68"/>
        <v>113296.64389948102</v>
      </c>
      <c r="R107" s="85">
        <f t="shared" si="68"/>
        <v>124308.40606888833</v>
      </c>
      <c r="S107" s="85">
        <f t="shared" si="68"/>
        <v>126456.91293411204</v>
      </c>
      <c r="T107" s="85">
        <f t="shared" si="68"/>
        <v>143596.96524450704</v>
      </c>
      <c r="U107" s="85">
        <f t="shared" si="68"/>
        <v>140386.39679869771</v>
      </c>
      <c r="V107" s="85">
        <f t="shared" si="68"/>
        <v>129687.23784524752</v>
      </c>
      <c r="W107" s="85">
        <f t="shared" si="68"/>
        <v>132208.09468120875</v>
      </c>
      <c r="DA107" s="117"/>
    </row>
    <row r="108" spans="1:105" ht="12" customHeight="1" x14ac:dyDescent="0.25">
      <c r="A108" s="61" t="s">
        <v>32</v>
      </c>
      <c r="B108" s="65">
        <v>10133.321656869944</v>
      </c>
      <c r="C108" s="65">
        <v>13399.331735725906</v>
      </c>
      <c r="D108" s="65">
        <v>16284.506160567422</v>
      </c>
      <c r="E108" s="65">
        <v>16720.722480370547</v>
      </c>
      <c r="F108" s="65">
        <v>17983.024305080711</v>
      </c>
      <c r="G108" s="65">
        <v>19926.413438605756</v>
      </c>
      <c r="H108" s="65">
        <v>28074.589413703306</v>
      </c>
      <c r="I108" s="65">
        <v>29057.189534267738</v>
      </c>
      <c r="J108" s="65">
        <v>33967.498687346299</v>
      </c>
      <c r="K108" s="65">
        <v>35007.887176425698</v>
      </c>
      <c r="L108" s="65">
        <v>37294.075457924984</v>
      </c>
      <c r="M108" s="65">
        <v>36683.043493808393</v>
      </c>
      <c r="N108" s="65">
        <v>29984.313708670914</v>
      </c>
      <c r="O108" s="65">
        <v>34624.080977119171</v>
      </c>
      <c r="P108" s="65">
        <v>37480.40059119017</v>
      </c>
      <c r="Q108" s="65">
        <v>40469.083565122688</v>
      </c>
      <c r="R108" s="65">
        <v>43750.661716563453</v>
      </c>
      <c r="S108" s="65">
        <v>48212.678364413856</v>
      </c>
      <c r="T108" s="65">
        <v>48588.650886891563</v>
      </c>
      <c r="U108" s="65">
        <v>54329.583971240208</v>
      </c>
      <c r="V108" s="65">
        <v>41180.2661956109</v>
      </c>
      <c r="W108" s="65">
        <v>48597.664015493327</v>
      </c>
      <c r="DA108" s="109"/>
    </row>
    <row r="109" spans="1:105" ht="12" customHeight="1" x14ac:dyDescent="0.25">
      <c r="A109" s="61" t="s">
        <v>31</v>
      </c>
      <c r="B109" s="65">
        <v>20753.95470484874</v>
      </c>
      <c r="C109" s="65">
        <v>22640.765554323003</v>
      </c>
      <c r="D109" s="65">
        <v>26315.656123614179</v>
      </c>
      <c r="E109" s="65">
        <v>31937.644720957458</v>
      </c>
      <c r="F109" s="65">
        <v>29952.880134197665</v>
      </c>
      <c r="G109" s="65">
        <v>30188.069443488461</v>
      </c>
      <c r="H109" s="65">
        <v>37031.482199503473</v>
      </c>
      <c r="I109" s="65">
        <v>43717.950689222627</v>
      </c>
      <c r="J109" s="65">
        <v>46834.038160420721</v>
      </c>
      <c r="K109" s="65">
        <v>46931.997016318295</v>
      </c>
      <c r="L109" s="65">
        <v>51360.480459306084</v>
      </c>
      <c r="M109" s="65">
        <v>46349.217476470432</v>
      </c>
      <c r="N109" s="65">
        <v>57027.30699626264</v>
      </c>
      <c r="O109" s="65">
        <v>48882.083517080297</v>
      </c>
      <c r="P109" s="65">
        <v>44411.520167259805</v>
      </c>
      <c r="Q109" s="65">
        <v>48984.563688387971</v>
      </c>
      <c r="R109" s="65">
        <v>56734.099561800831</v>
      </c>
      <c r="S109" s="65">
        <v>54691.230066104828</v>
      </c>
      <c r="T109" s="65">
        <v>71368.138373821683</v>
      </c>
      <c r="U109" s="65">
        <v>62629.877347654605</v>
      </c>
      <c r="V109" s="65">
        <v>66874.146940287756</v>
      </c>
      <c r="W109" s="65">
        <v>61520.001690210833</v>
      </c>
      <c r="DA109" s="109"/>
    </row>
    <row r="110" spans="1:105" ht="12" customHeight="1" x14ac:dyDescent="0.25">
      <c r="A110" s="61" t="s">
        <v>35</v>
      </c>
      <c r="B110" s="65">
        <v>11763.660759616163</v>
      </c>
      <c r="C110" s="65">
        <v>11653.720126679444</v>
      </c>
      <c r="D110" s="65">
        <v>11639.82728639507</v>
      </c>
      <c r="E110" s="65">
        <v>11628.410871497366</v>
      </c>
      <c r="F110" s="65">
        <v>11616.262354422088</v>
      </c>
      <c r="G110" s="65">
        <v>11661.685821897003</v>
      </c>
      <c r="H110" s="65">
        <v>11661.47485682713</v>
      </c>
      <c r="I110" s="65">
        <v>11667.417014145087</v>
      </c>
      <c r="J110" s="65">
        <v>11814.716654980843</v>
      </c>
      <c r="K110" s="65">
        <v>11719.98626516178</v>
      </c>
      <c r="L110" s="65">
        <v>11636.550197008219</v>
      </c>
      <c r="M110" s="65">
        <v>11638.733380513686</v>
      </c>
      <c r="N110" s="65">
        <v>11611.624475955699</v>
      </c>
      <c r="O110" s="65">
        <v>11721.167612526968</v>
      </c>
      <c r="P110" s="65">
        <v>11641.882335936009</v>
      </c>
      <c r="Q110" s="65">
        <v>11702.07980582707</v>
      </c>
      <c r="R110" s="65">
        <v>11740.847688023588</v>
      </c>
      <c r="S110" s="65">
        <v>11553.751601635751</v>
      </c>
      <c r="T110" s="65">
        <v>11532.619703717577</v>
      </c>
      <c r="U110" s="65">
        <v>11361.844156456831</v>
      </c>
      <c r="V110" s="65">
        <v>10773.447896740177</v>
      </c>
      <c r="W110" s="65">
        <v>10818.971458198406</v>
      </c>
      <c r="DA110" s="109"/>
    </row>
    <row r="111" spans="1:105" ht="12" customHeight="1" x14ac:dyDescent="0.25">
      <c r="A111" s="74" t="s">
        <v>34</v>
      </c>
      <c r="B111" s="68">
        <v>11496.012899346559</v>
      </c>
      <c r="C111" s="68">
        <v>11435.823792339635</v>
      </c>
      <c r="D111" s="68">
        <v>11494.228033513715</v>
      </c>
      <c r="E111" s="68">
        <v>11600.83988049861</v>
      </c>
      <c r="F111" s="68">
        <v>11827.247566772099</v>
      </c>
      <c r="G111" s="68">
        <v>11983.511727200423</v>
      </c>
      <c r="H111" s="68">
        <v>12056.024651723623</v>
      </c>
      <c r="I111" s="68">
        <v>12121.632616631787</v>
      </c>
      <c r="J111" s="68">
        <v>12266.051460336967</v>
      </c>
      <c r="K111" s="68">
        <v>12198.456787941737</v>
      </c>
      <c r="L111" s="68">
        <v>12020.892396653922</v>
      </c>
      <c r="M111" s="68">
        <v>12007.804391712498</v>
      </c>
      <c r="N111" s="68">
        <v>12067.813345216995</v>
      </c>
      <c r="O111" s="68">
        <v>12055.623175123348</v>
      </c>
      <c r="P111" s="68">
        <v>12170.380048378311</v>
      </c>
      <c r="Q111" s="68">
        <v>12140.916840143283</v>
      </c>
      <c r="R111" s="68">
        <v>12082.797102500468</v>
      </c>
      <c r="S111" s="68">
        <v>11999.252901957603</v>
      </c>
      <c r="T111" s="68">
        <v>12107.556280076202</v>
      </c>
      <c r="U111" s="68">
        <v>12065.091323346049</v>
      </c>
      <c r="V111" s="68">
        <v>10859.3768126087</v>
      </c>
      <c r="W111" s="68">
        <v>11271.457517306191</v>
      </c>
      <c r="DA111" s="111"/>
    </row>
    <row r="112" spans="1:105" s="2" customFormat="1" ht="12" customHeight="1" x14ac:dyDescent="0.25">
      <c r="DA112" s="7"/>
    </row>
    <row r="113" spans="1:105" ht="12.95" customHeight="1" x14ac:dyDescent="0.25">
      <c r="A113" s="81" t="s">
        <v>43</v>
      </c>
      <c r="B113" s="82">
        <f t="shared" ref="B113" si="69">B81*1000000/B$8</f>
        <v>4971.2084599761874</v>
      </c>
      <c r="C113" s="82">
        <f t="shared" ref="C113:W113" si="70">C81*1000000/C$8</f>
        <v>4924.4375402963669</v>
      </c>
      <c r="D113" s="82">
        <f t="shared" si="70"/>
        <v>4653.9364215521464</v>
      </c>
      <c r="E113" s="82">
        <f t="shared" si="70"/>
        <v>4700.8569767375702</v>
      </c>
      <c r="F113" s="82">
        <f t="shared" si="70"/>
        <v>4138.9880698296629</v>
      </c>
      <c r="G113" s="82">
        <f t="shared" si="70"/>
        <v>3890.9925290764459</v>
      </c>
      <c r="H113" s="82">
        <f t="shared" si="70"/>
        <v>6475.8074212366937</v>
      </c>
      <c r="I113" s="82">
        <f t="shared" si="70"/>
        <v>6484.1205145425283</v>
      </c>
      <c r="J113" s="82">
        <f t="shared" si="70"/>
        <v>7975.6246091400371</v>
      </c>
      <c r="K113" s="82">
        <f t="shared" si="70"/>
        <v>6286.0345918247294</v>
      </c>
      <c r="L113" s="82">
        <f t="shared" si="70"/>
        <v>6701.2303042428321</v>
      </c>
      <c r="M113" s="82">
        <f t="shared" si="70"/>
        <v>6536.7342478860592</v>
      </c>
      <c r="N113" s="82">
        <f t="shared" si="70"/>
        <v>5787.1552791261893</v>
      </c>
      <c r="O113" s="82">
        <f t="shared" si="70"/>
        <v>5927.6635452263072</v>
      </c>
      <c r="P113" s="82">
        <f t="shared" si="70"/>
        <v>5568.2294493637237</v>
      </c>
      <c r="Q113" s="82">
        <f t="shared" si="70"/>
        <v>5157.1777321219133</v>
      </c>
      <c r="R113" s="82">
        <f t="shared" si="70"/>
        <v>4959.565768072739</v>
      </c>
      <c r="S113" s="82">
        <f t="shared" si="70"/>
        <v>5627.6949688754285</v>
      </c>
      <c r="T113" s="82">
        <f t="shared" si="70"/>
        <v>5511.3212876891703</v>
      </c>
      <c r="U113" s="82">
        <f t="shared" si="70"/>
        <v>6615.0633543424983</v>
      </c>
      <c r="V113" s="82">
        <f t="shared" si="70"/>
        <v>5131.5048013828737</v>
      </c>
      <c r="W113" s="82">
        <f t="shared" si="70"/>
        <v>5315.5088914220023</v>
      </c>
      <c r="DA113" s="107"/>
    </row>
    <row r="114" spans="1:105" ht="12" customHeight="1" x14ac:dyDescent="0.25">
      <c r="A114" s="77" t="s">
        <v>36</v>
      </c>
      <c r="B114" s="64">
        <f t="shared" ref="B114" si="71">B82*1000000/B$8</f>
        <v>4971.2084599761874</v>
      </c>
      <c r="C114" s="64">
        <f t="shared" ref="C114:W114" si="72">C82*1000000/C$8</f>
        <v>4924.4375402963669</v>
      </c>
      <c r="D114" s="64">
        <f t="shared" si="72"/>
        <v>4653.9364215521464</v>
      </c>
      <c r="E114" s="64">
        <f t="shared" si="72"/>
        <v>4700.8569767375702</v>
      </c>
      <c r="F114" s="64">
        <f t="shared" si="72"/>
        <v>4138.9880698296629</v>
      </c>
      <c r="G114" s="64">
        <f t="shared" si="72"/>
        <v>3890.9925290764459</v>
      </c>
      <c r="H114" s="64">
        <f t="shared" si="72"/>
        <v>6475.8074212366937</v>
      </c>
      <c r="I114" s="64">
        <f t="shared" si="72"/>
        <v>6484.1205145425283</v>
      </c>
      <c r="J114" s="64">
        <f t="shared" si="72"/>
        <v>7975.6246091400371</v>
      </c>
      <c r="K114" s="64">
        <f t="shared" si="72"/>
        <v>6286.0345918247294</v>
      </c>
      <c r="L114" s="64">
        <f t="shared" si="72"/>
        <v>6701.2303042428321</v>
      </c>
      <c r="M114" s="64">
        <f t="shared" si="72"/>
        <v>6536.7342478860592</v>
      </c>
      <c r="N114" s="64">
        <f t="shared" si="72"/>
        <v>5787.1552791261893</v>
      </c>
      <c r="O114" s="64">
        <f t="shared" si="72"/>
        <v>5927.6635452263072</v>
      </c>
      <c r="P114" s="64">
        <f t="shared" si="72"/>
        <v>5568.2294493637237</v>
      </c>
      <c r="Q114" s="64">
        <f t="shared" si="72"/>
        <v>5157.1777321219133</v>
      </c>
      <c r="R114" s="64">
        <f t="shared" si="72"/>
        <v>4959.565768072739</v>
      </c>
      <c r="S114" s="64">
        <f t="shared" si="72"/>
        <v>5627.6949688754285</v>
      </c>
      <c r="T114" s="64">
        <f t="shared" si="72"/>
        <v>5511.3212876891703</v>
      </c>
      <c r="U114" s="64">
        <f t="shared" si="72"/>
        <v>6615.0633543424983</v>
      </c>
      <c r="V114" s="64">
        <f t="shared" si="72"/>
        <v>5131.5048013828737</v>
      </c>
      <c r="W114" s="64">
        <f t="shared" si="72"/>
        <v>5315.5088914220023</v>
      </c>
      <c r="DA114" s="108"/>
    </row>
    <row r="115" spans="1:105" ht="12" customHeight="1" x14ac:dyDescent="0.25">
      <c r="A115" s="61" t="s">
        <v>32</v>
      </c>
      <c r="B115" s="65">
        <f t="shared" ref="B115" si="73">B83*1000000/B$8</f>
        <v>4742.2511862125148</v>
      </c>
      <c r="C115" s="65">
        <f t="shared" ref="C115:W115" si="74">C83*1000000/C$8</f>
        <v>4698.5966192961259</v>
      </c>
      <c r="D115" s="65">
        <f t="shared" si="74"/>
        <v>4430.8504980705347</v>
      </c>
      <c r="E115" s="65">
        <f t="shared" si="74"/>
        <v>4483.1802554747883</v>
      </c>
      <c r="F115" s="65">
        <f t="shared" si="74"/>
        <v>3925.0957927518816</v>
      </c>
      <c r="G115" s="65">
        <f t="shared" si="74"/>
        <v>3681.0768014524201</v>
      </c>
      <c r="H115" s="65">
        <f t="shared" si="74"/>
        <v>4149.7211691937837</v>
      </c>
      <c r="I115" s="65">
        <f t="shared" si="74"/>
        <v>4219.514326290705</v>
      </c>
      <c r="J115" s="65">
        <f t="shared" si="74"/>
        <v>5613.347853051243</v>
      </c>
      <c r="K115" s="65">
        <f t="shared" si="74"/>
        <v>4149.2511036478309</v>
      </c>
      <c r="L115" s="65">
        <f t="shared" si="74"/>
        <v>4636.1672037806238</v>
      </c>
      <c r="M115" s="65">
        <f t="shared" si="74"/>
        <v>4375.8480670179752</v>
      </c>
      <c r="N115" s="65">
        <f t="shared" si="74"/>
        <v>3674.1984441177237</v>
      </c>
      <c r="O115" s="65">
        <f t="shared" si="74"/>
        <v>3958.643536239862</v>
      </c>
      <c r="P115" s="65">
        <f t="shared" si="74"/>
        <v>3859.5601840796467</v>
      </c>
      <c r="Q115" s="65">
        <f t="shared" si="74"/>
        <v>3296.0470361152029</v>
      </c>
      <c r="R115" s="65">
        <f t="shared" si="74"/>
        <v>3112.5514441883502</v>
      </c>
      <c r="S115" s="65">
        <f t="shared" si="74"/>
        <v>3472.4375590727791</v>
      </c>
      <c r="T115" s="65">
        <f t="shared" si="74"/>
        <v>3353.4865781733197</v>
      </c>
      <c r="U115" s="65">
        <f t="shared" si="74"/>
        <v>4199.7950704302366</v>
      </c>
      <c r="V115" s="65">
        <f t="shared" si="74"/>
        <v>3342.45540957497</v>
      </c>
      <c r="W115" s="65">
        <f t="shared" si="74"/>
        <v>3736.777548313441</v>
      </c>
      <c r="DA115" s="109"/>
    </row>
    <row r="116" spans="1:105" ht="12" customHeight="1" x14ac:dyDescent="0.25">
      <c r="A116" s="61" t="s">
        <v>31</v>
      </c>
      <c r="B116" s="65">
        <f t="shared" ref="B116" si="75">B84*1000000/B$8</f>
        <v>0</v>
      </c>
      <c r="C116" s="65">
        <f t="shared" ref="C116:W116" si="76">C84*1000000/C$8</f>
        <v>0</v>
      </c>
      <c r="D116" s="65">
        <f t="shared" si="76"/>
        <v>0</v>
      </c>
      <c r="E116" s="65">
        <f t="shared" si="76"/>
        <v>0</v>
      </c>
      <c r="F116" s="65">
        <f t="shared" si="76"/>
        <v>0</v>
      </c>
      <c r="G116" s="65">
        <f t="shared" si="76"/>
        <v>0</v>
      </c>
      <c r="H116" s="65">
        <f t="shared" si="76"/>
        <v>0</v>
      </c>
      <c r="I116" s="65">
        <f t="shared" si="76"/>
        <v>0</v>
      </c>
      <c r="J116" s="65">
        <f t="shared" si="76"/>
        <v>0</v>
      </c>
      <c r="K116" s="65">
        <f t="shared" si="76"/>
        <v>0</v>
      </c>
      <c r="L116" s="65">
        <f t="shared" si="76"/>
        <v>0</v>
      </c>
      <c r="M116" s="65">
        <f t="shared" si="76"/>
        <v>0</v>
      </c>
      <c r="N116" s="65">
        <f t="shared" si="76"/>
        <v>0</v>
      </c>
      <c r="O116" s="65">
        <f t="shared" si="76"/>
        <v>0</v>
      </c>
      <c r="P116" s="65">
        <f t="shared" si="76"/>
        <v>0</v>
      </c>
      <c r="Q116" s="65">
        <f t="shared" si="76"/>
        <v>0</v>
      </c>
      <c r="R116" s="65">
        <f t="shared" si="76"/>
        <v>0</v>
      </c>
      <c r="S116" s="65">
        <f t="shared" si="76"/>
        <v>0</v>
      </c>
      <c r="T116" s="65">
        <f t="shared" si="76"/>
        <v>0</v>
      </c>
      <c r="U116" s="65">
        <f t="shared" si="76"/>
        <v>0</v>
      </c>
      <c r="V116" s="65">
        <f t="shared" si="76"/>
        <v>0</v>
      </c>
      <c r="W116" s="65">
        <f t="shared" si="76"/>
        <v>0</v>
      </c>
      <c r="DA116" s="109"/>
    </row>
    <row r="117" spans="1:105" ht="12" customHeight="1" x14ac:dyDescent="0.25">
      <c r="A117" s="61" t="s">
        <v>35</v>
      </c>
      <c r="B117" s="65">
        <f t="shared" ref="B117" si="77">B85*1000000/B$8</f>
        <v>228.9572737636727</v>
      </c>
      <c r="C117" s="65">
        <f t="shared" ref="C117:W117" si="78">C85*1000000/C$8</f>
        <v>225.84092100024043</v>
      </c>
      <c r="D117" s="65">
        <f t="shared" si="78"/>
        <v>223.08592348161264</v>
      </c>
      <c r="E117" s="65">
        <f t="shared" si="78"/>
        <v>217.67672126278325</v>
      </c>
      <c r="F117" s="65">
        <f t="shared" si="78"/>
        <v>213.89227707778178</v>
      </c>
      <c r="G117" s="65">
        <f t="shared" si="78"/>
        <v>209.91572762402592</v>
      </c>
      <c r="H117" s="65">
        <f t="shared" si="78"/>
        <v>1489.414784174407</v>
      </c>
      <c r="I117" s="65">
        <f t="shared" si="78"/>
        <v>1462.1184941058452</v>
      </c>
      <c r="J117" s="65">
        <f t="shared" si="78"/>
        <v>1441.6019623987356</v>
      </c>
      <c r="K117" s="65">
        <f t="shared" si="78"/>
        <v>1404.7738975461007</v>
      </c>
      <c r="L117" s="65">
        <f t="shared" si="78"/>
        <v>1395.5763192054144</v>
      </c>
      <c r="M117" s="65">
        <f t="shared" si="78"/>
        <v>1308.5183287405732</v>
      </c>
      <c r="N117" s="65">
        <f t="shared" si="78"/>
        <v>1218.4126670578348</v>
      </c>
      <c r="O117" s="65">
        <f t="shared" si="78"/>
        <v>1145.0303187159843</v>
      </c>
      <c r="P117" s="65">
        <f t="shared" si="78"/>
        <v>1007.3864618293863</v>
      </c>
      <c r="Q117" s="65">
        <f t="shared" si="78"/>
        <v>988.08701544645987</v>
      </c>
      <c r="R117" s="65">
        <f t="shared" si="78"/>
        <v>992.61480685736478</v>
      </c>
      <c r="S117" s="65">
        <f t="shared" si="78"/>
        <v>980.43412344485239</v>
      </c>
      <c r="T117" s="65">
        <f t="shared" si="78"/>
        <v>931.8836146764603</v>
      </c>
      <c r="U117" s="65">
        <f t="shared" si="78"/>
        <v>900.35426180696163</v>
      </c>
      <c r="V117" s="65">
        <f t="shared" si="78"/>
        <v>713.49389421511557</v>
      </c>
      <c r="W117" s="65">
        <f t="shared" si="78"/>
        <v>664.83503091673265</v>
      </c>
      <c r="DA117" s="109"/>
    </row>
    <row r="118" spans="1:105" ht="12" customHeight="1" x14ac:dyDescent="0.25">
      <c r="A118" s="66" t="s">
        <v>34</v>
      </c>
      <c r="B118" s="67">
        <f t="shared" ref="B118" si="79">B86*1000000/B$8</f>
        <v>0</v>
      </c>
      <c r="C118" s="67">
        <f t="shared" ref="C118:W118" si="80">C86*1000000/C$8</f>
        <v>0</v>
      </c>
      <c r="D118" s="67">
        <f t="shared" si="80"/>
        <v>0</v>
      </c>
      <c r="E118" s="67">
        <f t="shared" si="80"/>
        <v>0</v>
      </c>
      <c r="F118" s="67">
        <f t="shared" si="80"/>
        <v>0</v>
      </c>
      <c r="G118" s="67">
        <f t="shared" si="80"/>
        <v>0</v>
      </c>
      <c r="H118" s="67">
        <f t="shared" si="80"/>
        <v>836.67146786850253</v>
      </c>
      <c r="I118" s="67">
        <f t="shared" si="80"/>
        <v>802.48769414597837</v>
      </c>
      <c r="J118" s="67">
        <f t="shared" si="80"/>
        <v>920.67479369005753</v>
      </c>
      <c r="K118" s="67">
        <f t="shared" si="80"/>
        <v>732.00959063079824</v>
      </c>
      <c r="L118" s="67">
        <f t="shared" si="80"/>
        <v>669.4867812567943</v>
      </c>
      <c r="M118" s="67">
        <f t="shared" si="80"/>
        <v>852.36785212751033</v>
      </c>
      <c r="N118" s="67">
        <f t="shared" si="80"/>
        <v>894.54416795063116</v>
      </c>
      <c r="O118" s="67">
        <f t="shared" si="80"/>
        <v>823.98969027046121</v>
      </c>
      <c r="P118" s="67">
        <f t="shared" si="80"/>
        <v>701.28280345469068</v>
      </c>
      <c r="Q118" s="67">
        <f t="shared" si="80"/>
        <v>873.0436805602501</v>
      </c>
      <c r="R118" s="67">
        <f t="shared" si="80"/>
        <v>854.39951702702365</v>
      </c>
      <c r="S118" s="67">
        <f t="shared" si="80"/>
        <v>1174.8232863577964</v>
      </c>
      <c r="T118" s="67">
        <f t="shared" si="80"/>
        <v>1225.9510948393902</v>
      </c>
      <c r="U118" s="67">
        <f t="shared" si="80"/>
        <v>1514.914022105301</v>
      </c>
      <c r="V118" s="67">
        <f t="shared" si="80"/>
        <v>1075.5554975927878</v>
      </c>
      <c r="W118" s="67">
        <f t="shared" si="80"/>
        <v>913.89631219182888</v>
      </c>
      <c r="DA118" s="110"/>
    </row>
    <row r="119" spans="1:105" ht="12" customHeight="1" x14ac:dyDescent="0.25">
      <c r="A119" s="78" t="s">
        <v>33</v>
      </c>
      <c r="B119" s="68">
        <f t="shared" ref="B119" si="81">B87*1000000/B$8</f>
        <v>0</v>
      </c>
      <c r="C119" s="68">
        <f t="shared" ref="C119:W119" si="82">C87*1000000/C$8</f>
        <v>0</v>
      </c>
      <c r="D119" s="68">
        <f t="shared" si="82"/>
        <v>0</v>
      </c>
      <c r="E119" s="68">
        <f t="shared" si="82"/>
        <v>0</v>
      </c>
      <c r="F119" s="68">
        <f t="shared" si="82"/>
        <v>0</v>
      </c>
      <c r="G119" s="68">
        <f t="shared" si="82"/>
        <v>0</v>
      </c>
      <c r="H119" s="68">
        <f t="shared" si="82"/>
        <v>0</v>
      </c>
      <c r="I119" s="68">
        <f t="shared" si="82"/>
        <v>0</v>
      </c>
      <c r="J119" s="68">
        <f t="shared" si="82"/>
        <v>0</v>
      </c>
      <c r="K119" s="68">
        <f t="shared" si="82"/>
        <v>0</v>
      </c>
      <c r="L119" s="68">
        <f t="shared" si="82"/>
        <v>0</v>
      </c>
      <c r="M119" s="68">
        <f t="shared" si="82"/>
        <v>0</v>
      </c>
      <c r="N119" s="68">
        <f t="shared" si="82"/>
        <v>0</v>
      </c>
      <c r="O119" s="68">
        <f t="shared" si="82"/>
        <v>0</v>
      </c>
      <c r="P119" s="68">
        <f t="shared" si="82"/>
        <v>0</v>
      </c>
      <c r="Q119" s="68">
        <f t="shared" si="82"/>
        <v>0</v>
      </c>
      <c r="R119" s="68">
        <f t="shared" si="82"/>
        <v>0</v>
      </c>
      <c r="S119" s="68">
        <f t="shared" si="82"/>
        <v>0</v>
      </c>
      <c r="T119" s="68">
        <f t="shared" si="82"/>
        <v>0</v>
      </c>
      <c r="U119" s="68">
        <f t="shared" si="82"/>
        <v>0</v>
      </c>
      <c r="V119" s="68">
        <f t="shared" si="82"/>
        <v>0</v>
      </c>
      <c r="W119" s="68">
        <f t="shared" si="82"/>
        <v>0</v>
      </c>
      <c r="DA119" s="111"/>
    </row>
    <row r="121" spans="1:105" ht="12.95" customHeight="1" x14ac:dyDescent="0.25">
      <c r="A121" s="79" t="s">
        <v>30</v>
      </c>
      <c r="B121" s="86">
        <f t="shared" ref="B121" si="83">IF(B107=0,"",B107/B100)</f>
        <v>0.7753665314084387</v>
      </c>
      <c r="C121" s="86">
        <f t="shared" ref="C121:W121" si="84">IF(C107=0,"",C107/C100)</f>
        <v>0.79262347318041404</v>
      </c>
      <c r="D121" s="86">
        <f t="shared" si="84"/>
        <v>0.82582635131066306</v>
      </c>
      <c r="E121" s="86">
        <f t="shared" si="84"/>
        <v>0.88041286619647241</v>
      </c>
      <c r="F121" s="86">
        <f t="shared" si="84"/>
        <v>0.88654842902035669</v>
      </c>
      <c r="G121" s="86">
        <f t="shared" si="84"/>
        <v>0.89931051918729887</v>
      </c>
      <c r="H121" s="86">
        <f t="shared" si="84"/>
        <v>0.91538997250451715</v>
      </c>
      <c r="I121" s="86">
        <f t="shared" si="84"/>
        <v>0.97208632585313393</v>
      </c>
      <c r="J121" s="86">
        <f t="shared" si="84"/>
        <v>0.96038870115063213</v>
      </c>
      <c r="K121" s="86">
        <f t="shared" si="84"/>
        <v>0.99698624119312107</v>
      </c>
      <c r="L121" s="86">
        <f t="shared" si="84"/>
        <v>1.0298309223791153</v>
      </c>
      <c r="M121" s="86">
        <f t="shared" si="84"/>
        <v>1.0435723554427174</v>
      </c>
      <c r="N121" s="86">
        <f t="shared" si="84"/>
        <v>1.2698781080966575</v>
      </c>
      <c r="O121" s="86">
        <f t="shared" si="84"/>
        <v>1.4095228996556215</v>
      </c>
      <c r="P121" s="86">
        <f t="shared" si="84"/>
        <v>1.364283642524611</v>
      </c>
      <c r="Q121" s="86">
        <f t="shared" si="84"/>
        <v>1.4281481004447383</v>
      </c>
      <c r="R121" s="86">
        <f t="shared" si="84"/>
        <v>1.4454949807871322</v>
      </c>
      <c r="S121" s="86">
        <f t="shared" si="84"/>
        <v>1.3971403164822891</v>
      </c>
      <c r="T121" s="86">
        <f t="shared" si="84"/>
        <v>1.5481433603872665</v>
      </c>
      <c r="U121" s="86">
        <f t="shared" si="84"/>
        <v>1.4468754436584035</v>
      </c>
      <c r="V121" s="86">
        <f t="shared" si="84"/>
        <v>1.6755523231503298</v>
      </c>
      <c r="W121" s="86">
        <f t="shared" si="84"/>
        <v>1.5419935604382646</v>
      </c>
      <c r="DA121" s="119" t="s">
        <v>238</v>
      </c>
    </row>
    <row r="122" spans="1:105" ht="12" customHeight="1" x14ac:dyDescent="0.25">
      <c r="A122" s="61" t="s">
        <v>32</v>
      </c>
      <c r="B122" s="75">
        <f t="shared" ref="B122" si="85">IF(B108=0,"",B108/B101)</f>
        <v>0.43829181411703422</v>
      </c>
      <c r="C122" s="75">
        <f t="shared" ref="C122:W122" si="86">IF(C108=0,"",C108/C101)</f>
        <v>0.47553895458401541</v>
      </c>
      <c r="D122" s="75">
        <f t="shared" si="86"/>
        <v>0.50633726166526549</v>
      </c>
      <c r="E122" s="75">
        <f t="shared" si="86"/>
        <v>0.51741470371741172</v>
      </c>
      <c r="F122" s="75">
        <f t="shared" si="86"/>
        <v>0.54728927155710039</v>
      </c>
      <c r="G122" s="75">
        <f t="shared" si="86"/>
        <v>0.57463409358570972</v>
      </c>
      <c r="H122" s="75">
        <f t="shared" si="86"/>
        <v>0.58507524549410039</v>
      </c>
      <c r="I122" s="75">
        <f t="shared" si="86"/>
        <v>0.59473828230197856</v>
      </c>
      <c r="J122" s="75">
        <f t="shared" si="86"/>
        <v>0.58475967567593734</v>
      </c>
      <c r="K122" s="75">
        <f t="shared" si="86"/>
        <v>0.62586232746441439</v>
      </c>
      <c r="L122" s="75">
        <f t="shared" si="86"/>
        <v>0.63846718081734322</v>
      </c>
      <c r="M122" s="75">
        <f t="shared" si="86"/>
        <v>0.68137240834868007</v>
      </c>
      <c r="N122" s="75">
        <f t="shared" si="86"/>
        <v>0.83516866896297692</v>
      </c>
      <c r="O122" s="75">
        <f t="shared" si="86"/>
        <v>1.2319086134732924</v>
      </c>
      <c r="P122" s="75">
        <f t="shared" si="86"/>
        <v>1.1890461566442911</v>
      </c>
      <c r="Q122" s="75">
        <f t="shared" si="86"/>
        <v>1.2498080845680628</v>
      </c>
      <c r="R122" s="75">
        <f t="shared" si="86"/>
        <v>1.1670756551066581</v>
      </c>
      <c r="S122" s="75">
        <f t="shared" si="86"/>
        <v>1.1125165458223214</v>
      </c>
      <c r="T122" s="75">
        <f t="shared" si="86"/>
        <v>1.1629794170605188</v>
      </c>
      <c r="U122" s="75">
        <f t="shared" si="86"/>
        <v>1.1067619540145976</v>
      </c>
      <c r="V122" s="75">
        <f t="shared" si="86"/>
        <v>1.2906611401781818</v>
      </c>
      <c r="W122" s="75">
        <f t="shared" si="86"/>
        <v>1.1482362364663914</v>
      </c>
      <c r="DA122" s="120" t="s">
        <v>239</v>
      </c>
    </row>
    <row r="123" spans="1:105" ht="12" customHeight="1" x14ac:dyDescent="0.25">
      <c r="A123" s="61" t="s">
        <v>31</v>
      </c>
      <c r="B123" s="76">
        <f t="shared" ref="B123" si="87">IF(B109=0,"",B109/B102)</f>
        <v>1.7135541620775896</v>
      </c>
      <c r="C123" s="76">
        <f t="shared" ref="C123:W123" si="88">IF(C109=0,"",C109/C102)</f>
        <v>1.878839711090883</v>
      </c>
      <c r="D123" s="76">
        <f t="shared" si="88"/>
        <v>2.0257556253264934</v>
      </c>
      <c r="E123" s="76">
        <f t="shared" si="88"/>
        <v>2.1436922147650597</v>
      </c>
      <c r="F123" s="76">
        <f t="shared" si="88"/>
        <v>2.2676517300671679</v>
      </c>
      <c r="G123" s="76">
        <f t="shared" si="88"/>
        <v>2.3835257846409501</v>
      </c>
      <c r="H123" s="76">
        <f t="shared" si="88"/>
        <v>2.4926516505444347</v>
      </c>
      <c r="I123" s="76">
        <f t="shared" si="88"/>
        <v>2.6095938883836443</v>
      </c>
      <c r="J123" s="76">
        <f t="shared" si="88"/>
        <v>2.7407171829871491</v>
      </c>
      <c r="K123" s="76">
        <f t="shared" si="88"/>
        <v>2.7981572416745135</v>
      </c>
      <c r="L123" s="76">
        <f t="shared" si="88"/>
        <v>2.8786821970324881</v>
      </c>
      <c r="M123" s="76">
        <f t="shared" si="88"/>
        <v>2.9879125142072551</v>
      </c>
      <c r="N123" s="76">
        <f t="shared" si="88"/>
        <v>3.0870402666215524</v>
      </c>
      <c r="O123" s="76">
        <f t="shared" si="88"/>
        <v>3.1846783969021932</v>
      </c>
      <c r="P123" s="76">
        <f t="shared" si="88"/>
        <v>3.2872679788482122</v>
      </c>
      <c r="Q123" s="76">
        <f t="shared" si="88"/>
        <v>3.3975318882174044</v>
      </c>
      <c r="R123" s="76">
        <f t="shared" si="88"/>
        <v>3.5157885073322479</v>
      </c>
      <c r="S123" s="76">
        <f t="shared" si="88"/>
        <v>3.6399027974074123</v>
      </c>
      <c r="T123" s="76">
        <f t="shared" si="88"/>
        <v>3.770565979242178</v>
      </c>
      <c r="U123" s="76">
        <f t="shared" si="88"/>
        <v>3.8959767719000018</v>
      </c>
      <c r="V123" s="76">
        <f t="shared" si="88"/>
        <v>4.0022628366221786</v>
      </c>
      <c r="W123" s="76">
        <f t="shared" si="88"/>
        <v>4.1192051699039549</v>
      </c>
      <c r="DA123" s="121" t="s">
        <v>240</v>
      </c>
    </row>
    <row r="124" spans="1:105" ht="12" customHeight="1" x14ac:dyDescent="0.25">
      <c r="A124" s="61" t="s">
        <v>35</v>
      </c>
      <c r="B124" s="76">
        <f t="shared" ref="B124" si="89">IF(B110=0,"",B110/B103)</f>
        <v>0.60875655672296014</v>
      </c>
      <c r="C124" s="76">
        <f t="shared" ref="C124:W124" si="90">IF(C110=0,"",C110/C103)</f>
        <v>0.60661322281647312</v>
      </c>
      <c r="D124" s="76">
        <f t="shared" si="90"/>
        <v>0.60881228582124014</v>
      </c>
      <c r="E124" s="76">
        <f t="shared" si="90"/>
        <v>0.6115521078521895</v>
      </c>
      <c r="F124" s="76">
        <f t="shared" si="90"/>
        <v>0.6213273874630002</v>
      </c>
      <c r="G124" s="76">
        <f t="shared" si="90"/>
        <v>0.62530386684233763</v>
      </c>
      <c r="H124" s="76">
        <f t="shared" si="90"/>
        <v>0.67256029661986494</v>
      </c>
      <c r="I124" s="76">
        <f t="shared" si="90"/>
        <v>0.70185370481052323</v>
      </c>
      <c r="J124" s="76">
        <f t="shared" si="90"/>
        <v>0.70759694761650616</v>
      </c>
      <c r="K124" s="76">
        <f t="shared" si="90"/>
        <v>0.71064457370235756</v>
      </c>
      <c r="L124" s="76">
        <f t="shared" si="90"/>
        <v>0.7192888809415463</v>
      </c>
      <c r="M124" s="76">
        <f t="shared" si="90"/>
        <v>0.72207441127683325</v>
      </c>
      <c r="N124" s="76">
        <f t="shared" si="90"/>
        <v>0.72770973900095837</v>
      </c>
      <c r="O124" s="76">
        <f t="shared" si="90"/>
        <v>0.73546227642516548</v>
      </c>
      <c r="P124" s="76">
        <f t="shared" si="90"/>
        <v>0.7400721633367241</v>
      </c>
      <c r="Q124" s="76">
        <f t="shared" si="90"/>
        <v>0.74390921521365982</v>
      </c>
      <c r="R124" s="76">
        <f t="shared" si="90"/>
        <v>0.7472704250877612</v>
      </c>
      <c r="S124" s="76">
        <f t="shared" si="90"/>
        <v>0.75498600843342378</v>
      </c>
      <c r="T124" s="76">
        <f t="shared" si="90"/>
        <v>0.76479266411139157</v>
      </c>
      <c r="U124" s="76">
        <f t="shared" si="90"/>
        <v>0.77950572785789896</v>
      </c>
      <c r="V124" s="76">
        <f t="shared" si="90"/>
        <v>0.79413937589624772</v>
      </c>
      <c r="W124" s="76">
        <f t="shared" si="90"/>
        <v>0.80746619514079976</v>
      </c>
      <c r="DA124" s="121" t="s">
        <v>241</v>
      </c>
    </row>
    <row r="125" spans="1:105" ht="12" customHeight="1" x14ac:dyDescent="0.25">
      <c r="A125" s="74" t="s">
        <v>34</v>
      </c>
      <c r="B125" s="56">
        <f t="shared" ref="B125" si="91">IF(B111=0,"",B111/B104)</f>
        <v>0.75244313864967416</v>
      </c>
      <c r="C125" s="56">
        <f t="shared" ref="C125:W125" si="92">IF(C111=0,"",C111/C104)</f>
        <v>0.75428001617663976</v>
      </c>
      <c r="D125" s="56">
        <f t="shared" si="92"/>
        <v>0.7499195943908884</v>
      </c>
      <c r="E125" s="56">
        <f t="shared" si="92"/>
        <v>0.75216572670804949</v>
      </c>
      <c r="F125" s="56">
        <f t="shared" si="92"/>
        <v>0.75089647941810422</v>
      </c>
      <c r="G125" s="56">
        <f t="shared" si="92"/>
        <v>0.74773550823901458</v>
      </c>
      <c r="H125" s="56">
        <f t="shared" si="92"/>
        <v>0.71532901783519831</v>
      </c>
      <c r="I125" s="56">
        <f t="shared" si="92"/>
        <v>0.70872429026046457</v>
      </c>
      <c r="J125" s="56">
        <f t="shared" si="92"/>
        <v>0.70758798705037296</v>
      </c>
      <c r="K125" s="56">
        <f t="shared" si="92"/>
        <v>0.71847074441986669</v>
      </c>
      <c r="L125" s="56">
        <f t="shared" si="92"/>
        <v>0.72296253141825939</v>
      </c>
      <c r="M125" s="56">
        <f t="shared" si="92"/>
        <v>0.71658752471878595</v>
      </c>
      <c r="N125" s="56">
        <f t="shared" si="92"/>
        <v>0.71682690448109398</v>
      </c>
      <c r="O125" s="56">
        <f t="shared" si="92"/>
        <v>0.72100318906632765</v>
      </c>
      <c r="P125" s="56">
        <f t="shared" si="92"/>
        <v>0.72801013960945926</v>
      </c>
      <c r="Q125" s="56">
        <f t="shared" si="92"/>
        <v>0.72255712468277256</v>
      </c>
      <c r="R125" s="56">
        <f t="shared" si="92"/>
        <v>0.72521000315593565</v>
      </c>
      <c r="S125" s="56">
        <f t="shared" si="92"/>
        <v>0.71229419127363547</v>
      </c>
      <c r="T125" s="56">
        <f t="shared" si="92"/>
        <v>0.7135631781093823</v>
      </c>
      <c r="U125" s="56">
        <f t="shared" si="92"/>
        <v>0.697917069489285</v>
      </c>
      <c r="V125" s="56">
        <f t="shared" si="92"/>
        <v>0.71358376552272318</v>
      </c>
      <c r="W125" s="56">
        <f t="shared" si="92"/>
        <v>0.74739045466407716</v>
      </c>
      <c r="DA125" s="122" t="s">
        <v>242</v>
      </c>
    </row>
    <row r="126" spans="1:105" s="2" customFormat="1" ht="12" customHeight="1" x14ac:dyDescent="0.25">
      <c r="DA126" s="7"/>
    </row>
    <row r="127" spans="1:105" s="2" customFormat="1" ht="6.6" customHeight="1" x14ac:dyDescent="0.25">
      <c r="A127" s="30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DA127" s="32"/>
    </row>
    <row r="128" spans="1:105" s="2" customFormat="1" ht="12" customHeight="1" x14ac:dyDescent="0.25">
      <c r="DA128" s="7"/>
    </row>
    <row r="129" spans="1:105" ht="12.95" customHeight="1" x14ac:dyDescent="0.25">
      <c r="A129" s="81" t="s">
        <v>42</v>
      </c>
      <c r="B129" s="82">
        <f t="shared" ref="B129" si="93">IF(B99=0,0,B99/B$26)</f>
        <v>121.83608299495577</v>
      </c>
      <c r="C129" s="82">
        <f t="shared" ref="C129:W129" si="94">IF(C99=0,0,C99/C$26)</f>
        <v>127.82700911194136</v>
      </c>
      <c r="D129" s="82">
        <f t="shared" si="94"/>
        <v>134.33304398634854</v>
      </c>
      <c r="E129" s="82">
        <f t="shared" si="94"/>
        <v>137.27829253670649</v>
      </c>
      <c r="F129" s="82">
        <f t="shared" si="94"/>
        <v>136.69138404368388</v>
      </c>
      <c r="G129" s="82">
        <f t="shared" si="94"/>
        <v>138.73181633276144</v>
      </c>
      <c r="H129" s="82">
        <f t="shared" si="94"/>
        <v>155.6376682657127</v>
      </c>
      <c r="I129" s="82">
        <f t="shared" si="94"/>
        <v>158.41285976468089</v>
      </c>
      <c r="J129" s="82">
        <f t="shared" si="94"/>
        <v>169.70761571486926</v>
      </c>
      <c r="K129" s="82">
        <f t="shared" si="94"/>
        <v>166.30756633181628</v>
      </c>
      <c r="L129" s="82">
        <f t="shared" si="94"/>
        <v>169.34854772560209</v>
      </c>
      <c r="M129" s="82">
        <f t="shared" si="94"/>
        <v>161.74821374571556</v>
      </c>
      <c r="N129" s="82">
        <f t="shared" si="94"/>
        <v>145.03224721475425</v>
      </c>
      <c r="O129" s="82">
        <f t="shared" si="94"/>
        <v>133.02099594168843</v>
      </c>
      <c r="P129" s="82">
        <f t="shared" si="94"/>
        <v>135.07085991356055</v>
      </c>
      <c r="Q129" s="82">
        <f t="shared" si="94"/>
        <v>137.69143787587316</v>
      </c>
      <c r="R129" s="82">
        <f t="shared" si="94"/>
        <v>145.16088423124188</v>
      </c>
      <c r="S129" s="82">
        <f t="shared" si="94"/>
        <v>149.52663446927829</v>
      </c>
      <c r="T129" s="82">
        <f t="shared" si="94"/>
        <v>150.51304186851306</v>
      </c>
      <c r="U129" s="82">
        <f t="shared" si="94"/>
        <v>153.72211054314604</v>
      </c>
      <c r="V129" s="82">
        <f t="shared" si="94"/>
        <v>126.23864504941804</v>
      </c>
      <c r="W129" s="82">
        <f t="shared" si="94"/>
        <v>136.5343145835318</v>
      </c>
      <c r="DA129" s="107"/>
    </row>
    <row r="130" spans="1:105" ht="12" customHeight="1" x14ac:dyDescent="0.25">
      <c r="A130" s="77" t="s">
        <v>36</v>
      </c>
      <c r="B130" s="64">
        <f t="shared" ref="B130" si="95">IF(B100=0,0,B100/B$26)</f>
        <v>77.593338587199085</v>
      </c>
      <c r="C130" s="64">
        <f t="shared" ref="C130:W130" si="96">IF(C100=0,0,C100/C$26)</f>
        <v>82.888790915802943</v>
      </c>
      <c r="D130" s="64">
        <f t="shared" si="96"/>
        <v>88.442345590186505</v>
      </c>
      <c r="E130" s="64">
        <f t="shared" si="96"/>
        <v>90.724629461996045</v>
      </c>
      <c r="F130" s="64">
        <f t="shared" si="96"/>
        <v>89.459817201598085</v>
      </c>
      <c r="G130" s="64">
        <f t="shared" si="96"/>
        <v>91.131148508264104</v>
      </c>
      <c r="H130" s="64">
        <f t="shared" si="96"/>
        <v>107.81509495010968</v>
      </c>
      <c r="I130" s="64">
        <f t="shared" si="96"/>
        <v>110.37450217022128</v>
      </c>
      <c r="J130" s="64">
        <f t="shared" si="96"/>
        <v>121.34242548231471</v>
      </c>
      <c r="K130" s="64">
        <f t="shared" si="96"/>
        <v>117.97591455799599</v>
      </c>
      <c r="L130" s="64">
        <f t="shared" si="96"/>
        <v>121.17630840629218</v>
      </c>
      <c r="M130" s="64">
        <f t="shared" si="96"/>
        <v>113.58292310502821</v>
      </c>
      <c r="N130" s="64">
        <f t="shared" si="96"/>
        <v>96.851866525480332</v>
      </c>
      <c r="O130" s="64">
        <f t="shared" si="96"/>
        <v>84.569951772776335</v>
      </c>
      <c r="P130" s="64">
        <f t="shared" si="96"/>
        <v>86.0884706962471</v>
      </c>
      <c r="Q130" s="64">
        <f t="shared" si="96"/>
        <v>88.145732119176202</v>
      </c>
      <c r="R130" s="64">
        <f t="shared" si="96"/>
        <v>95.552356129553189</v>
      </c>
      <c r="S130" s="64">
        <f t="shared" si="96"/>
        <v>100.56805274338632</v>
      </c>
      <c r="T130" s="64">
        <f t="shared" si="96"/>
        <v>103.06034162436738</v>
      </c>
      <c r="U130" s="64">
        <f t="shared" si="96"/>
        <v>107.80809503372369</v>
      </c>
      <c r="V130" s="64">
        <f t="shared" si="96"/>
        <v>85.999660498955137</v>
      </c>
      <c r="W130" s="64">
        <f t="shared" si="96"/>
        <v>95.264913387426589</v>
      </c>
      <c r="DA130" s="108"/>
    </row>
    <row r="131" spans="1:105" ht="12" customHeight="1" x14ac:dyDescent="0.25">
      <c r="A131" s="61" t="s">
        <v>32</v>
      </c>
      <c r="B131" s="65">
        <f t="shared" ref="B131" si="97">IF(B101=0,0,B101/B$26)</f>
        <v>25.688926698513619</v>
      </c>
      <c r="C131" s="65">
        <f t="shared" ref="C131:W131" si="98">IF(C101=0,0,C101/C$26)</f>
        <v>31.307942765808551</v>
      </c>
      <c r="D131" s="65">
        <f t="shared" si="98"/>
        <v>35.734869036609624</v>
      </c>
      <c r="E131" s="65">
        <f t="shared" si="98"/>
        <v>35.906556965361816</v>
      </c>
      <c r="F131" s="65">
        <f t="shared" si="98"/>
        <v>36.509281572262005</v>
      </c>
      <c r="G131" s="65">
        <f t="shared" si="98"/>
        <v>38.529665439919199</v>
      </c>
      <c r="H131" s="65">
        <f t="shared" si="98"/>
        <v>53.316199031980176</v>
      </c>
      <c r="I131" s="65">
        <f t="shared" si="98"/>
        <v>54.285670033248792</v>
      </c>
      <c r="J131" s="65">
        <f t="shared" si="98"/>
        <v>64.54218164844572</v>
      </c>
      <c r="K131" s="65">
        <f t="shared" si="98"/>
        <v>62.150493345459317</v>
      </c>
      <c r="L131" s="65">
        <f t="shared" si="98"/>
        <v>64.902101258939197</v>
      </c>
      <c r="M131" s="65">
        <f t="shared" si="98"/>
        <v>59.818884234133833</v>
      </c>
      <c r="N131" s="65">
        <f t="shared" si="98"/>
        <v>39.891228393557427</v>
      </c>
      <c r="O131" s="65">
        <f t="shared" si="98"/>
        <v>31.228940738729577</v>
      </c>
      <c r="P131" s="65">
        <f t="shared" si="98"/>
        <v>35.023778776844509</v>
      </c>
      <c r="Q131" s="65">
        <f t="shared" si="98"/>
        <v>35.978042517809548</v>
      </c>
      <c r="R131" s="65">
        <f t="shared" si="98"/>
        <v>41.652695040832263</v>
      </c>
      <c r="S131" s="65">
        <f t="shared" si="98"/>
        <v>48.151771610309211</v>
      </c>
      <c r="T131" s="65">
        <f t="shared" si="98"/>
        <v>46.421621124455868</v>
      </c>
      <c r="U131" s="65">
        <f t="shared" si="98"/>
        <v>54.543078747440305</v>
      </c>
      <c r="V131" s="65">
        <f t="shared" si="98"/>
        <v>35.451482890497303</v>
      </c>
      <c r="W131" s="65">
        <f t="shared" si="98"/>
        <v>47.02638947176245</v>
      </c>
      <c r="DA131" s="109"/>
    </row>
    <row r="132" spans="1:105" ht="12" customHeight="1" x14ac:dyDescent="0.25">
      <c r="A132" s="61" t="s">
        <v>31</v>
      </c>
      <c r="B132" s="65">
        <f t="shared" ref="B132" si="99">IF(B102=0,0,B102/B$26)</f>
        <v>13.457380094770532</v>
      </c>
      <c r="C132" s="65">
        <f t="shared" ref="C132:W132" si="100">IF(C102=0,0,C102/C$26)</f>
        <v>13.389330671994266</v>
      </c>
      <c r="D132" s="65">
        <f t="shared" si="100"/>
        <v>14.433931491817669</v>
      </c>
      <c r="E132" s="65">
        <f t="shared" si="100"/>
        <v>16.55380920253242</v>
      </c>
      <c r="F132" s="65">
        <f t="shared" si="100"/>
        <v>14.676406207182666</v>
      </c>
      <c r="G132" s="65">
        <f t="shared" si="100"/>
        <v>14.072555706254544</v>
      </c>
      <c r="H132" s="65">
        <f t="shared" si="100"/>
        <v>16.506956085819162</v>
      </c>
      <c r="I132" s="65">
        <f t="shared" si="100"/>
        <v>18.614199313552994</v>
      </c>
      <c r="J132" s="65">
        <f t="shared" si="100"/>
        <v>18.986935427437441</v>
      </c>
      <c r="K132" s="65">
        <f t="shared" si="100"/>
        <v>18.636073260935976</v>
      </c>
      <c r="L132" s="65">
        <f t="shared" si="100"/>
        <v>19.824071086821696</v>
      </c>
      <c r="M132" s="65">
        <f t="shared" si="100"/>
        <v>17.235822764066167</v>
      </c>
      <c r="N132" s="65">
        <f t="shared" si="100"/>
        <v>20.525703900078</v>
      </c>
      <c r="O132" s="65">
        <f t="shared" si="100"/>
        <v>17.054603121910546</v>
      </c>
      <c r="P132" s="65">
        <f t="shared" si="100"/>
        <v>15.011290176734354</v>
      </c>
      <c r="Q132" s="65">
        <f t="shared" si="100"/>
        <v>16.019656261608869</v>
      </c>
      <c r="R132" s="65">
        <f t="shared" si="100"/>
        <v>17.929943246169138</v>
      </c>
      <c r="S132" s="65">
        <f t="shared" si="100"/>
        <v>16.694960494567688</v>
      </c>
      <c r="T132" s="65">
        <f t="shared" si="100"/>
        <v>21.030776801950065</v>
      </c>
      <c r="U132" s="65">
        <f t="shared" si="100"/>
        <v>17.861695970678966</v>
      </c>
      <c r="V132" s="65">
        <f t="shared" si="100"/>
        <v>18.56564917014353</v>
      </c>
      <c r="W132" s="65">
        <f t="shared" si="100"/>
        <v>16.594356098839668</v>
      </c>
      <c r="DA132" s="109"/>
    </row>
    <row r="133" spans="1:105" ht="12" customHeight="1" x14ac:dyDescent="0.25">
      <c r="A133" s="61" t="s">
        <v>35</v>
      </c>
      <c r="B133" s="65">
        <f t="shared" ref="B133" si="101">IF(B103=0,0,B103/B$26)</f>
        <v>21.471200651559748</v>
      </c>
      <c r="C133" s="65">
        <f t="shared" ref="C133:W133" si="102">IF(C103=0,0,C103/C$26)</f>
        <v>21.345690188573787</v>
      </c>
      <c r="D133" s="65">
        <f t="shared" si="102"/>
        <v>21.243233309396935</v>
      </c>
      <c r="E133" s="65">
        <f t="shared" si="102"/>
        <v>21.127319091848832</v>
      </c>
      <c r="F133" s="65">
        <f t="shared" si="102"/>
        <v>20.773200138950415</v>
      </c>
      <c r="G133" s="65">
        <f t="shared" si="102"/>
        <v>20.721811231440409</v>
      </c>
      <c r="H133" s="65">
        <f t="shared" si="102"/>
        <v>19.265476047996572</v>
      </c>
      <c r="I133" s="65">
        <f t="shared" si="102"/>
        <v>18.470796112536323</v>
      </c>
      <c r="J133" s="65">
        <f t="shared" si="102"/>
        <v>18.552175774920613</v>
      </c>
      <c r="K133" s="65">
        <f t="shared" si="102"/>
        <v>18.324500662049683</v>
      </c>
      <c r="L133" s="65">
        <f t="shared" si="102"/>
        <v>17.97539286576119</v>
      </c>
      <c r="M133" s="65">
        <f t="shared" si="102"/>
        <v>17.909409025423308</v>
      </c>
      <c r="N133" s="65">
        <f t="shared" si="102"/>
        <v>17.729328442129205</v>
      </c>
      <c r="O133" s="65">
        <f t="shared" si="102"/>
        <v>17.707936881246109</v>
      </c>
      <c r="P133" s="65">
        <f t="shared" si="102"/>
        <v>17.478599329267315</v>
      </c>
      <c r="Q133" s="65">
        <f t="shared" si="102"/>
        <v>17.47835707563992</v>
      </c>
      <c r="R133" s="65">
        <f t="shared" si="102"/>
        <v>17.457383407745766</v>
      </c>
      <c r="S133" s="65">
        <f t="shared" si="102"/>
        <v>17.003628724501482</v>
      </c>
      <c r="T133" s="65">
        <f t="shared" si="102"/>
        <v>16.754896450148447</v>
      </c>
      <c r="U133" s="65">
        <f t="shared" si="102"/>
        <v>16.195225812700365</v>
      </c>
      <c r="V133" s="65">
        <f t="shared" si="102"/>
        <v>15.073547574108145</v>
      </c>
      <c r="W133" s="65">
        <f t="shared" si="102"/>
        <v>14.887408872766599</v>
      </c>
      <c r="DA133" s="109"/>
    </row>
    <row r="134" spans="1:105" ht="12" customHeight="1" x14ac:dyDescent="0.25">
      <c r="A134" s="66" t="s">
        <v>34</v>
      </c>
      <c r="B134" s="67">
        <f t="shared" ref="B134" si="103">IF(B104=0,0,B104/B$26)</f>
        <v>16.975831142355183</v>
      </c>
      <c r="C134" s="67">
        <f t="shared" ref="C134:W134" si="104">IF(C104=0,0,C104/C$26)</f>
        <v>16.845827289426335</v>
      </c>
      <c r="D134" s="67">
        <f t="shared" si="104"/>
        <v>17.030311752362287</v>
      </c>
      <c r="E134" s="67">
        <f t="shared" si="104"/>
        <v>17.136944202252966</v>
      </c>
      <c r="F134" s="67">
        <f t="shared" si="104"/>
        <v>17.500929283202989</v>
      </c>
      <c r="G134" s="67">
        <f t="shared" si="104"/>
        <v>17.807116130649945</v>
      </c>
      <c r="H134" s="67">
        <f t="shared" si="104"/>
        <v>18.726463784313772</v>
      </c>
      <c r="I134" s="67">
        <f t="shared" si="104"/>
        <v>19.00383671088316</v>
      </c>
      <c r="J134" s="67">
        <f t="shared" si="104"/>
        <v>19.261132631510936</v>
      </c>
      <c r="K134" s="67">
        <f t="shared" si="104"/>
        <v>18.864847289551008</v>
      </c>
      <c r="L134" s="67">
        <f t="shared" si="104"/>
        <v>18.474743194770095</v>
      </c>
      <c r="M134" s="67">
        <f t="shared" si="104"/>
        <v>18.618807081404917</v>
      </c>
      <c r="N134" s="67">
        <f t="shared" si="104"/>
        <v>18.705605789715722</v>
      </c>
      <c r="O134" s="67">
        <f t="shared" si="104"/>
        <v>18.578471030890125</v>
      </c>
      <c r="P134" s="67">
        <f t="shared" si="104"/>
        <v>18.574802413400921</v>
      </c>
      <c r="Q134" s="67">
        <f t="shared" si="104"/>
        <v>18.669676264117854</v>
      </c>
      <c r="R134" s="67">
        <f t="shared" si="104"/>
        <v>18.512334434806014</v>
      </c>
      <c r="S134" s="67">
        <f t="shared" si="104"/>
        <v>18.717691914007922</v>
      </c>
      <c r="T134" s="67">
        <f t="shared" si="104"/>
        <v>18.853047247812988</v>
      </c>
      <c r="U134" s="67">
        <f t="shared" si="104"/>
        <v>19.208094502904068</v>
      </c>
      <c r="V134" s="67">
        <f t="shared" si="104"/>
        <v>16.908980864206139</v>
      </c>
      <c r="W134" s="67">
        <f t="shared" si="104"/>
        <v>16.756758944057889</v>
      </c>
      <c r="DA134" s="110"/>
    </row>
    <row r="135" spans="1:105" ht="12" customHeight="1" x14ac:dyDescent="0.25">
      <c r="A135" s="78" t="s">
        <v>33</v>
      </c>
      <c r="B135" s="68">
        <f t="shared" ref="B135" si="105">IF(B105=0,0,B105/B$26)</f>
        <v>44.242744407756682</v>
      </c>
      <c r="C135" s="68">
        <f t="shared" ref="C135:W135" si="106">IF(C105=0,0,C105/C$26)</f>
        <v>44.938218196138408</v>
      </c>
      <c r="D135" s="68">
        <f t="shared" si="106"/>
        <v>45.890698396162023</v>
      </c>
      <c r="E135" s="68">
        <f t="shared" si="106"/>
        <v>46.55366307471045</v>
      </c>
      <c r="F135" s="68">
        <f t="shared" si="106"/>
        <v>47.23156684208579</v>
      </c>
      <c r="G135" s="68">
        <f t="shared" si="106"/>
        <v>47.600667824497329</v>
      </c>
      <c r="H135" s="68">
        <f t="shared" si="106"/>
        <v>47.822573315603023</v>
      </c>
      <c r="I135" s="68">
        <f t="shared" si="106"/>
        <v>48.038357594459605</v>
      </c>
      <c r="J135" s="68">
        <f t="shared" si="106"/>
        <v>48.365190232554561</v>
      </c>
      <c r="K135" s="68">
        <f t="shared" si="106"/>
        <v>48.33165177382029</v>
      </c>
      <c r="L135" s="68">
        <f t="shared" si="106"/>
        <v>48.172239319309924</v>
      </c>
      <c r="M135" s="68">
        <f t="shared" si="106"/>
        <v>48.165290640687367</v>
      </c>
      <c r="N135" s="68">
        <f t="shared" si="106"/>
        <v>48.180380689273903</v>
      </c>
      <c r="O135" s="68">
        <f t="shared" si="106"/>
        <v>48.451044168912084</v>
      </c>
      <c r="P135" s="68">
        <f t="shared" si="106"/>
        <v>48.982389217313461</v>
      </c>
      <c r="Q135" s="68">
        <f t="shared" si="106"/>
        <v>49.545705756696982</v>
      </c>
      <c r="R135" s="68">
        <f t="shared" si="106"/>
        <v>49.608528101688712</v>
      </c>
      <c r="S135" s="68">
        <f t="shared" si="106"/>
        <v>48.958581725891989</v>
      </c>
      <c r="T135" s="68">
        <f t="shared" si="106"/>
        <v>47.452700244145674</v>
      </c>
      <c r="U135" s="68">
        <f t="shared" si="106"/>
        <v>45.914015509422313</v>
      </c>
      <c r="V135" s="68">
        <f t="shared" si="106"/>
        <v>40.238984550462902</v>
      </c>
      <c r="W135" s="68">
        <f t="shared" si="106"/>
        <v>41.269401196105186</v>
      </c>
      <c r="DA135" s="111"/>
    </row>
    <row r="136" spans="1:105" s="2" customFormat="1" ht="12" customHeight="1" x14ac:dyDescent="0.25">
      <c r="DA136" s="7"/>
    </row>
    <row r="137" spans="1:105" ht="12.95" customHeight="1" x14ac:dyDescent="0.25">
      <c r="A137" s="84" t="s">
        <v>41</v>
      </c>
      <c r="B137" s="85">
        <f t="shared" ref="B137" si="107">IF(B107=0,0,B107/B$26)</f>
        <v>60.163277800757115</v>
      </c>
      <c r="C137" s="85">
        <f t="shared" ref="C137:W137" si="108">IF(C107=0,0,C107/C$26)</f>
        <v>65.699601343408887</v>
      </c>
      <c r="D137" s="85">
        <f t="shared" si="108"/>
        <v>73.038019560100437</v>
      </c>
      <c r="E137" s="85">
        <f t="shared" si="108"/>
        <v>79.875131059248858</v>
      </c>
      <c r="F137" s="85">
        <f t="shared" si="108"/>
        <v>79.310460400525059</v>
      </c>
      <c r="G137" s="85">
        <f t="shared" si="108"/>
        <v>81.955200479101819</v>
      </c>
      <c r="H137" s="85">
        <f t="shared" si="108"/>
        <v>98.692856801952814</v>
      </c>
      <c r="I137" s="85">
        <f t="shared" si="108"/>
        <v>107.29354428251916</v>
      </c>
      <c r="J137" s="85">
        <f t="shared" si="108"/>
        <v>116.53589440342759</v>
      </c>
      <c r="K137" s="85">
        <f t="shared" si="108"/>
        <v>117.62036360649724</v>
      </c>
      <c r="L137" s="85">
        <f t="shared" si="108"/>
        <v>124.79110945654801</v>
      </c>
      <c r="M137" s="85">
        <f t="shared" si="108"/>
        <v>118.53199860278335</v>
      </c>
      <c r="N137" s="85">
        <f t="shared" si="108"/>
        <v>122.99006502900696</v>
      </c>
      <c r="O137" s="85">
        <f t="shared" si="108"/>
        <v>119.20328364649977</v>
      </c>
      <c r="P137" s="85">
        <f t="shared" si="108"/>
        <v>117.44909238084921</v>
      </c>
      <c r="Q137" s="85">
        <f t="shared" si="108"/>
        <v>125.88515988831224</v>
      </c>
      <c r="R137" s="85">
        <f t="shared" si="108"/>
        <v>138.12045118765369</v>
      </c>
      <c r="S137" s="85">
        <f t="shared" si="108"/>
        <v>140.5076810379023</v>
      </c>
      <c r="T137" s="85">
        <f t="shared" si="108"/>
        <v>159.5521836050078</v>
      </c>
      <c r="U137" s="85">
        <f t="shared" si="108"/>
        <v>155.98488533188629</v>
      </c>
      <c r="V137" s="85">
        <f t="shared" si="108"/>
        <v>144.09693093916391</v>
      </c>
      <c r="W137" s="85">
        <f t="shared" si="108"/>
        <v>146.89788297912082</v>
      </c>
      <c r="DA137" s="117"/>
    </row>
    <row r="138" spans="1:105" ht="12" customHeight="1" x14ac:dyDescent="0.25">
      <c r="A138" s="61" t="s">
        <v>32</v>
      </c>
      <c r="B138" s="65">
        <f t="shared" ref="B138" si="109">IF(B108=0,0,B108/B$26)</f>
        <v>11.259246285411049</v>
      </c>
      <c r="C138" s="65">
        <f t="shared" ref="C138:W138" si="110">IF(C108=0,0,C108/C$26)</f>
        <v>14.888146373028786</v>
      </c>
      <c r="D138" s="65">
        <f t="shared" si="110"/>
        <v>18.093895733963805</v>
      </c>
      <c r="E138" s="65">
        <f t="shared" si="110"/>
        <v>18.57858053374505</v>
      </c>
      <c r="F138" s="65">
        <f t="shared" si="110"/>
        <v>19.981138116756345</v>
      </c>
      <c r="G138" s="65">
        <f t="shared" si="110"/>
        <v>22.140459376228616</v>
      </c>
      <c r="H138" s="65">
        <f t="shared" si="110"/>
        <v>31.193988237448117</v>
      </c>
      <c r="I138" s="65">
        <f t="shared" si="110"/>
        <v>32.285766149186372</v>
      </c>
      <c r="J138" s="65">
        <f t="shared" si="110"/>
        <v>37.741665208162551</v>
      </c>
      <c r="K138" s="65">
        <f t="shared" si="110"/>
        <v>38.897652418250772</v>
      </c>
      <c r="L138" s="65">
        <f t="shared" si="110"/>
        <v>41.437861619916653</v>
      </c>
      <c r="M138" s="65">
        <f t="shared" si="110"/>
        <v>40.758937215342655</v>
      </c>
      <c r="N138" s="65">
        <f t="shared" si="110"/>
        <v>33.315904120745465</v>
      </c>
      <c r="O138" s="65">
        <f t="shared" si="110"/>
        <v>38.471201085687966</v>
      </c>
      <c r="P138" s="65">
        <f t="shared" si="110"/>
        <v>41.644889545766858</v>
      </c>
      <c r="Q138" s="65">
        <f t="shared" si="110"/>
        <v>44.965648405691873</v>
      </c>
      <c r="R138" s="65">
        <f t="shared" si="110"/>
        <v>48.611846351737164</v>
      </c>
      <c r="S138" s="65">
        <f t="shared" si="110"/>
        <v>53.56964262712652</v>
      </c>
      <c r="T138" s="65">
        <f t="shared" si="110"/>
        <v>53.987389874323952</v>
      </c>
      <c r="U138" s="65">
        <f t="shared" si="110"/>
        <v>60.366204412489104</v>
      </c>
      <c r="V138" s="65">
        <f t="shared" si="110"/>
        <v>45.755851328456558</v>
      </c>
      <c r="W138" s="65">
        <f t="shared" si="110"/>
        <v>53.997404461659251</v>
      </c>
      <c r="DA138" s="109"/>
    </row>
    <row r="139" spans="1:105" ht="12" customHeight="1" x14ac:dyDescent="0.25">
      <c r="A139" s="61" t="s">
        <v>31</v>
      </c>
      <c r="B139" s="65">
        <f t="shared" ref="B139" si="111">IF(B109=0,0,B109/B$26)</f>
        <v>23.059949672054152</v>
      </c>
      <c r="C139" s="65">
        <f t="shared" ref="C139:W139" si="112">IF(C109=0,0,C109/C$26)</f>
        <v>25.156406171470007</v>
      </c>
      <c r="D139" s="65">
        <f t="shared" si="112"/>
        <v>29.239617915126868</v>
      </c>
      <c r="E139" s="65">
        <f t="shared" si="112"/>
        <v>35.486271912174949</v>
      </c>
      <c r="F139" s="65">
        <f t="shared" si="112"/>
        <v>33.280977926886287</v>
      </c>
      <c r="G139" s="65">
        <f t="shared" si="112"/>
        <v>33.542299381653841</v>
      </c>
      <c r="H139" s="65">
        <f t="shared" si="112"/>
        <v>41.146091332781637</v>
      </c>
      <c r="I139" s="65">
        <f t="shared" si="112"/>
        <v>48.575500765802921</v>
      </c>
      <c r="J139" s="65">
        <f t="shared" si="112"/>
        <v>52.037820178245248</v>
      </c>
      <c r="K139" s="65">
        <f t="shared" si="112"/>
        <v>52.146663351464767</v>
      </c>
      <c r="L139" s="65">
        <f t="shared" si="112"/>
        <v>57.067200510340101</v>
      </c>
      <c r="M139" s="65">
        <f t="shared" si="112"/>
        <v>51.499130529411595</v>
      </c>
      <c r="N139" s="65">
        <f t="shared" si="112"/>
        <v>63.363674440291831</v>
      </c>
      <c r="O139" s="65">
        <f t="shared" si="112"/>
        <v>54.313426130089219</v>
      </c>
      <c r="P139" s="65">
        <f t="shared" si="112"/>
        <v>49.346133519177563</v>
      </c>
      <c r="Q139" s="65">
        <f t="shared" si="112"/>
        <v>54.427292987097744</v>
      </c>
      <c r="R139" s="65">
        <f t="shared" si="112"/>
        <v>63.037888402000917</v>
      </c>
      <c r="S139" s="65">
        <f t="shared" si="112"/>
        <v>60.768033406783161</v>
      </c>
      <c r="T139" s="65">
        <f t="shared" si="112"/>
        <v>79.297931526468531</v>
      </c>
      <c r="U139" s="65">
        <f t="shared" si="112"/>
        <v>69.588752608505104</v>
      </c>
      <c r="V139" s="65">
        <f t="shared" si="112"/>
        <v>74.304607711430833</v>
      </c>
      <c r="W139" s="65">
        <f t="shared" si="112"/>
        <v>68.355557433567597</v>
      </c>
      <c r="DA139" s="109"/>
    </row>
    <row r="140" spans="1:105" ht="12" customHeight="1" x14ac:dyDescent="0.25">
      <c r="A140" s="61" t="s">
        <v>35</v>
      </c>
      <c r="B140" s="65">
        <f t="shared" ref="B140" si="113">IF(B110=0,0,B110/B$26)</f>
        <v>13.070734177351291</v>
      </c>
      <c r="C140" s="65">
        <f t="shared" ref="C140:W140" si="114">IF(C110=0,0,C110/C$26)</f>
        <v>12.948577918532717</v>
      </c>
      <c r="D140" s="65">
        <f t="shared" si="114"/>
        <v>12.933141429327858</v>
      </c>
      <c r="E140" s="65">
        <f t="shared" si="114"/>
        <v>12.92045652388596</v>
      </c>
      <c r="F140" s="65">
        <f t="shared" si="114"/>
        <v>12.906958171580095</v>
      </c>
      <c r="G140" s="65">
        <f t="shared" si="114"/>
        <v>12.957428690996668</v>
      </c>
      <c r="H140" s="65">
        <f t="shared" si="114"/>
        <v>12.957194285363478</v>
      </c>
      <c r="I140" s="65">
        <f t="shared" si="114"/>
        <v>12.96379668238343</v>
      </c>
      <c r="J140" s="65">
        <f t="shared" si="114"/>
        <v>13.127462949978714</v>
      </c>
      <c r="K140" s="65">
        <f t="shared" si="114"/>
        <v>13.022206961290866</v>
      </c>
      <c r="L140" s="65">
        <f t="shared" si="114"/>
        <v>12.929500218898022</v>
      </c>
      <c r="M140" s="65">
        <f t="shared" si="114"/>
        <v>12.93192597834854</v>
      </c>
      <c r="N140" s="65">
        <f t="shared" si="114"/>
        <v>12.901804973284111</v>
      </c>
      <c r="O140" s="65">
        <f t="shared" si="114"/>
        <v>13.023519569474409</v>
      </c>
      <c r="P140" s="65">
        <f t="shared" si="114"/>
        <v>12.935424817706677</v>
      </c>
      <c r="Q140" s="65">
        <f t="shared" si="114"/>
        <v>13.002310895363411</v>
      </c>
      <c r="R140" s="65">
        <f t="shared" si="114"/>
        <v>13.045386320026207</v>
      </c>
      <c r="S140" s="65">
        <f t="shared" si="114"/>
        <v>12.837501779595282</v>
      </c>
      <c r="T140" s="65">
        <f t="shared" si="114"/>
        <v>12.814021893019529</v>
      </c>
      <c r="U140" s="65">
        <f t="shared" si="114"/>
        <v>12.624271284952032</v>
      </c>
      <c r="V140" s="65">
        <f t="shared" si="114"/>
        <v>11.970497663044641</v>
      </c>
      <c r="W140" s="65">
        <f t="shared" si="114"/>
        <v>12.021079397998228</v>
      </c>
      <c r="DA140" s="109"/>
    </row>
    <row r="141" spans="1:105" ht="12" customHeight="1" x14ac:dyDescent="0.25">
      <c r="A141" s="74" t="s">
        <v>34</v>
      </c>
      <c r="B141" s="68">
        <f t="shared" ref="B141" si="115">IF(B111=0,0,B111/B$26)</f>
        <v>12.773347665940619</v>
      </c>
      <c r="C141" s="68">
        <f t="shared" ref="C141:W141" si="116">IF(C111=0,0,C111/C$26)</f>
        <v>12.706470880377374</v>
      </c>
      <c r="D141" s="68">
        <f t="shared" si="116"/>
        <v>12.771364481681907</v>
      </c>
      <c r="E141" s="68">
        <f t="shared" si="116"/>
        <v>12.889822089442898</v>
      </c>
      <c r="F141" s="68">
        <f t="shared" si="116"/>
        <v>13.141386185302331</v>
      </c>
      <c r="G141" s="68">
        <f t="shared" si="116"/>
        <v>13.315013030222691</v>
      </c>
      <c r="H141" s="68">
        <f t="shared" si="116"/>
        <v>13.39558294635958</v>
      </c>
      <c r="I141" s="68">
        <f t="shared" si="116"/>
        <v>13.46848068514643</v>
      </c>
      <c r="J141" s="68">
        <f t="shared" si="116"/>
        <v>13.628946067041074</v>
      </c>
      <c r="K141" s="68">
        <f t="shared" si="116"/>
        <v>13.553840875490817</v>
      </c>
      <c r="L141" s="68">
        <f t="shared" si="116"/>
        <v>13.356547107393249</v>
      </c>
      <c r="M141" s="68">
        <f t="shared" si="116"/>
        <v>13.342004879680553</v>
      </c>
      <c r="N141" s="68">
        <f t="shared" si="116"/>
        <v>13.408681494685551</v>
      </c>
      <c r="O141" s="68">
        <f t="shared" si="116"/>
        <v>13.395136861248165</v>
      </c>
      <c r="P141" s="68">
        <f t="shared" si="116"/>
        <v>13.522644498198122</v>
      </c>
      <c r="Q141" s="68">
        <f t="shared" si="116"/>
        <v>13.489907600159205</v>
      </c>
      <c r="R141" s="68">
        <f t="shared" si="116"/>
        <v>13.425330113889407</v>
      </c>
      <c r="S141" s="68">
        <f t="shared" si="116"/>
        <v>13.332503224397341</v>
      </c>
      <c r="T141" s="68">
        <f t="shared" si="116"/>
        <v>13.452840311195779</v>
      </c>
      <c r="U141" s="68">
        <f t="shared" si="116"/>
        <v>13.405657025940052</v>
      </c>
      <c r="V141" s="68">
        <f t="shared" si="116"/>
        <v>12.065974236231888</v>
      </c>
      <c r="W141" s="68">
        <f t="shared" si="116"/>
        <v>12.523841685895768</v>
      </c>
      <c r="DA141" s="111"/>
    </row>
    <row r="142" spans="1:105" s="2" customFormat="1" ht="12" customHeight="1" x14ac:dyDescent="0.25">
      <c r="DA142" s="7"/>
    </row>
    <row r="143" spans="1:105" ht="12.95" customHeight="1" x14ac:dyDescent="0.25">
      <c r="A143" s="81" t="s">
        <v>40</v>
      </c>
      <c r="B143" s="82">
        <f t="shared" ref="B143" si="117">IF(B113=0,0,B113/B$26)</f>
        <v>5.5235649555290962</v>
      </c>
      <c r="C143" s="82">
        <f t="shared" ref="C143:W143" si="118">IF(C113=0,0,C113/C$26)</f>
        <v>5.471597266995964</v>
      </c>
      <c r="D143" s="82">
        <f t="shared" si="118"/>
        <v>5.1710404683912747</v>
      </c>
      <c r="E143" s="82">
        <f t="shared" si="118"/>
        <v>5.2231744185972993</v>
      </c>
      <c r="F143" s="82">
        <f t="shared" si="118"/>
        <v>4.5988756331440692</v>
      </c>
      <c r="G143" s="82">
        <f t="shared" si="118"/>
        <v>4.3233250323071619</v>
      </c>
      <c r="H143" s="82">
        <f t="shared" si="118"/>
        <v>7.195341579151882</v>
      </c>
      <c r="I143" s="82">
        <f t="shared" si="118"/>
        <v>7.2045783494916984</v>
      </c>
      <c r="J143" s="82">
        <f t="shared" si="118"/>
        <v>8.8618051212667073</v>
      </c>
      <c r="K143" s="82">
        <f t="shared" si="118"/>
        <v>6.9844828798052543</v>
      </c>
      <c r="L143" s="82">
        <f t="shared" si="118"/>
        <v>7.4458114491587031</v>
      </c>
      <c r="M143" s="82">
        <f t="shared" si="118"/>
        <v>7.2630380532067322</v>
      </c>
      <c r="N143" s="82">
        <f t="shared" si="118"/>
        <v>6.430172532362433</v>
      </c>
      <c r="O143" s="82">
        <f t="shared" si="118"/>
        <v>6.5862928280292303</v>
      </c>
      <c r="P143" s="82">
        <f t="shared" si="118"/>
        <v>6.1869216104041378</v>
      </c>
      <c r="Q143" s="82">
        <f t="shared" si="118"/>
        <v>5.7301974801354589</v>
      </c>
      <c r="R143" s="82">
        <f t="shared" si="118"/>
        <v>5.5106286311919312</v>
      </c>
      <c r="S143" s="82">
        <f t="shared" si="118"/>
        <v>6.2529944098615884</v>
      </c>
      <c r="T143" s="82">
        <f t="shared" si="118"/>
        <v>6.1236903196546333</v>
      </c>
      <c r="U143" s="82">
        <f t="shared" si="118"/>
        <v>7.3500703937138852</v>
      </c>
      <c r="V143" s="82">
        <f t="shared" si="118"/>
        <v>5.7016720015365259</v>
      </c>
      <c r="W143" s="82">
        <f t="shared" si="118"/>
        <v>5.9061209904688914</v>
      </c>
      <c r="DA143" s="107"/>
    </row>
    <row r="144" spans="1:105" ht="12" customHeight="1" x14ac:dyDescent="0.25">
      <c r="A144" s="77" t="s">
        <v>36</v>
      </c>
      <c r="B144" s="64">
        <f t="shared" ref="B144" si="119">IF(B114=0,0,B114/B$26)</f>
        <v>5.5235649555290962</v>
      </c>
      <c r="C144" s="64">
        <f t="shared" ref="C144:W144" si="120">IF(C114=0,0,C114/C$26)</f>
        <v>5.471597266995964</v>
      </c>
      <c r="D144" s="64">
        <f t="shared" si="120"/>
        <v>5.1710404683912747</v>
      </c>
      <c r="E144" s="64">
        <f t="shared" si="120"/>
        <v>5.2231744185972993</v>
      </c>
      <c r="F144" s="64">
        <f t="shared" si="120"/>
        <v>4.5988756331440692</v>
      </c>
      <c r="G144" s="64">
        <f t="shared" si="120"/>
        <v>4.3233250323071619</v>
      </c>
      <c r="H144" s="64">
        <f t="shared" si="120"/>
        <v>7.195341579151882</v>
      </c>
      <c r="I144" s="64">
        <f t="shared" si="120"/>
        <v>7.2045783494916984</v>
      </c>
      <c r="J144" s="64">
        <f t="shared" si="120"/>
        <v>8.8618051212667073</v>
      </c>
      <c r="K144" s="64">
        <f t="shared" si="120"/>
        <v>6.9844828798052543</v>
      </c>
      <c r="L144" s="64">
        <f t="shared" si="120"/>
        <v>7.4458114491587031</v>
      </c>
      <c r="M144" s="64">
        <f t="shared" si="120"/>
        <v>7.2630380532067322</v>
      </c>
      <c r="N144" s="64">
        <f t="shared" si="120"/>
        <v>6.430172532362433</v>
      </c>
      <c r="O144" s="64">
        <f t="shared" si="120"/>
        <v>6.5862928280292303</v>
      </c>
      <c r="P144" s="64">
        <f t="shared" si="120"/>
        <v>6.1869216104041378</v>
      </c>
      <c r="Q144" s="64">
        <f t="shared" si="120"/>
        <v>5.7301974801354589</v>
      </c>
      <c r="R144" s="64">
        <f t="shared" si="120"/>
        <v>5.5106286311919312</v>
      </c>
      <c r="S144" s="64">
        <f t="shared" si="120"/>
        <v>6.2529944098615884</v>
      </c>
      <c r="T144" s="64">
        <f t="shared" si="120"/>
        <v>6.1236903196546333</v>
      </c>
      <c r="U144" s="64">
        <f t="shared" si="120"/>
        <v>7.3500703937138852</v>
      </c>
      <c r="V144" s="64">
        <f t="shared" si="120"/>
        <v>5.7016720015365259</v>
      </c>
      <c r="W144" s="64">
        <f t="shared" si="120"/>
        <v>5.9061209904688914</v>
      </c>
      <c r="DA144" s="108"/>
    </row>
    <row r="145" spans="1:105" ht="12" customHeight="1" x14ac:dyDescent="0.25">
      <c r="A145" s="61" t="s">
        <v>32</v>
      </c>
      <c r="B145" s="65">
        <f t="shared" ref="B145" si="121">IF(B115=0,0,B115/B$26)</f>
        <v>5.2691679846805712</v>
      </c>
      <c r="C145" s="65">
        <f t="shared" ref="C145:W145" si="122">IF(C115=0,0,C115/C$26)</f>
        <v>5.2206629103290298</v>
      </c>
      <c r="D145" s="65">
        <f t="shared" si="122"/>
        <v>4.9231672200783727</v>
      </c>
      <c r="E145" s="65">
        <f t="shared" si="122"/>
        <v>4.9813113949719865</v>
      </c>
      <c r="F145" s="65">
        <f t="shared" si="122"/>
        <v>4.3612175475020898</v>
      </c>
      <c r="G145" s="65">
        <f t="shared" si="122"/>
        <v>4.0900853349471333</v>
      </c>
      <c r="H145" s="65">
        <f t="shared" si="122"/>
        <v>4.610801299104204</v>
      </c>
      <c r="I145" s="65">
        <f t="shared" si="122"/>
        <v>4.6883492514341167</v>
      </c>
      <c r="J145" s="65">
        <f t="shared" si="122"/>
        <v>6.2370531700569369</v>
      </c>
      <c r="K145" s="65">
        <f t="shared" si="122"/>
        <v>4.6102790040531447</v>
      </c>
      <c r="L145" s="65">
        <f t="shared" si="122"/>
        <v>5.1512968930895831</v>
      </c>
      <c r="M145" s="65">
        <f t="shared" si="122"/>
        <v>4.8620534077977497</v>
      </c>
      <c r="N145" s="65">
        <f t="shared" si="122"/>
        <v>4.0824427156863603</v>
      </c>
      <c r="O145" s="65">
        <f t="shared" si="122"/>
        <v>4.398492818044291</v>
      </c>
      <c r="P145" s="65">
        <f t="shared" si="122"/>
        <v>4.288400204532941</v>
      </c>
      <c r="Q145" s="65">
        <f t="shared" si="122"/>
        <v>3.6622744845724475</v>
      </c>
      <c r="R145" s="65">
        <f t="shared" si="122"/>
        <v>3.4583904935426109</v>
      </c>
      <c r="S145" s="65">
        <f t="shared" si="122"/>
        <v>3.8582639545253112</v>
      </c>
      <c r="T145" s="65">
        <f t="shared" si="122"/>
        <v>3.7260961979703549</v>
      </c>
      <c r="U145" s="65">
        <f t="shared" si="122"/>
        <v>4.666438967144706</v>
      </c>
      <c r="V145" s="65">
        <f t="shared" si="122"/>
        <v>3.7138393439721891</v>
      </c>
      <c r="W145" s="65">
        <f t="shared" si="122"/>
        <v>4.1519750536816007</v>
      </c>
      <c r="DA145" s="109"/>
    </row>
    <row r="146" spans="1:105" ht="12" customHeight="1" x14ac:dyDescent="0.25">
      <c r="A146" s="61" t="s">
        <v>31</v>
      </c>
      <c r="B146" s="65">
        <f t="shared" ref="B146" si="123">IF(B116=0,0,B116/B$26)</f>
        <v>0</v>
      </c>
      <c r="C146" s="65">
        <f t="shared" ref="C146:W146" si="124">IF(C116=0,0,C116/C$26)</f>
        <v>0</v>
      </c>
      <c r="D146" s="65">
        <f t="shared" si="124"/>
        <v>0</v>
      </c>
      <c r="E146" s="65">
        <f t="shared" si="124"/>
        <v>0</v>
      </c>
      <c r="F146" s="65">
        <f t="shared" si="124"/>
        <v>0</v>
      </c>
      <c r="G146" s="65">
        <f t="shared" si="124"/>
        <v>0</v>
      </c>
      <c r="H146" s="65">
        <f t="shared" si="124"/>
        <v>0</v>
      </c>
      <c r="I146" s="65">
        <f t="shared" si="124"/>
        <v>0</v>
      </c>
      <c r="J146" s="65">
        <f t="shared" si="124"/>
        <v>0</v>
      </c>
      <c r="K146" s="65">
        <f t="shared" si="124"/>
        <v>0</v>
      </c>
      <c r="L146" s="65">
        <f t="shared" si="124"/>
        <v>0</v>
      </c>
      <c r="M146" s="65">
        <f t="shared" si="124"/>
        <v>0</v>
      </c>
      <c r="N146" s="65">
        <f t="shared" si="124"/>
        <v>0</v>
      </c>
      <c r="O146" s="65">
        <f t="shared" si="124"/>
        <v>0</v>
      </c>
      <c r="P146" s="65">
        <f t="shared" si="124"/>
        <v>0</v>
      </c>
      <c r="Q146" s="65">
        <f t="shared" si="124"/>
        <v>0</v>
      </c>
      <c r="R146" s="65">
        <f t="shared" si="124"/>
        <v>0</v>
      </c>
      <c r="S146" s="65">
        <f t="shared" si="124"/>
        <v>0</v>
      </c>
      <c r="T146" s="65">
        <f t="shared" si="124"/>
        <v>0</v>
      </c>
      <c r="U146" s="65">
        <f t="shared" si="124"/>
        <v>0</v>
      </c>
      <c r="V146" s="65">
        <f t="shared" si="124"/>
        <v>0</v>
      </c>
      <c r="W146" s="65">
        <f t="shared" si="124"/>
        <v>0</v>
      </c>
      <c r="DA146" s="109"/>
    </row>
    <row r="147" spans="1:105" ht="12" customHeight="1" x14ac:dyDescent="0.25">
      <c r="A147" s="61" t="s">
        <v>35</v>
      </c>
      <c r="B147" s="65">
        <f t="shared" ref="B147" si="125">IF(B117=0,0,B117/B$26)</f>
        <v>0.25439697084852519</v>
      </c>
      <c r="C147" s="65">
        <f t="shared" ref="C147:W147" si="126">IF(C117=0,0,C117/C$26)</f>
        <v>0.25093435666693387</v>
      </c>
      <c r="D147" s="65">
        <f t="shared" si="126"/>
        <v>0.24787324831290297</v>
      </c>
      <c r="E147" s="65">
        <f t="shared" si="126"/>
        <v>0.2418630236253147</v>
      </c>
      <c r="F147" s="65">
        <f t="shared" si="126"/>
        <v>0.23765808564197974</v>
      </c>
      <c r="G147" s="65">
        <f t="shared" si="126"/>
        <v>0.23323969736002878</v>
      </c>
      <c r="H147" s="65">
        <f t="shared" si="126"/>
        <v>1.6549053157493412</v>
      </c>
      <c r="I147" s="65">
        <f t="shared" si="126"/>
        <v>1.6245761045620501</v>
      </c>
      <c r="J147" s="65">
        <f t="shared" si="126"/>
        <v>1.6017799582208174</v>
      </c>
      <c r="K147" s="65">
        <f t="shared" si="126"/>
        <v>1.560859886162334</v>
      </c>
      <c r="L147" s="65">
        <f t="shared" si="126"/>
        <v>1.5506403546726828</v>
      </c>
      <c r="M147" s="65">
        <f t="shared" si="126"/>
        <v>1.4539092541561924</v>
      </c>
      <c r="N147" s="65">
        <f t="shared" si="126"/>
        <v>1.3537918522864834</v>
      </c>
      <c r="O147" s="65">
        <f t="shared" si="126"/>
        <v>1.272255909684427</v>
      </c>
      <c r="P147" s="65">
        <f t="shared" si="126"/>
        <v>1.1193182909215404</v>
      </c>
      <c r="Q147" s="65">
        <f t="shared" si="126"/>
        <v>1.0978744616071776</v>
      </c>
      <c r="R147" s="65">
        <f t="shared" si="126"/>
        <v>1.1029053409526275</v>
      </c>
      <c r="S147" s="65">
        <f t="shared" si="126"/>
        <v>1.0893712482720586</v>
      </c>
      <c r="T147" s="65">
        <f t="shared" si="126"/>
        <v>1.0354262385294002</v>
      </c>
      <c r="U147" s="65">
        <f t="shared" si="126"/>
        <v>1.0003936242299571</v>
      </c>
      <c r="V147" s="65">
        <f t="shared" si="126"/>
        <v>0.79277099357235059</v>
      </c>
      <c r="W147" s="65">
        <f t="shared" si="126"/>
        <v>0.7387055899074807</v>
      </c>
      <c r="DA147" s="109"/>
    </row>
    <row r="148" spans="1:105" ht="12" customHeight="1" x14ac:dyDescent="0.25">
      <c r="A148" s="66" t="s">
        <v>34</v>
      </c>
      <c r="B148" s="67">
        <f t="shared" ref="B148" si="127">IF(B118=0,0,B118/B$26)</f>
        <v>0</v>
      </c>
      <c r="C148" s="67">
        <f t="shared" ref="C148:W148" si="128">IF(C118=0,0,C118/C$26)</f>
        <v>0</v>
      </c>
      <c r="D148" s="67">
        <f t="shared" si="128"/>
        <v>0</v>
      </c>
      <c r="E148" s="67">
        <f t="shared" si="128"/>
        <v>0</v>
      </c>
      <c r="F148" s="67">
        <f t="shared" si="128"/>
        <v>0</v>
      </c>
      <c r="G148" s="67">
        <f t="shared" si="128"/>
        <v>0</v>
      </c>
      <c r="H148" s="67">
        <f t="shared" si="128"/>
        <v>0.92963496429833614</v>
      </c>
      <c r="I148" s="67">
        <f t="shared" si="128"/>
        <v>0.89165299349553151</v>
      </c>
      <c r="J148" s="67">
        <f t="shared" si="128"/>
        <v>1.0229719929889529</v>
      </c>
      <c r="K148" s="67">
        <f t="shared" si="128"/>
        <v>0.81334398958977572</v>
      </c>
      <c r="L148" s="67">
        <f t="shared" si="128"/>
        <v>0.74387420139643823</v>
      </c>
      <c r="M148" s="67">
        <f t="shared" si="128"/>
        <v>0.94707539125278928</v>
      </c>
      <c r="N148" s="67">
        <f t="shared" si="128"/>
        <v>0.99393796438959026</v>
      </c>
      <c r="O148" s="67">
        <f t="shared" si="128"/>
        <v>0.91554410030051248</v>
      </c>
      <c r="P148" s="67">
        <f t="shared" si="128"/>
        <v>0.77920311494965633</v>
      </c>
      <c r="Q148" s="67">
        <f t="shared" si="128"/>
        <v>0.97004853395583346</v>
      </c>
      <c r="R148" s="67">
        <f t="shared" si="128"/>
        <v>0.94933279669669279</v>
      </c>
      <c r="S148" s="67">
        <f t="shared" si="128"/>
        <v>1.3053592070642186</v>
      </c>
      <c r="T148" s="67">
        <f t="shared" si="128"/>
        <v>1.3621678831548778</v>
      </c>
      <c r="U148" s="67">
        <f t="shared" si="128"/>
        <v>1.6832378023392229</v>
      </c>
      <c r="V148" s="67">
        <f t="shared" si="128"/>
        <v>1.1950616639919864</v>
      </c>
      <c r="W148" s="67">
        <f t="shared" si="128"/>
        <v>1.0154403468798099</v>
      </c>
      <c r="DA148" s="110"/>
    </row>
    <row r="149" spans="1:105" ht="12" customHeight="1" x14ac:dyDescent="0.25">
      <c r="A149" s="78" t="s">
        <v>33</v>
      </c>
      <c r="B149" s="68">
        <f t="shared" ref="B149" si="129">IF(B119=0,0,B119/B$26)</f>
        <v>0</v>
      </c>
      <c r="C149" s="68">
        <f t="shared" ref="C149:W149" si="130">IF(C119=0,0,C119/C$26)</f>
        <v>0</v>
      </c>
      <c r="D149" s="68">
        <f t="shared" si="130"/>
        <v>0</v>
      </c>
      <c r="E149" s="68">
        <f t="shared" si="130"/>
        <v>0</v>
      </c>
      <c r="F149" s="68">
        <f t="shared" si="130"/>
        <v>0</v>
      </c>
      <c r="G149" s="68">
        <f t="shared" si="130"/>
        <v>0</v>
      </c>
      <c r="H149" s="68">
        <f t="shared" si="130"/>
        <v>0</v>
      </c>
      <c r="I149" s="68">
        <f t="shared" si="130"/>
        <v>0</v>
      </c>
      <c r="J149" s="68">
        <f t="shared" si="130"/>
        <v>0</v>
      </c>
      <c r="K149" s="68">
        <f t="shared" si="130"/>
        <v>0</v>
      </c>
      <c r="L149" s="68">
        <f t="shared" si="130"/>
        <v>0</v>
      </c>
      <c r="M149" s="68">
        <f t="shared" si="130"/>
        <v>0</v>
      </c>
      <c r="N149" s="68">
        <f t="shared" si="130"/>
        <v>0</v>
      </c>
      <c r="O149" s="68">
        <f t="shared" si="130"/>
        <v>0</v>
      </c>
      <c r="P149" s="68">
        <f t="shared" si="130"/>
        <v>0</v>
      </c>
      <c r="Q149" s="68">
        <f t="shared" si="130"/>
        <v>0</v>
      </c>
      <c r="R149" s="68">
        <f t="shared" si="130"/>
        <v>0</v>
      </c>
      <c r="S149" s="68">
        <f t="shared" si="130"/>
        <v>0</v>
      </c>
      <c r="T149" s="68">
        <f t="shared" si="130"/>
        <v>0</v>
      </c>
      <c r="U149" s="68">
        <f t="shared" si="130"/>
        <v>0</v>
      </c>
      <c r="V149" s="68">
        <f t="shared" si="130"/>
        <v>0</v>
      </c>
      <c r="W149" s="68">
        <f t="shared" si="130"/>
        <v>0</v>
      </c>
      <c r="DA149" s="111"/>
    </row>
    <row r="151" spans="1:105" s="2" customFormat="1" ht="6.6" customHeight="1" x14ac:dyDescent="0.25">
      <c r="A151" s="30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DA151" s="32"/>
    </row>
    <row r="152" spans="1:105" s="2" customFormat="1" ht="12" customHeight="1" x14ac:dyDescent="0.25">
      <c r="DA152" s="7"/>
    </row>
    <row r="153" spans="1:105" ht="12.95" customHeight="1" x14ac:dyDescent="0.25">
      <c r="A153" s="81" t="s">
        <v>39</v>
      </c>
      <c r="B153" s="82">
        <f t="shared" ref="B153" si="131">IF(B99=0,0,B99/B$23)</f>
        <v>7708.8237751191555</v>
      </c>
      <c r="C153" s="82">
        <f t="shared" ref="C153:W153" si="132">IF(C99=0,0,C99/C$23)</f>
        <v>7981.6223909821938</v>
      </c>
      <c r="D153" s="82">
        <f t="shared" si="132"/>
        <v>8365.2241742358328</v>
      </c>
      <c r="E153" s="82">
        <f t="shared" si="132"/>
        <v>8371.7839055776694</v>
      </c>
      <c r="F153" s="82">
        <f t="shared" si="132"/>
        <v>8202.7106204764077</v>
      </c>
      <c r="G153" s="82">
        <f t="shared" si="132"/>
        <v>8203.0220305039584</v>
      </c>
      <c r="H153" s="82">
        <f t="shared" si="132"/>
        <v>9155.2523337744551</v>
      </c>
      <c r="I153" s="82">
        <f t="shared" si="132"/>
        <v>9193.1545354508107</v>
      </c>
      <c r="J153" s="82">
        <f t="shared" si="132"/>
        <v>9790.1381759353462</v>
      </c>
      <c r="K153" s="82">
        <f t="shared" si="132"/>
        <v>9840.7011257936283</v>
      </c>
      <c r="L153" s="82">
        <f t="shared" si="132"/>
        <v>10176.57154606696</v>
      </c>
      <c r="M153" s="82">
        <f t="shared" si="132"/>
        <v>9781.3085980779178</v>
      </c>
      <c r="N153" s="82">
        <f t="shared" si="132"/>
        <v>9120.8215431590797</v>
      </c>
      <c r="O153" s="82">
        <f t="shared" si="132"/>
        <v>8673.837290659354</v>
      </c>
      <c r="P153" s="82">
        <f t="shared" si="132"/>
        <v>8776.868472782131</v>
      </c>
      <c r="Q153" s="82">
        <f t="shared" si="132"/>
        <v>8730.9652225897808</v>
      </c>
      <c r="R153" s="82">
        <f t="shared" si="132"/>
        <v>8875.647358241411</v>
      </c>
      <c r="S153" s="82">
        <f t="shared" si="132"/>
        <v>8829.975733199457</v>
      </c>
      <c r="T153" s="82">
        <f t="shared" si="132"/>
        <v>8590.9670486324612</v>
      </c>
      <c r="U153" s="82">
        <f t="shared" si="132"/>
        <v>8605.7449388065434</v>
      </c>
      <c r="V153" s="82">
        <f t="shared" si="132"/>
        <v>7279.6361570634945</v>
      </c>
      <c r="W153" s="82">
        <f t="shared" si="132"/>
        <v>7707.2721629535881</v>
      </c>
      <c r="DA153" s="107"/>
    </row>
    <row r="154" spans="1:105" ht="12" customHeight="1" x14ac:dyDescent="0.25">
      <c r="A154" s="77" t="s">
        <v>36</v>
      </c>
      <c r="B154" s="64">
        <f t="shared" ref="B154" si="133">IF(B100=0,0,B100/B$23)</f>
        <v>4909.4928086011714</v>
      </c>
      <c r="C154" s="64">
        <f t="shared" ref="C154:W154" si="134">IF(C100=0,0,C100/C$23)</f>
        <v>5175.6435054789208</v>
      </c>
      <c r="D154" s="64">
        <f t="shared" si="134"/>
        <v>5507.50601194099</v>
      </c>
      <c r="E154" s="64">
        <f t="shared" si="134"/>
        <v>5532.753786009891</v>
      </c>
      <c r="F154" s="64">
        <f t="shared" si="134"/>
        <v>5368.3924396501416</v>
      </c>
      <c r="G154" s="64">
        <f t="shared" si="134"/>
        <v>5388.4598258653714</v>
      </c>
      <c r="H154" s="64">
        <f t="shared" si="134"/>
        <v>6342.1304794474408</v>
      </c>
      <c r="I154" s="64">
        <f t="shared" si="134"/>
        <v>6405.3502773171094</v>
      </c>
      <c r="J154" s="64">
        <f t="shared" si="134"/>
        <v>7000.0341886301912</v>
      </c>
      <c r="K154" s="64">
        <f t="shared" si="134"/>
        <v>6980.8352128191764</v>
      </c>
      <c r="L154" s="64">
        <f t="shared" si="134"/>
        <v>7281.7829780448628</v>
      </c>
      <c r="M154" s="64">
        <f t="shared" si="134"/>
        <v>6868.6361143290451</v>
      </c>
      <c r="N154" s="64">
        <f t="shared" si="134"/>
        <v>6090.8426068358058</v>
      </c>
      <c r="O154" s="64">
        <f t="shared" si="134"/>
        <v>5514.5129245426078</v>
      </c>
      <c r="P154" s="64">
        <f t="shared" si="134"/>
        <v>5594.0058781550824</v>
      </c>
      <c r="Q154" s="64">
        <f t="shared" si="134"/>
        <v>5589.2895994449791</v>
      </c>
      <c r="R154" s="64">
        <f t="shared" si="134"/>
        <v>5842.4073519971262</v>
      </c>
      <c r="S154" s="64">
        <f t="shared" si="134"/>
        <v>5938.8313554377191</v>
      </c>
      <c r="T154" s="64">
        <f t="shared" si="134"/>
        <v>5882.4669804309196</v>
      </c>
      <c r="U154" s="64">
        <f t="shared" si="134"/>
        <v>6035.3644958474633</v>
      </c>
      <c r="V154" s="64">
        <f t="shared" si="134"/>
        <v>4959.2281176521155</v>
      </c>
      <c r="W154" s="64">
        <f t="shared" si="134"/>
        <v>5377.6416375378922</v>
      </c>
      <c r="DA154" s="108"/>
    </row>
    <row r="155" spans="1:105" ht="12" customHeight="1" x14ac:dyDescent="0.25">
      <c r="A155" s="61" t="s">
        <v>32</v>
      </c>
      <c r="B155" s="65">
        <f t="shared" ref="B155" si="135">IF(B101=0,0,B101/B$23)</f>
        <v>1625.3921172022074</v>
      </c>
      <c r="C155" s="65">
        <f t="shared" ref="C155:W155" si="136">IF(C101=0,0,C101/C$23)</f>
        <v>1954.8934042283122</v>
      </c>
      <c r="D155" s="65">
        <f t="shared" si="136"/>
        <v>2225.2915697985436</v>
      </c>
      <c r="E155" s="65">
        <f t="shared" si="136"/>
        <v>2189.726650533235</v>
      </c>
      <c r="F155" s="65">
        <f t="shared" si="136"/>
        <v>2190.8847715160364</v>
      </c>
      <c r="G155" s="65">
        <f t="shared" si="136"/>
        <v>2278.2062744244981</v>
      </c>
      <c r="H155" s="65">
        <f t="shared" si="136"/>
        <v>3136.2796748032138</v>
      </c>
      <c r="I155" s="65">
        <f t="shared" si="136"/>
        <v>3150.3537933567122</v>
      </c>
      <c r="J155" s="65">
        <f t="shared" si="136"/>
        <v>3723.3265805598085</v>
      </c>
      <c r="K155" s="65">
        <f t="shared" si="136"/>
        <v>3677.5502361270796</v>
      </c>
      <c r="L155" s="65">
        <f t="shared" si="136"/>
        <v>3900.1271981491332</v>
      </c>
      <c r="M155" s="65">
        <f t="shared" si="136"/>
        <v>3617.3936832873333</v>
      </c>
      <c r="N155" s="65">
        <f t="shared" si="136"/>
        <v>2508.6888075055895</v>
      </c>
      <c r="O155" s="65">
        <f t="shared" si="136"/>
        <v>2036.3307973286062</v>
      </c>
      <c r="P155" s="65">
        <f t="shared" si="136"/>
        <v>2275.8358090035445</v>
      </c>
      <c r="Q155" s="65">
        <f t="shared" si="136"/>
        <v>2281.3549109932965</v>
      </c>
      <c r="R155" s="65">
        <f t="shared" si="136"/>
        <v>2546.7923722059518</v>
      </c>
      <c r="S155" s="65">
        <f t="shared" si="136"/>
        <v>2843.4999312242935</v>
      </c>
      <c r="T155" s="65">
        <f t="shared" si="136"/>
        <v>2649.6482462476247</v>
      </c>
      <c r="U155" s="65">
        <f t="shared" si="136"/>
        <v>3053.456800841715</v>
      </c>
      <c r="V155" s="65">
        <f t="shared" si="136"/>
        <v>2044.3335443766455</v>
      </c>
      <c r="W155" s="65">
        <f t="shared" si="136"/>
        <v>2654.6087231293363</v>
      </c>
      <c r="DA155" s="109"/>
    </row>
    <row r="156" spans="1:105" ht="12" customHeight="1" x14ac:dyDescent="0.25">
      <c r="A156" s="61" t="s">
        <v>31</v>
      </c>
      <c r="B156" s="65">
        <f t="shared" ref="B156" si="137">IF(B102=0,0,B102/B$23)</f>
        <v>851.47658292393885</v>
      </c>
      <c r="C156" s="65">
        <f t="shared" ref="C156:W156" si="138">IF(C102=0,0,C102/C$23)</f>
        <v>836.04069464119709</v>
      </c>
      <c r="D156" s="65">
        <f t="shared" si="138"/>
        <v>898.83374232841345</v>
      </c>
      <c r="E156" s="65">
        <f t="shared" si="138"/>
        <v>1009.51804467344</v>
      </c>
      <c r="F156" s="65">
        <f t="shared" si="138"/>
        <v>880.71617613887065</v>
      </c>
      <c r="G156" s="65">
        <f t="shared" si="138"/>
        <v>832.09091854612825</v>
      </c>
      <c r="H156" s="65">
        <f t="shared" si="138"/>
        <v>971.00753250941364</v>
      </c>
      <c r="I156" s="65">
        <f t="shared" si="138"/>
        <v>1080.2356014364943</v>
      </c>
      <c r="J156" s="65">
        <f t="shared" si="138"/>
        <v>1095.3233924662813</v>
      </c>
      <c r="K156" s="65">
        <f t="shared" si="138"/>
        <v>1102.7281029015965</v>
      </c>
      <c r="L156" s="65">
        <f t="shared" si="138"/>
        <v>1191.2772826150381</v>
      </c>
      <c r="M156" s="65">
        <f t="shared" si="138"/>
        <v>1042.2921990479983</v>
      </c>
      <c r="N156" s="65">
        <f t="shared" si="138"/>
        <v>1290.8252193260548</v>
      </c>
      <c r="O156" s="65">
        <f t="shared" si="138"/>
        <v>1112.0714552540996</v>
      </c>
      <c r="P156" s="65">
        <f t="shared" si="138"/>
        <v>975.42963428440044</v>
      </c>
      <c r="Q156" s="65">
        <f t="shared" si="138"/>
        <v>1015.8007197516359</v>
      </c>
      <c r="R156" s="65">
        <f t="shared" si="138"/>
        <v>1096.2998348285694</v>
      </c>
      <c r="S156" s="65">
        <f t="shared" si="138"/>
        <v>985.88520070010918</v>
      </c>
      <c r="T156" s="65">
        <f t="shared" si="138"/>
        <v>1200.3923930428095</v>
      </c>
      <c r="U156" s="65">
        <f t="shared" si="138"/>
        <v>999.94203276976339</v>
      </c>
      <c r="V156" s="65">
        <f t="shared" si="138"/>
        <v>1070.6006146170671</v>
      </c>
      <c r="W156" s="65">
        <f t="shared" si="138"/>
        <v>936.74047592247211</v>
      </c>
      <c r="DA156" s="109"/>
    </row>
    <row r="157" spans="1:105" ht="12" customHeight="1" x14ac:dyDescent="0.25">
      <c r="A157" s="61" t="s">
        <v>35</v>
      </c>
      <c r="B157" s="65">
        <f t="shared" ref="B157" si="139">IF(B103=0,0,B103/B$23)</f>
        <v>1358.5277693961189</v>
      </c>
      <c r="C157" s="65">
        <f t="shared" ref="C157:W157" si="140">IF(C103=0,0,C103/C$23)</f>
        <v>1332.842252539049</v>
      </c>
      <c r="D157" s="65">
        <f t="shared" si="140"/>
        <v>1322.8644534903722</v>
      </c>
      <c r="E157" s="65">
        <f t="shared" si="140"/>
        <v>1288.4291221341509</v>
      </c>
      <c r="F157" s="65">
        <f t="shared" si="140"/>
        <v>1246.5785652341858</v>
      </c>
      <c r="G157" s="65">
        <f t="shared" si="140"/>
        <v>1225.2522783651395</v>
      </c>
      <c r="H157" s="65">
        <f t="shared" si="140"/>
        <v>1133.2751030976056</v>
      </c>
      <c r="I157" s="65">
        <f t="shared" si="140"/>
        <v>1071.9135006311499</v>
      </c>
      <c r="J157" s="65">
        <f t="shared" si="140"/>
        <v>1070.2428617338678</v>
      </c>
      <c r="K157" s="65">
        <f t="shared" si="140"/>
        <v>1084.2918231083529</v>
      </c>
      <c r="L157" s="65">
        <f t="shared" si="140"/>
        <v>1080.1856527490336</v>
      </c>
      <c r="M157" s="65">
        <f t="shared" si="140"/>
        <v>1083.0256015207924</v>
      </c>
      <c r="N157" s="65">
        <f t="shared" si="140"/>
        <v>1114.9661120624528</v>
      </c>
      <c r="O157" s="65">
        <f t="shared" si="140"/>
        <v>1154.6730812970713</v>
      </c>
      <c r="P157" s="65">
        <f t="shared" si="140"/>
        <v>1135.7547253316607</v>
      </c>
      <c r="Q157" s="65">
        <f t="shared" si="140"/>
        <v>1108.2964208202072</v>
      </c>
      <c r="R157" s="65">
        <f t="shared" si="140"/>
        <v>1067.4058631245123</v>
      </c>
      <c r="S157" s="65">
        <f t="shared" si="140"/>
        <v>1004.1129431327461</v>
      </c>
      <c r="T157" s="65">
        <f t="shared" si="140"/>
        <v>956.33415895095504</v>
      </c>
      <c r="U157" s="65">
        <f t="shared" si="140"/>
        <v>906.64890091628649</v>
      </c>
      <c r="V157" s="65">
        <f t="shared" si="140"/>
        <v>869.22623331974864</v>
      </c>
      <c r="W157" s="65">
        <f t="shared" si="140"/>
        <v>840.38442887837891</v>
      </c>
      <c r="DA157" s="109"/>
    </row>
    <row r="158" spans="1:105" ht="12" customHeight="1" x14ac:dyDescent="0.25">
      <c r="A158" s="66" t="s">
        <v>34</v>
      </c>
      <c r="B158" s="67">
        <f t="shared" ref="B158" si="141">IF(B104=0,0,B104/B$23)</f>
        <v>1074.0963390789066</v>
      </c>
      <c r="C158" s="67">
        <f t="shared" ref="C158:W158" si="142">IF(C104=0,0,C104/C$23)</f>
        <v>1051.8671540703629</v>
      </c>
      <c r="D158" s="67">
        <f t="shared" si="142"/>
        <v>1060.5162463236611</v>
      </c>
      <c r="E158" s="67">
        <f t="shared" si="142"/>
        <v>1045.079968669065</v>
      </c>
      <c r="F158" s="67">
        <f t="shared" si="142"/>
        <v>1050.2129267610483</v>
      </c>
      <c r="G158" s="67">
        <f t="shared" si="142"/>
        <v>1052.910354529605</v>
      </c>
      <c r="H158" s="67">
        <f t="shared" si="142"/>
        <v>1101.5681690372078</v>
      </c>
      <c r="I158" s="67">
        <f t="shared" si="142"/>
        <v>1102.847381892753</v>
      </c>
      <c r="J158" s="67">
        <f t="shared" si="142"/>
        <v>1111.1413538702341</v>
      </c>
      <c r="K158" s="67">
        <f t="shared" si="142"/>
        <v>1116.2650506821474</v>
      </c>
      <c r="L158" s="67">
        <f t="shared" si="142"/>
        <v>1110.1928445316587</v>
      </c>
      <c r="M158" s="67">
        <f t="shared" si="142"/>
        <v>1125.9246304729218</v>
      </c>
      <c r="N158" s="67">
        <f t="shared" si="142"/>
        <v>1176.3624679417092</v>
      </c>
      <c r="O158" s="67">
        <f t="shared" si="142"/>
        <v>1211.4375906628313</v>
      </c>
      <c r="P158" s="67">
        <f t="shared" si="142"/>
        <v>1206.9857095354776</v>
      </c>
      <c r="Q158" s="67">
        <f t="shared" si="142"/>
        <v>1183.8375478798391</v>
      </c>
      <c r="R158" s="67">
        <f t="shared" si="142"/>
        <v>1131.909281838093</v>
      </c>
      <c r="S158" s="67">
        <f t="shared" si="142"/>
        <v>1105.3332803805692</v>
      </c>
      <c r="T158" s="67">
        <f t="shared" si="142"/>
        <v>1076.0921821895299</v>
      </c>
      <c r="U158" s="67">
        <f t="shared" si="142"/>
        <v>1075.3167613196983</v>
      </c>
      <c r="V158" s="67">
        <f t="shared" si="142"/>
        <v>975.06772533865387</v>
      </c>
      <c r="W158" s="67">
        <f t="shared" si="142"/>
        <v>945.90800960770605</v>
      </c>
      <c r="DA158" s="110"/>
    </row>
    <row r="159" spans="1:105" ht="12" customHeight="1" x14ac:dyDescent="0.25">
      <c r="A159" s="78" t="s">
        <v>33</v>
      </c>
      <c r="B159" s="68">
        <f t="shared" ref="B159" si="143">IF(B105=0,0,B105/B$23)</f>
        <v>2799.3309665179836</v>
      </c>
      <c r="C159" s="68">
        <f t="shared" ref="C159:W159" si="144">IF(C105=0,0,C105/C$23)</f>
        <v>2805.9788855032716</v>
      </c>
      <c r="D159" s="68">
        <f t="shared" si="144"/>
        <v>2857.7181622948415</v>
      </c>
      <c r="E159" s="68">
        <f t="shared" si="144"/>
        <v>2839.0301195677794</v>
      </c>
      <c r="F159" s="68">
        <f t="shared" si="144"/>
        <v>2834.3181808262648</v>
      </c>
      <c r="G159" s="68">
        <f t="shared" si="144"/>
        <v>2814.5622046385865</v>
      </c>
      <c r="H159" s="68">
        <f t="shared" si="144"/>
        <v>2813.1218543270152</v>
      </c>
      <c r="I159" s="68">
        <f t="shared" si="144"/>
        <v>2787.8042581337008</v>
      </c>
      <c r="J159" s="68">
        <f t="shared" si="144"/>
        <v>2790.1039873051554</v>
      </c>
      <c r="K159" s="68">
        <f t="shared" si="144"/>
        <v>2859.8659129744519</v>
      </c>
      <c r="L159" s="68">
        <f t="shared" si="144"/>
        <v>2894.7885680220961</v>
      </c>
      <c r="M159" s="68">
        <f t="shared" si="144"/>
        <v>2912.6724837488746</v>
      </c>
      <c r="N159" s="68">
        <f t="shared" si="144"/>
        <v>3029.9789363232735</v>
      </c>
      <c r="O159" s="68">
        <f t="shared" si="144"/>
        <v>3159.3243661167462</v>
      </c>
      <c r="P159" s="68">
        <f t="shared" si="144"/>
        <v>3182.8625946270481</v>
      </c>
      <c r="Q159" s="68">
        <f t="shared" si="144"/>
        <v>3141.6756231448016</v>
      </c>
      <c r="R159" s="68">
        <f t="shared" si="144"/>
        <v>3033.2400062442862</v>
      </c>
      <c r="S159" s="68">
        <f t="shared" si="144"/>
        <v>2891.1443777617396</v>
      </c>
      <c r="T159" s="68">
        <f t="shared" si="144"/>
        <v>2708.5000682015411</v>
      </c>
      <c r="U159" s="68">
        <f t="shared" si="144"/>
        <v>2570.3804429590791</v>
      </c>
      <c r="V159" s="68">
        <f t="shared" si="144"/>
        <v>2320.4080394113789</v>
      </c>
      <c r="W159" s="68">
        <f t="shared" si="144"/>
        <v>2329.630525415696</v>
      </c>
      <c r="DA159" s="111"/>
    </row>
    <row r="160" spans="1:105" s="2" customFormat="1" ht="12" customHeight="1" x14ac:dyDescent="0.25">
      <c r="DA160" s="7"/>
    </row>
    <row r="161" spans="1:105" ht="12.95" customHeight="1" x14ac:dyDescent="0.25">
      <c r="A161" s="84" t="s">
        <v>38</v>
      </c>
      <c r="B161" s="85">
        <f t="shared" ref="B161" si="145">IF(B107=0,0,B107/B$23)</f>
        <v>3806.6564099797642</v>
      </c>
      <c r="C161" s="85">
        <f t="shared" ref="C161:W161" si="146">IF(C107=0,0,C107/C$23)</f>
        <v>4102.3365312563556</v>
      </c>
      <c r="D161" s="85">
        <f t="shared" si="146"/>
        <v>4548.2435946627693</v>
      </c>
      <c r="E161" s="85">
        <f t="shared" si="146"/>
        <v>4871.1076187003518</v>
      </c>
      <c r="F161" s="85">
        <f t="shared" si="146"/>
        <v>4759.339883736593</v>
      </c>
      <c r="G161" s="85">
        <f t="shared" si="146"/>
        <v>4845.898603618889</v>
      </c>
      <c r="H161" s="85">
        <f t="shared" si="146"/>
        <v>5805.5226452014531</v>
      </c>
      <c r="I161" s="85">
        <f t="shared" si="146"/>
        <v>6226.5534168795421</v>
      </c>
      <c r="J161" s="85">
        <f t="shared" si="146"/>
        <v>6722.7537424285683</v>
      </c>
      <c r="K161" s="85">
        <f t="shared" si="146"/>
        <v>6959.7966592171724</v>
      </c>
      <c r="L161" s="85">
        <f t="shared" si="146"/>
        <v>7499.0052808444825</v>
      </c>
      <c r="M161" s="85">
        <f t="shared" si="146"/>
        <v>7167.9187685092747</v>
      </c>
      <c r="N161" s="85">
        <f t="shared" si="146"/>
        <v>7734.6276862831664</v>
      </c>
      <c r="O161" s="85">
        <f t="shared" si="146"/>
        <v>7772.8322475896975</v>
      </c>
      <c r="P161" s="85">
        <f t="shared" si="146"/>
        <v>7631.8107157535014</v>
      </c>
      <c r="Q161" s="85">
        <f t="shared" si="146"/>
        <v>7982.3333242828785</v>
      </c>
      <c r="R161" s="85">
        <f t="shared" si="146"/>
        <v>8445.1705030256853</v>
      </c>
      <c r="S161" s="85">
        <f t="shared" si="146"/>
        <v>8297.3807194711972</v>
      </c>
      <c r="T161" s="85">
        <f t="shared" si="146"/>
        <v>9106.902198451462</v>
      </c>
      <c r="U161" s="85">
        <f t="shared" si="146"/>
        <v>8732.4206825694746</v>
      </c>
      <c r="V161" s="85">
        <f t="shared" si="146"/>
        <v>8309.4461935644395</v>
      </c>
      <c r="W161" s="85">
        <f t="shared" si="146"/>
        <v>8292.2887754281146</v>
      </c>
      <c r="DA161" s="117"/>
    </row>
    <row r="162" spans="1:105" ht="12" customHeight="1" x14ac:dyDescent="0.25">
      <c r="A162" s="61" t="s">
        <v>32</v>
      </c>
      <c r="B162" s="65">
        <f t="shared" ref="B162" si="147">IF(B108=0,0,B108/B$23)</f>
        <v>712.39605970008256</v>
      </c>
      <c r="C162" s="65">
        <f t="shared" ref="C162:W162" si="148">IF(C108=0,0,C108/C$23)</f>
        <v>929.62796576991855</v>
      </c>
      <c r="D162" s="65">
        <f t="shared" si="148"/>
        <v>1126.7480398585947</v>
      </c>
      <c r="E162" s="65">
        <f t="shared" si="148"/>
        <v>1132.996766107774</v>
      </c>
      <c r="F162" s="65">
        <f t="shared" si="148"/>
        <v>1199.0477306685559</v>
      </c>
      <c r="G162" s="65">
        <f t="shared" si="148"/>
        <v>1309.1349975051983</v>
      </c>
      <c r="H162" s="65">
        <f t="shared" si="148"/>
        <v>1834.9596006736476</v>
      </c>
      <c r="I162" s="65">
        <f t="shared" si="148"/>
        <v>1873.6360037044933</v>
      </c>
      <c r="J162" s="65">
        <f t="shared" si="148"/>
        <v>2177.2512436837505</v>
      </c>
      <c r="K162" s="65">
        <f t="shared" si="148"/>
        <v>2301.6401501498008</v>
      </c>
      <c r="L162" s="65">
        <f t="shared" si="148"/>
        <v>2490.1032170313206</v>
      </c>
      <c r="M162" s="65">
        <f t="shared" si="148"/>
        <v>2464.7922459267929</v>
      </c>
      <c r="N162" s="65">
        <f t="shared" si="148"/>
        <v>2095.1782922067609</v>
      </c>
      <c r="O162" s="65">
        <f t="shared" si="148"/>
        <v>2508.573449110047</v>
      </c>
      <c r="P162" s="65">
        <f t="shared" si="148"/>
        <v>2706.0738218491151</v>
      </c>
      <c r="Q162" s="65">
        <f t="shared" si="148"/>
        <v>2851.2558115284751</v>
      </c>
      <c r="R162" s="65">
        <f t="shared" si="148"/>
        <v>2972.2993762129008</v>
      </c>
      <c r="S162" s="65">
        <f t="shared" si="148"/>
        <v>3163.4407215316596</v>
      </c>
      <c r="T162" s="65">
        <f t="shared" si="148"/>
        <v>3081.4863728364885</v>
      </c>
      <c r="U162" s="65">
        <f t="shared" si="148"/>
        <v>3379.4498153987383</v>
      </c>
      <c r="V162" s="65">
        <f t="shared" si="148"/>
        <v>2638.5418632896649</v>
      </c>
      <c r="W162" s="65">
        <f t="shared" si="148"/>
        <v>3048.1179295368825</v>
      </c>
      <c r="DA162" s="109"/>
    </row>
    <row r="163" spans="1:105" ht="12" customHeight="1" x14ac:dyDescent="0.25">
      <c r="A163" s="61" t="s">
        <v>31</v>
      </c>
      <c r="B163" s="65">
        <f t="shared" ref="B163" si="149">IF(B109=0,0,B109/B$23)</f>
        <v>1459.0512425809193</v>
      </c>
      <c r="C163" s="65">
        <f t="shared" ref="C163:W163" si="150">IF(C109=0,0,C109/C$23)</f>
        <v>1570.786457179888</v>
      </c>
      <c r="D163" s="65">
        <f t="shared" si="150"/>
        <v>1820.8175097550475</v>
      </c>
      <c r="E163" s="65">
        <f t="shared" si="150"/>
        <v>2164.0959730312993</v>
      </c>
      <c r="F163" s="65">
        <f t="shared" si="150"/>
        <v>1997.1575605194505</v>
      </c>
      <c r="G163" s="65">
        <f t="shared" si="150"/>
        <v>1983.3101595202691</v>
      </c>
      <c r="H163" s="65">
        <f t="shared" si="150"/>
        <v>2420.3835286006688</v>
      </c>
      <c r="I163" s="65">
        <f t="shared" si="150"/>
        <v>2818.9762235231055</v>
      </c>
      <c r="J163" s="65">
        <f t="shared" si="150"/>
        <v>3001.971642660114</v>
      </c>
      <c r="K163" s="65">
        <f t="shared" si="150"/>
        <v>3085.6066267321003</v>
      </c>
      <c r="L163" s="65">
        <f t="shared" si="150"/>
        <v>3429.3087051931502</v>
      </c>
      <c r="M163" s="65">
        <f t="shared" si="150"/>
        <v>3114.2779049961132</v>
      </c>
      <c r="N163" s="65">
        <f t="shared" si="150"/>
        <v>3984.8294292301284</v>
      </c>
      <c r="O163" s="65">
        <f t="shared" si="150"/>
        <v>3541.5899393593154</v>
      </c>
      <c r="P163" s="65">
        <f t="shared" si="150"/>
        <v>3206.4986024027316</v>
      </c>
      <c r="Q163" s="65">
        <f t="shared" si="150"/>
        <v>3451.2153374303743</v>
      </c>
      <c r="R163" s="65">
        <f t="shared" si="150"/>
        <v>3854.3583598805262</v>
      </c>
      <c r="S163" s="65">
        <f t="shared" si="150"/>
        <v>3588.5262999508955</v>
      </c>
      <c r="T163" s="65">
        <f t="shared" si="150"/>
        <v>4526.1587189483225</v>
      </c>
      <c r="U163" s="65">
        <f t="shared" si="150"/>
        <v>3895.7509329174686</v>
      </c>
      <c r="V163" s="65">
        <f t="shared" si="150"/>
        <v>4284.8250527467499</v>
      </c>
      <c r="W163" s="65">
        <f t="shared" si="150"/>
        <v>3858.6262112781383</v>
      </c>
      <c r="DA163" s="109"/>
    </row>
    <row r="164" spans="1:105" ht="12" customHeight="1" x14ac:dyDescent="0.25">
      <c r="A164" s="61" t="s">
        <v>35</v>
      </c>
      <c r="B164" s="65">
        <f t="shared" ref="B164" si="151">IF(B110=0,0,B110/B$23)</f>
        <v>827.01268711010505</v>
      </c>
      <c r="C164" s="65">
        <f t="shared" ref="C164:W164" si="152">IF(C110=0,0,C110/C$23)</f>
        <v>808.51973431868009</v>
      </c>
      <c r="D164" s="65">
        <f t="shared" si="152"/>
        <v>805.37613176113916</v>
      </c>
      <c r="E164" s="65">
        <f t="shared" si="152"/>
        <v>787.9415454592862</v>
      </c>
      <c r="F164" s="65">
        <f t="shared" si="152"/>
        <v>774.53340320433199</v>
      </c>
      <c r="G164" s="65">
        <f t="shared" si="152"/>
        <v>766.15498751910593</v>
      </c>
      <c r="H164" s="65">
        <f t="shared" si="152"/>
        <v>762.19583949123364</v>
      </c>
      <c r="I164" s="65">
        <f t="shared" si="152"/>
        <v>752.32646165438973</v>
      </c>
      <c r="J164" s="65">
        <f t="shared" si="152"/>
        <v>757.30058217123928</v>
      </c>
      <c r="K164" s="65">
        <f t="shared" si="152"/>
        <v>770.5461004017875</v>
      </c>
      <c r="L164" s="65">
        <f t="shared" si="152"/>
        <v>776.96552937496608</v>
      </c>
      <c r="M164" s="65">
        <f t="shared" si="152"/>
        <v>782.02507361586436</v>
      </c>
      <c r="N164" s="65">
        <f t="shared" si="152"/>
        <v>811.37169840388094</v>
      </c>
      <c r="O164" s="65">
        <f t="shared" si="152"/>
        <v>849.21849289760428</v>
      </c>
      <c r="P164" s="65">
        <f t="shared" si="152"/>
        <v>840.54045659610904</v>
      </c>
      <c r="Q164" s="65">
        <f t="shared" si="152"/>
        <v>824.47192063646844</v>
      </c>
      <c r="R164" s="65">
        <f t="shared" si="152"/>
        <v>797.64083307822307</v>
      </c>
      <c r="S164" s="65">
        <f t="shared" si="152"/>
        <v>758.09122295212933</v>
      </c>
      <c r="T164" s="65">
        <f t="shared" si="152"/>
        <v>731.39734920482783</v>
      </c>
      <c r="U164" s="65">
        <f t="shared" si="152"/>
        <v>706.73801142031402</v>
      </c>
      <c r="V164" s="65">
        <f t="shared" si="152"/>
        <v>690.28677844119147</v>
      </c>
      <c r="W164" s="65">
        <f t="shared" si="152"/>
        <v>678.58201724199864</v>
      </c>
      <c r="DA164" s="109"/>
    </row>
    <row r="165" spans="1:105" ht="12" customHeight="1" x14ac:dyDescent="0.25">
      <c r="A165" s="74" t="s">
        <v>34</v>
      </c>
      <c r="B165" s="68">
        <f t="shared" ref="B165" si="153">IF(B111=0,0,B111/B$23)</f>
        <v>808.19642058865713</v>
      </c>
      <c r="C165" s="68">
        <f t="shared" ref="C165:W165" si="154">IF(C111=0,0,C111/C$23)</f>
        <v>793.40237398786928</v>
      </c>
      <c r="D165" s="68">
        <f t="shared" si="154"/>
        <v>795.30191328798742</v>
      </c>
      <c r="E165" s="68">
        <f t="shared" si="154"/>
        <v>786.07333410199283</v>
      </c>
      <c r="F165" s="68">
        <f t="shared" si="154"/>
        <v>788.60118934425452</v>
      </c>
      <c r="G165" s="68">
        <f t="shared" si="154"/>
        <v>787.29845907431525</v>
      </c>
      <c r="H165" s="68">
        <f t="shared" si="154"/>
        <v>787.98367643590359</v>
      </c>
      <c r="I165" s="68">
        <f t="shared" si="154"/>
        <v>781.6147279975529</v>
      </c>
      <c r="J165" s="68">
        <f t="shared" si="154"/>
        <v>786.230273913465</v>
      </c>
      <c r="K165" s="68">
        <f t="shared" si="154"/>
        <v>802.00378193348263</v>
      </c>
      <c r="L165" s="68">
        <f t="shared" si="154"/>
        <v>802.62782924504597</v>
      </c>
      <c r="M165" s="68">
        <f t="shared" si="154"/>
        <v>806.82354397050472</v>
      </c>
      <c r="N165" s="68">
        <f t="shared" si="154"/>
        <v>843.24826644239556</v>
      </c>
      <c r="O165" s="68">
        <f t="shared" si="154"/>
        <v>873.45036622272994</v>
      </c>
      <c r="P165" s="68">
        <f t="shared" si="154"/>
        <v>878.69783490554516</v>
      </c>
      <c r="Q165" s="68">
        <f t="shared" si="154"/>
        <v>855.39025468756051</v>
      </c>
      <c r="R165" s="68">
        <f t="shared" si="154"/>
        <v>820.87193385403623</v>
      </c>
      <c r="S165" s="68">
        <f t="shared" si="154"/>
        <v>787.32247503651217</v>
      </c>
      <c r="T165" s="68">
        <f t="shared" si="154"/>
        <v>767.85975746182135</v>
      </c>
      <c r="U165" s="68">
        <f t="shared" si="154"/>
        <v>750.48192283295282</v>
      </c>
      <c r="V165" s="68">
        <f t="shared" si="154"/>
        <v>695.792499086833</v>
      </c>
      <c r="W165" s="68">
        <f t="shared" si="154"/>
        <v>706.96261737109569</v>
      </c>
      <c r="DA165" s="111"/>
    </row>
    <row r="166" spans="1:105" s="2" customFormat="1" ht="12" customHeight="1" x14ac:dyDescent="0.25">
      <c r="DA166" s="7"/>
    </row>
    <row r="167" spans="1:105" ht="12.95" customHeight="1" x14ac:dyDescent="0.25">
      <c r="A167" s="81" t="s">
        <v>37</v>
      </c>
      <c r="B167" s="82">
        <f t="shared" ref="B167" si="155">IF(B113=0,0,B113/B$23)</f>
        <v>349.48750654073945</v>
      </c>
      <c r="C167" s="82">
        <f t="shared" ref="C167:W167" si="156">IF(C113=0,0,C113/C$23)</f>
        <v>341.65098255914825</v>
      </c>
      <c r="D167" s="82">
        <f t="shared" si="156"/>
        <v>322.01245090920747</v>
      </c>
      <c r="E167" s="82">
        <f t="shared" si="156"/>
        <v>318.53024047444171</v>
      </c>
      <c r="F167" s="82">
        <f t="shared" si="156"/>
        <v>275.97383889379165</v>
      </c>
      <c r="G167" s="82">
        <f t="shared" si="156"/>
        <v>255.63227976472476</v>
      </c>
      <c r="H167" s="82">
        <f t="shared" si="156"/>
        <v>423.25979641618085</v>
      </c>
      <c r="I167" s="82">
        <f t="shared" si="156"/>
        <v>418.1024332748479</v>
      </c>
      <c r="J167" s="82">
        <f t="shared" si="156"/>
        <v>511.2221762114537</v>
      </c>
      <c r="K167" s="82">
        <f t="shared" si="156"/>
        <v>413.28371314899539</v>
      </c>
      <c r="L167" s="82">
        <f t="shared" si="156"/>
        <v>447.43715814831711</v>
      </c>
      <c r="M167" s="82">
        <f t="shared" si="156"/>
        <v>439.21360806916425</v>
      </c>
      <c r="N167" s="82">
        <f t="shared" si="156"/>
        <v>404.38217903745408</v>
      </c>
      <c r="O167" s="82">
        <f t="shared" si="156"/>
        <v>429.46928741989893</v>
      </c>
      <c r="P167" s="82">
        <f t="shared" si="156"/>
        <v>402.02451706223906</v>
      </c>
      <c r="Q167" s="82">
        <f t="shared" si="156"/>
        <v>363.34978913311767</v>
      </c>
      <c r="R167" s="82">
        <f t="shared" si="156"/>
        <v>336.93922926767033</v>
      </c>
      <c r="S167" s="82">
        <f t="shared" si="156"/>
        <v>369.2572169157857</v>
      </c>
      <c r="T167" s="82">
        <f t="shared" si="156"/>
        <v>349.52733064913281</v>
      </c>
      <c r="U167" s="82">
        <f t="shared" si="156"/>
        <v>411.47516689098256</v>
      </c>
      <c r="V167" s="82">
        <f t="shared" si="156"/>
        <v>328.79074107499878</v>
      </c>
      <c r="W167" s="82">
        <f t="shared" si="156"/>
        <v>333.39664127458263</v>
      </c>
      <c r="DA167" s="107"/>
    </row>
    <row r="168" spans="1:105" ht="12" customHeight="1" x14ac:dyDescent="0.25">
      <c r="A168" s="77" t="s">
        <v>36</v>
      </c>
      <c r="B168" s="64">
        <f t="shared" ref="B168" si="157">IF(B114=0,0,B114/B$23)</f>
        <v>349.48750654073945</v>
      </c>
      <c r="C168" s="64">
        <f t="shared" ref="C168:W168" si="158">IF(C114=0,0,C114/C$23)</f>
        <v>341.65098255914825</v>
      </c>
      <c r="D168" s="64">
        <f t="shared" si="158"/>
        <v>322.01245090920747</v>
      </c>
      <c r="E168" s="64">
        <f t="shared" si="158"/>
        <v>318.53024047444171</v>
      </c>
      <c r="F168" s="64">
        <f t="shared" si="158"/>
        <v>275.97383889379165</v>
      </c>
      <c r="G168" s="64">
        <f t="shared" si="158"/>
        <v>255.63227976472476</v>
      </c>
      <c r="H168" s="64">
        <f t="shared" si="158"/>
        <v>423.25979641618085</v>
      </c>
      <c r="I168" s="64">
        <f t="shared" si="158"/>
        <v>418.1024332748479</v>
      </c>
      <c r="J168" s="64">
        <f t="shared" si="158"/>
        <v>511.2221762114537</v>
      </c>
      <c r="K168" s="64">
        <f t="shared" si="158"/>
        <v>413.28371314899539</v>
      </c>
      <c r="L168" s="64">
        <f t="shared" si="158"/>
        <v>447.43715814831711</v>
      </c>
      <c r="M168" s="64">
        <f t="shared" si="158"/>
        <v>439.21360806916425</v>
      </c>
      <c r="N168" s="64">
        <f t="shared" si="158"/>
        <v>404.38217903745408</v>
      </c>
      <c r="O168" s="64">
        <f t="shared" si="158"/>
        <v>429.46928741989893</v>
      </c>
      <c r="P168" s="64">
        <f t="shared" si="158"/>
        <v>402.02451706223906</v>
      </c>
      <c r="Q168" s="64">
        <f t="shared" si="158"/>
        <v>363.34978913311767</v>
      </c>
      <c r="R168" s="64">
        <f t="shared" si="158"/>
        <v>336.93922926767033</v>
      </c>
      <c r="S168" s="64">
        <f t="shared" si="158"/>
        <v>369.2572169157857</v>
      </c>
      <c r="T168" s="64">
        <f t="shared" si="158"/>
        <v>349.52733064913281</v>
      </c>
      <c r="U168" s="64">
        <f t="shared" si="158"/>
        <v>411.47516689098256</v>
      </c>
      <c r="V168" s="64">
        <f t="shared" si="158"/>
        <v>328.79074107499878</v>
      </c>
      <c r="W168" s="64">
        <f t="shared" si="158"/>
        <v>333.39664127458263</v>
      </c>
      <c r="DA168" s="108"/>
    </row>
    <row r="169" spans="1:105" ht="12" customHeight="1" x14ac:dyDescent="0.25">
      <c r="A169" s="61" t="s">
        <v>32</v>
      </c>
      <c r="B169" s="65">
        <f t="shared" ref="B169" si="159">IF(B115=0,0,B115/B$23)</f>
        <v>333.39127815758798</v>
      </c>
      <c r="C169" s="65">
        <f t="shared" ref="C169:W169" si="160">IF(C115=0,0,C115/C$23)</f>
        <v>325.98243728257404</v>
      </c>
      <c r="D169" s="65">
        <f t="shared" si="160"/>
        <v>306.57681997729645</v>
      </c>
      <c r="E169" s="65">
        <f t="shared" si="160"/>
        <v>303.78045788955609</v>
      </c>
      <c r="F169" s="65">
        <f t="shared" si="160"/>
        <v>261.71221943053013</v>
      </c>
      <c r="G169" s="65">
        <f t="shared" si="160"/>
        <v>241.84113634566054</v>
      </c>
      <c r="H169" s="65">
        <f t="shared" si="160"/>
        <v>271.22643139401032</v>
      </c>
      <c r="I169" s="65">
        <f t="shared" si="160"/>
        <v>272.07841111273552</v>
      </c>
      <c r="J169" s="65">
        <f t="shared" si="160"/>
        <v>359.80478594493007</v>
      </c>
      <c r="K169" s="65">
        <f t="shared" si="160"/>
        <v>272.79803791301759</v>
      </c>
      <c r="L169" s="65">
        <f t="shared" si="160"/>
        <v>309.55412426978461</v>
      </c>
      <c r="M169" s="65">
        <f t="shared" si="160"/>
        <v>294.02021636400229</v>
      </c>
      <c r="N169" s="65">
        <f t="shared" si="160"/>
        <v>256.73760274023419</v>
      </c>
      <c r="O169" s="65">
        <f t="shared" si="160"/>
        <v>286.8104449058124</v>
      </c>
      <c r="P169" s="65">
        <f t="shared" si="160"/>
        <v>278.65910217736638</v>
      </c>
      <c r="Q169" s="65">
        <f t="shared" si="160"/>
        <v>232.22352568650726</v>
      </c>
      <c r="R169" s="65">
        <f t="shared" si="160"/>
        <v>211.45816664274864</v>
      </c>
      <c r="S169" s="65">
        <f t="shared" si="160"/>
        <v>227.84152944829609</v>
      </c>
      <c r="T169" s="65">
        <f t="shared" si="160"/>
        <v>212.67771390044962</v>
      </c>
      <c r="U169" s="65">
        <f t="shared" si="160"/>
        <v>261.23882492807547</v>
      </c>
      <c r="V169" s="65">
        <f t="shared" si="160"/>
        <v>214.16103729029646</v>
      </c>
      <c r="W169" s="65">
        <f t="shared" si="160"/>
        <v>234.37625808668096</v>
      </c>
      <c r="DA169" s="109"/>
    </row>
    <row r="170" spans="1:105" ht="12" customHeight="1" x14ac:dyDescent="0.25">
      <c r="A170" s="61" t="s">
        <v>31</v>
      </c>
      <c r="B170" s="65">
        <f t="shared" ref="B170" si="161">IF(B116=0,0,B116/B$23)</f>
        <v>0</v>
      </c>
      <c r="C170" s="65">
        <f t="shared" ref="C170:W170" si="162">IF(C116=0,0,C116/C$23)</f>
        <v>0</v>
      </c>
      <c r="D170" s="65">
        <f t="shared" si="162"/>
        <v>0</v>
      </c>
      <c r="E170" s="65">
        <f t="shared" si="162"/>
        <v>0</v>
      </c>
      <c r="F170" s="65">
        <f t="shared" si="162"/>
        <v>0</v>
      </c>
      <c r="G170" s="65">
        <f t="shared" si="162"/>
        <v>0</v>
      </c>
      <c r="H170" s="65">
        <f t="shared" si="162"/>
        <v>0</v>
      </c>
      <c r="I170" s="65">
        <f t="shared" si="162"/>
        <v>0</v>
      </c>
      <c r="J170" s="65">
        <f t="shared" si="162"/>
        <v>0</v>
      </c>
      <c r="K170" s="65">
        <f t="shared" si="162"/>
        <v>0</v>
      </c>
      <c r="L170" s="65">
        <f t="shared" si="162"/>
        <v>0</v>
      </c>
      <c r="M170" s="65">
        <f t="shared" si="162"/>
        <v>0</v>
      </c>
      <c r="N170" s="65">
        <f t="shared" si="162"/>
        <v>0</v>
      </c>
      <c r="O170" s="65">
        <f t="shared" si="162"/>
        <v>0</v>
      </c>
      <c r="P170" s="65">
        <f t="shared" si="162"/>
        <v>0</v>
      </c>
      <c r="Q170" s="65">
        <f t="shared" si="162"/>
        <v>0</v>
      </c>
      <c r="R170" s="65">
        <f t="shared" si="162"/>
        <v>0</v>
      </c>
      <c r="S170" s="65">
        <f t="shared" si="162"/>
        <v>0</v>
      </c>
      <c r="T170" s="65">
        <f t="shared" si="162"/>
        <v>0</v>
      </c>
      <c r="U170" s="65">
        <f t="shared" si="162"/>
        <v>0</v>
      </c>
      <c r="V170" s="65">
        <f t="shared" si="162"/>
        <v>0</v>
      </c>
      <c r="W170" s="65">
        <f t="shared" si="162"/>
        <v>0</v>
      </c>
      <c r="DA170" s="109"/>
    </row>
    <row r="171" spans="1:105" ht="12" customHeight="1" x14ac:dyDescent="0.25">
      <c r="A171" s="61" t="s">
        <v>35</v>
      </c>
      <c r="B171" s="65">
        <f t="shared" ref="B171" si="163">IF(B117=0,0,B117/B$23)</f>
        <v>16.096228383151473</v>
      </c>
      <c r="C171" s="65">
        <f t="shared" ref="C171:W171" si="164">IF(C117=0,0,C117/C$23)</f>
        <v>15.668545276574161</v>
      </c>
      <c r="D171" s="65">
        <f t="shared" si="164"/>
        <v>15.435630931911108</v>
      </c>
      <c r="E171" s="65">
        <f t="shared" si="164"/>
        <v>14.749782584885725</v>
      </c>
      <c r="F171" s="65">
        <f t="shared" si="164"/>
        <v>14.26161946326153</v>
      </c>
      <c r="G171" s="65">
        <f t="shared" si="164"/>
        <v>13.791143419064241</v>
      </c>
      <c r="H171" s="65">
        <f t="shared" si="164"/>
        <v>97.348385664087473</v>
      </c>
      <c r="I171" s="65">
        <f t="shared" si="164"/>
        <v>94.278830683476301</v>
      </c>
      <c r="J171" s="65">
        <f t="shared" si="164"/>
        <v>92.403909231586539</v>
      </c>
      <c r="K171" s="65">
        <f t="shared" si="164"/>
        <v>92.358730139299027</v>
      </c>
      <c r="L171" s="65">
        <f t="shared" si="164"/>
        <v>93.181800041852696</v>
      </c>
      <c r="M171" s="65">
        <f t="shared" si="164"/>
        <v>87.921435168737446</v>
      </c>
      <c r="N171" s="65">
        <f t="shared" si="164"/>
        <v>85.137575459367568</v>
      </c>
      <c r="O171" s="65">
        <f t="shared" si="164"/>
        <v>82.9593905425277</v>
      </c>
      <c r="P171" s="65">
        <f t="shared" si="164"/>
        <v>72.733004179322222</v>
      </c>
      <c r="Q171" s="65">
        <f t="shared" si="164"/>
        <v>69.615830083079956</v>
      </c>
      <c r="R171" s="65">
        <f t="shared" si="164"/>
        <v>67.435514241030774</v>
      </c>
      <c r="S171" s="65">
        <f t="shared" si="164"/>
        <v>64.330490155343</v>
      </c>
      <c r="T171" s="65">
        <f t="shared" si="164"/>
        <v>59.099946330673475</v>
      </c>
      <c r="U171" s="65">
        <f t="shared" si="164"/>
        <v>56.004515798753076</v>
      </c>
      <c r="V171" s="65">
        <f t="shared" si="164"/>
        <v>45.715671194199338</v>
      </c>
      <c r="W171" s="65">
        <f t="shared" si="164"/>
        <v>41.699444180597595</v>
      </c>
      <c r="DA171" s="109"/>
    </row>
    <row r="172" spans="1:105" ht="12" customHeight="1" x14ac:dyDescent="0.25">
      <c r="A172" s="66" t="s">
        <v>34</v>
      </c>
      <c r="B172" s="67">
        <f t="shared" ref="B172" si="165">IF(B118=0,0,B118/B$23)</f>
        <v>0</v>
      </c>
      <c r="C172" s="67">
        <f t="shared" ref="C172:W172" si="166">IF(C118=0,0,C118/C$23)</f>
        <v>0</v>
      </c>
      <c r="D172" s="67">
        <f t="shared" si="166"/>
        <v>0</v>
      </c>
      <c r="E172" s="67">
        <f t="shared" si="166"/>
        <v>0</v>
      </c>
      <c r="F172" s="67">
        <f t="shared" si="166"/>
        <v>0</v>
      </c>
      <c r="G172" s="67">
        <f t="shared" si="166"/>
        <v>0</v>
      </c>
      <c r="H172" s="67">
        <f t="shared" si="166"/>
        <v>54.684979358083041</v>
      </c>
      <c r="I172" s="67">
        <f t="shared" si="166"/>
        <v>51.74519147863608</v>
      </c>
      <c r="J172" s="67">
        <f t="shared" si="166"/>
        <v>59.013481034936994</v>
      </c>
      <c r="K172" s="67">
        <f t="shared" si="166"/>
        <v>48.126945096678782</v>
      </c>
      <c r="L172" s="67">
        <f t="shared" si="166"/>
        <v>44.70123383667984</v>
      </c>
      <c r="M172" s="67">
        <f t="shared" si="166"/>
        <v>57.271956536424469</v>
      </c>
      <c r="N172" s="67">
        <f t="shared" si="166"/>
        <v>62.507000837852381</v>
      </c>
      <c r="O172" s="67">
        <f t="shared" si="166"/>
        <v>59.699451971558851</v>
      </c>
      <c r="P172" s="67">
        <f t="shared" si="166"/>
        <v>50.632410705550456</v>
      </c>
      <c r="Q172" s="67">
        <f t="shared" si="166"/>
        <v>61.510433363530403</v>
      </c>
      <c r="R172" s="67">
        <f t="shared" si="166"/>
        <v>58.045548383890882</v>
      </c>
      <c r="S172" s="67">
        <f t="shared" si="166"/>
        <v>77.08519731214659</v>
      </c>
      <c r="T172" s="67">
        <f t="shared" si="166"/>
        <v>77.749670418009714</v>
      </c>
      <c r="U172" s="67">
        <f t="shared" si="166"/>
        <v>94.2318261641541</v>
      </c>
      <c r="V172" s="67">
        <f t="shared" si="166"/>
        <v>68.914032590502956</v>
      </c>
      <c r="W172" s="67">
        <f t="shared" si="166"/>
        <v>57.320939007304091</v>
      </c>
      <c r="DA172" s="110"/>
    </row>
    <row r="173" spans="1:105" ht="12" customHeight="1" x14ac:dyDescent="0.25">
      <c r="A173" s="78" t="s">
        <v>33</v>
      </c>
      <c r="B173" s="68">
        <f t="shared" ref="B173" si="167">IF(B119=0,0,B119/B$23)</f>
        <v>0</v>
      </c>
      <c r="C173" s="68">
        <f t="shared" ref="C173:W173" si="168">IF(C119=0,0,C119/C$23)</f>
        <v>0</v>
      </c>
      <c r="D173" s="68">
        <f t="shared" si="168"/>
        <v>0</v>
      </c>
      <c r="E173" s="68">
        <f t="shared" si="168"/>
        <v>0</v>
      </c>
      <c r="F173" s="68">
        <f t="shared" si="168"/>
        <v>0</v>
      </c>
      <c r="G173" s="68">
        <f t="shared" si="168"/>
        <v>0</v>
      </c>
      <c r="H173" s="68">
        <f t="shared" si="168"/>
        <v>0</v>
      </c>
      <c r="I173" s="68">
        <f t="shared" si="168"/>
        <v>0</v>
      </c>
      <c r="J173" s="68">
        <f t="shared" si="168"/>
        <v>0</v>
      </c>
      <c r="K173" s="68">
        <f t="shared" si="168"/>
        <v>0</v>
      </c>
      <c r="L173" s="68">
        <f t="shared" si="168"/>
        <v>0</v>
      </c>
      <c r="M173" s="68">
        <f t="shared" si="168"/>
        <v>0</v>
      </c>
      <c r="N173" s="68">
        <f t="shared" si="168"/>
        <v>0</v>
      </c>
      <c r="O173" s="68">
        <f t="shared" si="168"/>
        <v>0</v>
      </c>
      <c r="P173" s="68">
        <f t="shared" si="168"/>
        <v>0</v>
      </c>
      <c r="Q173" s="68">
        <f t="shared" si="168"/>
        <v>0</v>
      </c>
      <c r="R173" s="68">
        <f t="shared" si="168"/>
        <v>0</v>
      </c>
      <c r="S173" s="68">
        <f t="shared" si="168"/>
        <v>0</v>
      </c>
      <c r="T173" s="68">
        <f t="shared" si="168"/>
        <v>0</v>
      </c>
      <c r="U173" s="68">
        <f t="shared" si="168"/>
        <v>0</v>
      </c>
      <c r="V173" s="68">
        <f t="shared" si="168"/>
        <v>0</v>
      </c>
      <c r="W173" s="68">
        <f t="shared" si="168"/>
        <v>0</v>
      </c>
      <c r="DA173" s="111"/>
    </row>
  </sheetData>
  <pageMargins left="0.39370078740157483" right="0.39370078740157483" top="0.39370078740157483" bottom="0.39370078740157483" header="0.31496062992125984" footer="0.31496062992125984"/>
  <pageSetup paperSize="9" scale="39" orientation="portrait" horizontalDpi="1200" verticalDpi="1200" r:id="rId1"/>
  <headerFooter alignWithMargins="0"/>
  <ignoredErrors>
    <ignoredError sqref="B31:W31 B33:W33 B37:W37 B48:W48 B67:W67 B82:W82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243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79</v>
      </c>
      <c r="B3" s="125">
        <f t="shared" ref="B3:W3" si="0">B4</f>
        <v>16275.690969441697</v>
      </c>
      <c r="C3" s="125">
        <f t="shared" si="0"/>
        <v>16602.318428732429</v>
      </c>
      <c r="D3" s="125">
        <f t="shared" si="0"/>
        <v>16839.114908157051</v>
      </c>
      <c r="E3" s="125">
        <f t="shared" si="0"/>
        <v>17121.606030851843</v>
      </c>
      <c r="F3" s="125">
        <f t="shared" si="0"/>
        <v>17501.285824151593</v>
      </c>
      <c r="G3" s="125">
        <f t="shared" si="0"/>
        <v>17896.26489579491</v>
      </c>
      <c r="H3" s="125">
        <f t="shared" si="0"/>
        <v>18274.04658327542</v>
      </c>
      <c r="I3" s="125">
        <f t="shared" si="0"/>
        <v>18742.685921310993</v>
      </c>
      <c r="J3" s="125">
        <f t="shared" si="0"/>
        <v>19206.346886543943</v>
      </c>
      <c r="K3" s="125">
        <f t="shared" si="0"/>
        <v>19830.408461658633</v>
      </c>
      <c r="L3" s="125">
        <f t="shared" si="0"/>
        <v>20510.225734665255</v>
      </c>
      <c r="M3" s="125">
        <f t="shared" si="0"/>
        <v>20983.935494143549</v>
      </c>
      <c r="N3" s="125">
        <f t="shared" si="0"/>
        <v>21473.536037340233</v>
      </c>
      <c r="O3" s="125">
        <f t="shared" si="0"/>
        <v>21481.92837674604</v>
      </c>
      <c r="P3" s="125">
        <f t="shared" si="0"/>
        <v>21263.534772894367</v>
      </c>
      <c r="Q3" s="125">
        <f t="shared" si="0"/>
        <v>21123.16191886962</v>
      </c>
      <c r="R3" s="125">
        <f t="shared" si="0"/>
        <v>21299.684710310841</v>
      </c>
      <c r="S3" s="125">
        <f t="shared" si="0"/>
        <v>21597.600117315531</v>
      </c>
      <c r="T3" s="125">
        <f t="shared" si="0"/>
        <v>21894.444918233839</v>
      </c>
      <c r="U3" s="125">
        <f t="shared" si="0"/>
        <v>22183.990637620431</v>
      </c>
      <c r="V3" s="125">
        <f t="shared" si="0"/>
        <v>22434.508888888886</v>
      </c>
      <c r="W3" s="125">
        <f t="shared" si="0"/>
        <v>22675.700517501147</v>
      </c>
      <c r="DA3" s="169" t="s">
        <v>244</v>
      </c>
    </row>
    <row r="4" spans="1:105" ht="12.95" customHeight="1" x14ac:dyDescent="0.25">
      <c r="A4" s="130" t="s">
        <v>32</v>
      </c>
      <c r="B4" s="140">
        <f t="shared" ref="B4:Q4" si="1">SUM(B5:B14)</f>
        <v>16275.690969441697</v>
      </c>
      <c r="C4" s="140">
        <f t="shared" si="1"/>
        <v>16602.318428732429</v>
      </c>
      <c r="D4" s="140">
        <f t="shared" si="1"/>
        <v>16839.114908157051</v>
      </c>
      <c r="E4" s="140">
        <f t="shared" si="1"/>
        <v>17121.606030851843</v>
      </c>
      <c r="F4" s="140">
        <f t="shared" si="1"/>
        <v>17501.285824151593</v>
      </c>
      <c r="G4" s="140">
        <f t="shared" si="1"/>
        <v>17896.26489579491</v>
      </c>
      <c r="H4" s="140">
        <f t="shared" si="1"/>
        <v>18274.04658327542</v>
      </c>
      <c r="I4" s="140">
        <f t="shared" si="1"/>
        <v>18742.685921310993</v>
      </c>
      <c r="J4" s="140">
        <f t="shared" si="1"/>
        <v>19206.346886543943</v>
      </c>
      <c r="K4" s="140">
        <f t="shared" si="1"/>
        <v>19830.408461658633</v>
      </c>
      <c r="L4" s="140">
        <f t="shared" si="1"/>
        <v>20510.225734665255</v>
      </c>
      <c r="M4" s="140">
        <f t="shared" si="1"/>
        <v>20983.935494143549</v>
      </c>
      <c r="N4" s="140">
        <f t="shared" si="1"/>
        <v>21473.536037340233</v>
      </c>
      <c r="O4" s="140">
        <f t="shared" si="1"/>
        <v>21481.92837674604</v>
      </c>
      <c r="P4" s="140">
        <f t="shared" si="1"/>
        <v>21263.534772894367</v>
      </c>
      <c r="Q4" s="140">
        <f t="shared" si="1"/>
        <v>21123.16191886962</v>
      </c>
      <c r="R4" s="140">
        <f t="shared" ref="R4:W4" si="2">SUM(R5:R14)</f>
        <v>21299.684710310841</v>
      </c>
      <c r="S4" s="140">
        <f t="shared" si="2"/>
        <v>21597.600117315531</v>
      </c>
      <c r="T4" s="140">
        <f t="shared" si="2"/>
        <v>21894.444918233839</v>
      </c>
      <c r="U4" s="140">
        <f t="shared" si="2"/>
        <v>22183.990637620431</v>
      </c>
      <c r="V4" s="140">
        <f t="shared" si="2"/>
        <v>22434.508888888886</v>
      </c>
      <c r="W4" s="140">
        <f t="shared" si="2"/>
        <v>22675.700517501147</v>
      </c>
      <c r="DA4" s="170" t="s">
        <v>245</v>
      </c>
    </row>
    <row r="5" spans="1:105" ht="12" customHeight="1" x14ac:dyDescent="0.25">
      <c r="A5" s="132" t="s">
        <v>29</v>
      </c>
      <c r="B5" s="141">
        <v>0</v>
      </c>
      <c r="C5" s="141">
        <v>0</v>
      </c>
      <c r="D5" s="141">
        <v>0</v>
      </c>
      <c r="E5" s="141">
        <v>0</v>
      </c>
      <c r="F5" s="141">
        <v>0</v>
      </c>
      <c r="G5" s="141">
        <v>0</v>
      </c>
      <c r="H5" s="141">
        <v>0</v>
      </c>
      <c r="I5" s="141">
        <v>0</v>
      </c>
      <c r="J5" s="141">
        <v>0</v>
      </c>
      <c r="K5" s="141">
        <v>0</v>
      </c>
      <c r="L5" s="141">
        <v>0</v>
      </c>
      <c r="M5" s="141">
        <v>0</v>
      </c>
      <c r="N5" s="141">
        <v>0</v>
      </c>
      <c r="O5" s="141">
        <v>0</v>
      </c>
      <c r="P5" s="141">
        <v>0</v>
      </c>
      <c r="Q5" s="141">
        <v>0</v>
      </c>
      <c r="R5" s="141">
        <v>0</v>
      </c>
      <c r="S5" s="141">
        <v>0</v>
      </c>
      <c r="T5" s="141">
        <v>0</v>
      </c>
      <c r="U5" s="141">
        <v>0</v>
      </c>
      <c r="V5" s="141">
        <v>0</v>
      </c>
      <c r="W5" s="141">
        <v>0</v>
      </c>
      <c r="DA5" s="171" t="s">
        <v>246</v>
      </c>
    </row>
    <row r="6" spans="1:105" ht="12" customHeight="1" x14ac:dyDescent="0.25">
      <c r="A6" s="132" t="s">
        <v>52</v>
      </c>
      <c r="B6" s="141">
        <v>0</v>
      </c>
      <c r="C6" s="141">
        <v>0</v>
      </c>
      <c r="D6" s="141">
        <v>0</v>
      </c>
      <c r="E6" s="141">
        <v>0</v>
      </c>
      <c r="F6" s="141">
        <v>0</v>
      </c>
      <c r="G6" s="141">
        <v>0</v>
      </c>
      <c r="H6" s="141">
        <v>0</v>
      </c>
      <c r="I6" s="141">
        <v>0</v>
      </c>
      <c r="J6" s="141">
        <v>0</v>
      </c>
      <c r="K6" s="141">
        <v>0</v>
      </c>
      <c r="L6" s="141">
        <v>0</v>
      </c>
      <c r="M6" s="141">
        <v>0</v>
      </c>
      <c r="N6" s="141">
        <v>0</v>
      </c>
      <c r="O6" s="141">
        <v>0</v>
      </c>
      <c r="P6" s="141">
        <v>0</v>
      </c>
      <c r="Q6" s="141">
        <v>0</v>
      </c>
      <c r="R6" s="141">
        <v>0</v>
      </c>
      <c r="S6" s="141">
        <v>0</v>
      </c>
      <c r="T6" s="141">
        <v>0</v>
      </c>
      <c r="U6" s="141">
        <v>0</v>
      </c>
      <c r="V6" s="141">
        <v>0</v>
      </c>
      <c r="W6" s="141">
        <v>0</v>
      </c>
      <c r="DA6" s="171" t="s">
        <v>247</v>
      </c>
    </row>
    <row r="7" spans="1:105" ht="12" customHeight="1" x14ac:dyDescent="0.25">
      <c r="A7" s="132" t="s">
        <v>168</v>
      </c>
      <c r="B7" s="141">
        <v>10320.366691021391</v>
      </c>
      <c r="C7" s="141">
        <v>8877.5311301826459</v>
      </c>
      <c r="D7" s="141">
        <v>7512.9462133937259</v>
      </c>
      <c r="E7" s="141">
        <v>6574.6779336655391</v>
      </c>
      <c r="F7" s="141">
        <v>5689.0291422710261</v>
      </c>
      <c r="G7" s="141">
        <v>4973.9841873735131</v>
      </c>
      <c r="H7" s="141">
        <v>4425.7233268499222</v>
      </c>
      <c r="I7" s="141">
        <v>4220.7323097684521</v>
      </c>
      <c r="J7" s="141">
        <v>4271.5172011034683</v>
      </c>
      <c r="K7" s="141">
        <v>4106.2148685661023</v>
      </c>
      <c r="L7" s="141">
        <v>4261.9565535756401</v>
      </c>
      <c r="M7" s="141">
        <v>4430.9017205080618</v>
      </c>
      <c r="N7" s="141">
        <v>4670.529788224726</v>
      </c>
      <c r="O7" s="141">
        <v>4577.4357810845077</v>
      </c>
      <c r="P7" s="141">
        <v>4184.2773398721092</v>
      </c>
      <c r="Q7" s="141">
        <v>3643.0347806777208</v>
      </c>
      <c r="R7" s="141">
        <v>3266.0882501841588</v>
      </c>
      <c r="S7" s="141">
        <v>3185.3195032564649</v>
      </c>
      <c r="T7" s="141">
        <v>3221.1513078304652</v>
      </c>
      <c r="U7" s="141">
        <v>3425.2814718548939</v>
      </c>
      <c r="V7" s="141">
        <v>3656.2495921614</v>
      </c>
      <c r="W7" s="141">
        <v>3677.8143816962997</v>
      </c>
      <c r="DA7" s="171" t="s">
        <v>248</v>
      </c>
    </row>
    <row r="8" spans="1:105" ht="12" customHeight="1" x14ac:dyDescent="0.25">
      <c r="A8" s="132" t="s">
        <v>73</v>
      </c>
      <c r="B8" s="141">
        <v>0</v>
      </c>
      <c r="C8" s="141">
        <v>0</v>
      </c>
      <c r="D8" s="141">
        <v>0</v>
      </c>
      <c r="E8" s="141">
        <v>0</v>
      </c>
      <c r="F8" s="141">
        <v>0</v>
      </c>
      <c r="G8" s="141">
        <v>0</v>
      </c>
      <c r="H8" s="141">
        <v>0</v>
      </c>
      <c r="I8" s="141">
        <v>0</v>
      </c>
      <c r="J8" s="141">
        <v>0</v>
      </c>
      <c r="K8" s="141">
        <v>0</v>
      </c>
      <c r="L8" s="141">
        <v>0</v>
      </c>
      <c r="M8" s="141">
        <v>0</v>
      </c>
      <c r="N8" s="141">
        <v>0</v>
      </c>
      <c r="O8" s="141">
        <v>0</v>
      </c>
      <c r="P8" s="141">
        <v>0</v>
      </c>
      <c r="Q8" s="141">
        <v>0</v>
      </c>
      <c r="R8" s="141">
        <v>0</v>
      </c>
      <c r="S8" s="141">
        <v>0</v>
      </c>
      <c r="T8" s="141">
        <v>0</v>
      </c>
      <c r="U8" s="141">
        <v>0</v>
      </c>
      <c r="V8" s="141">
        <v>0</v>
      </c>
      <c r="W8" s="141">
        <v>0</v>
      </c>
      <c r="DA8" s="171" t="s">
        <v>249</v>
      </c>
    </row>
    <row r="9" spans="1:105" ht="12" customHeight="1" x14ac:dyDescent="0.25">
      <c r="A9" s="132" t="s">
        <v>78</v>
      </c>
      <c r="B9" s="141">
        <v>0</v>
      </c>
      <c r="C9" s="141">
        <v>0</v>
      </c>
      <c r="D9" s="141">
        <v>0</v>
      </c>
      <c r="E9" s="141">
        <v>0</v>
      </c>
      <c r="F9" s="141">
        <v>0</v>
      </c>
      <c r="G9" s="141">
        <v>0</v>
      </c>
      <c r="H9" s="141">
        <v>0</v>
      </c>
      <c r="I9" s="141">
        <v>0</v>
      </c>
      <c r="J9" s="141">
        <v>0</v>
      </c>
      <c r="K9" s="141">
        <v>50.689737567417623</v>
      </c>
      <c r="L9" s="141">
        <v>66.464204354625821</v>
      </c>
      <c r="M9" s="141">
        <v>74.071260956954703</v>
      </c>
      <c r="N9" s="141">
        <v>77.277016390145576</v>
      </c>
      <c r="O9" s="141">
        <v>74.917397092405793</v>
      </c>
      <c r="P9" s="141">
        <v>75.083053444313009</v>
      </c>
      <c r="Q9" s="141">
        <v>75.125414307402323</v>
      </c>
      <c r="R9" s="141">
        <v>94.607954325382025</v>
      </c>
      <c r="S9" s="141">
        <v>126.41296142936289</v>
      </c>
      <c r="T9" s="141">
        <v>165.23966829045753</v>
      </c>
      <c r="U9" s="141">
        <v>175.8402099891054</v>
      </c>
      <c r="V9" s="141">
        <v>175.39958645112463</v>
      </c>
      <c r="W9" s="141">
        <v>174.59537943880858</v>
      </c>
      <c r="DA9" s="171" t="s">
        <v>250</v>
      </c>
    </row>
    <row r="10" spans="1:105" ht="12" customHeight="1" x14ac:dyDescent="0.25">
      <c r="A10" s="132" t="s">
        <v>128</v>
      </c>
      <c r="B10" s="141">
        <v>0</v>
      </c>
      <c r="C10" s="141">
        <v>0</v>
      </c>
      <c r="D10" s="141">
        <v>0</v>
      </c>
      <c r="E10" s="141">
        <v>0</v>
      </c>
      <c r="F10" s="141">
        <v>0</v>
      </c>
      <c r="G10" s="141">
        <v>0</v>
      </c>
      <c r="H10" s="141">
        <v>0</v>
      </c>
      <c r="I10" s="141">
        <v>96.722281722147059</v>
      </c>
      <c r="J10" s="141">
        <v>152.25494546113126</v>
      </c>
      <c r="K10" s="141">
        <v>151.77506578705231</v>
      </c>
      <c r="L10" s="141">
        <v>151.54646380280445</v>
      </c>
      <c r="M10" s="141">
        <v>157.07271086885365</v>
      </c>
      <c r="N10" s="141">
        <v>181.31863334724954</v>
      </c>
      <c r="O10" s="141">
        <v>211.80680126760254</v>
      </c>
      <c r="P10" s="141">
        <v>243.83670759738061</v>
      </c>
      <c r="Q10" s="141">
        <v>323.21294762782952</v>
      </c>
      <c r="R10" s="141">
        <v>319.89712212087159</v>
      </c>
      <c r="S10" s="141">
        <v>307.34627381419119</v>
      </c>
      <c r="T10" s="141">
        <v>223.84654844469779</v>
      </c>
      <c r="U10" s="141">
        <v>188.95251324755722</v>
      </c>
      <c r="V10" s="141">
        <v>191.3416309299898</v>
      </c>
      <c r="W10" s="141">
        <v>202.32533928892479</v>
      </c>
      <c r="DA10" s="171" t="s">
        <v>251</v>
      </c>
    </row>
    <row r="11" spans="1:105" ht="12" customHeight="1" x14ac:dyDescent="0.25">
      <c r="A11" s="132" t="s">
        <v>25</v>
      </c>
      <c r="B11" s="141">
        <v>0</v>
      </c>
      <c r="C11" s="141">
        <v>0</v>
      </c>
      <c r="D11" s="141">
        <v>0</v>
      </c>
      <c r="E11" s="141">
        <v>0</v>
      </c>
      <c r="F11" s="141">
        <v>0</v>
      </c>
      <c r="G11" s="141">
        <v>0</v>
      </c>
      <c r="H11" s="141">
        <v>0</v>
      </c>
      <c r="I11" s="141">
        <v>0</v>
      </c>
      <c r="J11" s="141">
        <v>0</v>
      </c>
      <c r="K11" s="141">
        <v>0</v>
      </c>
      <c r="L11" s="141">
        <v>0</v>
      </c>
      <c r="M11" s="141">
        <v>0</v>
      </c>
      <c r="N11" s="141">
        <v>0</v>
      </c>
      <c r="O11" s="141">
        <v>0</v>
      </c>
      <c r="P11" s="141">
        <v>0</v>
      </c>
      <c r="Q11" s="141">
        <v>0</v>
      </c>
      <c r="R11" s="141">
        <v>0</v>
      </c>
      <c r="S11" s="141">
        <v>0</v>
      </c>
      <c r="T11" s="141">
        <v>0</v>
      </c>
      <c r="U11" s="141">
        <v>0</v>
      </c>
      <c r="V11" s="141">
        <v>0</v>
      </c>
      <c r="W11" s="141">
        <v>0</v>
      </c>
      <c r="DA11" s="171" t="s">
        <v>252</v>
      </c>
    </row>
    <row r="12" spans="1:105" ht="12" customHeight="1" x14ac:dyDescent="0.25">
      <c r="A12" s="132" t="s">
        <v>169</v>
      </c>
      <c r="B12" s="141">
        <v>0</v>
      </c>
      <c r="C12" s="141">
        <v>0</v>
      </c>
      <c r="D12" s="141">
        <v>0</v>
      </c>
      <c r="E12" s="141">
        <v>0</v>
      </c>
      <c r="F12" s="141">
        <v>0</v>
      </c>
      <c r="G12" s="141">
        <v>0</v>
      </c>
      <c r="H12" s="141">
        <v>0</v>
      </c>
      <c r="I12" s="141">
        <v>0</v>
      </c>
      <c r="J12" s="141">
        <v>0</v>
      </c>
      <c r="K12" s="141">
        <v>0</v>
      </c>
      <c r="L12" s="141">
        <v>0</v>
      </c>
      <c r="M12" s="141">
        <v>0</v>
      </c>
      <c r="N12" s="141">
        <v>0</v>
      </c>
      <c r="O12" s="141">
        <v>0</v>
      </c>
      <c r="P12" s="141">
        <v>0</v>
      </c>
      <c r="Q12" s="141">
        <v>0</v>
      </c>
      <c r="R12" s="141">
        <v>0</v>
      </c>
      <c r="S12" s="141">
        <v>0</v>
      </c>
      <c r="T12" s="141">
        <v>0</v>
      </c>
      <c r="U12" s="141">
        <v>0</v>
      </c>
      <c r="V12" s="141">
        <v>0</v>
      </c>
      <c r="W12" s="141">
        <v>0</v>
      </c>
      <c r="DA12" s="171" t="s">
        <v>253</v>
      </c>
    </row>
    <row r="13" spans="1:105" ht="12" customHeight="1" x14ac:dyDescent="0.25">
      <c r="A13" s="132" t="s">
        <v>77</v>
      </c>
      <c r="B13" s="141">
        <v>440.87045831502815</v>
      </c>
      <c r="C13" s="141">
        <v>716.06656037686014</v>
      </c>
      <c r="D13" s="141">
        <v>1142.3847218154829</v>
      </c>
      <c r="E13" s="141">
        <v>1630.6207908545312</v>
      </c>
      <c r="F13" s="141">
        <v>2078.8569591512701</v>
      </c>
      <c r="G13" s="141">
        <v>2451.608867119774</v>
      </c>
      <c r="H13" s="141">
        <v>2536.4882092123758</v>
      </c>
      <c r="I13" s="141">
        <v>2703.9966904685225</v>
      </c>
      <c r="J13" s="141">
        <v>2825.5614831111784</v>
      </c>
      <c r="K13" s="141">
        <v>3249.7665199213607</v>
      </c>
      <c r="L13" s="141">
        <v>4129.4030852610249</v>
      </c>
      <c r="M13" s="141">
        <v>6205.49759440655</v>
      </c>
      <c r="N13" s="141">
        <v>9557.3531809888391</v>
      </c>
      <c r="O13" s="141">
        <v>12757.830776234579</v>
      </c>
      <c r="P13" s="141">
        <v>13829.290535664746</v>
      </c>
      <c r="Q13" s="141">
        <v>13979.552075803073</v>
      </c>
      <c r="R13" s="141">
        <v>13935.537745301039</v>
      </c>
      <c r="S13" s="141">
        <v>14199.36423986467</v>
      </c>
      <c r="T13" s="141">
        <v>14511.795952047392</v>
      </c>
      <c r="U13" s="141">
        <v>14601.402943810779</v>
      </c>
      <c r="V13" s="141">
        <v>14829.977917150871</v>
      </c>
      <c r="W13" s="141">
        <v>14883.862560839862</v>
      </c>
      <c r="DA13" s="171" t="s">
        <v>254</v>
      </c>
    </row>
    <row r="14" spans="1:105" ht="12" customHeight="1" x14ac:dyDescent="0.25">
      <c r="A14" s="60" t="s">
        <v>76</v>
      </c>
      <c r="B14" s="142">
        <v>5514.4538201052792</v>
      </c>
      <c r="C14" s="142">
        <v>7008.720738172924</v>
      </c>
      <c r="D14" s="142">
        <v>8183.783972947841</v>
      </c>
      <c r="E14" s="142">
        <v>8916.3073063317715</v>
      </c>
      <c r="F14" s="142">
        <v>9733.3997227292948</v>
      </c>
      <c r="G14" s="142">
        <v>10470.671841301622</v>
      </c>
      <c r="H14" s="142">
        <v>11311.835047213122</v>
      </c>
      <c r="I14" s="142">
        <v>11721.234639351871</v>
      </c>
      <c r="J14" s="142">
        <v>11957.013256868166</v>
      </c>
      <c r="K14" s="142">
        <v>12271.9622698167</v>
      </c>
      <c r="L14" s="142">
        <v>11900.855427671158</v>
      </c>
      <c r="M14" s="142">
        <v>10116.392207403129</v>
      </c>
      <c r="N14" s="142">
        <v>6987.0574183892722</v>
      </c>
      <c r="O14" s="142">
        <v>3859.9376210669466</v>
      </c>
      <c r="P14" s="142">
        <v>2931.0471363158158</v>
      </c>
      <c r="Q14" s="142">
        <v>3102.2367004535968</v>
      </c>
      <c r="R14" s="142">
        <v>3683.553638379391</v>
      </c>
      <c r="S14" s="142">
        <v>3779.1571389508422</v>
      </c>
      <c r="T14" s="142">
        <v>3772.4114416208272</v>
      </c>
      <c r="U14" s="142">
        <v>3792.5134987180954</v>
      </c>
      <c r="V14" s="142">
        <v>3581.5401621955016</v>
      </c>
      <c r="W14" s="142">
        <v>3737.1028562372521</v>
      </c>
      <c r="DA14" s="172" t="s">
        <v>255</v>
      </c>
    </row>
    <row r="15" spans="1:105" ht="12" hidden="1" customHeight="1" x14ac:dyDescent="0.25">
      <c r="A15" s="143" t="s">
        <v>75</v>
      </c>
      <c r="B15" s="144">
        <f t="shared" ref="B15:Q15" si="3">SUM(B5:B12)</f>
        <v>10320.366691021391</v>
      </c>
      <c r="C15" s="144">
        <f t="shared" si="3"/>
        <v>8877.5311301826459</v>
      </c>
      <c r="D15" s="144">
        <f t="shared" si="3"/>
        <v>7512.9462133937259</v>
      </c>
      <c r="E15" s="144">
        <f t="shared" si="3"/>
        <v>6574.6779336655391</v>
      </c>
      <c r="F15" s="144">
        <f t="shared" si="3"/>
        <v>5689.0291422710261</v>
      </c>
      <c r="G15" s="144">
        <f t="shared" si="3"/>
        <v>4973.9841873735131</v>
      </c>
      <c r="H15" s="144">
        <f t="shared" si="3"/>
        <v>4425.7233268499222</v>
      </c>
      <c r="I15" s="144">
        <f t="shared" si="3"/>
        <v>4317.4545914905993</v>
      </c>
      <c r="J15" s="144">
        <f t="shared" si="3"/>
        <v>4423.7721465646</v>
      </c>
      <c r="K15" s="144">
        <f t="shared" si="3"/>
        <v>4308.6796719205722</v>
      </c>
      <c r="L15" s="144">
        <f t="shared" si="3"/>
        <v>4479.9672217330699</v>
      </c>
      <c r="M15" s="144">
        <f t="shared" si="3"/>
        <v>4662.0456923338697</v>
      </c>
      <c r="N15" s="144">
        <f t="shared" si="3"/>
        <v>4929.1254379621214</v>
      </c>
      <c r="O15" s="144">
        <f t="shared" si="3"/>
        <v>4864.1599794445156</v>
      </c>
      <c r="P15" s="144">
        <f t="shared" si="3"/>
        <v>4503.1971009138033</v>
      </c>
      <c r="Q15" s="144">
        <f t="shared" si="3"/>
        <v>4041.373142612953</v>
      </c>
      <c r="R15" s="144">
        <f t="shared" ref="R15:W15" si="4">SUM(R5:R12)</f>
        <v>3680.5933266304123</v>
      </c>
      <c r="S15" s="144">
        <f t="shared" si="4"/>
        <v>3619.078738500019</v>
      </c>
      <c r="T15" s="144">
        <f t="shared" si="4"/>
        <v>3610.2375245656203</v>
      </c>
      <c r="U15" s="144">
        <f t="shared" si="4"/>
        <v>3790.0741950915567</v>
      </c>
      <c r="V15" s="144">
        <f t="shared" si="4"/>
        <v>4022.9908095425144</v>
      </c>
      <c r="W15" s="144">
        <f t="shared" si="4"/>
        <v>4054.7351004240331</v>
      </c>
      <c r="DA15" s="173"/>
    </row>
    <row r="16" spans="1:105" ht="12.95" customHeight="1" x14ac:dyDescent="0.25">
      <c r="A16" s="130" t="s">
        <v>74</v>
      </c>
      <c r="B16" s="140">
        <f t="shared" ref="B16:Q16" si="5">SUM(B17:B18)</f>
        <v>4095.2960515795025</v>
      </c>
      <c r="C16" s="140">
        <f t="shared" si="5"/>
        <v>5115.2468835373456</v>
      </c>
      <c r="D16" s="140">
        <f t="shared" si="5"/>
        <v>6189.2146921904687</v>
      </c>
      <c r="E16" s="140">
        <f t="shared" si="5"/>
        <v>7003.67856254464</v>
      </c>
      <c r="F16" s="140">
        <f t="shared" si="5"/>
        <v>8021.4909934674715</v>
      </c>
      <c r="G16" s="140">
        <f t="shared" si="5"/>
        <v>8944.4577802878848</v>
      </c>
      <c r="H16" s="140">
        <f t="shared" si="5"/>
        <v>9627.5992998084203</v>
      </c>
      <c r="I16" s="140">
        <f t="shared" si="5"/>
        <v>10286.829107163016</v>
      </c>
      <c r="J16" s="140">
        <f t="shared" si="5"/>
        <v>10948.901997012088</v>
      </c>
      <c r="K16" s="140">
        <f t="shared" si="5"/>
        <v>11677.217833073353</v>
      </c>
      <c r="L16" s="140">
        <f t="shared" si="5"/>
        <v>12515.836143978289</v>
      </c>
      <c r="M16" s="140">
        <f t="shared" si="5"/>
        <v>13300.352704571298</v>
      </c>
      <c r="N16" s="140">
        <f t="shared" si="5"/>
        <v>13696.160142993042</v>
      </c>
      <c r="O16" s="140">
        <f t="shared" si="5"/>
        <v>13853.147977197214</v>
      </c>
      <c r="P16" s="140">
        <f t="shared" si="5"/>
        <v>13801.584956351386</v>
      </c>
      <c r="Q16" s="140">
        <f t="shared" si="5"/>
        <v>13805.989616960911</v>
      </c>
      <c r="R16" s="140">
        <f t="shared" ref="R16:W16" si="6">SUM(R17:R18)</f>
        <v>14023.368781529549</v>
      </c>
      <c r="S16" s="140">
        <f t="shared" si="6"/>
        <v>14321.676096483801</v>
      </c>
      <c r="T16" s="140">
        <f t="shared" si="6"/>
        <v>14823.813258009768</v>
      </c>
      <c r="U16" s="140">
        <f t="shared" si="6"/>
        <v>15432.933765797847</v>
      </c>
      <c r="V16" s="140">
        <f t="shared" si="6"/>
        <v>15213.870108956891</v>
      </c>
      <c r="W16" s="140">
        <f t="shared" si="6"/>
        <v>15986.26158324688</v>
      </c>
      <c r="DA16" s="170" t="s">
        <v>256</v>
      </c>
    </row>
    <row r="17" spans="1:105" ht="12.95" customHeight="1" x14ac:dyDescent="0.25">
      <c r="A17" s="132" t="s">
        <v>73</v>
      </c>
      <c r="B17" s="141">
        <v>0</v>
      </c>
      <c r="C17" s="141">
        <v>0</v>
      </c>
      <c r="D17" s="141">
        <v>0</v>
      </c>
      <c r="E17" s="141">
        <v>0</v>
      </c>
      <c r="F17" s="141">
        <v>0</v>
      </c>
      <c r="G17" s="141">
        <v>0</v>
      </c>
      <c r="H17" s="141">
        <v>0</v>
      </c>
      <c r="I17" s="141">
        <v>0</v>
      </c>
      <c r="J17" s="141">
        <v>0</v>
      </c>
      <c r="K17" s="141">
        <v>0</v>
      </c>
      <c r="L17" s="141">
        <v>0</v>
      </c>
      <c r="M17" s="141">
        <v>0</v>
      </c>
      <c r="N17" s="141">
        <v>0</v>
      </c>
      <c r="O17" s="141">
        <v>0</v>
      </c>
      <c r="P17" s="141">
        <v>0</v>
      </c>
      <c r="Q17" s="141">
        <v>0</v>
      </c>
      <c r="R17" s="141">
        <v>0</v>
      </c>
      <c r="S17" s="141">
        <v>0</v>
      </c>
      <c r="T17" s="141">
        <v>0</v>
      </c>
      <c r="U17" s="141">
        <v>0</v>
      </c>
      <c r="V17" s="141">
        <v>0</v>
      </c>
      <c r="W17" s="141">
        <v>0</v>
      </c>
      <c r="DA17" s="171" t="s">
        <v>257</v>
      </c>
    </row>
    <row r="18" spans="1:105" ht="12" customHeight="1" x14ac:dyDescent="0.25">
      <c r="A18" s="132" t="s">
        <v>72</v>
      </c>
      <c r="B18" s="141">
        <v>4095.2960515795025</v>
      </c>
      <c r="C18" s="141">
        <v>5115.2468835373456</v>
      </c>
      <c r="D18" s="141">
        <v>6189.2146921904687</v>
      </c>
      <c r="E18" s="141">
        <v>7003.67856254464</v>
      </c>
      <c r="F18" s="141">
        <v>8021.4909934674715</v>
      </c>
      <c r="G18" s="141">
        <v>8944.4577802878848</v>
      </c>
      <c r="H18" s="141">
        <v>9627.5992998084203</v>
      </c>
      <c r="I18" s="141">
        <v>10286.829107163016</v>
      </c>
      <c r="J18" s="141">
        <v>10948.901997012088</v>
      </c>
      <c r="K18" s="141">
        <v>11677.217833073353</v>
      </c>
      <c r="L18" s="141">
        <v>12515.836143978289</v>
      </c>
      <c r="M18" s="141">
        <v>13300.352704571298</v>
      </c>
      <c r="N18" s="141">
        <v>13696.160142993042</v>
      </c>
      <c r="O18" s="141">
        <v>13853.147977197214</v>
      </c>
      <c r="P18" s="141">
        <v>13801.584956351386</v>
      </c>
      <c r="Q18" s="141">
        <v>13805.989616960911</v>
      </c>
      <c r="R18" s="141">
        <v>14023.368781529549</v>
      </c>
      <c r="S18" s="141">
        <v>14321.676096483801</v>
      </c>
      <c r="T18" s="141">
        <v>14823.813258009768</v>
      </c>
      <c r="U18" s="141">
        <v>15432.933765797847</v>
      </c>
      <c r="V18" s="141">
        <v>15213.870108956891</v>
      </c>
      <c r="W18" s="141">
        <v>15986.26158324688</v>
      </c>
      <c r="DA18" s="171" t="s">
        <v>258</v>
      </c>
    </row>
    <row r="19" spans="1:105" ht="12.95" customHeight="1" x14ac:dyDescent="0.25">
      <c r="A19" s="130" t="s">
        <v>35</v>
      </c>
      <c r="B19" s="140">
        <f t="shared" ref="B19:Q19" si="7">SUM(B20:B26)</f>
        <v>16275.690969441697</v>
      </c>
      <c r="C19" s="140">
        <f t="shared" si="7"/>
        <v>16602.318428732433</v>
      </c>
      <c r="D19" s="140">
        <f t="shared" si="7"/>
        <v>16839.114908157051</v>
      </c>
      <c r="E19" s="140">
        <f t="shared" si="7"/>
        <v>17121.606030851839</v>
      </c>
      <c r="F19" s="140">
        <f t="shared" si="7"/>
        <v>17501.285824151593</v>
      </c>
      <c r="G19" s="140">
        <f t="shared" si="7"/>
        <v>17896.264895794902</v>
      </c>
      <c r="H19" s="140">
        <f t="shared" si="7"/>
        <v>18274.04658327542</v>
      </c>
      <c r="I19" s="140">
        <f t="shared" si="7"/>
        <v>18742.685921310989</v>
      </c>
      <c r="J19" s="140">
        <f t="shared" si="7"/>
        <v>19206.346886543946</v>
      </c>
      <c r="K19" s="140">
        <f t="shared" si="7"/>
        <v>19830.408461658641</v>
      </c>
      <c r="L19" s="140">
        <f t="shared" si="7"/>
        <v>20510.225734665262</v>
      </c>
      <c r="M19" s="140">
        <f t="shared" si="7"/>
        <v>20983.935494143545</v>
      </c>
      <c r="N19" s="140">
        <f t="shared" si="7"/>
        <v>21473.53603734024</v>
      </c>
      <c r="O19" s="140">
        <f t="shared" si="7"/>
        <v>21481.928376746037</v>
      </c>
      <c r="P19" s="140">
        <f t="shared" si="7"/>
        <v>21263.534772894382</v>
      </c>
      <c r="Q19" s="140">
        <f t="shared" si="7"/>
        <v>21123.161918869613</v>
      </c>
      <c r="R19" s="140">
        <f t="shared" ref="R19:W19" si="8">SUM(R20:R26)</f>
        <v>21299.684710310841</v>
      </c>
      <c r="S19" s="140">
        <f t="shared" si="8"/>
        <v>21597.600117315527</v>
      </c>
      <c r="T19" s="140">
        <f t="shared" si="8"/>
        <v>21894.444918233832</v>
      </c>
      <c r="U19" s="140">
        <f t="shared" si="8"/>
        <v>22183.990637620438</v>
      </c>
      <c r="V19" s="140">
        <f t="shared" si="8"/>
        <v>22434.508888888893</v>
      </c>
      <c r="W19" s="140">
        <f t="shared" si="8"/>
        <v>22675.700517501151</v>
      </c>
      <c r="DA19" s="170" t="s">
        <v>259</v>
      </c>
    </row>
    <row r="20" spans="1:105" ht="12" customHeight="1" x14ac:dyDescent="0.25">
      <c r="A20" s="132" t="s">
        <v>29</v>
      </c>
      <c r="B20" s="141">
        <v>0</v>
      </c>
      <c r="C20" s="141">
        <v>0</v>
      </c>
      <c r="D20" s="141">
        <v>0</v>
      </c>
      <c r="E20" s="141">
        <v>0</v>
      </c>
      <c r="F20" s="141">
        <v>0</v>
      </c>
      <c r="G20" s="141">
        <v>0</v>
      </c>
      <c r="H20" s="141">
        <v>0</v>
      </c>
      <c r="I20" s="141">
        <v>0</v>
      </c>
      <c r="J20" s="141">
        <v>0</v>
      </c>
      <c r="K20" s="141">
        <v>0</v>
      </c>
      <c r="L20" s="141">
        <v>0</v>
      </c>
      <c r="M20" s="141">
        <v>0</v>
      </c>
      <c r="N20" s="141">
        <v>0</v>
      </c>
      <c r="O20" s="141">
        <v>0</v>
      </c>
      <c r="P20" s="141">
        <v>0</v>
      </c>
      <c r="Q20" s="141">
        <v>0</v>
      </c>
      <c r="R20" s="141">
        <v>0</v>
      </c>
      <c r="S20" s="141">
        <v>0</v>
      </c>
      <c r="T20" s="141">
        <v>0</v>
      </c>
      <c r="U20" s="141">
        <v>0</v>
      </c>
      <c r="V20" s="141">
        <v>0</v>
      </c>
      <c r="W20" s="141">
        <v>0</v>
      </c>
      <c r="DA20" s="171" t="s">
        <v>260</v>
      </c>
    </row>
    <row r="21" spans="1:105" s="2" customFormat="1" ht="12" customHeight="1" x14ac:dyDescent="0.25">
      <c r="A21" s="132" t="s">
        <v>52</v>
      </c>
      <c r="B21" s="141">
        <v>0</v>
      </c>
      <c r="C21" s="141">
        <v>0</v>
      </c>
      <c r="D21" s="141">
        <v>0</v>
      </c>
      <c r="E21" s="141">
        <v>0</v>
      </c>
      <c r="F21" s="141">
        <v>0</v>
      </c>
      <c r="G21" s="141">
        <v>0</v>
      </c>
      <c r="H21" s="141">
        <v>4520.5977247961009</v>
      </c>
      <c r="I21" s="141">
        <v>5945.4059798783801</v>
      </c>
      <c r="J21" s="141">
        <v>6729.1124585932112</v>
      </c>
      <c r="K21" s="141">
        <v>6852.4186004404792</v>
      </c>
      <c r="L21" s="141">
        <v>6899.6590882931023</v>
      </c>
      <c r="M21" s="141">
        <v>6695.3373312600115</v>
      </c>
      <c r="N21" s="141">
        <v>6306.0587308849281</v>
      </c>
      <c r="O21" s="141">
        <v>5799.9358235844265</v>
      </c>
      <c r="P21" s="141">
        <v>5180.0497336858061</v>
      </c>
      <c r="Q21" s="141">
        <v>4996.6028513101064</v>
      </c>
      <c r="R21" s="141">
        <v>4975.3891471933111</v>
      </c>
      <c r="S21" s="141">
        <v>5040.0518598861609</v>
      </c>
      <c r="T21" s="141">
        <v>4966.7486372960229</v>
      </c>
      <c r="U21" s="141">
        <v>4832.9388442101426</v>
      </c>
      <c r="V21" s="141">
        <v>4366.2653460634037</v>
      </c>
      <c r="W21" s="141">
        <v>4165.5471345868755</v>
      </c>
      <c r="DA21" s="171" t="s">
        <v>261</v>
      </c>
    </row>
    <row r="22" spans="1:105" ht="12" customHeight="1" x14ac:dyDescent="0.25">
      <c r="A22" s="132" t="s">
        <v>168</v>
      </c>
      <c r="B22" s="141">
        <v>530.35467948701705</v>
      </c>
      <c r="C22" s="141">
        <v>534.63111323291946</v>
      </c>
      <c r="D22" s="141">
        <v>537.47841844144546</v>
      </c>
      <c r="E22" s="141">
        <v>539.90421550038536</v>
      </c>
      <c r="F22" s="141">
        <v>545.09302025497971</v>
      </c>
      <c r="G22" s="141">
        <v>552.56737976271449</v>
      </c>
      <c r="H22" s="141">
        <v>563.694319251411</v>
      </c>
      <c r="I22" s="141">
        <v>573.59700254590155</v>
      </c>
      <c r="J22" s="141">
        <v>578.34290098543147</v>
      </c>
      <c r="K22" s="141">
        <v>584.49716900644489</v>
      </c>
      <c r="L22" s="141">
        <v>592.26705136743499</v>
      </c>
      <c r="M22" s="141">
        <v>598.88053796048735</v>
      </c>
      <c r="N22" s="141">
        <v>604.9107395895312</v>
      </c>
      <c r="O22" s="141">
        <v>606.80650025704642</v>
      </c>
      <c r="P22" s="141">
        <v>612.87263951625448</v>
      </c>
      <c r="Q22" s="141">
        <v>621.15518736155718</v>
      </c>
      <c r="R22" s="141">
        <v>637.02626905266982</v>
      </c>
      <c r="S22" s="141">
        <v>659.96935406596833</v>
      </c>
      <c r="T22" s="141">
        <v>685.37329671612417</v>
      </c>
      <c r="U22" s="141">
        <v>717.63962707140342</v>
      </c>
      <c r="V22" s="141">
        <v>726.30939779052949</v>
      </c>
      <c r="W22" s="141">
        <v>731.21113819086531</v>
      </c>
      <c r="DA22" s="171" t="s">
        <v>262</v>
      </c>
    </row>
    <row r="23" spans="1:105" ht="12" customHeight="1" x14ac:dyDescent="0.25">
      <c r="A23" s="132" t="s">
        <v>153</v>
      </c>
      <c r="B23" s="141">
        <v>0</v>
      </c>
      <c r="C23" s="141">
        <v>0</v>
      </c>
      <c r="D23" s="141">
        <v>0</v>
      </c>
      <c r="E23" s="141">
        <v>0</v>
      </c>
      <c r="F23" s="141">
        <v>0</v>
      </c>
      <c r="G23" s="141">
        <v>0</v>
      </c>
      <c r="H23" s="141">
        <v>0</v>
      </c>
      <c r="I23" s="141">
        <v>0</v>
      </c>
      <c r="J23" s="141">
        <v>0</v>
      </c>
      <c r="K23" s="141">
        <v>0</v>
      </c>
      <c r="L23" s="141">
        <v>0</v>
      </c>
      <c r="M23" s="141">
        <v>0</v>
      </c>
      <c r="N23" s="141">
        <v>0</v>
      </c>
      <c r="O23" s="141">
        <v>0</v>
      </c>
      <c r="P23" s="141">
        <v>0</v>
      </c>
      <c r="Q23" s="141">
        <v>0</v>
      </c>
      <c r="R23" s="141">
        <v>0</v>
      </c>
      <c r="S23" s="141">
        <v>0</v>
      </c>
      <c r="T23" s="141">
        <v>0</v>
      </c>
      <c r="U23" s="141">
        <v>0</v>
      </c>
      <c r="V23" s="141">
        <v>0</v>
      </c>
      <c r="W23" s="141">
        <v>0</v>
      </c>
      <c r="DA23" s="171" t="s">
        <v>263</v>
      </c>
    </row>
    <row r="24" spans="1:105" ht="12" customHeight="1" x14ac:dyDescent="0.25">
      <c r="A24" s="132" t="s">
        <v>128</v>
      </c>
      <c r="B24" s="141">
        <v>0</v>
      </c>
      <c r="C24" s="141">
        <v>0</v>
      </c>
      <c r="D24" s="141">
        <v>0</v>
      </c>
      <c r="E24" s="141">
        <v>0</v>
      </c>
      <c r="F24" s="141">
        <v>0</v>
      </c>
      <c r="G24" s="141">
        <v>0</v>
      </c>
      <c r="H24" s="141">
        <v>0</v>
      </c>
      <c r="I24" s="141">
        <v>0</v>
      </c>
      <c r="J24" s="141">
        <v>0</v>
      </c>
      <c r="K24" s="141">
        <v>0</v>
      </c>
      <c r="L24" s="141">
        <v>0</v>
      </c>
      <c r="M24" s="141">
        <v>0</v>
      </c>
      <c r="N24" s="141">
        <v>0</v>
      </c>
      <c r="O24" s="141">
        <v>0</v>
      </c>
      <c r="P24" s="141">
        <v>0</v>
      </c>
      <c r="Q24" s="141">
        <v>0</v>
      </c>
      <c r="R24" s="141">
        <v>0</v>
      </c>
      <c r="S24" s="141">
        <v>0</v>
      </c>
      <c r="T24" s="141">
        <v>0</v>
      </c>
      <c r="U24" s="141">
        <v>0</v>
      </c>
      <c r="V24" s="141">
        <v>0</v>
      </c>
      <c r="W24" s="141">
        <v>0</v>
      </c>
      <c r="DA24" s="171" t="s">
        <v>264</v>
      </c>
    </row>
    <row r="25" spans="1:105" ht="12" customHeight="1" x14ac:dyDescent="0.25">
      <c r="A25" s="132" t="s">
        <v>169</v>
      </c>
      <c r="B25" s="141">
        <v>0</v>
      </c>
      <c r="C25" s="141">
        <v>0</v>
      </c>
      <c r="D25" s="141">
        <v>0</v>
      </c>
      <c r="E25" s="141">
        <v>0</v>
      </c>
      <c r="F25" s="141">
        <v>0</v>
      </c>
      <c r="G25" s="141">
        <v>0</v>
      </c>
      <c r="H25" s="141">
        <v>0</v>
      </c>
      <c r="I25" s="141">
        <v>0</v>
      </c>
      <c r="J25" s="141">
        <v>0</v>
      </c>
      <c r="K25" s="141">
        <v>0</v>
      </c>
      <c r="L25" s="141">
        <v>0</v>
      </c>
      <c r="M25" s="141">
        <v>0</v>
      </c>
      <c r="N25" s="141">
        <v>0</v>
      </c>
      <c r="O25" s="141">
        <v>0</v>
      </c>
      <c r="P25" s="141">
        <v>0</v>
      </c>
      <c r="Q25" s="141">
        <v>0</v>
      </c>
      <c r="R25" s="141">
        <v>0</v>
      </c>
      <c r="S25" s="141">
        <v>0</v>
      </c>
      <c r="T25" s="141">
        <v>0</v>
      </c>
      <c r="U25" s="141">
        <v>0</v>
      </c>
      <c r="V25" s="141">
        <v>0</v>
      </c>
      <c r="W25" s="141">
        <v>0</v>
      </c>
      <c r="DA25" s="171" t="s">
        <v>265</v>
      </c>
    </row>
    <row r="26" spans="1:105" ht="12" customHeight="1" x14ac:dyDescent="0.25">
      <c r="A26" s="132" t="s">
        <v>24</v>
      </c>
      <c r="B26" s="142">
        <v>15745.336289954681</v>
      </c>
      <c r="C26" s="142">
        <v>16067.687315499512</v>
      </c>
      <c r="D26" s="142">
        <v>16301.636489715605</v>
      </c>
      <c r="E26" s="142">
        <v>16581.701815351455</v>
      </c>
      <c r="F26" s="142">
        <v>16956.192803896614</v>
      </c>
      <c r="G26" s="142">
        <v>17343.697516032189</v>
      </c>
      <c r="H26" s="142">
        <v>13189.75453922791</v>
      </c>
      <c r="I26" s="142">
        <v>12223.682938886706</v>
      </c>
      <c r="J26" s="142">
        <v>11898.891526965304</v>
      </c>
      <c r="K26" s="142">
        <v>12393.492692211716</v>
      </c>
      <c r="L26" s="142">
        <v>13018.299595004724</v>
      </c>
      <c r="M26" s="142">
        <v>13689.717624923045</v>
      </c>
      <c r="N26" s="142">
        <v>14562.56656686578</v>
      </c>
      <c r="O26" s="142">
        <v>15075.186052904563</v>
      </c>
      <c r="P26" s="142">
        <v>15470.612399692322</v>
      </c>
      <c r="Q26" s="142">
        <v>15505.403880197951</v>
      </c>
      <c r="R26" s="142">
        <v>15687.269294064859</v>
      </c>
      <c r="S26" s="142">
        <v>15897.578903363399</v>
      </c>
      <c r="T26" s="142">
        <v>16242.322984221686</v>
      </c>
      <c r="U26" s="142">
        <v>16633.412166338894</v>
      </c>
      <c r="V26" s="142">
        <v>17341.93414503496</v>
      </c>
      <c r="W26" s="142">
        <v>17778.94224472341</v>
      </c>
      <c r="DA26" s="172" t="s">
        <v>266</v>
      </c>
    </row>
    <row r="27" spans="1:105" ht="12" customHeight="1" x14ac:dyDescent="0.25">
      <c r="A27" s="145" t="s">
        <v>26</v>
      </c>
      <c r="B27" s="151">
        <v>6029.6047643080228</v>
      </c>
      <c r="C27" s="151">
        <v>5812.6927078722047</v>
      </c>
      <c r="D27" s="151">
        <v>6418.9719063994216</v>
      </c>
      <c r="E27" s="151">
        <v>7036.9011243783489</v>
      </c>
      <c r="F27" s="151">
        <v>7613.3013857025217</v>
      </c>
      <c r="G27" s="151">
        <v>8445.3095257794739</v>
      </c>
      <c r="H27" s="151">
        <v>8468.2457556233858</v>
      </c>
      <c r="I27" s="151">
        <v>9548.8324315199607</v>
      </c>
      <c r="J27" s="151">
        <v>10059.677183088072</v>
      </c>
      <c r="K27" s="151">
        <v>10830.694667483036</v>
      </c>
      <c r="L27" s="151">
        <v>11135.950403076698</v>
      </c>
      <c r="M27" s="151">
        <v>11525.420932555473</v>
      </c>
      <c r="N27" s="151">
        <v>11182.189470566227</v>
      </c>
      <c r="O27" s="151">
        <v>10128.757124651895</v>
      </c>
      <c r="P27" s="151">
        <v>10134.54907486344</v>
      </c>
      <c r="Q27" s="151">
        <v>10442.565463021407</v>
      </c>
      <c r="R27" s="151">
        <v>10934.633852030356</v>
      </c>
      <c r="S27" s="151">
        <v>11832.314251581944</v>
      </c>
      <c r="T27" s="151">
        <v>11819.98101668022</v>
      </c>
      <c r="U27" s="151">
        <v>11974.515964370241</v>
      </c>
      <c r="V27" s="151">
        <v>13089.431087708215</v>
      </c>
      <c r="W27" s="151">
        <v>13330.828403161056</v>
      </c>
      <c r="DA27" s="174" t="s">
        <v>267</v>
      </c>
    </row>
    <row r="28" spans="1:105" ht="12" hidden="1" customHeight="1" x14ac:dyDescent="0.25">
      <c r="A28" s="78" t="s">
        <v>26</v>
      </c>
      <c r="B28" s="153"/>
      <c r="C28" s="153"/>
      <c r="D28" s="153"/>
      <c r="E28" s="153"/>
      <c r="F28" s="153"/>
      <c r="G28" s="153"/>
      <c r="H28" s="153"/>
      <c r="I28" s="153"/>
      <c r="J28" s="153"/>
      <c r="K28" s="153"/>
      <c r="L28" s="153"/>
      <c r="M28" s="153"/>
      <c r="N28" s="153"/>
      <c r="O28" s="153"/>
      <c r="P28" s="153"/>
      <c r="Q28" s="153"/>
      <c r="R28" s="153"/>
      <c r="S28" s="153"/>
      <c r="T28" s="153"/>
      <c r="U28" s="153"/>
      <c r="V28" s="153"/>
      <c r="W28" s="153"/>
      <c r="DA28" s="176"/>
    </row>
    <row r="29" spans="1:105" ht="12.95" customHeight="1" x14ac:dyDescent="0.25">
      <c r="A29" s="130" t="s">
        <v>34</v>
      </c>
      <c r="B29" s="140">
        <f t="shared" ref="B29:Q29" si="9">SUM(B30:B33)</f>
        <v>16275.690969441697</v>
      </c>
      <c r="C29" s="140">
        <f t="shared" si="9"/>
        <v>16602.318428732429</v>
      </c>
      <c r="D29" s="140">
        <f t="shared" si="9"/>
        <v>16839.114908157051</v>
      </c>
      <c r="E29" s="140">
        <f t="shared" si="9"/>
        <v>17121.606030851843</v>
      </c>
      <c r="F29" s="140">
        <f t="shared" si="9"/>
        <v>17501.28582415159</v>
      </c>
      <c r="G29" s="140">
        <f t="shared" si="9"/>
        <v>17896.264895794902</v>
      </c>
      <c r="H29" s="140">
        <f t="shared" si="9"/>
        <v>18274.04658327542</v>
      </c>
      <c r="I29" s="140">
        <f t="shared" si="9"/>
        <v>18742.685921310986</v>
      </c>
      <c r="J29" s="140">
        <f t="shared" si="9"/>
        <v>19206.34688654395</v>
      </c>
      <c r="K29" s="140">
        <f t="shared" si="9"/>
        <v>19830.408461658626</v>
      </c>
      <c r="L29" s="140">
        <f t="shared" si="9"/>
        <v>20510.225734665262</v>
      </c>
      <c r="M29" s="140">
        <f t="shared" si="9"/>
        <v>20983.935494143538</v>
      </c>
      <c r="N29" s="140">
        <f t="shared" si="9"/>
        <v>21473.53603734024</v>
      </c>
      <c r="O29" s="140">
        <f t="shared" si="9"/>
        <v>21481.92837674604</v>
      </c>
      <c r="P29" s="140">
        <f t="shared" si="9"/>
        <v>21263.534772894367</v>
      </c>
      <c r="Q29" s="140">
        <f t="shared" si="9"/>
        <v>21123.161918869624</v>
      </c>
      <c r="R29" s="140">
        <f t="shared" ref="R29:W29" si="10">SUM(R30:R33)</f>
        <v>21299.684710310852</v>
      </c>
      <c r="S29" s="140">
        <f t="shared" si="10"/>
        <v>21597.600117315538</v>
      </c>
      <c r="T29" s="140">
        <f t="shared" si="10"/>
        <v>21894.444918233858</v>
      </c>
      <c r="U29" s="140">
        <f t="shared" si="10"/>
        <v>22183.990637620445</v>
      </c>
      <c r="V29" s="140">
        <f t="shared" si="10"/>
        <v>22434.508888888879</v>
      </c>
      <c r="W29" s="140">
        <f t="shared" si="10"/>
        <v>22675.700517501158</v>
      </c>
      <c r="DA29" s="170" t="s">
        <v>268</v>
      </c>
    </row>
    <row r="30" spans="1:105" ht="12" customHeight="1" x14ac:dyDescent="0.25">
      <c r="A30" s="132" t="s">
        <v>52</v>
      </c>
      <c r="B30" s="141">
        <v>0</v>
      </c>
      <c r="C30" s="141">
        <v>0</v>
      </c>
      <c r="D30" s="141">
        <v>0</v>
      </c>
      <c r="E30" s="141">
        <v>0</v>
      </c>
      <c r="F30" s="141">
        <v>0</v>
      </c>
      <c r="G30" s="141">
        <v>0</v>
      </c>
      <c r="H30" s="141">
        <v>2443.2474161579307</v>
      </c>
      <c r="I30" s="141">
        <v>3143.1885518181875</v>
      </c>
      <c r="J30" s="141">
        <v>3541.3529654079098</v>
      </c>
      <c r="K30" s="141">
        <v>3438.134075708952</v>
      </c>
      <c r="L30" s="141">
        <v>3520.717797330738</v>
      </c>
      <c r="M30" s="141">
        <v>3825.9794249684428</v>
      </c>
      <c r="N30" s="141">
        <v>3979.8828651385952</v>
      </c>
      <c r="O30" s="141">
        <v>3943.5763212466732</v>
      </c>
      <c r="P30" s="141">
        <v>3796.6636196329</v>
      </c>
      <c r="Q30" s="141">
        <v>4109.6506217658598</v>
      </c>
      <c r="R30" s="141">
        <v>4550.6135512742685</v>
      </c>
      <c r="S30" s="141">
        <v>5500.9332820533391</v>
      </c>
      <c r="T30" s="141">
        <v>5602.5294961248073</v>
      </c>
      <c r="U30" s="141">
        <v>5534.7759874077346</v>
      </c>
      <c r="V30" s="141">
        <v>5676.8900899987048</v>
      </c>
      <c r="W30" s="141">
        <v>5549.1084913914219</v>
      </c>
      <c r="DA30" s="171" t="s">
        <v>269</v>
      </c>
    </row>
    <row r="31" spans="1:105" ht="12" customHeight="1" x14ac:dyDescent="0.25">
      <c r="A31" s="132" t="s">
        <v>153</v>
      </c>
      <c r="B31" s="141">
        <v>0</v>
      </c>
      <c r="C31" s="141">
        <v>0</v>
      </c>
      <c r="D31" s="141">
        <v>0</v>
      </c>
      <c r="E31" s="141">
        <v>0</v>
      </c>
      <c r="F31" s="141">
        <v>0</v>
      </c>
      <c r="G31" s="141">
        <v>0</v>
      </c>
      <c r="H31" s="141">
        <v>0</v>
      </c>
      <c r="I31" s="141">
        <v>0</v>
      </c>
      <c r="J31" s="141">
        <v>0</v>
      </c>
      <c r="K31" s="141">
        <v>0</v>
      </c>
      <c r="L31" s="141">
        <v>0</v>
      </c>
      <c r="M31" s="141">
        <v>0</v>
      </c>
      <c r="N31" s="141">
        <v>0</v>
      </c>
      <c r="O31" s="141">
        <v>0</v>
      </c>
      <c r="P31" s="141">
        <v>0</v>
      </c>
      <c r="Q31" s="141">
        <v>0</v>
      </c>
      <c r="R31" s="141">
        <v>0</v>
      </c>
      <c r="S31" s="141">
        <v>0</v>
      </c>
      <c r="T31" s="141">
        <v>0</v>
      </c>
      <c r="U31" s="141">
        <v>0</v>
      </c>
      <c r="V31" s="141">
        <v>0</v>
      </c>
      <c r="W31" s="141">
        <v>0</v>
      </c>
      <c r="DA31" s="171" t="s">
        <v>270</v>
      </c>
    </row>
    <row r="32" spans="1:105" ht="12" customHeight="1" x14ac:dyDescent="0.25">
      <c r="A32" s="132" t="s">
        <v>128</v>
      </c>
      <c r="B32" s="141">
        <v>1016.3328540767167</v>
      </c>
      <c r="C32" s="141">
        <v>1120.554818451948</v>
      </c>
      <c r="D32" s="141">
        <v>1324.9007604144508</v>
      </c>
      <c r="E32" s="141">
        <v>1490.1268678480747</v>
      </c>
      <c r="F32" s="141">
        <v>1703.1574272312021</v>
      </c>
      <c r="G32" s="141">
        <v>1985.6235743306136</v>
      </c>
      <c r="H32" s="141">
        <v>2241.9320015110288</v>
      </c>
      <c r="I32" s="141">
        <v>2592.007622085529</v>
      </c>
      <c r="J32" s="141">
        <v>2738.8379344559726</v>
      </c>
      <c r="K32" s="141">
        <v>2812.3081853473736</v>
      </c>
      <c r="L32" s="141">
        <v>2820.9531879962606</v>
      </c>
      <c r="M32" s="141">
        <v>2826.4289670285561</v>
      </c>
      <c r="N32" s="141">
        <v>2824.5022836309158</v>
      </c>
      <c r="O32" s="141">
        <v>2811.7768508981003</v>
      </c>
      <c r="P32" s="141">
        <v>2788.5098669788658</v>
      </c>
      <c r="Q32" s="141">
        <v>2763.6726832692871</v>
      </c>
      <c r="R32" s="141">
        <v>2765.1690040373301</v>
      </c>
      <c r="S32" s="141">
        <v>2849.2804638277294</v>
      </c>
      <c r="T32" s="141">
        <v>3030.0566025395119</v>
      </c>
      <c r="U32" s="141">
        <v>3227.6224080046986</v>
      </c>
      <c r="V32" s="141">
        <v>3370.1896901823779</v>
      </c>
      <c r="W32" s="141">
        <v>3399.1102563440036</v>
      </c>
      <c r="DA32" s="171" t="s">
        <v>271</v>
      </c>
    </row>
    <row r="33" spans="1:105" ht="12" customHeight="1" x14ac:dyDescent="0.25">
      <c r="A33" s="62" t="s">
        <v>24</v>
      </c>
      <c r="B33" s="153">
        <v>15259.358115364981</v>
      </c>
      <c r="C33" s="153">
        <v>15481.763610280481</v>
      </c>
      <c r="D33" s="153">
        <v>15514.214147742599</v>
      </c>
      <c r="E33" s="153">
        <v>15631.479163003767</v>
      </c>
      <c r="F33" s="153">
        <v>15798.128396920389</v>
      </c>
      <c r="G33" s="153">
        <v>15910.641321464289</v>
      </c>
      <c r="H33" s="153">
        <v>13588.86716560646</v>
      </c>
      <c r="I33" s="153">
        <v>13007.489747407271</v>
      </c>
      <c r="J33" s="153">
        <v>12926.155986680065</v>
      </c>
      <c r="K33" s="153">
        <v>13579.966200602303</v>
      </c>
      <c r="L33" s="153">
        <v>14168.554749338266</v>
      </c>
      <c r="M33" s="153">
        <v>14331.52710214654</v>
      </c>
      <c r="N33" s="153">
        <v>14669.15088857073</v>
      </c>
      <c r="O33" s="153">
        <v>14726.575204601268</v>
      </c>
      <c r="P33" s="153">
        <v>14678.361286282603</v>
      </c>
      <c r="Q33" s="153">
        <v>14249.838613834478</v>
      </c>
      <c r="R33" s="153">
        <v>13983.902154999252</v>
      </c>
      <c r="S33" s="153">
        <v>13247.386371434468</v>
      </c>
      <c r="T33" s="153">
        <v>13261.858819569536</v>
      </c>
      <c r="U33" s="153">
        <v>13421.592242208013</v>
      </c>
      <c r="V33" s="153">
        <v>13387.429108707798</v>
      </c>
      <c r="W33" s="153">
        <v>13727.481769765734</v>
      </c>
      <c r="DA33" s="176" t="s">
        <v>272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B15:W15 B19:W19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273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81</v>
      </c>
      <c r="B3" s="126">
        <f t="shared" ref="B3:Q3" si="0">SUM(B4,B16,B19,B29)</f>
        <v>97.729723140090925</v>
      </c>
      <c r="C3" s="126">
        <f t="shared" si="0"/>
        <v>106.49453919699963</v>
      </c>
      <c r="D3" s="126">
        <f t="shared" si="0"/>
        <v>115.25036441324841</v>
      </c>
      <c r="E3" s="126">
        <f t="shared" si="0"/>
        <v>120.20775809535502</v>
      </c>
      <c r="F3" s="126">
        <f t="shared" si="0"/>
        <v>121.16041681507903</v>
      </c>
      <c r="G3" s="126">
        <f t="shared" si="0"/>
        <v>126.20949755509261</v>
      </c>
      <c r="H3" s="126">
        <f t="shared" si="0"/>
        <v>152.46743428621753</v>
      </c>
      <c r="I3" s="126">
        <f t="shared" si="0"/>
        <v>160.08969605397797</v>
      </c>
      <c r="J3" s="126">
        <f t="shared" si="0"/>
        <v>180.3516977025925</v>
      </c>
      <c r="K3" s="126">
        <f t="shared" si="0"/>
        <v>181.04553025713847</v>
      </c>
      <c r="L3" s="126">
        <f t="shared" si="0"/>
        <v>192.33173647427526</v>
      </c>
      <c r="M3" s="126">
        <f t="shared" si="0"/>
        <v>184.44325524548245</v>
      </c>
      <c r="N3" s="126">
        <f t="shared" si="0"/>
        <v>160.94383847865106</v>
      </c>
      <c r="O3" s="126">
        <f t="shared" si="0"/>
        <v>140.58925899629264</v>
      </c>
      <c r="P3" s="126">
        <f t="shared" si="0"/>
        <v>141.65869915524104</v>
      </c>
      <c r="Q3" s="126">
        <f t="shared" si="0"/>
        <v>144.08640712034386</v>
      </c>
      <c r="R3" s="126">
        <f t="shared" ref="R3:W3" si="1">SUM(R4,R16,R19,R29)</f>
        <v>157.49884376596208</v>
      </c>
      <c r="S3" s="126">
        <f t="shared" si="1"/>
        <v>168.08475743386751</v>
      </c>
      <c r="T3" s="126">
        <f t="shared" si="1"/>
        <v>174.61771931678126</v>
      </c>
      <c r="U3" s="126">
        <f t="shared" si="1"/>
        <v>185.07759190017532</v>
      </c>
      <c r="V3" s="126">
        <f t="shared" si="1"/>
        <v>149.30560043978608</v>
      </c>
      <c r="W3" s="126">
        <f t="shared" si="1"/>
        <v>167.16928471359199</v>
      </c>
      <c r="DA3" s="155" t="s">
        <v>212</v>
      </c>
    </row>
    <row r="4" spans="1:105" ht="12.95" customHeight="1" x14ac:dyDescent="0.25">
      <c r="A4" s="130" t="s">
        <v>32</v>
      </c>
      <c r="B4" s="131">
        <f t="shared" ref="B4:Q4" si="2">SUM(B5:B15)</f>
        <v>32.355505507608171</v>
      </c>
      <c r="C4" s="131">
        <f t="shared" si="2"/>
        <v>40.224074946847374</v>
      </c>
      <c r="D4" s="131">
        <f t="shared" si="2"/>
        <v>46.566570020797222</v>
      </c>
      <c r="E4" s="131">
        <f t="shared" si="2"/>
        <v>47.575247640304184</v>
      </c>
      <c r="F4" s="131">
        <f t="shared" si="2"/>
        <v>49.446555015264764</v>
      </c>
      <c r="G4" s="131">
        <f t="shared" si="2"/>
        <v>53.360566565196336</v>
      </c>
      <c r="H4" s="131">
        <f t="shared" si="2"/>
        <v>75.397457805522819</v>
      </c>
      <c r="I4" s="131">
        <f t="shared" si="2"/>
        <v>78.737174300515491</v>
      </c>
      <c r="J4" s="131">
        <f t="shared" si="2"/>
        <v>95.929284316332001</v>
      </c>
      <c r="K4" s="131">
        <f t="shared" si="2"/>
        <v>95.375984713727405</v>
      </c>
      <c r="L4" s="131">
        <f t="shared" si="2"/>
        <v>103.01298991637582</v>
      </c>
      <c r="M4" s="131">
        <f t="shared" si="2"/>
        <v>97.137751271765623</v>
      </c>
      <c r="N4" s="131">
        <f t="shared" si="2"/>
        <v>66.289351456108577</v>
      </c>
      <c r="O4" s="131">
        <f t="shared" si="2"/>
        <v>51.915054291309687</v>
      </c>
      <c r="P4" s="131">
        <f t="shared" si="2"/>
        <v>57.63167705155923</v>
      </c>
      <c r="Q4" s="131">
        <f t="shared" si="2"/>
        <v>58.811093367575253</v>
      </c>
      <c r="R4" s="131">
        <f t="shared" ref="R4:W4" si="3">SUM(R5:R15)</f>
        <v>68.65609153344883</v>
      </c>
      <c r="S4" s="131">
        <f t="shared" si="3"/>
        <v>80.478627460170969</v>
      </c>
      <c r="T4" s="131">
        <f t="shared" si="3"/>
        <v>78.653315911613703</v>
      </c>
      <c r="U4" s="131">
        <f t="shared" si="3"/>
        <v>93.635841225467686</v>
      </c>
      <c r="V4" s="131">
        <f t="shared" si="3"/>
        <v>61.547974826142635</v>
      </c>
      <c r="W4" s="131">
        <f t="shared" si="3"/>
        <v>82.521125681251007</v>
      </c>
      <c r="DA4" s="156" t="s">
        <v>213</v>
      </c>
    </row>
    <row r="5" spans="1:105" ht="12" customHeight="1" x14ac:dyDescent="0.25">
      <c r="A5" s="132" t="s">
        <v>29</v>
      </c>
      <c r="B5" s="133">
        <v>0</v>
      </c>
      <c r="C5" s="133">
        <v>0</v>
      </c>
      <c r="D5" s="133">
        <v>0</v>
      </c>
      <c r="E5" s="133">
        <v>0</v>
      </c>
      <c r="F5" s="133">
        <v>0</v>
      </c>
      <c r="G5" s="133">
        <v>0</v>
      </c>
      <c r="H5" s="133">
        <v>0</v>
      </c>
      <c r="I5" s="133">
        <v>0</v>
      </c>
      <c r="J5" s="133">
        <v>0</v>
      </c>
      <c r="K5" s="133">
        <v>0</v>
      </c>
      <c r="L5" s="133">
        <v>0</v>
      </c>
      <c r="M5" s="133">
        <v>0</v>
      </c>
      <c r="N5" s="133">
        <v>0</v>
      </c>
      <c r="O5" s="133">
        <v>0</v>
      </c>
      <c r="P5" s="133">
        <v>0</v>
      </c>
      <c r="Q5" s="133">
        <v>0</v>
      </c>
      <c r="R5" s="133">
        <v>0</v>
      </c>
      <c r="S5" s="133">
        <v>0</v>
      </c>
      <c r="T5" s="133">
        <v>0</v>
      </c>
      <c r="U5" s="133">
        <v>0</v>
      </c>
      <c r="V5" s="133">
        <v>0</v>
      </c>
      <c r="W5" s="133">
        <v>0</v>
      </c>
      <c r="DA5" s="157" t="s">
        <v>274</v>
      </c>
    </row>
    <row r="6" spans="1:105" ht="12" customHeight="1" x14ac:dyDescent="0.25">
      <c r="A6" s="132" t="s">
        <v>52</v>
      </c>
      <c r="B6" s="133">
        <v>0</v>
      </c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275</v>
      </c>
    </row>
    <row r="7" spans="1:105" ht="12" customHeight="1" x14ac:dyDescent="0.25">
      <c r="A7" s="132" t="s">
        <v>168</v>
      </c>
      <c r="B7" s="133">
        <v>24.878464121692144</v>
      </c>
      <c r="C7" s="133">
        <v>25.144122141639922</v>
      </c>
      <c r="D7" s="133">
        <v>24.049493471956342</v>
      </c>
      <c r="E7" s="133">
        <v>24.741742185011582</v>
      </c>
      <c r="F7" s="133">
        <v>22.142150297737214</v>
      </c>
      <c r="G7" s="133">
        <v>21.193589111604048</v>
      </c>
      <c r="H7" s="133">
        <v>24.360984973804371</v>
      </c>
      <c r="I7" s="133">
        <v>25.409194103034416</v>
      </c>
      <c r="J7" s="133">
        <v>34.667208333070036</v>
      </c>
      <c r="K7" s="133">
        <v>26.468511839619335</v>
      </c>
      <c r="L7" s="133">
        <v>30.596729042573251</v>
      </c>
      <c r="M7" s="133">
        <v>29.573878835287555</v>
      </c>
      <c r="N7" s="133">
        <v>25.29509031437097</v>
      </c>
      <c r="O7" s="133">
        <v>27.304774511613022</v>
      </c>
      <c r="P7" s="133">
        <v>26.388347494958946</v>
      </c>
      <c r="Q7" s="133">
        <v>22.347098375455786</v>
      </c>
      <c r="R7" s="133">
        <v>21.282609862029862</v>
      </c>
      <c r="S7" s="133">
        <v>25.323036248021651</v>
      </c>
      <c r="T7" s="133">
        <v>23.678958562903976</v>
      </c>
      <c r="U7" s="133">
        <v>30.025473685531789</v>
      </c>
      <c r="V7" s="133">
        <v>24.494761668988602</v>
      </c>
      <c r="W7" s="133">
        <v>27.58819052359036</v>
      </c>
      <c r="DA7" s="157" t="s">
        <v>276</v>
      </c>
    </row>
    <row r="8" spans="1:105" ht="12" customHeight="1" x14ac:dyDescent="0.25">
      <c r="A8" s="132" t="s">
        <v>73</v>
      </c>
      <c r="B8" s="133">
        <v>0</v>
      </c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0</v>
      </c>
      <c r="S8" s="133">
        <v>0</v>
      </c>
      <c r="T8" s="133">
        <v>0</v>
      </c>
      <c r="U8" s="133">
        <v>0</v>
      </c>
      <c r="V8" s="133">
        <v>0</v>
      </c>
      <c r="W8" s="133">
        <v>0</v>
      </c>
      <c r="DA8" s="157" t="s">
        <v>277</v>
      </c>
    </row>
    <row r="9" spans="1:105" ht="12" customHeight="1" x14ac:dyDescent="0.25">
      <c r="A9" s="132" t="s">
        <v>78</v>
      </c>
      <c r="B9" s="133">
        <v>0</v>
      </c>
      <c r="C9" s="133">
        <v>0</v>
      </c>
      <c r="D9" s="133">
        <v>0</v>
      </c>
      <c r="E9" s="133">
        <v>0</v>
      </c>
      <c r="F9" s="133">
        <v>0</v>
      </c>
      <c r="G9" s="133">
        <v>0</v>
      </c>
      <c r="H9" s="133">
        <v>0</v>
      </c>
      <c r="I9" s="133">
        <v>0</v>
      </c>
      <c r="J9" s="133">
        <v>0</v>
      </c>
      <c r="K9" s="133">
        <v>0.26276870163370586</v>
      </c>
      <c r="L9" s="133">
        <v>0.28658641444539984</v>
      </c>
      <c r="M9" s="133">
        <v>0.26276870163370591</v>
      </c>
      <c r="N9" s="133">
        <v>0.2627687016337058</v>
      </c>
      <c r="O9" s="133">
        <v>0.26276870163370586</v>
      </c>
      <c r="P9" s="133">
        <v>0.28658641444539956</v>
      </c>
      <c r="Q9" s="133">
        <v>0.28658641444540006</v>
      </c>
      <c r="R9" s="133">
        <v>0.38211521926053288</v>
      </c>
      <c r="S9" s="133">
        <v>0.40103181427343043</v>
      </c>
      <c r="T9" s="133">
        <v>1.0655202063628548</v>
      </c>
      <c r="U9" s="133">
        <v>1.2809974204643162</v>
      </c>
      <c r="V9" s="133">
        <v>0.48177128116938944</v>
      </c>
      <c r="W9" s="133">
        <v>0.56414445399828106</v>
      </c>
      <c r="DA9" s="157" t="s">
        <v>278</v>
      </c>
    </row>
    <row r="10" spans="1:105" ht="12" customHeight="1" x14ac:dyDescent="0.25">
      <c r="A10" s="132" t="s">
        <v>128</v>
      </c>
      <c r="B10" s="133">
        <v>0</v>
      </c>
      <c r="C10" s="133">
        <v>0</v>
      </c>
      <c r="D10" s="133">
        <v>0</v>
      </c>
      <c r="E10" s="133">
        <v>0</v>
      </c>
      <c r="F10" s="133">
        <v>0</v>
      </c>
      <c r="G10" s="133">
        <v>0</v>
      </c>
      <c r="H10" s="133">
        <v>0</v>
      </c>
      <c r="I10" s="133">
        <v>0.33439380911436078</v>
      </c>
      <c r="J10" s="133">
        <v>1.3852966466036107</v>
      </c>
      <c r="K10" s="133">
        <v>1.6145829750644873</v>
      </c>
      <c r="L10" s="133">
        <v>0.46815133276010362</v>
      </c>
      <c r="M10" s="133">
        <v>0.83599312123817782</v>
      </c>
      <c r="N10" s="133">
        <v>1.2540498710232175</v>
      </c>
      <c r="O10" s="133">
        <v>1.1459673258813414</v>
      </c>
      <c r="P10" s="133">
        <v>1.0653138435081688</v>
      </c>
      <c r="Q10" s="133">
        <v>2.991229578675842</v>
      </c>
      <c r="R10" s="133">
        <v>2.2461736887360297</v>
      </c>
      <c r="S10" s="133">
        <v>3.1074806534823725</v>
      </c>
      <c r="T10" s="133">
        <v>1.7008598452278627</v>
      </c>
      <c r="U10" s="133">
        <v>1.0268348104044691</v>
      </c>
      <c r="V10" s="133">
        <v>0.93514786576813735</v>
      </c>
      <c r="W10" s="133">
        <v>3.0187446259673267</v>
      </c>
      <c r="DA10" s="157" t="s">
        <v>279</v>
      </c>
    </row>
    <row r="11" spans="1:105" ht="12" customHeight="1" x14ac:dyDescent="0.25">
      <c r="A11" s="132" t="s">
        <v>25</v>
      </c>
      <c r="B11" s="133">
        <v>0</v>
      </c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280</v>
      </c>
    </row>
    <row r="12" spans="1:105" ht="12" customHeight="1" x14ac:dyDescent="0.25">
      <c r="A12" s="132" t="s">
        <v>169</v>
      </c>
      <c r="B12" s="133">
        <v>0</v>
      </c>
      <c r="C12" s="133">
        <v>0</v>
      </c>
      <c r="D12" s="133">
        <v>0</v>
      </c>
      <c r="E12" s="133">
        <v>0</v>
      </c>
      <c r="F12" s="133">
        <v>0</v>
      </c>
      <c r="G12" s="133">
        <v>0</v>
      </c>
      <c r="H12" s="133">
        <v>0</v>
      </c>
      <c r="I12" s="133">
        <v>0</v>
      </c>
      <c r="J12" s="133">
        <v>0</v>
      </c>
      <c r="K12" s="133">
        <v>0</v>
      </c>
      <c r="L12" s="133">
        <v>0</v>
      </c>
      <c r="M12" s="133">
        <v>0</v>
      </c>
      <c r="N12" s="133">
        <v>0</v>
      </c>
      <c r="O12" s="133">
        <v>0</v>
      </c>
      <c r="P12" s="133">
        <v>0</v>
      </c>
      <c r="Q12" s="133">
        <v>0</v>
      </c>
      <c r="R12" s="133">
        <v>0</v>
      </c>
      <c r="S12" s="133">
        <v>0</v>
      </c>
      <c r="T12" s="133">
        <v>0</v>
      </c>
      <c r="U12" s="133">
        <v>0</v>
      </c>
      <c r="V12" s="133">
        <v>0</v>
      </c>
      <c r="W12" s="133">
        <v>0</v>
      </c>
      <c r="DA12" s="157" t="s">
        <v>281</v>
      </c>
    </row>
    <row r="13" spans="1:105" ht="12" customHeight="1" x14ac:dyDescent="0.25">
      <c r="A13" s="132" t="s">
        <v>77</v>
      </c>
      <c r="B13" s="133">
        <v>0.21240710056994822</v>
      </c>
      <c r="C13" s="133">
        <v>0.66076279294873685</v>
      </c>
      <c r="D13" s="133">
        <v>1.0725975427827144</v>
      </c>
      <c r="E13" s="133">
        <v>1.5036400153676441</v>
      </c>
      <c r="F13" s="133">
        <v>2.1064256573464997</v>
      </c>
      <c r="G13" s="133">
        <v>2.8952490774438862</v>
      </c>
      <c r="H13" s="133">
        <v>3.4418431055045016</v>
      </c>
      <c r="I13" s="133">
        <v>4.0317568587820496</v>
      </c>
      <c r="J13" s="133">
        <v>4.3370683355384978</v>
      </c>
      <c r="K13" s="133">
        <v>5.2660385162897727</v>
      </c>
      <c r="L13" s="133">
        <v>5.5507602196686765</v>
      </c>
      <c r="M13" s="133">
        <v>6.6073732548532167</v>
      </c>
      <c r="N13" s="133">
        <v>9.4534551342517723</v>
      </c>
      <c r="O13" s="133">
        <v>17.083903011613664</v>
      </c>
      <c r="P13" s="133">
        <v>16.92921480984322</v>
      </c>
      <c r="Q13" s="133">
        <v>18.455276037860941</v>
      </c>
      <c r="R13" s="133">
        <v>17.968718371205888</v>
      </c>
      <c r="S13" s="133">
        <v>18.216427510075604</v>
      </c>
      <c r="T13" s="133">
        <v>18.541458267842987</v>
      </c>
      <c r="U13" s="133">
        <v>18.966399175499461</v>
      </c>
      <c r="V13" s="133">
        <v>17.120556594227207</v>
      </c>
      <c r="W13" s="133">
        <v>17.058388141175154</v>
      </c>
      <c r="DA13" s="157" t="s">
        <v>282</v>
      </c>
    </row>
    <row r="14" spans="1:105" ht="12" customHeight="1" x14ac:dyDescent="0.25">
      <c r="A14" s="60" t="s">
        <v>76</v>
      </c>
      <c r="B14" s="65">
        <v>7.0712439252368942</v>
      </c>
      <c r="C14" s="65">
        <v>14.227798362077129</v>
      </c>
      <c r="D14" s="65">
        <v>21.26504605182485</v>
      </c>
      <c r="E14" s="65">
        <v>21.148743597534093</v>
      </c>
      <c r="F14" s="65">
        <v>25.038780501121575</v>
      </c>
      <c r="G14" s="65">
        <v>29.121919637203501</v>
      </c>
      <c r="H14" s="65">
        <v>47.425166568936554</v>
      </c>
      <c r="I14" s="65">
        <v>48.786317233485285</v>
      </c>
      <c r="J14" s="65">
        <v>55.295247574899335</v>
      </c>
      <c r="K14" s="65">
        <v>61.56739304059861</v>
      </c>
      <c r="L14" s="65">
        <v>65.880177877201191</v>
      </c>
      <c r="M14" s="65">
        <v>59.622665842527098</v>
      </c>
      <c r="N14" s="65">
        <v>29.808467682987896</v>
      </c>
      <c r="O14" s="65">
        <v>5.8749851730632381</v>
      </c>
      <c r="P14" s="65">
        <v>12.729205502643982</v>
      </c>
      <c r="Q14" s="65">
        <v>14.525835442902848</v>
      </c>
      <c r="R14" s="65">
        <v>26.583243094444363</v>
      </c>
      <c r="S14" s="65">
        <v>33.200739296832275</v>
      </c>
      <c r="T14" s="65">
        <v>33.44699594181607</v>
      </c>
      <c r="U14" s="65">
        <v>42.061366477897316</v>
      </c>
      <c r="V14" s="65">
        <v>18.296753368066287</v>
      </c>
      <c r="W14" s="65">
        <v>34.034288993078448</v>
      </c>
      <c r="DA14" s="109" t="s">
        <v>283</v>
      </c>
    </row>
    <row r="15" spans="1:105" ht="12" customHeight="1" x14ac:dyDescent="0.25">
      <c r="A15" s="134" t="s">
        <v>80</v>
      </c>
      <c r="B15" s="135">
        <v>0.19339036010918542</v>
      </c>
      <c r="C15" s="135">
        <v>0.19139165018158805</v>
      </c>
      <c r="D15" s="135">
        <v>0.17943295423331498</v>
      </c>
      <c r="E15" s="135">
        <v>0.18112184239086679</v>
      </c>
      <c r="F15" s="135">
        <v>0.15919855905947336</v>
      </c>
      <c r="G15" s="135">
        <v>0.14980873894489477</v>
      </c>
      <c r="H15" s="135">
        <v>0.16946315727739783</v>
      </c>
      <c r="I15" s="135">
        <v>0.17551229609938943</v>
      </c>
      <c r="J15" s="135">
        <v>0.24446342622051695</v>
      </c>
      <c r="K15" s="135">
        <v>0.19668964052149307</v>
      </c>
      <c r="L15" s="135">
        <v>0.23058502972719147</v>
      </c>
      <c r="M15" s="135">
        <v>0.23507151622585534</v>
      </c>
      <c r="N15" s="135">
        <v>0.21551975184101649</v>
      </c>
      <c r="O15" s="135">
        <v>0.24265556750471123</v>
      </c>
      <c r="P15" s="135">
        <v>0.23300898615951102</v>
      </c>
      <c r="Q15" s="135">
        <v>0.20506751823444097</v>
      </c>
      <c r="R15" s="135">
        <v>0.19323129777214568</v>
      </c>
      <c r="S15" s="135">
        <v>0.22991193748564401</v>
      </c>
      <c r="T15" s="135">
        <v>0.21952308745994634</v>
      </c>
      <c r="U15" s="135">
        <v>0.27476965567032774</v>
      </c>
      <c r="V15" s="135">
        <v>0.2189840479230151</v>
      </c>
      <c r="W15" s="135">
        <v>0.25736894344142958</v>
      </c>
      <c r="DA15" s="158" t="s">
        <v>284</v>
      </c>
    </row>
    <row r="16" spans="1:105" ht="12.95" customHeight="1" x14ac:dyDescent="0.25">
      <c r="A16" s="130" t="s">
        <v>74</v>
      </c>
      <c r="B16" s="131">
        <f t="shared" ref="B16:Q16" si="4">SUM(B17:B18)</f>
        <v>16.94972860814455</v>
      </c>
      <c r="C16" s="131">
        <f t="shared" si="4"/>
        <v>17.202453845884648</v>
      </c>
      <c r="D16" s="131">
        <f t="shared" si="4"/>
        <v>18.809042809154427</v>
      </c>
      <c r="E16" s="131">
        <f t="shared" si="4"/>
        <v>21.933363673953981</v>
      </c>
      <c r="F16" s="131">
        <f t="shared" si="4"/>
        <v>19.877074971017262</v>
      </c>
      <c r="G16" s="131">
        <f t="shared" si="4"/>
        <v>19.489386604640181</v>
      </c>
      <c r="H16" s="131">
        <f t="shared" si="4"/>
        <v>23.343421841298966</v>
      </c>
      <c r="I16" s="131">
        <f t="shared" si="4"/>
        <v>26.998459352497491</v>
      </c>
      <c r="J16" s="131">
        <f t="shared" si="4"/>
        <v>28.220352649922319</v>
      </c>
      <c r="K16" s="131">
        <f t="shared" si="4"/>
        <v>28.598869337676657</v>
      </c>
      <c r="L16" s="131">
        <f t="shared" si="4"/>
        <v>31.464880109517406</v>
      </c>
      <c r="M16" s="131">
        <f t="shared" si="4"/>
        <v>27.988637468846932</v>
      </c>
      <c r="N16" s="131">
        <f t="shared" si="4"/>
        <v>34.108641285562328</v>
      </c>
      <c r="O16" s="131">
        <f t="shared" si="4"/>
        <v>28.351606748309589</v>
      </c>
      <c r="P16" s="131">
        <f t="shared" si="4"/>
        <v>24.701099019183044</v>
      </c>
      <c r="Q16" s="131">
        <f t="shared" si="4"/>
        <v>26.186346843399658</v>
      </c>
      <c r="R16" s="131">
        <f t="shared" ref="R16:W16" si="5">SUM(R17:R18)</f>
        <v>29.553905779488659</v>
      </c>
      <c r="S16" s="131">
        <f t="shared" si="5"/>
        <v>27.903179076736706</v>
      </c>
      <c r="T16" s="131">
        <f t="shared" si="5"/>
        <v>35.632972128131478</v>
      </c>
      <c r="U16" s="131">
        <f t="shared" si="5"/>
        <v>30.663742611092726</v>
      </c>
      <c r="V16" s="131">
        <f t="shared" si="5"/>
        <v>32.232166741360267</v>
      </c>
      <c r="W16" s="131">
        <f t="shared" si="5"/>
        <v>29.119499936393062</v>
      </c>
      <c r="DA16" s="156" t="s">
        <v>214</v>
      </c>
    </row>
    <row r="17" spans="1:105" ht="12.95" customHeight="1" x14ac:dyDescent="0.25">
      <c r="A17" s="132" t="s">
        <v>73</v>
      </c>
      <c r="B17" s="133">
        <v>0</v>
      </c>
      <c r="C17" s="133">
        <v>0</v>
      </c>
      <c r="D17" s="133">
        <v>0</v>
      </c>
      <c r="E17" s="133">
        <v>0</v>
      </c>
      <c r="F17" s="133">
        <v>0</v>
      </c>
      <c r="G17" s="133">
        <v>0</v>
      </c>
      <c r="H17" s="133">
        <v>0</v>
      </c>
      <c r="I17" s="133">
        <v>0</v>
      </c>
      <c r="J17" s="133">
        <v>0</v>
      </c>
      <c r="K17" s="133">
        <v>0</v>
      </c>
      <c r="L17" s="133">
        <v>0</v>
      </c>
      <c r="M17" s="133">
        <v>0</v>
      </c>
      <c r="N17" s="133">
        <v>0</v>
      </c>
      <c r="O17" s="133">
        <v>0</v>
      </c>
      <c r="P17" s="133">
        <v>0</v>
      </c>
      <c r="Q17" s="133">
        <v>0</v>
      </c>
      <c r="R17" s="133">
        <v>0</v>
      </c>
      <c r="S17" s="133">
        <v>0</v>
      </c>
      <c r="T17" s="133">
        <v>0</v>
      </c>
      <c r="U17" s="133">
        <v>0</v>
      </c>
      <c r="V17" s="133">
        <v>0</v>
      </c>
      <c r="W17" s="133">
        <v>0</v>
      </c>
      <c r="DA17" s="157" t="s">
        <v>285</v>
      </c>
    </row>
    <row r="18" spans="1:105" ht="12" customHeight="1" x14ac:dyDescent="0.25">
      <c r="A18" s="132" t="s">
        <v>72</v>
      </c>
      <c r="B18" s="133">
        <v>16.94972860814455</v>
      </c>
      <c r="C18" s="133">
        <v>17.202453845884648</v>
      </c>
      <c r="D18" s="133">
        <v>18.809042809154427</v>
      </c>
      <c r="E18" s="133">
        <v>21.933363673953981</v>
      </c>
      <c r="F18" s="133">
        <v>19.877074971017262</v>
      </c>
      <c r="G18" s="133">
        <v>19.489386604640181</v>
      </c>
      <c r="H18" s="133">
        <v>23.343421841298966</v>
      </c>
      <c r="I18" s="133">
        <v>26.998459352497491</v>
      </c>
      <c r="J18" s="133">
        <v>28.220352649922319</v>
      </c>
      <c r="K18" s="133">
        <v>28.598869337676657</v>
      </c>
      <c r="L18" s="133">
        <v>31.464880109517406</v>
      </c>
      <c r="M18" s="133">
        <v>27.988637468846932</v>
      </c>
      <c r="N18" s="133">
        <v>34.108641285562328</v>
      </c>
      <c r="O18" s="133">
        <v>28.351606748309589</v>
      </c>
      <c r="P18" s="133">
        <v>24.701099019183044</v>
      </c>
      <c r="Q18" s="133">
        <v>26.186346843399658</v>
      </c>
      <c r="R18" s="133">
        <v>29.553905779488659</v>
      </c>
      <c r="S18" s="133">
        <v>27.903179076736706</v>
      </c>
      <c r="T18" s="133">
        <v>35.632972128131478</v>
      </c>
      <c r="U18" s="133">
        <v>30.663742611092726</v>
      </c>
      <c r="V18" s="133">
        <v>32.232166741360267</v>
      </c>
      <c r="W18" s="133">
        <v>29.119499936393062</v>
      </c>
      <c r="DA18" s="157" t="s">
        <v>286</v>
      </c>
    </row>
    <row r="19" spans="1:105" ht="12.95" customHeight="1" x14ac:dyDescent="0.25">
      <c r="A19" s="130" t="s">
        <v>35</v>
      </c>
      <c r="B19" s="131">
        <f t="shared" ref="B19:Q19" si="6">SUM(B20:B27)</f>
        <v>27.043229913404598</v>
      </c>
      <c r="C19" s="131">
        <f t="shared" si="6"/>
        <v>27.424690544505111</v>
      </c>
      <c r="D19" s="131">
        <f t="shared" si="6"/>
        <v>27.682332076178152</v>
      </c>
      <c r="E19" s="131">
        <f t="shared" si="6"/>
        <v>27.993144503943011</v>
      </c>
      <c r="F19" s="131">
        <f t="shared" si="6"/>
        <v>28.134302820521846</v>
      </c>
      <c r="G19" s="131">
        <f t="shared" si="6"/>
        <v>28.698084318715726</v>
      </c>
      <c r="H19" s="131">
        <f t="shared" si="6"/>
        <v>27.244401210237282</v>
      </c>
      <c r="I19" s="131">
        <f t="shared" si="6"/>
        <v>26.790464078113182</v>
      </c>
      <c r="J19" s="131">
        <f t="shared" si="6"/>
        <v>27.574167763537076</v>
      </c>
      <c r="K19" s="131">
        <f t="shared" si="6"/>
        <v>28.12073084143951</v>
      </c>
      <c r="L19" s="131">
        <f t="shared" si="6"/>
        <v>28.530647361259515</v>
      </c>
      <c r="M19" s="131">
        <f t="shared" si="6"/>
        <v>29.082450159496432</v>
      </c>
      <c r="N19" s="131">
        <f t="shared" si="6"/>
        <v>29.461757170929705</v>
      </c>
      <c r="O19" s="131">
        <f t="shared" si="6"/>
        <v>29.437710112173836</v>
      </c>
      <c r="P19" s="131">
        <f t="shared" si="6"/>
        <v>28.761059686795129</v>
      </c>
      <c r="Q19" s="131">
        <f t="shared" si="6"/>
        <v>28.570795350482054</v>
      </c>
      <c r="R19" s="131">
        <f t="shared" ref="R19:W19" si="7">SUM(R20:R27)</f>
        <v>28.774985916319615</v>
      </c>
      <c r="S19" s="131">
        <f t="shared" si="7"/>
        <v>28.419072773996096</v>
      </c>
      <c r="T19" s="131">
        <f t="shared" si="7"/>
        <v>28.388240902376456</v>
      </c>
      <c r="U19" s="131">
        <f t="shared" si="7"/>
        <v>27.802860191125053</v>
      </c>
      <c r="V19" s="131">
        <f t="shared" si="7"/>
        <v>26.169464603145038</v>
      </c>
      <c r="W19" s="131">
        <f t="shared" si="7"/>
        <v>26.124177349303551</v>
      </c>
      <c r="DA19" s="156" t="s">
        <v>215</v>
      </c>
    </row>
    <row r="20" spans="1:105" ht="12" customHeight="1" x14ac:dyDescent="0.25">
      <c r="A20" s="132" t="s">
        <v>29</v>
      </c>
      <c r="B20" s="133">
        <v>0</v>
      </c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287</v>
      </c>
    </row>
    <row r="21" spans="1:105" s="2" customFormat="1" ht="12" customHeight="1" x14ac:dyDescent="0.25">
      <c r="A21" s="132" t="s">
        <v>52</v>
      </c>
      <c r="B21" s="133">
        <v>0</v>
      </c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8.8993442000545873</v>
      </c>
      <c r="I21" s="133">
        <v>8.9934436433851594</v>
      </c>
      <c r="J21" s="133">
        <v>9.1230500684179816</v>
      </c>
      <c r="K21" s="133">
        <v>9.1920626019787779</v>
      </c>
      <c r="L21" s="133">
        <v>9.4890961170579242</v>
      </c>
      <c r="M21" s="133">
        <v>9.046122548337582</v>
      </c>
      <c r="N21" s="133">
        <v>8.5453431759492506</v>
      </c>
      <c r="O21" s="133">
        <v>7.986538724919015</v>
      </c>
      <c r="P21" s="133">
        <v>6.7827802945959093</v>
      </c>
      <c r="Q21" s="133">
        <v>6.5764732678372946</v>
      </c>
      <c r="R21" s="133">
        <v>6.6684545628357519</v>
      </c>
      <c r="S21" s="133">
        <v>6.7611176340394206</v>
      </c>
      <c r="T21" s="133">
        <v>6.4019526774702804</v>
      </c>
      <c r="U21" s="133">
        <v>6.2419200957200829</v>
      </c>
      <c r="V21" s="133">
        <v>4.8696691559486212</v>
      </c>
      <c r="W21" s="133">
        <v>4.4135424944661752</v>
      </c>
      <c r="DA21" s="157" t="s">
        <v>288</v>
      </c>
    </row>
    <row r="22" spans="1:105" ht="12" customHeight="1" x14ac:dyDescent="0.25">
      <c r="A22" s="132" t="s">
        <v>168</v>
      </c>
      <c r="B22" s="133">
        <v>1.2011395215189511</v>
      </c>
      <c r="C22" s="133">
        <v>1.2085676133358256</v>
      </c>
      <c r="D22" s="133">
        <v>1.2108518359607692</v>
      </c>
      <c r="E22" s="133">
        <v>1.2013126865879371</v>
      </c>
      <c r="F22" s="133">
        <v>1.2066036592857436</v>
      </c>
      <c r="G22" s="133">
        <v>1.208577793750903</v>
      </c>
      <c r="H22" s="133">
        <v>1.1907777089127407</v>
      </c>
      <c r="I22" s="133">
        <v>1.170943472202042</v>
      </c>
      <c r="J22" s="133">
        <v>1.1530840143074315</v>
      </c>
      <c r="K22" s="133">
        <v>1.149372941120129</v>
      </c>
      <c r="L22" s="133">
        <v>1.1437696676589129</v>
      </c>
      <c r="M22" s="133">
        <v>1.146327527567123</v>
      </c>
      <c r="N22" s="133">
        <v>1.1503095136599841</v>
      </c>
      <c r="O22" s="133">
        <v>1.1231704582924043</v>
      </c>
      <c r="P22" s="133">
        <v>1.12583995130073</v>
      </c>
      <c r="Q22" s="133">
        <v>1.1225490880008033</v>
      </c>
      <c r="R22" s="133">
        <v>1.1316635687525896</v>
      </c>
      <c r="S22" s="133">
        <v>1.1186662455295164</v>
      </c>
      <c r="T22" s="133">
        <v>1.1255126322809048</v>
      </c>
      <c r="U22" s="133">
        <v>1.1225056781827449</v>
      </c>
      <c r="V22" s="133">
        <v>1.0263045390939627</v>
      </c>
      <c r="W22" s="133">
        <v>1.1120674299779458</v>
      </c>
      <c r="DA22" s="157" t="s">
        <v>289</v>
      </c>
    </row>
    <row r="23" spans="1:105" ht="12" customHeight="1" x14ac:dyDescent="0.25">
      <c r="A23" s="132" t="s">
        <v>153</v>
      </c>
      <c r="B23" s="133">
        <v>0</v>
      </c>
      <c r="C23" s="133">
        <v>0</v>
      </c>
      <c r="D23" s="133">
        <v>0</v>
      </c>
      <c r="E23" s="133">
        <v>0</v>
      </c>
      <c r="F23" s="133">
        <v>0</v>
      </c>
      <c r="G23" s="133">
        <v>0</v>
      </c>
      <c r="H23" s="133">
        <v>0</v>
      </c>
      <c r="I23" s="133">
        <v>0</v>
      </c>
      <c r="J23" s="133">
        <v>0</v>
      </c>
      <c r="K23" s="133">
        <v>0</v>
      </c>
      <c r="L23" s="133">
        <v>0</v>
      </c>
      <c r="M23" s="133">
        <v>0</v>
      </c>
      <c r="N23" s="133">
        <v>0</v>
      </c>
      <c r="O23" s="133">
        <v>0</v>
      </c>
      <c r="P23" s="133">
        <v>0</v>
      </c>
      <c r="Q23" s="133">
        <v>0</v>
      </c>
      <c r="R23" s="133">
        <v>0</v>
      </c>
      <c r="S23" s="133">
        <v>0</v>
      </c>
      <c r="T23" s="133">
        <v>0</v>
      </c>
      <c r="U23" s="133">
        <v>0</v>
      </c>
      <c r="V23" s="133">
        <v>0</v>
      </c>
      <c r="W23" s="133">
        <v>0</v>
      </c>
      <c r="DA23" s="157" t="s">
        <v>290</v>
      </c>
    </row>
    <row r="24" spans="1:105" ht="12" customHeight="1" x14ac:dyDescent="0.25">
      <c r="A24" s="132" t="s">
        <v>128</v>
      </c>
      <c r="B24" s="133">
        <v>0</v>
      </c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291</v>
      </c>
    </row>
    <row r="25" spans="1:105" ht="12" customHeight="1" x14ac:dyDescent="0.25">
      <c r="A25" s="132" t="s">
        <v>169</v>
      </c>
      <c r="B25" s="133">
        <v>0</v>
      </c>
      <c r="C25" s="133">
        <v>0</v>
      </c>
      <c r="D25" s="133">
        <v>0</v>
      </c>
      <c r="E25" s="133">
        <v>0</v>
      </c>
      <c r="F25" s="133">
        <v>0</v>
      </c>
      <c r="G25" s="133">
        <v>0</v>
      </c>
      <c r="H25" s="133">
        <v>0</v>
      </c>
      <c r="I25" s="133">
        <v>0</v>
      </c>
      <c r="J25" s="133">
        <v>0</v>
      </c>
      <c r="K25" s="133">
        <v>0</v>
      </c>
      <c r="L25" s="133">
        <v>0</v>
      </c>
      <c r="M25" s="133">
        <v>0</v>
      </c>
      <c r="N25" s="133">
        <v>0</v>
      </c>
      <c r="O25" s="133">
        <v>0</v>
      </c>
      <c r="P25" s="133">
        <v>0</v>
      </c>
      <c r="Q25" s="133">
        <v>0</v>
      </c>
      <c r="R25" s="133">
        <v>0</v>
      </c>
      <c r="S25" s="133">
        <v>0</v>
      </c>
      <c r="T25" s="133">
        <v>0</v>
      </c>
      <c r="U25" s="133">
        <v>0</v>
      </c>
      <c r="V25" s="133">
        <v>0</v>
      </c>
      <c r="W25" s="133">
        <v>0</v>
      </c>
      <c r="DA25" s="157" t="s">
        <v>292</v>
      </c>
    </row>
    <row r="26" spans="1:105" ht="12" customHeight="1" x14ac:dyDescent="0.25">
      <c r="A26" s="132" t="s">
        <v>24</v>
      </c>
      <c r="B26" s="65">
        <v>20.607524458326719</v>
      </c>
      <c r="C26" s="65">
        <v>21.140073377285351</v>
      </c>
      <c r="D26" s="65">
        <v>21.279193795445366</v>
      </c>
      <c r="E26" s="65">
        <v>21.462156055991141</v>
      </c>
      <c r="F26" s="65">
        <v>21.087245580628203</v>
      </c>
      <c r="G26" s="65">
        <v>21.398964822471271</v>
      </c>
      <c r="H26" s="65">
        <v>10.824872594477178</v>
      </c>
      <c r="I26" s="65">
        <v>8.7919411069799782</v>
      </c>
      <c r="J26" s="65">
        <v>8.8906390118520768</v>
      </c>
      <c r="K26" s="65">
        <v>9.0853142149356128</v>
      </c>
      <c r="L26" s="65">
        <v>8.7738778792081966</v>
      </c>
      <c r="M26" s="65">
        <v>9.4795099718118454</v>
      </c>
      <c r="N26" s="65">
        <v>10.092845667906882</v>
      </c>
      <c r="O26" s="65">
        <v>10.463684505918563</v>
      </c>
      <c r="P26" s="65">
        <v>10.844786818370551</v>
      </c>
      <c r="Q26" s="65">
        <v>10.696966459820219</v>
      </c>
      <c r="R26" s="65">
        <v>10.632821353088961</v>
      </c>
      <c r="S26" s="65">
        <v>10.006958713859678</v>
      </c>
      <c r="T26" s="65">
        <v>10.112538275342384</v>
      </c>
      <c r="U26" s="65">
        <v>9.5274283983056396</v>
      </c>
      <c r="V26" s="65">
        <v>9.1781340723329112</v>
      </c>
      <c r="W26" s="65">
        <v>9.3095734437760278</v>
      </c>
      <c r="DA26" s="109" t="s">
        <v>293</v>
      </c>
    </row>
    <row r="27" spans="1:105" ht="12" customHeight="1" x14ac:dyDescent="0.25">
      <c r="A27" s="145" t="s">
        <v>26</v>
      </c>
      <c r="B27" s="146">
        <v>5.2345659335589305</v>
      </c>
      <c r="C27" s="146">
        <v>5.0760495538839336</v>
      </c>
      <c r="D27" s="146">
        <v>5.1922864447720158</v>
      </c>
      <c r="E27" s="146">
        <v>5.3296757613639336</v>
      </c>
      <c r="F27" s="146">
        <v>5.8404535806078979</v>
      </c>
      <c r="G27" s="146">
        <v>6.0905417024935522</v>
      </c>
      <c r="H27" s="146">
        <v>6.3294067067927768</v>
      </c>
      <c r="I27" s="146">
        <v>7.8341358555460001</v>
      </c>
      <c r="J27" s="146">
        <v>8.4073946689595864</v>
      </c>
      <c r="K27" s="146">
        <v>8.6939810834049904</v>
      </c>
      <c r="L27" s="146">
        <v>9.1239036973344803</v>
      </c>
      <c r="M27" s="146">
        <v>9.4104901117798807</v>
      </c>
      <c r="N27" s="146">
        <v>9.673258813413586</v>
      </c>
      <c r="O27" s="146">
        <v>9.8643164230438529</v>
      </c>
      <c r="P27" s="146">
        <v>10.007652622527941</v>
      </c>
      <c r="Q27" s="146">
        <v>10.174806534823738</v>
      </c>
      <c r="R27" s="146">
        <v>10.342046431642313</v>
      </c>
      <c r="S27" s="146">
        <v>10.532330180567481</v>
      </c>
      <c r="T27" s="146">
        <v>10.748237317282886</v>
      </c>
      <c r="U27" s="146">
        <v>10.911006018916584</v>
      </c>
      <c r="V27" s="146">
        <v>11.095356835769543</v>
      </c>
      <c r="W27" s="146">
        <v>11.288993981083404</v>
      </c>
      <c r="DA27" s="159" t="s">
        <v>294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>
        <f t="shared" ref="B29:Q29" si="8">SUM(B30:B33)</f>
        <v>21.381259110933595</v>
      </c>
      <c r="C29" s="131">
        <f t="shared" si="8"/>
        <v>21.643319859762496</v>
      </c>
      <c r="D29" s="131">
        <f t="shared" si="8"/>
        <v>22.192419507118608</v>
      </c>
      <c r="E29" s="131">
        <f t="shared" si="8"/>
        <v>22.70600227715385</v>
      </c>
      <c r="F29" s="131">
        <f t="shared" si="8"/>
        <v>23.70248400827515</v>
      </c>
      <c r="G29" s="131">
        <f t="shared" si="8"/>
        <v>24.661460066540364</v>
      </c>
      <c r="H29" s="131">
        <f t="shared" si="8"/>
        <v>26.482153429158465</v>
      </c>
      <c r="I29" s="131">
        <f t="shared" si="8"/>
        <v>27.563598322851806</v>
      </c>
      <c r="J29" s="131">
        <f t="shared" si="8"/>
        <v>28.627892972801121</v>
      </c>
      <c r="K29" s="131">
        <f t="shared" si="8"/>
        <v>28.949945364294862</v>
      </c>
      <c r="L29" s="131">
        <f t="shared" si="8"/>
        <v>29.323219087122514</v>
      </c>
      <c r="M29" s="131">
        <f t="shared" si="8"/>
        <v>30.234416345373468</v>
      </c>
      <c r="N29" s="131">
        <f t="shared" si="8"/>
        <v>31.08408856605044</v>
      </c>
      <c r="O29" s="131">
        <f t="shared" si="8"/>
        <v>30.884887844499527</v>
      </c>
      <c r="P29" s="131">
        <f t="shared" si="8"/>
        <v>30.564863397703647</v>
      </c>
      <c r="Q29" s="131">
        <f t="shared" si="8"/>
        <v>30.518171558886895</v>
      </c>
      <c r="R29" s="131">
        <f t="shared" ref="R29:W29" si="9">SUM(R30:R33)</f>
        <v>30.513860536704975</v>
      </c>
      <c r="S29" s="131">
        <f t="shared" si="9"/>
        <v>31.283878122963724</v>
      </c>
      <c r="T29" s="131">
        <f t="shared" si="9"/>
        <v>31.943190374659611</v>
      </c>
      <c r="U29" s="131">
        <f t="shared" si="9"/>
        <v>32.97514787248987</v>
      </c>
      <c r="V29" s="131">
        <f t="shared" si="9"/>
        <v>29.355994269138122</v>
      </c>
      <c r="W29" s="131">
        <f t="shared" si="9"/>
        <v>29.404481746644368</v>
      </c>
      <c r="DA29" s="156" t="s">
        <v>216</v>
      </c>
    </row>
    <row r="30" spans="1:105" ht="12" customHeight="1" x14ac:dyDescent="0.25">
      <c r="A30" s="132" t="s">
        <v>52</v>
      </c>
      <c r="B30" s="133">
        <v>0</v>
      </c>
      <c r="C30" s="133">
        <v>0</v>
      </c>
      <c r="D30" s="133">
        <v>0</v>
      </c>
      <c r="E30" s="133">
        <v>0</v>
      </c>
      <c r="F30" s="133">
        <v>0</v>
      </c>
      <c r="G30" s="133">
        <v>0</v>
      </c>
      <c r="H30" s="133">
        <v>5.7873281989136025</v>
      </c>
      <c r="I30" s="133">
        <v>5.6932287555830303</v>
      </c>
      <c r="J30" s="133">
        <v>6.6932869909113348</v>
      </c>
      <c r="K30" s="133">
        <v>5.4946097969894101</v>
      </c>
      <c r="L30" s="133">
        <v>5.1975762819102709</v>
      </c>
      <c r="M30" s="133">
        <v>6.7702145109917398</v>
      </c>
      <c r="N30" s="133">
        <v>7.2709938833800694</v>
      </c>
      <c r="O30" s="133">
        <v>6.7001336740491606</v>
      </c>
      <c r="P30" s="133">
        <v>5.6443908146044324</v>
      </c>
      <c r="Q30" s="133">
        <v>6.9804484862469609</v>
      </c>
      <c r="R30" s="133">
        <v>6.8884671912485151</v>
      </c>
      <c r="S30" s="133">
        <v>9.6043165878006462</v>
      </c>
      <c r="T30" s="133">
        <v>10.160042163458366</v>
      </c>
      <c r="U30" s="133">
        <v>12.720848605913623</v>
      </c>
      <c r="V30" s="133">
        <v>9.1335122713944639</v>
      </c>
      <c r="W30" s="133">
        <v>7.8441531203231607</v>
      </c>
      <c r="DA30" s="157" t="s">
        <v>295</v>
      </c>
    </row>
    <row r="31" spans="1:105" ht="12" customHeight="1" x14ac:dyDescent="0.25">
      <c r="A31" s="132" t="s">
        <v>153</v>
      </c>
      <c r="B31" s="133">
        <v>0</v>
      </c>
      <c r="C31" s="133">
        <v>0</v>
      </c>
      <c r="D31" s="133">
        <v>0</v>
      </c>
      <c r="E31" s="133">
        <v>0</v>
      </c>
      <c r="F31" s="133">
        <v>0</v>
      </c>
      <c r="G31" s="133">
        <v>0</v>
      </c>
      <c r="H31" s="133">
        <v>0</v>
      </c>
      <c r="I31" s="133">
        <v>0</v>
      </c>
      <c r="J31" s="133">
        <v>0</v>
      </c>
      <c r="K31" s="133">
        <v>0</v>
      </c>
      <c r="L31" s="133">
        <v>0</v>
      </c>
      <c r="M31" s="133">
        <v>0</v>
      </c>
      <c r="N31" s="133">
        <v>0</v>
      </c>
      <c r="O31" s="133">
        <v>0</v>
      </c>
      <c r="P31" s="133">
        <v>0</v>
      </c>
      <c r="Q31" s="133">
        <v>0</v>
      </c>
      <c r="R31" s="133">
        <v>0</v>
      </c>
      <c r="S31" s="133">
        <v>0</v>
      </c>
      <c r="T31" s="133">
        <v>0</v>
      </c>
      <c r="U31" s="133">
        <v>0</v>
      </c>
      <c r="V31" s="133">
        <v>0</v>
      </c>
      <c r="W31" s="133">
        <v>0</v>
      </c>
      <c r="DA31" s="157" t="s">
        <v>296</v>
      </c>
    </row>
    <row r="32" spans="1:105" ht="12" customHeight="1" x14ac:dyDescent="0.25">
      <c r="A32" s="132" t="s">
        <v>128</v>
      </c>
      <c r="B32" s="133">
        <v>1.7614789337919174</v>
      </c>
      <c r="C32" s="133">
        <v>1.7614789337919174</v>
      </c>
      <c r="D32" s="133">
        <v>2.4660791057609632</v>
      </c>
      <c r="E32" s="133">
        <v>2.4660791057609628</v>
      </c>
      <c r="F32" s="133">
        <v>2.9425623387790196</v>
      </c>
      <c r="G32" s="133">
        <v>3.6782459157351659</v>
      </c>
      <c r="H32" s="133">
        <v>3.6782459157351681</v>
      </c>
      <c r="I32" s="133">
        <v>5.1495270851246753</v>
      </c>
      <c r="J32" s="133">
        <v>5.1495270851246771</v>
      </c>
      <c r="K32" s="133">
        <v>5.0731212381771318</v>
      </c>
      <c r="L32" s="133">
        <v>5.0731212381771282</v>
      </c>
      <c r="M32" s="133">
        <v>5.0731212381771371</v>
      </c>
      <c r="N32" s="133">
        <v>5.0731212381771238</v>
      </c>
      <c r="O32" s="133">
        <v>5.0731212381771247</v>
      </c>
      <c r="P32" s="133">
        <v>5.0731212381771282</v>
      </c>
      <c r="Q32" s="133">
        <v>4.9321582115219211</v>
      </c>
      <c r="R32" s="133">
        <v>4.9321582115219211</v>
      </c>
      <c r="S32" s="133">
        <v>4.9822012037833163</v>
      </c>
      <c r="T32" s="133">
        <v>5.0527944969905407</v>
      </c>
      <c r="U32" s="133">
        <v>6.1588057742902906</v>
      </c>
      <c r="V32" s="133">
        <v>6.0702691591673732</v>
      </c>
      <c r="W32" s="133">
        <v>4.0993121238177146</v>
      </c>
      <c r="DA32" s="157" t="s">
        <v>297</v>
      </c>
    </row>
    <row r="33" spans="1:105" ht="12" customHeight="1" x14ac:dyDescent="0.25">
      <c r="A33" s="62" t="s">
        <v>24</v>
      </c>
      <c r="B33" s="68">
        <v>19.619780177141678</v>
      </c>
      <c r="C33" s="68">
        <v>19.881840925970579</v>
      </c>
      <c r="D33" s="68">
        <v>19.726340401357643</v>
      </c>
      <c r="E33" s="68">
        <v>20.239923171392888</v>
      </c>
      <c r="F33" s="68">
        <v>20.75992166949613</v>
      </c>
      <c r="G33" s="68">
        <v>20.9832141508052</v>
      </c>
      <c r="H33" s="68">
        <v>17.016579314509695</v>
      </c>
      <c r="I33" s="68">
        <v>16.7208424821441</v>
      </c>
      <c r="J33" s="68">
        <v>16.785078896765107</v>
      </c>
      <c r="K33" s="68">
        <v>18.38221432912832</v>
      </c>
      <c r="L33" s="68">
        <v>19.052521567035114</v>
      </c>
      <c r="M33" s="68">
        <v>18.391080596204592</v>
      </c>
      <c r="N33" s="68">
        <v>18.739973444493245</v>
      </c>
      <c r="O33" s="68">
        <v>19.111632932273242</v>
      </c>
      <c r="P33" s="68">
        <v>19.847351344922085</v>
      </c>
      <c r="Q33" s="68">
        <v>18.605564861118012</v>
      </c>
      <c r="R33" s="68">
        <v>18.69323513393454</v>
      </c>
      <c r="S33" s="68">
        <v>16.697360331379762</v>
      </c>
      <c r="T33" s="68">
        <v>16.730353714210704</v>
      </c>
      <c r="U33" s="68">
        <v>14.095493492285955</v>
      </c>
      <c r="V33" s="68">
        <v>14.152212838576288</v>
      </c>
      <c r="W33" s="68">
        <v>17.461016502503494</v>
      </c>
      <c r="DA33" s="111" t="s">
        <v>298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299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82</v>
      </c>
      <c r="B3" s="126">
        <f t="shared" ref="B3:Q3" si="0">SUM(B4,B16,B19,B29)</f>
        <v>75.776356446639312</v>
      </c>
      <c r="C3" s="126">
        <f t="shared" si="0"/>
        <v>84.410071533073605</v>
      </c>
      <c r="D3" s="126">
        <f t="shared" si="0"/>
        <v>95.176787930617209</v>
      </c>
      <c r="E3" s="126">
        <f t="shared" si="0"/>
        <v>105.83245684378375</v>
      </c>
      <c r="F3" s="126">
        <f t="shared" si="0"/>
        <v>107.41457718685992</v>
      </c>
      <c r="G3" s="126">
        <f t="shared" si="0"/>
        <v>113.50152877263847</v>
      </c>
      <c r="H3" s="126">
        <f t="shared" si="0"/>
        <v>139.56716047909498</v>
      </c>
      <c r="I3" s="126">
        <f t="shared" si="0"/>
        <v>155.62100444405644</v>
      </c>
      <c r="J3" s="126">
        <f t="shared" si="0"/>
        <v>173.2077327069043</v>
      </c>
      <c r="K3" s="126">
        <f t="shared" si="0"/>
        <v>180.49990269587991</v>
      </c>
      <c r="L3" s="126">
        <f t="shared" si="0"/>
        <v>198.06916957607979</v>
      </c>
      <c r="M3" s="126">
        <f t="shared" si="0"/>
        <v>192.47988232205046</v>
      </c>
      <c r="N3" s="126">
        <f t="shared" si="0"/>
        <v>204.37905711708336</v>
      </c>
      <c r="O3" s="126">
        <f t="shared" si="0"/>
        <v>198.16378000088952</v>
      </c>
      <c r="P3" s="126">
        <f t="shared" si="0"/>
        <v>193.26264607881021</v>
      </c>
      <c r="Q3" s="126">
        <f t="shared" si="0"/>
        <v>205.77672862882625</v>
      </c>
      <c r="R3" s="126">
        <f t="shared" ref="R3:W3" si="1">SUM(R4,R16,R19,R29)</f>
        <v>227.66378814347485</v>
      </c>
      <c r="S3" s="126">
        <f t="shared" si="1"/>
        <v>234.83799119700237</v>
      </c>
      <c r="T3" s="126">
        <f t="shared" si="1"/>
        <v>270.33326276624229</v>
      </c>
      <c r="U3" s="126">
        <f t="shared" si="1"/>
        <v>267.78422289179503</v>
      </c>
      <c r="V3" s="126">
        <f t="shared" si="1"/>
        <v>250.16934567623844</v>
      </c>
      <c r="W3" s="126">
        <f t="shared" si="1"/>
        <v>257.77396053142962</v>
      </c>
      <c r="DA3" s="155" t="s">
        <v>300</v>
      </c>
    </row>
    <row r="4" spans="1:105" ht="12.95" customHeight="1" x14ac:dyDescent="0.25">
      <c r="A4" s="130" t="s">
        <v>32</v>
      </c>
      <c r="B4" s="131">
        <f t="shared" ref="B4:Q4" si="2">SUM(B5:B15)</f>
        <v>14.181153205603275</v>
      </c>
      <c r="C4" s="131">
        <f t="shared" si="2"/>
        <v>19.128114549332896</v>
      </c>
      <c r="D4" s="131">
        <f t="shared" si="2"/>
        <v>23.578389549474306</v>
      </c>
      <c r="E4" s="131">
        <f t="shared" si="2"/>
        <v>24.616132662090486</v>
      </c>
      <c r="F4" s="131">
        <f t="shared" si="2"/>
        <v>27.061569075312338</v>
      </c>
      <c r="G4" s="131">
        <f t="shared" si="2"/>
        <v>30.662800801411528</v>
      </c>
      <c r="H4" s="131">
        <f t="shared" si="2"/>
        <v>44.113186135197353</v>
      </c>
      <c r="I4" s="131">
        <f t="shared" si="2"/>
        <v>46.828011796800091</v>
      </c>
      <c r="J4" s="131">
        <f t="shared" si="2"/>
        <v>56.095577184643098</v>
      </c>
      <c r="K4" s="131">
        <f t="shared" si="2"/>
        <v>59.69223577714385</v>
      </c>
      <c r="L4" s="131">
        <f t="shared" si="2"/>
        <v>65.770413259473855</v>
      </c>
      <c r="M4" s="131">
        <f t="shared" si="2"/>
        <v>66.186983525618004</v>
      </c>
      <c r="N4" s="131">
        <f t="shared" si="2"/>
        <v>55.362789422017165</v>
      </c>
      <c r="O4" s="131">
        <f t="shared" si="2"/>
        <v>63.954602550398029</v>
      </c>
      <c r="P4" s="131">
        <f t="shared" si="2"/>
        <v>68.526724099121452</v>
      </c>
      <c r="Q4" s="131">
        <f t="shared" si="2"/>
        <v>73.502579953082716</v>
      </c>
      <c r="R4" s="131">
        <f t="shared" ref="R4:W4" si="3">SUM(R5:R15)</f>
        <v>80.126853003462472</v>
      </c>
      <c r="S4" s="131">
        <f t="shared" si="3"/>
        <v>89.533804634510801</v>
      </c>
      <c r="T4" s="131">
        <f t="shared" si="3"/>
        <v>91.472187488765343</v>
      </c>
      <c r="U4" s="131">
        <f t="shared" si="3"/>
        <v>103.63258660049917</v>
      </c>
      <c r="V4" s="131">
        <f t="shared" si="3"/>
        <v>79.437579364767259</v>
      </c>
      <c r="W4" s="131">
        <f t="shared" si="3"/>
        <v>94.753746781209728</v>
      </c>
      <c r="DA4" s="156" t="s">
        <v>301</v>
      </c>
    </row>
    <row r="5" spans="1:105" ht="12" customHeight="1" x14ac:dyDescent="0.25">
      <c r="A5" s="132" t="s">
        <v>29</v>
      </c>
      <c r="B5" s="133">
        <v>0</v>
      </c>
      <c r="C5" s="133">
        <v>0</v>
      </c>
      <c r="D5" s="133">
        <v>0</v>
      </c>
      <c r="E5" s="133">
        <v>0</v>
      </c>
      <c r="F5" s="133">
        <v>0</v>
      </c>
      <c r="G5" s="133">
        <v>0</v>
      </c>
      <c r="H5" s="133">
        <v>0</v>
      </c>
      <c r="I5" s="133">
        <v>0</v>
      </c>
      <c r="J5" s="133">
        <v>0</v>
      </c>
      <c r="K5" s="133">
        <v>0</v>
      </c>
      <c r="L5" s="133">
        <v>0</v>
      </c>
      <c r="M5" s="133">
        <v>0</v>
      </c>
      <c r="N5" s="133">
        <v>0</v>
      </c>
      <c r="O5" s="133">
        <v>0</v>
      </c>
      <c r="P5" s="133">
        <v>0</v>
      </c>
      <c r="Q5" s="133">
        <v>0</v>
      </c>
      <c r="R5" s="133">
        <v>0</v>
      </c>
      <c r="S5" s="133">
        <v>0</v>
      </c>
      <c r="T5" s="133">
        <v>0</v>
      </c>
      <c r="U5" s="133">
        <v>0</v>
      </c>
      <c r="V5" s="133">
        <v>0</v>
      </c>
      <c r="W5" s="133">
        <v>0</v>
      </c>
      <c r="DA5" s="157" t="s">
        <v>302</v>
      </c>
    </row>
    <row r="6" spans="1:105" ht="12" customHeight="1" x14ac:dyDescent="0.25">
      <c r="A6" s="132" t="s">
        <v>52</v>
      </c>
      <c r="B6" s="133">
        <v>0</v>
      </c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303</v>
      </c>
    </row>
    <row r="7" spans="1:105" ht="12" customHeight="1" x14ac:dyDescent="0.25">
      <c r="A7" s="132" t="s">
        <v>168</v>
      </c>
      <c r="B7" s="133">
        <v>9.6695180054592704</v>
      </c>
      <c r="C7" s="133">
        <v>9.7727713652573094</v>
      </c>
      <c r="D7" s="133">
        <v>9.3473218045841335</v>
      </c>
      <c r="E7" s="133">
        <v>9.6163782608991859</v>
      </c>
      <c r="F7" s="133">
        <v>8.6059943224900639</v>
      </c>
      <c r="G7" s="133">
        <v>8.2373168420905785</v>
      </c>
      <c r="H7" s="133">
        <v>9.4683892736583548</v>
      </c>
      <c r="I7" s="133">
        <v>9.8757969415512914</v>
      </c>
      <c r="J7" s="133">
        <v>13.732012871609609</v>
      </c>
      <c r="K7" s="133">
        <v>10.862533776888988</v>
      </c>
      <c r="L7" s="133">
        <v>13.253203007462879</v>
      </c>
      <c r="M7" s="133">
        <v>13.602157118704843</v>
      </c>
      <c r="N7" s="133">
        <v>12.462634533820367</v>
      </c>
      <c r="O7" s="133">
        <v>14.252262375260658</v>
      </c>
      <c r="P7" s="133">
        <v>13.77753856184801</v>
      </c>
      <c r="Q7" s="133">
        <v>11.667574472864215</v>
      </c>
      <c r="R7" s="133">
        <v>11.111797664741927</v>
      </c>
      <c r="S7" s="133">
        <v>13.221332198874624</v>
      </c>
      <c r="T7" s="133">
        <v>12.387816108518043</v>
      </c>
      <c r="U7" s="133">
        <v>15.880305746340753</v>
      </c>
      <c r="V7" s="133">
        <v>13.140022497877663</v>
      </c>
      <c r="W7" s="133">
        <v>14.941926410971703</v>
      </c>
      <c r="DA7" s="157" t="s">
        <v>304</v>
      </c>
    </row>
    <row r="8" spans="1:105" ht="12" customHeight="1" x14ac:dyDescent="0.25">
      <c r="A8" s="132" t="s">
        <v>73</v>
      </c>
      <c r="B8" s="133">
        <v>0</v>
      </c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0</v>
      </c>
      <c r="S8" s="133">
        <v>0</v>
      </c>
      <c r="T8" s="133">
        <v>0</v>
      </c>
      <c r="U8" s="133">
        <v>0</v>
      </c>
      <c r="V8" s="133">
        <v>0</v>
      </c>
      <c r="W8" s="133">
        <v>0</v>
      </c>
      <c r="DA8" s="157" t="s">
        <v>305</v>
      </c>
    </row>
    <row r="9" spans="1:105" ht="12" customHeight="1" x14ac:dyDescent="0.25">
      <c r="A9" s="132" t="s">
        <v>78</v>
      </c>
      <c r="B9" s="133">
        <v>0</v>
      </c>
      <c r="C9" s="133">
        <v>0</v>
      </c>
      <c r="D9" s="133">
        <v>0</v>
      </c>
      <c r="E9" s="133">
        <v>0</v>
      </c>
      <c r="F9" s="133">
        <v>0</v>
      </c>
      <c r="G9" s="133">
        <v>0</v>
      </c>
      <c r="H9" s="133">
        <v>0</v>
      </c>
      <c r="I9" s="133">
        <v>0</v>
      </c>
      <c r="J9" s="133">
        <v>0</v>
      </c>
      <c r="K9" s="133">
        <v>0.21403742817124066</v>
      </c>
      <c r="L9" s="133">
        <v>0.23388676259036534</v>
      </c>
      <c r="M9" s="133">
        <v>0.21481926469518417</v>
      </c>
      <c r="N9" s="133">
        <v>0.21508977647196509</v>
      </c>
      <c r="O9" s="133">
        <v>0.21509486453074786</v>
      </c>
      <c r="P9" s="133">
        <v>0.23462172817145538</v>
      </c>
      <c r="Q9" s="133">
        <v>0.23479739681262052</v>
      </c>
      <c r="R9" s="133">
        <v>0.31848974123270779</v>
      </c>
      <c r="S9" s="133">
        <v>0.3405541191328349</v>
      </c>
      <c r="T9" s="133">
        <v>0.91836389543720498</v>
      </c>
      <c r="U9" s="133">
        <v>1.1099551749080556</v>
      </c>
      <c r="V9" s="133">
        <v>0.41885465359301938</v>
      </c>
      <c r="W9" s="133">
        <v>0.49253416971939079</v>
      </c>
      <c r="DA9" s="157" t="s">
        <v>306</v>
      </c>
    </row>
    <row r="10" spans="1:105" ht="12" customHeight="1" x14ac:dyDescent="0.25">
      <c r="A10" s="132" t="s">
        <v>128</v>
      </c>
      <c r="B10" s="133">
        <v>0</v>
      </c>
      <c r="C10" s="133">
        <v>0</v>
      </c>
      <c r="D10" s="133">
        <v>0</v>
      </c>
      <c r="E10" s="133">
        <v>0</v>
      </c>
      <c r="F10" s="133">
        <v>0</v>
      </c>
      <c r="G10" s="133">
        <v>0</v>
      </c>
      <c r="H10" s="133">
        <v>0</v>
      </c>
      <c r="I10" s="133">
        <v>0.15770797816582921</v>
      </c>
      <c r="J10" s="133">
        <v>0.6577411441844081</v>
      </c>
      <c r="K10" s="133">
        <v>0.7666114886994928</v>
      </c>
      <c r="L10" s="133">
        <v>0.22228493166702604</v>
      </c>
      <c r="M10" s="133">
        <v>0.39799187168444333</v>
      </c>
      <c r="N10" s="133">
        <v>0.60335356046725508</v>
      </c>
      <c r="O10" s="133">
        <v>0.55799882537268175</v>
      </c>
      <c r="P10" s="133">
        <v>0.52444885261212426</v>
      </c>
      <c r="Q10" s="133">
        <v>1.5009706663004427</v>
      </c>
      <c r="R10" s="133">
        <v>1.1296441394834134</v>
      </c>
      <c r="S10" s="133">
        <v>1.5655162379786909</v>
      </c>
      <c r="T10" s="133">
        <v>0.85876130062125211</v>
      </c>
      <c r="U10" s="133">
        <v>0.51844718409939528</v>
      </c>
      <c r="V10" s="133">
        <v>0.47280395031943478</v>
      </c>
      <c r="W10" s="133">
        <v>1.55208864752665</v>
      </c>
      <c r="DA10" s="157" t="s">
        <v>307</v>
      </c>
    </row>
    <row r="11" spans="1:105" ht="12" customHeight="1" x14ac:dyDescent="0.25">
      <c r="A11" s="132" t="s">
        <v>25</v>
      </c>
      <c r="B11" s="133">
        <v>0</v>
      </c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308</v>
      </c>
    </row>
    <row r="12" spans="1:105" ht="12" customHeight="1" x14ac:dyDescent="0.25">
      <c r="A12" s="132" t="s">
        <v>169</v>
      </c>
      <c r="B12" s="133">
        <v>0</v>
      </c>
      <c r="C12" s="133">
        <v>0</v>
      </c>
      <c r="D12" s="133">
        <v>0</v>
      </c>
      <c r="E12" s="133">
        <v>0</v>
      </c>
      <c r="F12" s="133">
        <v>0</v>
      </c>
      <c r="G12" s="133">
        <v>0</v>
      </c>
      <c r="H12" s="133">
        <v>0</v>
      </c>
      <c r="I12" s="133">
        <v>0</v>
      </c>
      <c r="J12" s="133">
        <v>0</v>
      </c>
      <c r="K12" s="133">
        <v>0</v>
      </c>
      <c r="L12" s="133">
        <v>0</v>
      </c>
      <c r="M12" s="133">
        <v>0</v>
      </c>
      <c r="N12" s="133">
        <v>0</v>
      </c>
      <c r="O12" s="133">
        <v>0</v>
      </c>
      <c r="P12" s="133">
        <v>0</v>
      </c>
      <c r="Q12" s="133">
        <v>0</v>
      </c>
      <c r="R12" s="133">
        <v>0</v>
      </c>
      <c r="S12" s="133">
        <v>0</v>
      </c>
      <c r="T12" s="133">
        <v>0</v>
      </c>
      <c r="U12" s="133">
        <v>0</v>
      </c>
      <c r="V12" s="133">
        <v>0</v>
      </c>
      <c r="W12" s="133">
        <v>0</v>
      </c>
      <c r="DA12" s="157" t="s">
        <v>309</v>
      </c>
    </row>
    <row r="13" spans="1:105" ht="12" customHeight="1" x14ac:dyDescent="0.25">
      <c r="A13" s="132" t="s">
        <v>77</v>
      </c>
      <c r="B13" s="133">
        <v>0.25114095985842921</v>
      </c>
      <c r="C13" s="133">
        <v>0.85965845314480072</v>
      </c>
      <c r="D13" s="133">
        <v>1.517480091329005</v>
      </c>
      <c r="E13" s="133">
        <v>2.2671389021643247</v>
      </c>
      <c r="F13" s="133">
        <v>3.3315131858084657</v>
      </c>
      <c r="G13" s="133">
        <v>4.7561046246829113</v>
      </c>
      <c r="H13" s="133">
        <v>5.7477677000534371</v>
      </c>
      <c r="I13" s="133">
        <v>6.9069202784533186</v>
      </c>
      <c r="J13" s="133">
        <v>7.609673303080962</v>
      </c>
      <c r="K13" s="133">
        <v>9.7322671833839909</v>
      </c>
      <c r="L13" s="133">
        <v>11.087147174301691</v>
      </c>
      <c r="M13" s="133">
        <v>14.745852113719714</v>
      </c>
      <c r="N13" s="133">
        <v>23.316043498581102</v>
      </c>
      <c r="O13" s="133">
        <v>45.019247765781145</v>
      </c>
      <c r="P13" s="133">
        <v>45.811151511772835</v>
      </c>
      <c r="Q13" s="133">
        <v>50.768714360891757</v>
      </c>
      <c r="R13" s="133">
        <v>50.283541945702645</v>
      </c>
      <c r="S13" s="133">
        <v>52.284966121257533</v>
      </c>
      <c r="T13" s="133">
        <v>54.573530494842139</v>
      </c>
      <c r="U13" s="133">
        <v>56.971816200435022</v>
      </c>
      <c r="V13" s="133">
        <v>52.432422458371647</v>
      </c>
      <c r="W13" s="133">
        <v>53.09046036817427</v>
      </c>
      <c r="DA13" s="157" t="s">
        <v>310</v>
      </c>
    </row>
    <row r="14" spans="1:105" ht="12" customHeight="1" x14ac:dyDescent="0.25">
      <c r="A14" s="60" t="s">
        <v>76</v>
      </c>
      <c r="B14" s="65">
        <v>4.0671038801763908</v>
      </c>
      <c r="C14" s="65">
        <v>8.3042930807491935</v>
      </c>
      <c r="D14" s="65">
        <v>12.534154699327852</v>
      </c>
      <c r="E14" s="65">
        <v>12.551493656636108</v>
      </c>
      <c r="F14" s="65">
        <v>14.964863007954337</v>
      </c>
      <c r="G14" s="65">
        <v>17.519570595693143</v>
      </c>
      <c r="H14" s="65">
        <v>28.72756600420816</v>
      </c>
      <c r="I14" s="65">
        <v>29.712074302530262</v>
      </c>
      <c r="J14" s="65">
        <v>33.851686439547599</v>
      </c>
      <c r="K14" s="65">
        <v>37.920096259478647</v>
      </c>
      <c r="L14" s="65">
        <v>40.743306353724698</v>
      </c>
      <c r="M14" s="65">
        <v>36.99109164058796</v>
      </c>
      <c r="N14" s="65">
        <v>18.55014830083546</v>
      </c>
      <c r="O14" s="65">
        <v>3.6673431519480784</v>
      </c>
      <c r="P14" s="65">
        <v>7.9459544585575257</v>
      </c>
      <c r="Q14" s="65">
        <v>9.1254555379792297</v>
      </c>
      <c r="R14" s="65">
        <v>17.090148214529634</v>
      </c>
      <c r="S14" s="65">
        <v>21.891524019781478</v>
      </c>
      <c r="T14" s="65">
        <v>22.514192601886759</v>
      </c>
      <c r="U14" s="65">
        <v>28.877292639045628</v>
      </c>
      <c r="V14" s="65">
        <v>12.754491756682489</v>
      </c>
      <c r="W14" s="65">
        <v>24.419368241376279</v>
      </c>
      <c r="DA14" s="109" t="s">
        <v>311</v>
      </c>
    </row>
    <row r="15" spans="1:105" ht="12" customHeight="1" x14ac:dyDescent="0.25">
      <c r="A15" s="134" t="s">
        <v>80</v>
      </c>
      <c r="B15" s="135">
        <v>0.19339036010918542</v>
      </c>
      <c r="C15" s="135">
        <v>0.19139165018158805</v>
      </c>
      <c r="D15" s="135">
        <v>0.17943295423331498</v>
      </c>
      <c r="E15" s="135">
        <v>0.18112184239086679</v>
      </c>
      <c r="F15" s="135">
        <v>0.15919855905947336</v>
      </c>
      <c r="G15" s="135">
        <v>0.14980873894489477</v>
      </c>
      <c r="H15" s="135">
        <v>0.16946315727739783</v>
      </c>
      <c r="I15" s="135">
        <v>0.17551229609938943</v>
      </c>
      <c r="J15" s="135">
        <v>0.24446342622051695</v>
      </c>
      <c r="K15" s="135">
        <v>0.19668964052149307</v>
      </c>
      <c r="L15" s="135">
        <v>0.23058502972719147</v>
      </c>
      <c r="M15" s="135">
        <v>0.23507151622585534</v>
      </c>
      <c r="N15" s="135">
        <v>0.21551975184101649</v>
      </c>
      <c r="O15" s="135">
        <v>0.24265556750471123</v>
      </c>
      <c r="P15" s="135">
        <v>0.23300898615951102</v>
      </c>
      <c r="Q15" s="135">
        <v>0.20506751823444097</v>
      </c>
      <c r="R15" s="135">
        <v>0.19323129777214568</v>
      </c>
      <c r="S15" s="135">
        <v>0.22991193748564401</v>
      </c>
      <c r="T15" s="135">
        <v>0.21952308745994634</v>
      </c>
      <c r="U15" s="135">
        <v>0.27476965567032774</v>
      </c>
      <c r="V15" s="135">
        <v>0.2189840479230151</v>
      </c>
      <c r="W15" s="135">
        <v>0.25736894344142958</v>
      </c>
      <c r="DA15" s="158" t="s">
        <v>312</v>
      </c>
    </row>
    <row r="16" spans="1:105" ht="12.95" customHeight="1" x14ac:dyDescent="0.25">
      <c r="A16" s="130" t="s">
        <v>74</v>
      </c>
      <c r="B16" s="131">
        <f t="shared" ref="B16:Q16" si="4">SUM(B17:B18)</f>
        <v>29.04427800257168</v>
      </c>
      <c r="C16" s="131">
        <f t="shared" si="4"/>
        <v>32.320653413856164</v>
      </c>
      <c r="D16" s="131">
        <f t="shared" si="4"/>
        <v>38.102524277651412</v>
      </c>
      <c r="E16" s="131">
        <f t="shared" si="4"/>
        <v>47.018380951465929</v>
      </c>
      <c r="F16" s="131">
        <f t="shared" si="4"/>
        <v>45.074283446702097</v>
      </c>
      <c r="G16" s="131">
        <f t="shared" si="4"/>
        <v>46.453455498995822</v>
      </c>
      <c r="H16" s="131">
        <f t="shared" si="4"/>
        <v>58.187018982068878</v>
      </c>
      <c r="I16" s="131">
        <f t="shared" si="4"/>
        <v>70.455014522051698</v>
      </c>
      <c r="J16" s="131">
        <f t="shared" si="4"/>
        <v>77.344005417599035</v>
      </c>
      <c r="K16" s="131">
        <f t="shared" si="4"/>
        <v>80.024133340923143</v>
      </c>
      <c r="L16" s="131">
        <f t="shared" si="4"/>
        <v>90.577390203029381</v>
      </c>
      <c r="M16" s="131">
        <f t="shared" si="4"/>
        <v>83.627600148777844</v>
      </c>
      <c r="N16" s="131">
        <f t="shared" si="4"/>
        <v>105.29474908828122</v>
      </c>
      <c r="O16" s="131">
        <f t="shared" si="4"/>
        <v>90.290749528807993</v>
      </c>
      <c r="P16" s="131">
        <f t="shared" si="4"/>
        <v>81.199131848119364</v>
      </c>
      <c r="Q16" s="131">
        <f t="shared" si="4"/>
        <v>88.968948436371477</v>
      </c>
      <c r="R16" s="131">
        <f t="shared" ref="R16:W16" si="5">SUM(R17:R18)</f>
        <v>103.90528228630629</v>
      </c>
      <c r="S16" s="131">
        <f t="shared" si="5"/>
        <v>101.56485957797388</v>
      </c>
      <c r="T16" s="131">
        <f t="shared" si="5"/>
        <v>134.35647244561733</v>
      </c>
      <c r="U16" s="131">
        <f t="shared" si="5"/>
        <v>119.46522895233753</v>
      </c>
      <c r="V16" s="131">
        <f t="shared" si="5"/>
        <v>129.00160309275557</v>
      </c>
      <c r="W16" s="131">
        <f t="shared" si="5"/>
        <v>119.94919468300819</v>
      </c>
      <c r="DA16" s="156" t="s">
        <v>313</v>
      </c>
    </row>
    <row r="17" spans="1:105" ht="12.95" customHeight="1" x14ac:dyDescent="0.25">
      <c r="A17" s="132" t="s">
        <v>73</v>
      </c>
      <c r="B17" s="133">
        <v>0</v>
      </c>
      <c r="C17" s="133">
        <v>0</v>
      </c>
      <c r="D17" s="133">
        <v>0</v>
      </c>
      <c r="E17" s="133">
        <v>0</v>
      </c>
      <c r="F17" s="133">
        <v>0</v>
      </c>
      <c r="G17" s="133">
        <v>0</v>
      </c>
      <c r="H17" s="133">
        <v>0</v>
      </c>
      <c r="I17" s="133">
        <v>0</v>
      </c>
      <c r="J17" s="133">
        <v>0</v>
      </c>
      <c r="K17" s="133">
        <v>0</v>
      </c>
      <c r="L17" s="133">
        <v>0</v>
      </c>
      <c r="M17" s="133">
        <v>0</v>
      </c>
      <c r="N17" s="133">
        <v>0</v>
      </c>
      <c r="O17" s="133">
        <v>0</v>
      </c>
      <c r="P17" s="133">
        <v>0</v>
      </c>
      <c r="Q17" s="133">
        <v>0</v>
      </c>
      <c r="R17" s="133">
        <v>0</v>
      </c>
      <c r="S17" s="133">
        <v>0</v>
      </c>
      <c r="T17" s="133">
        <v>0</v>
      </c>
      <c r="U17" s="133">
        <v>0</v>
      </c>
      <c r="V17" s="133">
        <v>0</v>
      </c>
      <c r="W17" s="133">
        <v>0</v>
      </c>
      <c r="DA17" s="157" t="s">
        <v>314</v>
      </c>
    </row>
    <row r="18" spans="1:105" ht="12" customHeight="1" x14ac:dyDescent="0.25">
      <c r="A18" s="132" t="s">
        <v>72</v>
      </c>
      <c r="B18" s="133">
        <v>29.04427800257168</v>
      </c>
      <c r="C18" s="133">
        <v>32.320653413856164</v>
      </c>
      <c r="D18" s="133">
        <v>38.102524277651412</v>
      </c>
      <c r="E18" s="133">
        <v>47.018380951465929</v>
      </c>
      <c r="F18" s="133">
        <v>45.074283446702097</v>
      </c>
      <c r="G18" s="133">
        <v>46.453455498995822</v>
      </c>
      <c r="H18" s="133">
        <v>58.187018982068878</v>
      </c>
      <c r="I18" s="133">
        <v>70.455014522051698</v>
      </c>
      <c r="J18" s="133">
        <v>77.344005417599035</v>
      </c>
      <c r="K18" s="133">
        <v>80.024133340923143</v>
      </c>
      <c r="L18" s="133">
        <v>90.577390203029381</v>
      </c>
      <c r="M18" s="133">
        <v>83.627600148777844</v>
      </c>
      <c r="N18" s="133">
        <v>105.29474908828122</v>
      </c>
      <c r="O18" s="133">
        <v>90.290749528807993</v>
      </c>
      <c r="P18" s="133">
        <v>81.199131848119364</v>
      </c>
      <c r="Q18" s="133">
        <v>88.968948436371477</v>
      </c>
      <c r="R18" s="133">
        <v>103.90528228630629</v>
      </c>
      <c r="S18" s="133">
        <v>101.56485957797388</v>
      </c>
      <c r="T18" s="133">
        <v>134.35647244561733</v>
      </c>
      <c r="U18" s="133">
        <v>119.46522895233753</v>
      </c>
      <c r="V18" s="133">
        <v>129.00160309275557</v>
      </c>
      <c r="W18" s="133">
        <v>119.94919468300819</v>
      </c>
      <c r="DA18" s="157" t="s">
        <v>315</v>
      </c>
    </row>
    <row r="19" spans="1:105" ht="12.95" customHeight="1" x14ac:dyDescent="0.25">
      <c r="A19" s="130" t="s">
        <v>35</v>
      </c>
      <c r="B19" s="131">
        <f t="shared" ref="B19:Q19" si="6">SUM(B20:B27)</f>
        <v>16.462743524751541</v>
      </c>
      <c r="C19" s="131">
        <f t="shared" si="6"/>
        <v>16.636179915946705</v>
      </c>
      <c r="D19" s="131">
        <f t="shared" si="6"/>
        <v>16.853343868160657</v>
      </c>
      <c r="E19" s="131">
        <f t="shared" si="6"/>
        <v>17.119266526797283</v>
      </c>
      <c r="F19" s="131">
        <f t="shared" si="6"/>
        <v>17.480612869567768</v>
      </c>
      <c r="G19" s="131">
        <f t="shared" si="6"/>
        <v>17.945023095460403</v>
      </c>
      <c r="H19" s="131">
        <f t="shared" si="6"/>
        <v>18.323502559187791</v>
      </c>
      <c r="I19" s="131">
        <f t="shared" si="6"/>
        <v>18.802986466816975</v>
      </c>
      <c r="J19" s="131">
        <f t="shared" si="6"/>
        <v>19.511396942544302</v>
      </c>
      <c r="K19" s="131">
        <f t="shared" si="6"/>
        <v>19.983844781013516</v>
      </c>
      <c r="L19" s="131">
        <f t="shared" si="6"/>
        <v>20.521777413018238</v>
      </c>
      <c r="M19" s="131">
        <f t="shared" si="6"/>
        <v>20.999693077406221</v>
      </c>
      <c r="N19" s="131">
        <f t="shared" si="6"/>
        <v>21.439607621366868</v>
      </c>
      <c r="O19" s="131">
        <f t="shared" si="6"/>
        <v>21.650325291843483</v>
      </c>
      <c r="P19" s="131">
        <f t="shared" si="6"/>
        <v>21.28525966226313</v>
      </c>
      <c r="Q19" s="131">
        <f t="shared" si="6"/>
        <v>21.254077947207179</v>
      </c>
      <c r="R19" s="131">
        <f t="shared" ref="R19:W19" si="7">SUM(R20:R27)</f>
        <v>21.502695957582496</v>
      </c>
      <c r="S19" s="131">
        <f t="shared" si="7"/>
        <v>21.456002317018292</v>
      </c>
      <c r="T19" s="131">
        <f t="shared" si="7"/>
        <v>21.711118389164465</v>
      </c>
      <c r="U19" s="131">
        <f t="shared" si="7"/>
        <v>21.672488769814343</v>
      </c>
      <c r="V19" s="131">
        <f t="shared" si="7"/>
        <v>20.782202287480555</v>
      </c>
      <c r="W19" s="131">
        <f t="shared" si="7"/>
        <v>21.094390085425601</v>
      </c>
      <c r="DA19" s="156" t="s">
        <v>316</v>
      </c>
    </row>
    <row r="20" spans="1:105" ht="12" customHeight="1" x14ac:dyDescent="0.25">
      <c r="A20" s="132" t="s">
        <v>29</v>
      </c>
      <c r="B20" s="133">
        <v>0</v>
      </c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317</v>
      </c>
    </row>
    <row r="21" spans="1:105" s="2" customFormat="1" ht="12" customHeight="1" x14ac:dyDescent="0.25">
      <c r="A21" s="132" t="s">
        <v>52</v>
      </c>
      <c r="B21" s="133">
        <v>0</v>
      </c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5.7437182678833913</v>
      </c>
      <c r="I21" s="133">
        <v>5.8082412196454358</v>
      </c>
      <c r="J21" s="133">
        <v>5.8961382741358195</v>
      </c>
      <c r="K21" s="133">
        <v>5.9424323658392897</v>
      </c>
      <c r="L21" s="133">
        <v>6.1365066674367093</v>
      </c>
      <c r="M21" s="133">
        <v>5.8502850350332452</v>
      </c>
      <c r="N21" s="133">
        <v>5.5267441444120946</v>
      </c>
      <c r="O21" s="133">
        <v>5.1655545586631346</v>
      </c>
      <c r="P21" s="133">
        <v>4.3874337220756612</v>
      </c>
      <c r="Q21" s="133">
        <v>4.254101129014046</v>
      </c>
      <c r="R21" s="133">
        <v>4.3167233284690312</v>
      </c>
      <c r="S21" s="133">
        <v>4.4074406128936454</v>
      </c>
      <c r="T21" s="133">
        <v>4.2381441814175425</v>
      </c>
      <c r="U21" s="133">
        <v>4.2568959311197991</v>
      </c>
      <c r="V21" s="133">
        <v>3.4056104900463389</v>
      </c>
      <c r="W21" s="133">
        <v>3.2654114101872134</v>
      </c>
      <c r="DA21" s="157" t="s">
        <v>318</v>
      </c>
    </row>
    <row r="22" spans="1:105" ht="12" customHeight="1" x14ac:dyDescent="0.25">
      <c r="A22" s="132" t="s">
        <v>168</v>
      </c>
      <c r="B22" s="133">
        <v>0.50886854847582463</v>
      </c>
      <c r="C22" s="133">
        <v>0.51359041343299838</v>
      </c>
      <c r="D22" s="133">
        <v>0.51555803800638789</v>
      </c>
      <c r="E22" s="133">
        <v>0.51299092512981515</v>
      </c>
      <c r="F22" s="133">
        <v>0.51715660514798634</v>
      </c>
      <c r="G22" s="133">
        <v>0.52023599152886879</v>
      </c>
      <c r="H22" s="133">
        <v>0.51530756575404624</v>
      </c>
      <c r="I22" s="133">
        <v>0.50883572991296977</v>
      </c>
      <c r="J22" s="133">
        <v>0.50378931827408935</v>
      </c>
      <c r="K22" s="133">
        <v>0.50608792591397977</v>
      </c>
      <c r="L22" s="133">
        <v>0.50888229830472764</v>
      </c>
      <c r="M22" s="133">
        <v>0.51652443529140635</v>
      </c>
      <c r="N22" s="133">
        <v>0.52820650378285305</v>
      </c>
      <c r="O22" s="133">
        <v>0.52866892353594686</v>
      </c>
      <c r="P22" s="133">
        <v>0.53456318208041009</v>
      </c>
      <c r="Q22" s="133">
        <v>0.53863738740956468</v>
      </c>
      <c r="R22" s="133">
        <v>0.55370283086512273</v>
      </c>
      <c r="S22" s="133">
        <v>0.56083118046161862</v>
      </c>
      <c r="T22" s="133">
        <v>0.58401771736173291</v>
      </c>
      <c r="U22" s="133">
        <v>0.60395071303890702</v>
      </c>
      <c r="V22" s="133">
        <v>0.56652617767421198</v>
      </c>
      <c r="W22" s="133">
        <v>0.6320281716424998</v>
      </c>
      <c r="DA22" s="157" t="s">
        <v>319</v>
      </c>
    </row>
    <row r="23" spans="1:105" ht="12" customHeight="1" x14ac:dyDescent="0.25">
      <c r="A23" s="132" t="s">
        <v>153</v>
      </c>
      <c r="B23" s="133">
        <v>0</v>
      </c>
      <c r="C23" s="133">
        <v>0</v>
      </c>
      <c r="D23" s="133">
        <v>0</v>
      </c>
      <c r="E23" s="133">
        <v>0</v>
      </c>
      <c r="F23" s="133">
        <v>0</v>
      </c>
      <c r="G23" s="133">
        <v>0</v>
      </c>
      <c r="H23" s="133">
        <v>0</v>
      </c>
      <c r="I23" s="133">
        <v>0</v>
      </c>
      <c r="J23" s="133">
        <v>0</v>
      </c>
      <c r="K23" s="133">
        <v>0</v>
      </c>
      <c r="L23" s="133">
        <v>0</v>
      </c>
      <c r="M23" s="133">
        <v>0</v>
      </c>
      <c r="N23" s="133">
        <v>0</v>
      </c>
      <c r="O23" s="133">
        <v>0</v>
      </c>
      <c r="P23" s="133">
        <v>0</v>
      </c>
      <c r="Q23" s="133">
        <v>0</v>
      </c>
      <c r="R23" s="133">
        <v>0</v>
      </c>
      <c r="S23" s="133">
        <v>0</v>
      </c>
      <c r="T23" s="133">
        <v>0</v>
      </c>
      <c r="U23" s="133">
        <v>0</v>
      </c>
      <c r="V23" s="133">
        <v>0</v>
      </c>
      <c r="W23" s="133">
        <v>0</v>
      </c>
      <c r="DA23" s="157" t="s">
        <v>320</v>
      </c>
    </row>
    <row r="24" spans="1:105" ht="12" customHeight="1" x14ac:dyDescent="0.25">
      <c r="A24" s="132" t="s">
        <v>128</v>
      </c>
      <c r="B24" s="133">
        <v>0</v>
      </c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321</v>
      </c>
    </row>
    <row r="25" spans="1:105" ht="12" customHeight="1" x14ac:dyDescent="0.25">
      <c r="A25" s="132" t="s">
        <v>169</v>
      </c>
      <c r="B25" s="133">
        <v>0</v>
      </c>
      <c r="C25" s="133">
        <v>0</v>
      </c>
      <c r="D25" s="133">
        <v>0</v>
      </c>
      <c r="E25" s="133">
        <v>0</v>
      </c>
      <c r="F25" s="133">
        <v>0</v>
      </c>
      <c r="G25" s="133">
        <v>0</v>
      </c>
      <c r="H25" s="133">
        <v>0</v>
      </c>
      <c r="I25" s="133">
        <v>0</v>
      </c>
      <c r="J25" s="133">
        <v>0</v>
      </c>
      <c r="K25" s="133">
        <v>0</v>
      </c>
      <c r="L25" s="133">
        <v>0</v>
      </c>
      <c r="M25" s="133">
        <v>0</v>
      </c>
      <c r="N25" s="133">
        <v>0</v>
      </c>
      <c r="O25" s="133">
        <v>0</v>
      </c>
      <c r="P25" s="133">
        <v>0</v>
      </c>
      <c r="Q25" s="133">
        <v>0</v>
      </c>
      <c r="R25" s="133">
        <v>0</v>
      </c>
      <c r="S25" s="133">
        <v>0</v>
      </c>
      <c r="T25" s="133">
        <v>0</v>
      </c>
      <c r="U25" s="133">
        <v>0</v>
      </c>
      <c r="V25" s="133">
        <v>0</v>
      </c>
      <c r="W25" s="133">
        <v>0</v>
      </c>
      <c r="DA25" s="157" t="s">
        <v>322</v>
      </c>
    </row>
    <row r="26" spans="1:105" ht="12" customHeight="1" x14ac:dyDescent="0.25">
      <c r="A26" s="132" t="s">
        <v>24</v>
      </c>
      <c r="B26" s="65">
        <v>10.719309042716787</v>
      </c>
      <c r="C26" s="65">
        <v>11.046539948629773</v>
      </c>
      <c r="D26" s="65">
        <v>11.145499385382253</v>
      </c>
      <c r="E26" s="65">
        <v>11.276599840303533</v>
      </c>
      <c r="F26" s="65">
        <v>11.123002683811883</v>
      </c>
      <c r="G26" s="65">
        <v>11.334245401437981</v>
      </c>
      <c r="H26" s="65">
        <v>5.7350700187575772</v>
      </c>
      <c r="I26" s="65">
        <v>4.6517736617125687</v>
      </c>
      <c r="J26" s="65">
        <v>4.7040746811748075</v>
      </c>
      <c r="K26" s="65">
        <v>4.8413434058552571</v>
      </c>
      <c r="L26" s="65">
        <v>4.7524847499423215</v>
      </c>
      <c r="M26" s="65">
        <v>5.2223934953016915</v>
      </c>
      <c r="N26" s="65">
        <v>5.7113981597583336</v>
      </c>
      <c r="O26" s="65">
        <v>6.0917853866005478</v>
      </c>
      <c r="P26" s="65">
        <v>6.355610135579119</v>
      </c>
      <c r="Q26" s="65">
        <v>6.2865328959598301</v>
      </c>
      <c r="R26" s="65">
        <v>6.2902233666060301</v>
      </c>
      <c r="S26" s="65">
        <v>5.9554003430955484</v>
      </c>
      <c r="T26" s="65">
        <v>6.1407191731023039</v>
      </c>
      <c r="U26" s="65">
        <v>5.9006361067390527</v>
      </c>
      <c r="V26" s="65">
        <v>5.71470878399046</v>
      </c>
      <c r="W26" s="65">
        <v>5.9079565225124844</v>
      </c>
      <c r="DA26" s="109" t="s">
        <v>323</v>
      </c>
    </row>
    <row r="27" spans="1:105" ht="12" customHeight="1" x14ac:dyDescent="0.25">
      <c r="A27" s="145" t="s">
        <v>26</v>
      </c>
      <c r="B27" s="146">
        <v>5.2345659335589305</v>
      </c>
      <c r="C27" s="146">
        <v>5.0760495538839336</v>
      </c>
      <c r="D27" s="146">
        <v>5.1922864447720158</v>
      </c>
      <c r="E27" s="146">
        <v>5.3296757613639336</v>
      </c>
      <c r="F27" s="146">
        <v>5.8404535806078979</v>
      </c>
      <c r="G27" s="146">
        <v>6.0905417024935522</v>
      </c>
      <c r="H27" s="146">
        <v>6.3294067067927768</v>
      </c>
      <c r="I27" s="146">
        <v>7.8341358555460001</v>
      </c>
      <c r="J27" s="146">
        <v>8.4073946689595864</v>
      </c>
      <c r="K27" s="146">
        <v>8.6939810834049904</v>
      </c>
      <c r="L27" s="146">
        <v>9.1239036973344803</v>
      </c>
      <c r="M27" s="146">
        <v>9.4104901117798807</v>
      </c>
      <c r="N27" s="146">
        <v>9.673258813413586</v>
      </c>
      <c r="O27" s="146">
        <v>9.8643164230438529</v>
      </c>
      <c r="P27" s="146">
        <v>10.007652622527941</v>
      </c>
      <c r="Q27" s="146">
        <v>10.174806534823738</v>
      </c>
      <c r="R27" s="146">
        <v>10.342046431642313</v>
      </c>
      <c r="S27" s="146">
        <v>10.532330180567481</v>
      </c>
      <c r="T27" s="146">
        <v>10.748237317282886</v>
      </c>
      <c r="U27" s="146">
        <v>10.911006018916584</v>
      </c>
      <c r="V27" s="146">
        <v>11.095356835769543</v>
      </c>
      <c r="W27" s="146">
        <v>11.288993981083404</v>
      </c>
      <c r="DA27" s="159" t="s">
        <v>324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>
        <f t="shared" ref="B29:Q29" si="8">SUM(B30:B33)</f>
        <v>16.088181713712817</v>
      </c>
      <c r="C29" s="131">
        <f t="shared" si="8"/>
        <v>16.32512365393784</v>
      </c>
      <c r="D29" s="131">
        <f t="shared" si="8"/>
        <v>16.642530235330824</v>
      </c>
      <c r="E29" s="131">
        <f t="shared" si="8"/>
        <v>17.078676703430059</v>
      </c>
      <c r="F29" s="131">
        <f t="shared" si="8"/>
        <v>17.798111795277723</v>
      </c>
      <c r="G29" s="131">
        <f t="shared" si="8"/>
        <v>18.440249376770716</v>
      </c>
      <c r="H29" s="131">
        <f t="shared" si="8"/>
        <v>18.943452802640955</v>
      </c>
      <c r="I29" s="131">
        <f t="shared" si="8"/>
        <v>19.534991658387671</v>
      </c>
      <c r="J29" s="131">
        <f t="shared" si="8"/>
        <v>20.25675316211786</v>
      </c>
      <c r="K29" s="131">
        <f t="shared" si="8"/>
        <v>20.799688796799394</v>
      </c>
      <c r="L29" s="131">
        <f t="shared" si="8"/>
        <v>21.199588700558323</v>
      </c>
      <c r="M29" s="131">
        <f t="shared" si="8"/>
        <v>21.665605570248367</v>
      </c>
      <c r="N29" s="131">
        <f t="shared" si="8"/>
        <v>22.281910985418111</v>
      </c>
      <c r="O29" s="131">
        <f t="shared" si="8"/>
        <v>22.268102629840023</v>
      </c>
      <c r="P29" s="131">
        <f t="shared" si="8"/>
        <v>22.251530469306285</v>
      </c>
      <c r="Q29" s="131">
        <f t="shared" si="8"/>
        <v>22.051122292164877</v>
      </c>
      <c r="R29" s="131">
        <f t="shared" ref="R29:W29" si="9">SUM(R30:R33)</f>
        <v>22.128956896123597</v>
      </c>
      <c r="S29" s="131">
        <f t="shared" si="9"/>
        <v>22.283324667499425</v>
      </c>
      <c r="T29" s="131">
        <f t="shared" si="9"/>
        <v>22.793484442695167</v>
      </c>
      <c r="U29" s="131">
        <f t="shared" si="9"/>
        <v>23.013918569143975</v>
      </c>
      <c r="V29" s="131">
        <f t="shared" si="9"/>
        <v>20.947960931235052</v>
      </c>
      <c r="W29" s="131">
        <f t="shared" si="9"/>
        <v>21.976628981786103</v>
      </c>
      <c r="DA29" s="156" t="s">
        <v>325</v>
      </c>
    </row>
    <row r="30" spans="1:105" ht="12" customHeight="1" x14ac:dyDescent="0.25">
      <c r="A30" s="132" t="s">
        <v>52</v>
      </c>
      <c r="B30" s="133">
        <v>0</v>
      </c>
      <c r="C30" s="133">
        <v>0</v>
      </c>
      <c r="D30" s="133">
        <v>0</v>
      </c>
      <c r="E30" s="133">
        <v>0</v>
      </c>
      <c r="F30" s="133">
        <v>0</v>
      </c>
      <c r="G30" s="133">
        <v>0</v>
      </c>
      <c r="H30" s="133">
        <v>3.5703694570240772</v>
      </c>
      <c r="I30" s="133">
        <v>3.5125086752378722</v>
      </c>
      <c r="J30" s="133">
        <v>4.1297116591124281</v>
      </c>
      <c r="K30" s="133">
        <v>3.3901383720234852</v>
      </c>
      <c r="L30" s="133">
        <v>3.2069345816796466</v>
      </c>
      <c r="M30" s="133">
        <v>4.1776754293337248</v>
      </c>
      <c r="N30" s="133">
        <v>4.4870117065141715</v>
      </c>
      <c r="O30" s="133">
        <v>4.1349361340200383</v>
      </c>
      <c r="P30" s="133">
        <v>3.483577178389762</v>
      </c>
      <c r="Q30" s="133">
        <v>4.3087854722422216</v>
      </c>
      <c r="R30" s="133">
        <v>4.2533626263928097</v>
      </c>
      <c r="S30" s="133">
        <v>5.9345842666498978</v>
      </c>
      <c r="T30" s="133">
        <v>6.2822849009606339</v>
      </c>
      <c r="U30" s="133">
        <v>7.8680770341829378</v>
      </c>
      <c r="V30" s="133">
        <v>5.6516270593358024</v>
      </c>
      <c r="W30" s="133">
        <v>4.8548282061884711</v>
      </c>
      <c r="DA30" s="157" t="s">
        <v>326</v>
      </c>
    </row>
    <row r="31" spans="1:105" ht="12" customHeight="1" x14ac:dyDescent="0.25">
      <c r="A31" s="132" t="s">
        <v>153</v>
      </c>
      <c r="B31" s="133">
        <v>0</v>
      </c>
      <c r="C31" s="133">
        <v>0</v>
      </c>
      <c r="D31" s="133">
        <v>0</v>
      </c>
      <c r="E31" s="133">
        <v>0</v>
      </c>
      <c r="F31" s="133">
        <v>0</v>
      </c>
      <c r="G31" s="133">
        <v>0</v>
      </c>
      <c r="H31" s="133">
        <v>0</v>
      </c>
      <c r="I31" s="133">
        <v>0</v>
      </c>
      <c r="J31" s="133">
        <v>0</v>
      </c>
      <c r="K31" s="133">
        <v>0</v>
      </c>
      <c r="L31" s="133">
        <v>0</v>
      </c>
      <c r="M31" s="133">
        <v>0</v>
      </c>
      <c r="N31" s="133">
        <v>0</v>
      </c>
      <c r="O31" s="133">
        <v>0</v>
      </c>
      <c r="P31" s="133">
        <v>0</v>
      </c>
      <c r="Q31" s="133">
        <v>0</v>
      </c>
      <c r="R31" s="133">
        <v>0</v>
      </c>
      <c r="S31" s="133">
        <v>0</v>
      </c>
      <c r="T31" s="133">
        <v>0</v>
      </c>
      <c r="U31" s="133">
        <v>0</v>
      </c>
      <c r="V31" s="133">
        <v>0</v>
      </c>
      <c r="W31" s="133">
        <v>0</v>
      </c>
      <c r="DA31" s="157" t="s">
        <v>327</v>
      </c>
    </row>
    <row r="32" spans="1:105" ht="12" customHeight="1" x14ac:dyDescent="0.25">
      <c r="A32" s="132" t="s">
        <v>128</v>
      </c>
      <c r="B32" s="133">
        <v>1.002192736184613</v>
      </c>
      <c r="C32" s="133">
        <v>1.0042008097065247</v>
      </c>
      <c r="D32" s="133">
        <v>1.4091965893525071</v>
      </c>
      <c r="E32" s="133">
        <v>1.4116060999006068</v>
      </c>
      <c r="F32" s="133">
        <v>1.687088850593043</v>
      </c>
      <c r="G32" s="133">
        <v>2.1121165166410587</v>
      </c>
      <c r="H32" s="133">
        <v>2.1147217168274071</v>
      </c>
      <c r="I32" s="133">
        <v>2.9641725636011573</v>
      </c>
      <c r="J32" s="133">
        <v>2.9667095217666315</v>
      </c>
      <c r="K32" s="133">
        <v>2.9250408438654558</v>
      </c>
      <c r="L32" s="133">
        <v>2.9267019060985326</v>
      </c>
      <c r="M32" s="133">
        <v>2.9275036839552246</v>
      </c>
      <c r="N32" s="133">
        <v>2.9285220503375284</v>
      </c>
      <c r="O32" s="133">
        <v>2.9297943296758522</v>
      </c>
      <c r="P32" s="133">
        <v>2.9310145675565331</v>
      </c>
      <c r="Q32" s="133">
        <v>2.8505950317964062</v>
      </c>
      <c r="R32" s="133">
        <v>2.8522208798730193</v>
      </c>
      <c r="S32" s="133">
        <v>2.8841602035860618</v>
      </c>
      <c r="T32" s="133">
        <v>2.929706606978522</v>
      </c>
      <c r="U32" s="133">
        <v>3.5778760394242974</v>
      </c>
      <c r="V32" s="133">
        <v>3.5326195531847433</v>
      </c>
      <c r="W32" s="133">
        <v>2.3891928526836352</v>
      </c>
      <c r="DA32" s="157" t="s">
        <v>328</v>
      </c>
    </row>
    <row r="33" spans="1:105" ht="12" customHeight="1" x14ac:dyDescent="0.25">
      <c r="A33" s="62" t="s">
        <v>24</v>
      </c>
      <c r="B33" s="68">
        <v>15.085988977528205</v>
      </c>
      <c r="C33" s="68">
        <v>15.320922844231315</v>
      </c>
      <c r="D33" s="68">
        <v>15.233333645978318</v>
      </c>
      <c r="E33" s="68">
        <v>15.667070603529453</v>
      </c>
      <c r="F33" s="68">
        <v>16.111022944684681</v>
      </c>
      <c r="G33" s="68">
        <v>16.328132860129656</v>
      </c>
      <c r="H33" s="68">
        <v>13.258361628789469</v>
      </c>
      <c r="I33" s="68">
        <v>13.058310419548642</v>
      </c>
      <c r="J33" s="68">
        <v>13.1603319812388</v>
      </c>
      <c r="K33" s="68">
        <v>14.484509580910453</v>
      </c>
      <c r="L33" s="68">
        <v>15.065952212780141</v>
      </c>
      <c r="M33" s="68">
        <v>14.560426456959416</v>
      </c>
      <c r="N33" s="68">
        <v>14.866377228566412</v>
      </c>
      <c r="O33" s="68">
        <v>15.203372166144131</v>
      </c>
      <c r="P33" s="68">
        <v>15.836938723359991</v>
      </c>
      <c r="Q33" s="68">
        <v>14.891741788126247</v>
      </c>
      <c r="R33" s="68">
        <v>15.023373389857767</v>
      </c>
      <c r="S33" s="68">
        <v>13.464580197263466</v>
      </c>
      <c r="T33" s="68">
        <v>13.581492934756012</v>
      </c>
      <c r="U33" s="68">
        <v>11.567965495536738</v>
      </c>
      <c r="V33" s="68">
        <v>11.763714318714506</v>
      </c>
      <c r="W33" s="68">
        <v>14.732607922913996</v>
      </c>
      <c r="DA33" s="111" t="s">
        <v>329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330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83</v>
      </c>
      <c r="B3" s="127">
        <f>IF(SER_hh_tes!B3=0,"",SER_hh_tes!B3/SER_hh_fec!B3)</f>
        <v>0.77536653140843848</v>
      </c>
      <c r="C3" s="127">
        <f>IF(SER_hh_tes!C3=0,"",SER_hh_tes!C3/SER_hh_fec!C3)</f>
        <v>0.79262347318041426</v>
      </c>
      <c r="D3" s="127">
        <f>IF(SER_hh_tes!D3=0,"",SER_hh_tes!D3/SER_hh_fec!D3)</f>
        <v>0.82582635131066295</v>
      </c>
      <c r="E3" s="127">
        <f>IF(SER_hh_tes!E3=0,"",SER_hh_tes!E3/SER_hh_fec!E3)</f>
        <v>0.88041286619647263</v>
      </c>
      <c r="F3" s="127">
        <f>IF(SER_hh_tes!F3=0,"",SER_hh_tes!F3/SER_hh_fec!F3)</f>
        <v>0.88654842902035658</v>
      </c>
      <c r="G3" s="127">
        <f>IF(SER_hh_tes!G3=0,"",SER_hh_tes!G3/SER_hh_fec!G3)</f>
        <v>0.89931051918729887</v>
      </c>
      <c r="H3" s="127">
        <f>IF(SER_hh_tes!H3=0,"",SER_hh_tes!H3/SER_hh_fec!H3)</f>
        <v>0.91538997250451748</v>
      </c>
      <c r="I3" s="127">
        <f>IF(SER_hh_tes!I3=0,"",SER_hh_tes!I3/SER_hh_fec!I3)</f>
        <v>0.97208632585313415</v>
      </c>
      <c r="J3" s="127">
        <f>IF(SER_hh_tes!J3=0,"",SER_hh_tes!J3/SER_hh_fec!J3)</f>
        <v>0.96038870115063235</v>
      </c>
      <c r="K3" s="127">
        <f>IF(SER_hh_tes!K3=0,"",SER_hh_tes!K3/SER_hh_fec!K3)</f>
        <v>0.99698624119312085</v>
      </c>
      <c r="L3" s="127">
        <f>IF(SER_hh_tes!L3=0,"",SER_hh_tes!L3/SER_hh_fec!L3)</f>
        <v>1.0298309223791151</v>
      </c>
      <c r="M3" s="127">
        <f>IF(SER_hh_tes!M3=0,"",SER_hh_tes!M3/SER_hh_fec!M3)</f>
        <v>1.0435723554427174</v>
      </c>
      <c r="N3" s="127">
        <f>IF(SER_hh_tes!N3=0,"",SER_hh_tes!N3/SER_hh_fec!N3)</f>
        <v>1.269878108096657</v>
      </c>
      <c r="O3" s="127">
        <f>IF(SER_hh_tes!O3=0,"",SER_hh_tes!O3/SER_hh_fec!O3)</f>
        <v>1.4095228996556211</v>
      </c>
      <c r="P3" s="127">
        <f>IF(SER_hh_tes!P3=0,"",SER_hh_tes!P3/SER_hh_fec!P3)</f>
        <v>1.3642836425246105</v>
      </c>
      <c r="Q3" s="127">
        <f>IF(SER_hh_tes!Q3=0,"",SER_hh_tes!Q3/SER_hh_fec!Q3)</f>
        <v>1.4281481004447378</v>
      </c>
      <c r="R3" s="127">
        <f>IF(SER_hh_tes!R3=0,"",SER_hh_tes!R3/SER_hh_fec!R3)</f>
        <v>1.445494980787132</v>
      </c>
      <c r="S3" s="127">
        <f>IF(SER_hh_tes!S3=0,"",SER_hh_tes!S3/SER_hh_fec!S3)</f>
        <v>1.3971403164822886</v>
      </c>
      <c r="T3" s="127">
        <f>IF(SER_hh_tes!T3=0,"",SER_hh_tes!T3/SER_hh_fec!T3)</f>
        <v>1.5481433603872667</v>
      </c>
      <c r="U3" s="127">
        <f>IF(SER_hh_tes!U3=0,"",SER_hh_tes!U3/SER_hh_fec!U3)</f>
        <v>1.446875443658403</v>
      </c>
      <c r="V3" s="127">
        <f>IF(SER_hh_tes!V3=0,"",SER_hh_tes!V3/SER_hh_fec!V3)</f>
        <v>1.6755523231503295</v>
      </c>
      <c r="W3" s="127">
        <f>IF(SER_hh_tes!W3=0,"",SER_hh_tes!W3/SER_hh_fec!W3)</f>
        <v>1.5419935604382642</v>
      </c>
      <c r="DA3" s="162" t="s">
        <v>238</v>
      </c>
    </row>
    <row r="4" spans="1:105" ht="12.95" customHeight="1" x14ac:dyDescent="0.25">
      <c r="A4" s="130" t="s">
        <v>32</v>
      </c>
      <c r="B4" s="136">
        <f>IF(SER_hh_tes!B4=0,"",SER_hh_tes!B4/SER_hh_fec!B4)</f>
        <v>0.43829181411703416</v>
      </c>
      <c r="C4" s="136">
        <f>IF(SER_hh_tes!C4=0,"",SER_hh_tes!C4/SER_hh_fec!C4)</f>
        <v>0.47553895458401568</v>
      </c>
      <c r="D4" s="136">
        <f>IF(SER_hh_tes!D4=0,"",SER_hh_tes!D4/SER_hh_fec!D4)</f>
        <v>0.50633726166526538</v>
      </c>
      <c r="E4" s="136">
        <f>IF(SER_hh_tes!E4=0,"",SER_hh_tes!E4/SER_hh_fec!E4)</f>
        <v>0.51741470371741183</v>
      </c>
      <c r="F4" s="136">
        <f>IF(SER_hh_tes!F4=0,"",SER_hh_tes!F4/SER_hh_fec!F4)</f>
        <v>0.54728927155710028</v>
      </c>
      <c r="G4" s="136">
        <f>IF(SER_hh_tes!G4=0,"",SER_hh_tes!G4/SER_hh_fec!G4)</f>
        <v>0.57463409358570983</v>
      </c>
      <c r="H4" s="136">
        <f>IF(SER_hh_tes!H4=0,"",SER_hh_tes!H4/SER_hh_fec!H4)</f>
        <v>0.58507524549410062</v>
      </c>
      <c r="I4" s="136">
        <f>IF(SER_hh_tes!I4=0,"",SER_hh_tes!I4/SER_hh_fec!I4)</f>
        <v>0.59473828230197878</v>
      </c>
      <c r="J4" s="136">
        <f>IF(SER_hh_tes!J4=0,"",SER_hh_tes!J4/SER_hh_fec!J4)</f>
        <v>0.58475967567593745</v>
      </c>
      <c r="K4" s="136">
        <f>IF(SER_hh_tes!K4=0,"",SER_hh_tes!K4/SER_hh_fec!K4)</f>
        <v>0.6258623274644145</v>
      </c>
      <c r="L4" s="136">
        <f>IF(SER_hh_tes!L4=0,"",SER_hh_tes!L4/SER_hh_fec!L4)</f>
        <v>0.63846718081734311</v>
      </c>
      <c r="M4" s="136">
        <f>IF(SER_hh_tes!M4=0,"",SER_hh_tes!M4/SER_hh_fec!M4)</f>
        <v>0.68137240834868007</v>
      </c>
      <c r="N4" s="136">
        <f>IF(SER_hh_tes!N4=0,"",SER_hh_tes!N4/SER_hh_fec!N4)</f>
        <v>0.83516866896297681</v>
      </c>
      <c r="O4" s="136">
        <f>IF(SER_hh_tes!O4=0,"",SER_hh_tes!O4/SER_hh_fec!O4)</f>
        <v>1.2319086134732926</v>
      </c>
      <c r="P4" s="136">
        <f>IF(SER_hh_tes!P4=0,"",SER_hh_tes!P4/SER_hh_fec!P4)</f>
        <v>1.1890461566442905</v>
      </c>
      <c r="Q4" s="136">
        <f>IF(SER_hh_tes!Q4=0,"",SER_hh_tes!Q4/SER_hh_fec!Q4)</f>
        <v>1.2498080845680626</v>
      </c>
      <c r="R4" s="136">
        <f>IF(SER_hh_tes!R4=0,"",SER_hh_tes!R4/SER_hh_fec!R4)</f>
        <v>1.1670756551066581</v>
      </c>
      <c r="S4" s="136">
        <f>IF(SER_hh_tes!S4=0,"",SER_hh_tes!S4/SER_hh_fec!S4)</f>
        <v>1.112516545822321</v>
      </c>
      <c r="T4" s="136">
        <f>IF(SER_hh_tes!T4=0,"",SER_hh_tes!T4/SER_hh_fec!T4)</f>
        <v>1.162979417060519</v>
      </c>
      <c r="U4" s="136">
        <f>IF(SER_hh_tes!U4=0,"",SER_hh_tes!U4/SER_hh_fec!U4)</f>
        <v>1.106761954014597</v>
      </c>
      <c r="V4" s="136">
        <f>IF(SER_hh_tes!V4=0,"",SER_hh_tes!V4/SER_hh_fec!V4)</f>
        <v>1.2906611401781813</v>
      </c>
      <c r="W4" s="136">
        <f>IF(SER_hh_tes!W4=0,"",SER_hh_tes!W4/SER_hh_fec!W4)</f>
        <v>1.1482362364663914</v>
      </c>
      <c r="DA4" s="163" t="s">
        <v>239</v>
      </c>
    </row>
    <row r="5" spans="1:105" ht="12" customHeight="1" x14ac:dyDescent="0.25">
      <c r="A5" s="132" t="s">
        <v>29</v>
      </c>
      <c r="B5" s="137" t="str">
        <f>IF(SER_hh_tes!B5=0,"",SER_hh_tes!B5/SER_hh_fec!B5)</f>
        <v/>
      </c>
      <c r="C5" s="137" t="str">
        <f>IF(SER_hh_tes!C5=0,"",SER_hh_tes!C5/SER_hh_fec!C5)</f>
        <v/>
      </c>
      <c r="D5" s="137" t="str">
        <f>IF(SER_hh_tes!D5=0,"",SER_hh_tes!D5/SER_hh_fec!D5)</f>
        <v/>
      </c>
      <c r="E5" s="137" t="str">
        <f>IF(SER_hh_tes!E5=0,"",SER_hh_tes!E5/SER_hh_fec!E5)</f>
        <v/>
      </c>
      <c r="F5" s="137" t="str">
        <f>IF(SER_hh_tes!F5=0,"",SER_hh_tes!F5/SER_hh_fec!F5)</f>
        <v/>
      </c>
      <c r="G5" s="137" t="str">
        <f>IF(SER_hh_tes!G5=0,"",SER_hh_tes!G5/SER_hh_fec!G5)</f>
        <v/>
      </c>
      <c r="H5" s="137" t="str">
        <f>IF(SER_hh_tes!H5=0,"",SER_hh_tes!H5/SER_hh_fec!H5)</f>
        <v/>
      </c>
      <c r="I5" s="137" t="str">
        <f>IF(SER_hh_tes!I5=0,"",SER_hh_tes!I5/SER_hh_fec!I5)</f>
        <v/>
      </c>
      <c r="J5" s="137" t="str">
        <f>IF(SER_hh_tes!J5=0,"",SER_hh_tes!J5/SER_hh_fec!J5)</f>
        <v/>
      </c>
      <c r="K5" s="137" t="str">
        <f>IF(SER_hh_tes!K5=0,"",SER_hh_tes!K5/SER_hh_fec!K5)</f>
        <v/>
      </c>
      <c r="L5" s="137" t="str">
        <f>IF(SER_hh_tes!L5=0,"",SER_hh_tes!L5/SER_hh_fec!L5)</f>
        <v/>
      </c>
      <c r="M5" s="137" t="str">
        <f>IF(SER_hh_tes!M5=0,"",SER_hh_tes!M5/SER_hh_fec!M5)</f>
        <v/>
      </c>
      <c r="N5" s="137" t="str">
        <f>IF(SER_hh_tes!N5=0,"",SER_hh_tes!N5/SER_hh_fec!N5)</f>
        <v/>
      </c>
      <c r="O5" s="137" t="str">
        <f>IF(SER_hh_tes!O5=0,"",SER_hh_tes!O5/SER_hh_fec!O5)</f>
        <v/>
      </c>
      <c r="P5" s="137" t="str">
        <f>IF(SER_hh_tes!P5=0,"",SER_hh_tes!P5/SER_hh_fec!P5)</f>
        <v/>
      </c>
      <c r="Q5" s="137" t="str">
        <f>IF(SER_hh_tes!Q5=0,"",SER_hh_tes!Q5/SER_hh_fec!Q5)</f>
        <v/>
      </c>
      <c r="R5" s="137" t="str">
        <f>IF(SER_hh_tes!R5=0,"",SER_hh_tes!R5/SER_hh_fec!R5)</f>
        <v/>
      </c>
      <c r="S5" s="137" t="str">
        <f>IF(SER_hh_tes!S5=0,"",SER_hh_tes!S5/SER_hh_fec!S5)</f>
        <v/>
      </c>
      <c r="T5" s="137" t="str">
        <f>IF(SER_hh_tes!T5=0,"",SER_hh_tes!T5/SER_hh_fec!T5)</f>
        <v/>
      </c>
      <c r="U5" s="137" t="str">
        <f>IF(SER_hh_tes!U5=0,"",SER_hh_tes!U5/SER_hh_fec!U5)</f>
        <v/>
      </c>
      <c r="V5" s="137" t="str">
        <f>IF(SER_hh_tes!V5=0,"",SER_hh_tes!V5/SER_hh_fec!V5)</f>
        <v/>
      </c>
      <c r="W5" s="137" t="str">
        <f>IF(SER_hh_tes!W5=0,"",SER_hh_tes!W5/SER_hh_fec!W5)</f>
        <v/>
      </c>
      <c r="DA5" s="164" t="s">
        <v>331</v>
      </c>
    </row>
    <row r="6" spans="1:105" ht="12" customHeight="1" x14ac:dyDescent="0.25">
      <c r="A6" s="132" t="s">
        <v>52</v>
      </c>
      <c r="B6" s="137" t="str">
        <f>IF(SER_hh_tes!B6=0,"",SER_hh_tes!B6/SER_hh_fec!B6)</f>
        <v/>
      </c>
      <c r="C6" s="137" t="str">
        <f>IF(SER_hh_tes!C6=0,"",SER_hh_tes!C6/SER_hh_fec!C6)</f>
        <v/>
      </c>
      <c r="D6" s="137" t="str">
        <f>IF(SER_hh_tes!D6=0,"",SER_hh_tes!D6/SER_hh_fec!D6)</f>
        <v/>
      </c>
      <c r="E6" s="137" t="str">
        <f>IF(SER_hh_tes!E6=0,"",SER_hh_tes!E6/SER_hh_fec!E6)</f>
        <v/>
      </c>
      <c r="F6" s="137" t="str">
        <f>IF(SER_hh_tes!F6=0,"",SER_hh_tes!F6/SER_hh_fec!F6)</f>
        <v/>
      </c>
      <c r="G6" s="137" t="str">
        <f>IF(SER_hh_tes!G6=0,"",SER_hh_tes!G6/SER_hh_fec!G6)</f>
        <v/>
      </c>
      <c r="H6" s="137" t="str">
        <f>IF(SER_hh_tes!H6=0,"",SER_hh_tes!H6/SER_hh_fec!H6)</f>
        <v/>
      </c>
      <c r="I6" s="137" t="str">
        <f>IF(SER_hh_tes!I6=0,"",SER_hh_tes!I6/SER_hh_fec!I6)</f>
        <v/>
      </c>
      <c r="J6" s="137" t="str">
        <f>IF(SER_hh_tes!J6=0,"",SER_hh_tes!J6/SER_hh_fec!J6)</f>
        <v/>
      </c>
      <c r="K6" s="137" t="str">
        <f>IF(SER_hh_tes!K6=0,"",SER_hh_tes!K6/SER_hh_fec!K6)</f>
        <v/>
      </c>
      <c r="L6" s="137" t="str">
        <f>IF(SER_hh_tes!L6=0,"",SER_hh_tes!L6/SER_hh_fec!L6)</f>
        <v/>
      </c>
      <c r="M6" s="137" t="str">
        <f>IF(SER_hh_tes!M6=0,"",SER_hh_tes!M6/SER_hh_fec!M6)</f>
        <v/>
      </c>
      <c r="N6" s="137" t="str">
        <f>IF(SER_hh_tes!N6=0,"",SER_hh_tes!N6/SER_hh_fec!N6)</f>
        <v/>
      </c>
      <c r="O6" s="137" t="str">
        <f>IF(SER_hh_tes!O6=0,"",SER_hh_tes!O6/SER_hh_fec!O6)</f>
        <v/>
      </c>
      <c r="P6" s="137" t="str">
        <f>IF(SER_hh_tes!P6=0,"",SER_hh_tes!P6/SER_hh_fec!P6)</f>
        <v/>
      </c>
      <c r="Q6" s="137" t="str">
        <f>IF(SER_hh_tes!Q6=0,"",SER_hh_tes!Q6/SER_hh_fec!Q6)</f>
        <v/>
      </c>
      <c r="R6" s="137" t="str">
        <f>IF(SER_hh_tes!R6=0,"",SER_hh_tes!R6/SER_hh_fec!R6)</f>
        <v/>
      </c>
      <c r="S6" s="137" t="str">
        <f>IF(SER_hh_tes!S6=0,"",SER_hh_tes!S6/SER_hh_fec!S6)</f>
        <v/>
      </c>
      <c r="T6" s="137" t="str">
        <f>IF(SER_hh_tes!T6=0,"",SER_hh_tes!T6/SER_hh_fec!T6)</f>
        <v/>
      </c>
      <c r="U6" s="137" t="str">
        <f>IF(SER_hh_tes!U6=0,"",SER_hh_tes!U6/SER_hh_fec!U6)</f>
        <v/>
      </c>
      <c r="V6" s="137" t="str">
        <f>IF(SER_hh_tes!V6=0,"",SER_hh_tes!V6/SER_hh_fec!V6)</f>
        <v/>
      </c>
      <c r="W6" s="137" t="str">
        <f>IF(SER_hh_tes!W6=0,"",SER_hh_tes!W6/SER_hh_fec!W6)</f>
        <v/>
      </c>
      <c r="DA6" s="164" t="s">
        <v>332</v>
      </c>
    </row>
    <row r="7" spans="1:105" ht="12" customHeight="1" x14ac:dyDescent="0.25">
      <c r="A7" s="132" t="s">
        <v>168</v>
      </c>
      <c r="B7" s="137">
        <f>IF(SER_hh_tes!B7=0,"",SER_hh_tes!B7/SER_hh_fec!B7)</f>
        <v>0.38867021525770878</v>
      </c>
      <c r="C7" s="137">
        <f>IF(SER_hh_tes!C7=0,"",SER_hh_tes!C7/SER_hh_fec!C7)</f>
        <v>0.38867021525770873</v>
      </c>
      <c r="D7" s="137">
        <f>IF(SER_hh_tes!D7=0,"",SER_hh_tes!D7/SER_hh_fec!D7)</f>
        <v>0.38867021525770878</v>
      </c>
      <c r="E7" s="137">
        <f>IF(SER_hh_tes!E7=0,"",SER_hh_tes!E7/SER_hh_fec!E7)</f>
        <v>0.38867021525770878</v>
      </c>
      <c r="F7" s="137">
        <f>IF(SER_hh_tes!F7=0,"",SER_hh_tes!F7/SER_hh_fec!F7)</f>
        <v>0.38867021525770878</v>
      </c>
      <c r="G7" s="137">
        <f>IF(SER_hh_tes!G7=0,"",SER_hh_tes!G7/SER_hh_fec!G7)</f>
        <v>0.38867021525770878</v>
      </c>
      <c r="H7" s="137">
        <f>IF(SER_hh_tes!H7=0,"",SER_hh_tes!H7/SER_hh_fec!H7)</f>
        <v>0.38867021525770884</v>
      </c>
      <c r="I7" s="137">
        <f>IF(SER_hh_tes!I7=0,"",SER_hh_tes!I7/SER_hh_fec!I7)</f>
        <v>0.38867021525770878</v>
      </c>
      <c r="J7" s="137">
        <f>IF(SER_hh_tes!J7=0,"",SER_hh_tes!J7/SER_hh_fec!J7)</f>
        <v>0.39610956670284442</v>
      </c>
      <c r="K7" s="137">
        <f>IF(SER_hh_tes!K7=0,"",SER_hh_tes!K7/SER_hh_fec!K7)</f>
        <v>0.41039457914023814</v>
      </c>
      <c r="L7" s="137">
        <f>IF(SER_hh_tes!L7=0,"",SER_hh_tes!L7/SER_hh_fec!L7)</f>
        <v>0.43315751134776387</v>
      </c>
      <c r="M7" s="137">
        <f>IF(SER_hh_tes!M7=0,"",SER_hh_tes!M7/SER_hh_fec!M7)</f>
        <v>0.45993821758932574</v>
      </c>
      <c r="N7" s="137">
        <f>IF(SER_hh_tes!N7=0,"",SER_hh_tes!N7/SER_hh_fec!N7)</f>
        <v>0.49268986111268936</v>
      </c>
      <c r="O7" s="137">
        <f>IF(SER_hh_tes!O7=0,"",SER_hh_tes!O7/SER_hh_fec!O7)</f>
        <v>0.52196960532301828</v>
      </c>
      <c r="P7" s="137">
        <f>IF(SER_hh_tes!P7=0,"",SER_hh_tes!P7/SER_hh_fec!P7)</f>
        <v>0.52210690966836704</v>
      </c>
      <c r="Q7" s="137">
        <f>IF(SER_hh_tes!Q7=0,"",SER_hh_tes!Q7/SER_hh_fec!Q7)</f>
        <v>0.52210690966836748</v>
      </c>
      <c r="R7" s="137">
        <f>IF(SER_hh_tes!R7=0,"",SER_hh_tes!R7/SER_hh_fec!R7)</f>
        <v>0.52210690966836726</v>
      </c>
      <c r="S7" s="137">
        <f>IF(SER_hh_tes!S7=0,"",SER_hh_tes!S7/SER_hh_fec!S7)</f>
        <v>0.52210690966836704</v>
      </c>
      <c r="T7" s="137">
        <f>IF(SER_hh_tes!T7=0,"",SER_hh_tes!T7/SER_hh_fec!T7)</f>
        <v>0.5231571344495316</v>
      </c>
      <c r="U7" s="137">
        <f>IF(SER_hh_tes!U7=0,"",SER_hh_tes!U7/SER_hh_fec!U7)</f>
        <v>0.52889442853295965</v>
      </c>
      <c r="V7" s="137">
        <f>IF(SER_hh_tes!V7=0,"",SER_hh_tes!V7/SER_hh_fec!V7)</f>
        <v>0.53644214528175971</v>
      </c>
      <c r="W7" s="137">
        <f>IF(SER_hh_tes!W7=0,"",SER_hh_tes!W7/SER_hh_fec!W7)</f>
        <v>0.5416058874247307</v>
      </c>
      <c r="DA7" s="164" t="s">
        <v>333</v>
      </c>
    </row>
    <row r="8" spans="1:105" ht="12" customHeight="1" x14ac:dyDescent="0.25">
      <c r="A8" s="132" t="s">
        <v>73</v>
      </c>
      <c r="B8" s="137" t="str">
        <f>IF(SER_hh_tes!B8=0,"",SER_hh_tes!B8/SER_hh_fec!B8)</f>
        <v/>
      </c>
      <c r="C8" s="137" t="str">
        <f>IF(SER_hh_tes!C8=0,"",SER_hh_tes!C8/SER_hh_fec!C8)</f>
        <v/>
      </c>
      <c r="D8" s="137" t="str">
        <f>IF(SER_hh_tes!D8=0,"",SER_hh_tes!D8/SER_hh_fec!D8)</f>
        <v/>
      </c>
      <c r="E8" s="137" t="str">
        <f>IF(SER_hh_tes!E8=0,"",SER_hh_tes!E8/SER_hh_fec!E8)</f>
        <v/>
      </c>
      <c r="F8" s="137" t="str">
        <f>IF(SER_hh_tes!F8=0,"",SER_hh_tes!F8/SER_hh_fec!F8)</f>
        <v/>
      </c>
      <c r="G8" s="137" t="str">
        <f>IF(SER_hh_tes!G8=0,"",SER_hh_tes!G8/SER_hh_fec!G8)</f>
        <v/>
      </c>
      <c r="H8" s="137" t="str">
        <f>IF(SER_hh_tes!H8=0,"",SER_hh_tes!H8/SER_hh_fec!H8)</f>
        <v/>
      </c>
      <c r="I8" s="137" t="str">
        <f>IF(SER_hh_tes!I8=0,"",SER_hh_tes!I8/SER_hh_fec!I8)</f>
        <v/>
      </c>
      <c r="J8" s="137" t="str">
        <f>IF(SER_hh_tes!J8=0,"",SER_hh_tes!J8/SER_hh_fec!J8)</f>
        <v/>
      </c>
      <c r="K8" s="137" t="str">
        <f>IF(SER_hh_tes!K8=0,"",SER_hh_tes!K8/SER_hh_fec!K8)</f>
        <v/>
      </c>
      <c r="L8" s="137" t="str">
        <f>IF(SER_hh_tes!L8=0,"",SER_hh_tes!L8/SER_hh_fec!L8)</f>
        <v/>
      </c>
      <c r="M8" s="137" t="str">
        <f>IF(SER_hh_tes!M8=0,"",SER_hh_tes!M8/SER_hh_fec!M8)</f>
        <v/>
      </c>
      <c r="N8" s="137" t="str">
        <f>IF(SER_hh_tes!N8=0,"",SER_hh_tes!N8/SER_hh_fec!N8)</f>
        <v/>
      </c>
      <c r="O8" s="137" t="str">
        <f>IF(SER_hh_tes!O8=0,"",SER_hh_tes!O8/SER_hh_fec!O8)</f>
        <v/>
      </c>
      <c r="P8" s="137" t="str">
        <f>IF(SER_hh_tes!P8=0,"",SER_hh_tes!P8/SER_hh_fec!P8)</f>
        <v/>
      </c>
      <c r="Q8" s="137" t="str">
        <f>IF(SER_hh_tes!Q8=0,"",SER_hh_tes!Q8/SER_hh_fec!Q8)</f>
        <v/>
      </c>
      <c r="R8" s="137" t="str">
        <f>IF(SER_hh_tes!R8=0,"",SER_hh_tes!R8/SER_hh_fec!R8)</f>
        <v/>
      </c>
      <c r="S8" s="137" t="str">
        <f>IF(SER_hh_tes!S8=0,"",SER_hh_tes!S8/SER_hh_fec!S8)</f>
        <v/>
      </c>
      <c r="T8" s="137" t="str">
        <f>IF(SER_hh_tes!T8=0,"",SER_hh_tes!T8/SER_hh_fec!T8)</f>
        <v/>
      </c>
      <c r="U8" s="137" t="str">
        <f>IF(SER_hh_tes!U8=0,"",SER_hh_tes!U8/SER_hh_fec!U8)</f>
        <v/>
      </c>
      <c r="V8" s="137" t="str">
        <f>IF(SER_hh_tes!V8=0,"",SER_hh_tes!V8/SER_hh_fec!V8)</f>
        <v/>
      </c>
      <c r="W8" s="137" t="str">
        <f>IF(SER_hh_tes!W8=0,"",SER_hh_tes!W8/SER_hh_fec!W8)</f>
        <v/>
      </c>
      <c r="DA8" s="164" t="s">
        <v>334</v>
      </c>
    </row>
    <row r="9" spans="1:105" ht="12" customHeight="1" x14ac:dyDescent="0.25">
      <c r="A9" s="132" t="s">
        <v>78</v>
      </c>
      <c r="B9" s="137" t="str">
        <f>IF(SER_hh_tes!B9=0,"",SER_hh_tes!B9/SER_hh_fec!B9)</f>
        <v/>
      </c>
      <c r="C9" s="137" t="str">
        <f>IF(SER_hh_tes!C9=0,"",SER_hh_tes!C9/SER_hh_fec!C9)</f>
        <v/>
      </c>
      <c r="D9" s="137" t="str">
        <f>IF(SER_hh_tes!D9=0,"",SER_hh_tes!D9/SER_hh_fec!D9)</f>
        <v/>
      </c>
      <c r="E9" s="137" t="str">
        <f>IF(SER_hh_tes!E9=0,"",SER_hh_tes!E9/SER_hh_fec!E9)</f>
        <v/>
      </c>
      <c r="F9" s="137" t="str">
        <f>IF(SER_hh_tes!F9=0,"",SER_hh_tes!F9/SER_hh_fec!F9)</f>
        <v/>
      </c>
      <c r="G9" s="137" t="str">
        <f>IF(SER_hh_tes!G9=0,"",SER_hh_tes!G9/SER_hh_fec!G9)</f>
        <v/>
      </c>
      <c r="H9" s="137" t="str">
        <f>IF(SER_hh_tes!H9=0,"",SER_hh_tes!H9/SER_hh_fec!H9)</f>
        <v/>
      </c>
      <c r="I9" s="137" t="str">
        <f>IF(SER_hh_tes!I9=0,"",SER_hh_tes!I9/SER_hh_fec!I9)</f>
        <v/>
      </c>
      <c r="J9" s="137" t="str">
        <f>IF(SER_hh_tes!J9=0,"",SER_hh_tes!J9/SER_hh_fec!J9)</f>
        <v/>
      </c>
      <c r="K9" s="137">
        <f>IF(SER_hh_tes!K9=0,"",SER_hh_tes!K9/SER_hh_fec!K9)</f>
        <v>0.81454688796843244</v>
      </c>
      <c r="L9" s="137">
        <f>IF(SER_hh_tes!L9=0,"",SER_hh_tes!L9/SER_hh_fec!L9)</f>
        <v>0.81611252593037764</v>
      </c>
      <c r="M9" s="137">
        <f>IF(SER_hh_tes!M9=0,"",SER_hh_tes!M9/SER_hh_fec!M9)</f>
        <v>0.8175222671482304</v>
      </c>
      <c r="N9" s="137">
        <f>IF(SER_hh_tes!N9=0,"",SER_hh_tes!N9/SER_hh_fec!N9)</f>
        <v>0.81855173441392515</v>
      </c>
      <c r="O9" s="137">
        <f>IF(SER_hh_tes!O9=0,"",SER_hh_tes!O9/SER_hh_fec!O9)</f>
        <v>0.8185710976742796</v>
      </c>
      <c r="P9" s="137">
        <f>IF(SER_hh_tes!P9=0,"",SER_hh_tes!P9/SER_hh_fec!P9)</f>
        <v>0.81867707729793837</v>
      </c>
      <c r="Q9" s="137">
        <f>IF(SER_hh_tes!Q9=0,"",SER_hh_tes!Q9/SER_hh_fec!Q9)</f>
        <v>0.81929004648388071</v>
      </c>
      <c r="R9" s="137">
        <f>IF(SER_hh_tes!R9=0,"",SER_hh_tes!R9/SER_hh_fec!R9)</f>
        <v>0.8334913795086395</v>
      </c>
      <c r="S9" s="137">
        <f>IF(SER_hh_tes!S9=0,"",SER_hh_tes!S9/SER_hh_fec!S9)</f>
        <v>0.84919476962154228</v>
      </c>
      <c r="T9" s="137">
        <f>IF(SER_hh_tes!T9=0,"",SER_hh_tes!T9/SER_hh_fec!T9)</f>
        <v>0.86189251968485248</v>
      </c>
      <c r="U9" s="137">
        <f>IF(SER_hh_tes!U9=0,"",SER_hh_tes!U9/SER_hh_fec!U9)</f>
        <v>0.86647729119215255</v>
      </c>
      <c r="V9" s="137">
        <f>IF(SER_hh_tes!V9=0,"",SER_hh_tes!V9/SER_hh_fec!V9)</f>
        <v>0.8694056079398208</v>
      </c>
      <c r="W9" s="137">
        <f>IF(SER_hh_tes!W9=0,"",SER_hh_tes!W9/SER_hh_fec!W9)</f>
        <v>0.87306392224302809</v>
      </c>
      <c r="DA9" s="164" t="s">
        <v>335</v>
      </c>
    </row>
    <row r="10" spans="1:105" ht="12" customHeight="1" x14ac:dyDescent="0.25">
      <c r="A10" s="132" t="s">
        <v>128</v>
      </c>
      <c r="B10" s="137" t="str">
        <f>IF(SER_hh_tes!B10=0,"",SER_hh_tes!B10/SER_hh_fec!B10)</f>
        <v/>
      </c>
      <c r="C10" s="137" t="str">
        <f>IF(SER_hh_tes!C10=0,"",SER_hh_tes!C10/SER_hh_fec!C10)</f>
        <v/>
      </c>
      <c r="D10" s="137" t="str">
        <f>IF(SER_hh_tes!D10=0,"",SER_hh_tes!D10/SER_hh_fec!D10)</f>
        <v/>
      </c>
      <c r="E10" s="137" t="str">
        <f>IF(SER_hh_tes!E10=0,"",SER_hh_tes!E10/SER_hh_fec!E10)</f>
        <v/>
      </c>
      <c r="F10" s="137" t="str">
        <f>IF(SER_hh_tes!F10=0,"",SER_hh_tes!F10/SER_hh_fec!F10)</f>
        <v/>
      </c>
      <c r="G10" s="137" t="str">
        <f>IF(SER_hh_tes!G10=0,"",SER_hh_tes!G10/SER_hh_fec!G10)</f>
        <v/>
      </c>
      <c r="H10" s="137" t="str">
        <f>IF(SER_hh_tes!H10=0,"",SER_hh_tes!H10/SER_hh_fec!H10)</f>
        <v/>
      </c>
      <c r="I10" s="137">
        <f>IF(SER_hh_tes!I10=0,"",SER_hh_tes!I10/SER_hh_fec!I10)</f>
        <v>0.47162349860339065</v>
      </c>
      <c r="J10" s="137">
        <f>IF(SER_hh_tes!J10=0,"",SER_hh_tes!J10/SER_hh_fec!J10)</f>
        <v>0.47480165767889454</v>
      </c>
      <c r="K10" s="137">
        <f>IF(SER_hh_tes!K10=0,"",SER_hh_tes!K10/SER_hh_fec!K10)</f>
        <v>0.47480464029349367</v>
      </c>
      <c r="L10" s="137">
        <f>IF(SER_hh_tes!L10=0,"",SER_hh_tes!L10/SER_hh_fec!L10)</f>
        <v>0.47481426648192893</v>
      </c>
      <c r="M10" s="137">
        <f>IF(SER_hh_tes!M10=0,"",SER_hh_tes!M10/SER_hh_fec!M10)</f>
        <v>0.47607074935614674</v>
      </c>
      <c r="N10" s="137">
        <f>IF(SER_hh_tes!N10=0,"",SER_hh_tes!N10/SER_hh_fec!N10)</f>
        <v>0.48112405607518666</v>
      </c>
      <c r="O10" s="137">
        <f>IF(SER_hh_tes!O10=0,"",SER_hh_tes!O10/SER_hh_fec!O10)</f>
        <v>0.48692385268797744</v>
      </c>
      <c r="P10" s="137">
        <f>IF(SER_hh_tes!P10=0,"",SER_hh_tes!P10/SER_hh_fec!P10)</f>
        <v>0.49229516335305445</v>
      </c>
      <c r="Q10" s="137">
        <f>IF(SER_hh_tes!Q10=0,"",SER_hh_tes!Q10/SER_hh_fec!Q10)</f>
        <v>0.50179052687921488</v>
      </c>
      <c r="R10" s="137">
        <f>IF(SER_hh_tes!R10=0,"",SER_hh_tes!R10/SER_hh_fec!R10)</f>
        <v>0.50291931792642819</v>
      </c>
      <c r="S10" s="137">
        <f>IF(SER_hh_tes!S10=0,"",SER_hh_tes!S10/SER_hh_fec!S10)</f>
        <v>0.50378953646076863</v>
      </c>
      <c r="T10" s="137">
        <f>IF(SER_hh_tes!T10=0,"",SER_hh_tes!T10/SER_hh_fec!T10)</f>
        <v>0.50489833305824483</v>
      </c>
      <c r="U10" s="137">
        <f>IF(SER_hh_tes!U10=0,"",SER_hh_tes!U10/SER_hh_fec!U10)</f>
        <v>0.50489833305824483</v>
      </c>
      <c r="V10" s="137">
        <f>IF(SER_hh_tes!V10=0,"",SER_hh_tes!V10/SER_hh_fec!V10)</f>
        <v>0.50559271707375408</v>
      </c>
      <c r="W10" s="137">
        <f>IF(SER_hh_tes!W10=0,"",SER_hh_tes!W10/SER_hh_fec!W10)</f>
        <v>0.51415036375569478</v>
      </c>
      <c r="DA10" s="164" t="s">
        <v>336</v>
      </c>
    </row>
    <row r="11" spans="1:105" ht="12" customHeight="1" x14ac:dyDescent="0.25">
      <c r="A11" s="132" t="s">
        <v>25</v>
      </c>
      <c r="B11" s="137" t="str">
        <f>IF(SER_hh_tes!B11=0,"",SER_hh_tes!B11/SER_hh_fec!B11)</f>
        <v/>
      </c>
      <c r="C11" s="137" t="str">
        <f>IF(SER_hh_tes!C11=0,"",SER_hh_tes!C11/SER_hh_fec!C11)</f>
        <v/>
      </c>
      <c r="D11" s="137" t="str">
        <f>IF(SER_hh_tes!D11=0,"",SER_hh_tes!D11/SER_hh_fec!D11)</f>
        <v/>
      </c>
      <c r="E11" s="137" t="str">
        <f>IF(SER_hh_tes!E11=0,"",SER_hh_tes!E11/SER_hh_fec!E11)</f>
        <v/>
      </c>
      <c r="F11" s="137" t="str">
        <f>IF(SER_hh_tes!F11=0,"",SER_hh_tes!F11/SER_hh_fec!F11)</f>
        <v/>
      </c>
      <c r="G11" s="137" t="str">
        <f>IF(SER_hh_tes!G11=0,"",SER_hh_tes!G11/SER_hh_fec!G11)</f>
        <v/>
      </c>
      <c r="H11" s="137" t="str">
        <f>IF(SER_hh_tes!H11=0,"",SER_hh_tes!H11/SER_hh_fec!H11)</f>
        <v/>
      </c>
      <c r="I11" s="137" t="str">
        <f>IF(SER_hh_tes!I11=0,"",SER_hh_tes!I11/SER_hh_fec!I11)</f>
        <v/>
      </c>
      <c r="J11" s="137" t="str">
        <f>IF(SER_hh_tes!J11=0,"",SER_hh_tes!J11/SER_hh_fec!J11)</f>
        <v/>
      </c>
      <c r="K11" s="137" t="str">
        <f>IF(SER_hh_tes!K11=0,"",SER_hh_tes!K11/SER_hh_fec!K11)</f>
        <v/>
      </c>
      <c r="L11" s="137" t="str">
        <f>IF(SER_hh_tes!L11=0,"",SER_hh_tes!L11/SER_hh_fec!L11)</f>
        <v/>
      </c>
      <c r="M11" s="137" t="str">
        <f>IF(SER_hh_tes!M11=0,"",SER_hh_tes!M11/SER_hh_fec!M11)</f>
        <v/>
      </c>
      <c r="N11" s="137" t="str">
        <f>IF(SER_hh_tes!N11=0,"",SER_hh_tes!N11/SER_hh_fec!N11)</f>
        <v/>
      </c>
      <c r="O11" s="137" t="str">
        <f>IF(SER_hh_tes!O11=0,"",SER_hh_tes!O11/SER_hh_fec!O11)</f>
        <v/>
      </c>
      <c r="P11" s="137" t="str">
        <f>IF(SER_hh_tes!P11=0,"",SER_hh_tes!P11/SER_hh_fec!P11)</f>
        <v/>
      </c>
      <c r="Q11" s="137" t="str">
        <f>IF(SER_hh_tes!Q11=0,"",SER_hh_tes!Q11/SER_hh_fec!Q11)</f>
        <v/>
      </c>
      <c r="R11" s="137" t="str">
        <f>IF(SER_hh_tes!R11=0,"",SER_hh_tes!R11/SER_hh_fec!R11)</f>
        <v/>
      </c>
      <c r="S11" s="137" t="str">
        <f>IF(SER_hh_tes!S11=0,"",SER_hh_tes!S11/SER_hh_fec!S11)</f>
        <v/>
      </c>
      <c r="T11" s="137" t="str">
        <f>IF(SER_hh_tes!T11=0,"",SER_hh_tes!T11/SER_hh_fec!T11)</f>
        <v/>
      </c>
      <c r="U11" s="137" t="str">
        <f>IF(SER_hh_tes!U11=0,"",SER_hh_tes!U11/SER_hh_fec!U11)</f>
        <v/>
      </c>
      <c r="V11" s="137" t="str">
        <f>IF(SER_hh_tes!V11=0,"",SER_hh_tes!V11/SER_hh_fec!V11)</f>
        <v/>
      </c>
      <c r="W11" s="137" t="str">
        <f>IF(SER_hh_tes!W11=0,"",SER_hh_tes!W11/SER_hh_fec!W11)</f>
        <v/>
      </c>
      <c r="DA11" s="164" t="s">
        <v>337</v>
      </c>
    </row>
    <row r="12" spans="1:105" ht="12" customHeight="1" x14ac:dyDescent="0.25">
      <c r="A12" s="132" t="s">
        <v>169</v>
      </c>
      <c r="B12" s="137" t="str">
        <f>IF(SER_hh_tes!B12=0,"",SER_hh_tes!B12/SER_hh_fec!B12)</f>
        <v/>
      </c>
      <c r="C12" s="137" t="str">
        <f>IF(SER_hh_tes!C12=0,"",SER_hh_tes!C12/SER_hh_fec!C12)</f>
        <v/>
      </c>
      <c r="D12" s="137" t="str">
        <f>IF(SER_hh_tes!D12=0,"",SER_hh_tes!D12/SER_hh_fec!D12)</f>
        <v/>
      </c>
      <c r="E12" s="137" t="str">
        <f>IF(SER_hh_tes!E12=0,"",SER_hh_tes!E12/SER_hh_fec!E12)</f>
        <v/>
      </c>
      <c r="F12" s="137" t="str">
        <f>IF(SER_hh_tes!F12=0,"",SER_hh_tes!F12/SER_hh_fec!F12)</f>
        <v/>
      </c>
      <c r="G12" s="137" t="str">
        <f>IF(SER_hh_tes!G12=0,"",SER_hh_tes!G12/SER_hh_fec!G12)</f>
        <v/>
      </c>
      <c r="H12" s="137" t="str">
        <f>IF(SER_hh_tes!H12=0,"",SER_hh_tes!H12/SER_hh_fec!H12)</f>
        <v/>
      </c>
      <c r="I12" s="137" t="str">
        <f>IF(SER_hh_tes!I12=0,"",SER_hh_tes!I12/SER_hh_fec!I12)</f>
        <v/>
      </c>
      <c r="J12" s="137" t="str">
        <f>IF(SER_hh_tes!J12=0,"",SER_hh_tes!J12/SER_hh_fec!J12)</f>
        <v/>
      </c>
      <c r="K12" s="137" t="str">
        <f>IF(SER_hh_tes!K12=0,"",SER_hh_tes!K12/SER_hh_fec!K12)</f>
        <v/>
      </c>
      <c r="L12" s="137" t="str">
        <f>IF(SER_hh_tes!L12=0,"",SER_hh_tes!L12/SER_hh_fec!L12)</f>
        <v/>
      </c>
      <c r="M12" s="137" t="str">
        <f>IF(SER_hh_tes!M12=0,"",SER_hh_tes!M12/SER_hh_fec!M12)</f>
        <v/>
      </c>
      <c r="N12" s="137" t="str">
        <f>IF(SER_hh_tes!N12=0,"",SER_hh_tes!N12/SER_hh_fec!N12)</f>
        <v/>
      </c>
      <c r="O12" s="137" t="str">
        <f>IF(SER_hh_tes!O12=0,"",SER_hh_tes!O12/SER_hh_fec!O12)</f>
        <v/>
      </c>
      <c r="P12" s="137" t="str">
        <f>IF(SER_hh_tes!P12=0,"",SER_hh_tes!P12/SER_hh_fec!P12)</f>
        <v/>
      </c>
      <c r="Q12" s="137" t="str">
        <f>IF(SER_hh_tes!Q12=0,"",SER_hh_tes!Q12/SER_hh_fec!Q12)</f>
        <v/>
      </c>
      <c r="R12" s="137" t="str">
        <f>IF(SER_hh_tes!R12=0,"",SER_hh_tes!R12/SER_hh_fec!R12)</f>
        <v/>
      </c>
      <c r="S12" s="137" t="str">
        <f>IF(SER_hh_tes!S12=0,"",SER_hh_tes!S12/SER_hh_fec!S12)</f>
        <v/>
      </c>
      <c r="T12" s="137" t="str">
        <f>IF(SER_hh_tes!T12=0,"",SER_hh_tes!T12/SER_hh_fec!T12)</f>
        <v/>
      </c>
      <c r="U12" s="137" t="str">
        <f>IF(SER_hh_tes!U12=0,"",SER_hh_tes!U12/SER_hh_fec!U12)</f>
        <v/>
      </c>
      <c r="V12" s="137" t="str">
        <f>IF(SER_hh_tes!V12=0,"",SER_hh_tes!V12/SER_hh_fec!V12)</f>
        <v/>
      </c>
      <c r="W12" s="137" t="str">
        <f>IF(SER_hh_tes!W12=0,"",SER_hh_tes!W12/SER_hh_fec!W12)</f>
        <v/>
      </c>
      <c r="DA12" s="164" t="s">
        <v>338</v>
      </c>
    </row>
    <row r="13" spans="1:105" ht="12" customHeight="1" x14ac:dyDescent="0.25">
      <c r="A13" s="132" t="s">
        <v>77</v>
      </c>
      <c r="B13" s="137">
        <f>IF(SER_hh_tes!B13=0,"",SER_hh_tes!B13/SER_hh_fec!B13)</f>
        <v>1.1823567064591867</v>
      </c>
      <c r="C13" s="137">
        <f>IF(SER_hh_tes!C13=0,"",SER_hh_tes!C13/SER_hh_fec!C13)</f>
        <v>1.3010091704898623</v>
      </c>
      <c r="D13" s="137">
        <f>IF(SER_hh_tes!D13=0,"",SER_hh_tes!D13/SER_hh_fec!D13)</f>
        <v>1.4147711800570613</v>
      </c>
      <c r="E13" s="137">
        <f>IF(SER_hh_tes!E13=0,"",SER_hh_tes!E13/SER_hh_fec!E13)</f>
        <v>1.5077670712361315</v>
      </c>
      <c r="F13" s="137">
        <f>IF(SER_hh_tes!F13=0,"",SER_hh_tes!F13/SER_hh_fec!F13)</f>
        <v>1.5815954264463479</v>
      </c>
      <c r="G13" s="137">
        <f>IF(SER_hh_tes!G13=0,"",SER_hh_tes!G13/SER_hh_fec!G13)</f>
        <v>1.6427272740492189</v>
      </c>
      <c r="H13" s="137">
        <f>IF(SER_hh_tes!H13=0,"",SER_hh_tes!H13/SER_hh_fec!H13)</f>
        <v>1.6699679572439243</v>
      </c>
      <c r="I13" s="137">
        <f>IF(SER_hh_tes!I13=0,"",SER_hh_tes!I13/SER_hh_fec!I13)</f>
        <v>1.7131291693368198</v>
      </c>
      <c r="J13" s="137">
        <f>IF(SER_hh_tes!J13=0,"",SER_hh_tes!J13/SER_hh_fec!J13)</f>
        <v>1.7545661526073539</v>
      </c>
      <c r="K13" s="137">
        <f>IF(SER_hh_tes!K13=0,"",SER_hh_tes!K13/SER_hh_fec!K13)</f>
        <v>1.848119255732473</v>
      </c>
      <c r="L13" s="137">
        <f>IF(SER_hh_tes!L13=0,"",SER_hh_tes!L13/SER_hh_fec!L13)</f>
        <v>1.9974105772062121</v>
      </c>
      <c r="M13" s="137">
        <f>IF(SER_hh_tes!M13=0,"",SER_hh_tes!M13/SER_hh_fec!M13)</f>
        <v>2.2317268216819235</v>
      </c>
      <c r="N13" s="137">
        <f>IF(SER_hh_tes!N13=0,"",SER_hh_tes!N13/SER_hh_fec!N13)</f>
        <v>2.4664044169525257</v>
      </c>
      <c r="O13" s="137">
        <f>IF(SER_hh_tes!O13=0,"",SER_hh_tes!O13/SER_hh_fec!O13)</f>
        <v>2.6351851643723911</v>
      </c>
      <c r="P13" s="137">
        <f>IF(SER_hh_tes!P13=0,"",SER_hh_tes!P13/SER_hh_fec!P13)</f>
        <v>2.7060411263218587</v>
      </c>
      <c r="Q13" s="137">
        <f>IF(SER_hh_tes!Q13=0,"",SER_hh_tes!Q13/SER_hh_fec!Q13)</f>
        <v>2.7509051751238993</v>
      </c>
      <c r="R13" s="137">
        <f>IF(SER_hh_tes!R13=0,"",SER_hh_tes!R13/SER_hh_fec!R13)</f>
        <v>2.7983933470892333</v>
      </c>
      <c r="S13" s="137">
        <f>IF(SER_hh_tes!S13=0,"",SER_hh_tes!S13/SER_hh_fec!S13)</f>
        <v>2.8702096551224678</v>
      </c>
      <c r="T13" s="137">
        <f>IF(SER_hh_tes!T13=0,"",SER_hh_tes!T13/SER_hh_fec!T13)</f>
        <v>2.9433246137651787</v>
      </c>
      <c r="U13" s="137">
        <f>IF(SER_hh_tes!U13=0,"",SER_hh_tes!U13/SER_hh_fec!U13)</f>
        <v>3.0038288065786598</v>
      </c>
      <c r="V13" s="137">
        <f>IF(SER_hh_tes!V13=0,"",SER_hh_tes!V13/SER_hh_fec!V13)</f>
        <v>3.0625419313792093</v>
      </c>
      <c r="W13" s="137">
        <f>IF(SER_hh_tes!W13=0,"",SER_hh_tes!W13/SER_hh_fec!W13)</f>
        <v>3.1122788348346764</v>
      </c>
      <c r="DA13" s="164" t="s">
        <v>339</v>
      </c>
    </row>
    <row r="14" spans="1:105" ht="12" customHeight="1" x14ac:dyDescent="0.25">
      <c r="A14" s="60" t="s">
        <v>76</v>
      </c>
      <c r="B14" s="138">
        <f>IF(SER_hh_tes!B14=0,"",SER_hh_tes!B14/SER_hh_fec!B14)</f>
        <v>0.57516102162182714</v>
      </c>
      <c r="C14" s="138">
        <f>IF(SER_hh_tes!C14=0,"",SER_hh_tes!C14/SER_hh_fec!C14)</f>
        <v>0.58366676764857117</v>
      </c>
      <c r="D14" s="138">
        <f>IF(SER_hh_tes!D14=0,"",SER_hh_tes!D14/SER_hh_fec!D14)</f>
        <v>0.58942523184671114</v>
      </c>
      <c r="E14" s="138">
        <f>IF(SER_hh_tes!E14=0,"",SER_hh_tes!E14/SER_hh_fec!E14)</f>
        <v>0.59348649241270246</v>
      </c>
      <c r="F14" s="138">
        <f>IF(SER_hh_tes!F14=0,"",SER_hh_tes!F14/SER_hh_fec!F14)</f>
        <v>0.59766740665680618</v>
      </c>
      <c r="G14" s="138">
        <f>IF(SER_hh_tes!G14=0,"",SER_hh_tes!G14/SER_hh_fec!G14)</f>
        <v>0.60159394758138618</v>
      </c>
      <c r="H14" s="138">
        <f>IF(SER_hh_tes!H14=0,"",SER_hh_tes!H14/SER_hh_fec!H14)</f>
        <v>0.60574517882715662</v>
      </c>
      <c r="I14" s="138">
        <f>IF(SER_hh_tes!I14=0,"",SER_hh_tes!I14/SER_hh_fec!I14)</f>
        <v>0.6090247427435842</v>
      </c>
      <c r="J14" s="138">
        <f>IF(SER_hh_tes!J14=0,"",SER_hh_tes!J14/SER_hh_fec!J14)</f>
        <v>0.61219884030167893</v>
      </c>
      <c r="K14" s="138">
        <f>IF(SER_hh_tes!K14=0,"",SER_hh_tes!K14/SER_hh_fec!K14)</f>
        <v>0.61591200125159562</v>
      </c>
      <c r="L14" s="138">
        <f>IF(SER_hh_tes!L14=0,"",SER_hh_tes!L14/SER_hh_fec!L14)</f>
        <v>0.61844560331438514</v>
      </c>
      <c r="M14" s="138">
        <f>IF(SER_hh_tes!M14=0,"",SER_hh_tes!M14/SER_hh_fec!M14)</f>
        <v>0.62041995469117883</v>
      </c>
      <c r="N14" s="138">
        <f>IF(SER_hh_tes!N14=0,"",SER_hh_tes!N14/SER_hh_fec!N14)</f>
        <v>0.62231136796817921</v>
      </c>
      <c r="O14" s="138">
        <f>IF(SER_hh_tes!O14=0,"",SER_hh_tes!O14/SER_hh_fec!O14)</f>
        <v>0.62423019699910365</v>
      </c>
      <c r="P14" s="138">
        <f>IF(SER_hh_tes!P14=0,"",SER_hh_tes!P14/SER_hh_fec!P14)</f>
        <v>0.62423019699910354</v>
      </c>
      <c r="Q14" s="138">
        <f>IF(SER_hh_tes!Q14=0,"",SER_hh_tes!Q14/SER_hh_fec!Q14)</f>
        <v>0.62822242299583675</v>
      </c>
      <c r="R14" s="138">
        <f>IF(SER_hh_tes!R14=0,"",SER_hh_tes!R14/SER_hh_fec!R14)</f>
        <v>0.64289177034615874</v>
      </c>
      <c r="S14" s="138">
        <f>IF(SER_hh_tes!S14=0,"",SER_hh_tes!S14/SER_hh_fec!S14)</f>
        <v>0.65936857080378863</v>
      </c>
      <c r="T14" s="138">
        <f>IF(SER_hh_tes!T14=0,"",SER_hh_tes!T14/SER_hh_fec!T14)</f>
        <v>0.67313048505319095</v>
      </c>
      <c r="U14" s="138">
        <f>IF(SER_hh_tes!U14=0,"",SER_hh_tes!U14/SER_hh_fec!U14)</f>
        <v>0.68655146176052695</v>
      </c>
      <c r="V14" s="138">
        <f>IF(SER_hh_tes!V14=0,"",SER_hh_tes!V14/SER_hh_fec!V14)</f>
        <v>0.6970904345763973</v>
      </c>
      <c r="W14" s="138">
        <f>IF(SER_hh_tes!W14=0,"",SER_hh_tes!W14/SER_hh_fec!W14)</f>
        <v>0.71749312131487297</v>
      </c>
      <c r="DA14" s="165" t="s">
        <v>340</v>
      </c>
    </row>
    <row r="15" spans="1:105" ht="12" customHeight="1" x14ac:dyDescent="0.25">
      <c r="A15" s="134" t="s">
        <v>80</v>
      </c>
      <c r="B15" s="139">
        <f>IF(SER_hh_tes!B15=0,"",SER_hh_tes!B15/SER_hh_fec!B15)</f>
        <v>1</v>
      </c>
      <c r="C15" s="139">
        <f>IF(SER_hh_tes!C15=0,"",SER_hh_tes!C15/SER_hh_fec!C15)</f>
        <v>1</v>
      </c>
      <c r="D15" s="139">
        <f>IF(SER_hh_tes!D15=0,"",SER_hh_tes!D15/SER_hh_fec!D15)</f>
        <v>1</v>
      </c>
      <c r="E15" s="139">
        <f>IF(SER_hh_tes!E15=0,"",SER_hh_tes!E15/SER_hh_fec!E15)</f>
        <v>1</v>
      </c>
      <c r="F15" s="139">
        <f>IF(SER_hh_tes!F15=0,"",SER_hh_tes!F15/SER_hh_fec!F15)</f>
        <v>1</v>
      </c>
      <c r="G15" s="139">
        <f>IF(SER_hh_tes!G15=0,"",SER_hh_tes!G15/SER_hh_fec!G15)</f>
        <v>1</v>
      </c>
      <c r="H15" s="139">
        <f>IF(SER_hh_tes!H15=0,"",SER_hh_tes!H15/SER_hh_fec!H15)</f>
        <v>1</v>
      </c>
      <c r="I15" s="139">
        <f>IF(SER_hh_tes!I15=0,"",SER_hh_tes!I15/SER_hh_fec!I15)</f>
        <v>1</v>
      </c>
      <c r="J15" s="139">
        <f>IF(SER_hh_tes!J15=0,"",SER_hh_tes!J15/SER_hh_fec!J15)</f>
        <v>1</v>
      </c>
      <c r="K15" s="139">
        <f>IF(SER_hh_tes!K15=0,"",SER_hh_tes!K15/SER_hh_fec!K15)</f>
        <v>1</v>
      </c>
      <c r="L15" s="139">
        <f>IF(SER_hh_tes!L15=0,"",SER_hh_tes!L15/SER_hh_fec!L15)</f>
        <v>1</v>
      </c>
      <c r="M15" s="139">
        <f>IF(SER_hh_tes!M15=0,"",SER_hh_tes!M15/SER_hh_fec!M15)</f>
        <v>1</v>
      </c>
      <c r="N15" s="139">
        <f>IF(SER_hh_tes!N15=0,"",SER_hh_tes!N15/SER_hh_fec!N15)</f>
        <v>1</v>
      </c>
      <c r="O15" s="139">
        <f>IF(SER_hh_tes!O15=0,"",SER_hh_tes!O15/SER_hh_fec!O15)</f>
        <v>1</v>
      </c>
      <c r="P15" s="139">
        <f>IF(SER_hh_tes!P15=0,"",SER_hh_tes!P15/SER_hh_fec!P15)</f>
        <v>1</v>
      </c>
      <c r="Q15" s="139">
        <f>IF(SER_hh_tes!Q15=0,"",SER_hh_tes!Q15/SER_hh_fec!Q15)</f>
        <v>1</v>
      </c>
      <c r="R15" s="139">
        <f>IF(SER_hh_tes!R15=0,"",SER_hh_tes!R15/SER_hh_fec!R15)</f>
        <v>1</v>
      </c>
      <c r="S15" s="139">
        <f>IF(SER_hh_tes!S15=0,"",SER_hh_tes!S15/SER_hh_fec!S15)</f>
        <v>1</v>
      </c>
      <c r="T15" s="139">
        <f>IF(SER_hh_tes!T15=0,"",SER_hh_tes!T15/SER_hh_fec!T15)</f>
        <v>1</v>
      </c>
      <c r="U15" s="139">
        <f>IF(SER_hh_tes!U15=0,"",SER_hh_tes!U15/SER_hh_fec!U15)</f>
        <v>1</v>
      </c>
      <c r="V15" s="139">
        <f>IF(SER_hh_tes!V15=0,"",SER_hh_tes!V15/SER_hh_fec!V15)</f>
        <v>1</v>
      </c>
      <c r="W15" s="139">
        <f>IF(SER_hh_tes!W15=0,"",SER_hh_tes!W15/SER_hh_fec!W15)</f>
        <v>1</v>
      </c>
      <c r="DA15" s="166" t="s">
        <v>341</v>
      </c>
    </row>
    <row r="16" spans="1:105" ht="12.95" customHeight="1" x14ac:dyDescent="0.25">
      <c r="A16" s="130" t="s">
        <v>74</v>
      </c>
      <c r="B16" s="136">
        <f>IF(SER_hh_tes!B16=0,"",SER_hh_tes!B16/SER_hh_fec!B16)</f>
        <v>1.7135541620775894</v>
      </c>
      <c r="C16" s="136">
        <f>IF(SER_hh_tes!C16=0,"",SER_hh_tes!C16/SER_hh_fec!C16)</f>
        <v>1.8788397110908832</v>
      </c>
      <c r="D16" s="136">
        <f>IF(SER_hh_tes!D16=0,"",SER_hh_tes!D16/SER_hh_fec!D16)</f>
        <v>2.0257556253264934</v>
      </c>
      <c r="E16" s="136">
        <f>IF(SER_hh_tes!E16=0,"",SER_hh_tes!E16/SER_hh_fec!E16)</f>
        <v>2.1436922147650601</v>
      </c>
      <c r="F16" s="136">
        <f>IF(SER_hh_tes!F16=0,"",SER_hh_tes!F16/SER_hh_fec!F16)</f>
        <v>2.2676517300671679</v>
      </c>
      <c r="G16" s="136">
        <f>IF(SER_hh_tes!G16=0,"",SER_hh_tes!G16/SER_hh_fec!G16)</f>
        <v>2.3835257846409506</v>
      </c>
      <c r="H16" s="136">
        <f>IF(SER_hh_tes!H16=0,"",SER_hh_tes!H16/SER_hh_fec!H16)</f>
        <v>2.4926516505444347</v>
      </c>
      <c r="I16" s="136">
        <f>IF(SER_hh_tes!I16=0,"",SER_hh_tes!I16/SER_hh_fec!I16)</f>
        <v>2.6095938883836443</v>
      </c>
      <c r="J16" s="136">
        <f>IF(SER_hh_tes!J16=0,"",SER_hh_tes!J16/SER_hh_fec!J16)</f>
        <v>2.7407171829871495</v>
      </c>
      <c r="K16" s="136">
        <f>IF(SER_hh_tes!K16=0,"",SER_hh_tes!K16/SER_hh_fec!K16)</f>
        <v>2.798157241674514</v>
      </c>
      <c r="L16" s="136">
        <f>IF(SER_hh_tes!L16=0,"",SER_hh_tes!L16/SER_hh_fec!L16)</f>
        <v>2.8786821970324876</v>
      </c>
      <c r="M16" s="136">
        <f>IF(SER_hh_tes!M16=0,"",SER_hh_tes!M16/SER_hh_fec!M16)</f>
        <v>2.987912514207256</v>
      </c>
      <c r="N16" s="136">
        <f>IF(SER_hh_tes!N16=0,"",SER_hh_tes!N16/SER_hh_fec!N16)</f>
        <v>3.0870402666215524</v>
      </c>
      <c r="O16" s="136">
        <f>IF(SER_hh_tes!O16=0,"",SER_hh_tes!O16/SER_hh_fec!O16)</f>
        <v>3.1846783969021937</v>
      </c>
      <c r="P16" s="136">
        <f>IF(SER_hh_tes!P16=0,"",SER_hh_tes!P16/SER_hh_fec!P16)</f>
        <v>3.2872679788482109</v>
      </c>
      <c r="Q16" s="136">
        <f>IF(SER_hh_tes!Q16=0,"",SER_hh_tes!Q16/SER_hh_fec!Q16)</f>
        <v>3.397531888217403</v>
      </c>
      <c r="R16" s="136">
        <f>IF(SER_hh_tes!R16=0,"",SER_hh_tes!R16/SER_hh_fec!R16)</f>
        <v>3.5157885073322466</v>
      </c>
      <c r="S16" s="136">
        <f>IF(SER_hh_tes!S16=0,"",SER_hh_tes!S16/SER_hh_fec!S16)</f>
        <v>3.639902797407411</v>
      </c>
      <c r="T16" s="136">
        <f>IF(SER_hh_tes!T16=0,"",SER_hh_tes!T16/SER_hh_fec!T16)</f>
        <v>3.7705659792421788</v>
      </c>
      <c r="U16" s="136">
        <f>IF(SER_hh_tes!U16=0,"",SER_hh_tes!U16/SER_hh_fec!U16)</f>
        <v>3.8959767719000005</v>
      </c>
      <c r="V16" s="136">
        <f>IF(SER_hh_tes!V16=0,"",SER_hh_tes!V16/SER_hh_fec!V16)</f>
        <v>4.0022628366221786</v>
      </c>
      <c r="W16" s="136">
        <f>IF(SER_hh_tes!W16=0,"",SER_hh_tes!W16/SER_hh_fec!W16)</f>
        <v>4.1192051699039549</v>
      </c>
      <c r="DA16" s="163" t="s">
        <v>240</v>
      </c>
    </row>
    <row r="17" spans="1:105" ht="12.95" customHeight="1" x14ac:dyDescent="0.25">
      <c r="A17" s="132" t="s">
        <v>73</v>
      </c>
      <c r="B17" s="137" t="str">
        <f>IF(SER_hh_tes!B17=0,"",SER_hh_tes!B17/SER_hh_fec!B17)</f>
        <v/>
      </c>
      <c r="C17" s="137" t="str">
        <f>IF(SER_hh_tes!C17=0,"",SER_hh_tes!C17/SER_hh_fec!C17)</f>
        <v/>
      </c>
      <c r="D17" s="137" t="str">
        <f>IF(SER_hh_tes!D17=0,"",SER_hh_tes!D17/SER_hh_fec!D17)</f>
        <v/>
      </c>
      <c r="E17" s="137" t="str">
        <f>IF(SER_hh_tes!E17=0,"",SER_hh_tes!E17/SER_hh_fec!E17)</f>
        <v/>
      </c>
      <c r="F17" s="137" t="str">
        <f>IF(SER_hh_tes!F17=0,"",SER_hh_tes!F17/SER_hh_fec!F17)</f>
        <v/>
      </c>
      <c r="G17" s="137" t="str">
        <f>IF(SER_hh_tes!G17=0,"",SER_hh_tes!G17/SER_hh_fec!G17)</f>
        <v/>
      </c>
      <c r="H17" s="137" t="str">
        <f>IF(SER_hh_tes!H17=0,"",SER_hh_tes!H17/SER_hh_fec!H17)</f>
        <v/>
      </c>
      <c r="I17" s="137" t="str">
        <f>IF(SER_hh_tes!I17=0,"",SER_hh_tes!I17/SER_hh_fec!I17)</f>
        <v/>
      </c>
      <c r="J17" s="137" t="str">
        <f>IF(SER_hh_tes!J17=0,"",SER_hh_tes!J17/SER_hh_fec!J17)</f>
        <v/>
      </c>
      <c r="K17" s="137" t="str">
        <f>IF(SER_hh_tes!K17=0,"",SER_hh_tes!K17/SER_hh_fec!K17)</f>
        <v/>
      </c>
      <c r="L17" s="137" t="str">
        <f>IF(SER_hh_tes!L17=0,"",SER_hh_tes!L17/SER_hh_fec!L17)</f>
        <v/>
      </c>
      <c r="M17" s="137" t="str">
        <f>IF(SER_hh_tes!M17=0,"",SER_hh_tes!M17/SER_hh_fec!M17)</f>
        <v/>
      </c>
      <c r="N17" s="137" t="str">
        <f>IF(SER_hh_tes!N17=0,"",SER_hh_tes!N17/SER_hh_fec!N17)</f>
        <v/>
      </c>
      <c r="O17" s="137" t="str">
        <f>IF(SER_hh_tes!O17=0,"",SER_hh_tes!O17/SER_hh_fec!O17)</f>
        <v/>
      </c>
      <c r="P17" s="137" t="str">
        <f>IF(SER_hh_tes!P17=0,"",SER_hh_tes!P17/SER_hh_fec!P17)</f>
        <v/>
      </c>
      <c r="Q17" s="137" t="str">
        <f>IF(SER_hh_tes!Q17=0,"",SER_hh_tes!Q17/SER_hh_fec!Q17)</f>
        <v/>
      </c>
      <c r="R17" s="137" t="str">
        <f>IF(SER_hh_tes!R17=0,"",SER_hh_tes!R17/SER_hh_fec!R17)</f>
        <v/>
      </c>
      <c r="S17" s="137" t="str">
        <f>IF(SER_hh_tes!S17=0,"",SER_hh_tes!S17/SER_hh_fec!S17)</f>
        <v/>
      </c>
      <c r="T17" s="137" t="str">
        <f>IF(SER_hh_tes!T17=0,"",SER_hh_tes!T17/SER_hh_fec!T17)</f>
        <v/>
      </c>
      <c r="U17" s="137" t="str">
        <f>IF(SER_hh_tes!U17=0,"",SER_hh_tes!U17/SER_hh_fec!U17)</f>
        <v/>
      </c>
      <c r="V17" s="137" t="str">
        <f>IF(SER_hh_tes!V17=0,"",SER_hh_tes!V17/SER_hh_fec!V17)</f>
        <v/>
      </c>
      <c r="W17" s="137" t="str">
        <f>IF(SER_hh_tes!W17=0,"",SER_hh_tes!W17/SER_hh_fec!W17)</f>
        <v/>
      </c>
      <c r="DA17" s="164" t="s">
        <v>342</v>
      </c>
    </row>
    <row r="18" spans="1:105" ht="12" customHeight="1" x14ac:dyDescent="0.25">
      <c r="A18" s="132" t="s">
        <v>72</v>
      </c>
      <c r="B18" s="137">
        <f>IF(SER_hh_tes!B18=0,"",SER_hh_tes!B18/SER_hh_fec!B18)</f>
        <v>1.7135541620775894</v>
      </c>
      <c r="C18" s="137">
        <f>IF(SER_hh_tes!C18=0,"",SER_hh_tes!C18/SER_hh_fec!C18)</f>
        <v>1.8788397110908832</v>
      </c>
      <c r="D18" s="137">
        <f>IF(SER_hh_tes!D18=0,"",SER_hh_tes!D18/SER_hh_fec!D18)</f>
        <v>2.0257556253264934</v>
      </c>
      <c r="E18" s="137">
        <f>IF(SER_hh_tes!E18=0,"",SER_hh_tes!E18/SER_hh_fec!E18)</f>
        <v>2.1436922147650601</v>
      </c>
      <c r="F18" s="137">
        <f>IF(SER_hh_tes!F18=0,"",SER_hh_tes!F18/SER_hh_fec!F18)</f>
        <v>2.2676517300671679</v>
      </c>
      <c r="G18" s="137">
        <f>IF(SER_hh_tes!G18=0,"",SER_hh_tes!G18/SER_hh_fec!G18)</f>
        <v>2.3835257846409506</v>
      </c>
      <c r="H18" s="137">
        <f>IF(SER_hh_tes!H18=0,"",SER_hh_tes!H18/SER_hh_fec!H18)</f>
        <v>2.4926516505444347</v>
      </c>
      <c r="I18" s="137">
        <f>IF(SER_hh_tes!I18=0,"",SER_hh_tes!I18/SER_hh_fec!I18)</f>
        <v>2.6095938883836443</v>
      </c>
      <c r="J18" s="137">
        <f>IF(SER_hh_tes!J18=0,"",SER_hh_tes!J18/SER_hh_fec!J18)</f>
        <v>2.7407171829871495</v>
      </c>
      <c r="K18" s="137">
        <f>IF(SER_hh_tes!K18=0,"",SER_hh_tes!K18/SER_hh_fec!K18)</f>
        <v>2.798157241674514</v>
      </c>
      <c r="L18" s="137">
        <f>IF(SER_hh_tes!L18=0,"",SER_hh_tes!L18/SER_hh_fec!L18)</f>
        <v>2.8786821970324876</v>
      </c>
      <c r="M18" s="137">
        <f>IF(SER_hh_tes!M18=0,"",SER_hh_tes!M18/SER_hh_fec!M18)</f>
        <v>2.987912514207256</v>
      </c>
      <c r="N18" s="137">
        <f>IF(SER_hh_tes!N18=0,"",SER_hh_tes!N18/SER_hh_fec!N18)</f>
        <v>3.0870402666215524</v>
      </c>
      <c r="O18" s="137">
        <f>IF(SER_hh_tes!O18=0,"",SER_hh_tes!O18/SER_hh_fec!O18)</f>
        <v>3.1846783969021937</v>
      </c>
      <c r="P18" s="137">
        <f>IF(SER_hh_tes!P18=0,"",SER_hh_tes!P18/SER_hh_fec!P18)</f>
        <v>3.2872679788482109</v>
      </c>
      <c r="Q18" s="137">
        <f>IF(SER_hh_tes!Q18=0,"",SER_hh_tes!Q18/SER_hh_fec!Q18)</f>
        <v>3.397531888217403</v>
      </c>
      <c r="R18" s="137">
        <f>IF(SER_hh_tes!R18=0,"",SER_hh_tes!R18/SER_hh_fec!R18)</f>
        <v>3.5157885073322466</v>
      </c>
      <c r="S18" s="137">
        <f>IF(SER_hh_tes!S18=0,"",SER_hh_tes!S18/SER_hh_fec!S18)</f>
        <v>3.639902797407411</v>
      </c>
      <c r="T18" s="137">
        <f>IF(SER_hh_tes!T18=0,"",SER_hh_tes!T18/SER_hh_fec!T18)</f>
        <v>3.7705659792421788</v>
      </c>
      <c r="U18" s="137">
        <f>IF(SER_hh_tes!U18=0,"",SER_hh_tes!U18/SER_hh_fec!U18)</f>
        <v>3.8959767719000005</v>
      </c>
      <c r="V18" s="137">
        <f>IF(SER_hh_tes!V18=0,"",SER_hh_tes!V18/SER_hh_fec!V18)</f>
        <v>4.0022628366221786</v>
      </c>
      <c r="W18" s="137">
        <f>IF(SER_hh_tes!W18=0,"",SER_hh_tes!W18/SER_hh_fec!W18)</f>
        <v>4.1192051699039549</v>
      </c>
      <c r="DA18" s="164" t="s">
        <v>343</v>
      </c>
    </row>
    <row r="19" spans="1:105" ht="12.95" customHeight="1" x14ac:dyDescent="0.25">
      <c r="A19" s="130" t="s">
        <v>35</v>
      </c>
      <c r="B19" s="136">
        <f>IF(SER_hh_tes!B19=0,"",SER_hh_tes!B19/SER_hh_fec!B19)</f>
        <v>0.60875655672296025</v>
      </c>
      <c r="C19" s="136">
        <f>IF(SER_hh_tes!C19=0,"",SER_hh_tes!C19/SER_hh_fec!C19)</f>
        <v>0.60661322281647323</v>
      </c>
      <c r="D19" s="136">
        <f>IF(SER_hh_tes!D19=0,"",SER_hh_tes!D19/SER_hh_fec!D19)</f>
        <v>0.60881228582124014</v>
      </c>
      <c r="E19" s="136">
        <f>IF(SER_hh_tes!E19=0,"",SER_hh_tes!E19/SER_hh_fec!E19)</f>
        <v>0.6115521078521895</v>
      </c>
      <c r="F19" s="136">
        <f>IF(SER_hh_tes!F19=0,"",SER_hh_tes!F19/SER_hh_fec!F19)</f>
        <v>0.62132738746300065</v>
      </c>
      <c r="G19" s="136">
        <f>IF(SER_hh_tes!G19=0,"",SER_hh_tes!G19/SER_hh_fec!G19)</f>
        <v>0.62530386684233785</v>
      </c>
      <c r="H19" s="136">
        <f>IF(SER_hh_tes!H19=0,"",SER_hh_tes!H19/SER_hh_fec!H19)</f>
        <v>0.67256029661986483</v>
      </c>
      <c r="I19" s="136">
        <f>IF(SER_hh_tes!I19=0,"",SER_hh_tes!I19/SER_hh_fec!I19)</f>
        <v>0.70185370481052323</v>
      </c>
      <c r="J19" s="136">
        <f>IF(SER_hh_tes!J19=0,"",SER_hh_tes!J19/SER_hh_fec!J19)</f>
        <v>0.70759694761650627</v>
      </c>
      <c r="K19" s="136">
        <f>IF(SER_hh_tes!K19=0,"",SER_hh_tes!K19/SER_hh_fec!K19)</f>
        <v>0.71064457370235745</v>
      </c>
      <c r="L19" s="136">
        <f>IF(SER_hh_tes!L19=0,"",SER_hh_tes!L19/SER_hh_fec!L19)</f>
        <v>0.7192888809415463</v>
      </c>
      <c r="M19" s="136">
        <f>IF(SER_hh_tes!M19=0,"",SER_hh_tes!M19/SER_hh_fec!M19)</f>
        <v>0.72207441127683292</v>
      </c>
      <c r="N19" s="136">
        <f>IF(SER_hh_tes!N19=0,"",SER_hh_tes!N19/SER_hh_fec!N19)</f>
        <v>0.72770973900095837</v>
      </c>
      <c r="O19" s="136">
        <f>IF(SER_hh_tes!O19=0,"",SER_hh_tes!O19/SER_hh_fec!O19)</f>
        <v>0.73546227642516548</v>
      </c>
      <c r="P19" s="136">
        <f>IF(SER_hh_tes!P19=0,"",SER_hh_tes!P19/SER_hh_fec!P19)</f>
        <v>0.74007216333672454</v>
      </c>
      <c r="Q19" s="136">
        <f>IF(SER_hh_tes!Q19=0,"",SER_hh_tes!Q19/SER_hh_fec!Q19)</f>
        <v>0.7439092152136596</v>
      </c>
      <c r="R19" s="136">
        <f>IF(SER_hh_tes!R19=0,"",SER_hh_tes!R19/SER_hh_fec!R19)</f>
        <v>0.74727042508776109</v>
      </c>
      <c r="S19" s="136">
        <f>IF(SER_hh_tes!S19=0,"",SER_hh_tes!S19/SER_hh_fec!S19)</f>
        <v>0.75498600843342345</v>
      </c>
      <c r="T19" s="136">
        <f>IF(SER_hh_tes!T19=0,"",SER_hh_tes!T19/SER_hh_fec!T19)</f>
        <v>0.76479266411139157</v>
      </c>
      <c r="U19" s="136">
        <f>IF(SER_hh_tes!U19=0,"",SER_hh_tes!U19/SER_hh_fec!U19)</f>
        <v>0.77950572785789918</v>
      </c>
      <c r="V19" s="136">
        <f>IF(SER_hh_tes!V19=0,"",SER_hh_tes!V19/SER_hh_fec!V19)</f>
        <v>0.79413937589624806</v>
      </c>
      <c r="W19" s="136">
        <f>IF(SER_hh_tes!W19=0,"",SER_hh_tes!W19/SER_hh_fec!W19)</f>
        <v>0.80746619514079976</v>
      </c>
      <c r="DA19" s="163" t="s">
        <v>241</v>
      </c>
    </row>
    <row r="20" spans="1:105" ht="12" customHeight="1" x14ac:dyDescent="0.25">
      <c r="A20" s="132" t="s">
        <v>29</v>
      </c>
      <c r="B20" s="137" t="str">
        <f>IF(SER_hh_tes!B20=0,"",SER_hh_tes!B20/SER_hh_fec!B20)</f>
        <v/>
      </c>
      <c r="C20" s="137" t="str">
        <f>IF(SER_hh_tes!C20=0,"",SER_hh_tes!C20/SER_hh_fec!C20)</f>
        <v/>
      </c>
      <c r="D20" s="137" t="str">
        <f>IF(SER_hh_tes!D20=0,"",SER_hh_tes!D20/SER_hh_fec!D20)</f>
        <v/>
      </c>
      <c r="E20" s="137" t="str">
        <f>IF(SER_hh_tes!E20=0,"",SER_hh_tes!E20/SER_hh_fec!E20)</f>
        <v/>
      </c>
      <c r="F20" s="137" t="str">
        <f>IF(SER_hh_tes!F20=0,"",SER_hh_tes!F20/SER_hh_fec!F20)</f>
        <v/>
      </c>
      <c r="G20" s="137" t="str">
        <f>IF(SER_hh_tes!G20=0,"",SER_hh_tes!G20/SER_hh_fec!G20)</f>
        <v/>
      </c>
      <c r="H20" s="137" t="str">
        <f>IF(SER_hh_tes!H20=0,"",SER_hh_tes!H20/SER_hh_fec!H20)</f>
        <v/>
      </c>
      <c r="I20" s="137" t="str">
        <f>IF(SER_hh_tes!I20=0,"",SER_hh_tes!I20/SER_hh_fec!I20)</f>
        <v/>
      </c>
      <c r="J20" s="137" t="str">
        <f>IF(SER_hh_tes!J20=0,"",SER_hh_tes!J20/SER_hh_fec!J20)</f>
        <v/>
      </c>
      <c r="K20" s="137" t="str">
        <f>IF(SER_hh_tes!K20=0,"",SER_hh_tes!K20/SER_hh_fec!K20)</f>
        <v/>
      </c>
      <c r="L20" s="137" t="str">
        <f>IF(SER_hh_tes!L20=0,"",SER_hh_tes!L20/SER_hh_fec!L20)</f>
        <v/>
      </c>
      <c r="M20" s="137" t="str">
        <f>IF(SER_hh_tes!M20=0,"",SER_hh_tes!M20/SER_hh_fec!M20)</f>
        <v/>
      </c>
      <c r="N20" s="137" t="str">
        <f>IF(SER_hh_tes!N20=0,"",SER_hh_tes!N20/SER_hh_fec!N20)</f>
        <v/>
      </c>
      <c r="O20" s="137" t="str">
        <f>IF(SER_hh_tes!O20=0,"",SER_hh_tes!O20/SER_hh_fec!O20)</f>
        <v/>
      </c>
      <c r="P20" s="137" t="str">
        <f>IF(SER_hh_tes!P20=0,"",SER_hh_tes!P20/SER_hh_fec!P20)</f>
        <v/>
      </c>
      <c r="Q20" s="137" t="str">
        <f>IF(SER_hh_tes!Q20=0,"",SER_hh_tes!Q20/SER_hh_fec!Q20)</f>
        <v/>
      </c>
      <c r="R20" s="137" t="str">
        <f>IF(SER_hh_tes!R20=0,"",SER_hh_tes!R20/SER_hh_fec!R20)</f>
        <v/>
      </c>
      <c r="S20" s="137" t="str">
        <f>IF(SER_hh_tes!S20=0,"",SER_hh_tes!S20/SER_hh_fec!S20)</f>
        <v/>
      </c>
      <c r="T20" s="137" t="str">
        <f>IF(SER_hh_tes!T20=0,"",SER_hh_tes!T20/SER_hh_fec!T20)</f>
        <v/>
      </c>
      <c r="U20" s="137" t="str">
        <f>IF(SER_hh_tes!U20=0,"",SER_hh_tes!U20/SER_hh_fec!U20)</f>
        <v/>
      </c>
      <c r="V20" s="137" t="str">
        <f>IF(SER_hh_tes!V20=0,"",SER_hh_tes!V20/SER_hh_fec!V20)</f>
        <v/>
      </c>
      <c r="W20" s="137" t="str">
        <f>IF(SER_hh_tes!W20=0,"",SER_hh_tes!W20/SER_hh_fec!W20)</f>
        <v/>
      </c>
      <c r="DA20" s="164" t="s">
        <v>344</v>
      </c>
    </row>
    <row r="21" spans="1:105" s="2" customFormat="1" ht="12" customHeight="1" x14ac:dyDescent="0.25">
      <c r="A21" s="132" t="s">
        <v>52</v>
      </c>
      <c r="B21" s="137" t="str">
        <f>IF(SER_hh_tes!B21=0,"",SER_hh_tes!B21/SER_hh_fec!B21)</f>
        <v/>
      </c>
      <c r="C21" s="137" t="str">
        <f>IF(SER_hh_tes!C21=0,"",SER_hh_tes!C21/SER_hh_fec!C21)</f>
        <v/>
      </c>
      <c r="D21" s="137" t="str">
        <f>IF(SER_hh_tes!D21=0,"",SER_hh_tes!D21/SER_hh_fec!D21)</f>
        <v/>
      </c>
      <c r="E21" s="137" t="str">
        <f>IF(SER_hh_tes!E21=0,"",SER_hh_tes!E21/SER_hh_fec!E21)</f>
        <v/>
      </c>
      <c r="F21" s="137" t="str">
        <f>IF(SER_hh_tes!F21=0,"",SER_hh_tes!F21/SER_hh_fec!F21)</f>
        <v/>
      </c>
      <c r="G21" s="137" t="str">
        <f>IF(SER_hh_tes!G21=0,"",SER_hh_tes!G21/SER_hh_fec!G21)</f>
        <v/>
      </c>
      <c r="H21" s="137">
        <f>IF(SER_hh_tes!H21=0,"",SER_hh_tes!H21/SER_hh_fec!H21)</f>
        <v>0.64540916035680029</v>
      </c>
      <c r="I21" s="137">
        <f>IF(SER_hh_tes!I21=0,"",SER_hh_tes!I21/SER_hh_fec!I21)</f>
        <v>0.64583061282843557</v>
      </c>
      <c r="J21" s="137">
        <f>IF(SER_hh_tes!J21=0,"",SER_hh_tes!J21/SER_hh_fec!J21)</f>
        <v>0.64629024612579622</v>
      </c>
      <c r="K21" s="137">
        <f>IF(SER_hh_tes!K21=0,"",SER_hh_tes!K21/SER_hh_fec!K21)</f>
        <v>0.64647431410661416</v>
      </c>
      <c r="L21" s="137">
        <f>IF(SER_hh_tes!L21=0,"",SER_hh_tes!L21/SER_hh_fec!L21)</f>
        <v>0.64669032663769888</v>
      </c>
      <c r="M21" s="137">
        <f>IF(SER_hh_tes!M21=0,"",SER_hh_tes!M21/SER_hh_fec!M21)</f>
        <v>0.64671741995230425</v>
      </c>
      <c r="N21" s="137">
        <f>IF(SER_hh_tes!N21=0,"",SER_hh_tes!N21/SER_hh_fec!N21)</f>
        <v>0.64675508409855775</v>
      </c>
      <c r="O21" s="137">
        <f>IF(SER_hh_tes!O21=0,"",SER_hh_tes!O21/SER_hh_fec!O21)</f>
        <v>0.64678263470330999</v>
      </c>
      <c r="P21" s="137">
        <f>IF(SER_hh_tes!P21=0,"",SER_hh_tes!P21/SER_hh_fec!P21)</f>
        <v>0.64684886307924361</v>
      </c>
      <c r="Q21" s="137">
        <f>IF(SER_hh_tes!Q21=0,"",SER_hh_tes!Q21/SER_hh_fec!Q21)</f>
        <v>0.64686663440403946</v>
      </c>
      <c r="R21" s="137">
        <f>IF(SER_hh_tes!R21=0,"",SER_hh_tes!R21/SER_hh_fec!R21)</f>
        <v>0.64733489413375411</v>
      </c>
      <c r="S21" s="137">
        <f>IF(SER_hh_tes!S21=0,"",SER_hh_tes!S21/SER_hh_fec!S21)</f>
        <v>0.65188048063296689</v>
      </c>
      <c r="T21" s="137">
        <f>IF(SER_hh_tes!T21=0,"",SER_hh_tes!T21/SER_hh_fec!T21)</f>
        <v>0.66200804581583339</v>
      </c>
      <c r="U21" s="137">
        <f>IF(SER_hh_tes!U21=0,"",SER_hh_tes!U21/SER_hh_fec!U21)</f>
        <v>0.6819850087537388</v>
      </c>
      <c r="V21" s="137">
        <f>IF(SER_hh_tes!V21=0,"",SER_hh_tes!V21/SER_hh_fec!V21)</f>
        <v>0.69935151259427175</v>
      </c>
      <c r="W21" s="137">
        <f>IF(SER_hh_tes!W21=0,"",SER_hh_tes!W21/SER_hh_fec!W21)</f>
        <v>0.73986178093481114</v>
      </c>
      <c r="DA21" s="164" t="s">
        <v>345</v>
      </c>
    </row>
    <row r="22" spans="1:105" ht="12" customHeight="1" x14ac:dyDescent="0.25">
      <c r="A22" s="132" t="s">
        <v>168</v>
      </c>
      <c r="B22" s="137">
        <f>IF(SER_hh_tes!B22=0,"",SER_hh_tes!B22/SER_hh_fec!B22)</f>
        <v>0.42365482057597581</v>
      </c>
      <c r="C22" s="137">
        <f>IF(SER_hh_tes!C22=0,"",SER_hh_tes!C22/SER_hh_fec!C22)</f>
        <v>0.42495794837279544</v>
      </c>
      <c r="D22" s="137">
        <f>IF(SER_hh_tes!D22=0,"",SER_hh_tes!D22/SER_hh_fec!D22)</f>
        <v>0.42578127454983816</v>
      </c>
      <c r="E22" s="137">
        <f>IF(SER_hh_tes!E22=0,"",SER_hh_tes!E22/SER_hh_fec!E22)</f>
        <v>0.42702531227473539</v>
      </c>
      <c r="F22" s="137">
        <f>IF(SER_hh_tes!F22=0,"",SER_hh_tes!F22/SER_hh_fec!F22)</f>
        <v>0.42860520202144947</v>
      </c>
      <c r="G22" s="137">
        <f>IF(SER_hh_tes!G22=0,"",SER_hh_tes!G22/SER_hh_fec!G22)</f>
        <v>0.43045304507398002</v>
      </c>
      <c r="H22" s="137">
        <f>IF(SER_hh_tes!H22=0,"",SER_hh_tes!H22/SER_hh_fec!H22)</f>
        <v>0.43274875058297518</v>
      </c>
      <c r="I22" s="137">
        <f>IF(SER_hh_tes!I22=0,"",SER_hh_tes!I22/SER_hh_fec!I22)</f>
        <v>0.43455191646106384</v>
      </c>
      <c r="J22" s="137">
        <f>IF(SER_hh_tes!J22=0,"",SER_hh_tes!J22/SER_hh_fec!J22)</f>
        <v>0.4369059947263918</v>
      </c>
      <c r="K22" s="137">
        <f>IF(SER_hh_tes!K22=0,"",SER_hh_tes!K22/SER_hh_fec!K22)</f>
        <v>0.44031654810036541</v>
      </c>
      <c r="L22" s="137">
        <f>IF(SER_hh_tes!L22=0,"",SER_hh_tes!L22/SER_hh_fec!L22)</f>
        <v>0.44491676313318973</v>
      </c>
      <c r="M22" s="137">
        <f>IF(SER_hh_tes!M22=0,"",SER_hh_tes!M22/SER_hh_fec!M22)</f>
        <v>0.45059062342124673</v>
      </c>
      <c r="N22" s="137">
        <f>IF(SER_hh_tes!N22=0,"",SER_hh_tes!N22/SER_hh_fec!N22)</f>
        <v>0.45918641679510941</v>
      </c>
      <c r="O22" s="137">
        <f>IF(SER_hh_tes!O22=0,"",SER_hh_tes!O22/SER_hh_fec!O22)</f>
        <v>0.47069340155162281</v>
      </c>
      <c r="P22" s="137">
        <f>IF(SER_hh_tes!P22=0,"",SER_hh_tes!P22/SER_hh_fec!P22)</f>
        <v>0.47481276664840938</v>
      </c>
      <c r="Q22" s="137">
        <f>IF(SER_hh_tes!Q22=0,"",SER_hh_tes!Q22/SER_hh_fec!Q22)</f>
        <v>0.47983414994247381</v>
      </c>
      <c r="R22" s="137">
        <f>IF(SER_hh_tes!R22=0,"",SER_hh_tes!R22/SER_hh_fec!R22)</f>
        <v>0.48928219141618073</v>
      </c>
      <c r="S22" s="137">
        <f>IF(SER_hh_tes!S22=0,"",SER_hh_tes!S22/SER_hh_fec!S22)</f>
        <v>0.50133914624030806</v>
      </c>
      <c r="T22" s="137">
        <f>IF(SER_hh_tes!T22=0,"",SER_hh_tes!T22/SER_hh_fec!T22)</f>
        <v>0.51889041545290637</v>
      </c>
      <c r="U22" s="137">
        <f>IF(SER_hh_tes!U22=0,"",SER_hh_tes!U22/SER_hh_fec!U22)</f>
        <v>0.53803800263768764</v>
      </c>
      <c r="V22" s="137">
        <f>IF(SER_hh_tes!V22=0,"",SER_hh_tes!V22/SER_hh_fec!V22)</f>
        <v>0.5520059164644735</v>
      </c>
      <c r="W22" s="137">
        <f>IF(SER_hh_tes!W22=0,"",SER_hh_tes!W22/SER_hh_fec!W22)</f>
        <v>0.56833619491493781</v>
      </c>
      <c r="DA22" s="164" t="s">
        <v>346</v>
      </c>
    </row>
    <row r="23" spans="1:105" ht="12" customHeight="1" x14ac:dyDescent="0.25">
      <c r="A23" s="132" t="s">
        <v>153</v>
      </c>
      <c r="B23" s="137" t="str">
        <f>IF(SER_hh_tes!B23=0,"",SER_hh_tes!B23/SER_hh_fec!B23)</f>
        <v/>
      </c>
      <c r="C23" s="137" t="str">
        <f>IF(SER_hh_tes!C23=0,"",SER_hh_tes!C23/SER_hh_fec!C23)</f>
        <v/>
      </c>
      <c r="D23" s="137" t="str">
        <f>IF(SER_hh_tes!D23=0,"",SER_hh_tes!D23/SER_hh_fec!D23)</f>
        <v/>
      </c>
      <c r="E23" s="137" t="str">
        <f>IF(SER_hh_tes!E23=0,"",SER_hh_tes!E23/SER_hh_fec!E23)</f>
        <v/>
      </c>
      <c r="F23" s="137" t="str">
        <f>IF(SER_hh_tes!F23=0,"",SER_hh_tes!F23/SER_hh_fec!F23)</f>
        <v/>
      </c>
      <c r="G23" s="137" t="str">
        <f>IF(SER_hh_tes!G23=0,"",SER_hh_tes!G23/SER_hh_fec!G23)</f>
        <v/>
      </c>
      <c r="H23" s="137" t="str">
        <f>IF(SER_hh_tes!H23=0,"",SER_hh_tes!H23/SER_hh_fec!H23)</f>
        <v/>
      </c>
      <c r="I23" s="137" t="str">
        <f>IF(SER_hh_tes!I23=0,"",SER_hh_tes!I23/SER_hh_fec!I23)</f>
        <v/>
      </c>
      <c r="J23" s="137" t="str">
        <f>IF(SER_hh_tes!J23=0,"",SER_hh_tes!J23/SER_hh_fec!J23)</f>
        <v/>
      </c>
      <c r="K23" s="137" t="str">
        <f>IF(SER_hh_tes!K23=0,"",SER_hh_tes!K23/SER_hh_fec!K23)</f>
        <v/>
      </c>
      <c r="L23" s="137" t="str">
        <f>IF(SER_hh_tes!L23=0,"",SER_hh_tes!L23/SER_hh_fec!L23)</f>
        <v/>
      </c>
      <c r="M23" s="137" t="str">
        <f>IF(SER_hh_tes!M23=0,"",SER_hh_tes!M23/SER_hh_fec!M23)</f>
        <v/>
      </c>
      <c r="N23" s="137" t="str">
        <f>IF(SER_hh_tes!N23=0,"",SER_hh_tes!N23/SER_hh_fec!N23)</f>
        <v/>
      </c>
      <c r="O23" s="137" t="str">
        <f>IF(SER_hh_tes!O23=0,"",SER_hh_tes!O23/SER_hh_fec!O23)</f>
        <v/>
      </c>
      <c r="P23" s="137" t="str">
        <f>IF(SER_hh_tes!P23=0,"",SER_hh_tes!P23/SER_hh_fec!P23)</f>
        <v/>
      </c>
      <c r="Q23" s="137" t="str">
        <f>IF(SER_hh_tes!Q23=0,"",SER_hh_tes!Q23/SER_hh_fec!Q23)</f>
        <v/>
      </c>
      <c r="R23" s="137" t="str">
        <f>IF(SER_hh_tes!R23=0,"",SER_hh_tes!R23/SER_hh_fec!R23)</f>
        <v/>
      </c>
      <c r="S23" s="137" t="str">
        <f>IF(SER_hh_tes!S23=0,"",SER_hh_tes!S23/SER_hh_fec!S23)</f>
        <v/>
      </c>
      <c r="T23" s="137" t="str">
        <f>IF(SER_hh_tes!T23=0,"",SER_hh_tes!T23/SER_hh_fec!T23)</f>
        <v/>
      </c>
      <c r="U23" s="137" t="str">
        <f>IF(SER_hh_tes!U23=0,"",SER_hh_tes!U23/SER_hh_fec!U23)</f>
        <v/>
      </c>
      <c r="V23" s="137" t="str">
        <f>IF(SER_hh_tes!V23=0,"",SER_hh_tes!V23/SER_hh_fec!V23)</f>
        <v/>
      </c>
      <c r="W23" s="137" t="str">
        <f>IF(SER_hh_tes!W23=0,"",SER_hh_tes!W23/SER_hh_fec!W23)</f>
        <v/>
      </c>
      <c r="DA23" s="164" t="s">
        <v>347</v>
      </c>
    </row>
    <row r="24" spans="1:105" ht="12" customHeight="1" x14ac:dyDescent="0.25">
      <c r="A24" s="132" t="s">
        <v>128</v>
      </c>
      <c r="B24" s="137" t="str">
        <f>IF(SER_hh_tes!B24=0,"",SER_hh_tes!B24/SER_hh_fec!B24)</f>
        <v/>
      </c>
      <c r="C24" s="137" t="str">
        <f>IF(SER_hh_tes!C24=0,"",SER_hh_tes!C24/SER_hh_fec!C24)</f>
        <v/>
      </c>
      <c r="D24" s="137" t="str">
        <f>IF(SER_hh_tes!D24=0,"",SER_hh_tes!D24/SER_hh_fec!D24)</f>
        <v/>
      </c>
      <c r="E24" s="137" t="str">
        <f>IF(SER_hh_tes!E24=0,"",SER_hh_tes!E24/SER_hh_fec!E24)</f>
        <v/>
      </c>
      <c r="F24" s="137" t="str">
        <f>IF(SER_hh_tes!F24=0,"",SER_hh_tes!F24/SER_hh_fec!F24)</f>
        <v/>
      </c>
      <c r="G24" s="137" t="str">
        <f>IF(SER_hh_tes!G24=0,"",SER_hh_tes!G24/SER_hh_fec!G24)</f>
        <v/>
      </c>
      <c r="H24" s="137" t="str">
        <f>IF(SER_hh_tes!H24=0,"",SER_hh_tes!H24/SER_hh_fec!H24)</f>
        <v/>
      </c>
      <c r="I24" s="137" t="str">
        <f>IF(SER_hh_tes!I24=0,"",SER_hh_tes!I24/SER_hh_fec!I24)</f>
        <v/>
      </c>
      <c r="J24" s="137" t="str">
        <f>IF(SER_hh_tes!J24=0,"",SER_hh_tes!J24/SER_hh_fec!J24)</f>
        <v/>
      </c>
      <c r="K24" s="137" t="str">
        <f>IF(SER_hh_tes!K24=0,"",SER_hh_tes!K24/SER_hh_fec!K24)</f>
        <v/>
      </c>
      <c r="L24" s="137" t="str">
        <f>IF(SER_hh_tes!L24=0,"",SER_hh_tes!L24/SER_hh_fec!L24)</f>
        <v/>
      </c>
      <c r="M24" s="137" t="str">
        <f>IF(SER_hh_tes!M24=0,"",SER_hh_tes!M24/SER_hh_fec!M24)</f>
        <v/>
      </c>
      <c r="N24" s="137" t="str">
        <f>IF(SER_hh_tes!N24=0,"",SER_hh_tes!N24/SER_hh_fec!N24)</f>
        <v/>
      </c>
      <c r="O24" s="137" t="str">
        <f>IF(SER_hh_tes!O24=0,"",SER_hh_tes!O24/SER_hh_fec!O24)</f>
        <v/>
      </c>
      <c r="P24" s="137" t="str">
        <f>IF(SER_hh_tes!P24=0,"",SER_hh_tes!P24/SER_hh_fec!P24)</f>
        <v/>
      </c>
      <c r="Q24" s="137" t="str">
        <f>IF(SER_hh_tes!Q24=0,"",SER_hh_tes!Q24/SER_hh_fec!Q24)</f>
        <v/>
      </c>
      <c r="R24" s="137" t="str">
        <f>IF(SER_hh_tes!R24=0,"",SER_hh_tes!R24/SER_hh_fec!R24)</f>
        <v/>
      </c>
      <c r="S24" s="137" t="str">
        <f>IF(SER_hh_tes!S24=0,"",SER_hh_tes!S24/SER_hh_fec!S24)</f>
        <v/>
      </c>
      <c r="T24" s="137" t="str">
        <f>IF(SER_hh_tes!T24=0,"",SER_hh_tes!T24/SER_hh_fec!T24)</f>
        <v/>
      </c>
      <c r="U24" s="137" t="str">
        <f>IF(SER_hh_tes!U24=0,"",SER_hh_tes!U24/SER_hh_fec!U24)</f>
        <v/>
      </c>
      <c r="V24" s="137" t="str">
        <f>IF(SER_hh_tes!V24=0,"",SER_hh_tes!V24/SER_hh_fec!V24)</f>
        <v/>
      </c>
      <c r="W24" s="137" t="str">
        <f>IF(SER_hh_tes!W24=0,"",SER_hh_tes!W24/SER_hh_fec!W24)</f>
        <v/>
      </c>
      <c r="DA24" s="164" t="s">
        <v>348</v>
      </c>
    </row>
    <row r="25" spans="1:105" ht="12" customHeight="1" x14ac:dyDescent="0.25">
      <c r="A25" s="132" t="s">
        <v>169</v>
      </c>
      <c r="B25" s="137" t="str">
        <f>IF(SER_hh_tes!B25=0,"",SER_hh_tes!B25/SER_hh_fec!B25)</f>
        <v/>
      </c>
      <c r="C25" s="137" t="str">
        <f>IF(SER_hh_tes!C25=0,"",SER_hh_tes!C25/SER_hh_fec!C25)</f>
        <v/>
      </c>
      <c r="D25" s="137" t="str">
        <f>IF(SER_hh_tes!D25=0,"",SER_hh_tes!D25/SER_hh_fec!D25)</f>
        <v/>
      </c>
      <c r="E25" s="137" t="str">
        <f>IF(SER_hh_tes!E25=0,"",SER_hh_tes!E25/SER_hh_fec!E25)</f>
        <v/>
      </c>
      <c r="F25" s="137" t="str">
        <f>IF(SER_hh_tes!F25=0,"",SER_hh_tes!F25/SER_hh_fec!F25)</f>
        <v/>
      </c>
      <c r="G25" s="137" t="str">
        <f>IF(SER_hh_tes!G25=0,"",SER_hh_tes!G25/SER_hh_fec!G25)</f>
        <v/>
      </c>
      <c r="H25" s="137" t="str">
        <f>IF(SER_hh_tes!H25=0,"",SER_hh_tes!H25/SER_hh_fec!H25)</f>
        <v/>
      </c>
      <c r="I25" s="137" t="str">
        <f>IF(SER_hh_tes!I25=0,"",SER_hh_tes!I25/SER_hh_fec!I25)</f>
        <v/>
      </c>
      <c r="J25" s="137" t="str">
        <f>IF(SER_hh_tes!J25=0,"",SER_hh_tes!J25/SER_hh_fec!J25)</f>
        <v/>
      </c>
      <c r="K25" s="137" t="str">
        <f>IF(SER_hh_tes!K25=0,"",SER_hh_tes!K25/SER_hh_fec!K25)</f>
        <v/>
      </c>
      <c r="L25" s="137" t="str">
        <f>IF(SER_hh_tes!L25=0,"",SER_hh_tes!L25/SER_hh_fec!L25)</f>
        <v/>
      </c>
      <c r="M25" s="137" t="str">
        <f>IF(SER_hh_tes!M25=0,"",SER_hh_tes!M25/SER_hh_fec!M25)</f>
        <v/>
      </c>
      <c r="N25" s="137" t="str">
        <f>IF(SER_hh_tes!N25=0,"",SER_hh_tes!N25/SER_hh_fec!N25)</f>
        <v/>
      </c>
      <c r="O25" s="137" t="str">
        <f>IF(SER_hh_tes!O25=0,"",SER_hh_tes!O25/SER_hh_fec!O25)</f>
        <v/>
      </c>
      <c r="P25" s="137" t="str">
        <f>IF(SER_hh_tes!P25=0,"",SER_hh_tes!P25/SER_hh_fec!P25)</f>
        <v/>
      </c>
      <c r="Q25" s="137" t="str">
        <f>IF(SER_hh_tes!Q25=0,"",SER_hh_tes!Q25/SER_hh_fec!Q25)</f>
        <v/>
      </c>
      <c r="R25" s="137" t="str">
        <f>IF(SER_hh_tes!R25=0,"",SER_hh_tes!R25/SER_hh_fec!R25)</f>
        <v/>
      </c>
      <c r="S25" s="137" t="str">
        <f>IF(SER_hh_tes!S25=0,"",SER_hh_tes!S25/SER_hh_fec!S25)</f>
        <v/>
      </c>
      <c r="T25" s="137" t="str">
        <f>IF(SER_hh_tes!T25=0,"",SER_hh_tes!T25/SER_hh_fec!T25)</f>
        <v/>
      </c>
      <c r="U25" s="137" t="str">
        <f>IF(SER_hh_tes!U25=0,"",SER_hh_tes!U25/SER_hh_fec!U25)</f>
        <v/>
      </c>
      <c r="V25" s="137" t="str">
        <f>IF(SER_hh_tes!V25=0,"",SER_hh_tes!V25/SER_hh_fec!V25)</f>
        <v/>
      </c>
      <c r="W25" s="137" t="str">
        <f>IF(SER_hh_tes!W25=0,"",SER_hh_tes!W25/SER_hh_fec!W25)</f>
        <v/>
      </c>
      <c r="DA25" s="164" t="s">
        <v>349</v>
      </c>
    </row>
    <row r="26" spans="1:105" ht="12" customHeight="1" x14ac:dyDescent="0.25">
      <c r="A26" s="132" t="s">
        <v>24</v>
      </c>
      <c r="B26" s="138">
        <f>IF(SER_hh_tes!B26=0,"",SER_hh_tes!B26/SER_hh_fec!B26)</f>
        <v>0.52016480991657987</v>
      </c>
      <c r="C26" s="138">
        <f>IF(SER_hh_tes!C26=0,"",SER_hh_tes!C26/SER_hh_fec!C26)</f>
        <v>0.52254028410795827</v>
      </c>
      <c r="D26" s="138">
        <f>IF(SER_hh_tes!D26=0,"",SER_hh_tes!D26/SER_hh_fec!D26)</f>
        <v>0.52377451385248697</v>
      </c>
      <c r="E26" s="138">
        <f>IF(SER_hh_tes!E26=0,"",SER_hh_tes!E26/SER_hh_fec!E26)</f>
        <v>0.525417847623733</v>
      </c>
      <c r="F26" s="138">
        <f>IF(SER_hh_tes!F26=0,"",SER_hh_tes!F26/SER_hh_fec!F26)</f>
        <v>0.52747537089576213</v>
      </c>
      <c r="G26" s="138">
        <f>IF(SER_hh_tes!G26=0,"",SER_hh_tes!G26/SER_hh_fec!G26)</f>
        <v>0.52966325686632165</v>
      </c>
      <c r="H26" s="138">
        <f>IF(SER_hh_tes!H26=0,"",SER_hh_tes!H26/SER_hh_fec!H26)</f>
        <v>0.52980485162325097</v>
      </c>
      <c r="I26" s="138">
        <f>IF(SER_hh_tes!I26=0,"",SER_hh_tes!I26/SER_hh_fec!I26)</f>
        <v>0.52909517990509469</v>
      </c>
      <c r="J26" s="138">
        <f>IF(SER_hh_tes!J26=0,"",SER_hh_tes!J26/SER_hh_fec!J26)</f>
        <v>0.5291042269182028</v>
      </c>
      <c r="K26" s="138">
        <f>IF(SER_hh_tes!K26=0,"",SER_hh_tes!K26/SER_hh_fec!K26)</f>
        <v>0.53287572573950515</v>
      </c>
      <c r="L26" s="138">
        <f>IF(SER_hh_tes!L26=0,"",SER_hh_tes!L26/SER_hh_fec!L26)</f>
        <v>0.54166296993994767</v>
      </c>
      <c r="M26" s="138">
        <f>IF(SER_hh_tes!M26=0,"",SER_hh_tes!M26/SER_hh_fec!M26)</f>
        <v>0.55091386694364342</v>
      </c>
      <c r="N26" s="138">
        <f>IF(SER_hh_tes!N26=0,"",SER_hh_tes!N26/SER_hh_fec!N26)</f>
        <v>0.56588581136431859</v>
      </c>
      <c r="O26" s="138">
        <f>IF(SER_hh_tes!O26=0,"",SER_hh_tes!O26/SER_hh_fec!O26)</f>
        <v>0.58218358773669621</v>
      </c>
      <c r="P26" s="138">
        <f>IF(SER_hh_tes!P26=0,"",SER_hh_tes!P26/SER_hh_fec!P26)</f>
        <v>0.58605210429890786</v>
      </c>
      <c r="Q26" s="138">
        <f>IF(SER_hh_tes!Q26=0,"",SER_hh_tes!Q26/SER_hh_fec!Q26)</f>
        <v>0.58769305480887579</v>
      </c>
      <c r="R26" s="138">
        <f>IF(SER_hh_tes!R26=0,"",SER_hh_tes!R26/SER_hh_fec!R26)</f>
        <v>0.59158554044347278</v>
      </c>
      <c r="S26" s="138">
        <f>IF(SER_hh_tes!S26=0,"",SER_hh_tes!S26/SER_hh_fec!S26)</f>
        <v>0.59512590322245407</v>
      </c>
      <c r="T26" s="138">
        <f>IF(SER_hh_tes!T26=0,"",SER_hh_tes!T26/SER_hh_fec!T26)</f>
        <v>0.60723816374325612</v>
      </c>
      <c r="U26" s="138">
        <f>IF(SER_hh_tes!U26=0,"",SER_hh_tes!U26/SER_hh_fec!U26)</f>
        <v>0.61933145651227606</v>
      </c>
      <c r="V26" s="138">
        <f>IF(SER_hh_tes!V26=0,"",SER_hh_tes!V26/SER_hh_fec!V26)</f>
        <v>0.62264385537984268</v>
      </c>
      <c r="W26" s="138">
        <f>IF(SER_hh_tes!W26=0,"",SER_hh_tes!W26/SER_hh_fec!W26)</f>
        <v>0.63461087215142864</v>
      </c>
      <c r="DA26" s="165" t="s">
        <v>350</v>
      </c>
    </row>
    <row r="27" spans="1:105" ht="12" customHeight="1" x14ac:dyDescent="0.25">
      <c r="A27" s="145" t="s">
        <v>26</v>
      </c>
      <c r="B27" s="154">
        <f>IF(SER_hh_tes!B27=0,"",SER_hh_tes!B27/SER_hh_fec!B27)</f>
        <v>1</v>
      </c>
      <c r="C27" s="154">
        <f>IF(SER_hh_tes!C27=0,"",SER_hh_tes!C27/SER_hh_fec!C27)</f>
        <v>1</v>
      </c>
      <c r="D27" s="154">
        <f>IF(SER_hh_tes!D27=0,"",SER_hh_tes!D27/SER_hh_fec!D27)</f>
        <v>1</v>
      </c>
      <c r="E27" s="154">
        <f>IF(SER_hh_tes!E27=0,"",SER_hh_tes!E27/SER_hh_fec!E27)</f>
        <v>1</v>
      </c>
      <c r="F27" s="154">
        <f>IF(SER_hh_tes!F27=0,"",SER_hh_tes!F27/SER_hh_fec!F27)</f>
        <v>1</v>
      </c>
      <c r="G27" s="154">
        <f>IF(SER_hh_tes!G27=0,"",SER_hh_tes!G27/SER_hh_fec!G27)</f>
        <v>1</v>
      </c>
      <c r="H27" s="154">
        <f>IF(SER_hh_tes!H27=0,"",SER_hh_tes!H27/SER_hh_fec!H27)</f>
        <v>1</v>
      </c>
      <c r="I27" s="154">
        <f>IF(SER_hh_tes!I27=0,"",SER_hh_tes!I27/SER_hh_fec!I27)</f>
        <v>1</v>
      </c>
      <c r="J27" s="154">
        <f>IF(SER_hh_tes!J27=0,"",SER_hh_tes!J27/SER_hh_fec!J27)</f>
        <v>1</v>
      </c>
      <c r="K27" s="154">
        <f>IF(SER_hh_tes!K27=0,"",SER_hh_tes!K27/SER_hh_fec!K27)</f>
        <v>1</v>
      </c>
      <c r="L27" s="154">
        <f>IF(SER_hh_tes!L27=0,"",SER_hh_tes!L27/SER_hh_fec!L27)</f>
        <v>1</v>
      </c>
      <c r="M27" s="154">
        <f>IF(SER_hh_tes!M27=0,"",SER_hh_tes!M27/SER_hh_fec!M27)</f>
        <v>1</v>
      </c>
      <c r="N27" s="154">
        <f>IF(SER_hh_tes!N27=0,"",SER_hh_tes!N27/SER_hh_fec!N27)</f>
        <v>1</v>
      </c>
      <c r="O27" s="154">
        <f>IF(SER_hh_tes!O27=0,"",SER_hh_tes!O27/SER_hh_fec!O27)</f>
        <v>1</v>
      </c>
      <c r="P27" s="154">
        <f>IF(SER_hh_tes!P27=0,"",SER_hh_tes!P27/SER_hh_fec!P27)</f>
        <v>1</v>
      </c>
      <c r="Q27" s="154">
        <f>IF(SER_hh_tes!Q27=0,"",SER_hh_tes!Q27/SER_hh_fec!Q27)</f>
        <v>1</v>
      </c>
      <c r="R27" s="154">
        <f>IF(SER_hh_tes!R27=0,"",SER_hh_tes!R27/SER_hh_fec!R27)</f>
        <v>1</v>
      </c>
      <c r="S27" s="154">
        <f>IF(SER_hh_tes!S27=0,"",SER_hh_tes!S27/SER_hh_fec!S27)</f>
        <v>1</v>
      </c>
      <c r="T27" s="154">
        <f>IF(SER_hh_tes!T27=0,"",SER_hh_tes!T27/SER_hh_fec!T27)</f>
        <v>1</v>
      </c>
      <c r="U27" s="154">
        <f>IF(SER_hh_tes!U27=0,"",SER_hh_tes!U27/SER_hh_fec!U27)</f>
        <v>1</v>
      </c>
      <c r="V27" s="154">
        <f>IF(SER_hh_tes!V27=0,"",SER_hh_tes!V27/SER_hh_fec!V27)</f>
        <v>1</v>
      </c>
      <c r="W27" s="154">
        <f>IF(SER_hh_tes!W27=0,"",SER_hh_tes!W27/SER_hh_fec!W27)</f>
        <v>1</v>
      </c>
      <c r="DA27" s="177" t="s">
        <v>351</v>
      </c>
    </row>
    <row r="28" spans="1:105" ht="12" hidden="1" customHeight="1" x14ac:dyDescent="0.25">
      <c r="A28" s="78" t="s">
        <v>26</v>
      </c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0"/>
      <c r="N28" s="150"/>
      <c r="O28" s="150"/>
      <c r="P28" s="150"/>
      <c r="Q28" s="150"/>
      <c r="R28" s="150"/>
      <c r="S28" s="150"/>
      <c r="T28" s="150"/>
      <c r="U28" s="150"/>
      <c r="V28" s="150"/>
      <c r="W28" s="150"/>
      <c r="DA28" s="168"/>
    </row>
    <row r="29" spans="1:105" ht="12.95" customHeight="1" x14ac:dyDescent="0.25">
      <c r="A29" s="130" t="s">
        <v>34</v>
      </c>
      <c r="B29" s="136">
        <f>IF(SER_hh_tes!B29=0,"",SER_hh_tes!B29/SER_hh_fec!B29)</f>
        <v>0.75244313864967427</v>
      </c>
      <c r="C29" s="136">
        <f>IF(SER_hh_tes!C29=0,"",SER_hh_tes!C29/SER_hh_fec!C29)</f>
        <v>0.75428001617663964</v>
      </c>
      <c r="D29" s="136">
        <f>IF(SER_hh_tes!D29=0,"",SER_hh_tes!D29/SER_hh_fec!D29)</f>
        <v>0.74991959439088829</v>
      </c>
      <c r="E29" s="136">
        <f>IF(SER_hh_tes!E29=0,"",SER_hh_tes!E29/SER_hh_fec!E29)</f>
        <v>0.75216572670804982</v>
      </c>
      <c r="F29" s="136">
        <f>IF(SER_hh_tes!F29=0,"",SER_hh_tes!F29/SER_hh_fec!F29)</f>
        <v>0.75089647941810411</v>
      </c>
      <c r="G29" s="136">
        <f>IF(SER_hh_tes!G29=0,"",SER_hh_tes!G29/SER_hh_fec!G29)</f>
        <v>0.74773550823901436</v>
      </c>
      <c r="H29" s="136">
        <f>IF(SER_hh_tes!H29=0,"",SER_hh_tes!H29/SER_hh_fec!H29)</f>
        <v>0.71532901783519831</v>
      </c>
      <c r="I29" s="136">
        <f>IF(SER_hh_tes!I29=0,"",SER_hh_tes!I29/SER_hh_fec!I29)</f>
        <v>0.70872429026046435</v>
      </c>
      <c r="J29" s="136">
        <f>IF(SER_hh_tes!J29=0,"",SER_hh_tes!J29/SER_hh_fec!J29)</f>
        <v>0.70758798705037285</v>
      </c>
      <c r="K29" s="136">
        <f>IF(SER_hh_tes!K29=0,"",SER_hh_tes!K29/SER_hh_fec!K29)</f>
        <v>0.71847074441986658</v>
      </c>
      <c r="L29" s="136">
        <f>IF(SER_hh_tes!L29=0,"",SER_hh_tes!L29/SER_hh_fec!L29)</f>
        <v>0.72296253141825972</v>
      </c>
      <c r="M29" s="136">
        <f>IF(SER_hh_tes!M29=0,"",SER_hh_tes!M29/SER_hh_fec!M29)</f>
        <v>0.71658752471878562</v>
      </c>
      <c r="N29" s="136">
        <f>IF(SER_hh_tes!N29=0,"",SER_hh_tes!N29/SER_hh_fec!N29)</f>
        <v>0.71682690448109421</v>
      </c>
      <c r="O29" s="136">
        <f>IF(SER_hh_tes!O29=0,"",SER_hh_tes!O29/SER_hh_fec!O29)</f>
        <v>0.72100318906632788</v>
      </c>
      <c r="P29" s="136">
        <f>IF(SER_hh_tes!P29=0,"",SER_hh_tes!P29/SER_hh_fec!P29)</f>
        <v>0.72801013960945937</v>
      </c>
      <c r="Q29" s="136">
        <f>IF(SER_hh_tes!Q29=0,"",SER_hh_tes!Q29/SER_hh_fec!Q29)</f>
        <v>0.72255712468277244</v>
      </c>
      <c r="R29" s="136">
        <f>IF(SER_hh_tes!R29=0,"",SER_hh_tes!R29/SER_hh_fec!R29)</f>
        <v>0.72521000315593576</v>
      </c>
      <c r="S29" s="136">
        <f>IF(SER_hh_tes!S29=0,"",SER_hh_tes!S29/SER_hh_fec!S29)</f>
        <v>0.71229419127363558</v>
      </c>
      <c r="T29" s="136">
        <f>IF(SER_hh_tes!T29=0,"",SER_hh_tes!T29/SER_hh_fec!T29)</f>
        <v>0.71356317810938308</v>
      </c>
      <c r="U29" s="136">
        <f>IF(SER_hh_tes!U29=0,"",SER_hh_tes!U29/SER_hh_fec!U29)</f>
        <v>0.69791706948928545</v>
      </c>
      <c r="V29" s="136">
        <f>IF(SER_hh_tes!V29=0,"",SER_hh_tes!V29/SER_hh_fec!V29)</f>
        <v>0.71358376552272273</v>
      </c>
      <c r="W29" s="136">
        <f>IF(SER_hh_tes!W29=0,"",SER_hh_tes!W29/SER_hh_fec!W29)</f>
        <v>0.7473904546640775</v>
      </c>
      <c r="DA29" s="163" t="s">
        <v>242</v>
      </c>
    </row>
    <row r="30" spans="1:105" ht="12" customHeight="1" x14ac:dyDescent="0.25">
      <c r="A30" s="132" t="s">
        <v>52</v>
      </c>
      <c r="B30" s="137" t="str">
        <f>IF(SER_hh_tes!B30=0,"",SER_hh_tes!B30/SER_hh_fec!B30)</f>
        <v/>
      </c>
      <c r="C30" s="137" t="str">
        <f>IF(SER_hh_tes!C30=0,"",SER_hh_tes!C30/SER_hh_fec!C30)</f>
        <v/>
      </c>
      <c r="D30" s="137" t="str">
        <f>IF(SER_hh_tes!D30=0,"",SER_hh_tes!D30/SER_hh_fec!D30)</f>
        <v/>
      </c>
      <c r="E30" s="137" t="str">
        <f>IF(SER_hh_tes!E30=0,"",SER_hh_tes!E30/SER_hh_fec!E30)</f>
        <v/>
      </c>
      <c r="F30" s="137" t="str">
        <f>IF(SER_hh_tes!F30=0,"",SER_hh_tes!F30/SER_hh_fec!F30)</f>
        <v/>
      </c>
      <c r="G30" s="137" t="str">
        <f>IF(SER_hh_tes!G30=0,"",SER_hh_tes!G30/SER_hh_fec!G30)</f>
        <v/>
      </c>
      <c r="H30" s="137">
        <f>IF(SER_hh_tes!H30=0,"",SER_hh_tes!H30/SER_hh_fec!H30)</f>
        <v>0.61692880277539941</v>
      </c>
      <c r="I30" s="137">
        <f>IF(SER_hh_tes!I30=0,"",SER_hh_tes!I30/SER_hh_fec!I30)</f>
        <v>0.61696250511510742</v>
      </c>
      <c r="J30" s="137">
        <f>IF(SER_hh_tes!J30=0,"",SER_hh_tes!J30/SER_hh_fec!J30)</f>
        <v>0.61699306554762579</v>
      </c>
      <c r="K30" s="137">
        <f>IF(SER_hh_tes!K30=0,"",SER_hh_tes!K30/SER_hh_fec!K30)</f>
        <v>0.61699347128908033</v>
      </c>
      <c r="L30" s="137">
        <f>IF(SER_hh_tes!L30=0,"",SER_hh_tes!L30/SER_hh_fec!L30)</f>
        <v>0.6170057749495883</v>
      </c>
      <c r="M30" s="137">
        <f>IF(SER_hh_tes!M30=0,"",SER_hh_tes!M30/SER_hh_fec!M30)</f>
        <v>0.61706692196400659</v>
      </c>
      <c r="N30" s="137">
        <f>IF(SER_hh_tes!N30=0,"",SER_hh_tes!N30/SER_hh_fec!N30)</f>
        <v>0.61711119256619329</v>
      </c>
      <c r="O30" s="137">
        <f>IF(SER_hh_tes!O30=0,"",SER_hh_tes!O30/SER_hh_fec!O30)</f>
        <v>0.61714233404557284</v>
      </c>
      <c r="P30" s="137">
        <f>IF(SER_hh_tes!P30=0,"",SER_hh_tes!P30/SER_hh_fec!P30)</f>
        <v>0.61717504914370402</v>
      </c>
      <c r="Q30" s="137">
        <f>IF(SER_hh_tes!Q30=0,"",SER_hh_tes!Q30/SER_hh_fec!Q30)</f>
        <v>0.61726484777181423</v>
      </c>
      <c r="R30" s="137">
        <f>IF(SER_hh_tes!R30=0,"",SER_hh_tes!R30/SER_hh_fec!R30)</f>
        <v>0.61746140444662545</v>
      </c>
      <c r="S30" s="137">
        <f>IF(SER_hh_tes!S30=0,"",SER_hh_tes!S30/SER_hh_fec!S30)</f>
        <v>0.61790802212704821</v>
      </c>
      <c r="T30" s="137">
        <f>IF(SER_hh_tes!T30=0,"",SER_hh_tes!T30/SER_hh_fec!T30)</f>
        <v>0.61833256200013775</v>
      </c>
      <c r="U30" s="137">
        <f>IF(SER_hh_tes!U30=0,"",SER_hh_tes!U30/SER_hh_fec!U30)</f>
        <v>0.6185182512529277</v>
      </c>
      <c r="V30" s="137">
        <f>IF(SER_hh_tes!V30=0,"",SER_hh_tes!V30/SER_hh_fec!V30)</f>
        <v>0.61877916089698726</v>
      </c>
      <c r="W30" s="137">
        <f>IF(SER_hh_tes!W30=0,"",SER_hh_tes!W30/SER_hh_fec!W30)</f>
        <v>0.61891043325126516</v>
      </c>
      <c r="DA30" s="164" t="s">
        <v>352</v>
      </c>
    </row>
    <row r="31" spans="1:105" ht="12" customHeight="1" x14ac:dyDescent="0.25">
      <c r="A31" s="132" t="s">
        <v>153</v>
      </c>
      <c r="B31" s="137" t="str">
        <f>IF(SER_hh_tes!B31=0,"",SER_hh_tes!B31/SER_hh_fec!B31)</f>
        <v/>
      </c>
      <c r="C31" s="137" t="str">
        <f>IF(SER_hh_tes!C31=0,"",SER_hh_tes!C31/SER_hh_fec!C31)</f>
        <v/>
      </c>
      <c r="D31" s="137" t="str">
        <f>IF(SER_hh_tes!D31=0,"",SER_hh_tes!D31/SER_hh_fec!D31)</f>
        <v/>
      </c>
      <c r="E31" s="137" t="str">
        <f>IF(SER_hh_tes!E31=0,"",SER_hh_tes!E31/SER_hh_fec!E31)</f>
        <v/>
      </c>
      <c r="F31" s="137" t="str">
        <f>IF(SER_hh_tes!F31=0,"",SER_hh_tes!F31/SER_hh_fec!F31)</f>
        <v/>
      </c>
      <c r="G31" s="137" t="str">
        <f>IF(SER_hh_tes!G31=0,"",SER_hh_tes!G31/SER_hh_fec!G31)</f>
        <v/>
      </c>
      <c r="H31" s="137" t="str">
        <f>IF(SER_hh_tes!H31=0,"",SER_hh_tes!H31/SER_hh_fec!H31)</f>
        <v/>
      </c>
      <c r="I31" s="137" t="str">
        <f>IF(SER_hh_tes!I31=0,"",SER_hh_tes!I31/SER_hh_fec!I31)</f>
        <v/>
      </c>
      <c r="J31" s="137" t="str">
        <f>IF(SER_hh_tes!J31=0,"",SER_hh_tes!J31/SER_hh_fec!J31)</f>
        <v/>
      </c>
      <c r="K31" s="137" t="str">
        <f>IF(SER_hh_tes!K31=0,"",SER_hh_tes!K31/SER_hh_fec!K31)</f>
        <v/>
      </c>
      <c r="L31" s="137" t="str">
        <f>IF(SER_hh_tes!L31=0,"",SER_hh_tes!L31/SER_hh_fec!L31)</f>
        <v/>
      </c>
      <c r="M31" s="137" t="str">
        <f>IF(SER_hh_tes!M31=0,"",SER_hh_tes!M31/SER_hh_fec!M31)</f>
        <v/>
      </c>
      <c r="N31" s="137" t="str">
        <f>IF(SER_hh_tes!N31=0,"",SER_hh_tes!N31/SER_hh_fec!N31)</f>
        <v/>
      </c>
      <c r="O31" s="137" t="str">
        <f>IF(SER_hh_tes!O31=0,"",SER_hh_tes!O31/SER_hh_fec!O31)</f>
        <v/>
      </c>
      <c r="P31" s="137" t="str">
        <f>IF(SER_hh_tes!P31=0,"",SER_hh_tes!P31/SER_hh_fec!P31)</f>
        <v/>
      </c>
      <c r="Q31" s="137" t="str">
        <f>IF(SER_hh_tes!Q31=0,"",SER_hh_tes!Q31/SER_hh_fec!Q31)</f>
        <v/>
      </c>
      <c r="R31" s="137" t="str">
        <f>IF(SER_hh_tes!R31=0,"",SER_hh_tes!R31/SER_hh_fec!R31)</f>
        <v/>
      </c>
      <c r="S31" s="137" t="str">
        <f>IF(SER_hh_tes!S31=0,"",SER_hh_tes!S31/SER_hh_fec!S31)</f>
        <v/>
      </c>
      <c r="T31" s="137" t="str">
        <f>IF(SER_hh_tes!T31=0,"",SER_hh_tes!T31/SER_hh_fec!T31)</f>
        <v/>
      </c>
      <c r="U31" s="137" t="str">
        <f>IF(SER_hh_tes!U31=0,"",SER_hh_tes!U31/SER_hh_fec!U31)</f>
        <v/>
      </c>
      <c r="V31" s="137" t="str">
        <f>IF(SER_hh_tes!V31=0,"",SER_hh_tes!V31/SER_hh_fec!V31)</f>
        <v/>
      </c>
      <c r="W31" s="137" t="str">
        <f>IF(SER_hh_tes!W31=0,"",SER_hh_tes!W31/SER_hh_fec!W31)</f>
        <v/>
      </c>
      <c r="DA31" s="164" t="s">
        <v>353</v>
      </c>
    </row>
    <row r="32" spans="1:105" ht="12" customHeight="1" x14ac:dyDescent="0.25">
      <c r="A32" s="132" t="s">
        <v>128</v>
      </c>
      <c r="B32" s="137">
        <f>IF(SER_hh_tes!B32=0,"",SER_hh_tes!B32/SER_hh_fec!B32)</f>
        <v>0.56894960079210433</v>
      </c>
      <c r="C32" s="137">
        <f>IF(SER_hh_tes!C32=0,"",SER_hh_tes!C32/SER_hh_fec!C32)</f>
        <v>0.5700895937170205</v>
      </c>
      <c r="D32" s="137">
        <f>IF(SER_hh_tes!D32=0,"",SER_hh_tes!D32/SER_hh_fec!D32)</f>
        <v>0.57143202992171183</v>
      </c>
      <c r="E32" s="137">
        <f>IF(SER_hh_tes!E32=0,"",SER_hh_tes!E32/SER_hh_fec!E32)</f>
        <v>0.57240909125866213</v>
      </c>
      <c r="F32" s="137">
        <f>IF(SER_hh_tes!F32=0,"",SER_hh_tes!F32/SER_hh_fec!F32)</f>
        <v>0.57334005412883793</v>
      </c>
      <c r="G32" s="137">
        <f>IF(SER_hh_tes!G32=0,"",SER_hh_tes!G32/SER_hh_fec!G32)</f>
        <v>0.57421840872727858</v>
      </c>
      <c r="H32" s="137">
        <f>IF(SER_hh_tes!H32=0,"",SER_hh_tes!H32/SER_hh_fec!H32)</f>
        <v>0.57492668116094114</v>
      </c>
      <c r="I32" s="137">
        <f>IF(SER_hh_tes!I32=0,"",SER_hh_tes!I32/SER_hh_fec!I32)</f>
        <v>0.57562034621852887</v>
      </c>
      <c r="J32" s="137">
        <f>IF(SER_hh_tes!J32=0,"",SER_hh_tes!J32/SER_hh_fec!J32)</f>
        <v>0.57611300469445015</v>
      </c>
      <c r="K32" s="137">
        <f>IF(SER_hh_tes!K32=0,"",SER_hh_tes!K32/SER_hh_fec!K32)</f>
        <v>0.57657617599465816</v>
      </c>
      <c r="L32" s="137">
        <f>IF(SER_hh_tes!L32=0,"",SER_hh_tes!L32/SER_hh_fec!L32)</f>
        <v>0.57690360010993036</v>
      </c>
      <c r="M32" s="137">
        <f>IF(SER_hh_tes!M32=0,"",SER_hh_tes!M32/SER_hh_fec!M32)</f>
        <v>0.57706164440239727</v>
      </c>
      <c r="N32" s="137">
        <f>IF(SER_hh_tes!N32=0,"",SER_hh_tes!N32/SER_hh_fec!N32)</f>
        <v>0.57726238204190961</v>
      </c>
      <c r="O32" s="137">
        <f>IF(SER_hh_tes!O32=0,"",SER_hh_tes!O32/SER_hh_fec!O32)</f>
        <v>0.57751317031969585</v>
      </c>
      <c r="P32" s="137">
        <f>IF(SER_hh_tes!P32=0,"",SER_hh_tes!P32/SER_hh_fec!P32)</f>
        <v>0.57775370032546358</v>
      </c>
      <c r="Q32" s="137">
        <f>IF(SER_hh_tes!Q32=0,"",SER_hh_tes!Q32/SER_hh_fec!Q32)</f>
        <v>0.57796098777553107</v>
      </c>
      <c r="R32" s="137">
        <f>IF(SER_hh_tes!R32=0,"",SER_hh_tes!R32/SER_hh_fec!R32)</f>
        <v>0.5782906300957662</v>
      </c>
      <c r="S32" s="137">
        <f>IF(SER_hh_tes!S32=0,"",SER_hh_tes!S32/SER_hh_fec!S32)</f>
        <v>0.57889275956898878</v>
      </c>
      <c r="T32" s="137">
        <f>IF(SER_hh_tes!T32=0,"",SER_hh_tes!T32/SER_hh_fec!T32)</f>
        <v>0.57981907016473044</v>
      </c>
      <c r="U32" s="137">
        <f>IF(SER_hh_tes!U32=0,"",SER_hh_tes!U32/SER_hh_fec!U32)</f>
        <v>0.58093665729158239</v>
      </c>
      <c r="V32" s="137">
        <f>IF(SER_hh_tes!V32=0,"",SER_hh_tes!V32/SER_hh_fec!V32)</f>
        <v>0.58195435170279897</v>
      </c>
      <c r="W32" s="137">
        <f>IF(SER_hh_tes!W32=0,"",SER_hh_tes!W32/SER_hh_fec!W32)</f>
        <v>0.58282774780725044</v>
      </c>
      <c r="DA32" s="164" t="s">
        <v>354</v>
      </c>
    </row>
    <row r="33" spans="1:105" ht="12" customHeight="1" x14ac:dyDescent="0.25">
      <c r="A33" s="62" t="s">
        <v>24</v>
      </c>
      <c r="B33" s="150">
        <f>IF(SER_hh_tes!B33=0,"",SER_hh_tes!B33/SER_hh_fec!B33)</f>
        <v>0.76891732941556423</v>
      </c>
      <c r="C33" s="150">
        <f>IF(SER_hh_tes!C33=0,"",SER_hh_tes!C33/SER_hh_fec!C33)</f>
        <v>0.77059880426959948</v>
      </c>
      <c r="D33" s="150">
        <f>IF(SER_hh_tes!D33=0,"",SER_hh_tes!D33/SER_hh_fec!D33)</f>
        <v>0.77223313275735128</v>
      </c>
      <c r="E33" s="150">
        <f>IF(SER_hh_tes!E33=0,"",SER_hh_tes!E33/SER_hh_fec!E33)</f>
        <v>0.77406769140671905</v>
      </c>
      <c r="F33" s="150">
        <f>IF(SER_hh_tes!F33=0,"",SER_hh_tes!F33/SER_hh_fec!F33)</f>
        <v>0.77606376368739527</v>
      </c>
      <c r="G33" s="150">
        <f>IF(SER_hh_tes!G33=0,"",SER_hh_tes!G33/SER_hh_fec!G33)</f>
        <v>0.77815213354733304</v>
      </c>
      <c r="H33" s="150">
        <f>IF(SER_hh_tes!H33=0,"",SER_hh_tes!H33/SER_hh_fec!H33)</f>
        <v>0.77914376231210769</v>
      </c>
      <c r="I33" s="150">
        <f>IF(SER_hh_tes!I33=0,"",SER_hh_tes!I33/SER_hh_fec!I33)</f>
        <v>0.78096007623380137</v>
      </c>
      <c r="J33" s="150">
        <f>IF(SER_hh_tes!J33=0,"",SER_hh_tes!J33/SER_hh_fec!J33)</f>
        <v>0.78404945619737987</v>
      </c>
      <c r="K33" s="150">
        <f>IF(SER_hh_tes!K33=0,"",SER_hh_tes!K33/SER_hh_fec!K33)</f>
        <v>0.7879632628349027</v>
      </c>
      <c r="L33" s="150">
        <f>IF(SER_hh_tes!L33=0,"",SER_hh_tes!L33/SER_hh_fec!L33)</f>
        <v>0.79075896383434197</v>
      </c>
      <c r="M33" s="150">
        <f>IF(SER_hh_tes!M33=0,"",SER_hh_tes!M33/SER_hh_fec!M33)</f>
        <v>0.79171130705415338</v>
      </c>
      <c r="N33" s="150">
        <f>IF(SER_hh_tes!N33=0,"",SER_hh_tes!N33/SER_hh_fec!N33)</f>
        <v>0.7932976678221979</v>
      </c>
      <c r="O33" s="150">
        <f>IF(SER_hh_tes!O33=0,"",SER_hh_tes!O33/SER_hh_fec!O33)</f>
        <v>0.79550356686009038</v>
      </c>
      <c r="P33" s="150">
        <f>IF(SER_hh_tes!P33=0,"",SER_hh_tes!P33/SER_hh_fec!P33)</f>
        <v>0.79793713771343333</v>
      </c>
      <c r="Q33" s="150">
        <f>IF(SER_hh_tes!Q33=0,"",SER_hh_tes!Q33/SER_hh_fec!Q33)</f>
        <v>0.80039181284127914</v>
      </c>
      <c r="R33" s="150">
        <f>IF(SER_hh_tes!R33=0,"",SER_hh_tes!R33/SER_hh_fec!R33)</f>
        <v>0.80367968851925831</v>
      </c>
      <c r="S33" s="150">
        <f>IF(SER_hh_tes!S33=0,"",SER_hh_tes!S33/SER_hh_fec!S33)</f>
        <v>0.80638974844180289</v>
      </c>
      <c r="T33" s="150">
        <f>IF(SER_hh_tes!T33=0,"",SER_hh_tes!T33/SER_hh_fec!T33)</f>
        <v>0.81178755492897559</v>
      </c>
      <c r="U33" s="150">
        <f>IF(SER_hh_tes!U33=0,"",SER_hh_tes!U33/SER_hh_fec!U33)</f>
        <v>0.82068538443634775</v>
      </c>
      <c r="V33" s="150">
        <f>IF(SER_hh_tes!V33=0,"",SER_hh_tes!V33/SER_hh_fec!V33)</f>
        <v>0.83122791134463569</v>
      </c>
      <c r="W33" s="150">
        <f>IF(SER_hh_tes!W33=0,"",SER_hh_tes!W33/SER_hh_fec!W33)</f>
        <v>0.8437428554518398</v>
      </c>
      <c r="DA33" s="168" t="s">
        <v>355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356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84</v>
      </c>
      <c r="B3" s="126">
        <f t="shared" ref="B3:Q3" si="0">SUM(B4,B16,B19,B29)</f>
        <v>80.909852639246594</v>
      </c>
      <c r="C3" s="126">
        <f t="shared" si="0"/>
        <v>81.757080126404162</v>
      </c>
      <c r="D3" s="126">
        <f t="shared" si="0"/>
        <v>78.368170177773834</v>
      </c>
      <c r="E3" s="126">
        <f t="shared" si="0"/>
        <v>80.486221163081936</v>
      </c>
      <c r="F3" s="126">
        <f t="shared" si="0"/>
        <v>72.437613232842438</v>
      </c>
      <c r="G3" s="126">
        <f t="shared" si="0"/>
        <v>69.634233007911021</v>
      </c>
      <c r="H3" s="126">
        <f t="shared" si="0"/>
        <v>118.33920648</v>
      </c>
      <c r="I3" s="126">
        <f t="shared" si="0"/>
        <v>121.52983428000002</v>
      </c>
      <c r="J3" s="126">
        <f t="shared" si="0"/>
        <v>153.18261287999999</v>
      </c>
      <c r="K3" s="126">
        <f t="shared" si="0"/>
        <v>124.65463355999999</v>
      </c>
      <c r="L3" s="126">
        <f t="shared" si="0"/>
        <v>137.44374624000005</v>
      </c>
      <c r="M3" s="126">
        <f t="shared" si="0"/>
        <v>137.1664098</v>
      </c>
      <c r="N3" s="126">
        <f t="shared" si="0"/>
        <v>124.27068744000003</v>
      </c>
      <c r="O3" s="126">
        <f t="shared" si="0"/>
        <v>127.33764372000002</v>
      </c>
      <c r="P3" s="126">
        <f t="shared" si="0"/>
        <v>118.40024052000001</v>
      </c>
      <c r="Q3" s="126">
        <f t="shared" si="0"/>
        <v>108.93590028000001</v>
      </c>
      <c r="R3" s="126">
        <f t="shared" ref="R3:W3" si="1">SUM(R4,R16,R19,R29)</f>
        <v>105.63718716</v>
      </c>
      <c r="S3" s="126">
        <f t="shared" si="1"/>
        <v>121.54470551999999</v>
      </c>
      <c r="T3" s="126">
        <f t="shared" si="1"/>
        <v>120.66732036000009</v>
      </c>
      <c r="U3" s="126">
        <f t="shared" si="1"/>
        <v>146.74850352000001</v>
      </c>
      <c r="V3" s="126">
        <f t="shared" si="1"/>
        <v>115.1227900800001</v>
      </c>
      <c r="W3" s="126">
        <f t="shared" si="1"/>
        <v>120.53288771999986</v>
      </c>
      <c r="DA3" s="155" t="s">
        <v>232</v>
      </c>
    </row>
    <row r="4" spans="1:105" ht="12.95" customHeight="1" x14ac:dyDescent="0.25">
      <c r="A4" s="130" t="s">
        <v>32</v>
      </c>
      <c r="B4" s="131">
        <f t="shared" ref="B4:Q4" si="2">SUM(B5:B15)</f>
        <v>77.183414806263201</v>
      </c>
      <c r="C4" s="131">
        <f t="shared" si="2"/>
        <v>78.007597241719964</v>
      </c>
      <c r="D4" s="131">
        <f t="shared" si="2"/>
        <v>74.611600677874634</v>
      </c>
      <c r="E4" s="131">
        <f t="shared" si="2"/>
        <v>76.759246099533016</v>
      </c>
      <c r="F4" s="131">
        <f t="shared" si="2"/>
        <v>68.694223356125548</v>
      </c>
      <c r="G4" s="131">
        <f t="shared" si="2"/>
        <v>65.877525540557926</v>
      </c>
      <c r="H4" s="131">
        <f t="shared" si="2"/>
        <v>75.832197953451342</v>
      </c>
      <c r="I4" s="131">
        <f t="shared" si="2"/>
        <v>79.085031758138825</v>
      </c>
      <c r="J4" s="131">
        <f t="shared" si="2"/>
        <v>107.81190606053887</v>
      </c>
      <c r="K4" s="131">
        <f t="shared" si="2"/>
        <v>82.281344195324365</v>
      </c>
      <c r="L4" s="131">
        <f t="shared" si="2"/>
        <v>95.088835893192424</v>
      </c>
      <c r="M4" s="131">
        <f t="shared" si="2"/>
        <v>91.822513570477923</v>
      </c>
      <c r="N4" s="131">
        <f t="shared" si="2"/>
        <v>78.898032698101375</v>
      </c>
      <c r="O4" s="131">
        <f t="shared" si="2"/>
        <v>85.03929691457337</v>
      </c>
      <c r="P4" s="131">
        <f t="shared" si="2"/>
        <v>82.067892182256159</v>
      </c>
      <c r="Q4" s="131">
        <f t="shared" si="2"/>
        <v>69.622935236071754</v>
      </c>
      <c r="R4" s="131">
        <f t="shared" ref="R4:W4" si="3">SUM(R5:R15)</f>
        <v>66.296364405834552</v>
      </c>
      <c r="S4" s="131">
        <f t="shared" si="3"/>
        <v>74.996317833201132</v>
      </c>
      <c r="T4" s="131">
        <f t="shared" si="3"/>
        <v>73.422727169852195</v>
      </c>
      <c r="U4" s="131">
        <f t="shared" si="3"/>
        <v>93.168214522348819</v>
      </c>
      <c r="V4" s="131">
        <f t="shared" si="3"/>
        <v>74.986345596824421</v>
      </c>
      <c r="W4" s="131">
        <f t="shared" si="3"/>
        <v>84.734048586077776</v>
      </c>
      <c r="DA4" s="156" t="s">
        <v>233</v>
      </c>
    </row>
    <row r="5" spans="1:105" ht="12" customHeight="1" x14ac:dyDescent="0.25">
      <c r="A5" s="132" t="s">
        <v>29</v>
      </c>
      <c r="B5" s="133">
        <v>0</v>
      </c>
      <c r="C5" s="133">
        <v>0</v>
      </c>
      <c r="D5" s="133">
        <v>0</v>
      </c>
      <c r="E5" s="133">
        <v>0</v>
      </c>
      <c r="F5" s="133">
        <v>0</v>
      </c>
      <c r="G5" s="133">
        <v>0</v>
      </c>
      <c r="H5" s="133">
        <v>0</v>
      </c>
      <c r="I5" s="133">
        <v>0</v>
      </c>
      <c r="J5" s="133">
        <v>0</v>
      </c>
      <c r="K5" s="133">
        <v>0</v>
      </c>
      <c r="L5" s="133">
        <v>0</v>
      </c>
      <c r="M5" s="133">
        <v>0</v>
      </c>
      <c r="N5" s="133">
        <v>0</v>
      </c>
      <c r="O5" s="133">
        <v>0</v>
      </c>
      <c r="P5" s="133">
        <v>0</v>
      </c>
      <c r="Q5" s="133">
        <v>0</v>
      </c>
      <c r="R5" s="133">
        <v>0</v>
      </c>
      <c r="S5" s="133">
        <v>0</v>
      </c>
      <c r="T5" s="133">
        <v>0</v>
      </c>
      <c r="U5" s="133">
        <v>0</v>
      </c>
      <c r="V5" s="133">
        <v>0</v>
      </c>
      <c r="W5" s="133">
        <v>0</v>
      </c>
      <c r="DA5" s="157" t="s">
        <v>357</v>
      </c>
    </row>
    <row r="6" spans="1:105" ht="12" customHeight="1" x14ac:dyDescent="0.25">
      <c r="A6" s="132" t="s">
        <v>52</v>
      </c>
      <c r="B6" s="133">
        <v>0</v>
      </c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358</v>
      </c>
    </row>
    <row r="7" spans="1:105" ht="12" customHeight="1" x14ac:dyDescent="0.25">
      <c r="A7" s="132" t="s">
        <v>168</v>
      </c>
      <c r="B7" s="133">
        <v>77.183414806263201</v>
      </c>
      <c r="C7" s="133">
        <v>78.007597241719964</v>
      </c>
      <c r="D7" s="133">
        <v>74.611600677874634</v>
      </c>
      <c r="E7" s="133">
        <v>76.759246099533016</v>
      </c>
      <c r="F7" s="133">
        <v>68.694223356125548</v>
      </c>
      <c r="G7" s="133">
        <v>65.877525540557926</v>
      </c>
      <c r="H7" s="133">
        <v>75.832197953451342</v>
      </c>
      <c r="I7" s="133">
        <v>79.085031758138825</v>
      </c>
      <c r="J7" s="133">
        <v>107.81190606053887</v>
      </c>
      <c r="K7" s="133">
        <v>82.281344195324365</v>
      </c>
      <c r="L7" s="133">
        <v>95.088835893192424</v>
      </c>
      <c r="M7" s="133">
        <v>91.822513570477923</v>
      </c>
      <c r="N7" s="133">
        <v>78.898032698101375</v>
      </c>
      <c r="O7" s="133">
        <v>85.03929691457337</v>
      </c>
      <c r="P7" s="133">
        <v>82.067892182256159</v>
      </c>
      <c r="Q7" s="133">
        <v>69.622935236071754</v>
      </c>
      <c r="R7" s="133">
        <v>66.296364405834552</v>
      </c>
      <c r="S7" s="133">
        <v>74.996317833201132</v>
      </c>
      <c r="T7" s="133">
        <v>73.422727169852195</v>
      </c>
      <c r="U7" s="133">
        <v>93.168214522348819</v>
      </c>
      <c r="V7" s="133">
        <v>74.986345596824421</v>
      </c>
      <c r="W7" s="133">
        <v>84.734048586077776</v>
      </c>
      <c r="DA7" s="157" t="s">
        <v>359</v>
      </c>
    </row>
    <row r="8" spans="1:105" ht="12" customHeight="1" x14ac:dyDescent="0.25">
      <c r="A8" s="132" t="s">
        <v>73</v>
      </c>
      <c r="B8" s="133">
        <v>0</v>
      </c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0</v>
      </c>
      <c r="S8" s="133">
        <v>0</v>
      </c>
      <c r="T8" s="133">
        <v>0</v>
      </c>
      <c r="U8" s="133">
        <v>0</v>
      </c>
      <c r="V8" s="133">
        <v>0</v>
      </c>
      <c r="W8" s="133">
        <v>0</v>
      </c>
      <c r="DA8" s="157" t="s">
        <v>360</v>
      </c>
    </row>
    <row r="9" spans="1:105" ht="12" customHeight="1" x14ac:dyDescent="0.25">
      <c r="A9" s="132" t="s">
        <v>78</v>
      </c>
      <c r="B9" s="133">
        <v>0</v>
      </c>
      <c r="C9" s="133">
        <v>0</v>
      </c>
      <c r="D9" s="133">
        <v>0</v>
      </c>
      <c r="E9" s="133">
        <v>0</v>
      </c>
      <c r="F9" s="133">
        <v>0</v>
      </c>
      <c r="G9" s="133">
        <v>0</v>
      </c>
      <c r="H9" s="133">
        <v>0</v>
      </c>
      <c r="I9" s="133">
        <v>0</v>
      </c>
      <c r="J9" s="133">
        <v>0</v>
      </c>
      <c r="K9" s="133">
        <v>0</v>
      </c>
      <c r="L9" s="133">
        <v>0</v>
      </c>
      <c r="M9" s="133">
        <v>0</v>
      </c>
      <c r="N9" s="133">
        <v>0</v>
      </c>
      <c r="O9" s="133">
        <v>0</v>
      </c>
      <c r="P9" s="133">
        <v>0</v>
      </c>
      <c r="Q9" s="133">
        <v>0</v>
      </c>
      <c r="R9" s="133">
        <v>0</v>
      </c>
      <c r="S9" s="133">
        <v>0</v>
      </c>
      <c r="T9" s="133">
        <v>0</v>
      </c>
      <c r="U9" s="133">
        <v>0</v>
      </c>
      <c r="V9" s="133">
        <v>0</v>
      </c>
      <c r="W9" s="133">
        <v>0</v>
      </c>
      <c r="DA9" s="157" t="s">
        <v>361</v>
      </c>
    </row>
    <row r="10" spans="1:105" ht="12" customHeight="1" x14ac:dyDescent="0.25">
      <c r="A10" s="132" t="s">
        <v>128</v>
      </c>
      <c r="B10" s="133">
        <v>0</v>
      </c>
      <c r="C10" s="133">
        <v>0</v>
      </c>
      <c r="D10" s="133">
        <v>0</v>
      </c>
      <c r="E10" s="133">
        <v>0</v>
      </c>
      <c r="F10" s="133">
        <v>0</v>
      </c>
      <c r="G10" s="133">
        <v>0</v>
      </c>
      <c r="H10" s="133">
        <v>0</v>
      </c>
      <c r="I10" s="133">
        <v>0</v>
      </c>
      <c r="J10" s="133">
        <v>0</v>
      </c>
      <c r="K10" s="133">
        <v>0</v>
      </c>
      <c r="L10" s="133">
        <v>0</v>
      </c>
      <c r="M10" s="133">
        <v>0</v>
      </c>
      <c r="N10" s="133">
        <v>0</v>
      </c>
      <c r="O10" s="133">
        <v>0</v>
      </c>
      <c r="P10" s="133">
        <v>0</v>
      </c>
      <c r="Q10" s="133">
        <v>0</v>
      </c>
      <c r="R10" s="133">
        <v>0</v>
      </c>
      <c r="S10" s="133">
        <v>0</v>
      </c>
      <c r="T10" s="133">
        <v>0</v>
      </c>
      <c r="U10" s="133">
        <v>0</v>
      </c>
      <c r="V10" s="133">
        <v>0</v>
      </c>
      <c r="W10" s="133">
        <v>0</v>
      </c>
      <c r="DA10" s="157" t="s">
        <v>362</v>
      </c>
    </row>
    <row r="11" spans="1:105" ht="12" customHeight="1" x14ac:dyDescent="0.25">
      <c r="A11" s="132" t="s">
        <v>25</v>
      </c>
      <c r="B11" s="133">
        <v>0</v>
      </c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363</v>
      </c>
    </row>
    <row r="12" spans="1:105" ht="12" customHeight="1" x14ac:dyDescent="0.25">
      <c r="A12" s="132" t="s">
        <v>169</v>
      </c>
      <c r="B12" s="133">
        <v>0</v>
      </c>
      <c r="C12" s="133">
        <v>0</v>
      </c>
      <c r="D12" s="133">
        <v>0</v>
      </c>
      <c r="E12" s="133">
        <v>0</v>
      </c>
      <c r="F12" s="133">
        <v>0</v>
      </c>
      <c r="G12" s="133">
        <v>0</v>
      </c>
      <c r="H12" s="133">
        <v>0</v>
      </c>
      <c r="I12" s="133">
        <v>0</v>
      </c>
      <c r="J12" s="133">
        <v>0</v>
      </c>
      <c r="K12" s="133">
        <v>0</v>
      </c>
      <c r="L12" s="133">
        <v>0</v>
      </c>
      <c r="M12" s="133">
        <v>0</v>
      </c>
      <c r="N12" s="133">
        <v>0</v>
      </c>
      <c r="O12" s="133">
        <v>0</v>
      </c>
      <c r="P12" s="133">
        <v>0</v>
      </c>
      <c r="Q12" s="133">
        <v>0</v>
      </c>
      <c r="R12" s="133">
        <v>0</v>
      </c>
      <c r="S12" s="133">
        <v>0</v>
      </c>
      <c r="T12" s="133">
        <v>0</v>
      </c>
      <c r="U12" s="133">
        <v>0</v>
      </c>
      <c r="V12" s="133">
        <v>0</v>
      </c>
      <c r="W12" s="133">
        <v>0</v>
      </c>
      <c r="DA12" s="157" t="s">
        <v>364</v>
      </c>
    </row>
    <row r="13" spans="1:105" ht="12" customHeight="1" x14ac:dyDescent="0.25">
      <c r="A13" s="132" t="s">
        <v>77</v>
      </c>
      <c r="B13" s="133">
        <v>0</v>
      </c>
      <c r="C13" s="133">
        <v>0</v>
      </c>
      <c r="D13" s="133">
        <v>0</v>
      </c>
      <c r="E13" s="133">
        <v>0</v>
      </c>
      <c r="F13" s="133">
        <v>0</v>
      </c>
      <c r="G13" s="133">
        <v>0</v>
      </c>
      <c r="H13" s="133">
        <v>0</v>
      </c>
      <c r="I13" s="133">
        <v>0</v>
      </c>
      <c r="J13" s="133">
        <v>0</v>
      </c>
      <c r="K13" s="133">
        <v>0</v>
      </c>
      <c r="L13" s="133">
        <v>0</v>
      </c>
      <c r="M13" s="133">
        <v>0</v>
      </c>
      <c r="N13" s="133">
        <v>0</v>
      </c>
      <c r="O13" s="133">
        <v>0</v>
      </c>
      <c r="P13" s="133">
        <v>0</v>
      </c>
      <c r="Q13" s="133">
        <v>0</v>
      </c>
      <c r="R13" s="133">
        <v>0</v>
      </c>
      <c r="S13" s="133">
        <v>0</v>
      </c>
      <c r="T13" s="133">
        <v>0</v>
      </c>
      <c r="U13" s="133">
        <v>0</v>
      </c>
      <c r="V13" s="133">
        <v>0</v>
      </c>
      <c r="W13" s="133">
        <v>0</v>
      </c>
      <c r="DA13" s="157" t="s">
        <v>365</v>
      </c>
    </row>
    <row r="14" spans="1:105" ht="12" customHeight="1" x14ac:dyDescent="0.25">
      <c r="A14" s="60" t="s">
        <v>76</v>
      </c>
      <c r="B14" s="65">
        <v>0</v>
      </c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DA14" s="109" t="s">
        <v>366</v>
      </c>
    </row>
    <row r="15" spans="1:105" ht="12" customHeight="1" x14ac:dyDescent="0.25">
      <c r="A15" s="134" t="s">
        <v>80</v>
      </c>
      <c r="B15" s="135">
        <v>0</v>
      </c>
      <c r="C15" s="135">
        <v>0</v>
      </c>
      <c r="D15" s="135">
        <v>0</v>
      </c>
      <c r="E15" s="135">
        <v>0</v>
      </c>
      <c r="F15" s="135">
        <v>0</v>
      </c>
      <c r="G15" s="135">
        <v>0</v>
      </c>
      <c r="H15" s="135">
        <v>0</v>
      </c>
      <c r="I15" s="135">
        <v>0</v>
      </c>
      <c r="J15" s="135">
        <v>0</v>
      </c>
      <c r="K15" s="135">
        <v>0</v>
      </c>
      <c r="L15" s="135">
        <v>0</v>
      </c>
      <c r="M15" s="135">
        <v>0</v>
      </c>
      <c r="N15" s="135">
        <v>0</v>
      </c>
      <c r="O15" s="135">
        <v>0</v>
      </c>
      <c r="P15" s="135">
        <v>0</v>
      </c>
      <c r="Q15" s="135">
        <v>0</v>
      </c>
      <c r="R15" s="135">
        <v>0</v>
      </c>
      <c r="S15" s="135">
        <v>0</v>
      </c>
      <c r="T15" s="135">
        <v>0</v>
      </c>
      <c r="U15" s="135">
        <v>0</v>
      </c>
      <c r="V15" s="135">
        <v>0</v>
      </c>
      <c r="W15" s="135">
        <v>0</v>
      </c>
      <c r="DA15" s="158" t="s">
        <v>367</v>
      </c>
    </row>
    <row r="16" spans="1:105" ht="12.95" customHeight="1" x14ac:dyDescent="0.25">
      <c r="A16" s="130" t="s">
        <v>74</v>
      </c>
      <c r="B16" s="131">
        <f t="shared" ref="B16:Q16" si="4">SUM(B17:B18)</f>
        <v>0</v>
      </c>
      <c r="C16" s="131">
        <f t="shared" si="4"/>
        <v>0</v>
      </c>
      <c r="D16" s="131">
        <f t="shared" si="4"/>
        <v>0</v>
      </c>
      <c r="E16" s="131">
        <f t="shared" si="4"/>
        <v>0</v>
      </c>
      <c r="F16" s="131">
        <f t="shared" si="4"/>
        <v>0</v>
      </c>
      <c r="G16" s="131">
        <f t="shared" si="4"/>
        <v>0</v>
      </c>
      <c r="H16" s="131">
        <f t="shared" si="4"/>
        <v>0</v>
      </c>
      <c r="I16" s="131">
        <f t="shared" si="4"/>
        <v>0</v>
      </c>
      <c r="J16" s="131">
        <f t="shared" si="4"/>
        <v>0</v>
      </c>
      <c r="K16" s="131">
        <f t="shared" si="4"/>
        <v>0</v>
      </c>
      <c r="L16" s="131">
        <f t="shared" si="4"/>
        <v>0</v>
      </c>
      <c r="M16" s="131">
        <f t="shared" si="4"/>
        <v>0</v>
      </c>
      <c r="N16" s="131">
        <f t="shared" si="4"/>
        <v>0</v>
      </c>
      <c r="O16" s="131">
        <f t="shared" si="4"/>
        <v>0</v>
      </c>
      <c r="P16" s="131">
        <f t="shared" si="4"/>
        <v>0</v>
      </c>
      <c r="Q16" s="131">
        <f t="shared" si="4"/>
        <v>0</v>
      </c>
      <c r="R16" s="131">
        <f t="shared" ref="R16:W16" si="5">SUM(R17:R18)</f>
        <v>0</v>
      </c>
      <c r="S16" s="131">
        <f t="shared" si="5"/>
        <v>0</v>
      </c>
      <c r="T16" s="131">
        <f t="shared" si="5"/>
        <v>0</v>
      </c>
      <c r="U16" s="131">
        <f t="shared" si="5"/>
        <v>0</v>
      </c>
      <c r="V16" s="131">
        <f t="shared" si="5"/>
        <v>0</v>
      </c>
      <c r="W16" s="131">
        <f t="shared" si="5"/>
        <v>0</v>
      </c>
      <c r="DA16" s="156" t="s">
        <v>234</v>
      </c>
    </row>
    <row r="17" spans="1:105" ht="12.95" customHeight="1" x14ac:dyDescent="0.25">
      <c r="A17" s="132" t="s">
        <v>73</v>
      </c>
      <c r="B17" s="133">
        <v>0</v>
      </c>
      <c r="C17" s="133">
        <v>0</v>
      </c>
      <c r="D17" s="133">
        <v>0</v>
      </c>
      <c r="E17" s="133">
        <v>0</v>
      </c>
      <c r="F17" s="133">
        <v>0</v>
      </c>
      <c r="G17" s="133">
        <v>0</v>
      </c>
      <c r="H17" s="133">
        <v>0</v>
      </c>
      <c r="I17" s="133">
        <v>0</v>
      </c>
      <c r="J17" s="133">
        <v>0</v>
      </c>
      <c r="K17" s="133">
        <v>0</v>
      </c>
      <c r="L17" s="133">
        <v>0</v>
      </c>
      <c r="M17" s="133">
        <v>0</v>
      </c>
      <c r="N17" s="133">
        <v>0</v>
      </c>
      <c r="O17" s="133">
        <v>0</v>
      </c>
      <c r="P17" s="133">
        <v>0</v>
      </c>
      <c r="Q17" s="133">
        <v>0</v>
      </c>
      <c r="R17" s="133">
        <v>0</v>
      </c>
      <c r="S17" s="133">
        <v>0</v>
      </c>
      <c r="T17" s="133">
        <v>0</v>
      </c>
      <c r="U17" s="133">
        <v>0</v>
      </c>
      <c r="V17" s="133">
        <v>0</v>
      </c>
      <c r="W17" s="133">
        <v>0</v>
      </c>
      <c r="DA17" s="157" t="s">
        <v>368</v>
      </c>
    </row>
    <row r="18" spans="1:105" ht="12" customHeight="1" x14ac:dyDescent="0.25">
      <c r="A18" s="132" t="s">
        <v>72</v>
      </c>
      <c r="B18" s="133">
        <v>0</v>
      </c>
      <c r="C18" s="133">
        <v>0</v>
      </c>
      <c r="D18" s="133">
        <v>0</v>
      </c>
      <c r="E18" s="133">
        <v>0</v>
      </c>
      <c r="F18" s="133">
        <v>0</v>
      </c>
      <c r="G18" s="133">
        <v>0</v>
      </c>
      <c r="H18" s="133">
        <v>0</v>
      </c>
      <c r="I18" s="133">
        <v>0</v>
      </c>
      <c r="J18" s="133">
        <v>0</v>
      </c>
      <c r="K18" s="133">
        <v>0</v>
      </c>
      <c r="L18" s="133">
        <v>0</v>
      </c>
      <c r="M18" s="133">
        <v>0</v>
      </c>
      <c r="N18" s="133">
        <v>0</v>
      </c>
      <c r="O18" s="133">
        <v>0</v>
      </c>
      <c r="P18" s="133">
        <v>0</v>
      </c>
      <c r="Q18" s="133">
        <v>0</v>
      </c>
      <c r="R18" s="133">
        <v>0</v>
      </c>
      <c r="S18" s="133">
        <v>0</v>
      </c>
      <c r="T18" s="133">
        <v>0</v>
      </c>
      <c r="U18" s="133">
        <v>0</v>
      </c>
      <c r="V18" s="133">
        <v>0</v>
      </c>
      <c r="W18" s="133">
        <v>0</v>
      </c>
      <c r="DA18" s="157" t="s">
        <v>369</v>
      </c>
    </row>
    <row r="19" spans="1:105" ht="12.95" customHeight="1" x14ac:dyDescent="0.25">
      <c r="A19" s="130" t="s">
        <v>35</v>
      </c>
      <c r="B19" s="131">
        <f t="shared" ref="B19:Q19" si="6">SUM(B20:B27)</f>
        <v>3.7264378329833985</v>
      </c>
      <c r="C19" s="131">
        <f t="shared" si="6"/>
        <v>3.7494828846841961</v>
      </c>
      <c r="D19" s="131">
        <f t="shared" si="6"/>
        <v>3.7565694998992067</v>
      </c>
      <c r="E19" s="131">
        <f t="shared" si="6"/>
        <v>3.7269750635489243</v>
      </c>
      <c r="F19" s="131">
        <f t="shared" si="6"/>
        <v>3.7433898767168863</v>
      </c>
      <c r="G19" s="131">
        <f t="shared" si="6"/>
        <v>3.7567074673530994</v>
      </c>
      <c r="H19" s="131">
        <f t="shared" si="6"/>
        <v>27.217635147822218</v>
      </c>
      <c r="I19" s="131">
        <f t="shared" si="6"/>
        <v>27.404027714766052</v>
      </c>
      <c r="J19" s="131">
        <f t="shared" si="6"/>
        <v>27.687907362152593</v>
      </c>
      <c r="K19" s="131">
        <f t="shared" si="6"/>
        <v>27.857240184615378</v>
      </c>
      <c r="L19" s="131">
        <f t="shared" si="6"/>
        <v>28.623585336856305</v>
      </c>
      <c r="M19" s="131">
        <f t="shared" si="6"/>
        <v>27.457864203196706</v>
      </c>
      <c r="N19" s="131">
        <f t="shared" si="6"/>
        <v>26.163628314418247</v>
      </c>
      <c r="O19" s="131">
        <f t="shared" si="6"/>
        <v>24.597459295859455</v>
      </c>
      <c r="P19" s="131">
        <f t="shared" si="6"/>
        <v>21.420597060852185</v>
      </c>
      <c r="Q19" s="131">
        <f t="shared" si="6"/>
        <v>20.8715220172082</v>
      </c>
      <c r="R19" s="131">
        <f t="shared" ref="R19:W19" si="7">SUM(R20:R27)</f>
        <v>21.142382424847966</v>
      </c>
      <c r="S19" s="131">
        <f t="shared" si="7"/>
        <v>21.175024139532695</v>
      </c>
      <c r="T19" s="131">
        <f t="shared" si="7"/>
        <v>20.403074471738407</v>
      </c>
      <c r="U19" s="131">
        <f t="shared" si="7"/>
        <v>19.973450514467295</v>
      </c>
      <c r="V19" s="131">
        <f t="shared" si="7"/>
        <v>16.006885111936963</v>
      </c>
      <c r="W19" s="131">
        <f t="shared" si="7"/>
        <v>15.075600054611446</v>
      </c>
      <c r="DA19" s="156" t="s">
        <v>235</v>
      </c>
    </row>
    <row r="20" spans="1:105" ht="12" customHeight="1" x14ac:dyDescent="0.25">
      <c r="A20" s="132" t="s">
        <v>29</v>
      </c>
      <c r="B20" s="133">
        <v>0</v>
      </c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370</v>
      </c>
    </row>
    <row r="21" spans="1:105" s="2" customFormat="1" ht="12" customHeight="1" x14ac:dyDescent="0.25">
      <c r="A21" s="132" t="s">
        <v>52</v>
      </c>
      <c r="B21" s="133">
        <v>0</v>
      </c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23.510917581273574</v>
      </c>
      <c r="I21" s="133">
        <v>23.759516152904872</v>
      </c>
      <c r="J21" s="133">
        <v>24.101919582691472</v>
      </c>
      <c r="K21" s="133">
        <v>24.284241779939759</v>
      </c>
      <c r="L21" s="133">
        <v>25.068965950048717</v>
      </c>
      <c r="M21" s="133">
        <v>23.89868701367465</v>
      </c>
      <c r="N21" s="133">
        <v>22.575692612519589</v>
      </c>
      <c r="O21" s="133">
        <v>21.099403450432781</v>
      </c>
      <c r="P21" s="133">
        <v>17.91922920310833</v>
      </c>
      <c r="Q21" s="133">
        <v>17.37419269327993</v>
      </c>
      <c r="R21" s="133">
        <v>17.617195390682539</v>
      </c>
      <c r="S21" s="133">
        <v>17.861999252733835</v>
      </c>
      <c r="T21" s="133">
        <v>16.913131841590555</v>
      </c>
      <c r="U21" s="133">
        <v>16.490346436816093</v>
      </c>
      <c r="V21" s="133">
        <v>12.865036748761312</v>
      </c>
      <c r="W21" s="133">
        <v>11.660009040689353</v>
      </c>
      <c r="DA21" s="157" t="s">
        <v>371</v>
      </c>
    </row>
    <row r="22" spans="1:105" ht="12" customHeight="1" x14ac:dyDescent="0.25">
      <c r="A22" s="132" t="s">
        <v>168</v>
      </c>
      <c r="B22" s="133">
        <v>3.7264378329833985</v>
      </c>
      <c r="C22" s="133">
        <v>3.7494828846841961</v>
      </c>
      <c r="D22" s="133">
        <v>3.7565694998992067</v>
      </c>
      <c r="E22" s="133">
        <v>3.7269750635489243</v>
      </c>
      <c r="F22" s="133">
        <v>3.7433898767168863</v>
      </c>
      <c r="G22" s="133">
        <v>3.7567074673530994</v>
      </c>
      <c r="H22" s="133">
        <v>3.7067175665486443</v>
      </c>
      <c r="I22" s="133">
        <v>3.6445115618611803</v>
      </c>
      <c r="J22" s="133">
        <v>3.5859877794611208</v>
      </c>
      <c r="K22" s="133">
        <v>3.5729984046756185</v>
      </c>
      <c r="L22" s="133">
        <v>3.5546193868075866</v>
      </c>
      <c r="M22" s="133">
        <v>3.559177189522055</v>
      </c>
      <c r="N22" s="133">
        <v>3.5879357018986568</v>
      </c>
      <c r="O22" s="133">
        <v>3.4980558454266744</v>
      </c>
      <c r="P22" s="133">
        <v>3.5013678577438552</v>
      </c>
      <c r="Q22" s="133">
        <v>3.4973293239282706</v>
      </c>
      <c r="R22" s="133">
        <v>3.525187034165425</v>
      </c>
      <c r="S22" s="133">
        <v>3.3130248867988623</v>
      </c>
      <c r="T22" s="133">
        <v>3.4899426301478496</v>
      </c>
      <c r="U22" s="133">
        <v>3.4831040776512019</v>
      </c>
      <c r="V22" s="133">
        <v>3.14184836317565</v>
      </c>
      <c r="W22" s="133">
        <v>3.4155910139220937</v>
      </c>
      <c r="DA22" s="157" t="s">
        <v>372</v>
      </c>
    </row>
    <row r="23" spans="1:105" ht="12" customHeight="1" x14ac:dyDescent="0.25">
      <c r="A23" s="132" t="s">
        <v>153</v>
      </c>
      <c r="B23" s="133">
        <v>0</v>
      </c>
      <c r="C23" s="133">
        <v>0</v>
      </c>
      <c r="D23" s="133">
        <v>0</v>
      </c>
      <c r="E23" s="133">
        <v>0</v>
      </c>
      <c r="F23" s="133">
        <v>0</v>
      </c>
      <c r="G23" s="133">
        <v>0</v>
      </c>
      <c r="H23" s="133">
        <v>0</v>
      </c>
      <c r="I23" s="133">
        <v>0</v>
      </c>
      <c r="J23" s="133">
        <v>0</v>
      </c>
      <c r="K23" s="133">
        <v>0</v>
      </c>
      <c r="L23" s="133">
        <v>0</v>
      </c>
      <c r="M23" s="133">
        <v>0</v>
      </c>
      <c r="N23" s="133">
        <v>0</v>
      </c>
      <c r="O23" s="133">
        <v>0</v>
      </c>
      <c r="P23" s="133">
        <v>0</v>
      </c>
      <c r="Q23" s="133">
        <v>0</v>
      </c>
      <c r="R23" s="133">
        <v>0</v>
      </c>
      <c r="S23" s="133">
        <v>0</v>
      </c>
      <c r="T23" s="133">
        <v>0</v>
      </c>
      <c r="U23" s="133">
        <v>0</v>
      </c>
      <c r="V23" s="133">
        <v>0</v>
      </c>
      <c r="W23" s="133">
        <v>0</v>
      </c>
      <c r="DA23" s="157" t="s">
        <v>373</v>
      </c>
    </row>
    <row r="24" spans="1:105" ht="12" customHeight="1" x14ac:dyDescent="0.25">
      <c r="A24" s="132" t="s">
        <v>128</v>
      </c>
      <c r="B24" s="133">
        <v>0</v>
      </c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374</v>
      </c>
    </row>
    <row r="25" spans="1:105" ht="12" customHeight="1" x14ac:dyDescent="0.25">
      <c r="A25" s="132" t="s">
        <v>169</v>
      </c>
      <c r="B25" s="133">
        <v>0</v>
      </c>
      <c r="C25" s="133">
        <v>0</v>
      </c>
      <c r="D25" s="133">
        <v>0</v>
      </c>
      <c r="E25" s="133">
        <v>0</v>
      </c>
      <c r="F25" s="133">
        <v>0</v>
      </c>
      <c r="G25" s="133">
        <v>0</v>
      </c>
      <c r="H25" s="133">
        <v>0</v>
      </c>
      <c r="I25" s="133">
        <v>0</v>
      </c>
      <c r="J25" s="133">
        <v>0</v>
      </c>
      <c r="K25" s="133">
        <v>0</v>
      </c>
      <c r="L25" s="133">
        <v>0</v>
      </c>
      <c r="M25" s="133">
        <v>0</v>
      </c>
      <c r="N25" s="133">
        <v>0</v>
      </c>
      <c r="O25" s="133">
        <v>0</v>
      </c>
      <c r="P25" s="133">
        <v>0</v>
      </c>
      <c r="Q25" s="133">
        <v>0</v>
      </c>
      <c r="R25" s="133">
        <v>0</v>
      </c>
      <c r="S25" s="133">
        <v>0</v>
      </c>
      <c r="T25" s="133">
        <v>0</v>
      </c>
      <c r="U25" s="133">
        <v>0</v>
      </c>
      <c r="V25" s="133">
        <v>0</v>
      </c>
      <c r="W25" s="133">
        <v>0</v>
      </c>
      <c r="DA25" s="157" t="s">
        <v>375</v>
      </c>
    </row>
    <row r="26" spans="1:105" ht="12" customHeight="1" x14ac:dyDescent="0.25">
      <c r="A26" s="132" t="s">
        <v>24</v>
      </c>
      <c r="B26" s="65">
        <v>0</v>
      </c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DA26" s="109" t="s">
        <v>376</v>
      </c>
    </row>
    <row r="27" spans="1:105" ht="12" customHeight="1" x14ac:dyDescent="0.25">
      <c r="A27" s="145" t="s">
        <v>26</v>
      </c>
      <c r="B27" s="146">
        <v>0</v>
      </c>
      <c r="C27" s="146">
        <v>0</v>
      </c>
      <c r="D27" s="146">
        <v>0</v>
      </c>
      <c r="E27" s="146">
        <v>0</v>
      </c>
      <c r="F27" s="146">
        <v>0</v>
      </c>
      <c r="G27" s="146">
        <v>0</v>
      </c>
      <c r="H27" s="146">
        <v>0</v>
      </c>
      <c r="I27" s="146">
        <v>0</v>
      </c>
      <c r="J27" s="146">
        <v>0</v>
      </c>
      <c r="K27" s="146">
        <v>0</v>
      </c>
      <c r="L27" s="146">
        <v>0</v>
      </c>
      <c r="M27" s="146">
        <v>0</v>
      </c>
      <c r="N27" s="146">
        <v>0</v>
      </c>
      <c r="O27" s="146">
        <v>0</v>
      </c>
      <c r="P27" s="146">
        <v>0</v>
      </c>
      <c r="Q27" s="146">
        <v>0</v>
      </c>
      <c r="R27" s="146">
        <v>0</v>
      </c>
      <c r="S27" s="146">
        <v>0</v>
      </c>
      <c r="T27" s="146">
        <v>0</v>
      </c>
      <c r="U27" s="146">
        <v>0</v>
      </c>
      <c r="V27" s="146">
        <v>0</v>
      </c>
      <c r="W27" s="146">
        <v>0</v>
      </c>
      <c r="DA27" s="159" t="s">
        <v>377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>
        <f t="shared" ref="B29:Q29" si="8">SUM(B30:B33)</f>
        <v>0</v>
      </c>
      <c r="C29" s="131">
        <f t="shared" si="8"/>
        <v>0</v>
      </c>
      <c r="D29" s="131">
        <f t="shared" si="8"/>
        <v>0</v>
      </c>
      <c r="E29" s="131">
        <f t="shared" si="8"/>
        <v>0</v>
      </c>
      <c r="F29" s="131">
        <f t="shared" si="8"/>
        <v>0</v>
      </c>
      <c r="G29" s="131">
        <f t="shared" si="8"/>
        <v>0</v>
      </c>
      <c r="H29" s="131">
        <f t="shared" si="8"/>
        <v>15.28937337872644</v>
      </c>
      <c r="I29" s="131">
        <f t="shared" si="8"/>
        <v>15.040774807095147</v>
      </c>
      <c r="J29" s="131">
        <f t="shared" si="8"/>
        <v>17.682799457308523</v>
      </c>
      <c r="K29" s="131">
        <f t="shared" si="8"/>
        <v>14.516049180060254</v>
      </c>
      <c r="L29" s="131">
        <f t="shared" si="8"/>
        <v>13.731325009951314</v>
      </c>
      <c r="M29" s="131">
        <f t="shared" si="8"/>
        <v>17.88603202632536</v>
      </c>
      <c r="N29" s="131">
        <f t="shared" si="8"/>
        <v>19.209026427480413</v>
      </c>
      <c r="O29" s="131">
        <f t="shared" si="8"/>
        <v>17.700887509567199</v>
      </c>
      <c r="P29" s="131">
        <f t="shared" si="8"/>
        <v>14.911751276891664</v>
      </c>
      <c r="Q29" s="131">
        <f t="shared" si="8"/>
        <v>18.441443026720052</v>
      </c>
      <c r="R29" s="131">
        <f t="shared" ref="R29:W29" si="9">SUM(R30:R33)</f>
        <v>18.198440329317471</v>
      </c>
      <c r="S29" s="131">
        <f t="shared" si="9"/>
        <v>25.373363547266166</v>
      </c>
      <c r="T29" s="131">
        <f t="shared" si="9"/>
        <v>26.841518718409489</v>
      </c>
      <c r="U29" s="131">
        <f t="shared" si="9"/>
        <v>33.606838483183914</v>
      </c>
      <c r="V29" s="131">
        <f t="shared" si="9"/>
        <v>24.129559371238713</v>
      </c>
      <c r="W29" s="131">
        <f t="shared" si="9"/>
        <v>20.723239079310648</v>
      </c>
      <c r="DA29" s="156" t="s">
        <v>236</v>
      </c>
    </row>
    <row r="30" spans="1:105" ht="12" customHeight="1" x14ac:dyDescent="0.25">
      <c r="A30" s="132" t="s">
        <v>52</v>
      </c>
      <c r="B30" s="133">
        <v>0</v>
      </c>
      <c r="C30" s="133">
        <v>0</v>
      </c>
      <c r="D30" s="133">
        <v>0</v>
      </c>
      <c r="E30" s="133">
        <v>0</v>
      </c>
      <c r="F30" s="133">
        <v>0</v>
      </c>
      <c r="G30" s="133">
        <v>0</v>
      </c>
      <c r="H30" s="133">
        <v>15.28937337872644</v>
      </c>
      <c r="I30" s="133">
        <v>15.040774807095147</v>
      </c>
      <c r="J30" s="133">
        <v>17.682799457308523</v>
      </c>
      <c r="K30" s="133">
        <v>14.516049180060254</v>
      </c>
      <c r="L30" s="133">
        <v>13.731325009951314</v>
      </c>
      <c r="M30" s="133">
        <v>17.88603202632536</v>
      </c>
      <c r="N30" s="133">
        <v>19.209026427480413</v>
      </c>
      <c r="O30" s="133">
        <v>17.700887509567199</v>
      </c>
      <c r="P30" s="133">
        <v>14.911751276891664</v>
      </c>
      <c r="Q30" s="133">
        <v>18.441443026720052</v>
      </c>
      <c r="R30" s="133">
        <v>18.198440329317471</v>
      </c>
      <c r="S30" s="133">
        <v>25.373363547266166</v>
      </c>
      <c r="T30" s="133">
        <v>26.841518718409489</v>
      </c>
      <c r="U30" s="133">
        <v>33.606838483183914</v>
      </c>
      <c r="V30" s="133">
        <v>24.129559371238713</v>
      </c>
      <c r="W30" s="133">
        <v>20.723239079310648</v>
      </c>
      <c r="DA30" s="157" t="s">
        <v>378</v>
      </c>
    </row>
    <row r="31" spans="1:105" ht="12" customHeight="1" x14ac:dyDescent="0.25">
      <c r="A31" s="132" t="s">
        <v>153</v>
      </c>
      <c r="B31" s="133">
        <v>0</v>
      </c>
      <c r="C31" s="133">
        <v>0</v>
      </c>
      <c r="D31" s="133">
        <v>0</v>
      </c>
      <c r="E31" s="133">
        <v>0</v>
      </c>
      <c r="F31" s="133">
        <v>0</v>
      </c>
      <c r="G31" s="133">
        <v>0</v>
      </c>
      <c r="H31" s="133">
        <v>0</v>
      </c>
      <c r="I31" s="133">
        <v>0</v>
      </c>
      <c r="J31" s="133">
        <v>0</v>
      </c>
      <c r="K31" s="133">
        <v>0</v>
      </c>
      <c r="L31" s="133">
        <v>0</v>
      </c>
      <c r="M31" s="133">
        <v>0</v>
      </c>
      <c r="N31" s="133">
        <v>0</v>
      </c>
      <c r="O31" s="133">
        <v>0</v>
      </c>
      <c r="P31" s="133">
        <v>0</v>
      </c>
      <c r="Q31" s="133">
        <v>0</v>
      </c>
      <c r="R31" s="133">
        <v>0</v>
      </c>
      <c r="S31" s="133">
        <v>0</v>
      </c>
      <c r="T31" s="133">
        <v>0</v>
      </c>
      <c r="U31" s="133">
        <v>0</v>
      </c>
      <c r="V31" s="133">
        <v>0</v>
      </c>
      <c r="W31" s="133">
        <v>0</v>
      </c>
      <c r="DA31" s="157" t="s">
        <v>379</v>
      </c>
    </row>
    <row r="32" spans="1:105" ht="12" customHeight="1" x14ac:dyDescent="0.25">
      <c r="A32" s="132" t="s">
        <v>128</v>
      </c>
      <c r="B32" s="133">
        <v>0</v>
      </c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380</v>
      </c>
    </row>
    <row r="33" spans="1:105" ht="12" customHeight="1" x14ac:dyDescent="0.25">
      <c r="A33" s="62" t="s">
        <v>24</v>
      </c>
      <c r="B33" s="68">
        <v>0</v>
      </c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DA33" s="111" t="s">
        <v>381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382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87</v>
      </c>
      <c r="B3" s="126">
        <f>IF(SER_hh_fec!B3=0,0,11630*1000*SER_hh_fec!B3/SER_hh_num!B3)</f>
        <v>69834.00472847918</v>
      </c>
      <c r="C3" s="126">
        <f>IF(SER_hh_fec!C3=0,0,11630*1000*SER_hh_fec!C3/SER_hh_num!C3)</f>
        <v>74599.91182422264</v>
      </c>
      <c r="D3" s="126">
        <f>IF(SER_hh_fec!D3=0,0,11630*1000*SER_hh_fec!D3/SER_hh_num!D3)</f>
        <v>79598.111031167849</v>
      </c>
      <c r="E3" s="126">
        <f>IF(SER_hh_fec!E3=0,0,11630*1000*SER_hh_fec!E3/SER_hh_num!E3)</f>
        <v>81652.166515796431</v>
      </c>
      <c r="F3" s="126">
        <f>IF(SER_hh_fec!F3=0,0,11630*1000*SER_hh_fec!F3/SER_hh_num!F3)</f>
        <v>80513.835481438262</v>
      </c>
      <c r="G3" s="126">
        <f>IF(SER_hh_fec!G3=0,0,11630*1000*SER_hh_fec!G3/SER_hh_num!G3)</f>
        <v>82018.033657437656</v>
      </c>
      <c r="H3" s="126">
        <f>IF(SER_hh_fec!H3=0,0,11630*1000*SER_hh_fec!H3/SER_hh_num!H3)</f>
        <v>97033.585455098699</v>
      </c>
      <c r="I3" s="126">
        <f>IF(SER_hh_fec!I3=0,0,11630*1000*SER_hh_fec!I3/SER_hh_num!I3)</f>
        <v>99337.051953199116</v>
      </c>
      <c r="J3" s="126">
        <f>IF(SER_hh_fec!J3=0,0,11630*1000*SER_hh_fec!J3/SER_hh_num!J3)</f>
        <v>109208.18293408323</v>
      </c>
      <c r="K3" s="126">
        <f>IF(SER_hh_fec!K3=0,0,11630*1000*SER_hh_fec!K3/SER_hh_num!K3)</f>
        <v>106178.32310219643</v>
      </c>
      <c r="L3" s="126">
        <f>IF(SER_hh_fec!L3=0,0,11630*1000*SER_hh_fec!L3/SER_hh_num!L3)</f>
        <v>109058.67756566299</v>
      </c>
      <c r="M3" s="126">
        <f>IF(SER_hh_fec!M3=0,0,11630*1000*SER_hh_fec!M3/SER_hh_num!M3)</f>
        <v>102224.63079452538</v>
      </c>
      <c r="N3" s="126">
        <f>IF(SER_hh_fec!N3=0,0,11630*1000*SER_hh_fec!N3/SER_hh_num!N3)</f>
        <v>87166.67987293232</v>
      </c>
      <c r="O3" s="126">
        <f>IF(SER_hh_fec!O3=0,0,11630*1000*SER_hh_fec!O3/SER_hh_num!O3)</f>
        <v>76112.956595498719</v>
      </c>
      <c r="P3" s="126">
        <f>IF(SER_hh_fec!P3=0,0,11630*1000*SER_hh_fec!P3/SER_hh_num!P3)</f>
        <v>77479.623626622386</v>
      </c>
      <c r="Q3" s="126">
        <f>IF(SER_hh_fec!Q3=0,0,11630*1000*SER_hh_fec!Q3/SER_hh_num!Q3)</f>
        <v>79331.158907258592</v>
      </c>
      <c r="R3" s="126">
        <f>IF(SER_hh_fec!R3=0,0,11630*1000*SER_hh_fec!R3/SER_hh_num!R3)</f>
        <v>85997.12051659789</v>
      </c>
      <c r="S3" s="126">
        <f>IF(SER_hh_fec!S3=0,0,11630*1000*SER_hh_fec!S3/SER_hh_num!S3)</f>
        <v>90511.247469047681</v>
      </c>
      <c r="T3" s="126">
        <f>IF(SER_hh_fec!T3=0,0,11630*1000*SER_hh_fec!T3/SER_hh_num!T3)</f>
        <v>92754.307461930628</v>
      </c>
      <c r="U3" s="126">
        <f>IF(SER_hh_fec!U3=0,0,11630*1000*SER_hh_fec!U3/SER_hh_num!U3)</f>
        <v>97027.285530351364</v>
      </c>
      <c r="V3" s="126">
        <f>IF(SER_hh_fec!V3=0,0,11630*1000*SER_hh_fec!V3/SER_hh_num!V3)</f>
        <v>77399.694449059636</v>
      </c>
      <c r="W3" s="126">
        <f>IF(SER_hh_fec!W3=0,0,11630*1000*SER_hh_fec!W3/SER_hh_num!W3)</f>
        <v>85738.422048683977</v>
      </c>
      <c r="DA3" s="155" t="s">
        <v>383</v>
      </c>
    </row>
    <row r="4" spans="1:105" ht="12.95" customHeight="1" x14ac:dyDescent="0.25">
      <c r="A4" s="130" t="s">
        <v>32</v>
      </c>
      <c r="B4" s="131">
        <f>IF(SER_hh_fec!B4=0,0,11630*1000*SER_hh_fec!B4/SER_hh_num!B4)</f>
        <v>23120.034028662256</v>
      </c>
      <c r="C4" s="131">
        <f>IF(SER_hh_fec!C4=0,0,11630*1000*SER_hh_fec!C4/SER_hh_num!C4)</f>
        <v>28177.148489227689</v>
      </c>
      <c r="D4" s="131">
        <f>IF(SER_hh_fec!D4=0,0,11630*1000*SER_hh_fec!D4/SER_hh_num!D4)</f>
        <v>32161.382132948667</v>
      </c>
      <c r="E4" s="131">
        <f>IF(SER_hh_fec!E4=0,0,11630*1000*SER_hh_fec!E4/SER_hh_num!E4)</f>
        <v>32315.901268825633</v>
      </c>
      <c r="F4" s="131">
        <f>IF(SER_hh_fec!F4=0,0,11630*1000*SER_hh_fec!F4/SER_hh_num!F4)</f>
        <v>32858.353415035803</v>
      </c>
      <c r="G4" s="131">
        <f>IF(SER_hh_fec!G4=0,0,11630*1000*SER_hh_fec!G4/SER_hh_num!G4)</f>
        <v>34676.698895927278</v>
      </c>
      <c r="H4" s="131">
        <f>IF(SER_hh_fec!H4=0,0,11630*1000*SER_hh_fec!H4/SER_hh_num!H4)</f>
        <v>47984.579128782148</v>
      </c>
      <c r="I4" s="131">
        <f>IF(SER_hh_fec!I4=0,0,11630*1000*SER_hh_fec!I4/SER_hh_num!I4)</f>
        <v>48857.103029923892</v>
      </c>
      <c r="J4" s="131">
        <f>IF(SER_hh_fec!J4=0,0,11630*1000*SER_hh_fec!J4/SER_hh_num!J4)</f>
        <v>58087.963483601146</v>
      </c>
      <c r="K4" s="131">
        <f>IF(SER_hh_fec!K4=0,0,11630*1000*SER_hh_fec!K4/SER_hh_num!K4)</f>
        <v>55935.444010913394</v>
      </c>
      <c r="L4" s="131">
        <f>IF(SER_hh_fec!L4=0,0,11630*1000*SER_hh_fec!L4/SER_hh_num!L4)</f>
        <v>58411.891133045297</v>
      </c>
      <c r="M4" s="131">
        <f>IF(SER_hh_fec!M4=0,0,11630*1000*SER_hh_fec!M4/SER_hh_num!M4)</f>
        <v>53836.995810720437</v>
      </c>
      <c r="N4" s="131">
        <f>IF(SER_hh_fec!N4=0,0,11630*1000*SER_hh_fec!N4/SER_hh_num!N4)</f>
        <v>35902.105554201684</v>
      </c>
      <c r="O4" s="131">
        <f>IF(SER_hh_fec!O4=0,0,11630*1000*SER_hh_fec!O4/SER_hh_num!O4)</f>
        <v>28106.046664856614</v>
      </c>
      <c r="P4" s="131">
        <f>IF(SER_hh_fec!P4=0,0,11630*1000*SER_hh_fec!P4/SER_hh_num!P4)</f>
        <v>31521.400899160064</v>
      </c>
      <c r="Q4" s="131">
        <f>IF(SER_hh_fec!Q4=0,0,11630*1000*SER_hh_fec!Q4/SER_hh_num!Q4)</f>
        <v>32380.238266028602</v>
      </c>
      <c r="R4" s="131">
        <f>IF(SER_hh_fec!R4=0,0,11630*1000*SER_hh_fec!R4/SER_hh_num!R4)</f>
        <v>37487.425536749048</v>
      </c>
      <c r="S4" s="131">
        <f>IF(SER_hh_fec!S4=0,0,11630*1000*SER_hh_fec!S4/SER_hh_num!S4)</f>
        <v>43336.594449278287</v>
      </c>
      <c r="T4" s="131">
        <f>IF(SER_hh_fec!T4=0,0,11630*1000*SER_hh_fec!T4/SER_hh_num!T4)</f>
        <v>41779.45901201028</v>
      </c>
      <c r="U4" s="131">
        <f>IF(SER_hh_fec!U4=0,0,11630*1000*SER_hh_fec!U4/SER_hh_num!U4)</f>
        <v>49088.770872696303</v>
      </c>
      <c r="V4" s="131">
        <f>IF(SER_hh_fec!V4=0,0,11630*1000*SER_hh_fec!V4/SER_hh_num!V4)</f>
        <v>31906.334601447583</v>
      </c>
      <c r="W4" s="131">
        <f>IF(SER_hh_fec!W4=0,0,11630*1000*SER_hh_fec!W4/SER_hh_num!W4)</f>
        <v>42323.750524586219</v>
      </c>
      <c r="DA4" s="156" t="s">
        <v>384</v>
      </c>
    </row>
    <row r="5" spans="1:105" ht="12" customHeight="1" x14ac:dyDescent="0.25">
      <c r="A5" s="132" t="s">
        <v>29</v>
      </c>
      <c r="B5" s="133">
        <f>IF(SER_hh_fec!B5=0,0,11630*1000*SER_hh_fec!B5/SER_hh_num!B5)</f>
        <v>0</v>
      </c>
      <c r="C5" s="133">
        <f>IF(SER_hh_fec!C5=0,0,11630*1000*SER_hh_fec!C5/SER_hh_num!C5)</f>
        <v>0</v>
      </c>
      <c r="D5" s="133">
        <f>IF(SER_hh_fec!D5=0,0,11630*1000*SER_hh_fec!D5/SER_hh_num!D5)</f>
        <v>0</v>
      </c>
      <c r="E5" s="133">
        <f>IF(SER_hh_fec!E5=0,0,11630*1000*SER_hh_fec!E5/SER_hh_num!E5)</f>
        <v>0</v>
      </c>
      <c r="F5" s="133">
        <f>IF(SER_hh_fec!F5=0,0,11630*1000*SER_hh_fec!F5/SER_hh_num!F5)</f>
        <v>0</v>
      </c>
      <c r="G5" s="133">
        <f>IF(SER_hh_fec!G5=0,0,11630*1000*SER_hh_fec!G5/SER_hh_num!G5)</f>
        <v>0</v>
      </c>
      <c r="H5" s="133">
        <f>IF(SER_hh_fec!H5=0,0,11630*1000*SER_hh_fec!H5/SER_hh_num!H5)</f>
        <v>0</v>
      </c>
      <c r="I5" s="133">
        <f>IF(SER_hh_fec!I5=0,0,11630*1000*SER_hh_fec!I5/SER_hh_num!I5)</f>
        <v>0</v>
      </c>
      <c r="J5" s="133">
        <f>IF(SER_hh_fec!J5=0,0,11630*1000*SER_hh_fec!J5/SER_hh_num!J5)</f>
        <v>0</v>
      </c>
      <c r="K5" s="133">
        <f>IF(SER_hh_fec!K5=0,0,11630*1000*SER_hh_fec!K5/SER_hh_num!K5)</f>
        <v>0</v>
      </c>
      <c r="L5" s="133">
        <f>IF(SER_hh_fec!L5=0,0,11630*1000*SER_hh_fec!L5/SER_hh_num!L5)</f>
        <v>0</v>
      </c>
      <c r="M5" s="133">
        <f>IF(SER_hh_fec!M5=0,0,11630*1000*SER_hh_fec!M5/SER_hh_num!M5)</f>
        <v>0</v>
      </c>
      <c r="N5" s="133">
        <f>IF(SER_hh_fec!N5=0,0,11630*1000*SER_hh_fec!N5/SER_hh_num!N5)</f>
        <v>0</v>
      </c>
      <c r="O5" s="133">
        <f>IF(SER_hh_fec!O5=0,0,11630*1000*SER_hh_fec!O5/SER_hh_num!O5)</f>
        <v>0</v>
      </c>
      <c r="P5" s="133">
        <f>IF(SER_hh_fec!P5=0,0,11630*1000*SER_hh_fec!P5/SER_hh_num!P5)</f>
        <v>0</v>
      </c>
      <c r="Q5" s="133">
        <f>IF(SER_hh_fec!Q5=0,0,11630*1000*SER_hh_fec!Q5/SER_hh_num!Q5)</f>
        <v>0</v>
      </c>
      <c r="R5" s="133">
        <f>IF(SER_hh_fec!R5=0,0,11630*1000*SER_hh_fec!R5/SER_hh_num!R5)</f>
        <v>0</v>
      </c>
      <c r="S5" s="133">
        <f>IF(SER_hh_fec!S5=0,0,11630*1000*SER_hh_fec!S5/SER_hh_num!S5)</f>
        <v>0</v>
      </c>
      <c r="T5" s="133">
        <f>IF(SER_hh_fec!T5=0,0,11630*1000*SER_hh_fec!T5/SER_hh_num!T5)</f>
        <v>0</v>
      </c>
      <c r="U5" s="133">
        <f>IF(SER_hh_fec!U5=0,0,11630*1000*SER_hh_fec!U5/SER_hh_num!U5)</f>
        <v>0</v>
      </c>
      <c r="V5" s="133">
        <f>IF(SER_hh_fec!V5=0,0,11630*1000*SER_hh_fec!V5/SER_hh_num!V5)</f>
        <v>0</v>
      </c>
      <c r="W5" s="133">
        <f>IF(SER_hh_fec!W5=0,0,11630*1000*SER_hh_fec!W5/SER_hh_num!W5)</f>
        <v>0</v>
      </c>
      <c r="DA5" s="157" t="s">
        <v>385</v>
      </c>
    </row>
    <row r="6" spans="1:105" ht="12" customHeight="1" x14ac:dyDescent="0.25">
      <c r="A6" s="132" t="s">
        <v>52</v>
      </c>
      <c r="B6" s="133">
        <f>IF(SER_hh_fec!B6=0,0,11630*1000*SER_hh_fec!B6/SER_hh_num!B6)</f>
        <v>0</v>
      </c>
      <c r="C6" s="133">
        <f>IF(SER_hh_fec!C6=0,0,11630*1000*SER_hh_fec!C6/SER_hh_num!C6)</f>
        <v>0</v>
      </c>
      <c r="D6" s="133">
        <f>IF(SER_hh_fec!D6=0,0,11630*1000*SER_hh_fec!D6/SER_hh_num!D6)</f>
        <v>0</v>
      </c>
      <c r="E6" s="133">
        <f>IF(SER_hh_fec!E6=0,0,11630*1000*SER_hh_fec!E6/SER_hh_num!E6)</f>
        <v>0</v>
      </c>
      <c r="F6" s="133">
        <f>IF(SER_hh_fec!F6=0,0,11630*1000*SER_hh_fec!F6/SER_hh_num!F6)</f>
        <v>0</v>
      </c>
      <c r="G6" s="133">
        <f>IF(SER_hh_fec!G6=0,0,11630*1000*SER_hh_fec!G6/SER_hh_num!G6)</f>
        <v>0</v>
      </c>
      <c r="H6" s="133">
        <f>IF(SER_hh_fec!H6=0,0,11630*1000*SER_hh_fec!H6/SER_hh_num!H6)</f>
        <v>0</v>
      </c>
      <c r="I6" s="133">
        <f>IF(SER_hh_fec!I6=0,0,11630*1000*SER_hh_fec!I6/SER_hh_num!I6)</f>
        <v>0</v>
      </c>
      <c r="J6" s="133">
        <f>IF(SER_hh_fec!J6=0,0,11630*1000*SER_hh_fec!J6/SER_hh_num!J6)</f>
        <v>0</v>
      </c>
      <c r="K6" s="133">
        <f>IF(SER_hh_fec!K6=0,0,11630*1000*SER_hh_fec!K6/SER_hh_num!K6)</f>
        <v>0</v>
      </c>
      <c r="L6" s="133">
        <f>IF(SER_hh_fec!L6=0,0,11630*1000*SER_hh_fec!L6/SER_hh_num!L6)</f>
        <v>0</v>
      </c>
      <c r="M6" s="133">
        <f>IF(SER_hh_fec!M6=0,0,11630*1000*SER_hh_fec!M6/SER_hh_num!M6)</f>
        <v>0</v>
      </c>
      <c r="N6" s="133">
        <f>IF(SER_hh_fec!N6=0,0,11630*1000*SER_hh_fec!N6/SER_hh_num!N6)</f>
        <v>0</v>
      </c>
      <c r="O6" s="133">
        <f>IF(SER_hh_fec!O6=0,0,11630*1000*SER_hh_fec!O6/SER_hh_num!O6)</f>
        <v>0</v>
      </c>
      <c r="P6" s="133">
        <f>IF(SER_hh_fec!P6=0,0,11630*1000*SER_hh_fec!P6/SER_hh_num!P6)</f>
        <v>0</v>
      </c>
      <c r="Q6" s="133">
        <f>IF(SER_hh_fec!Q6=0,0,11630*1000*SER_hh_fec!Q6/SER_hh_num!Q6)</f>
        <v>0</v>
      </c>
      <c r="R6" s="133">
        <f>IF(SER_hh_fec!R6=0,0,11630*1000*SER_hh_fec!R6/SER_hh_num!R6)</f>
        <v>0</v>
      </c>
      <c r="S6" s="133">
        <f>IF(SER_hh_fec!S6=0,0,11630*1000*SER_hh_fec!S6/SER_hh_num!S6)</f>
        <v>0</v>
      </c>
      <c r="T6" s="133">
        <f>IF(SER_hh_fec!T6=0,0,11630*1000*SER_hh_fec!T6/SER_hh_num!T6)</f>
        <v>0</v>
      </c>
      <c r="U6" s="133">
        <f>IF(SER_hh_fec!U6=0,0,11630*1000*SER_hh_fec!U6/SER_hh_num!U6)</f>
        <v>0</v>
      </c>
      <c r="V6" s="133">
        <f>IF(SER_hh_fec!V6=0,0,11630*1000*SER_hh_fec!V6/SER_hh_num!V6)</f>
        <v>0</v>
      </c>
      <c r="W6" s="133">
        <f>IF(SER_hh_fec!W6=0,0,11630*1000*SER_hh_fec!W6/SER_hh_num!W6)</f>
        <v>0</v>
      </c>
      <c r="DA6" s="157" t="s">
        <v>386</v>
      </c>
    </row>
    <row r="7" spans="1:105" ht="12" customHeight="1" x14ac:dyDescent="0.25">
      <c r="A7" s="132" t="s">
        <v>168</v>
      </c>
      <c r="B7" s="133">
        <f>IF(SER_hh_fec!B7=0,0,11630*1000*SER_hh_fec!B7/SER_hh_num!B7)</f>
        <v>28035.490055503487</v>
      </c>
      <c r="C7" s="133">
        <f>IF(SER_hh_fec!C7=0,0,11630*1000*SER_hh_fec!C7/SER_hh_num!C7)</f>
        <v>32940.029859546768</v>
      </c>
      <c r="D7" s="133">
        <f>IF(SER_hh_fec!D7=0,0,11630*1000*SER_hh_fec!D7/SER_hh_num!D7)</f>
        <v>37228.485488186263</v>
      </c>
      <c r="E7" s="133">
        <f>IF(SER_hh_fec!E7=0,0,11630*1000*SER_hh_fec!E7/SER_hh_num!E7)</f>
        <v>43765.864201238401</v>
      </c>
      <c r="F7" s="133">
        <f>IF(SER_hh_fec!F7=0,0,11630*1000*SER_hh_fec!F7/SER_hh_num!F7)</f>
        <v>45264.877630752664</v>
      </c>
      <c r="G7" s="133">
        <f>IF(SER_hh_fec!G7=0,0,11630*1000*SER_hh_fec!G7/SER_hh_num!G7)</f>
        <v>49554.126447295435</v>
      </c>
      <c r="H7" s="133">
        <f>IF(SER_hh_fec!H7=0,0,11630*1000*SER_hh_fec!H7/SER_hh_num!H7)</f>
        <v>64016.260014834916</v>
      </c>
      <c r="I7" s="133">
        <f>IF(SER_hh_fec!I7=0,0,11630*1000*SER_hh_fec!I7/SER_hh_num!I7)</f>
        <v>70013.662495099517</v>
      </c>
      <c r="J7" s="133">
        <f>IF(SER_hh_fec!J7=0,0,11630*1000*SER_hh_fec!J7/SER_hh_num!J7)</f>
        <v>94387.922120376898</v>
      </c>
      <c r="K7" s="133">
        <f>IF(SER_hh_fec!K7=0,0,11630*1000*SER_hh_fec!K7/SER_hh_num!K7)</f>
        <v>74966.557413072558</v>
      </c>
      <c r="L7" s="133">
        <f>IF(SER_hh_fec!L7=0,0,11630*1000*SER_hh_fec!L7/SER_hh_num!L7)</f>
        <v>83492.160065918317</v>
      </c>
      <c r="M7" s="133">
        <f>IF(SER_hh_fec!M7=0,0,11630*1000*SER_hh_fec!M7/SER_hh_num!M7)</f>
        <v>77623.976461151673</v>
      </c>
      <c r="N7" s="133">
        <f>IF(SER_hh_fec!N7=0,0,11630*1000*SER_hh_fec!N7/SER_hh_num!N7)</f>
        <v>62986.837402862009</v>
      </c>
      <c r="O7" s="133">
        <f>IF(SER_hh_fec!O7=0,0,11630*1000*SER_hh_fec!O7/SER_hh_num!O7)</f>
        <v>69373.890264567075</v>
      </c>
      <c r="P7" s="133">
        <f>IF(SER_hh_fec!P7=0,0,11630*1000*SER_hh_fec!P7/SER_hh_num!P7)</f>
        <v>73345.157703086836</v>
      </c>
      <c r="Q7" s="133">
        <f>IF(SER_hh_fec!Q7=0,0,11630*1000*SER_hh_fec!Q7/SER_hh_num!Q7)</f>
        <v>71340.728198648081</v>
      </c>
      <c r="R7" s="133">
        <f>IF(SER_hh_fec!R7=0,0,11630*1000*SER_hh_fec!R7/SER_hh_num!R7)</f>
        <v>75783.853262829332</v>
      </c>
      <c r="S7" s="133">
        <f>IF(SER_hh_fec!S7=0,0,11630*1000*SER_hh_fec!S7/SER_hh_num!S7)</f>
        <v>92457.573333980137</v>
      </c>
      <c r="T7" s="133">
        <f>IF(SER_hh_fec!T7=0,0,11630*1000*SER_hh_fec!T7/SER_hh_num!T7)</f>
        <v>85493.123970029701</v>
      </c>
      <c r="U7" s="133">
        <f>IF(SER_hh_fec!U7=0,0,11630*1000*SER_hh_fec!U7/SER_hh_num!U7)</f>
        <v>101946.73396391986</v>
      </c>
      <c r="V7" s="133">
        <f>IF(SER_hh_fec!V7=0,0,11630*1000*SER_hh_fec!V7/SER_hh_num!V7)</f>
        <v>77914.286492113781</v>
      </c>
      <c r="W7" s="133">
        <f>IF(SER_hh_fec!W7=0,0,11630*1000*SER_hh_fec!W7/SER_hh_num!W7)</f>
        <v>87239.491309338875</v>
      </c>
      <c r="DA7" s="157" t="s">
        <v>387</v>
      </c>
    </row>
    <row r="8" spans="1:105" ht="12" customHeight="1" x14ac:dyDescent="0.25">
      <c r="A8" s="132" t="s">
        <v>73</v>
      </c>
      <c r="B8" s="133">
        <f>IF(SER_hh_fec!B8=0,0,11630*1000*SER_hh_fec!B8/SER_hh_num!B8)</f>
        <v>0</v>
      </c>
      <c r="C8" s="133">
        <f>IF(SER_hh_fec!C8=0,0,11630*1000*SER_hh_fec!C8/SER_hh_num!C8)</f>
        <v>0</v>
      </c>
      <c r="D8" s="133">
        <f>IF(SER_hh_fec!D8=0,0,11630*1000*SER_hh_fec!D8/SER_hh_num!D8)</f>
        <v>0</v>
      </c>
      <c r="E8" s="133">
        <f>IF(SER_hh_fec!E8=0,0,11630*1000*SER_hh_fec!E8/SER_hh_num!E8)</f>
        <v>0</v>
      </c>
      <c r="F8" s="133">
        <f>IF(SER_hh_fec!F8=0,0,11630*1000*SER_hh_fec!F8/SER_hh_num!F8)</f>
        <v>0</v>
      </c>
      <c r="G8" s="133">
        <f>IF(SER_hh_fec!G8=0,0,11630*1000*SER_hh_fec!G8/SER_hh_num!G8)</f>
        <v>0</v>
      </c>
      <c r="H8" s="133">
        <f>IF(SER_hh_fec!H8=0,0,11630*1000*SER_hh_fec!H8/SER_hh_num!H8)</f>
        <v>0</v>
      </c>
      <c r="I8" s="133">
        <f>IF(SER_hh_fec!I8=0,0,11630*1000*SER_hh_fec!I8/SER_hh_num!I8)</f>
        <v>0</v>
      </c>
      <c r="J8" s="133">
        <f>IF(SER_hh_fec!J8=0,0,11630*1000*SER_hh_fec!J8/SER_hh_num!J8)</f>
        <v>0</v>
      </c>
      <c r="K8" s="133">
        <f>IF(SER_hh_fec!K8=0,0,11630*1000*SER_hh_fec!K8/SER_hh_num!K8)</f>
        <v>0</v>
      </c>
      <c r="L8" s="133">
        <f>IF(SER_hh_fec!L8=0,0,11630*1000*SER_hh_fec!L8/SER_hh_num!L8)</f>
        <v>0</v>
      </c>
      <c r="M8" s="133">
        <f>IF(SER_hh_fec!M8=0,0,11630*1000*SER_hh_fec!M8/SER_hh_num!M8)</f>
        <v>0</v>
      </c>
      <c r="N8" s="133">
        <f>IF(SER_hh_fec!N8=0,0,11630*1000*SER_hh_fec!N8/SER_hh_num!N8)</f>
        <v>0</v>
      </c>
      <c r="O8" s="133">
        <f>IF(SER_hh_fec!O8=0,0,11630*1000*SER_hh_fec!O8/SER_hh_num!O8)</f>
        <v>0</v>
      </c>
      <c r="P8" s="133">
        <f>IF(SER_hh_fec!P8=0,0,11630*1000*SER_hh_fec!P8/SER_hh_num!P8)</f>
        <v>0</v>
      </c>
      <c r="Q8" s="133">
        <f>IF(SER_hh_fec!Q8=0,0,11630*1000*SER_hh_fec!Q8/SER_hh_num!Q8)</f>
        <v>0</v>
      </c>
      <c r="R8" s="133">
        <f>IF(SER_hh_fec!R8=0,0,11630*1000*SER_hh_fec!R8/SER_hh_num!R8)</f>
        <v>0</v>
      </c>
      <c r="S8" s="133">
        <f>IF(SER_hh_fec!S8=0,0,11630*1000*SER_hh_fec!S8/SER_hh_num!S8)</f>
        <v>0</v>
      </c>
      <c r="T8" s="133">
        <f>IF(SER_hh_fec!T8=0,0,11630*1000*SER_hh_fec!T8/SER_hh_num!T8)</f>
        <v>0</v>
      </c>
      <c r="U8" s="133">
        <f>IF(SER_hh_fec!U8=0,0,11630*1000*SER_hh_fec!U8/SER_hh_num!U8)</f>
        <v>0</v>
      </c>
      <c r="V8" s="133">
        <f>IF(SER_hh_fec!V8=0,0,11630*1000*SER_hh_fec!V8/SER_hh_num!V8)</f>
        <v>0</v>
      </c>
      <c r="W8" s="133">
        <f>IF(SER_hh_fec!W8=0,0,11630*1000*SER_hh_fec!W8/SER_hh_num!W8)</f>
        <v>0</v>
      </c>
      <c r="DA8" s="157" t="s">
        <v>388</v>
      </c>
    </row>
    <row r="9" spans="1:105" ht="12" customHeight="1" x14ac:dyDescent="0.25">
      <c r="A9" s="132" t="s">
        <v>78</v>
      </c>
      <c r="B9" s="133">
        <f>IF(SER_hh_fec!B9=0,0,11630*1000*SER_hh_fec!B9/SER_hh_num!B9)</f>
        <v>0</v>
      </c>
      <c r="C9" s="133">
        <f>IF(SER_hh_fec!C9=0,0,11630*1000*SER_hh_fec!C9/SER_hh_num!C9)</f>
        <v>0</v>
      </c>
      <c r="D9" s="133">
        <f>IF(SER_hh_fec!D9=0,0,11630*1000*SER_hh_fec!D9/SER_hh_num!D9)</f>
        <v>0</v>
      </c>
      <c r="E9" s="133">
        <f>IF(SER_hh_fec!E9=0,0,11630*1000*SER_hh_fec!E9/SER_hh_num!E9)</f>
        <v>0</v>
      </c>
      <c r="F9" s="133">
        <f>IF(SER_hh_fec!F9=0,0,11630*1000*SER_hh_fec!F9/SER_hh_num!F9)</f>
        <v>0</v>
      </c>
      <c r="G9" s="133">
        <f>IF(SER_hh_fec!G9=0,0,11630*1000*SER_hh_fec!G9/SER_hh_num!G9)</f>
        <v>0</v>
      </c>
      <c r="H9" s="133">
        <f>IF(SER_hh_fec!H9=0,0,11630*1000*SER_hh_fec!H9/SER_hh_num!H9)</f>
        <v>0</v>
      </c>
      <c r="I9" s="133">
        <f>IF(SER_hh_fec!I9=0,0,11630*1000*SER_hh_fec!I9/SER_hh_num!I9)</f>
        <v>0</v>
      </c>
      <c r="J9" s="133">
        <f>IF(SER_hh_fec!J9=0,0,11630*1000*SER_hh_fec!J9/SER_hh_num!J9)</f>
        <v>0</v>
      </c>
      <c r="K9" s="133">
        <f>IF(SER_hh_fec!K9=0,0,11630*1000*SER_hh_fec!K9/SER_hh_num!K9)</f>
        <v>60288.337376683055</v>
      </c>
      <c r="L9" s="133">
        <f>IF(SER_hh_fec!L9=0,0,11630*1000*SER_hh_fec!L9/SER_hh_num!L9)</f>
        <v>50147.294056458944</v>
      </c>
      <c r="M9" s="133">
        <f>IF(SER_hh_fec!M9=0,0,11630*1000*SER_hh_fec!M9/SER_hh_num!M9)</f>
        <v>41257.56684196242</v>
      </c>
      <c r="N9" s="133">
        <f>IF(SER_hh_fec!N9=0,0,11630*1000*SER_hh_fec!N9/SER_hh_num!N9)</f>
        <v>39546.040242693714</v>
      </c>
      <c r="O9" s="133">
        <f>IF(SER_hh_fec!O9=0,0,11630*1000*SER_hh_fec!O9/SER_hh_num!O9)</f>
        <v>40791.593389591733</v>
      </c>
      <c r="P9" s="133">
        <f>IF(SER_hh_fec!P9=0,0,11630*1000*SER_hh_fec!P9/SER_hh_num!P9)</f>
        <v>44390.842501790226</v>
      </c>
      <c r="Q9" s="133">
        <f>IF(SER_hh_fec!Q9=0,0,11630*1000*SER_hh_fec!Q9/SER_hh_num!Q9)</f>
        <v>44365.811899044566</v>
      </c>
      <c r="R9" s="133">
        <f>IF(SER_hh_fec!R9=0,0,11630*1000*SER_hh_fec!R9/SER_hh_num!R9)</f>
        <v>46972.794536027002</v>
      </c>
      <c r="S9" s="133">
        <f>IF(SER_hh_fec!S9=0,0,11630*1000*SER_hh_fec!S9/SER_hh_num!S9)</f>
        <v>36894.950859972923</v>
      </c>
      <c r="T9" s="133">
        <f>IF(SER_hh_fec!T9=0,0,11630*1000*SER_hh_fec!T9/SER_hh_num!T9)</f>
        <v>74994.098742787362</v>
      </c>
      <c r="U9" s="133">
        <f>IF(SER_hh_fec!U9=0,0,11630*1000*SER_hh_fec!U9/SER_hh_num!U9)</f>
        <v>84724.648593874168</v>
      </c>
      <c r="V9" s="133">
        <f>IF(SER_hh_fec!V9=0,0,11630*1000*SER_hh_fec!V9/SER_hh_num!V9)</f>
        <v>31944.203024454015</v>
      </c>
      <c r="W9" s="133">
        <f>IF(SER_hh_fec!W9=0,0,11630*1000*SER_hh_fec!W9/SER_hh_num!W9)</f>
        <v>37578.314048680077</v>
      </c>
      <c r="DA9" s="157" t="s">
        <v>389</v>
      </c>
    </row>
    <row r="10" spans="1:105" ht="12" customHeight="1" x14ac:dyDescent="0.25">
      <c r="A10" s="132" t="s">
        <v>128</v>
      </c>
      <c r="B10" s="133">
        <f>IF(SER_hh_fec!B10=0,0,11630*1000*SER_hh_fec!B10/SER_hh_num!B10)</f>
        <v>0</v>
      </c>
      <c r="C10" s="133">
        <f>IF(SER_hh_fec!C10=0,0,11630*1000*SER_hh_fec!C10/SER_hh_num!C10)</f>
        <v>0</v>
      </c>
      <c r="D10" s="133">
        <f>IF(SER_hh_fec!D10=0,0,11630*1000*SER_hh_fec!D10/SER_hh_num!D10)</f>
        <v>0</v>
      </c>
      <c r="E10" s="133">
        <f>IF(SER_hh_fec!E10=0,0,11630*1000*SER_hh_fec!E10/SER_hh_num!E10)</f>
        <v>0</v>
      </c>
      <c r="F10" s="133">
        <f>IF(SER_hh_fec!F10=0,0,11630*1000*SER_hh_fec!F10/SER_hh_num!F10)</f>
        <v>0</v>
      </c>
      <c r="G10" s="133">
        <f>IF(SER_hh_fec!G10=0,0,11630*1000*SER_hh_fec!G10/SER_hh_num!G10)</f>
        <v>0</v>
      </c>
      <c r="H10" s="133">
        <f>IF(SER_hh_fec!H10=0,0,11630*1000*SER_hh_fec!H10/SER_hh_num!H10)</f>
        <v>0</v>
      </c>
      <c r="I10" s="133">
        <f>IF(SER_hh_fec!I10=0,0,11630*1000*SER_hh_fec!I10/SER_hh_num!I10)</f>
        <v>40207.901744624876</v>
      </c>
      <c r="J10" s="133">
        <f>IF(SER_hh_fec!J10=0,0,11630*1000*SER_hh_fec!J10/SER_hh_num!J10)</f>
        <v>105815.93885968666</v>
      </c>
      <c r="K10" s="133">
        <f>IF(SER_hh_fec!K10=0,0,11630*1000*SER_hh_fec!K10/SER_hh_num!K10)</f>
        <v>123719.92660735105</v>
      </c>
      <c r="L10" s="133">
        <f>IF(SER_hh_fec!L10=0,0,11630*1000*SER_hh_fec!L10/SER_hh_num!L10)</f>
        <v>35926.935300084842</v>
      </c>
      <c r="M10" s="133">
        <f>IF(SER_hh_fec!M10=0,0,11630*1000*SER_hh_fec!M10/SER_hh_num!M10)</f>
        <v>61898.721593452341</v>
      </c>
      <c r="N10" s="133">
        <f>IF(SER_hh_fec!N10=0,0,11630*1000*SER_hh_fec!N10/SER_hh_num!N10)</f>
        <v>80436.300068887853</v>
      </c>
      <c r="O10" s="133">
        <f>IF(SER_hh_fec!O10=0,0,11630*1000*SER_hh_fec!O10/SER_hh_num!O10)</f>
        <v>62923.380742441521</v>
      </c>
      <c r="P10" s="133">
        <f>IF(SER_hh_fec!P10=0,0,11630*1000*SER_hh_fec!P10/SER_hh_num!P10)</f>
        <v>50811.053520528658</v>
      </c>
      <c r="Q10" s="133">
        <f>IF(SER_hh_fec!Q10=0,0,11630*1000*SER_hh_fec!Q10/SER_hh_num!Q10)</f>
        <v>107631.82680434397</v>
      </c>
      <c r="R10" s="133">
        <f>IF(SER_hh_fec!R10=0,0,11630*1000*SER_hh_fec!R10/SER_hh_num!R10)</f>
        <v>81660.628350790779</v>
      </c>
      <c r="S10" s="133">
        <f>IF(SER_hh_fec!S10=0,0,11630*1000*SER_hh_fec!S10/SER_hh_num!S10)</f>
        <v>117587.23979796396</v>
      </c>
      <c r="T10" s="133">
        <f>IF(SER_hh_fec!T10=0,0,11630*1000*SER_hh_fec!T10/SER_hh_num!T10)</f>
        <v>88368.572745212659</v>
      </c>
      <c r="U10" s="133">
        <f>IF(SER_hh_fec!U10=0,0,11630*1000*SER_hh_fec!U10/SER_hh_num!U10)</f>
        <v>63201.534818211068</v>
      </c>
      <c r="V10" s="133">
        <f>IF(SER_hh_fec!V10=0,0,11630*1000*SER_hh_fec!V10/SER_hh_num!V10)</f>
        <v>56839.536832749087</v>
      </c>
      <c r="W10" s="133">
        <f>IF(SER_hh_fec!W10=0,0,11630*1000*SER_hh_fec!W10/SER_hh_num!W10)</f>
        <v>173522.50649072212</v>
      </c>
      <c r="DA10" s="157" t="s">
        <v>390</v>
      </c>
    </row>
    <row r="11" spans="1:105" ht="12" customHeight="1" x14ac:dyDescent="0.25">
      <c r="A11" s="132" t="s">
        <v>25</v>
      </c>
      <c r="B11" s="133">
        <f>IF(SER_hh_fec!B11=0,0,11630*1000*SER_hh_fec!B11/SER_hh_num!B11)</f>
        <v>0</v>
      </c>
      <c r="C11" s="133">
        <f>IF(SER_hh_fec!C11=0,0,11630*1000*SER_hh_fec!C11/SER_hh_num!C11)</f>
        <v>0</v>
      </c>
      <c r="D11" s="133">
        <f>IF(SER_hh_fec!D11=0,0,11630*1000*SER_hh_fec!D11/SER_hh_num!D11)</f>
        <v>0</v>
      </c>
      <c r="E11" s="133">
        <f>IF(SER_hh_fec!E11=0,0,11630*1000*SER_hh_fec!E11/SER_hh_num!E11)</f>
        <v>0</v>
      </c>
      <c r="F11" s="133">
        <f>IF(SER_hh_fec!F11=0,0,11630*1000*SER_hh_fec!F11/SER_hh_num!F11)</f>
        <v>0</v>
      </c>
      <c r="G11" s="133">
        <f>IF(SER_hh_fec!G11=0,0,11630*1000*SER_hh_fec!G11/SER_hh_num!G11)</f>
        <v>0</v>
      </c>
      <c r="H11" s="133">
        <f>IF(SER_hh_fec!H11=0,0,11630*1000*SER_hh_fec!H11/SER_hh_num!H11)</f>
        <v>0</v>
      </c>
      <c r="I11" s="133">
        <f>IF(SER_hh_fec!I11=0,0,11630*1000*SER_hh_fec!I11/SER_hh_num!I11)</f>
        <v>0</v>
      </c>
      <c r="J11" s="133">
        <f>IF(SER_hh_fec!J11=0,0,11630*1000*SER_hh_fec!J11/SER_hh_num!J11)</f>
        <v>0</v>
      </c>
      <c r="K11" s="133">
        <f>IF(SER_hh_fec!K11=0,0,11630*1000*SER_hh_fec!K11/SER_hh_num!K11)</f>
        <v>0</v>
      </c>
      <c r="L11" s="133">
        <f>IF(SER_hh_fec!L11=0,0,11630*1000*SER_hh_fec!L11/SER_hh_num!L11)</f>
        <v>0</v>
      </c>
      <c r="M11" s="133">
        <f>IF(SER_hh_fec!M11=0,0,11630*1000*SER_hh_fec!M11/SER_hh_num!M11)</f>
        <v>0</v>
      </c>
      <c r="N11" s="133">
        <f>IF(SER_hh_fec!N11=0,0,11630*1000*SER_hh_fec!N11/SER_hh_num!N11)</f>
        <v>0</v>
      </c>
      <c r="O11" s="133">
        <f>IF(SER_hh_fec!O11=0,0,11630*1000*SER_hh_fec!O11/SER_hh_num!O11)</f>
        <v>0</v>
      </c>
      <c r="P11" s="133">
        <f>IF(SER_hh_fec!P11=0,0,11630*1000*SER_hh_fec!P11/SER_hh_num!P11)</f>
        <v>0</v>
      </c>
      <c r="Q11" s="133">
        <f>IF(SER_hh_fec!Q11=0,0,11630*1000*SER_hh_fec!Q11/SER_hh_num!Q11)</f>
        <v>0</v>
      </c>
      <c r="R11" s="133">
        <f>IF(SER_hh_fec!R11=0,0,11630*1000*SER_hh_fec!R11/SER_hh_num!R11)</f>
        <v>0</v>
      </c>
      <c r="S11" s="133">
        <f>IF(SER_hh_fec!S11=0,0,11630*1000*SER_hh_fec!S11/SER_hh_num!S11)</f>
        <v>0</v>
      </c>
      <c r="T11" s="133">
        <f>IF(SER_hh_fec!T11=0,0,11630*1000*SER_hh_fec!T11/SER_hh_num!T11)</f>
        <v>0</v>
      </c>
      <c r="U11" s="133">
        <f>IF(SER_hh_fec!U11=0,0,11630*1000*SER_hh_fec!U11/SER_hh_num!U11)</f>
        <v>0</v>
      </c>
      <c r="V11" s="133">
        <f>IF(SER_hh_fec!V11=0,0,11630*1000*SER_hh_fec!V11/SER_hh_num!V11)</f>
        <v>0</v>
      </c>
      <c r="W11" s="133">
        <f>IF(SER_hh_fec!W11=0,0,11630*1000*SER_hh_fec!W11/SER_hh_num!W11)</f>
        <v>0</v>
      </c>
      <c r="DA11" s="157" t="s">
        <v>391</v>
      </c>
    </row>
    <row r="12" spans="1:105" ht="12" customHeight="1" x14ac:dyDescent="0.25">
      <c r="A12" s="132" t="s">
        <v>169</v>
      </c>
      <c r="B12" s="133">
        <f>IF(SER_hh_fec!B12=0,0,11630*1000*SER_hh_fec!B12/SER_hh_num!B12)</f>
        <v>0</v>
      </c>
      <c r="C12" s="133">
        <f>IF(SER_hh_fec!C12=0,0,11630*1000*SER_hh_fec!C12/SER_hh_num!C12)</f>
        <v>0</v>
      </c>
      <c r="D12" s="133">
        <f>IF(SER_hh_fec!D12=0,0,11630*1000*SER_hh_fec!D12/SER_hh_num!D12)</f>
        <v>0</v>
      </c>
      <c r="E12" s="133">
        <f>IF(SER_hh_fec!E12=0,0,11630*1000*SER_hh_fec!E12/SER_hh_num!E12)</f>
        <v>0</v>
      </c>
      <c r="F12" s="133">
        <f>IF(SER_hh_fec!F12=0,0,11630*1000*SER_hh_fec!F12/SER_hh_num!F12)</f>
        <v>0</v>
      </c>
      <c r="G12" s="133">
        <f>IF(SER_hh_fec!G12=0,0,11630*1000*SER_hh_fec!G12/SER_hh_num!G12)</f>
        <v>0</v>
      </c>
      <c r="H12" s="133">
        <f>IF(SER_hh_fec!H12=0,0,11630*1000*SER_hh_fec!H12/SER_hh_num!H12)</f>
        <v>0</v>
      </c>
      <c r="I12" s="133">
        <f>IF(SER_hh_fec!I12=0,0,11630*1000*SER_hh_fec!I12/SER_hh_num!I12)</f>
        <v>0</v>
      </c>
      <c r="J12" s="133">
        <f>IF(SER_hh_fec!J12=0,0,11630*1000*SER_hh_fec!J12/SER_hh_num!J12)</f>
        <v>0</v>
      </c>
      <c r="K12" s="133">
        <f>IF(SER_hh_fec!K12=0,0,11630*1000*SER_hh_fec!K12/SER_hh_num!K12)</f>
        <v>0</v>
      </c>
      <c r="L12" s="133">
        <f>IF(SER_hh_fec!L12=0,0,11630*1000*SER_hh_fec!L12/SER_hh_num!L12)</f>
        <v>0</v>
      </c>
      <c r="M12" s="133">
        <f>IF(SER_hh_fec!M12=0,0,11630*1000*SER_hh_fec!M12/SER_hh_num!M12)</f>
        <v>0</v>
      </c>
      <c r="N12" s="133">
        <f>IF(SER_hh_fec!N12=0,0,11630*1000*SER_hh_fec!N12/SER_hh_num!N12)</f>
        <v>0</v>
      </c>
      <c r="O12" s="133">
        <f>IF(SER_hh_fec!O12=0,0,11630*1000*SER_hh_fec!O12/SER_hh_num!O12)</f>
        <v>0</v>
      </c>
      <c r="P12" s="133">
        <f>IF(SER_hh_fec!P12=0,0,11630*1000*SER_hh_fec!P12/SER_hh_num!P12)</f>
        <v>0</v>
      </c>
      <c r="Q12" s="133">
        <f>IF(SER_hh_fec!Q12=0,0,11630*1000*SER_hh_fec!Q12/SER_hh_num!Q12)</f>
        <v>0</v>
      </c>
      <c r="R12" s="133">
        <f>IF(SER_hh_fec!R12=0,0,11630*1000*SER_hh_fec!R12/SER_hh_num!R12)</f>
        <v>0</v>
      </c>
      <c r="S12" s="133">
        <f>IF(SER_hh_fec!S12=0,0,11630*1000*SER_hh_fec!S12/SER_hh_num!S12)</f>
        <v>0</v>
      </c>
      <c r="T12" s="133">
        <f>IF(SER_hh_fec!T12=0,0,11630*1000*SER_hh_fec!T12/SER_hh_num!T12)</f>
        <v>0</v>
      </c>
      <c r="U12" s="133">
        <f>IF(SER_hh_fec!U12=0,0,11630*1000*SER_hh_fec!U12/SER_hh_num!U12)</f>
        <v>0</v>
      </c>
      <c r="V12" s="133">
        <f>IF(SER_hh_fec!V12=0,0,11630*1000*SER_hh_fec!V12/SER_hh_num!V12)</f>
        <v>0</v>
      </c>
      <c r="W12" s="133">
        <f>IF(SER_hh_fec!W12=0,0,11630*1000*SER_hh_fec!W12/SER_hh_num!W12)</f>
        <v>0</v>
      </c>
      <c r="DA12" s="157" t="s">
        <v>392</v>
      </c>
    </row>
    <row r="13" spans="1:105" ht="12" customHeight="1" x14ac:dyDescent="0.25">
      <c r="A13" s="132" t="s">
        <v>77</v>
      </c>
      <c r="B13" s="133">
        <f>IF(SER_hh_fec!B13=0,0,11630*1000*SER_hh_fec!B13/SER_hh_num!B13)</f>
        <v>5603.2209304061043</v>
      </c>
      <c r="C13" s="133">
        <f>IF(SER_hh_fec!C13=0,0,11630*1000*SER_hh_fec!C13/SER_hh_num!C13)</f>
        <v>10731.783478269712</v>
      </c>
      <c r="D13" s="133">
        <f>IF(SER_hh_fec!D13=0,0,11630*1000*SER_hh_fec!D13/SER_hh_num!D13)</f>
        <v>10919.534535387291</v>
      </c>
      <c r="E13" s="133">
        <f>IF(SER_hh_fec!E13=0,0,11630*1000*SER_hh_fec!E13/SER_hh_num!E13)</f>
        <v>10724.340985227729</v>
      </c>
      <c r="F13" s="133">
        <f>IF(SER_hh_fec!F13=0,0,11630*1000*SER_hh_fec!F13/SER_hh_num!F13)</f>
        <v>11784.230890489656</v>
      </c>
      <c r="G13" s="133">
        <f>IF(SER_hh_fec!G13=0,0,11630*1000*SER_hh_fec!G13/SER_hh_num!G13)</f>
        <v>13734.55089931658</v>
      </c>
      <c r="H13" s="133">
        <f>IF(SER_hh_fec!H13=0,0,11630*1000*SER_hh_fec!H13/SER_hh_num!H13)</f>
        <v>15781.124143071396</v>
      </c>
      <c r="I13" s="133">
        <f>IF(SER_hh_fec!I13=0,0,11630*1000*SER_hh_fec!I13/SER_hh_num!I13)</f>
        <v>17340.750612942022</v>
      </c>
      <c r="J13" s="133">
        <f>IF(SER_hh_fec!J13=0,0,11630*1000*SER_hh_fec!J13/SER_hh_num!J13)</f>
        <v>17851.356285751026</v>
      </c>
      <c r="K13" s="133">
        <f>IF(SER_hh_fec!K13=0,0,11630*1000*SER_hh_fec!K13/SER_hh_num!K13)</f>
        <v>18845.670164000603</v>
      </c>
      <c r="L13" s="133">
        <f>IF(SER_hh_fec!L13=0,0,11630*1000*SER_hh_fec!L13/SER_hh_num!L13)</f>
        <v>15633.092730802297</v>
      </c>
      <c r="M13" s="133">
        <f>IF(SER_hh_fec!M13=0,0,11630*1000*SER_hh_fec!M13/SER_hh_num!M13)</f>
        <v>12383.173111404889</v>
      </c>
      <c r="N13" s="133">
        <f>IF(SER_hh_fec!N13=0,0,11630*1000*SER_hh_fec!N13/SER_hh_num!N13)</f>
        <v>11503.570196615141</v>
      </c>
      <c r="O13" s="133">
        <f>IF(SER_hh_fec!O13=0,0,11630*1000*SER_hh_fec!O13/SER_hh_num!O13)</f>
        <v>15573.634382671142</v>
      </c>
      <c r="P13" s="133">
        <f>IF(SER_hh_fec!P13=0,0,11630*1000*SER_hh_fec!P13/SER_hh_num!P13)</f>
        <v>14236.939178529788</v>
      </c>
      <c r="Q13" s="133">
        <f>IF(SER_hh_fec!Q13=0,0,11630*1000*SER_hh_fec!Q13/SER_hh_num!Q13)</f>
        <v>15353.486231638992</v>
      </c>
      <c r="R13" s="133">
        <f>IF(SER_hh_fec!R13=0,0,11630*1000*SER_hh_fec!R13/SER_hh_num!R13)</f>
        <v>14995.918957457507</v>
      </c>
      <c r="S13" s="133">
        <f>IF(SER_hh_fec!S13=0,0,11630*1000*SER_hh_fec!S13/SER_hh_num!S13)</f>
        <v>14920.178704014881</v>
      </c>
      <c r="T13" s="133">
        <f>IF(SER_hh_fec!T13=0,0,11630*1000*SER_hh_fec!T13/SER_hh_num!T13)</f>
        <v>14859.439890662936</v>
      </c>
      <c r="U13" s="133">
        <f>IF(SER_hh_fec!U13=0,0,11630*1000*SER_hh_fec!U13/SER_hh_num!U13)</f>
        <v>15106.714283544754</v>
      </c>
      <c r="V13" s="133">
        <f>IF(SER_hh_fec!V13=0,0,11630*1000*SER_hh_fec!V13/SER_hh_num!V13)</f>
        <v>13426.322972510248</v>
      </c>
      <c r="W13" s="133">
        <f>IF(SER_hh_fec!W13=0,0,11630*1000*SER_hh_fec!W13/SER_hh_num!W13)</f>
        <v>13329.137733630914</v>
      </c>
      <c r="DA13" s="157" t="s">
        <v>393</v>
      </c>
    </row>
    <row r="14" spans="1:105" ht="12" customHeight="1" x14ac:dyDescent="0.25">
      <c r="A14" s="60" t="s">
        <v>76</v>
      </c>
      <c r="B14" s="65">
        <f>IF(SER_hh_fec!B14=0,0,11630*1000*SER_hh_fec!B14/SER_hh_num!B14)</f>
        <v>14913.275100911993</v>
      </c>
      <c r="C14" s="65">
        <f>IF(SER_hh_fec!C14=0,0,11630*1000*SER_hh_fec!C14/SER_hh_num!C14)</f>
        <v>23609.058076708665</v>
      </c>
      <c r="D14" s="65">
        <f>IF(SER_hh_fec!D14=0,0,11630*1000*SER_hh_fec!D14/SER_hh_num!D14)</f>
        <v>30219.82085551554</v>
      </c>
      <c r="E14" s="65">
        <f>IF(SER_hh_fec!E14=0,0,11630*1000*SER_hh_fec!E14/SER_hh_num!E14)</f>
        <v>27585.398258386303</v>
      </c>
      <c r="F14" s="65">
        <f>IF(SER_hh_fec!F14=0,0,11630*1000*SER_hh_fec!F14/SER_hh_num!F14)</f>
        <v>29917.708665353122</v>
      </c>
      <c r="G14" s="65">
        <f>IF(SER_hh_fec!G14=0,0,11630*1000*SER_hh_fec!G14/SER_hh_num!G14)</f>
        <v>32346.341334537894</v>
      </c>
      <c r="H14" s="65">
        <f>IF(SER_hh_fec!H14=0,0,11630*1000*SER_hh_fec!H14/SER_hh_num!H14)</f>
        <v>48759.081519016472</v>
      </c>
      <c r="I14" s="65">
        <f>IF(SER_hh_fec!I14=0,0,11630*1000*SER_hh_fec!I14/SER_hh_num!I14)</f>
        <v>48406.578904285765</v>
      </c>
      <c r="J14" s="65">
        <f>IF(SER_hh_fec!J14=0,0,11630*1000*SER_hh_fec!J14/SER_hh_num!J14)</f>
        <v>53782.973680880459</v>
      </c>
      <c r="K14" s="65">
        <f>IF(SER_hh_fec!K14=0,0,11630*1000*SER_hh_fec!K14/SER_hh_num!K14)</f>
        <v>58346.72282388436</v>
      </c>
      <c r="L14" s="65">
        <f>IF(SER_hh_fec!L14=0,0,11630*1000*SER_hh_fec!L14/SER_hh_num!L14)</f>
        <v>64380.789546468972</v>
      </c>
      <c r="M14" s="65">
        <f>IF(SER_hh_fec!M14=0,0,11630*1000*SER_hh_fec!M14/SER_hh_num!M14)</f>
        <v>68543.368973096425</v>
      </c>
      <c r="N14" s="65">
        <f>IF(SER_hh_fec!N14=0,0,11630*1000*SER_hh_fec!N14/SER_hh_num!N14)</f>
        <v>49616.377595629907</v>
      </c>
      <c r="O14" s="65">
        <f>IF(SER_hh_fec!O14=0,0,11630*1000*SER_hh_fec!O14/SER_hh_num!O14)</f>
        <v>17701.342423207105</v>
      </c>
      <c r="P14" s="65">
        <f>IF(SER_hh_fec!P14=0,0,11630*1000*SER_hh_fec!P14/SER_hh_num!P14)</f>
        <v>50507.771834003819</v>
      </c>
      <c r="Q14" s="65">
        <f>IF(SER_hh_fec!Q14=0,0,11630*1000*SER_hh_fec!Q14/SER_hh_num!Q14)</f>
        <v>54456.020772450749</v>
      </c>
      <c r="R14" s="65">
        <f>IF(SER_hh_fec!R14=0,0,11630*1000*SER_hh_fec!R14/SER_hh_num!R14)</f>
        <v>83930.667920016145</v>
      </c>
      <c r="S14" s="65">
        <f>IF(SER_hh_fec!S14=0,0,11630*1000*SER_hh_fec!S14/SER_hh_num!S14)</f>
        <v>102172.14681085054</v>
      </c>
      <c r="T14" s="65">
        <f>IF(SER_hh_fec!T14=0,0,11630*1000*SER_hh_fec!T14/SER_hh_num!T14)</f>
        <v>103114.0343048559</v>
      </c>
      <c r="U14" s="65">
        <f>IF(SER_hh_fec!U14=0,0,11630*1000*SER_hh_fec!U14/SER_hh_num!U14)</f>
        <v>128984.03454682257</v>
      </c>
      <c r="V14" s="65">
        <f>IF(SER_hh_fec!V14=0,0,11630*1000*SER_hh_fec!V14/SER_hh_num!V14)</f>
        <v>59413.333938483287</v>
      </c>
      <c r="W14" s="65">
        <f>IF(SER_hh_fec!W14=0,0,11630*1000*SER_hh_fec!W14/SER_hh_num!W14)</f>
        <v>105915.94510942558</v>
      </c>
      <c r="DA14" s="109" t="s">
        <v>394</v>
      </c>
    </row>
    <row r="15" spans="1:105" ht="12" customHeight="1" x14ac:dyDescent="0.25">
      <c r="A15" s="134" t="s">
        <v>80</v>
      </c>
      <c r="B15" s="135">
        <f>IF(SER_hh_fec!B15=0,0,11630*1000*SER_hh_fec!B15/SER_hh_num!B15)</f>
        <v>217.93119909455791</v>
      </c>
      <c r="C15" s="135">
        <f>IF(SER_hh_fec!C15=0,0,11630*1000*SER_hh_fec!C15/SER_hh_num!C15)</f>
        <v>250.73242312202106</v>
      </c>
      <c r="D15" s="135">
        <f>IF(SER_hh_fec!D15=0,0,11630*1000*SER_hh_fec!D15/SER_hh_num!D15)</f>
        <v>277.76124019272163</v>
      </c>
      <c r="E15" s="135">
        <f>IF(SER_hh_fec!E15=0,0,11630*1000*SER_hh_fec!E15/SER_hh_num!E15)</f>
        <v>320.3878651180388</v>
      </c>
      <c r="F15" s="135">
        <f>IF(SER_hh_fec!F15=0,0,11630*1000*SER_hh_fec!F15/SER_hh_num!F15)</f>
        <v>325.4473119331879</v>
      </c>
      <c r="G15" s="135">
        <f>IF(SER_hh_fec!G15=0,0,11630*1000*SER_hh_fec!G15/SER_hh_num!G15)</f>
        <v>350.27767847591929</v>
      </c>
      <c r="H15" s="135">
        <f>IF(SER_hh_fec!H15=0,0,11630*1000*SER_hh_fec!H15/SER_hh_num!H15)</f>
        <v>445.31851035047072</v>
      </c>
      <c r="I15" s="135">
        <f>IF(SER_hh_fec!I15=0,0,11630*1000*SER_hh_fec!I15/SER_hh_num!I15)</f>
        <v>472.78042197802773</v>
      </c>
      <c r="J15" s="135">
        <f>IF(SER_hh_fec!J15=0,0,11630*1000*SER_hh_fec!J15/SER_hh_num!J15)</f>
        <v>642.68898866152188</v>
      </c>
      <c r="K15" s="135">
        <f>IF(SER_hh_fec!K15=0,0,11630*1000*SER_hh_fec!K15/SER_hh_num!K15)</f>
        <v>530.90521771030672</v>
      </c>
      <c r="L15" s="135">
        <f>IF(SER_hh_fec!L15=0,0,11630*1000*SER_hh_fec!L15/SER_hh_num!L15)</f>
        <v>598.59899927790605</v>
      </c>
      <c r="M15" s="135">
        <f>IF(SER_hh_fec!M15=0,0,11630*1000*SER_hh_fec!M15/SER_hh_num!M15)</f>
        <v>586.41247086063788</v>
      </c>
      <c r="N15" s="135">
        <f>IF(SER_hh_fec!N15=0,0,11630*1000*SER_hh_fec!N15/SER_hh_num!N15)</f>
        <v>508.50698474967135</v>
      </c>
      <c r="O15" s="135">
        <f>IF(SER_hh_fec!O15=0,0,11630*1000*SER_hh_fec!O15/SER_hh_num!O15)</f>
        <v>580.17915981498459</v>
      </c>
      <c r="P15" s="135">
        <f>IF(SER_hh_fec!P15=0,0,11630*1000*SER_hh_fec!P15/SER_hh_num!P15)</f>
        <v>601.77124125550995</v>
      </c>
      <c r="Q15" s="135">
        <f>IF(SER_hh_fec!Q15=0,0,11630*1000*SER_hh_fec!Q15/SER_hh_num!Q15)</f>
        <v>590.1299268605934</v>
      </c>
      <c r="R15" s="135">
        <f>IF(SER_hh_fec!R15=0,0,11630*1000*SER_hh_fec!R15/SER_hh_num!R15)</f>
        <v>610.57546804483331</v>
      </c>
      <c r="S15" s="135">
        <f>IF(SER_hh_fec!S15=0,0,11630*1000*SER_hh_fec!S15/SER_hh_num!S15)</f>
        <v>738.8277587091867</v>
      </c>
      <c r="T15" s="135">
        <f>IF(SER_hh_fec!T15=0,0,11630*1000*SER_hh_fec!T15/SER_hh_num!T15)</f>
        <v>707.17050880644103</v>
      </c>
      <c r="U15" s="135">
        <f>IF(SER_hh_fec!U15=0,0,11630*1000*SER_hh_fec!U15/SER_hh_num!U15)</f>
        <v>843.14209457546417</v>
      </c>
      <c r="V15" s="135">
        <f>IF(SER_hh_fec!V15=0,0,11630*1000*SER_hh_fec!V15/SER_hh_num!V15)</f>
        <v>633.05749327184776</v>
      </c>
      <c r="W15" s="135">
        <f>IF(SER_hh_fec!W15=0,0,11630*1000*SER_hh_fec!W15/SER_hh_num!W15)</f>
        <v>738.19885592792616</v>
      </c>
      <c r="DA15" s="158" t="s">
        <v>395</v>
      </c>
    </row>
    <row r="16" spans="1:105" ht="12.95" customHeight="1" x14ac:dyDescent="0.25">
      <c r="A16" s="130" t="s">
        <v>74</v>
      </c>
      <c r="B16" s="131">
        <f>IF(SER_hh_fec!B16=0,0,11630*1000*SER_hh_fec!B16/SER_hh_num!B16)</f>
        <v>48134.577141667796</v>
      </c>
      <c r="C16" s="131">
        <f>IF(SER_hh_fec!C16=0,0,11630*1000*SER_hh_fec!C16/SER_hh_num!C16)</f>
        <v>39111.413932241696</v>
      </c>
      <c r="D16" s="131">
        <f>IF(SER_hh_fec!D16=0,0,11630*1000*SER_hh_fec!D16/SER_hh_num!D16)</f>
        <v>35343.60637812144</v>
      </c>
      <c r="E16" s="131">
        <f>IF(SER_hh_fec!E16=0,0,11630*1000*SER_hh_fec!E16/SER_hh_num!E16)</f>
        <v>36421.577211191281</v>
      </c>
      <c r="F16" s="131">
        <f>IF(SER_hh_fec!F16=0,0,11630*1000*SER_hh_fec!F16/SER_hh_num!F16)</f>
        <v>28818.879445378785</v>
      </c>
      <c r="G16" s="131">
        <f>IF(SER_hh_fec!G16=0,0,11630*1000*SER_hh_fec!G16/SER_hh_num!G16)</f>
        <v>25341.006887135198</v>
      </c>
      <c r="H16" s="131">
        <f>IF(SER_hh_fec!H16=0,0,11630*1000*SER_hh_fec!H16/SER_hh_num!H16)</f>
        <v>28198.514246402967</v>
      </c>
      <c r="I16" s="131">
        <f>IF(SER_hh_fec!I16=0,0,11630*1000*SER_hh_fec!I16/SER_hh_num!I16)</f>
        <v>30523.699674460815</v>
      </c>
      <c r="J16" s="131">
        <f>IF(SER_hh_fec!J16=0,0,11630*1000*SER_hh_fec!J16/SER_hh_num!J16)</f>
        <v>29975.855241754994</v>
      </c>
      <c r="K16" s="131">
        <f>IF(SER_hh_fec!K16=0,0,11630*1000*SER_hh_fec!K16/SER_hh_num!K16)</f>
        <v>28483.227353620459</v>
      </c>
      <c r="L16" s="131">
        <f>IF(SER_hh_fec!L16=0,0,11630*1000*SER_hh_fec!L16/SER_hh_num!L16)</f>
        <v>29237.883227621955</v>
      </c>
      <c r="M16" s="131">
        <f>IF(SER_hh_fec!M16=0,0,11630*1000*SER_hh_fec!M16/SER_hh_num!M16)</f>
        <v>24473.625699475895</v>
      </c>
      <c r="N16" s="131">
        <f>IF(SER_hh_fec!N16=0,0,11630*1000*SER_hh_fec!N16/SER_hh_num!N16)</f>
        <v>28963.117692080523</v>
      </c>
      <c r="O16" s="131">
        <f>IF(SER_hh_fec!O16=0,0,11630*1000*SER_hh_fec!O16/SER_hh_num!O16)</f>
        <v>23801.751560409721</v>
      </c>
      <c r="P16" s="131">
        <f>IF(SER_hh_fec!P16=0,0,11630*1000*SER_hh_fec!P16/SER_hh_num!P16)</f>
        <v>20814.55010432679</v>
      </c>
      <c r="Q16" s="131">
        <f>IF(SER_hh_fec!Q16=0,0,11630*1000*SER_hh_fec!Q16/SER_hh_num!Q16)</f>
        <v>22059.064379897562</v>
      </c>
      <c r="R16" s="131">
        <f>IF(SER_hh_fec!R16=0,0,11630*1000*SER_hh_fec!R16/SER_hh_num!R16)</f>
        <v>24509.939770546629</v>
      </c>
      <c r="S16" s="131">
        <f>IF(SER_hh_fec!S16=0,0,11630*1000*SER_hh_fec!S16/SER_hh_num!S16)</f>
        <v>22658.938135189441</v>
      </c>
      <c r="T16" s="131">
        <f>IF(SER_hh_fec!T16=0,0,11630*1000*SER_hh_fec!T16/SER_hh_num!T16)</f>
        <v>27955.793737906784</v>
      </c>
      <c r="U16" s="131">
        <f>IF(SER_hh_fec!U16=0,0,11630*1000*SER_hh_fec!U16/SER_hh_num!U16)</f>
        <v>23107.682050534091</v>
      </c>
      <c r="V16" s="131">
        <f>IF(SER_hh_fec!V16=0,0,11630*1000*SER_hh_fec!V16/SER_hh_num!V16)</f>
        <v>24639.365034497554</v>
      </c>
      <c r="W16" s="131">
        <f>IF(SER_hh_fec!W16=0,0,11630*1000*SER_hh_fec!W16/SER_hh_num!W16)</f>
        <v>21184.426546301263</v>
      </c>
      <c r="DA16" s="156" t="s">
        <v>396</v>
      </c>
    </row>
    <row r="17" spans="1:105" ht="12.95" customHeight="1" x14ac:dyDescent="0.25">
      <c r="A17" s="132" t="s">
        <v>73</v>
      </c>
      <c r="B17" s="133">
        <f>IF(SER_hh_fec!B17=0,0,11630*1000*SER_hh_fec!B17/SER_hh_num!B17)</f>
        <v>0</v>
      </c>
      <c r="C17" s="133">
        <f>IF(SER_hh_fec!C17=0,0,11630*1000*SER_hh_fec!C17/SER_hh_num!C17)</f>
        <v>0</v>
      </c>
      <c r="D17" s="133">
        <f>IF(SER_hh_fec!D17=0,0,11630*1000*SER_hh_fec!D17/SER_hh_num!D17)</f>
        <v>0</v>
      </c>
      <c r="E17" s="133">
        <f>IF(SER_hh_fec!E17=0,0,11630*1000*SER_hh_fec!E17/SER_hh_num!E17)</f>
        <v>0</v>
      </c>
      <c r="F17" s="133">
        <f>IF(SER_hh_fec!F17=0,0,11630*1000*SER_hh_fec!F17/SER_hh_num!F17)</f>
        <v>0</v>
      </c>
      <c r="G17" s="133">
        <f>IF(SER_hh_fec!G17=0,0,11630*1000*SER_hh_fec!G17/SER_hh_num!G17)</f>
        <v>0</v>
      </c>
      <c r="H17" s="133">
        <f>IF(SER_hh_fec!H17=0,0,11630*1000*SER_hh_fec!H17/SER_hh_num!H17)</f>
        <v>0</v>
      </c>
      <c r="I17" s="133">
        <f>IF(SER_hh_fec!I17=0,0,11630*1000*SER_hh_fec!I17/SER_hh_num!I17)</f>
        <v>0</v>
      </c>
      <c r="J17" s="133">
        <f>IF(SER_hh_fec!J17=0,0,11630*1000*SER_hh_fec!J17/SER_hh_num!J17)</f>
        <v>0</v>
      </c>
      <c r="K17" s="133">
        <f>IF(SER_hh_fec!K17=0,0,11630*1000*SER_hh_fec!K17/SER_hh_num!K17)</f>
        <v>0</v>
      </c>
      <c r="L17" s="133">
        <f>IF(SER_hh_fec!L17=0,0,11630*1000*SER_hh_fec!L17/SER_hh_num!L17)</f>
        <v>0</v>
      </c>
      <c r="M17" s="133">
        <f>IF(SER_hh_fec!M17=0,0,11630*1000*SER_hh_fec!M17/SER_hh_num!M17)</f>
        <v>0</v>
      </c>
      <c r="N17" s="133">
        <f>IF(SER_hh_fec!N17=0,0,11630*1000*SER_hh_fec!N17/SER_hh_num!N17)</f>
        <v>0</v>
      </c>
      <c r="O17" s="133">
        <f>IF(SER_hh_fec!O17=0,0,11630*1000*SER_hh_fec!O17/SER_hh_num!O17)</f>
        <v>0</v>
      </c>
      <c r="P17" s="133">
        <f>IF(SER_hh_fec!P17=0,0,11630*1000*SER_hh_fec!P17/SER_hh_num!P17)</f>
        <v>0</v>
      </c>
      <c r="Q17" s="133">
        <f>IF(SER_hh_fec!Q17=0,0,11630*1000*SER_hh_fec!Q17/SER_hh_num!Q17)</f>
        <v>0</v>
      </c>
      <c r="R17" s="133">
        <f>IF(SER_hh_fec!R17=0,0,11630*1000*SER_hh_fec!R17/SER_hh_num!R17)</f>
        <v>0</v>
      </c>
      <c r="S17" s="133">
        <f>IF(SER_hh_fec!S17=0,0,11630*1000*SER_hh_fec!S17/SER_hh_num!S17)</f>
        <v>0</v>
      </c>
      <c r="T17" s="133">
        <f>IF(SER_hh_fec!T17=0,0,11630*1000*SER_hh_fec!T17/SER_hh_num!T17)</f>
        <v>0</v>
      </c>
      <c r="U17" s="133">
        <f>IF(SER_hh_fec!U17=0,0,11630*1000*SER_hh_fec!U17/SER_hh_num!U17)</f>
        <v>0</v>
      </c>
      <c r="V17" s="133">
        <f>IF(SER_hh_fec!V17=0,0,11630*1000*SER_hh_fec!V17/SER_hh_num!V17)</f>
        <v>0</v>
      </c>
      <c r="W17" s="133">
        <f>IF(SER_hh_fec!W17=0,0,11630*1000*SER_hh_fec!W17/SER_hh_num!W17)</f>
        <v>0</v>
      </c>
      <c r="DA17" s="157" t="s">
        <v>397</v>
      </c>
    </row>
    <row r="18" spans="1:105" ht="12" customHeight="1" x14ac:dyDescent="0.25">
      <c r="A18" s="132" t="s">
        <v>72</v>
      </c>
      <c r="B18" s="133">
        <f>IF(SER_hh_fec!B18=0,0,11630*1000*SER_hh_fec!B18/SER_hh_num!B18)</f>
        <v>48134.577141667796</v>
      </c>
      <c r="C18" s="133">
        <f>IF(SER_hh_fec!C18=0,0,11630*1000*SER_hh_fec!C18/SER_hh_num!C18)</f>
        <v>39111.413932241696</v>
      </c>
      <c r="D18" s="133">
        <f>IF(SER_hh_fec!D18=0,0,11630*1000*SER_hh_fec!D18/SER_hh_num!D18)</f>
        <v>35343.60637812144</v>
      </c>
      <c r="E18" s="133">
        <f>IF(SER_hh_fec!E18=0,0,11630*1000*SER_hh_fec!E18/SER_hh_num!E18)</f>
        <v>36421.577211191281</v>
      </c>
      <c r="F18" s="133">
        <f>IF(SER_hh_fec!F18=0,0,11630*1000*SER_hh_fec!F18/SER_hh_num!F18)</f>
        <v>28818.879445378785</v>
      </c>
      <c r="G18" s="133">
        <f>IF(SER_hh_fec!G18=0,0,11630*1000*SER_hh_fec!G18/SER_hh_num!G18)</f>
        <v>25341.006887135198</v>
      </c>
      <c r="H18" s="133">
        <f>IF(SER_hh_fec!H18=0,0,11630*1000*SER_hh_fec!H18/SER_hh_num!H18)</f>
        <v>28198.514246402967</v>
      </c>
      <c r="I18" s="133">
        <f>IF(SER_hh_fec!I18=0,0,11630*1000*SER_hh_fec!I18/SER_hh_num!I18)</f>
        <v>30523.699674460815</v>
      </c>
      <c r="J18" s="133">
        <f>IF(SER_hh_fec!J18=0,0,11630*1000*SER_hh_fec!J18/SER_hh_num!J18)</f>
        <v>29975.855241754994</v>
      </c>
      <c r="K18" s="133">
        <f>IF(SER_hh_fec!K18=0,0,11630*1000*SER_hh_fec!K18/SER_hh_num!K18)</f>
        <v>28483.227353620459</v>
      </c>
      <c r="L18" s="133">
        <f>IF(SER_hh_fec!L18=0,0,11630*1000*SER_hh_fec!L18/SER_hh_num!L18)</f>
        <v>29237.883227621955</v>
      </c>
      <c r="M18" s="133">
        <f>IF(SER_hh_fec!M18=0,0,11630*1000*SER_hh_fec!M18/SER_hh_num!M18)</f>
        <v>24473.625699475895</v>
      </c>
      <c r="N18" s="133">
        <f>IF(SER_hh_fec!N18=0,0,11630*1000*SER_hh_fec!N18/SER_hh_num!N18)</f>
        <v>28963.117692080523</v>
      </c>
      <c r="O18" s="133">
        <f>IF(SER_hh_fec!O18=0,0,11630*1000*SER_hh_fec!O18/SER_hh_num!O18)</f>
        <v>23801.751560409721</v>
      </c>
      <c r="P18" s="133">
        <f>IF(SER_hh_fec!P18=0,0,11630*1000*SER_hh_fec!P18/SER_hh_num!P18)</f>
        <v>20814.55010432679</v>
      </c>
      <c r="Q18" s="133">
        <f>IF(SER_hh_fec!Q18=0,0,11630*1000*SER_hh_fec!Q18/SER_hh_num!Q18)</f>
        <v>22059.064379897562</v>
      </c>
      <c r="R18" s="133">
        <f>IF(SER_hh_fec!R18=0,0,11630*1000*SER_hh_fec!R18/SER_hh_num!R18)</f>
        <v>24509.939770546629</v>
      </c>
      <c r="S18" s="133">
        <f>IF(SER_hh_fec!S18=0,0,11630*1000*SER_hh_fec!S18/SER_hh_num!S18)</f>
        <v>22658.938135189441</v>
      </c>
      <c r="T18" s="133">
        <f>IF(SER_hh_fec!T18=0,0,11630*1000*SER_hh_fec!T18/SER_hh_num!T18)</f>
        <v>27955.793737906784</v>
      </c>
      <c r="U18" s="133">
        <f>IF(SER_hh_fec!U18=0,0,11630*1000*SER_hh_fec!U18/SER_hh_num!U18)</f>
        <v>23107.682050534091</v>
      </c>
      <c r="V18" s="133">
        <f>IF(SER_hh_fec!V18=0,0,11630*1000*SER_hh_fec!V18/SER_hh_num!V18)</f>
        <v>24639.365034497554</v>
      </c>
      <c r="W18" s="133">
        <f>IF(SER_hh_fec!W18=0,0,11630*1000*SER_hh_fec!W18/SER_hh_num!W18)</f>
        <v>21184.426546301263</v>
      </c>
      <c r="DA18" s="157" t="s">
        <v>398</v>
      </c>
    </row>
    <row r="19" spans="1:105" ht="12.95" customHeight="1" x14ac:dyDescent="0.25">
      <c r="A19" s="130" t="s">
        <v>35</v>
      </c>
      <c r="B19" s="131">
        <f>IF(SER_hh_fec!B19=0,0,11630*1000*SER_hh_fec!B19/SER_hh_num!B19)</f>
        <v>19324.080586403772</v>
      </c>
      <c r="C19" s="131">
        <f>IF(SER_hh_fec!C19=0,0,11630*1000*SER_hh_fec!C19/SER_hh_num!C19)</f>
        <v>19211.121169716404</v>
      </c>
      <c r="D19" s="131">
        <f>IF(SER_hh_fec!D19=0,0,11630*1000*SER_hh_fec!D19/SER_hh_num!D19)</f>
        <v>19118.909978457239</v>
      </c>
      <c r="E19" s="131">
        <f>IF(SER_hh_fec!E19=0,0,11630*1000*SER_hh_fec!E19/SER_hh_num!E19)</f>
        <v>19014.587182663952</v>
      </c>
      <c r="F19" s="131">
        <f>IF(SER_hh_fec!F19=0,0,11630*1000*SER_hh_fec!F19/SER_hh_num!F19)</f>
        <v>18695.88012505537</v>
      </c>
      <c r="G19" s="131">
        <f>IF(SER_hh_fec!G19=0,0,11630*1000*SER_hh_fec!G19/SER_hh_num!G19)</f>
        <v>18649.630108296362</v>
      </c>
      <c r="H19" s="131">
        <f>IF(SER_hh_fec!H19=0,0,11630*1000*SER_hh_fec!H19/SER_hh_num!H19)</f>
        <v>17338.928443196917</v>
      </c>
      <c r="I19" s="131">
        <f>IF(SER_hh_fec!I19=0,0,11630*1000*SER_hh_fec!I19/SER_hh_num!I19)</f>
        <v>16623.716501282695</v>
      </c>
      <c r="J19" s="131">
        <f>IF(SER_hh_fec!J19=0,0,11630*1000*SER_hh_fec!J19/SER_hh_num!J19)</f>
        <v>16696.958197428547</v>
      </c>
      <c r="K19" s="131">
        <f>IF(SER_hh_fec!K19=0,0,11630*1000*SER_hh_fec!K19/SER_hh_num!K19)</f>
        <v>16492.050595844717</v>
      </c>
      <c r="L19" s="131">
        <f>IF(SER_hh_fec!L19=0,0,11630*1000*SER_hh_fec!L19/SER_hh_num!L19)</f>
        <v>16177.85357918507</v>
      </c>
      <c r="M19" s="131">
        <f>IF(SER_hh_fec!M19=0,0,11630*1000*SER_hh_fec!M19/SER_hh_num!M19)</f>
        <v>16118.468122880982</v>
      </c>
      <c r="N19" s="131">
        <f>IF(SER_hh_fec!N19=0,0,11630*1000*SER_hh_fec!N19/SER_hh_num!N19)</f>
        <v>15956.395597916282</v>
      </c>
      <c r="O19" s="131">
        <f>IF(SER_hh_fec!O19=0,0,11630*1000*SER_hh_fec!O19/SER_hh_num!O19)</f>
        <v>15937.143193121501</v>
      </c>
      <c r="P19" s="131">
        <f>IF(SER_hh_fec!P19=0,0,11630*1000*SER_hh_fec!P19/SER_hh_num!P19)</f>
        <v>15730.739396340574</v>
      </c>
      <c r="Q19" s="131">
        <f>IF(SER_hh_fec!Q19=0,0,11630*1000*SER_hh_fec!Q19/SER_hh_num!Q19)</f>
        <v>15730.521368075933</v>
      </c>
      <c r="R19" s="131">
        <f>IF(SER_hh_fec!R19=0,0,11630*1000*SER_hh_fec!R19/SER_hh_num!R19)</f>
        <v>15711.645066971196</v>
      </c>
      <c r="S19" s="131">
        <f>IF(SER_hh_fec!S19=0,0,11630*1000*SER_hh_fec!S19/SER_hh_num!S19)</f>
        <v>15303.265852051334</v>
      </c>
      <c r="T19" s="131">
        <f>IF(SER_hh_fec!T19=0,0,11630*1000*SER_hh_fec!T19/SER_hh_num!T19)</f>
        <v>15079.406805133609</v>
      </c>
      <c r="U19" s="131">
        <f>IF(SER_hh_fec!U19=0,0,11630*1000*SER_hh_fec!U19/SER_hh_num!U19)</f>
        <v>14575.703231430327</v>
      </c>
      <c r="V19" s="131">
        <f>IF(SER_hh_fec!V19=0,0,11630*1000*SER_hh_fec!V19/SER_hh_num!V19)</f>
        <v>13566.192816697325</v>
      </c>
      <c r="W19" s="131">
        <f>IF(SER_hh_fec!W19=0,0,11630*1000*SER_hh_fec!W19/SER_hh_num!W19)</f>
        <v>13398.667985489938</v>
      </c>
      <c r="DA19" s="156" t="s">
        <v>399</v>
      </c>
    </row>
    <row r="20" spans="1:105" ht="12" customHeight="1" x14ac:dyDescent="0.25">
      <c r="A20" s="132" t="s">
        <v>29</v>
      </c>
      <c r="B20" s="133">
        <f>IF(SER_hh_fec!B20=0,0,11630*1000*SER_hh_fec!B20/SER_hh_num!B20)</f>
        <v>0</v>
      </c>
      <c r="C20" s="133">
        <f>IF(SER_hh_fec!C20=0,0,11630*1000*SER_hh_fec!C20/SER_hh_num!C20)</f>
        <v>0</v>
      </c>
      <c r="D20" s="133">
        <f>IF(SER_hh_fec!D20=0,0,11630*1000*SER_hh_fec!D20/SER_hh_num!D20)</f>
        <v>0</v>
      </c>
      <c r="E20" s="133">
        <f>IF(SER_hh_fec!E20=0,0,11630*1000*SER_hh_fec!E20/SER_hh_num!E20)</f>
        <v>0</v>
      </c>
      <c r="F20" s="133">
        <f>IF(SER_hh_fec!F20=0,0,11630*1000*SER_hh_fec!F20/SER_hh_num!F20)</f>
        <v>0</v>
      </c>
      <c r="G20" s="133">
        <f>IF(SER_hh_fec!G20=0,0,11630*1000*SER_hh_fec!G20/SER_hh_num!G20)</f>
        <v>0</v>
      </c>
      <c r="H20" s="133">
        <f>IF(SER_hh_fec!H20=0,0,11630*1000*SER_hh_fec!H20/SER_hh_num!H20)</f>
        <v>0</v>
      </c>
      <c r="I20" s="133">
        <f>IF(SER_hh_fec!I20=0,0,11630*1000*SER_hh_fec!I20/SER_hh_num!I20)</f>
        <v>0</v>
      </c>
      <c r="J20" s="133">
        <f>IF(SER_hh_fec!J20=0,0,11630*1000*SER_hh_fec!J20/SER_hh_num!J20)</f>
        <v>0</v>
      </c>
      <c r="K20" s="133">
        <f>IF(SER_hh_fec!K20=0,0,11630*1000*SER_hh_fec!K20/SER_hh_num!K20)</f>
        <v>0</v>
      </c>
      <c r="L20" s="133">
        <f>IF(SER_hh_fec!L20=0,0,11630*1000*SER_hh_fec!L20/SER_hh_num!L20)</f>
        <v>0</v>
      </c>
      <c r="M20" s="133">
        <f>IF(SER_hh_fec!M20=0,0,11630*1000*SER_hh_fec!M20/SER_hh_num!M20)</f>
        <v>0</v>
      </c>
      <c r="N20" s="133">
        <f>IF(SER_hh_fec!N20=0,0,11630*1000*SER_hh_fec!N20/SER_hh_num!N20)</f>
        <v>0</v>
      </c>
      <c r="O20" s="133">
        <f>IF(SER_hh_fec!O20=0,0,11630*1000*SER_hh_fec!O20/SER_hh_num!O20)</f>
        <v>0</v>
      </c>
      <c r="P20" s="133">
        <f>IF(SER_hh_fec!P20=0,0,11630*1000*SER_hh_fec!P20/SER_hh_num!P20)</f>
        <v>0</v>
      </c>
      <c r="Q20" s="133">
        <f>IF(SER_hh_fec!Q20=0,0,11630*1000*SER_hh_fec!Q20/SER_hh_num!Q20)</f>
        <v>0</v>
      </c>
      <c r="R20" s="133">
        <f>IF(SER_hh_fec!R20=0,0,11630*1000*SER_hh_fec!R20/SER_hh_num!R20)</f>
        <v>0</v>
      </c>
      <c r="S20" s="133">
        <f>IF(SER_hh_fec!S20=0,0,11630*1000*SER_hh_fec!S20/SER_hh_num!S20)</f>
        <v>0</v>
      </c>
      <c r="T20" s="133">
        <f>IF(SER_hh_fec!T20=0,0,11630*1000*SER_hh_fec!T20/SER_hh_num!T20)</f>
        <v>0</v>
      </c>
      <c r="U20" s="133">
        <f>IF(SER_hh_fec!U20=0,0,11630*1000*SER_hh_fec!U20/SER_hh_num!U20)</f>
        <v>0</v>
      </c>
      <c r="V20" s="133">
        <f>IF(SER_hh_fec!V20=0,0,11630*1000*SER_hh_fec!V20/SER_hh_num!V20)</f>
        <v>0</v>
      </c>
      <c r="W20" s="133">
        <f>IF(SER_hh_fec!W20=0,0,11630*1000*SER_hh_fec!W20/SER_hh_num!W20)</f>
        <v>0</v>
      </c>
      <c r="DA20" s="157" t="s">
        <v>400</v>
      </c>
    </row>
    <row r="21" spans="1:105" s="2" customFormat="1" ht="12" customHeight="1" x14ac:dyDescent="0.25">
      <c r="A21" s="132" t="s">
        <v>52</v>
      </c>
      <c r="B21" s="133">
        <f>IF(SER_hh_fec!B21=0,0,11630*1000*SER_hh_fec!B21/SER_hh_num!B21)</f>
        <v>0</v>
      </c>
      <c r="C21" s="133">
        <f>IF(SER_hh_fec!C21=0,0,11630*1000*SER_hh_fec!C21/SER_hh_num!C21)</f>
        <v>0</v>
      </c>
      <c r="D21" s="133">
        <f>IF(SER_hh_fec!D21=0,0,11630*1000*SER_hh_fec!D21/SER_hh_num!D21)</f>
        <v>0</v>
      </c>
      <c r="E21" s="133">
        <f>IF(SER_hh_fec!E21=0,0,11630*1000*SER_hh_fec!E21/SER_hh_num!E21)</f>
        <v>0</v>
      </c>
      <c r="F21" s="133">
        <f>IF(SER_hh_fec!F21=0,0,11630*1000*SER_hh_fec!F21/SER_hh_num!F21)</f>
        <v>0</v>
      </c>
      <c r="G21" s="133">
        <f>IF(SER_hh_fec!G21=0,0,11630*1000*SER_hh_fec!G21/SER_hh_num!G21)</f>
        <v>0</v>
      </c>
      <c r="H21" s="133">
        <f>IF(SER_hh_fec!H21=0,0,11630*1000*SER_hh_fec!H21/SER_hh_num!H21)</f>
        <v>22895.063738789795</v>
      </c>
      <c r="I21" s="133">
        <f>IF(SER_hh_fec!I21=0,0,11630*1000*SER_hh_fec!I21/SER_hh_num!I21)</f>
        <v>17592.364579737074</v>
      </c>
      <c r="J21" s="133">
        <f>IF(SER_hh_fec!J21=0,0,11630*1000*SER_hh_fec!J21/SER_hh_num!J21)</f>
        <v>15767.469030809247</v>
      </c>
      <c r="K21" s="133">
        <f>IF(SER_hh_fec!K21=0,0,11630*1000*SER_hh_fec!K21/SER_hh_num!K21)</f>
        <v>15600.869458579389</v>
      </c>
      <c r="L21" s="133">
        <f>IF(SER_hh_fec!L21=0,0,11630*1000*SER_hh_fec!L21/SER_hh_num!L21)</f>
        <v>15994.730526415768</v>
      </c>
      <c r="M21" s="133">
        <f>IF(SER_hh_fec!M21=0,0,11630*1000*SER_hh_fec!M21/SER_hh_num!M21)</f>
        <v>15713.383812039689</v>
      </c>
      <c r="N21" s="133">
        <f>IF(SER_hh_fec!N21=0,0,11630*1000*SER_hh_fec!N21/SER_hh_num!N21)</f>
        <v>15759.818513828444</v>
      </c>
      <c r="O21" s="133">
        <f>IF(SER_hh_fec!O21=0,0,11630*1000*SER_hh_fec!O21/SER_hh_num!O21)</f>
        <v>16014.564332438615</v>
      </c>
      <c r="P21" s="133">
        <f>IF(SER_hh_fec!P21=0,0,11630*1000*SER_hh_fec!P21/SER_hh_num!P21)</f>
        <v>15228.374027602546</v>
      </c>
      <c r="Q21" s="133">
        <f>IF(SER_hh_fec!Q21=0,0,11630*1000*SER_hh_fec!Q21/SER_hh_num!Q21)</f>
        <v>15307.277040218149</v>
      </c>
      <c r="R21" s="133">
        <f>IF(SER_hh_fec!R21=0,0,11630*1000*SER_hh_fec!R21/SER_hh_num!R21)</f>
        <v>15587.549892359513</v>
      </c>
      <c r="S21" s="133">
        <f>IF(SER_hh_fec!S21=0,0,11630*1000*SER_hh_fec!S21/SER_hh_num!S21)</f>
        <v>15601.386705900781</v>
      </c>
      <c r="T21" s="133">
        <f>IF(SER_hh_fec!T21=0,0,11630*1000*SER_hh_fec!T21/SER_hh_num!T21)</f>
        <v>14990.633727643944</v>
      </c>
      <c r="U21" s="133">
        <f>IF(SER_hh_fec!U21=0,0,11630*1000*SER_hh_fec!U21/SER_hh_num!U21)</f>
        <v>15020.577138109571</v>
      </c>
      <c r="V21" s="133">
        <f>IF(SER_hh_fec!V21=0,0,11630*1000*SER_hh_fec!V21/SER_hh_num!V21)</f>
        <v>12970.868189388339</v>
      </c>
      <c r="W21" s="133">
        <f>IF(SER_hh_fec!W21=0,0,11630*1000*SER_hh_fec!W21/SER_hh_num!W21)</f>
        <v>12322.390685355262</v>
      </c>
      <c r="DA21" s="157" t="s">
        <v>401</v>
      </c>
    </row>
    <row r="22" spans="1:105" ht="12" customHeight="1" x14ac:dyDescent="0.25">
      <c r="A22" s="132" t="s">
        <v>168</v>
      </c>
      <c r="B22" s="133">
        <f>IF(SER_hh_fec!B22=0,0,11630*1000*SER_hh_fec!B22/SER_hh_num!B22)</f>
        <v>26339.45390804714</v>
      </c>
      <c r="C22" s="133">
        <f>IF(SER_hh_fec!C22=0,0,11630*1000*SER_hh_fec!C22/SER_hh_num!C22)</f>
        <v>26290.354218446162</v>
      </c>
      <c r="D22" s="133">
        <f>IF(SER_hh_fec!D22=0,0,11630*1000*SER_hh_fec!D22/SER_hh_num!D22)</f>
        <v>26200.506604634775</v>
      </c>
      <c r="E22" s="133">
        <f>IF(SER_hh_fec!E22=0,0,11630*1000*SER_hh_fec!E22/SER_hh_num!E22)</f>
        <v>25877.30590706554</v>
      </c>
      <c r="F22" s="133">
        <f>IF(SER_hh_fec!F22=0,0,11630*1000*SER_hh_fec!F22/SER_hh_num!F22)</f>
        <v>25743.863957254554</v>
      </c>
      <c r="G22" s="133">
        <f>IF(SER_hh_fec!G22=0,0,11630*1000*SER_hh_fec!G22/SER_hh_num!G22)</f>
        <v>25437.186949687253</v>
      </c>
      <c r="H22" s="133">
        <f>IF(SER_hh_fec!H22=0,0,11630*1000*SER_hh_fec!H22/SER_hh_num!H22)</f>
        <v>24567.827422930888</v>
      </c>
      <c r="I22" s="133">
        <f>IF(SER_hh_fec!I22=0,0,11630*1000*SER_hh_fec!I22/SER_hh_num!I22)</f>
        <v>23741.533727104816</v>
      </c>
      <c r="J22" s="133">
        <f>IF(SER_hh_fec!J22=0,0,11630*1000*SER_hh_fec!J22/SER_hh_num!J22)</f>
        <v>23187.571012881224</v>
      </c>
      <c r="K22" s="133">
        <f>IF(SER_hh_fec!K22=0,0,11630*1000*SER_hh_fec!K22/SER_hh_num!K22)</f>
        <v>22869.584343666356</v>
      </c>
      <c r="L22" s="133">
        <f>IF(SER_hh_fec!L22=0,0,11630*1000*SER_hh_fec!L22/SER_hh_num!L22)</f>
        <v>22459.532746522378</v>
      </c>
      <c r="M22" s="133">
        <f>IF(SER_hh_fec!M22=0,0,11630*1000*SER_hh_fec!M22/SER_hh_num!M22)</f>
        <v>22261.182824553965</v>
      </c>
      <c r="N22" s="133">
        <f>IF(SER_hh_fec!N22=0,0,11630*1000*SER_hh_fec!N22/SER_hh_num!N22)</f>
        <v>22115.824316399921</v>
      </c>
      <c r="O22" s="133">
        <f>IF(SER_hh_fec!O22=0,0,11630*1000*SER_hh_fec!O22/SER_hh_num!O22)</f>
        <v>21526.586192480354</v>
      </c>
      <c r="P22" s="133">
        <f>IF(SER_hh_fec!P22=0,0,11630*1000*SER_hh_fec!P22/SER_hh_num!P22)</f>
        <v>21364.175506288408</v>
      </c>
      <c r="Q22" s="133">
        <f>IF(SER_hh_fec!Q22=0,0,11630*1000*SER_hh_fec!Q22/SER_hh_num!Q22)</f>
        <v>21017.687945106456</v>
      </c>
      <c r="R22" s="133">
        <f>IF(SER_hh_fec!R22=0,0,11630*1000*SER_hh_fec!R22/SER_hh_num!R22)</f>
        <v>20660.446741332791</v>
      </c>
      <c r="S22" s="133">
        <f>IF(SER_hh_fec!S22=0,0,11630*1000*SER_hh_fec!S22/SER_hh_num!S22)</f>
        <v>19713.170551564475</v>
      </c>
      <c r="T22" s="133">
        <f>IF(SER_hh_fec!T22=0,0,11630*1000*SER_hh_fec!T22/SER_hh_num!T22)</f>
        <v>19098.660505369193</v>
      </c>
      <c r="U22" s="133">
        <f>IF(SER_hh_fec!U22=0,0,11630*1000*SER_hh_fec!U22/SER_hh_num!U22)</f>
        <v>18191.220976104778</v>
      </c>
      <c r="V22" s="133">
        <f>IF(SER_hh_fec!V22=0,0,11630*1000*SER_hh_fec!V22/SER_hh_num!V22)</f>
        <v>16433.660126073646</v>
      </c>
      <c r="W22" s="133">
        <f>IF(SER_hh_fec!W22=0,0,11630*1000*SER_hh_fec!W22/SER_hh_num!W22)</f>
        <v>17687.564555762507</v>
      </c>
      <c r="DA22" s="157" t="s">
        <v>402</v>
      </c>
    </row>
    <row r="23" spans="1:105" ht="12" customHeight="1" x14ac:dyDescent="0.25">
      <c r="A23" s="132" t="s">
        <v>153</v>
      </c>
      <c r="B23" s="133">
        <f>IF(SER_hh_fec!B23=0,0,11630*1000*SER_hh_fec!B23/SER_hh_num!B23)</f>
        <v>0</v>
      </c>
      <c r="C23" s="133">
        <f>IF(SER_hh_fec!C23=0,0,11630*1000*SER_hh_fec!C23/SER_hh_num!C23)</f>
        <v>0</v>
      </c>
      <c r="D23" s="133">
        <f>IF(SER_hh_fec!D23=0,0,11630*1000*SER_hh_fec!D23/SER_hh_num!D23)</f>
        <v>0</v>
      </c>
      <c r="E23" s="133">
        <f>IF(SER_hh_fec!E23=0,0,11630*1000*SER_hh_fec!E23/SER_hh_num!E23)</f>
        <v>0</v>
      </c>
      <c r="F23" s="133">
        <f>IF(SER_hh_fec!F23=0,0,11630*1000*SER_hh_fec!F23/SER_hh_num!F23)</f>
        <v>0</v>
      </c>
      <c r="G23" s="133">
        <f>IF(SER_hh_fec!G23=0,0,11630*1000*SER_hh_fec!G23/SER_hh_num!G23)</f>
        <v>0</v>
      </c>
      <c r="H23" s="133">
        <f>IF(SER_hh_fec!H23=0,0,11630*1000*SER_hh_fec!H23/SER_hh_num!H23)</f>
        <v>0</v>
      </c>
      <c r="I23" s="133">
        <f>IF(SER_hh_fec!I23=0,0,11630*1000*SER_hh_fec!I23/SER_hh_num!I23)</f>
        <v>0</v>
      </c>
      <c r="J23" s="133">
        <f>IF(SER_hh_fec!J23=0,0,11630*1000*SER_hh_fec!J23/SER_hh_num!J23)</f>
        <v>0</v>
      </c>
      <c r="K23" s="133">
        <f>IF(SER_hh_fec!K23=0,0,11630*1000*SER_hh_fec!K23/SER_hh_num!K23)</f>
        <v>0</v>
      </c>
      <c r="L23" s="133">
        <f>IF(SER_hh_fec!L23=0,0,11630*1000*SER_hh_fec!L23/SER_hh_num!L23)</f>
        <v>0</v>
      </c>
      <c r="M23" s="133">
        <f>IF(SER_hh_fec!M23=0,0,11630*1000*SER_hh_fec!M23/SER_hh_num!M23)</f>
        <v>0</v>
      </c>
      <c r="N23" s="133">
        <f>IF(SER_hh_fec!N23=0,0,11630*1000*SER_hh_fec!N23/SER_hh_num!N23)</f>
        <v>0</v>
      </c>
      <c r="O23" s="133">
        <f>IF(SER_hh_fec!O23=0,0,11630*1000*SER_hh_fec!O23/SER_hh_num!O23)</f>
        <v>0</v>
      </c>
      <c r="P23" s="133">
        <f>IF(SER_hh_fec!P23=0,0,11630*1000*SER_hh_fec!P23/SER_hh_num!P23)</f>
        <v>0</v>
      </c>
      <c r="Q23" s="133">
        <f>IF(SER_hh_fec!Q23=0,0,11630*1000*SER_hh_fec!Q23/SER_hh_num!Q23)</f>
        <v>0</v>
      </c>
      <c r="R23" s="133">
        <f>IF(SER_hh_fec!R23=0,0,11630*1000*SER_hh_fec!R23/SER_hh_num!R23)</f>
        <v>0</v>
      </c>
      <c r="S23" s="133">
        <f>IF(SER_hh_fec!S23=0,0,11630*1000*SER_hh_fec!S23/SER_hh_num!S23)</f>
        <v>0</v>
      </c>
      <c r="T23" s="133">
        <f>IF(SER_hh_fec!T23=0,0,11630*1000*SER_hh_fec!T23/SER_hh_num!T23)</f>
        <v>0</v>
      </c>
      <c r="U23" s="133">
        <f>IF(SER_hh_fec!U23=0,0,11630*1000*SER_hh_fec!U23/SER_hh_num!U23)</f>
        <v>0</v>
      </c>
      <c r="V23" s="133">
        <f>IF(SER_hh_fec!V23=0,0,11630*1000*SER_hh_fec!V23/SER_hh_num!V23)</f>
        <v>0</v>
      </c>
      <c r="W23" s="133">
        <f>IF(SER_hh_fec!W23=0,0,11630*1000*SER_hh_fec!W23/SER_hh_num!W23)</f>
        <v>0</v>
      </c>
      <c r="DA23" s="157" t="s">
        <v>403</v>
      </c>
    </row>
    <row r="24" spans="1:105" ht="12" customHeight="1" x14ac:dyDescent="0.25">
      <c r="A24" s="132" t="s">
        <v>128</v>
      </c>
      <c r="B24" s="133">
        <f>IF(SER_hh_fec!B24=0,0,11630*1000*SER_hh_fec!B24/SER_hh_num!B24)</f>
        <v>0</v>
      </c>
      <c r="C24" s="133">
        <f>IF(SER_hh_fec!C24=0,0,11630*1000*SER_hh_fec!C24/SER_hh_num!C24)</f>
        <v>0</v>
      </c>
      <c r="D24" s="133">
        <f>IF(SER_hh_fec!D24=0,0,11630*1000*SER_hh_fec!D24/SER_hh_num!D24)</f>
        <v>0</v>
      </c>
      <c r="E24" s="133">
        <f>IF(SER_hh_fec!E24=0,0,11630*1000*SER_hh_fec!E24/SER_hh_num!E24)</f>
        <v>0</v>
      </c>
      <c r="F24" s="133">
        <f>IF(SER_hh_fec!F24=0,0,11630*1000*SER_hh_fec!F24/SER_hh_num!F24)</f>
        <v>0</v>
      </c>
      <c r="G24" s="133">
        <f>IF(SER_hh_fec!G24=0,0,11630*1000*SER_hh_fec!G24/SER_hh_num!G24)</f>
        <v>0</v>
      </c>
      <c r="H24" s="133">
        <f>IF(SER_hh_fec!H24=0,0,11630*1000*SER_hh_fec!H24/SER_hh_num!H24)</f>
        <v>0</v>
      </c>
      <c r="I24" s="133">
        <f>IF(SER_hh_fec!I24=0,0,11630*1000*SER_hh_fec!I24/SER_hh_num!I24)</f>
        <v>0</v>
      </c>
      <c r="J24" s="133">
        <f>IF(SER_hh_fec!J24=0,0,11630*1000*SER_hh_fec!J24/SER_hh_num!J24)</f>
        <v>0</v>
      </c>
      <c r="K24" s="133">
        <f>IF(SER_hh_fec!K24=0,0,11630*1000*SER_hh_fec!K24/SER_hh_num!K24)</f>
        <v>0</v>
      </c>
      <c r="L24" s="133">
        <f>IF(SER_hh_fec!L24=0,0,11630*1000*SER_hh_fec!L24/SER_hh_num!L24)</f>
        <v>0</v>
      </c>
      <c r="M24" s="133">
        <f>IF(SER_hh_fec!M24=0,0,11630*1000*SER_hh_fec!M24/SER_hh_num!M24)</f>
        <v>0</v>
      </c>
      <c r="N24" s="133">
        <f>IF(SER_hh_fec!N24=0,0,11630*1000*SER_hh_fec!N24/SER_hh_num!N24)</f>
        <v>0</v>
      </c>
      <c r="O24" s="133">
        <f>IF(SER_hh_fec!O24=0,0,11630*1000*SER_hh_fec!O24/SER_hh_num!O24)</f>
        <v>0</v>
      </c>
      <c r="P24" s="133">
        <f>IF(SER_hh_fec!P24=0,0,11630*1000*SER_hh_fec!P24/SER_hh_num!P24)</f>
        <v>0</v>
      </c>
      <c r="Q24" s="133">
        <f>IF(SER_hh_fec!Q24=0,0,11630*1000*SER_hh_fec!Q24/SER_hh_num!Q24)</f>
        <v>0</v>
      </c>
      <c r="R24" s="133">
        <f>IF(SER_hh_fec!R24=0,0,11630*1000*SER_hh_fec!R24/SER_hh_num!R24)</f>
        <v>0</v>
      </c>
      <c r="S24" s="133">
        <f>IF(SER_hh_fec!S24=0,0,11630*1000*SER_hh_fec!S24/SER_hh_num!S24)</f>
        <v>0</v>
      </c>
      <c r="T24" s="133">
        <f>IF(SER_hh_fec!T24=0,0,11630*1000*SER_hh_fec!T24/SER_hh_num!T24)</f>
        <v>0</v>
      </c>
      <c r="U24" s="133">
        <f>IF(SER_hh_fec!U24=0,0,11630*1000*SER_hh_fec!U24/SER_hh_num!U24)</f>
        <v>0</v>
      </c>
      <c r="V24" s="133">
        <f>IF(SER_hh_fec!V24=0,0,11630*1000*SER_hh_fec!V24/SER_hh_num!V24)</f>
        <v>0</v>
      </c>
      <c r="W24" s="133">
        <f>IF(SER_hh_fec!W24=0,0,11630*1000*SER_hh_fec!W24/SER_hh_num!W24)</f>
        <v>0</v>
      </c>
      <c r="DA24" s="157" t="s">
        <v>404</v>
      </c>
    </row>
    <row r="25" spans="1:105" ht="12" customHeight="1" x14ac:dyDescent="0.25">
      <c r="A25" s="132" t="s">
        <v>169</v>
      </c>
      <c r="B25" s="133">
        <f>IF(SER_hh_fec!B25=0,0,11630*1000*SER_hh_fec!B25/SER_hh_num!B25)</f>
        <v>0</v>
      </c>
      <c r="C25" s="133">
        <f>IF(SER_hh_fec!C25=0,0,11630*1000*SER_hh_fec!C25/SER_hh_num!C25)</f>
        <v>0</v>
      </c>
      <c r="D25" s="133">
        <f>IF(SER_hh_fec!D25=0,0,11630*1000*SER_hh_fec!D25/SER_hh_num!D25)</f>
        <v>0</v>
      </c>
      <c r="E25" s="133">
        <f>IF(SER_hh_fec!E25=0,0,11630*1000*SER_hh_fec!E25/SER_hh_num!E25)</f>
        <v>0</v>
      </c>
      <c r="F25" s="133">
        <f>IF(SER_hh_fec!F25=0,0,11630*1000*SER_hh_fec!F25/SER_hh_num!F25)</f>
        <v>0</v>
      </c>
      <c r="G25" s="133">
        <f>IF(SER_hh_fec!G25=0,0,11630*1000*SER_hh_fec!G25/SER_hh_num!G25)</f>
        <v>0</v>
      </c>
      <c r="H25" s="133">
        <f>IF(SER_hh_fec!H25=0,0,11630*1000*SER_hh_fec!H25/SER_hh_num!H25)</f>
        <v>0</v>
      </c>
      <c r="I25" s="133">
        <f>IF(SER_hh_fec!I25=0,0,11630*1000*SER_hh_fec!I25/SER_hh_num!I25)</f>
        <v>0</v>
      </c>
      <c r="J25" s="133">
        <f>IF(SER_hh_fec!J25=0,0,11630*1000*SER_hh_fec!J25/SER_hh_num!J25)</f>
        <v>0</v>
      </c>
      <c r="K25" s="133">
        <f>IF(SER_hh_fec!K25=0,0,11630*1000*SER_hh_fec!K25/SER_hh_num!K25)</f>
        <v>0</v>
      </c>
      <c r="L25" s="133">
        <f>IF(SER_hh_fec!L25=0,0,11630*1000*SER_hh_fec!L25/SER_hh_num!L25)</f>
        <v>0</v>
      </c>
      <c r="M25" s="133">
        <f>IF(SER_hh_fec!M25=0,0,11630*1000*SER_hh_fec!M25/SER_hh_num!M25)</f>
        <v>0</v>
      </c>
      <c r="N25" s="133">
        <f>IF(SER_hh_fec!N25=0,0,11630*1000*SER_hh_fec!N25/SER_hh_num!N25)</f>
        <v>0</v>
      </c>
      <c r="O25" s="133">
        <f>IF(SER_hh_fec!O25=0,0,11630*1000*SER_hh_fec!O25/SER_hh_num!O25)</f>
        <v>0</v>
      </c>
      <c r="P25" s="133">
        <f>IF(SER_hh_fec!P25=0,0,11630*1000*SER_hh_fec!P25/SER_hh_num!P25)</f>
        <v>0</v>
      </c>
      <c r="Q25" s="133">
        <f>IF(SER_hh_fec!Q25=0,0,11630*1000*SER_hh_fec!Q25/SER_hh_num!Q25)</f>
        <v>0</v>
      </c>
      <c r="R25" s="133">
        <f>IF(SER_hh_fec!R25=0,0,11630*1000*SER_hh_fec!R25/SER_hh_num!R25)</f>
        <v>0</v>
      </c>
      <c r="S25" s="133">
        <f>IF(SER_hh_fec!S25=0,0,11630*1000*SER_hh_fec!S25/SER_hh_num!S25)</f>
        <v>0</v>
      </c>
      <c r="T25" s="133">
        <f>IF(SER_hh_fec!T25=0,0,11630*1000*SER_hh_fec!T25/SER_hh_num!T25)</f>
        <v>0</v>
      </c>
      <c r="U25" s="133">
        <f>IF(SER_hh_fec!U25=0,0,11630*1000*SER_hh_fec!U25/SER_hh_num!U25)</f>
        <v>0</v>
      </c>
      <c r="V25" s="133">
        <f>IF(SER_hh_fec!V25=0,0,11630*1000*SER_hh_fec!V25/SER_hh_num!V25)</f>
        <v>0</v>
      </c>
      <c r="W25" s="133">
        <f>IF(SER_hh_fec!W25=0,0,11630*1000*SER_hh_fec!W25/SER_hh_num!W25)</f>
        <v>0</v>
      </c>
      <c r="DA25" s="157" t="s">
        <v>405</v>
      </c>
    </row>
    <row r="26" spans="1:105" ht="12" customHeight="1" x14ac:dyDescent="0.25">
      <c r="A26" s="132" t="s">
        <v>24</v>
      </c>
      <c r="B26" s="65">
        <f>IF(SER_hh_fec!B26=0,0,11630*1000*SER_hh_fec!B26/SER_hh_num!B26)</f>
        <v>15221.36491954403</v>
      </c>
      <c r="C26" s="65">
        <f>IF(SER_hh_fec!C26=0,0,11630*1000*SER_hh_fec!C26/SER_hh_num!C26)</f>
        <v>15301.45866982758</v>
      </c>
      <c r="D26" s="65">
        <f>IF(SER_hh_fec!D26=0,0,11630*1000*SER_hh_fec!D26/SER_hh_num!D26)</f>
        <v>15181.115343674741</v>
      </c>
      <c r="E26" s="65">
        <f>IF(SER_hh_fec!E26=0,0,11630*1000*SER_hh_fec!E26/SER_hh_num!E26)</f>
        <v>15053.031209383529</v>
      </c>
      <c r="F26" s="65">
        <f>IF(SER_hh_fec!F26=0,0,11630*1000*SER_hh_fec!F26/SER_hh_num!F26)</f>
        <v>14463.427547624227</v>
      </c>
      <c r="G26" s="65">
        <f>IF(SER_hh_fec!G26=0,0,11630*1000*SER_hh_fec!G26/SER_hh_num!G26)</f>
        <v>14349.302428463719</v>
      </c>
      <c r="H26" s="65">
        <f>IF(SER_hh_fec!H26=0,0,11630*1000*SER_hh_fec!H26/SER_hh_num!H26)</f>
        <v>9544.7771904585425</v>
      </c>
      <c r="I26" s="65">
        <f>IF(SER_hh_fec!I26=0,0,11630*1000*SER_hh_fec!I26/SER_hh_num!I26)</f>
        <v>8364.9318773552695</v>
      </c>
      <c r="J26" s="65">
        <f>IF(SER_hh_fec!J26=0,0,11630*1000*SER_hh_fec!J26/SER_hh_num!J26)</f>
        <v>8689.7280703432316</v>
      </c>
      <c r="K26" s="65">
        <f>IF(SER_hh_fec!K26=0,0,11630*1000*SER_hh_fec!K26/SER_hh_num!K26)</f>
        <v>8525.619608917923</v>
      </c>
      <c r="L26" s="65">
        <f>IF(SER_hh_fec!L26=0,0,11630*1000*SER_hh_fec!L26/SER_hh_num!L26)</f>
        <v>7838.212586100366</v>
      </c>
      <c r="M26" s="65">
        <f>IF(SER_hh_fec!M26=0,0,11630*1000*SER_hh_fec!M26/SER_hh_num!M26)</f>
        <v>8053.2487223447388</v>
      </c>
      <c r="N26" s="65">
        <f>IF(SER_hh_fec!N26=0,0,11630*1000*SER_hh_fec!N26/SER_hh_num!N26)</f>
        <v>8060.3782704644509</v>
      </c>
      <c r="O26" s="65">
        <f>IF(SER_hh_fec!O26=0,0,11630*1000*SER_hh_fec!O26/SER_hh_num!O26)</f>
        <v>8072.3813541515892</v>
      </c>
      <c r="P26" s="65">
        <f>IF(SER_hh_fec!P26=0,0,11630*1000*SER_hh_fec!P26/SER_hh_num!P26)</f>
        <v>8152.5454480494818</v>
      </c>
      <c r="Q26" s="65">
        <f>IF(SER_hh_fec!Q26=0,0,11630*1000*SER_hh_fec!Q26/SER_hh_num!Q26)</f>
        <v>8023.3782292242304</v>
      </c>
      <c r="R26" s="65">
        <f>IF(SER_hh_fec!R26=0,0,11630*1000*SER_hh_fec!R26/SER_hh_num!R26)</f>
        <v>7882.8067535763021</v>
      </c>
      <c r="S26" s="65">
        <f>IF(SER_hh_fec!S26=0,0,11630*1000*SER_hh_fec!S26/SER_hh_num!S26)</f>
        <v>7320.6700560904737</v>
      </c>
      <c r="T26" s="65">
        <f>IF(SER_hh_fec!T26=0,0,11630*1000*SER_hh_fec!T26/SER_hh_num!T26)</f>
        <v>7240.8866796012435</v>
      </c>
      <c r="U26" s="65">
        <f>IF(SER_hh_fec!U26=0,0,11630*1000*SER_hh_fec!U26/SER_hh_num!U26)</f>
        <v>6661.5310896058418</v>
      </c>
      <c r="V26" s="65">
        <f>IF(SER_hh_fec!V26=0,0,11630*1000*SER_hh_fec!V26/SER_hh_num!V26)</f>
        <v>6155.1207822912975</v>
      </c>
      <c r="W26" s="65">
        <f>IF(SER_hh_fec!W26=0,0,11630*1000*SER_hh_fec!W26/SER_hh_num!W26)</f>
        <v>6089.807687138903</v>
      </c>
      <c r="DA26" s="109" t="s">
        <v>406</v>
      </c>
    </row>
    <row r="27" spans="1:105" ht="12" customHeight="1" x14ac:dyDescent="0.25">
      <c r="A27" s="145" t="s">
        <v>86</v>
      </c>
      <c r="B27" s="146">
        <f>IF(SER_hh_fec!B27=0,0,11630*1000*SER_hh_fec!B27/SER_hh_num!B19)</f>
        <v>3740.4250253701302</v>
      </c>
      <c r="C27" s="146">
        <f>IF(SER_hh_fec!C27=0,0,11630*1000*SER_hh_fec!C27/SER_hh_num!C19)</f>
        <v>3555.7959308564687</v>
      </c>
      <c r="D27" s="146">
        <f>IF(SER_hh_fec!D27=0,0,11630*1000*SER_hh_fec!D27/SER_hh_num!D19)</f>
        <v>3586.0727646348423</v>
      </c>
      <c r="E27" s="146">
        <f>IF(SER_hh_fec!E27=0,0,11630*1000*SER_hh_fec!E27/SER_hh_num!E19)</f>
        <v>3620.2286743995764</v>
      </c>
      <c r="F27" s="146">
        <f>IF(SER_hh_fec!F27=0,0,11630*1000*SER_hh_fec!F27/SER_hh_num!F19)</f>
        <v>3881.1134121776799</v>
      </c>
      <c r="G27" s="146">
        <f>IF(SER_hh_fec!G27=0,0,11630*1000*SER_hh_fec!G27/SER_hh_num!G19)</f>
        <v>3957.9767293589675</v>
      </c>
      <c r="H27" s="146">
        <f>IF(SER_hh_fec!H27=0,0,11630*1000*SER_hh_fec!H27/SER_hh_num!H19)</f>
        <v>4028.1718482303468</v>
      </c>
      <c r="I27" s="146">
        <f>IF(SER_hh_fec!I27=0,0,11630*1000*SER_hh_fec!I27/SER_hh_num!I19)</f>
        <v>4861.1495909667929</v>
      </c>
      <c r="J27" s="146">
        <f>IF(SER_hh_fec!J27=0,0,11630*1000*SER_hh_fec!J27/SER_hh_num!J19)</f>
        <v>5090.9212760550363</v>
      </c>
      <c r="K27" s="146">
        <f>IF(SER_hh_fec!K27=0,0,11630*1000*SER_hh_fec!K27/SER_hh_num!K19)</f>
        <v>5098.7855442057289</v>
      </c>
      <c r="L27" s="146">
        <f>IF(SER_hh_fec!L27=0,0,11630*1000*SER_hh_fec!L27/SER_hh_num!L19)</f>
        <v>5173.5656824418556</v>
      </c>
      <c r="M27" s="146">
        <f>IF(SER_hh_fec!M27=0,0,11630*1000*SER_hh_fec!M27/SER_hh_num!M19)</f>
        <v>5215.6088656746488</v>
      </c>
      <c r="N27" s="146">
        <f>IF(SER_hh_fec!N27=0,0,11630*1000*SER_hh_fec!N27/SER_hh_num!N19)</f>
        <v>5239.006738544329</v>
      </c>
      <c r="O27" s="146">
        <f>IF(SER_hh_fec!O27=0,0,11630*1000*SER_hh_fec!O27/SER_hh_num!O19)</f>
        <v>5340.3957963189832</v>
      </c>
      <c r="P27" s="146">
        <f>IF(SER_hh_fec!P27=0,0,11630*1000*SER_hh_fec!P27/SER_hh_num!P19)</f>
        <v>5473.6430815993226</v>
      </c>
      <c r="Q27" s="146">
        <f>IF(SER_hh_fec!Q27=0,0,11630*1000*SER_hh_fec!Q27/SER_hh_num!Q19)</f>
        <v>5602.04956315236</v>
      </c>
      <c r="R27" s="146">
        <f>IF(SER_hh_fec!R27=0,0,11630*1000*SER_hh_fec!R27/SER_hh_num!R19)</f>
        <v>5646.9380479503261</v>
      </c>
      <c r="S27" s="146">
        <f>IF(SER_hh_fec!S27=0,0,11630*1000*SER_hh_fec!S27/SER_hh_num!S19)</f>
        <v>5671.5097665779367</v>
      </c>
      <c r="T27" s="146">
        <f>IF(SER_hh_fec!T27=0,0,11630*1000*SER_hh_fec!T27/SER_hh_num!T19)</f>
        <v>5709.3020840138997</v>
      </c>
      <c r="U27" s="146">
        <f>IF(SER_hh_fec!U27=0,0,11630*1000*SER_hh_fec!U27/SER_hh_num!U19)</f>
        <v>5720.1160094616434</v>
      </c>
      <c r="V27" s="146">
        <f>IF(SER_hh_fec!V27=0,0,11630*1000*SER_hh_fec!V27/SER_hh_num!V19)</f>
        <v>5751.8085481206481</v>
      </c>
      <c r="W27" s="146">
        <f>IF(SER_hh_fec!W27=0,0,11630*1000*SER_hh_fec!W27/SER_hh_num!W19)</f>
        <v>5789.942405469209</v>
      </c>
      <c r="DA27" s="159" t="s">
        <v>407</v>
      </c>
    </row>
    <row r="28" spans="1:105" ht="12" customHeight="1" x14ac:dyDescent="0.25">
      <c r="A28" s="78" t="s">
        <v>85</v>
      </c>
      <c r="B28" s="147">
        <f>IF(SER_hh_fec!B27=0,0,11630*1000*SER_hh_fec!B27/SER_hh_num!B27)</f>
        <v>10096.51613778319</v>
      </c>
      <c r="C28" s="147">
        <f>IF(SER_hh_fec!C27=0,0,11630*1000*SER_hh_fec!C27/SER_hh_num!C27)</f>
        <v>10156.128885278766</v>
      </c>
      <c r="D28" s="147">
        <f>IF(SER_hh_fec!D27=0,0,11630*1000*SER_hh_fec!D27/SER_hh_num!D27)</f>
        <v>9407.4708899249381</v>
      </c>
      <c r="E28" s="147">
        <f>IF(SER_hh_fec!E27=0,0,11630*1000*SER_hh_fec!E27/SER_hh_num!E27)</f>
        <v>8808.4411034179939</v>
      </c>
      <c r="F28" s="147">
        <f>IF(SER_hh_fec!F27=0,0,11630*1000*SER_hh_fec!F27/SER_hh_num!F27)</f>
        <v>8921.8161348543654</v>
      </c>
      <c r="G28" s="147">
        <f>IF(SER_hh_fec!G27=0,0,11630*1000*SER_hh_fec!G27/SER_hh_num!G27)</f>
        <v>8387.2591979939734</v>
      </c>
      <c r="H28" s="147">
        <f>IF(SER_hh_fec!H27=0,0,11630*1000*SER_hh_fec!H27/SER_hh_num!H27)</f>
        <v>8692.5913730264856</v>
      </c>
      <c r="I28" s="147">
        <f>IF(SER_hh_fec!I27=0,0,11630*1000*SER_hh_fec!I27/SER_hh_num!I27)</f>
        <v>9541.5853878898943</v>
      </c>
      <c r="J28" s="147">
        <f>IF(SER_hh_fec!J27=0,0,11630*1000*SER_hh_fec!J27/SER_hh_num!J27)</f>
        <v>9719.795001412218</v>
      </c>
      <c r="K28" s="147">
        <f>IF(SER_hh_fec!K27=0,0,11630*1000*SER_hh_fec!K27/SER_hh_num!K27)</f>
        <v>9335.5969403851177</v>
      </c>
      <c r="L28" s="147">
        <f>IF(SER_hh_fec!L27=0,0,11630*1000*SER_hh_fec!L27/SER_hh_num!L27)</f>
        <v>9528.6882716973214</v>
      </c>
      <c r="M28" s="147">
        <f>IF(SER_hh_fec!M27=0,0,11630*1000*SER_hh_fec!M27/SER_hh_num!M27)</f>
        <v>9495.8787744452075</v>
      </c>
      <c r="N28" s="147">
        <f>IF(SER_hh_fec!N27=0,0,11630*1000*SER_hh_fec!N27/SER_hh_num!N27)</f>
        <v>10060.641549324722</v>
      </c>
      <c r="O28" s="147">
        <f>IF(SER_hh_fec!O27=0,0,11630*1000*SER_hh_fec!O27/SER_hh_num!O27)</f>
        <v>11326.364981225945</v>
      </c>
      <c r="P28" s="147">
        <f>IF(SER_hh_fec!P27=0,0,11630*1000*SER_hh_fec!P27/SER_hh_num!P27)</f>
        <v>11484.378746428662</v>
      </c>
      <c r="Q28" s="147">
        <f>IF(SER_hh_fec!Q27=0,0,11630*1000*SER_hh_fec!Q27/SER_hh_num!Q27)</f>
        <v>11331.793936943357</v>
      </c>
      <c r="R28" s="147">
        <f>IF(SER_hh_fec!R27=0,0,11630*1000*SER_hh_fec!R27/SER_hh_num!R27)</f>
        <v>10999.728169011049</v>
      </c>
      <c r="S28" s="147">
        <f>IF(SER_hh_fec!S27=0,0,11630*1000*SER_hh_fec!S27/SER_hh_num!S27)</f>
        <v>10352.243643598558</v>
      </c>
      <c r="T28" s="147">
        <f>IF(SER_hh_fec!T27=0,0,11630*1000*SER_hh_fec!T27/SER_hh_num!T27)</f>
        <v>10575.482297611019</v>
      </c>
      <c r="U28" s="147">
        <f>IF(SER_hh_fec!U27=0,0,11630*1000*SER_hh_fec!U27/SER_hh_num!U27)</f>
        <v>10597.088047447727</v>
      </c>
      <c r="V28" s="147">
        <f>IF(SER_hh_fec!V27=0,0,11630*1000*SER_hh_fec!V27/SER_hh_num!V27)</f>
        <v>9858.2588605531819</v>
      </c>
      <c r="W28" s="147">
        <f>IF(SER_hh_fec!W27=0,0,11630*1000*SER_hh_fec!W27/SER_hh_num!W27)</f>
        <v>9848.6752682877377</v>
      </c>
      <c r="DA28" s="160"/>
    </row>
    <row r="29" spans="1:105" ht="12.95" customHeight="1" x14ac:dyDescent="0.25">
      <c r="A29" s="130" t="s">
        <v>34</v>
      </c>
      <c r="B29" s="131">
        <f>IF(SER_hh_fec!B29=0,0,11630*1000*SER_hh_fec!B29/SER_hh_num!B29)</f>
        <v>15278.248028119668</v>
      </c>
      <c r="C29" s="131">
        <f>IF(SER_hh_fec!C29=0,0,11630*1000*SER_hh_fec!C29/SER_hh_num!C29)</f>
        <v>15161.244560483699</v>
      </c>
      <c r="D29" s="131">
        <f>IF(SER_hh_fec!D29=0,0,11630*1000*SER_hh_fec!D29/SER_hh_num!D29)</f>
        <v>15327.280577126059</v>
      </c>
      <c r="E29" s="131">
        <f>IF(SER_hh_fec!E29=0,0,11630*1000*SER_hh_fec!E29/SER_hh_num!E29)</f>
        <v>15423.249782027668</v>
      </c>
      <c r="F29" s="131">
        <f>IF(SER_hh_fec!F29=0,0,11630*1000*SER_hh_fec!F29/SER_hh_num!F29)</f>
        <v>15750.836354882695</v>
      </c>
      <c r="G29" s="131">
        <f>IF(SER_hh_fec!G29=0,0,11630*1000*SER_hh_fec!G29/SER_hh_num!G29)</f>
        <v>16026.404517584955</v>
      </c>
      <c r="H29" s="131">
        <f>IF(SER_hh_fec!H29=0,0,11630*1000*SER_hh_fec!H29/SER_hh_num!H29)</f>
        <v>16853.817405882393</v>
      </c>
      <c r="I29" s="131">
        <f>IF(SER_hh_fec!I29=0,0,11630*1000*SER_hh_fec!I29/SER_hh_num!I29)</f>
        <v>17103.453039794851</v>
      </c>
      <c r="J29" s="131">
        <f>IF(SER_hh_fec!J29=0,0,11630*1000*SER_hh_fec!J29/SER_hh_num!J29)</f>
        <v>17335.019368359837</v>
      </c>
      <c r="K29" s="131">
        <f>IF(SER_hh_fec!K29=0,0,11630*1000*SER_hh_fec!K29/SER_hh_num!K29)</f>
        <v>16978.362560595917</v>
      </c>
      <c r="L29" s="131">
        <f>IF(SER_hh_fec!L29=0,0,11630*1000*SER_hh_fec!L29/SER_hh_num!L29)</f>
        <v>16627.268875293077</v>
      </c>
      <c r="M29" s="131">
        <f>IF(SER_hh_fec!M29=0,0,11630*1000*SER_hh_fec!M29/SER_hh_num!M29)</f>
        <v>16756.926373264432</v>
      </c>
      <c r="N29" s="131">
        <f>IF(SER_hh_fec!N29=0,0,11630*1000*SER_hh_fec!N29/SER_hh_num!N29)</f>
        <v>16835.045210744145</v>
      </c>
      <c r="O29" s="131">
        <f>IF(SER_hh_fec!O29=0,0,11630*1000*SER_hh_fec!O29/SER_hh_num!O29)</f>
        <v>16720.623927801109</v>
      </c>
      <c r="P29" s="131">
        <f>IF(SER_hh_fec!P29=0,0,11630*1000*SER_hh_fec!P29/SER_hh_num!P29)</f>
        <v>16717.322172060831</v>
      </c>
      <c r="Q29" s="131">
        <f>IF(SER_hh_fec!Q29=0,0,11630*1000*SER_hh_fec!Q29/SER_hh_num!Q29)</f>
        <v>16802.70863770607</v>
      </c>
      <c r="R29" s="131">
        <f>IF(SER_hh_fec!R29=0,0,11630*1000*SER_hh_fec!R29/SER_hh_num!R29)</f>
        <v>16661.100991325413</v>
      </c>
      <c r="S29" s="131">
        <f>IF(SER_hh_fec!S29=0,0,11630*1000*SER_hh_fec!S29/SER_hh_num!S29)</f>
        <v>16845.922722607123</v>
      </c>
      <c r="T29" s="131">
        <f>IF(SER_hh_fec!T29=0,0,11630*1000*SER_hh_fec!T29/SER_hh_num!T29)</f>
        <v>16967.742523031669</v>
      </c>
      <c r="U29" s="131">
        <f>IF(SER_hh_fec!U29=0,0,11630*1000*SER_hh_fec!U29/SER_hh_num!U29)</f>
        <v>17287.285052613654</v>
      </c>
      <c r="V29" s="131">
        <f>IF(SER_hh_fec!V29=0,0,11630*1000*SER_hh_fec!V29/SER_hh_num!V29)</f>
        <v>15218.082777785537</v>
      </c>
      <c r="W29" s="131">
        <f>IF(SER_hh_fec!W29=0,0,11630*1000*SER_hh_fec!W29/SER_hh_num!W29)</f>
        <v>15081.083049652096</v>
      </c>
      <c r="DA29" s="156" t="s">
        <v>408</v>
      </c>
    </row>
    <row r="30" spans="1:105" ht="12" customHeight="1" x14ac:dyDescent="0.25">
      <c r="A30" s="132" t="s">
        <v>52</v>
      </c>
      <c r="B30" s="133">
        <f>IF(SER_hh_fec!B30=0,0,11630*1000*SER_hh_fec!B30/SER_hh_num!B30)</f>
        <v>0</v>
      </c>
      <c r="C30" s="133">
        <f>IF(SER_hh_fec!C30=0,0,11630*1000*SER_hh_fec!C30/SER_hh_num!C30)</f>
        <v>0</v>
      </c>
      <c r="D30" s="133">
        <f>IF(SER_hh_fec!D30=0,0,11630*1000*SER_hh_fec!D30/SER_hh_num!D30)</f>
        <v>0</v>
      </c>
      <c r="E30" s="133">
        <f>IF(SER_hh_fec!E30=0,0,11630*1000*SER_hh_fec!E30/SER_hh_num!E30)</f>
        <v>0</v>
      </c>
      <c r="F30" s="133">
        <f>IF(SER_hh_fec!F30=0,0,11630*1000*SER_hh_fec!F30/SER_hh_num!F30)</f>
        <v>0</v>
      </c>
      <c r="G30" s="133">
        <f>IF(SER_hh_fec!G30=0,0,11630*1000*SER_hh_fec!G30/SER_hh_num!G30)</f>
        <v>0</v>
      </c>
      <c r="H30" s="133">
        <f>IF(SER_hh_fec!H30=0,0,11630*1000*SER_hh_fec!H30/SER_hh_num!H30)</f>
        <v>27548.019291147593</v>
      </c>
      <c r="I30" s="133">
        <f>IF(SER_hh_fec!I30=0,0,11630*1000*SER_hh_fec!I30/SER_hh_num!I30)</f>
        <v>21065.3129253509</v>
      </c>
      <c r="J30" s="133">
        <f>IF(SER_hh_fec!J30=0,0,11630*1000*SER_hh_fec!J30/SER_hh_num!J30)</f>
        <v>21981.126553797923</v>
      </c>
      <c r="K30" s="133">
        <f>IF(SER_hh_fec!K30=0,0,11630*1000*SER_hh_fec!K30/SER_hh_num!K30)</f>
        <v>18586.335067753291</v>
      </c>
      <c r="L30" s="133">
        <f>IF(SER_hh_fec!L30=0,0,11630*1000*SER_hh_fec!L30/SER_hh_num!L30)</f>
        <v>17169.172776200772</v>
      </c>
      <c r="M30" s="133">
        <f>IF(SER_hh_fec!M30=0,0,11630*1000*SER_hh_fec!M30/SER_hh_num!M30)</f>
        <v>20579.722475502695</v>
      </c>
      <c r="N30" s="133">
        <f>IF(SER_hh_fec!N30=0,0,11630*1000*SER_hh_fec!N30/SER_hh_num!N30)</f>
        <v>21247.273281437501</v>
      </c>
      <c r="O30" s="133">
        <f>IF(SER_hh_fec!O30=0,0,11630*1000*SER_hh_fec!O30/SER_hh_num!O30)</f>
        <v>19759.3626397874</v>
      </c>
      <c r="P30" s="133">
        <f>IF(SER_hh_fec!P30=0,0,11630*1000*SER_hh_fec!P30/SER_hh_num!P30)</f>
        <v>17289.987144080122</v>
      </c>
      <c r="Q30" s="133">
        <f>IF(SER_hh_fec!Q30=0,0,11630*1000*SER_hh_fec!Q30/SER_hh_num!Q30)</f>
        <v>19754.140525982013</v>
      </c>
      <c r="R30" s="133">
        <f>IF(SER_hh_fec!R30=0,0,11630*1000*SER_hh_fec!R30/SER_hh_num!R30)</f>
        <v>17604.850979223873</v>
      </c>
      <c r="S30" s="133">
        <f>IF(SER_hh_fec!S30=0,0,11630*1000*SER_hh_fec!S30/SER_hh_num!S30)</f>
        <v>20305.318423063625</v>
      </c>
      <c r="T30" s="133">
        <f>IF(SER_hh_fec!T30=0,0,11630*1000*SER_hh_fec!T30/SER_hh_num!T30)</f>
        <v>21090.703840604736</v>
      </c>
      <c r="U30" s="133">
        <f>IF(SER_hh_fec!U30=0,0,11630*1000*SER_hh_fec!U30/SER_hh_num!U30)</f>
        <v>26729.802547269159</v>
      </c>
      <c r="V30" s="133">
        <f>IF(SER_hh_fec!V30=0,0,11630*1000*SER_hh_fec!V30/SER_hh_num!V30)</f>
        <v>18711.432850083918</v>
      </c>
      <c r="W30" s="133">
        <f>IF(SER_hh_fec!W30=0,0,11630*1000*SER_hh_fec!W30/SER_hh_num!W30)</f>
        <v>16440.028327231958</v>
      </c>
      <c r="DA30" s="157" t="s">
        <v>409</v>
      </c>
    </row>
    <row r="31" spans="1:105" ht="12" customHeight="1" x14ac:dyDescent="0.25">
      <c r="A31" s="132" t="s">
        <v>153</v>
      </c>
      <c r="B31" s="133">
        <f>IF(SER_hh_fec!B31=0,0,11630*1000*SER_hh_fec!B31/SER_hh_num!B31)</f>
        <v>0</v>
      </c>
      <c r="C31" s="133">
        <f>IF(SER_hh_fec!C31=0,0,11630*1000*SER_hh_fec!C31/SER_hh_num!C31)</f>
        <v>0</v>
      </c>
      <c r="D31" s="133">
        <f>IF(SER_hh_fec!D31=0,0,11630*1000*SER_hh_fec!D31/SER_hh_num!D31)</f>
        <v>0</v>
      </c>
      <c r="E31" s="133">
        <f>IF(SER_hh_fec!E31=0,0,11630*1000*SER_hh_fec!E31/SER_hh_num!E31)</f>
        <v>0</v>
      </c>
      <c r="F31" s="133">
        <f>IF(SER_hh_fec!F31=0,0,11630*1000*SER_hh_fec!F31/SER_hh_num!F31)</f>
        <v>0</v>
      </c>
      <c r="G31" s="133">
        <f>IF(SER_hh_fec!G31=0,0,11630*1000*SER_hh_fec!G31/SER_hh_num!G31)</f>
        <v>0</v>
      </c>
      <c r="H31" s="133">
        <f>IF(SER_hh_fec!H31=0,0,11630*1000*SER_hh_fec!H31/SER_hh_num!H31)</f>
        <v>0</v>
      </c>
      <c r="I31" s="133">
        <f>IF(SER_hh_fec!I31=0,0,11630*1000*SER_hh_fec!I31/SER_hh_num!I31)</f>
        <v>0</v>
      </c>
      <c r="J31" s="133">
        <f>IF(SER_hh_fec!J31=0,0,11630*1000*SER_hh_fec!J31/SER_hh_num!J31)</f>
        <v>0</v>
      </c>
      <c r="K31" s="133">
        <f>IF(SER_hh_fec!K31=0,0,11630*1000*SER_hh_fec!K31/SER_hh_num!K31)</f>
        <v>0</v>
      </c>
      <c r="L31" s="133">
        <f>IF(SER_hh_fec!L31=0,0,11630*1000*SER_hh_fec!L31/SER_hh_num!L31)</f>
        <v>0</v>
      </c>
      <c r="M31" s="133">
        <f>IF(SER_hh_fec!M31=0,0,11630*1000*SER_hh_fec!M31/SER_hh_num!M31)</f>
        <v>0</v>
      </c>
      <c r="N31" s="133">
        <f>IF(SER_hh_fec!N31=0,0,11630*1000*SER_hh_fec!N31/SER_hh_num!N31)</f>
        <v>0</v>
      </c>
      <c r="O31" s="133">
        <f>IF(SER_hh_fec!O31=0,0,11630*1000*SER_hh_fec!O31/SER_hh_num!O31)</f>
        <v>0</v>
      </c>
      <c r="P31" s="133">
        <f>IF(SER_hh_fec!P31=0,0,11630*1000*SER_hh_fec!P31/SER_hh_num!P31)</f>
        <v>0</v>
      </c>
      <c r="Q31" s="133">
        <f>IF(SER_hh_fec!Q31=0,0,11630*1000*SER_hh_fec!Q31/SER_hh_num!Q31)</f>
        <v>0</v>
      </c>
      <c r="R31" s="133">
        <f>IF(SER_hh_fec!R31=0,0,11630*1000*SER_hh_fec!R31/SER_hh_num!R31)</f>
        <v>0</v>
      </c>
      <c r="S31" s="133">
        <f>IF(SER_hh_fec!S31=0,0,11630*1000*SER_hh_fec!S31/SER_hh_num!S31)</f>
        <v>0</v>
      </c>
      <c r="T31" s="133">
        <f>IF(SER_hh_fec!T31=0,0,11630*1000*SER_hh_fec!T31/SER_hh_num!T31)</f>
        <v>0</v>
      </c>
      <c r="U31" s="133">
        <f>IF(SER_hh_fec!U31=0,0,11630*1000*SER_hh_fec!U31/SER_hh_num!U31)</f>
        <v>0</v>
      </c>
      <c r="V31" s="133">
        <f>IF(SER_hh_fec!V31=0,0,11630*1000*SER_hh_fec!V31/SER_hh_num!V31)</f>
        <v>0</v>
      </c>
      <c r="W31" s="133">
        <f>IF(SER_hh_fec!W31=0,0,11630*1000*SER_hh_fec!W31/SER_hh_num!W31)</f>
        <v>0</v>
      </c>
      <c r="DA31" s="157" t="s">
        <v>410</v>
      </c>
    </row>
    <row r="32" spans="1:105" ht="12" customHeight="1" x14ac:dyDescent="0.25">
      <c r="A32" s="132" t="s">
        <v>128</v>
      </c>
      <c r="B32" s="133">
        <f>IF(SER_hh_fec!B32=0,0,11630*1000*SER_hh_fec!B32/SER_hh_num!B32)</f>
        <v>20156.782217387256</v>
      </c>
      <c r="C32" s="133">
        <f>IF(SER_hh_fec!C32=0,0,11630*1000*SER_hh_fec!C32/SER_hh_num!C32)</f>
        <v>18282.015000659681</v>
      </c>
      <c r="D32" s="133">
        <f>IF(SER_hh_fec!D32=0,0,11630*1000*SER_hh_fec!D32/SER_hh_num!D32)</f>
        <v>21647.281711143609</v>
      </c>
      <c r="E32" s="133">
        <f>IF(SER_hh_fec!E32=0,0,11630*1000*SER_hh_fec!E32/SER_hh_num!E32)</f>
        <v>19247.018907469366</v>
      </c>
      <c r="F32" s="133">
        <f>IF(SER_hh_fec!F32=0,0,11630*1000*SER_hh_fec!F32/SER_hh_num!F32)</f>
        <v>20093.268803480016</v>
      </c>
      <c r="G32" s="133">
        <f>IF(SER_hh_fec!G32=0,0,11630*1000*SER_hh_fec!G32/SER_hh_num!G32)</f>
        <v>21543.861864362254</v>
      </c>
      <c r="H32" s="133">
        <f>IF(SER_hh_fec!H32=0,0,11630*1000*SER_hh_fec!H32/SER_hh_num!H32)</f>
        <v>19080.86417035319</v>
      </c>
      <c r="I32" s="133">
        <f>IF(SER_hh_fec!I32=0,0,11630*1000*SER_hh_fec!I32/SER_hh_num!I32)</f>
        <v>23105.256130309252</v>
      </c>
      <c r="J32" s="133">
        <f>IF(SER_hh_fec!J32=0,0,11630*1000*SER_hh_fec!J32/SER_hh_num!J32)</f>
        <v>21866.573135476894</v>
      </c>
      <c r="K32" s="133">
        <f>IF(SER_hh_fec!K32=0,0,11630*1000*SER_hh_fec!K32/SER_hh_num!K32)</f>
        <v>20979.350807782244</v>
      </c>
      <c r="L32" s="133">
        <f>IF(SER_hh_fec!L32=0,0,11630*1000*SER_hh_fec!L32/SER_hh_num!L32)</f>
        <v>20915.058162276109</v>
      </c>
      <c r="M32" s="133">
        <f>IF(SER_hh_fec!M32=0,0,11630*1000*SER_hh_fec!M32/SER_hh_num!M32)</f>
        <v>20874.538397484521</v>
      </c>
      <c r="N32" s="133">
        <f>IF(SER_hh_fec!N32=0,0,11630*1000*SER_hh_fec!N32/SER_hh_num!N32)</f>
        <v>20888.77758815424</v>
      </c>
      <c r="O32" s="133">
        <f>IF(SER_hh_fec!O32=0,0,11630*1000*SER_hh_fec!O32/SER_hh_num!O32)</f>
        <v>20983.315223309717</v>
      </c>
      <c r="P32" s="133">
        <f>IF(SER_hh_fec!P32=0,0,11630*1000*SER_hh_fec!P32/SER_hh_num!P32)</f>
        <v>21158.397428918677</v>
      </c>
      <c r="Q32" s="133">
        <f>IF(SER_hh_fec!Q32=0,0,11630*1000*SER_hh_fec!Q32/SER_hh_num!Q32)</f>
        <v>20755.352233732952</v>
      </c>
      <c r="R32" s="133">
        <f>IF(SER_hh_fec!R32=0,0,11630*1000*SER_hh_fec!R32/SER_hh_num!R32)</f>
        <v>20744.120853462871</v>
      </c>
      <c r="S32" s="133">
        <f>IF(SER_hh_fec!S32=0,0,11630*1000*SER_hh_fec!S32/SER_hh_num!S32)</f>
        <v>20336.011402036296</v>
      </c>
      <c r="T32" s="133">
        <f>IF(SER_hh_fec!T32=0,0,11630*1000*SER_hh_fec!T32/SER_hh_num!T32)</f>
        <v>19393.697117984349</v>
      </c>
      <c r="U32" s="133">
        <f>IF(SER_hh_fec!U32=0,0,11630*1000*SER_hh_fec!U32/SER_hh_num!U32)</f>
        <v>22191.849634380098</v>
      </c>
      <c r="V32" s="133">
        <f>IF(SER_hh_fec!V32=0,0,11630*1000*SER_hh_fec!V32/SER_hh_num!V32)</f>
        <v>20947.553939403388</v>
      </c>
      <c r="W32" s="133">
        <f>IF(SER_hh_fec!W32=0,0,11630*1000*SER_hh_fec!W32/SER_hh_num!W32)</f>
        <v>14025.729206936065</v>
      </c>
      <c r="DA32" s="157" t="s">
        <v>411</v>
      </c>
    </row>
    <row r="33" spans="1:105" ht="12" customHeight="1" x14ac:dyDescent="0.25">
      <c r="A33" s="62" t="s">
        <v>24</v>
      </c>
      <c r="B33" s="68">
        <f>IF(SER_hh_fec!B33=0,0,11630*1000*SER_hh_fec!B33/SER_hh_num!B33)</f>
        <v>14953.318595387067</v>
      </c>
      <c r="C33" s="68">
        <f>IF(SER_hh_fec!C33=0,0,11630*1000*SER_hh_fec!C33/SER_hh_num!C33)</f>
        <v>14935.366266379051</v>
      </c>
      <c r="D33" s="68">
        <f>IF(SER_hh_fec!D33=0,0,11630*1000*SER_hh_fec!D33/SER_hh_num!D33)</f>
        <v>14787.557828133424</v>
      </c>
      <c r="E33" s="68">
        <f>IF(SER_hh_fec!E33=0,0,11630*1000*SER_hh_fec!E33/SER_hh_num!E33)</f>
        <v>15058.735262905622</v>
      </c>
      <c r="F33" s="68">
        <f>IF(SER_hh_fec!F33=0,0,11630*1000*SER_hh_fec!F33/SER_hh_num!F33)</f>
        <v>15282.689376249451</v>
      </c>
      <c r="G33" s="68">
        <f>IF(SER_hh_fec!G33=0,0,11630*1000*SER_hh_fec!G33/SER_hh_num!G33)</f>
        <v>15337.834323789875</v>
      </c>
      <c r="H33" s="68">
        <f>IF(SER_hh_fec!H33=0,0,11630*1000*SER_hh_fec!H33/SER_hh_num!H33)</f>
        <v>14563.599379986692</v>
      </c>
      <c r="I33" s="68">
        <f>IF(SER_hh_fec!I33=0,0,11630*1000*SER_hh_fec!I33/SER_hh_num!I33)</f>
        <v>14950.109655561901</v>
      </c>
      <c r="J33" s="68">
        <f>IF(SER_hh_fec!J33=0,0,11630*1000*SER_hh_fec!J33/SER_hh_num!J33)</f>
        <v>15101.973685799205</v>
      </c>
      <c r="K33" s="68">
        <f>IF(SER_hh_fec!K33=0,0,11630*1000*SER_hh_fec!K33/SER_hh_num!K33)</f>
        <v>15742.686652510261</v>
      </c>
      <c r="L33" s="68">
        <f>IF(SER_hh_fec!L33=0,0,11630*1000*SER_hh_fec!L33/SER_hh_num!L33)</f>
        <v>15638.915171285707</v>
      </c>
      <c r="M33" s="68">
        <f>IF(SER_hh_fec!M33=0,0,11630*1000*SER_hh_fec!M33/SER_hh_num!M33)</f>
        <v>14924.317960632665</v>
      </c>
      <c r="N33" s="68">
        <f>IF(SER_hh_fec!N33=0,0,11630*1000*SER_hh_fec!N33/SER_hh_num!N33)</f>
        <v>14857.430591246151</v>
      </c>
      <c r="O33" s="68">
        <f>IF(SER_hh_fec!O33=0,0,11630*1000*SER_hh_fec!O33/SER_hh_num!O33)</f>
        <v>15093.006209134819</v>
      </c>
      <c r="P33" s="68">
        <f>IF(SER_hh_fec!P33=0,0,11630*1000*SER_hh_fec!P33/SER_hh_num!P33)</f>
        <v>15725.508565943046</v>
      </c>
      <c r="Q33" s="68">
        <f>IF(SER_hh_fec!Q33=0,0,11630*1000*SER_hh_fec!Q33/SER_hh_num!Q33)</f>
        <v>15184.924208525912</v>
      </c>
      <c r="R33" s="68">
        <f>IF(SER_hh_fec!R33=0,0,11630*1000*SER_hh_fec!R33/SER_hh_num!R33)</f>
        <v>15546.613684645758</v>
      </c>
      <c r="S33" s="68">
        <f>IF(SER_hh_fec!S33=0,0,11630*1000*SER_hh_fec!S33/SER_hh_num!S33)</f>
        <v>14658.763261610758</v>
      </c>
      <c r="T33" s="68">
        <f>IF(SER_hh_fec!T33=0,0,11630*1000*SER_hh_fec!T33/SER_hh_num!T33)</f>
        <v>14671.699973849227</v>
      </c>
      <c r="U33" s="68">
        <f>IF(SER_hh_fec!U33=0,0,11630*1000*SER_hh_fec!U33/SER_hh_num!U33)</f>
        <v>12213.94498931053</v>
      </c>
      <c r="V33" s="68">
        <f>IF(SER_hh_fec!V33=0,0,11630*1000*SER_hh_fec!V33/SER_hh_num!V33)</f>
        <v>12294.387068356924</v>
      </c>
      <c r="W33" s="68">
        <f>IF(SER_hh_fec!W33=0,0,11630*1000*SER_hh_fec!W33/SER_hh_num!W33)</f>
        <v>14793.071688601567</v>
      </c>
      <c r="DA33" s="111" t="s">
        <v>412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413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88</v>
      </c>
      <c r="B3" s="126">
        <f>IF(SER_hh_tes!B3=0,0,11630*1000*SER_hh_tes!B3/SER_hh_num!B3)</f>
        <v>54146.950020681397</v>
      </c>
      <c r="C3" s="126">
        <f>IF(SER_hh_tes!C3=0,0,11630*1000*SER_hh_tes!C3/SER_hh_num!C3)</f>
        <v>59129.641209067995</v>
      </c>
      <c r="D3" s="126">
        <f>IF(SER_hh_tes!D3=0,0,11630*1000*SER_hh_tes!D3/SER_hh_num!D3)</f>
        <v>65734.217604090387</v>
      </c>
      <c r="E3" s="126">
        <f>IF(SER_hh_tes!E3=0,0,11630*1000*SER_hh_tes!E3/SER_hh_num!E3)</f>
        <v>71887.617953323977</v>
      </c>
      <c r="F3" s="126">
        <f>IF(SER_hh_tes!F3=0,0,11630*1000*SER_hh_tes!F3/SER_hh_num!F3)</f>
        <v>71379.41436047254</v>
      </c>
      <c r="G3" s="126">
        <f>IF(SER_hh_tes!G3=0,0,11630*1000*SER_hh_tes!G3/SER_hh_num!G3)</f>
        <v>73759.68043119162</v>
      </c>
      <c r="H3" s="126">
        <f>IF(SER_hh_tes!H3=0,0,11630*1000*SER_hh_tes!H3/SER_hh_num!H3)</f>
        <v>88823.57112175753</v>
      </c>
      <c r="I3" s="126">
        <f>IF(SER_hh_tes!I3=0,0,11630*1000*SER_hh_tes!I3/SER_hh_num!I3)</f>
        <v>96564.189854267242</v>
      </c>
      <c r="J3" s="126">
        <f>IF(SER_hh_tes!J3=0,0,11630*1000*SER_hh_tes!J3/SER_hh_num!J3)</f>
        <v>104882.30496308484</v>
      </c>
      <c r="K3" s="126">
        <f>IF(SER_hh_tes!K3=0,0,11630*1000*SER_hh_tes!K3/SER_hh_num!K3)</f>
        <v>105858.32724584753</v>
      </c>
      <c r="L3" s="126">
        <f>IF(SER_hh_tes!L3=0,0,11630*1000*SER_hh_tes!L3/SER_hh_num!L3)</f>
        <v>112311.99851089322</v>
      </c>
      <c r="M3" s="126">
        <f>IF(SER_hh_tes!M3=0,0,11630*1000*SER_hh_tes!M3/SER_hh_num!M3)</f>
        <v>106678.79874250501</v>
      </c>
      <c r="N3" s="126">
        <f>IF(SER_hh_tes!N3=0,0,11630*1000*SER_hh_tes!N3/SER_hh_num!N3)</f>
        <v>110691.05852610625</v>
      </c>
      <c r="O3" s="126">
        <f>IF(SER_hh_tes!O3=0,0,11630*1000*SER_hh_tes!O3/SER_hh_num!O3)</f>
        <v>107282.95528184978</v>
      </c>
      <c r="P3" s="126">
        <f>IF(SER_hh_tes!P3=0,0,11630*1000*SER_hh_tes!P3/SER_hh_num!P3)</f>
        <v>105704.18314276426</v>
      </c>
      <c r="Q3" s="126">
        <f>IF(SER_hh_tes!Q3=0,0,11630*1000*SER_hh_tes!Q3/SER_hh_num!Q3)</f>
        <v>113296.64389948102</v>
      </c>
      <c r="R3" s="126">
        <f>IF(SER_hh_tes!R3=0,0,11630*1000*SER_hh_tes!R3/SER_hh_num!R3)</f>
        <v>124308.40606888835</v>
      </c>
      <c r="S3" s="126">
        <f>IF(SER_hh_tes!S3=0,0,11630*1000*SER_hh_tes!S3/SER_hh_num!S3)</f>
        <v>126456.91293411201</v>
      </c>
      <c r="T3" s="126">
        <f>IF(SER_hh_tes!T3=0,0,11630*1000*SER_hh_tes!T3/SER_hh_num!T3)</f>
        <v>143596.96524450701</v>
      </c>
      <c r="U3" s="126">
        <f>IF(SER_hh_tes!U3=0,0,11630*1000*SER_hh_tes!U3/SER_hh_num!U3)</f>
        <v>140386.39679869768</v>
      </c>
      <c r="V3" s="126">
        <f>IF(SER_hh_tes!V3=0,0,11630*1000*SER_hh_tes!V3/SER_hh_num!V3)</f>
        <v>129687.23784524754</v>
      </c>
      <c r="W3" s="126">
        <f>IF(SER_hh_tes!W3=0,0,11630*1000*SER_hh_tes!W3/SER_hh_num!W3)</f>
        <v>132208.09468120878</v>
      </c>
      <c r="DA3" s="155" t="s">
        <v>414</v>
      </c>
    </row>
    <row r="4" spans="1:105" ht="12.95" customHeight="1" x14ac:dyDescent="0.25">
      <c r="A4" s="130" t="s">
        <v>32</v>
      </c>
      <c r="B4" s="131">
        <f>IF(SER_hh_tes!B4=0,0,11630*1000*SER_hh_tes!B4/SER_hh_num!B4)</f>
        <v>10133.321656869941</v>
      </c>
      <c r="C4" s="131">
        <f>IF(SER_hh_tes!C4=0,0,11630*1000*SER_hh_tes!C4/SER_hh_num!C4)</f>
        <v>13399.331735725911</v>
      </c>
      <c r="D4" s="131">
        <f>IF(SER_hh_tes!D4=0,0,11630*1000*SER_hh_tes!D4/SER_hh_num!D4)</f>
        <v>16284.506160567418</v>
      </c>
      <c r="E4" s="131">
        <f>IF(SER_hh_tes!E4=0,0,11630*1000*SER_hh_tes!E4/SER_hh_num!E4)</f>
        <v>16720.72248037055</v>
      </c>
      <c r="F4" s="131">
        <f>IF(SER_hh_tes!F4=0,0,11630*1000*SER_hh_tes!F4/SER_hh_num!F4)</f>
        <v>17983.024305080704</v>
      </c>
      <c r="G4" s="131">
        <f>IF(SER_hh_tes!G4=0,0,11630*1000*SER_hh_tes!G4/SER_hh_num!G4)</f>
        <v>19926.413438605756</v>
      </c>
      <c r="H4" s="131">
        <f>IF(SER_hh_tes!H4=0,0,11630*1000*SER_hh_tes!H4/SER_hh_num!H4)</f>
        <v>28074.589413703306</v>
      </c>
      <c r="I4" s="131">
        <f>IF(SER_hh_tes!I4=0,0,11630*1000*SER_hh_tes!I4/SER_hh_num!I4)</f>
        <v>29057.189534267738</v>
      </c>
      <c r="J4" s="131">
        <f>IF(SER_hh_tes!J4=0,0,11630*1000*SER_hh_tes!J4/SER_hh_num!J4)</f>
        <v>33967.498687346306</v>
      </c>
      <c r="K4" s="131">
        <f>IF(SER_hh_tes!K4=0,0,11630*1000*SER_hh_tes!K4/SER_hh_num!K4)</f>
        <v>35007.887176425698</v>
      </c>
      <c r="L4" s="131">
        <f>IF(SER_hh_tes!L4=0,0,11630*1000*SER_hh_tes!L4/SER_hh_num!L4)</f>
        <v>37294.075457924984</v>
      </c>
      <c r="M4" s="131">
        <f>IF(SER_hh_tes!M4=0,0,11630*1000*SER_hh_tes!M4/SER_hh_num!M4)</f>
        <v>36683.043493808385</v>
      </c>
      <c r="N4" s="131">
        <f>IF(SER_hh_tes!N4=0,0,11630*1000*SER_hh_tes!N4/SER_hh_num!N4)</f>
        <v>29984.313708670914</v>
      </c>
      <c r="O4" s="131">
        <f>IF(SER_hh_tes!O4=0,0,11630*1000*SER_hh_tes!O4/SER_hh_num!O4)</f>
        <v>34624.080977119171</v>
      </c>
      <c r="P4" s="131">
        <f>IF(SER_hh_tes!P4=0,0,11630*1000*SER_hh_tes!P4/SER_hh_num!P4)</f>
        <v>37480.400591190155</v>
      </c>
      <c r="Q4" s="131">
        <f>IF(SER_hh_tes!Q4=0,0,11630*1000*SER_hh_tes!Q4/SER_hh_num!Q4)</f>
        <v>40469.083565122688</v>
      </c>
      <c r="R4" s="131">
        <f>IF(SER_hh_tes!R4=0,0,11630*1000*SER_hh_tes!R4/SER_hh_num!R4)</f>
        <v>43750.66171656346</v>
      </c>
      <c r="S4" s="131">
        <f>IF(SER_hh_tes!S4=0,0,11630*1000*SER_hh_tes!S4/SER_hh_num!S4)</f>
        <v>48212.678364413856</v>
      </c>
      <c r="T4" s="131">
        <f>IF(SER_hh_tes!T4=0,0,11630*1000*SER_hh_tes!T4/SER_hh_num!T4)</f>
        <v>48588.650886891555</v>
      </c>
      <c r="U4" s="131">
        <f>IF(SER_hh_tes!U4=0,0,11630*1000*SER_hh_tes!U4/SER_hh_num!U4)</f>
        <v>54329.583971240187</v>
      </c>
      <c r="V4" s="131">
        <f>IF(SER_hh_tes!V4=0,0,11630*1000*SER_hh_tes!V4/SER_hh_num!V4)</f>
        <v>41180.2661956109</v>
      </c>
      <c r="W4" s="131">
        <f>IF(SER_hh_tes!W4=0,0,11630*1000*SER_hh_tes!W4/SER_hh_num!W4)</f>
        <v>48597.664015493334</v>
      </c>
      <c r="DA4" s="156" t="s">
        <v>415</v>
      </c>
    </row>
    <row r="5" spans="1:105" ht="12" customHeight="1" x14ac:dyDescent="0.25">
      <c r="A5" s="132" t="s">
        <v>29</v>
      </c>
      <c r="B5" s="133">
        <f>IF(SER_hh_tes!B5=0,0,11630*1000*SER_hh_tes!B5/SER_hh_num!B5)</f>
        <v>0</v>
      </c>
      <c r="C5" s="133">
        <f>IF(SER_hh_tes!C5=0,0,11630*1000*SER_hh_tes!C5/SER_hh_num!C5)</f>
        <v>0</v>
      </c>
      <c r="D5" s="133">
        <f>IF(SER_hh_tes!D5=0,0,11630*1000*SER_hh_tes!D5/SER_hh_num!D5)</f>
        <v>0</v>
      </c>
      <c r="E5" s="133">
        <f>IF(SER_hh_tes!E5=0,0,11630*1000*SER_hh_tes!E5/SER_hh_num!E5)</f>
        <v>0</v>
      </c>
      <c r="F5" s="133">
        <f>IF(SER_hh_tes!F5=0,0,11630*1000*SER_hh_tes!F5/SER_hh_num!F5)</f>
        <v>0</v>
      </c>
      <c r="G5" s="133">
        <f>IF(SER_hh_tes!G5=0,0,11630*1000*SER_hh_tes!G5/SER_hh_num!G5)</f>
        <v>0</v>
      </c>
      <c r="H5" s="133">
        <f>IF(SER_hh_tes!H5=0,0,11630*1000*SER_hh_tes!H5/SER_hh_num!H5)</f>
        <v>0</v>
      </c>
      <c r="I5" s="133">
        <f>IF(SER_hh_tes!I5=0,0,11630*1000*SER_hh_tes!I5/SER_hh_num!I5)</f>
        <v>0</v>
      </c>
      <c r="J5" s="133">
        <f>IF(SER_hh_tes!J5=0,0,11630*1000*SER_hh_tes!J5/SER_hh_num!J5)</f>
        <v>0</v>
      </c>
      <c r="K5" s="133">
        <f>IF(SER_hh_tes!K5=0,0,11630*1000*SER_hh_tes!K5/SER_hh_num!K5)</f>
        <v>0</v>
      </c>
      <c r="L5" s="133">
        <f>IF(SER_hh_tes!L5=0,0,11630*1000*SER_hh_tes!L5/SER_hh_num!L5)</f>
        <v>0</v>
      </c>
      <c r="M5" s="133">
        <f>IF(SER_hh_tes!M5=0,0,11630*1000*SER_hh_tes!M5/SER_hh_num!M5)</f>
        <v>0</v>
      </c>
      <c r="N5" s="133">
        <f>IF(SER_hh_tes!N5=0,0,11630*1000*SER_hh_tes!N5/SER_hh_num!N5)</f>
        <v>0</v>
      </c>
      <c r="O5" s="133">
        <f>IF(SER_hh_tes!O5=0,0,11630*1000*SER_hh_tes!O5/SER_hh_num!O5)</f>
        <v>0</v>
      </c>
      <c r="P5" s="133">
        <f>IF(SER_hh_tes!P5=0,0,11630*1000*SER_hh_tes!P5/SER_hh_num!P5)</f>
        <v>0</v>
      </c>
      <c r="Q5" s="133">
        <f>IF(SER_hh_tes!Q5=0,0,11630*1000*SER_hh_tes!Q5/SER_hh_num!Q5)</f>
        <v>0</v>
      </c>
      <c r="R5" s="133">
        <f>IF(SER_hh_tes!R5=0,0,11630*1000*SER_hh_tes!R5/SER_hh_num!R5)</f>
        <v>0</v>
      </c>
      <c r="S5" s="133">
        <f>IF(SER_hh_tes!S5=0,0,11630*1000*SER_hh_tes!S5/SER_hh_num!S5)</f>
        <v>0</v>
      </c>
      <c r="T5" s="133">
        <f>IF(SER_hh_tes!T5=0,0,11630*1000*SER_hh_tes!T5/SER_hh_num!T5)</f>
        <v>0</v>
      </c>
      <c r="U5" s="133">
        <f>IF(SER_hh_tes!U5=0,0,11630*1000*SER_hh_tes!U5/SER_hh_num!U5)</f>
        <v>0</v>
      </c>
      <c r="V5" s="133">
        <f>IF(SER_hh_tes!V5=0,0,11630*1000*SER_hh_tes!V5/SER_hh_num!V5)</f>
        <v>0</v>
      </c>
      <c r="W5" s="133">
        <f>IF(SER_hh_tes!W5=0,0,11630*1000*SER_hh_tes!W5/SER_hh_num!W5)</f>
        <v>0</v>
      </c>
      <c r="DA5" s="157" t="s">
        <v>416</v>
      </c>
    </row>
    <row r="6" spans="1:105" ht="12" customHeight="1" x14ac:dyDescent="0.25">
      <c r="A6" s="132" t="s">
        <v>52</v>
      </c>
      <c r="B6" s="133">
        <f>IF(SER_hh_tes!B6=0,0,11630*1000*SER_hh_tes!B6/SER_hh_num!B6)</f>
        <v>0</v>
      </c>
      <c r="C6" s="133">
        <f>IF(SER_hh_tes!C6=0,0,11630*1000*SER_hh_tes!C6/SER_hh_num!C6)</f>
        <v>0</v>
      </c>
      <c r="D6" s="133">
        <f>IF(SER_hh_tes!D6=0,0,11630*1000*SER_hh_tes!D6/SER_hh_num!D6)</f>
        <v>0</v>
      </c>
      <c r="E6" s="133">
        <f>IF(SER_hh_tes!E6=0,0,11630*1000*SER_hh_tes!E6/SER_hh_num!E6)</f>
        <v>0</v>
      </c>
      <c r="F6" s="133">
        <f>IF(SER_hh_tes!F6=0,0,11630*1000*SER_hh_tes!F6/SER_hh_num!F6)</f>
        <v>0</v>
      </c>
      <c r="G6" s="133">
        <f>IF(SER_hh_tes!G6=0,0,11630*1000*SER_hh_tes!G6/SER_hh_num!G6)</f>
        <v>0</v>
      </c>
      <c r="H6" s="133">
        <f>IF(SER_hh_tes!H6=0,0,11630*1000*SER_hh_tes!H6/SER_hh_num!H6)</f>
        <v>0</v>
      </c>
      <c r="I6" s="133">
        <f>IF(SER_hh_tes!I6=0,0,11630*1000*SER_hh_tes!I6/SER_hh_num!I6)</f>
        <v>0</v>
      </c>
      <c r="J6" s="133">
        <f>IF(SER_hh_tes!J6=0,0,11630*1000*SER_hh_tes!J6/SER_hh_num!J6)</f>
        <v>0</v>
      </c>
      <c r="K6" s="133">
        <f>IF(SER_hh_tes!K6=0,0,11630*1000*SER_hh_tes!K6/SER_hh_num!K6)</f>
        <v>0</v>
      </c>
      <c r="L6" s="133">
        <f>IF(SER_hh_tes!L6=0,0,11630*1000*SER_hh_tes!L6/SER_hh_num!L6)</f>
        <v>0</v>
      </c>
      <c r="M6" s="133">
        <f>IF(SER_hh_tes!M6=0,0,11630*1000*SER_hh_tes!M6/SER_hh_num!M6)</f>
        <v>0</v>
      </c>
      <c r="N6" s="133">
        <f>IF(SER_hh_tes!N6=0,0,11630*1000*SER_hh_tes!N6/SER_hh_num!N6)</f>
        <v>0</v>
      </c>
      <c r="O6" s="133">
        <f>IF(SER_hh_tes!O6=0,0,11630*1000*SER_hh_tes!O6/SER_hh_num!O6)</f>
        <v>0</v>
      </c>
      <c r="P6" s="133">
        <f>IF(SER_hh_tes!P6=0,0,11630*1000*SER_hh_tes!P6/SER_hh_num!P6)</f>
        <v>0</v>
      </c>
      <c r="Q6" s="133">
        <f>IF(SER_hh_tes!Q6=0,0,11630*1000*SER_hh_tes!Q6/SER_hh_num!Q6)</f>
        <v>0</v>
      </c>
      <c r="R6" s="133">
        <f>IF(SER_hh_tes!R6=0,0,11630*1000*SER_hh_tes!R6/SER_hh_num!R6)</f>
        <v>0</v>
      </c>
      <c r="S6" s="133">
        <f>IF(SER_hh_tes!S6=0,0,11630*1000*SER_hh_tes!S6/SER_hh_num!S6)</f>
        <v>0</v>
      </c>
      <c r="T6" s="133">
        <f>IF(SER_hh_tes!T6=0,0,11630*1000*SER_hh_tes!T6/SER_hh_num!T6)</f>
        <v>0</v>
      </c>
      <c r="U6" s="133">
        <f>IF(SER_hh_tes!U6=0,0,11630*1000*SER_hh_tes!U6/SER_hh_num!U6)</f>
        <v>0</v>
      </c>
      <c r="V6" s="133">
        <f>IF(SER_hh_tes!V6=0,0,11630*1000*SER_hh_tes!V6/SER_hh_num!V6)</f>
        <v>0</v>
      </c>
      <c r="W6" s="133">
        <f>IF(SER_hh_tes!W6=0,0,11630*1000*SER_hh_tes!W6/SER_hh_num!W6)</f>
        <v>0</v>
      </c>
      <c r="DA6" s="157" t="s">
        <v>417</v>
      </c>
    </row>
    <row r="7" spans="1:105" ht="12" customHeight="1" x14ac:dyDescent="0.25">
      <c r="A7" s="132" t="s">
        <v>168</v>
      </c>
      <c r="B7" s="133">
        <f>IF(SER_hh_tes!B7=0,0,11630*1000*SER_hh_tes!B7/SER_hh_num!B7)</f>
        <v>10896.559954727894</v>
      </c>
      <c r="C7" s="133">
        <f>IF(SER_hh_tes!C7=0,0,11630*1000*SER_hh_tes!C7/SER_hh_num!C7)</f>
        <v>12802.808496105396</v>
      </c>
      <c r="D7" s="133">
        <f>IF(SER_hh_tes!D7=0,0,11630*1000*SER_hh_tes!D7/SER_hh_num!D7)</f>
        <v>14469.603468411842</v>
      </c>
      <c r="E7" s="133">
        <f>IF(SER_hh_tes!E7=0,0,11630*1000*SER_hh_tes!E7/SER_hh_num!E7)</f>
        <v>17010.48786003498</v>
      </c>
      <c r="F7" s="133">
        <f>IF(SER_hh_tes!F7=0,0,11630*1000*SER_hh_tes!F7/SER_hh_num!F7)</f>
        <v>17593.109732358487</v>
      </c>
      <c r="G7" s="133">
        <f>IF(SER_hh_tes!G7=0,0,11630*1000*SER_hh_tes!G7/SER_hh_num!G7)</f>
        <v>19260.212993178036</v>
      </c>
      <c r="H7" s="133">
        <f>IF(SER_hh_tes!H7=0,0,11630*1000*SER_hh_tes!H7/SER_hh_num!H7)</f>
        <v>24881.213559959346</v>
      </c>
      <c r="I7" s="133">
        <f>IF(SER_hh_tes!I7=0,0,11630*1000*SER_hh_tes!I7/SER_hh_num!I7)</f>
        <v>27212.225272950905</v>
      </c>
      <c r="J7" s="133">
        <f>IF(SER_hh_tes!J7=0,0,11630*1000*SER_hh_tes!J7/SER_hh_num!J7)</f>
        <v>37387.958933084323</v>
      </c>
      <c r="K7" s="133">
        <f>IF(SER_hh_tes!K7=0,0,11630*1000*SER_hh_tes!K7/SER_hh_num!K7)</f>
        <v>30765.868779130411</v>
      </c>
      <c r="L7" s="133">
        <f>IF(SER_hh_tes!L7=0,0,11630*1000*SER_hh_tes!L7/SER_hh_num!L7)</f>
        <v>36165.256271202328</v>
      </c>
      <c r="M7" s="133">
        <f>IF(SER_hh_tes!M7=0,0,11630*1000*SER_hh_tes!M7/SER_hh_num!M7)</f>
        <v>35702.23337573788</v>
      </c>
      <c r="N7" s="133">
        <f>IF(SER_hh_tes!N7=0,0,11630*1000*SER_hh_tes!N7/SER_hh_num!N7)</f>
        <v>31032.976171943632</v>
      </c>
      <c r="O7" s="133">
        <f>IF(SER_hh_tes!O7=0,0,11630*1000*SER_hh_tes!O7/SER_hh_num!O7)</f>
        <v>36211.062121118448</v>
      </c>
      <c r="P7" s="133">
        <f>IF(SER_hh_tes!P7=0,0,11630*1000*SER_hh_tes!P7/SER_hh_num!P7)</f>
        <v>38294.013627497698</v>
      </c>
      <c r="Q7" s="133">
        <f>IF(SER_hh_tes!Q7=0,0,11630*1000*SER_hh_tes!Q7/SER_hh_num!Q7)</f>
        <v>37247.487133287104</v>
      </c>
      <c r="R7" s="133">
        <f>IF(SER_hh_tes!R7=0,0,11630*1000*SER_hh_tes!R7/SER_hh_num!R7)</f>
        <v>39567.273429816829</v>
      </c>
      <c r="S7" s="133">
        <f>IF(SER_hh_tes!S7=0,0,11630*1000*SER_hh_tes!S7/SER_hh_num!S7)</f>
        <v>48272.737888840784</v>
      </c>
      <c r="T7" s="133">
        <f>IF(SER_hh_tes!T7=0,0,11630*1000*SER_hh_tes!T7/SER_hh_num!T7)</f>
        <v>44726.337751299303</v>
      </c>
      <c r="U7" s="133">
        <f>IF(SER_hh_tes!U7=0,0,11630*1000*SER_hh_tes!U7/SER_hh_num!U7)</f>
        <v>53919.059600649052</v>
      </c>
      <c r="V7" s="133">
        <f>IF(SER_hh_tes!V7=0,0,11630*1000*SER_hh_tes!V7/SER_hh_num!V7)</f>
        <v>41796.506993927142</v>
      </c>
      <c r="W7" s="133">
        <f>IF(SER_hh_tes!W7=0,0,11630*1000*SER_hh_tes!W7/SER_hh_num!W7)</f>
        <v>47249.422109076571</v>
      </c>
      <c r="DA7" s="157" t="s">
        <v>418</v>
      </c>
    </row>
    <row r="8" spans="1:105" ht="12" customHeight="1" x14ac:dyDescent="0.25">
      <c r="A8" s="132" t="s">
        <v>73</v>
      </c>
      <c r="B8" s="133">
        <f>IF(SER_hh_tes!B8=0,0,11630*1000*SER_hh_tes!B8/SER_hh_num!B8)</f>
        <v>0</v>
      </c>
      <c r="C8" s="133">
        <f>IF(SER_hh_tes!C8=0,0,11630*1000*SER_hh_tes!C8/SER_hh_num!C8)</f>
        <v>0</v>
      </c>
      <c r="D8" s="133">
        <f>IF(SER_hh_tes!D8=0,0,11630*1000*SER_hh_tes!D8/SER_hh_num!D8)</f>
        <v>0</v>
      </c>
      <c r="E8" s="133">
        <f>IF(SER_hh_tes!E8=0,0,11630*1000*SER_hh_tes!E8/SER_hh_num!E8)</f>
        <v>0</v>
      </c>
      <c r="F8" s="133">
        <f>IF(SER_hh_tes!F8=0,0,11630*1000*SER_hh_tes!F8/SER_hh_num!F8)</f>
        <v>0</v>
      </c>
      <c r="G8" s="133">
        <f>IF(SER_hh_tes!G8=0,0,11630*1000*SER_hh_tes!G8/SER_hh_num!G8)</f>
        <v>0</v>
      </c>
      <c r="H8" s="133">
        <f>IF(SER_hh_tes!H8=0,0,11630*1000*SER_hh_tes!H8/SER_hh_num!H8)</f>
        <v>0</v>
      </c>
      <c r="I8" s="133">
        <f>IF(SER_hh_tes!I8=0,0,11630*1000*SER_hh_tes!I8/SER_hh_num!I8)</f>
        <v>0</v>
      </c>
      <c r="J8" s="133">
        <f>IF(SER_hh_tes!J8=0,0,11630*1000*SER_hh_tes!J8/SER_hh_num!J8)</f>
        <v>0</v>
      </c>
      <c r="K8" s="133">
        <f>IF(SER_hh_tes!K8=0,0,11630*1000*SER_hh_tes!K8/SER_hh_num!K8)</f>
        <v>0</v>
      </c>
      <c r="L8" s="133">
        <f>IF(SER_hh_tes!L8=0,0,11630*1000*SER_hh_tes!L8/SER_hh_num!L8)</f>
        <v>0</v>
      </c>
      <c r="M8" s="133">
        <f>IF(SER_hh_tes!M8=0,0,11630*1000*SER_hh_tes!M8/SER_hh_num!M8)</f>
        <v>0</v>
      </c>
      <c r="N8" s="133">
        <f>IF(SER_hh_tes!N8=0,0,11630*1000*SER_hh_tes!N8/SER_hh_num!N8)</f>
        <v>0</v>
      </c>
      <c r="O8" s="133">
        <f>IF(SER_hh_tes!O8=0,0,11630*1000*SER_hh_tes!O8/SER_hh_num!O8)</f>
        <v>0</v>
      </c>
      <c r="P8" s="133">
        <f>IF(SER_hh_tes!P8=0,0,11630*1000*SER_hh_tes!P8/SER_hh_num!P8)</f>
        <v>0</v>
      </c>
      <c r="Q8" s="133">
        <f>IF(SER_hh_tes!Q8=0,0,11630*1000*SER_hh_tes!Q8/SER_hh_num!Q8)</f>
        <v>0</v>
      </c>
      <c r="R8" s="133">
        <f>IF(SER_hh_tes!R8=0,0,11630*1000*SER_hh_tes!R8/SER_hh_num!R8)</f>
        <v>0</v>
      </c>
      <c r="S8" s="133">
        <f>IF(SER_hh_tes!S8=0,0,11630*1000*SER_hh_tes!S8/SER_hh_num!S8)</f>
        <v>0</v>
      </c>
      <c r="T8" s="133">
        <f>IF(SER_hh_tes!T8=0,0,11630*1000*SER_hh_tes!T8/SER_hh_num!T8)</f>
        <v>0</v>
      </c>
      <c r="U8" s="133">
        <f>IF(SER_hh_tes!U8=0,0,11630*1000*SER_hh_tes!U8/SER_hh_num!U8)</f>
        <v>0</v>
      </c>
      <c r="V8" s="133">
        <f>IF(SER_hh_tes!V8=0,0,11630*1000*SER_hh_tes!V8/SER_hh_num!V8)</f>
        <v>0</v>
      </c>
      <c r="W8" s="133">
        <f>IF(SER_hh_tes!W8=0,0,11630*1000*SER_hh_tes!W8/SER_hh_num!W8)</f>
        <v>0</v>
      </c>
      <c r="DA8" s="157" t="s">
        <v>419</v>
      </c>
    </row>
    <row r="9" spans="1:105" ht="12" customHeight="1" x14ac:dyDescent="0.25">
      <c r="A9" s="132" t="s">
        <v>78</v>
      </c>
      <c r="B9" s="133">
        <f>IF(SER_hh_tes!B9=0,0,11630*1000*SER_hh_tes!B9/SER_hh_num!B9)</f>
        <v>0</v>
      </c>
      <c r="C9" s="133">
        <f>IF(SER_hh_tes!C9=0,0,11630*1000*SER_hh_tes!C9/SER_hh_num!C9)</f>
        <v>0</v>
      </c>
      <c r="D9" s="133">
        <f>IF(SER_hh_tes!D9=0,0,11630*1000*SER_hh_tes!D9/SER_hh_num!D9)</f>
        <v>0</v>
      </c>
      <c r="E9" s="133">
        <f>IF(SER_hh_tes!E9=0,0,11630*1000*SER_hh_tes!E9/SER_hh_num!E9)</f>
        <v>0</v>
      </c>
      <c r="F9" s="133">
        <f>IF(SER_hh_tes!F9=0,0,11630*1000*SER_hh_tes!F9/SER_hh_num!F9)</f>
        <v>0</v>
      </c>
      <c r="G9" s="133">
        <f>IF(SER_hh_tes!G9=0,0,11630*1000*SER_hh_tes!G9/SER_hh_num!G9)</f>
        <v>0</v>
      </c>
      <c r="H9" s="133">
        <f>IF(SER_hh_tes!H9=0,0,11630*1000*SER_hh_tes!H9/SER_hh_num!H9)</f>
        <v>0</v>
      </c>
      <c r="I9" s="133">
        <f>IF(SER_hh_tes!I9=0,0,11630*1000*SER_hh_tes!I9/SER_hh_num!I9)</f>
        <v>0</v>
      </c>
      <c r="J9" s="133">
        <f>IF(SER_hh_tes!J9=0,0,11630*1000*SER_hh_tes!J9/SER_hh_num!J9)</f>
        <v>0</v>
      </c>
      <c r="K9" s="133">
        <f>IF(SER_hh_tes!K9=0,0,11630*1000*SER_hh_tes!K9/SER_hh_num!K9)</f>
        <v>49107.677590968109</v>
      </c>
      <c r="L9" s="133">
        <f>IF(SER_hh_tes!L9=0,0,11630*1000*SER_hh_tes!L9/SER_hh_num!L9)</f>
        <v>40925.834820990123</v>
      </c>
      <c r="M9" s="133">
        <f>IF(SER_hh_tes!M9=0,0,11630*1000*SER_hh_tes!M9/SER_hh_num!M9)</f>
        <v>33728.979581660773</v>
      </c>
      <c r="N9" s="133">
        <f>IF(SER_hh_tes!N9=0,0,11630*1000*SER_hh_tes!N9/SER_hh_num!N9)</f>
        <v>32370.479829859814</v>
      </c>
      <c r="O9" s="133">
        <f>IF(SER_hh_tes!O9=0,0,11630*1000*SER_hh_tes!O9/SER_hh_num!O9)</f>
        <v>33390.819376800995</v>
      </c>
      <c r="P9" s="133">
        <f>IF(SER_hh_tes!P9=0,0,11630*1000*SER_hh_tes!P9/SER_hh_num!P9)</f>
        <v>36341.765198158726</v>
      </c>
      <c r="Q9" s="133">
        <f>IF(SER_hh_tes!Q9=0,0,11630*1000*SER_hh_tes!Q9/SER_hh_num!Q9)</f>
        <v>36348.468093063333</v>
      </c>
      <c r="R9" s="133">
        <f>IF(SER_hh_tes!R9=0,0,11630*1000*SER_hh_tes!R9/SER_hh_num!R9)</f>
        <v>39151.419317209031</v>
      </c>
      <c r="S9" s="133">
        <f>IF(SER_hh_tes!S9=0,0,11630*1000*SER_hh_tes!S9/SER_hh_num!S9)</f>
        <v>31330.999295732825</v>
      </c>
      <c r="T9" s="133">
        <f>IF(SER_hh_tes!T9=0,0,11630*1000*SER_hh_tes!T9/SER_hh_num!T9)</f>
        <v>64636.852726915633</v>
      </c>
      <c r="U9" s="133">
        <f>IF(SER_hh_tes!U9=0,0,11630*1000*SER_hh_tes!U9/SER_hh_num!U9)</f>
        <v>73411.984010827102</v>
      </c>
      <c r="V9" s="133">
        <f>IF(SER_hh_tes!V9=0,0,11630*1000*SER_hh_tes!V9/SER_hh_num!V9)</f>
        <v>27772.469250628506</v>
      </c>
      <c r="W9" s="133">
        <f>IF(SER_hh_tes!W9=0,0,11630*1000*SER_hh_tes!W9/SER_hh_num!W9)</f>
        <v>32808.270254620911</v>
      </c>
      <c r="DA9" s="157" t="s">
        <v>420</v>
      </c>
    </row>
    <row r="10" spans="1:105" ht="12" customHeight="1" x14ac:dyDescent="0.25">
      <c r="A10" s="132" t="s">
        <v>128</v>
      </c>
      <c r="B10" s="133">
        <f>IF(SER_hh_tes!B10=0,0,11630*1000*SER_hh_tes!B10/SER_hh_num!B10)</f>
        <v>0</v>
      </c>
      <c r="C10" s="133">
        <f>IF(SER_hh_tes!C10=0,0,11630*1000*SER_hh_tes!C10/SER_hh_num!C10)</f>
        <v>0</v>
      </c>
      <c r="D10" s="133">
        <f>IF(SER_hh_tes!D10=0,0,11630*1000*SER_hh_tes!D10/SER_hh_num!D10)</f>
        <v>0</v>
      </c>
      <c r="E10" s="133">
        <f>IF(SER_hh_tes!E10=0,0,11630*1000*SER_hh_tes!E10/SER_hh_num!E10)</f>
        <v>0</v>
      </c>
      <c r="F10" s="133">
        <f>IF(SER_hh_tes!F10=0,0,11630*1000*SER_hh_tes!F10/SER_hh_num!F10)</f>
        <v>0</v>
      </c>
      <c r="G10" s="133">
        <f>IF(SER_hh_tes!G10=0,0,11630*1000*SER_hh_tes!G10/SER_hh_num!G10)</f>
        <v>0</v>
      </c>
      <c r="H10" s="133">
        <f>IF(SER_hh_tes!H10=0,0,11630*1000*SER_hh_tes!H10/SER_hh_num!H10)</f>
        <v>0</v>
      </c>
      <c r="I10" s="133">
        <f>IF(SER_hh_tes!I10=0,0,11630*1000*SER_hh_tes!I10/SER_hh_num!I10)</f>
        <v>18962.991292301358</v>
      </c>
      <c r="J10" s="133">
        <f>IF(SER_hh_tes!J10=0,0,11630*1000*SER_hh_tes!J10/SER_hh_num!J10)</f>
        <v>50241.583179427776</v>
      </c>
      <c r="K10" s="133">
        <f>IF(SER_hh_tes!K10=0,0,11630*1000*SER_hh_tes!K10/SER_hh_num!K10)</f>
        <v>58742.795249940747</v>
      </c>
      <c r="L10" s="133">
        <f>IF(SER_hh_tes!L10=0,0,11630*1000*SER_hh_tes!L10/SER_hh_num!L10)</f>
        <v>17058.621431453503</v>
      </c>
      <c r="M10" s="133">
        <f>IF(SER_hh_tes!M10=0,0,11630*1000*SER_hh_tes!M10/SER_hh_num!M10)</f>
        <v>29468.170773182355</v>
      </c>
      <c r="N10" s="133">
        <f>IF(SER_hh_tes!N10=0,0,11630*1000*SER_hh_tes!N10/SER_hh_num!N10)</f>
        <v>38699.838944824136</v>
      </c>
      <c r="O10" s="133">
        <f>IF(SER_hh_tes!O10=0,0,11630*1000*SER_hh_tes!O10/SER_hh_num!O10)</f>
        <v>30638.894975262116</v>
      </c>
      <c r="P10" s="133">
        <f>IF(SER_hh_tes!P10=0,0,11630*1000*SER_hh_tes!P10/SER_hh_num!P10)</f>
        <v>25014.03589302945</v>
      </c>
      <c r="Q10" s="133">
        <f>IF(SER_hh_tes!Q10=0,0,11630*1000*SER_hh_tes!Q10/SER_hh_num!Q10)</f>
        <v>54008.631081124156</v>
      </c>
      <c r="R10" s="133">
        <f>IF(SER_hh_tes!R10=0,0,11630*1000*SER_hh_tes!R10/SER_hh_num!R10)</f>
        <v>41068.707511623244</v>
      </c>
      <c r="S10" s="133">
        <f>IF(SER_hh_tes!S10=0,0,11630*1000*SER_hh_tes!S10/SER_hh_num!S10)</f>
        <v>59239.221031517518</v>
      </c>
      <c r="T10" s="133">
        <f>IF(SER_hh_tes!T10=0,0,11630*1000*SER_hh_tes!T10/SER_hh_num!T10)</f>
        <v>44617.145073794105</v>
      </c>
      <c r="U10" s="133">
        <f>IF(SER_hh_tes!U10=0,0,11630*1000*SER_hh_tes!U10/SER_hh_num!U10)</f>
        <v>31910.349576437387</v>
      </c>
      <c r="V10" s="133">
        <f>IF(SER_hh_tes!V10=0,0,11630*1000*SER_hh_tes!V10/SER_hh_num!V10)</f>
        <v>28737.655864483331</v>
      </c>
      <c r="W10" s="133">
        <f>IF(SER_hh_tes!W10=0,0,11630*1000*SER_hh_tes!W10/SER_hh_num!W10)</f>
        <v>89216.659832004705</v>
      </c>
      <c r="DA10" s="157" t="s">
        <v>421</v>
      </c>
    </row>
    <row r="11" spans="1:105" ht="12" customHeight="1" x14ac:dyDescent="0.25">
      <c r="A11" s="132" t="s">
        <v>25</v>
      </c>
      <c r="B11" s="133">
        <f>IF(SER_hh_tes!B11=0,0,11630*1000*SER_hh_tes!B11/SER_hh_num!B11)</f>
        <v>0</v>
      </c>
      <c r="C11" s="133">
        <f>IF(SER_hh_tes!C11=0,0,11630*1000*SER_hh_tes!C11/SER_hh_num!C11)</f>
        <v>0</v>
      </c>
      <c r="D11" s="133">
        <f>IF(SER_hh_tes!D11=0,0,11630*1000*SER_hh_tes!D11/SER_hh_num!D11)</f>
        <v>0</v>
      </c>
      <c r="E11" s="133">
        <f>IF(SER_hh_tes!E11=0,0,11630*1000*SER_hh_tes!E11/SER_hh_num!E11)</f>
        <v>0</v>
      </c>
      <c r="F11" s="133">
        <f>IF(SER_hh_tes!F11=0,0,11630*1000*SER_hh_tes!F11/SER_hh_num!F11)</f>
        <v>0</v>
      </c>
      <c r="G11" s="133">
        <f>IF(SER_hh_tes!G11=0,0,11630*1000*SER_hh_tes!G11/SER_hh_num!G11)</f>
        <v>0</v>
      </c>
      <c r="H11" s="133">
        <f>IF(SER_hh_tes!H11=0,0,11630*1000*SER_hh_tes!H11/SER_hh_num!H11)</f>
        <v>0</v>
      </c>
      <c r="I11" s="133">
        <f>IF(SER_hh_tes!I11=0,0,11630*1000*SER_hh_tes!I11/SER_hh_num!I11)</f>
        <v>0</v>
      </c>
      <c r="J11" s="133">
        <f>IF(SER_hh_tes!J11=0,0,11630*1000*SER_hh_tes!J11/SER_hh_num!J11)</f>
        <v>0</v>
      </c>
      <c r="K11" s="133">
        <f>IF(SER_hh_tes!K11=0,0,11630*1000*SER_hh_tes!K11/SER_hh_num!K11)</f>
        <v>0</v>
      </c>
      <c r="L11" s="133">
        <f>IF(SER_hh_tes!L11=0,0,11630*1000*SER_hh_tes!L11/SER_hh_num!L11)</f>
        <v>0</v>
      </c>
      <c r="M11" s="133">
        <f>IF(SER_hh_tes!M11=0,0,11630*1000*SER_hh_tes!M11/SER_hh_num!M11)</f>
        <v>0</v>
      </c>
      <c r="N11" s="133">
        <f>IF(SER_hh_tes!N11=0,0,11630*1000*SER_hh_tes!N11/SER_hh_num!N11)</f>
        <v>0</v>
      </c>
      <c r="O11" s="133">
        <f>IF(SER_hh_tes!O11=0,0,11630*1000*SER_hh_tes!O11/SER_hh_num!O11)</f>
        <v>0</v>
      </c>
      <c r="P11" s="133">
        <f>IF(SER_hh_tes!P11=0,0,11630*1000*SER_hh_tes!P11/SER_hh_num!P11)</f>
        <v>0</v>
      </c>
      <c r="Q11" s="133">
        <f>IF(SER_hh_tes!Q11=0,0,11630*1000*SER_hh_tes!Q11/SER_hh_num!Q11)</f>
        <v>0</v>
      </c>
      <c r="R11" s="133">
        <f>IF(SER_hh_tes!R11=0,0,11630*1000*SER_hh_tes!R11/SER_hh_num!R11)</f>
        <v>0</v>
      </c>
      <c r="S11" s="133">
        <f>IF(SER_hh_tes!S11=0,0,11630*1000*SER_hh_tes!S11/SER_hh_num!S11)</f>
        <v>0</v>
      </c>
      <c r="T11" s="133">
        <f>IF(SER_hh_tes!T11=0,0,11630*1000*SER_hh_tes!T11/SER_hh_num!T11)</f>
        <v>0</v>
      </c>
      <c r="U11" s="133">
        <f>IF(SER_hh_tes!U11=0,0,11630*1000*SER_hh_tes!U11/SER_hh_num!U11)</f>
        <v>0</v>
      </c>
      <c r="V11" s="133">
        <f>IF(SER_hh_tes!V11=0,0,11630*1000*SER_hh_tes!V11/SER_hh_num!V11)</f>
        <v>0</v>
      </c>
      <c r="W11" s="133">
        <f>IF(SER_hh_tes!W11=0,0,11630*1000*SER_hh_tes!W11/SER_hh_num!W11)</f>
        <v>0</v>
      </c>
      <c r="DA11" s="157" t="s">
        <v>422</v>
      </c>
    </row>
    <row r="12" spans="1:105" ht="12" customHeight="1" x14ac:dyDescent="0.25">
      <c r="A12" s="132" t="s">
        <v>169</v>
      </c>
      <c r="B12" s="133">
        <f>IF(SER_hh_tes!B12=0,0,11630*1000*SER_hh_tes!B12/SER_hh_num!B12)</f>
        <v>0</v>
      </c>
      <c r="C12" s="133">
        <f>IF(SER_hh_tes!C12=0,0,11630*1000*SER_hh_tes!C12/SER_hh_num!C12)</f>
        <v>0</v>
      </c>
      <c r="D12" s="133">
        <f>IF(SER_hh_tes!D12=0,0,11630*1000*SER_hh_tes!D12/SER_hh_num!D12)</f>
        <v>0</v>
      </c>
      <c r="E12" s="133">
        <f>IF(SER_hh_tes!E12=0,0,11630*1000*SER_hh_tes!E12/SER_hh_num!E12)</f>
        <v>0</v>
      </c>
      <c r="F12" s="133">
        <f>IF(SER_hh_tes!F12=0,0,11630*1000*SER_hh_tes!F12/SER_hh_num!F12)</f>
        <v>0</v>
      </c>
      <c r="G12" s="133">
        <f>IF(SER_hh_tes!G12=0,0,11630*1000*SER_hh_tes!G12/SER_hh_num!G12)</f>
        <v>0</v>
      </c>
      <c r="H12" s="133">
        <f>IF(SER_hh_tes!H12=0,0,11630*1000*SER_hh_tes!H12/SER_hh_num!H12)</f>
        <v>0</v>
      </c>
      <c r="I12" s="133">
        <f>IF(SER_hh_tes!I12=0,0,11630*1000*SER_hh_tes!I12/SER_hh_num!I12)</f>
        <v>0</v>
      </c>
      <c r="J12" s="133">
        <f>IF(SER_hh_tes!J12=0,0,11630*1000*SER_hh_tes!J12/SER_hh_num!J12)</f>
        <v>0</v>
      </c>
      <c r="K12" s="133">
        <f>IF(SER_hh_tes!K12=0,0,11630*1000*SER_hh_tes!K12/SER_hh_num!K12)</f>
        <v>0</v>
      </c>
      <c r="L12" s="133">
        <f>IF(SER_hh_tes!L12=0,0,11630*1000*SER_hh_tes!L12/SER_hh_num!L12)</f>
        <v>0</v>
      </c>
      <c r="M12" s="133">
        <f>IF(SER_hh_tes!M12=0,0,11630*1000*SER_hh_tes!M12/SER_hh_num!M12)</f>
        <v>0</v>
      </c>
      <c r="N12" s="133">
        <f>IF(SER_hh_tes!N12=0,0,11630*1000*SER_hh_tes!N12/SER_hh_num!N12)</f>
        <v>0</v>
      </c>
      <c r="O12" s="133">
        <f>IF(SER_hh_tes!O12=0,0,11630*1000*SER_hh_tes!O12/SER_hh_num!O12)</f>
        <v>0</v>
      </c>
      <c r="P12" s="133">
        <f>IF(SER_hh_tes!P12=0,0,11630*1000*SER_hh_tes!P12/SER_hh_num!P12)</f>
        <v>0</v>
      </c>
      <c r="Q12" s="133">
        <f>IF(SER_hh_tes!Q12=0,0,11630*1000*SER_hh_tes!Q12/SER_hh_num!Q12)</f>
        <v>0</v>
      </c>
      <c r="R12" s="133">
        <f>IF(SER_hh_tes!R12=0,0,11630*1000*SER_hh_tes!R12/SER_hh_num!R12)</f>
        <v>0</v>
      </c>
      <c r="S12" s="133">
        <f>IF(SER_hh_tes!S12=0,0,11630*1000*SER_hh_tes!S12/SER_hh_num!S12)</f>
        <v>0</v>
      </c>
      <c r="T12" s="133">
        <f>IF(SER_hh_tes!T12=0,0,11630*1000*SER_hh_tes!T12/SER_hh_num!T12)</f>
        <v>0</v>
      </c>
      <c r="U12" s="133">
        <f>IF(SER_hh_tes!U12=0,0,11630*1000*SER_hh_tes!U12/SER_hh_num!U12)</f>
        <v>0</v>
      </c>
      <c r="V12" s="133">
        <f>IF(SER_hh_tes!V12=0,0,11630*1000*SER_hh_tes!V12/SER_hh_num!V12)</f>
        <v>0</v>
      </c>
      <c r="W12" s="133">
        <f>IF(SER_hh_tes!W12=0,0,11630*1000*SER_hh_tes!W12/SER_hh_num!W12)</f>
        <v>0</v>
      </c>
      <c r="DA12" s="157" t="s">
        <v>423</v>
      </c>
    </row>
    <row r="13" spans="1:105" ht="12" customHeight="1" x14ac:dyDescent="0.25">
      <c r="A13" s="132" t="s">
        <v>77</v>
      </c>
      <c r="B13" s="133">
        <f>IF(SER_hh_tes!B13=0,0,11630*1000*SER_hh_tes!B13/SER_hh_num!B13)</f>
        <v>6625.0058448381415</v>
      </c>
      <c r="C13" s="133">
        <f>IF(SER_hh_tes!C13=0,0,11630*1000*SER_hh_tes!C13/SER_hh_num!C13)</f>
        <v>13962.14872094049</v>
      </c>
      <c r="D13" s="133">
        <f>IF(SER_hh_tes!D13=0,0,11630*1000*SER_hh_tes!D13/SER_hh_num!D13)</f>
        <v>15448.642760303712</v>
      </c>
      <c r="E13" s="133">
        <f>IF(SER_hh_tes!E13=0,0,11630*1000*SER_hh_tes!E13/SER_hh_num!E13)</f>
        <v>16169.808198234423</v>
      </c>
      <c r="F13" s="133">
        <f>IF(SER_hh_tes!F13=0,0,11630*1000*SER_hh_tes!F13/SER_hh_num!F13)</f>
        <v>18637.885680586212</v>
      </c>
      <c r="G13" s="133">
        <f>IF(SER_hh_tes!G13=0,0,11630*1000*SER_hh_tes!G13/SER_hh_num!G13)</f>
        <v>22562.121359124576</v>
      </c>
      <c r="H13" s="133">
        <f>IF(SER_hh_tes!H13=0,0,11630*1000*SER_hh_tes!H13/SER_hh_num!H13)</f>
        <v>26353.971648217714</v>
      </c>
      <c r="I13" s="133">
        <f>IF(SER_hh_tes!I13=0,0,11630*1000*SER_hh_tes!I13/SER_hh_num!I13)</f>
        <v>29706.945693226317</v>
      </c>
      <c r="J13" s="133">
        <f>IF(SER_hh_tes!J13=0,0,11630*1000*SER_hh_tes!J13/SER_hh_num!J13)</f>
        <v>31321.385517113282</v>
      </c>
      <c r="K13" s="133">
        <f>IF(SER_hh_tes!K13=0,0,11630*1000*SER_hh_tes!K13/SER_hh_num!K13)</f>
        <v>34829.045917272466</v>
      </c>
      <c r="L13" s="133">
        <f>IF(SER_hh_tes!L13=0,0,11630*1000*SER_hh_tes!L13/SER_hh_num!L13)</f>
        <v>31225.704774950053</v>
      </c>
      <c r="M13" s="133">
        <f>IF(SER_hh_tes!M13=0,0,11630*1000*SER_hh_tes!M13/SER_hh_num!M13)</f>
        <v>27635.859570252684</v>
      </c>
      <c r="N13" s="133">
        <f>IF(SER_hh_tes!N13=0,0,11630*1000*SER_hh_tes!N13/SER_hh_num!N13)</f>
        <v>28372.456343655016</v>
      </c>
      <c r="O13" s="133">
        <f>IF(SER_hh_tes!O13=0,0,11630*1000*SER_hh_tes!O13/SER_hh_num!O13)</f>
        <v>41039.410280574783</v>
      </c>
      <c r="P13" s="133">
        <f>IF(SER_hh_tes!P13=0,0,11630*1000*SER_hh_tes!P13/SER_hh_num!P13)</f>
        <v>38525.742930044544</v>
      </c>
      <c r="Q13" s="133">
        <f>IF(SER_hh_tes!Q13=0,0,11630*1000*SER_hh_tes!Q13/SER_hh_num!Q13)</f>
        <v>42235.984730809236</v>
      </c>
      <c r="R13" s="133">
        <f>IF(SER_hh_tes!R13=0,0,11630*1000*SER_hh_tes!R13/SER_hh_num!R13)</f>
        <v>41964.479844038397</v>
      </c>
      <c r="S13" s="133">
        <f>IF(SER_hh_tes!S13=0,0,11630*1000*SER_hh_tes!S13/SER_hh_num!S13)</f>
        <v>42824.040972416136</v>
      </c>
      <c r="T13" s="133">
        <f>IF(SER_hh_tes!T13=0,0,11630*1000*SER_hh_tes!T13/SER_hh_num!T13)</f>
        <v>43736.155176952372</v>
      </c>
      <c r="U13" s="133">
        <f>IF(SER_hh_tes!U13=0,0,11630*1000*SER_hh_tes!U13/SER_hh_num!U13)</f>
        <v>45377.98353766503</v>
      </c>
      <c r="V13" s="133">
        <f>IF(SER_hh_tes!V13=0,0,11630*1000*SER_hh_tes!V13/SER_hh_num!V13)</f>
        <v>41118.677087552584</v>
      </c>
      <c r="W13" s="133">
        <f>IF(SER_hh_tes!W13=0,0,11630*1000*SER_hh_tes!W13/SER_hh_num!W13)</f>
        <v>41483.993254975736</v>
      </c>
      <c r="DA13" s="157" t="s">
        <v>424</v>
      </c>
    </row>
    <row r="14" spans="1:105" ht="12" customHeight="1" x14ac:dyDescent="0.25">
      <c r="A14" s="60" t="s">
        <v>76</v>
      </c>
      <c r="B14" s="65">
        <f>IF(SER_hh_tes!B14=0,0,11630*1000*SER_hh_tes!B14/SER_hh_num!B14)</f>
        <v>8577.5345427678985</v>
      </c>
      <c r="C14" s="65">
        <f>IF(SER_hh_tes!C14=0,0,11630*1000*SER_hh_tes!C14/SER_hh_num!C14)</f>
        <v>13779.822614859941</v>
      </c>
      <c r="D14" s="65">
        <f>IF(SER_hh_tes!D14=0,0,11630*1000*SER_hh_tes!D14/SER_hh_num!D14)</f>
        <v>17812.324914128327</v>
      </c>
      <c r="E14" s="65">
        <f>IF(SER_hh_tes!E14=0,0,11630*1000*SER_hh_tes!E14/SER_hh_num!E14)</f>
        <v>16371.561254177157</v>
      </c>
      <c r="F14" s="65">
        <f>IF(SER_hh_tes!F14=0,0,11630*1000*SER_hh_tes!F14/SER_hh_num!F14)</f>
        <v>17880.839351135459</v>
      </c>
      <c r="G14" s="65">
        <f>IF(SER_hh_tes!G14=0,0,11630*1000*SER_hh_tes!G14/SER_hh_num!G14)</f>
        <v>19459.363173259615</v>
      </c>
      <c r="H14" s="65">
        <f>IF(SER_hh_tes!H14=0,0,11630*1000*SER_hh_tes!H14/SER_hh_num!H14)</f>
        <v>29535.578554184533</v>
      </c>
      <c r="I14" s="65">
        <f>IF(SER_hh_tes!I14=0,0,11630*1000*SER_hh_tes!I14/SER_hh_num!I14)</f>
        <v>29480.804264279646</v>
      </c>
      <c r="J14" s="65">
        <f>IF(SER_hh_tes!J14=0,0,11630*1000*SER_hh_tes!J14/SER_hh_num!J14)</f>
        <v>32925.874115410741</v>
      </c>
      <c r="K14" s="65">
        <f>IF(SER_hh_tes!K14=0,0,11630*1000*SER_hh_tes!K14/SER_hh_num!K14)</f>
        <v>35936.446820930767</v>
      </c>
      <c r="L14" s="65">
        <f>IF(SER_hh_tes!L14=0,0,11630*1000*SER_hh_tes!L14/SER_hh_num!L14)</f>
        <v>39816.016232922462</v>
      </c>
      <c r="M14" s="65">
        <f>IF(SER_hh_tes!M14=0,0,11630*1000*SER_hh_tes!M14/SER_hh_num!M14)</f>
        <v>42525.673872669249</v>
      </c>
      <c r="N14" s="65">
        <f>IF(SER_hh_tes!N14=0,0,11630*1000*SER_hh_tes!N14/SER_hh_num!N14)</f>
        <v>30876.835815162169</v>
      </c>
      <c r="O14" s="65">
        <f>IF(SER_hh_tes!O14=0,0,11630*1000*SER_hh_tes!O14/SER_hh_num!O14)</f>
        <v>11049.712467987163</v>
      </c>
      <c r="P14" s="65">
        <f>IF(SER_hh_tes!P14=0,0,11630*1000*SER_hh_tes!P14/SER_hh_num!P14)</f>
        <v>31528.476361925976</v>
      </c>
      <c r="Q14" s="65">
        <f>IF(SER_hh_tes!Q14=0,0,11630*1000*SER_hh_tes!Q14/SER_hh_num!Q14)</f>
        <v>34210.49331638062</v>
      </c>
      <c r="R14" s="65">
        <f>IF(SER_hh_tes!R14=0,0,11630*1000*SER_hh_tes!R14/SER_hh_num!R14)</f>
        <v>53958.335685434737</v>
      </c>
      <c r="S14" s="65">
        <f>IF(SER_hh_tes!S14=0,0,11630*1000*SER_hh_tes!S14/SER_hh_num!S14)</f>
        <v>67369.102418625393</v>
      </c>
      <c r="T14" s="65">
        <f>IF(SER_hh_tes!T14=0,0,11630*1000*SER_hh_tes!T14/SER_hh_num!T14)</f>
        <v>69409.199927419017</v>
      </c>
      <c r="U14" s="65">
        <f>IF(SER_hh_tes!U14=0,0,11630*1000*SER_hh_tes!U14/SER_hh_num!U14)</f>
        <v>88554.177461891333</v>
      </c>
      <c r="V14" s="65">
        <f>IF(SER_hh_tes!V14=0,0,11630*1000*SER_hh_tes!V14/SER_hh_num!V14)</f>
        <v>41416.466774809924</v>
      </c>
      <c r="W14" s="65">
        <f>IF(SER_hh_tes!W14=0,0,11630*1000*SER_hh_tes!W14/SER_hh_num!W14)</f>
        <v>75993.962053576513</v>
      </c>
      <c r="DA14" s="109" t="s">
        <v>425</v>
      </c>
    </row>
    <row r="15" spans="1:105" ht="12" customHeight="1" x14ac:dyDescent="0.25">
      <c r="A15" s="134" t="s">
        <v>80</v>
      </c>
      <c r="B15" s="135">
        <f>IF(SER_hh_tes!B15=0,0,11630*1000*SER_hh_tes!B15/SER_hh_num!B15)</f>
        <v>217.93119909455791</v>
      </c>
      <c r="C15" s="135">
        <f>IF(SER_hh_tes!C15=0,0,11630*1000*SER_hh_tes!C15/SER_hh_num!C15)</f>
        <v>250.73242312202106</v>
      </c>
      <c r="D15" s="135">
        <f>IF(SER_hh_tes!D15=0,0,11630*1000*SER_hh_tes!D15/SER_hh_num!D15)</f>
        <v>277.76124019272163</v>
      </c>
      <c r="E15" s="135">
        <f>IF(SER_hh_tes!E15=0,0,11630*1000*SER_hh_tes!E15/SER_hh_num!E15)</f>
        <v>320.3878651180388</v>
      </c>
      <c r="F15" s="135">
        <f>IF(SER_hh_tes!F15=0,0,11630*1000*SER_hh_tes!F15/SER_hh_num!F15)</f>
        <v>325.4473119331879</v>
      </c>
      <c r="G15" s="135">
        <f>IF(SER_hh_tes!G15=0,0,11630*1000*SER_hh_tes!G15/SER_hh_num!G15)</f>
        <v>350.27767847591929</v>
      </c>
      <c r="H15" s="135">
        <f>IF(SER_hh_tes!H15=0,0,11630*1000*SER_hh_tes!H15/SER_hh_num!H15)</f>
        <v>445.31851035047072</v>
      </c>
      <c r="I15" s="135">
        <f>IF(SER_hh_tes!I15=0,0,11630*1000*SER_hh_tes!I15/SER_hh_num!I15)</f>
        <v>472.78042197802773</v>
      </c>
      <c r="J15" s="135">
        <f>IF(SER_hh_tes!J15=0,0,11630*1000*SER_hh_tes!J15/SER_hh_num!J15)</f>
        <v>642.68898866152188</v>
      </c>
      <c r="K15" s="135">
        <f>IF(SER_hh_tes!K15=0,0,11630*1000*SER_hh_tes!K15/SER_hh_num!K15)</f>
        <v>530.90521771030672</v>
      </c>
      <c r="L15" s="135">
        <f>IF(SER_hh_tes!L15=0,0,11630*1000*SER_hh_tes!L15/SER_hh_num!L15)</f>
        <v>598.59899927790605</v>
      </c>
      <c r="M15" s="135">
        <f>IF(SER_hh_tes!M15=0,0,11630*1000*SER_hh_tes!M15/SER_hh_num!M15)</f>
        <v>586.41247086063788</v>
      </c>
      <c r="N15" s="135">
        <f>IF(SER_hh_tes!N15=0,0,11630*1000*SER_hh_tes!N15/SER_hh_num!N15)</f>
        <v>508.50698474967135</v>
      </c>
      <c r="O15" s="135">
        <f>IF(SER_hh_tes!O15=0,0,11630*1000*SER_hh_tes!O15/SER_hh_num!O15)</f>
        <v>580.17915981498459</v>
      </c>
      <c r="P15" s="135">
        <f>IF(SER_hh_tes!P15=0,0,11630*1000*SER_hh_tes!P15/SER_hh_num!P15)</f>
        <v>601.77124125550995</v>
      </c>
      <c r="Q15" s="135">
        <f>IF(SER_hh_tes!Q15=0,0,11630*1000*SER_hh_tes!Q15/SER_hh_num!Q15)</f>
        <v>590.1299268605934</v>
      </c>
      <c r="R15" s="135">
        <f>IF(SER_hh_tes!R15=0,0,11630*1000*SER_hh_tes!R15/SER_hh_num!R15)</f>
        <v>610.57546804483331</v>
      </c>
      <c r="S15" s="135">
        <f>IF(SER_hh_tes!S15=0,0,11630*1000*SER_hh_tes!S15/SER_hh_num!S15)</f>
        <v>738.8277587091867</v>
      </c>
      <c r="T15" s="135">
        <f>IF(SER_hh_tes!T15=0,0,11630*1000*SER_hh_tes!T15/SER_hh_num!T15)</f>
        <v>707.17050880644103</v>
      </c>
      <c r="U15" s="135">
        <f>IF(SER_hh_tes!U15=0,0,11630*1000*SER_hh_tes!U15/SER_hh_num!U15)</f>
        <v>843.14209457546417</v>
      </c>
      <c r="V15" s="135">
        <f>IF(SER_hh_tes!V15=0,0,11630*1000*SER_hh_tes!V15/SER_hh_num!V15)</f>
        <v>633.05749327184776</v>
      </c>
      <c r="W15" s="135">
        <f>IF(SER_hh_tes!W15=0,0,11630*1000*SER_hh_tes!W15/SER_hh_num!W15)</f>
        <v>738.19885592792616</v>
      </c>
      <c r="DA15" s="158" t="s">
        <v>426</v>
      </c>
    </row>
    <row r="16" spans="1:105" ht="12.95" customHeight="1" x14ac:dyDescent="0.25">
      <c r="A16" s="130" t="s">
        <v>74</v>
      </c>
      <c r="B16" s="131">
        <f>IF(SER_hh_tes!B16=0,0,11630*1000*SER_hh_tes!B16/SER_hh_num!B16)</f>
        <v>82481.20500094966</v>
      </c>
      <c r="C16" s="131">
        <f>IF(SER_hh_tes!C16=0,0,11630*1000*SER_hh_tes!C16/SER_hh_num!C16)</f>
        <v>73484.077652808934</v>
      </c>
      <c r="D16" s="131">
        <f>IF(SER_hh_tes!D16=0,0,11630*1000*SER_hh_tes!D16/SER_hh_num!D16)</f>
        <v>71597.509439804853</v>
      </c>
      <c r="E16" s="131">
        <f>IF(SER_hh_tes!E16=0,0,11630*1000*SER_hh_tes!E16/SER_hh_num!E16)</f>
        <v>78076.651517095292</v>
      </c>
      <c r="F16" s="131">
        <f>IF(SER_hh_tes!F16=0,0,11630*1000*SER_hh_tes!F16/SER_hh_num!F16)</f>
        <v>65351.181832910348</v>
      </c>
      <c r="G16" s="131">
        <f>IF(SER_hh_tes!G16=0,0,11630*1000*SER_hh_tes!G16/SER_hh_num!G16)</f>
        <v>60400.943324250664</v>
      </c>
      <c r="H16" s="131">
        <f>IF(SER_hh_tes!H16=0,0,11630*1000*SER_hh_tes!H16/SER_hh_num!H16)</f>
        <v>70289.073079197115</v>
      </c>
      <c r="I16" s="131">
        <f>IF(SER_hh_tes!I16=0,0,11630*1000*SER_hh_tes!I16/SER_hh_num!I16)</f>
        <v>79654.460121330791</v>
      </c>
      <c r="J16" s="131">
        <f>IF(SER_hh_tes!J16=0,0,11630*1000*SER_hh_tes!J16/SER_hh_num!J16)</f>
        <v>82155.341535813335</v>
      </c>
      <c r="K16" s="131">
        <f>IF(SER_hh_tes!K16=0,0,11630*1000*SER_hh_tes!K16/SER_hh_num!K16)</f>
        <v>79700.548885794677</v>
      </c>
      <c r="L16" s="131">
        <f>IF(SER_hh_tes!L16=0,0,11630*1000*SER_hh_tes!L16/SER_hh_num!L16)</f>
        <v>84166.573926270081</v>
      </c>
      <c r="M16" s="131">
        <f>IF(SER_hh_tes!M16=0,0,11630*1000*SER_hh_tes!M16/SER_hh_num!M16)</f>
        <v>73125.052495488329</v>
      </c>
      <c r="N16" s="131">
        <f>IF(SER_hh_tes!N16=0,0,11630*1000*SER_hh_tes!N16/SER_hh_num!N16)</f>
        <v>89410.31056235166</v>
      </c>
      <c r="O16" s="131">
        <f>IF(SER_hh_tes!O16=0,0,11630*1000*SER_hh_tes!O16/SER_hh_num!O16)</f>
        <v>75800.924002869899</v>
      </c>
      <c r="P16" s="131">
        <f>IF(SER_hh_tes!P16=0,0,11630*1000*SER_hh_tes!P16/SER_hh_num!P16)</f>
        <v>68423.004052085147</v>
      </c>
      <c r="Q16" s="131">
        <f>IF(SER_hh_tes!Q16=0,0,11630*1000*SER_hh_tes!Q16/SER_hh_num!Q16)</f>
        <v>74946.374654942629</v>
      </c>
      <c r="R16" s="131">
        <f>IF(SER_hh_tes!R16=0,0,11630*1000*SER_hh_tes!R16/SER_hh_num!R16)</f>
        <v>86171.764560693395</v>
      </c>
      <c r="S16" s="131">
        <f>IF(SER_hh_tes!S16=0,0,11630*1000*SER_hh_tes!S16/SER_hh_num!S16)</f>
        <v>82476.332304557523</v>
      </c>
      <c r="T16" s="131">
        <f>IF(SER_hh_tes!T16=0,0,11630*1000*SER_hh_tes!T16/SER_hh_num!T16)</f>
        <v>105409.16479086288</v>
      </c>
      <c r="U16" s="131">
        <f>IF(SER_hh_tes!U16=0,0,11630*1000*SER_hh_tes!U16/SER_hh_num!U16)</f>
        <v>90026.992521331384</v>
      </c>
      <c r="V16" s="131">
        <f>IF(SER_hh_tes!V16=0,0,11630*1000*SER_hh_tes!V16/SER_hh_num!V16)</f>
        <v>98613.214995537492</v>
      </c>
      <c r="W16" s="131">
        <f>IF(SER_hh_tes!W16=0,0,11630*1000*SER_hh_tes!W16/SER_hh_num!W16)</f>
        <v>87262.999350974758</v>
      </c>
      <c r="DA16" s="156" t="s">
        <v>427</v>
      </c>
    </row>
    <row r="17" spans="1:105" ht="12.95" customHeight="1" x14ac:dyDescent="0.25">
      <c r="A17" s="132" t="s">
        <v>73</v>
      </c>
      <c r="B17" s="133">
        <f>IF(SER_hh_tes!B17=0,0,11630*1000*SER_hh_tes!B17/SER_hh_num!B17)</f>
        <v>0</v>
      </c>
      <c r="C17" s="133">
        <f>IF(SER_hh_tes!C17=0,0,11630*1000*SER_hh_tes!C17/SER_hh_num!C17)</f>
        <v>0</v>
      </c>
      <c r="D17" s="133">
        <f>IF(SER_hh_tes!D17=0,0,11630*1000*SER_hh_tes!D17/SER_hh_num!D17)</f>
        <v>0</v>
      </c>
      <c r="E17" s="133">
        <f>IF(SER_hh_tes!E17=0,0,11630*1000*SER_hh_tes!E17/SER_hh_num!E17)</f>
        <v>0</v>
      </c>
      <c r="F17" s="133">
        <f>IF(SER_hh_tes!F17=0,0,11630*1000*SER_hh_tes!F17/SER_hh_num!F17)</f>
        <v>0</v>
      </c>
      <c r="G17" s="133">
        <f>IF(SER_hh_tes!G17=0,0,11630*1000*SER_hh_tes!G17/SER_hh_num!G17)</f>
        <v>0</v>
      </c>
      <c r="H17" s="133">
        <f>IF(SER_hh_tes!H17=0,0,11630*1000*SER_hh_tes!H17/SER_hh_num!H17)</f>
        <v>0</v>
      </c>
      <c r="I17" s="133">
        <f>IF(SER_hh_tes!I17=0,0,11630*1000*SER_hh_tes!I17/SER_hh_num!I17)</f>
        <v>0</v>
      </c>
      <c r="J17" s="133">
        <f>IF(SER_hh_tes!J17=0,0,11630*1000*SER_hh_tes!J17/SER_hh_num!J17)</f>
        <v>0</v>
      </c>
      <c r="K17" s="133">
        <f>IF(SER_hh_tes!K17=0,0,11630*1000*SER_hh_tes!K17/SER_hh_num!K17)</f>
        <v>0</v>
      </c>
      <c r="L17" s="133">
        <f>IF(SER_hh_tes!L17=0,0,11630*1000*SER_hh_tes!L17/SER_hh_num!L17)</f>
        <v>0</v>
      </c>
      <c r="M17" s="133">
        <f>IF(SER_hh_tes!M17=0,0,11630*1000*SER_hh_tes!M17/SER_hh_num!M17)</f>
        <v>0</v>
      </c>
      <c r="N17" s="133">
        <f>IF(SER_hh_tes!N17=0,0,11630*1000*SER_hh_tes!N17/SER_hh_num!N17)</f>
        <v>0</v>
      </c>
      <c r="O17" s="133">
        <f>IF(SER_hh_tes!O17=0,0,11630*1000*SER_hh_tes!O17/SER_hh_num!O17)</f>
        <v>0</v>
      </c>
      <c r="P17" s="133">
        <f>IF(SER_hh_tes!P17=0,0,11630*1000*SER_hh_tes!P17/SER_hh_num!P17)</f>
        <v>0</v>
      </c>
      <c r="Q17" s="133">
        <f>IF(SER_hh_tes!Q17=0,0,11630*1000*SER_hh_tes!Q17/SER_hh_num!Q17)</f>
        <v>0</v>
      </c>
      <c r="R17" s="133">
        <f>IF(SER_hh_tes!R17=0,0,11630*1000*SER_hh_tes!R17/SER_hh_num!R17)</f>
        <v>0</v>
      </c>
      <c r="S17" s="133">
        <f>IF(SER_hh_tes!S17=0,0,11630*1000*SER_hh_tes!S17/SER_hh_num!S17)</f>
        <v>0</v>
      </c>
      <c r="T17" s="133">
        <f>IF(SER_hh_tes!T17=0,0,11630*1000*SER_hh_tes!T17/SER_hh_num!T17)</f>
        <v>0</v>
      </c>
      <c r="U17" s="133">
        <f>IF(SER_hh_tes!U17=0,0,11630*1000*SER_hh_tes!U17/SER_hh_num!U17)</f>
        <v>0</v>
      </c>
      <c r="V17" s="133">
        <f>IF(SER_hh_tes!V17=0,0,11630*1000*SER_hh_tes!V17/SER_hh_num!V17)</f>
        <v>0</v>
      </c>
      <c r="W17" s="133">
        <f>IF(SER_hh_tes!W17=0,0,11630*1000*SER_hh_tes!W17/SER_hh_num!W17)</f>
        <v>0</v>
      </c>
      <c r="DA17" s="157" t="s">
        <v>428</v>
      </c>
    </row>
    <row r="18" spans="1:105" ht="12" customHeight="1" x14ac:dyDescent="0.25">
      <c r="A18" s="132" t="s">
        <v>72</v>
      </c>
      <c r="B18" s="133">
        <f>IF(SER_hh_tes!B18=0,0,11630*1000*SER_hh_tes!B18/SER_hh_num!B18)</f>
        <v>82481.20500094966</v>
      </c>
      <c r="C18" s="133">
        <f>IF(SER_hh_tes!C18=0,0,11630*1000*SER_hh_tes!C18/SER_hh_num!C18)</f>
        <v>73484.077652808934</v>
      </c>
      <c r="D18" s="133">
        <f>IF(SER_hh_tes!D18=0,0,11630*1000*SER_hh_tes!D18/SER_hh_num!D18)</f>
        <v>71597.509439804853</v>
      </c>
      <c r="E18" s="133">
        <f>IF(SER_hh_tes!E18=0,0,11630*1000*SER_hh_tes!E18/SER_hh_num!E18)</f>
        <v>78076.651517095292</v>
      </c>
      <c r="F18" s="133">
        <f>IF(SER_hh_tes!F18=0,0,11630*1000*SER_hh_tes!F18/SER_hh_num!F18)</f>
        <v>65351.181832910348</v>
      </c>
      <c r="G18" s="133">
        <f>IF(SER_hh_tes!G18=0,0,11630*1000*SER_hh_tes!G18/SER_hh_num!G18)</f>
        <v>60400.943324250664</v>
      </c>
      <c r="H18" s="133">
        <f>IF(SER_hh_tes!H18=0,0,11630*1000*SER_hh_tes!H18/SER_hh_num!H18)</f>
        <v>70289.073079197115</v>
      </c>
      <c r="I18" s="133">
        <f>IF(SER_hh_tes!I18=0,0,11630*1000*SER_hh_tes!I18/SER_hh_num!I18)</f>
        <v>79654.460121330791</v>
      </c>
      <c r="J18" s="133">
        <f>IF(SER_hh_tes!J18=0,0,11630*1000*SER_hh_tes!J18/SER_hh_num!J18)</f>
        <v>82155.341535813335</v>
      </c>
      <c r="K18" s="133">
        <f>IF(SER_hh_tes!K18=0,0,11630*1000*SER_hh_tes!K18/SER_hh_num!K18)</f>
        <v>79700.548885794677</v>
      </c>
      <c r="L18" s="133">
        <f>IF(SER_hh_tes!L18=0,0,11630*1000*SER_hh_tes!L18/SER_hh_num!L18)</f>
        <v>84166.573926270081</v>
      </c>
      <c r="M18" s="133">
        <f>IF(SER_hh_tes!M18=0,0,11630*1000*SER_hh_tes!M18/SER_hh_num!M18)</f>
        <v>73125.052495488329</v>
      </c>
      <c r="N18" s="133">
        <f>IF(SER_hh_tes!N18=0,0,11630*1000*SER_hh_tes!N18/SER_hh_num!N18)</f>
        <v>89410.31056235166</v>
      </c>
      <c r="O18" s="133">
        <f>IF(SER_hh_tes!O18=0,0,11630*1000*SER_hh_tes!O18/SER_hh_num!O18)</f>
        <v>75800.924002869899</v>
      </c>
      <c r="P18" s="133">
        <f>IF(SER_hh_tes!P18=0,0,11630*1000*SER_hh_tes!P18/SER_hh_num!P18)</f>
        <v>68423.004052085147</v>
      </c>
      <c r="Q18" s="133">
        <f>IF(SER_hh_tes!Q18=0,0,11630*1000*SER_hh_tes!Q18/SER_hh_num!Q18)</f>
        <v>74946.374654942629</v>
      </c>
      <c r="R18" s="133">
        <f>IF(SER_hh_tes!R18=0,0,11630*1000*SER_hh_tes!R18/SER_hh_num!R18)</f>
        <v>86171.764560693395</v>
      </c>
      <c r="S18" s="133">
        <f>IF(SER_hh_tes!S18=0,0,11630*1000*SER_hh_tes!S18/SER_hh_num!S18)</f>
        <v>82476.332304557523</v>
      </c>
      <c r="T18" s="133">
        <f>IF(SER_hh_tes!T18=0,0,11630*1000*SER_hh_tes!T18/SER_hh_num!T18)</f>
        <v>105409.16479086288</v>
      </c>
      <c r="U18" s="133">
        <f>IF(SER_hh_tes!U18=0,0,11630*1000*SER_hh_tes!U18/SER_hh_num!U18)</f>
        <v>90026.992521331384</v>
      </c>
      <c r="V18" s="133">
        <f>IF(SER_hh_tes!V18=0,0,11630*1000*SER_hh_tes!V18/SER_hh_num!V18)</f>
        <v>98613.214995537492</v>
      </c>
      <c r="W18" s="133">
        <f>IF(SER_hh_tes!W18=0,0,11630*1000*SER_hh_tes!W18/SER_hh_num!W18)</f>
        <v>87262.999350974758</v>
      </c>
      <c r="DA18" s="157" t="s">
        <v>429</v>
      </c>
    </row>
    <row r="19" spans="1:105" ht="12.95" customHeight="1" x14ac:dyDescent="0.25">
      <c r="A19" s="130" t="s">
        <v>35</v>
      </c>
      <c r="B19" s="131">
        <f>IF(SER_hh_tes!B19=0,0,11630*1000*SER_hh_tes!B19/SER_hh_num!B19)</f>
        <v>11763.660759616161</v>
      </c>
      <c r="C19" s="131">
        <f>IF(SER_hh_tes!C19=0,0,11630*1000*SER_hh_tes!C19/SER_hh_num!C19)</f>
        <v>11653.720126679444</v>
      </c>
      <c r="D19" s="131">
        <f>IF(SER_hh_tes!D19=0,0,11630*1000*SER_hh_tes!D19/SER_hh_num!D19)</f>
        <v>11639.82728639507</v>
      </c>
      <c r="E19" s="131">
        <f>IF(SER_hh_tes!E19=0,0,11630*1000*SER_hh_tes!E19/SER_hh_num!E19)</f>
        <v>11628.410871497366</v>
      </c>
      <c r="F19" s="131">
        <f>IF(SER_hh_tes!F19=0,0,11630*1000*SER_hh_tes!F19/SER_hh_num!F19)</f>
        <v>11616.26235442209</v>
      </c>
      <c r="G19" s="131">
        <f>IF(SER_hh_tes!G19=0,0,11630*1000*SER_hh_tes!G19/SER_hh_num!G19)</f>
        <v>11661.685821897005</v>
      </c>
      <c r="H19" s="131">
        <f>IF(SER_hh_tes!H19=0,0,11630*1000*SER_hh_tes!H19/SER_hh_num!H19)</f>
        <v>11661.474856827128</v>
      </c>
      <c r="I19" s="131">
        <f>IF(SER_hh_tes!I19=0,0,11630*1000*SER_hh_tes!I19/SER_hh_num!I19)</f>
        <v>11667.417014145087</v>
      </c>
      <c r="J19" s="131">
        <f>IF(SER_hh_tes!J19=0,0,11630*1000*SER_hh_tes!J19/SER_hh_num!J19)</f>
        <v>11814.716654980843</v>
      </c>
      <c r="K19" s="131">
        <f>IF(SER_hh_tes!K19=0,0,11630*1000*SER_hh_tes!K19/SER_hh_num!K19)</f>
        <v>11719.986265161779</v>
      </c>
      <c r="L19" s="131">
        <f>IF(SER_hh_tes!L19=0,0,11630*1000*SER_hh_tes!L19/SER_hh_num!L19)</f>
        <v>11636.55019700822</v>
      </c>
      <c r="M19" s="131">
        <f>IF(SER_hh_tes!M19=0,0,11630*1000*SER_hh_tes!M19/SER_hh_num!M19)</f>
        <v>11638.733380513682</v>
      </c>
      <c r="N19" s="131">
        <f>IF(SER_hh_tes!N19=0,0,11630*1000*SER_hh_tes!N19/SER_hh_num!N19)</f>
        <v>11611.624475955698</v>
      </c>
      <c r="O19" s="131">
        <f>IF(SER_hh_tes!O19=0,0,11630*1000*SER_hh_tes!O19/SER_hh_num!O19)</f>
        <v>11721.16761252697</v>
      </c>
      <c r="P19" s="131">
        <f>IF(SER_hh_tes!P19=0,0,11630*1000*SER_hh_tes!P19/SER_hh_num!P19)</f>
        <v>11641.882335936009</v>
      </c>
      <c r="Q19" s="131">
        <f>IF(SER_hh_tes!Q19=0,0,11630*1000*SER_hh_tes!Q19/SER_hh_num!Q19)</f>
        <v>11702.07980582707</v>
      </c>
      <c r="R19" s="131">
        <f>IF(SER_hh_tes!R19=0,0,11630*1000*SER_hh_tes!R19/SER_hh_num!R19)</f>
        <v>11740.84768802359</v>
      </c>
      <c r="S19" s="131">
        <f>IF(SER_hh_tes!S19=0,0,11630*1000*SER_hh_tes!S19/SER_hh_num!S19)</f>
        <v>11553.751601635751</v>
      </c>
      <c r="T19" s="131">
        <f>IF(SER_hh_tes!T19=0,0,11630*1000*SER_hh_tes!T19/SER_hh_num!T19)</f>
        <v>11532.619703717581</v>
      </c>
      <c r="U19" s="131">
        <f>IF(SER_hh_tes!U19=0,0,11630*1000*SER_hh_tes!U19/SER_hh_num!U19)</f>
        <v>11361.844156456831</v>
      </c>
      <c r="V19" s="131">
        <f>IF(SER_hh_tes!V19=0,0,11630*1000*SER_hh_tes!V19/SER_hh_num!V19)</f>
        <v>10773.447896740177</v>
      </c>
      <c r="W19" s="131">
        <f>IF(SER_hh_tes!W19=0,0,11630*1000*SER_hh_tes!W19/SER_hh_num!W19)</f>
        <v>10818.971458198404</v>
      </c>
      <c r="DA19" s="156" t="s">
        <v>430</v>
      </c>
    </row>
    <row r="20" spans="1:105" ht="12" customHeight="1" x14ac:dyDescent="0.25">
      <c r="A20" s="132" t="s">
        <v>29</v>
      </c>
      <c r="B20" s="133">
        <f>IF(SER_hh_tes!B20=0,0,11630*1000*SER_hh_tes!B20/SER_hh_num!B20)</f>
        <v>0</v>
      </c>
      <c r="C20" s="133">
        <f>IF(SER_hh_tes!C20=0,0,11630*1000*SER_hh_tes!C20/SER_hh_num!C20)</f>
        <v>0</v>
      </c>
      <c r="D20" s="133">
        <f>IF(SER_hh_tes!D20=0,0,11630*1000*SER_hh_tes!D20/SER_hh_num!D20)</f>
        <v>0</v>
      </c>
      <c r="E20" s="133">
        <f>IF(SER_hh_tes!E20=0,0,11630*1000*SER_hh_tes!E20/SER_hh_num!E20)</f>
        <v>0</v>
      </c>
      <c r="F20" s="133">
        <f>IF(SER_hh_tes!F20=0,0,11630*1000*SER_hh_tes!F20/SER_hh_num!F20)</f>
        <v>0</v>
      </c>
      <c r="G20" s="133">
        <f>IF(SER_hh_tes!G20=0,0,11630*1000*SER_hh_tes!G20/SER_hh_num!G20)</f>
        <v>0</v>
      </c>
      <c r="H20" s="133">
        <f>IF(SER_hh_tes!H20=0,0,11630*1000*SER_hh_tes!H20/SER_hh_num!H20)</f>
        <v>0</v>
      </c>
      <c r="I20" s="133">
        <f>IF(SER_hh_tes!I20=0,0,11630*1000*SER_hh_tes!I20/SER_hh_num!I20)</f>
        <v>0</v>
      </c>
      <c r="J20" s="133">
        <f>IF(SER_hh_tes!J20=0,0,11630*1000*SER_hh_tes!J20/SER_hh_num!J20)</f>
        <v>0</v>
      </c>
      <c r="K20" s="133">
        <f>IF(SER_hh_tes!K20=0,0,11630*1000*SER_hh_tes!K20/SER_hh_num!K20)</f>
        <v>0</v>
      </c>
      <c r="L20" s="133">
        <f>IF(SER_hh_tes!L20=0,0,11630*1000*SER_hh_tes!L20/SER_hh_num!L20)</f>
        <v>0</v>
      </c>
      <c r="M20" s="133">
        <f>IF(SER_hh_tes!M20=0,0,11630*1000*SER_hh_tes!M20/SER_hh_num!M20)</f>
        <v>0</v>
      </c>
      <c r="N20" s="133">
        <f>IF(SER_hh_tes!N20=0,0,11630*1000*SER_hh_tes!N20/SER_hh_num!N20)</f>
        <v>0</v>
      </c>
      <c r="O20" s="133">
        <f>IF(SER_hh_tes!O20=0,0,11630*1000*SER_hh_tes!O20/SER_hh_num!O20)</f>
        <v>0</v>
      </c>
      <c r="P20" s="133">
        <f>IF(SER_hh_tes!P20=0,0,11630*1000*SER_hh_tes!P20/SER_hh_num!P20)</f>
        <v>0</v>
      </c>
      <c r="Q20" s="133">
        <f>IF(SER_hh_tes!Q20=0,0,11630*1000*SER_hh_tes!Q20/SER_hh_num!Q20)</f>
        <v>0</v>
      </c>
      <c r="R20" s="133">
        <f>IF(SER_hh_tes!R20=0,0,11630*1000*SER_hh_tes!R20/SER_hh_num!R20)</f>
        <v>0</v>
      </c>
      <c r="S20" s="133">
        <f>IF(SER_hh_tes!S20=0,0,11630*1000*SER_hh_tes!S20/SER_hh_num!S20)</f>
        <v>0</v>
      </c>
      <c r="T20" s="133">
        <f>IF(SER_hh_tes!T20=0,0,11630*1000*SER_hh_tes!T20/SER_hh_num!T20)</f>
        <v>0</v>
      </c>
      <c r="U20" s="133">
        <f>IF(SER_hh_tes!U20=0,0,11630*1000*SER_hh_tes!U20/SER_hh_num!U20)</f>
        <v>0</v>
      </c>
      <c r="V20" s="133">
        <f>IF(SER_hh_tes!V20=0,0,11630*1000*SER_hh_tes!V20/SER_hh_num!V20)</f>
        <v>0</v>
      </c>
      <c r="W20" s="133">
        <f>IF(SER_hh_tes!W20=0,0,11630*1000*SER_hh_tes!W20/SER_hh_num!W20)</f>
        <v>0</v>
      </c>
      <c r="DA20" s="157" t="s">
        <v>431</v>
      </c>
    </row>
    <row r="21" spans="1:105" s="2" customFormat="1" ht="12" customHeight="1" x14ac:dyDescent="0.25">
      <c r="A21" s="132" t="s">
        <v>52</v>
      </c>
      <c r="B21" s="133">
        <f>IF(SER_hh_tes!B21=0,0,11630*1000*SER_hh_tes!B21/SER_hh_num!B21)</f>
        <v>0</v>
      </c>
      <c r="C21" s="133">
        <f>IF(SER_hh_tes!C21=0,0,11630*1000*SER_hh_tes!C21/SER_hh_num!C21)</f>
        <v>0</v>
      </c>
      <c r="D21" s="133">
        <f>IF(SER_hh_tes!D21=0,0,11630*1000*SER_hh_tes!D21/SER_hh_num!D21)</f>
        <v>0</v>
      </c>
      <c r="E21" s="133">
        <f>IF(SER_hh_tes!E21=0,0,11630*1000*SER_hh_tes!E21/SER_hh_num!E21)</f>
        <v>0</v>
      </c>
      <c r="F21" s="133">
        <f>IF(SER_hh_tes!F21=0,0,11630*1000*SER_hh_tes!F21/SER_hh_num!F21)</f>
        <v>0</v>
      </c>
      <c r="G21" s="133">
        <f>IF(SER_hh_tes!G21=0,0,11630*1000*SER_hh_tes!G21/SER_hh_num!G21)</f>
        <v>0</v>
      </c>
      <c r="H21" s="133">
        <f>IF(SER_hh_tes!H21=0,0,11630*1000*SER_hh_tes!H21/SER_hh_num!H21)</f>
        <v>14776.683863967744</v>
      </c>
      <c r="I21" s="133">
        <f>IF(SER_hh_tes!I21=0,0,11630*1000*SER_hh_tes!I21/SER_hh_num!I21)</f>
        <v>11361.687597632859</v>
      </c>
      <c r="J21" s="133">
        <f>IF(SER_hh_tes!J21=0,0,11630*1000*SER_hh_tes!J21/SER_hh_num!J21)</f>
        <v>10190.361440702578</v>
      </c>
      <c r="K21" s="133">
        <f>IF(SER_hh_tes!K21=0,0,11630*1000*SER_hh_tes!K21/SER_hh_num!K21)</f>
        <v>10085.561382701935</v>
      </c>
      <c r="L21" s="133">
        <f>IF(SER_hh_tes!L21=0,0,11630*1000*SER_hh_tes!L21/SER_hh_num!L21)</f>
        <v>10343.637508609785</v>
      </c>
      <c r="M21" s="133">
        <f>IF(SER_hh_tes!M21=0,0,11630*1000*SER_hh_tes!M21/SER_hh_num!M21)</f>
        <v>10162.119037642611</v>
      </c>
      <c r="N21" s="133">
        <f>IF(SER_hh_tes!N21=0,0,11630*1000*SER_hh_tes!N21/SER_hh_num!N21)</f>
        <v>10192.742748289123</v>
      </c>
      <c r="O21" s="133">
        <f>IF(SER_hh_tes!O21=0,0,11630*1000*SER_hh_tes!O21/SER_hh_num!O21)</f>
        <v>10357.942112560304</v>
      </c>
      <c r="P21" s="133">
        <f>IF(SER_hh_tes!P21=0,0,11630*1000*SER_hh_tes!P21/SER_hh_num!P21)</f>
        <v>9850.4564263001903</v>
      </c>
      <c r="Q21" s="133">
        <f>IF(SER_hh_tes!Q21=0,0,11630*1000*SER_hh_tes!Q21/SER_hh_num!Q21)</f>
        <v>9901.7667808961414</v>
      </c>
      <c r="R21" s="133">
        <f>IF(SER_hh_tes!R21=0,0,11630*1000*SER_hh_tes!R21/SER_hh_num!R21)</f>
        <v>10090.364959375158</v>
      </c>
      <c r="S21" s="133">
        <f>IF(SER_hh_tes!S21=0,0,11630*1000*SER_hh_tes!S21/SER_hh_num!S21)</f>
        <v>10170.239464383381</v>
      </c>
      <c r="T21" s="133">
        <f>IF(SER_hh_tes!T21=0,0,11630*1000*SER_hh_tes!T21/SER_hh_num!T21)</f>
        <v>9923.9201395784894</v>
      </c>
      <c r="U21" s="133">
        <f>IF(SER_hh_tes!U21=0,0,11630*1000*SER_hh_tes!U21/SER_hh_num!U21)</f>
        <v>10243.808431019866</v>
      </c>
      <c r="V21" s="133">
        <f>IF(SER_hh_tes!V21=0,0,11630*1000*SER_hh_tes!V21/SER_hh_num!V21)</f>
        <v>9071.1962879096573</v>
      </c>
      <c r="W21" s="133">
        <f>IF(SER_hh_tes!W21=0,0,11630*1000*SER_hh_tes!W21/SER_hh_num!W21)</f>
        <v>9116.8659178414728</v>
      </c>
      <c r="DA21" s="157" t="s">
        <v>432</v>
      </c>
    </row>
    <row r="22" spans="1:105" ht="12" customHeight="1" x14ac:dyDescent="0.25">
      <c r="A22" s="132" t="s">
        <v>168</v>
      </c>
      <c r="B22" s="133">
        <f>IF(SER_hh_tes!B22=0,0,11630*1000*SER_hh_tes!B22/SER_hh_num!B22)</f>
        <v>11158.836619482898</v>
      </c>
      <c r="C22" s="133">
        <f>IF(SER_hh_tes!C22=0,0,11630*1000*SER_hh_tes!C22/SER_hh_num!C22)</f>
        <v>11172.29499066495</v>
      </c>
      <c r="D22" s="133">
        <f>IF(SER_hh_tes!D22=0,0,11630*1000*SER_hh_tes!D22/SER_hh_num!D22)</f>
        <v>11155.685095972847</v>
      </c>
      <c r="E22" s="133">
        <f>IF(SER_hh_tes!E22=0,0,11630*1000*SER_hh_tes!E22/SER_hh_num!E22)</f>
        <v>11050.264635793517</v>
      </c>
      <c r="F22" s="133">
        <f>IF(SER_hh_tes!F22=0,0,11630*1000*SER_hh_tes!F22/SER_hh_num!F22)</f>
        <v>11033.9540122118</v>
      </c>
      <c r="G22" s="133">
        <f>IF(SER_hh_tes!G22=0,0,11630*1000*SER_hh_tes!G22/SER_hh_num!G22)</f>
        <v>10949.514580608984</v>
      </c>
      <c r="H22" s="133">
        <f>IF(SER_hh_tes!H22=0,0,11630*1000*SER_hh_tes!H22/SER_hh_num!H22)</f>
        <v>10631.696621811496</v>
      </c>
      <c r="I22" s="133">
        <f>IF(SER_hh_tes!I22=0,0,11630*1000*SER_hh_tes!I22/SER_hh_num!I22)</f>
        <v>10316.928980838382</v>
      </c>
      <c r="J22" s="133">
        <f>IF(SER_hh_tes!J22=0,0,11630*1000*SER_hh_tes!J22/SER_hh_num!J22)</f>
        <v>10130.78877867172</v>
      </c>
      <c r="K22" s="133">
        <f>IF(SER_hh_tes!K22=0,0,11630*1000*SER_hh_tes!K22/SER_hh_num!K22)</f>
        <v>10069.856434693331</v>
      </c>
      <c r="L22" s="133">
        <f>IF(SER_hh_tes!L22=0,0,11630*1000*SER_hh_tes!L22/SER_hh_num!L22)</f>
        <v>9992.6226110666139</v>
      </c>
      <c r="M22" s="133">
        <f>IF(SER_hh_tes!M22=0,0,11630*1000*SER_hh_tes!M22/SER_hh_num!M22)</f>
        <v>10030.680247010123</v>
      </c>
      <c r="N22" s="133">
        <f>IF(SER_hh_tes!N22=0,0,11630*1000*SER_hh_tes!N22/SER_hh_num!N22)</f>
        <v>10155.28612231783</v>
      </c>
      <c r="O22" s="133">
        <f>IF(SER_hh_tes!O22=0,0,11630*1000*SER_hh_tes!O22/SER_hh_num!O22)</f>
        <v>10132.422078732774</v>
      </c>
      <c r="P22" s="133">
        <f>IF(SER_hh_tes!P22=0,0,11630*1000*SER_hh_tes!P22/SER_hh_num!P22)</f>
        <v>10143.983279302982</v>
      </c>
      <c r="Q22" s="133">
        <f>IF(SER_hh_tes!Q22=0,0,11630*1000*SER_hh_tes!Q22/SER_hh_num!Q22)</f>
        <v>10085.004428896335</v>
      </c>
      <c r="R22" s="133">
        <f>IF(SER_hh_tes!R22=0,0,11630*1000*SER_hh_tes!R22/SER_hh_num!R22)</f>
        <v>10108.788657236597</v>
      </c>
      <c r="S22" s="133">
        <f>IF(SER_hh_tes!S22=0,0,11630*1000*SER_hh_tes!S22/SER_hh_num!S22)</f>
        <v>9882.984094010917</v>
      </c>
      <c r="T22" s="133">
        <f>IF(SER_hh_tes!T22=0,0,11630*1000*SER_hh_tes!T22/SER_hh_num!T22)</f>
        <v>9910.1118842250344</v>
      </c>
      <c r="U22" s="133">
        <f>IF(SER_hh_tes!U22=0,0,11630*1000*SER_hh_tes!U22/SER_hh_num!U22)</f>
        <v>9787.5681995242194</v>
      </c>
      <c r="V22" s="133">
        <f>IF(SER_hh_tes!V22=0,0,11630*1000*SER_hh_tes!V22/SER_hh_num!V22)</f>
        <v>9071.4776187589596</v>
      </c>
      <c r="W22" s="133">
        <f>IF(SER_hh_tes!W22=0,0,11630*1000*SER_hh_tes!W22/SER_hh_num!W22)</f>
        <v>10052.483136934386</v>
      </c>
      <c r="DA22" s="157" t="s">
        <v>433</v>
      </c>
    </row>
    <row r="23" spans="1:105" ht="12" customHeight="1" x14ac:dyDescent="0.25">
      <c r="A23" s="132" t="s">
        <v>153</v>
      </c>
      <c r="B23" s="133">
        <f>IF(SER_hh_tes!B23=0,0,11630*1000*SER_hh_tes!B23/SER_hh_num!B23)</f>
        <v>0</v>
      </c>
      <c r="C23" s="133">
        <f>IF(SER_hh_tes!C23=0,0,11630*1000*SER_hh_tes!C23/SER_hh_num!C23)</f>
        <v>0</v>
      </c>
      <c r="D23" s="133">
        <f>IF(SER_hh_tes!D23=0,0,11630*1000*SER_hh_tes!D23/SER_hh_num!D23)</f>
        <v>0</v>
      </c>
      <c r="E23" s="133">
        <f>IF(SER_hh_tes!E23=0,0,11630*1000*SER_hh_tes!E23/SER_hh_num!E23)</f>
        <v>0</v>
      </c>
      <c r="F23" s="133">
        <f>IF(SER_hh_tes!F23=0,0,11630*1000*SER_hh_tes!F23/SER_hh_num!F23)</f>
        <v>0</v>
      </c>
      <c r="G23" s="133">
        <f>IF(SER_hh_tes!G23=0,0,11630*1000*SER_hh_tes!G23/SER_hh_num!G23)</f>
        <v>0</v>
      </c>
      <c r="H23" s="133">
        <f>IF(SER_hh_tes!H23=0,0,11630*1000*SER_hh_tes!H23/SER_hh_num!H23)</f>
        <v>0</v>
      </c>
      <c r="I23" s="133">
        <f>IF(SER_hh_tes!I23=0,0,11630*1000*SER_hh_tes!I23/SER_hh_num!I23)</f>
        <v>0</v>
      </c>
      <c r="J23" s="133">
        <f>IF(SER_hh_tes!J23=0,0,11630*1000*SER_hh_tes!J23/SER_hh_num!J23)</f>
        <v>0</v>
      </c>
      <c r="K23" s="133">
        <f>IF(SER_hh_tes!K23=0,0,11630*1000*SER_hh_tes!K23/SER_hh_num!K23)</f>
        <v>0</v>
      </c>
      <c r="L23" s="133">
        <f>IF(SER_hh_tes!L23=0,0,11630*1000*SER_hh_tes!L23/SER_hh_num!L23)</f>
        <v>0</v>
      </c>
      <c r="M23" s="133">
        <f>IF(SER_hh_tes!M23=0,0,11630*1000*SER_hh_tes!M23/SER_hh_num!M23)</f>
        <v>0</v>
      </c>
      <c r="N23" s="133">
        <f>IF(SER_hh_tes!N23=0,0,11630*1000*SER_hh_tes!N23/SER_hh_num!N23)</f>
        <v>0</v>
      </c>
      <c r="O23" s="133">
        <f>IF(SER_hh_tes!O23=0,0,11630*1000*SER_hh_tes!O23/SER_hh_num!O23)</f>
        <v>0</v>
      </c>
      <c r="P23" s="133">
        <f>IF(SER_hh_tes!P23=0,0,11630*1000*SER_hh_tes!P23/SER_hh_num!P23)</f>
        <v>0</v>
      </c>
      <c r="Q23" s="133">
        <f>IF(SER_hh_tes!Q23=0,0,11630*1000*SER_hh_tes!Q23/SER_hh_num!Q23)</f>
        <v>0</v>
      </c>
      <c r="R23" s="133">
        <f>IF(SER_hh_tes!R23=0,0,11630*1000*SER_hh_tes!R23/SER_hh_num!R23)</f>
        <v>0</v>
      </c>
      <c r="S23" s="133">
        <f>IF(SER_hh_tes!S23=0,0,11630*1000*SER_hh_tes!S23/SER_hh_num!S23)</f>
        <v>0</v>
      </c>
      <c r="T23" s="133">
        <f>IF(SER_hh_tes!T23=0,0,11630*1000*SER_hh_tes!T23/SER_hh_num!T23)</f>
        <v>0</v>
      </c>
      <c r="U23" s="133">
        <f>IF(SER_hh_tes!U23=0,0,11630*1000*SER_hh_tes!U23/SER_hh_num!U23)</f>
        <v>0</v>
      </c>
      <c r="V23" s="133">
        <f>IF(SER_hh_tes!V23=0,0,11630*1000*SER_hh_tes!V23/SER_hh_num!V23)</f>
        <v>0</v>
      </c>
      <c r="W23" s="133">
        <f>IF(SER_hh_tes!W23=0,0,11630*1000*SER_hh_tes!W23/SER_hh_num!W23)</f>
        <v>0</v>
      </c>
      <c r="DA23" s="157" t="s">
        <v>434</v>
      </c>
    </row>
    <row r="24" spans="1:105" ht="12" customHeight="1" x14ac:dyDescent="0.25">
      <c r="A24" s="132" t="s">
        <v>128</v>
      </c>
      <c r="B24" s="133">
        <f>IF(SER_hh_tes!B24=0,0,11630*1000*SER_hh_tes!B24/SER_hh_num!B24)</f>
        <v>0</v>
      </c>
      <c r="C24" s="133">
        <f>IF(SER_hh_tes!C24=0,0,11630*1000*SER_hh_tes!C24/SER_hh_num!C24)</f>
        <v>0</v>
      </c>
      <c r="D24" s="133">
        <f>IF(SER_hh_tes!D24=0,0,11630*1000*SER_hh_tes!D24/SER_hh_num!D24)</f>
        <v>0</v>
      </c>
      <c r="E24" s="133">
        <f>IF(SER_hh_tes!E24=0,0,11630*1000*SER_hh_tes!E24/SER_hh_num!E24)</f>
        <v>0</v>
      </c>
      <c r="F24" s="133">
        <f>IF(SER_hh_tes!F24=0,0,11630*1000*SER_hh_tes!F24/SER_hh_num!F24)</f>
        <v>0</v>
      </c>
      <c r="G24" s="133">
        <f>IF(SER_hh_tes!G24=0,0,11630*1000*SER_hh_tes!G24/SER_hh_num!G24)</f>
        <v>0</v>
      </c>
      <c r="H24" s="133">
        <f>IF(SER_hh_tes!H24=0,0,11630*1000*SER_hh_tes!H24/SER_hh_num!H24)</f>
        <v>0</v>
      </c>
      <c r="I24" s="133">
        <f>IF(SER_hh_tes!I24=0,0,11630*1000*SER_hh_tes!I24/SER_hh_num!I24)</f>
        <v>0</v>
      </c>
      <c r="J24" s="133">
        <f>IF(SER_hh_tes!J24=0,0,11630*1000*SER_hh_tes!J24/SER_hh_num!J24)</f>
        <v>0</v>
      </c>
      <c r="K24" s="133">
        <f>IF(SER_hh_tes!K24=0,0,11630*1000*SER_hh_tes!K24/SER_hh_num!K24)</f>
        <v>0</v>
      </c>
      <c r="L24" s="133">
        <f>IF(SER_hh_tes!L24=0,0,11630*1000*SER_hh_tes!L24/SER_hh_num!L24)</f>
        <v>0</v>
      </c>
      <c r="M24" s="133">
        <f>IF(SER_hh_tes!M24=0,0,11630*1000*SER_hh_tes!M24/SER_hh_num!M24)</f>
        <v>0</v>
      </c>
      <c r="N24" s="133">
        <f>IF(SER_hh_tes!N24=0,0,11630*1000*SER_hh_tes!N24/SER_hh_num!N24)</f>
        <v>0</v>
      </c>
      <c r="O24" s="133">
        <f>IF(SER_hh_tes!O24=0,0,11630*1000*SER_hh_tes!O24/SER_hh_num!O24)</f>
        <v>0</v>
      </c>
      <c r="P24" s="133">
        <f>IF(SER_hh_tes!P24=0,0,11630*1000*SER_hh_tes!P24/SER_hh_num!P24)</f>
        <v>0</v>
      </c>
      <c r="Q24" s="133">
        <f>IF(SER_hh_tes!Q24=0,0,11630*1000*SER_hh_tes!Q24/SER_hh_num!Q24)</f>
        <v>0</v>
      </c>
      <c r="R24" s="133">
        <f>IF(SER_hh_tes!R24=0,0,11630*1000*SER_hh_tes!R24/SER_hh_num!R24)</f>
        <v>0</v>
      </c>
      <c r="S24" s="133">
        <f>IF(SER_hh_tes!S24=0,0,11630*1000*SER_hh_tes!S24/SER_hh_num!S24)</f>
        <v>0</v>
      </c>
      <c r="T24" s="133">
        <f>IF(SER_hh_tes!T24=0,0,11630*1000*SER_hh_tes!T24/SER_hh_num!T24)</f>
        <v>0</v>
      </c>
      <c r="U24" s="133">
        <f>IF(SER_hh_tes!U24=0,0,11630*1000*SER_hh_tes!U24/SER_hh_num!U24)</f>
        <v>0</v>
      </c>
      <c r="V24" s="133">
        <f>IF(SER_hh_tes!V24=0,0,11630*1000*SER_hh_tes!V24/SER_hh_num!V24)</f>
        <v>0</v>
      </c>
      <c r="W24" s="133">
        <f>IF(SER_hh_tes!W24=0,0,11630*1000*SER_hh_tes!W24/SER_hh_num!W24)</f>
        <v>0</v>
      </c>
      <c r="DA24" s="157" t="s">
        <v>435</v>
      </c>
    </row>
    <row r="25" spans="1:105" ht="12" customHeight="1" x14ac:dyDescent="0.25">
      <c r="A25" s="132" t="s">
        <v>169</v>
      </c>
      <c r="B25" s="133">
        <f>IF(SER_hh_tes!B25=0,0,11630*1000*SER_hh_tes!B25/SER_hh_num!B25)</f>
        <v>0</v>
      </c>
      <c r="C25" s="133">
        <f>IF(SER_hh_tes!C25=0,0,11630*1000*SER_hh_tes!C25/SER_hh_num!C25)</f>
        <v>0</v>
      </c>
      <c r="D25" s="133">
        <f>IF(SER_hh_tes!D25=0,0,11630*1000*SER_hh_tes!D25/SER_hh_num!D25)</f>
        <v>0</v>
      </c>
      <c r="E25" s="133">
        <f>IF(SER_hh_tes!E25=0,0,11630*1000*SER_hh_tes!E25/SER_hh_num!E25)</f>
        <v>0</v>
      </c>
      <c r="F25" s="133">
        <f>IF(SER_hh_tes!F25=0,0,11630*1000*SER_hh_tes!F25/SER_hh_num!F25)</f>
        <v>0</v>
      </c>
      <c r="G25" s="133">
        <f>IF(SER_hh_tes!G25=0,0,11630*1000*SER_hh_tes!G25/SER_hh_num!G25)</f>
        <v>0</v>
      </c>
      <c r="H25" s="133">
        <f>IF(SER_hh_tes!H25=0,0,11630*1000*SER_hh_tes!H25/SER_hh_num!H25)</f>
        <v>0</v>
      </c>
      <c r="I25" s="133">
        <f>IF(SER_hh_tes!I25=0,0,11630*1000*SER_hh_tes!I25/SER_hh_num!I25)</f>
        <v>0</v>
      </c>
      <c r="J25" s="133">
        <f>IF(SER_hh_tes!J25=0,0,11630*1000*SER_hh_tes!J25/SER_hh_num!J25)</f>
        <v>0</v>
      </c>
      <c r="K25" s="133">
        <f>IF(SER_hh_tes!K25=0,0,11630*1000*SER_hh_tes!K25/SER_hh_num!K25)</f>
        <v>0</v>
      </c>
      <c r="L25" s="133">
        <f>IF(SER_hh_tes!L25=0,0,11630*1000*SER_hh_tes!L25/SER_hh_num!L25)</f>
        <v>0</v>
      </c>
      <c r="M25" s="133">
        <f>IF(SER_hh_tes!M25=0,0,11630*1000*SER_hh_tes!M25/SER_hh_num!M25)</f>
        <v>0</v>
      </c>
      <c r="N25" s="133">
        <f>IF(SER_hh_tes!N25=0,0,11630*1000*SER_hh_tes!N25/SER_hh_num!N25)</f>
        <v>0</v>
      </c>
      <c r="O25" s="133">
        <f>IF(SER_hh_tes!O25=0,0,11630*1000*SER_hh_tes!O25/SER_hh_num!O25)</f>
        <v>0</v>
      </c>
      <c r="P25" s="133">
        <f>IF(SER_hh_tes!P25=0,0,11630*1000*SER_hh_tes!P25/SER_hh_num!P25)</f>
        <v>0</v>
      </c>
      <c r="Q25" s="133">
        <f>IF(SER_hh_tes!Q25=0,0,11630*1000*SER_hh_tes!Q25/SER_hh_num!Q25)</f>
        <v>0</v>
      </c>
      <c r="R25" s="133">
        <f>IF(SER_hh_tes!R25=0,0,11630*1000*SER_hh_tes!R25/SER_hh_num!R25)</f>
        <v>0</v>
      </c>
      <c r="S25" s="133">
        <f>IF(SER_hh_tes!S25=0,0,11630*1000*SER_hh_tes!S25/SER_hh_num!S25)</f>
        <v>0</v>
      </c>
      <c r="T25" s="133">
        <f>IF(SER_hh_tes!T25=0,0,11630*1000*SER_hh_tes!T25/SER_hh_num!T25)</f>
        <v>0</v>
      </c>
      <c r="U25" s="133">
        <f>IF(SER_hh_tes!U25=0,0,11630*1000*SER_hh_tes!U25/SER_hh_num!U25)</f>
        <v>0</v>
      </c>
      <c r="V25" s="133">
        <f>IF(SER_hh_tes!V25=0,0,11630*1000*SER_hh_tes!V25/SER_hh_num!V25)</f>
        <v>0</v>
      </c>
      <c r="W25" s="133">
        <f>IF(SER_hh_tes!W25=0,0,11630*1000*SER_hh_tes!W25/SER_hh_num!W25)</f>
        <v>0</v>
      </c>
      <c r="DA25" s="157" t="s">
        <v>436</v>
      </c>
    </row>
    <row r="26" spans="1:105" ht="12" customHeight="1" x14ac:dyDescent="0.25">
      <c r="A26" s="132" t="s">
        <v>24</v>
      </c>
      <c r="B26" s="65">
        <f>IF(SER_hh_tes!B26=0,0,11630*1000*SER_hh_tes!B26/SER_hh_num!B26)</f>
        <v>7917.6183900455171</v>
      </c>
      <c r="C26" s="65">
        <f>IF(SER_hh_tes!C26=0,0,11630*1000*SER_hh_tes!C26/SER_hh_num!C26)</f>
        <v>7995.6285605978856</v>
      </c>
      <c r="D26" s="65">
        <f>IF(SER_hh_tes!D26=0,0,11630*1000*SER_hh_tes!D26/SER_hh_num!D26)</f>
        <v>7951.4813088717674</v>
      </c>
      <c r="E26" s="65">
        <f>IF(SER_hh_tes!E26=0,0,11630*1000*SER_hh_tes!E26/SER_hh_num!E26)</f>
        <v>7909.1312582471737</v>
      </c>
      <c r="F26" s="65">
        <f>IF(SER_hh_tes!F26=0,0,11630*1000*SER_hh_tes!F26/SER_hh_num!F26)</f>
        <v>7629.101810107074</v>
      </c>
      <c r="G26" s="65">
        <f>IF(SER_hh_tes!G26=0,0,11630*1000*SER_hh_tes!G26/SER_hh_num!G26)</f>
        <v>7600.2982580199114</v>
      </c>
      <c r="H26" s="65">
        <f>IF(SER_hh_tes!H26=0,0,11630*1000*SER_hh_tes!H26/SER_hh_num!H26)</f>
        <v>5056.8692631678787</v>
      </c>
      <c r="I26" s="65">
        <f>IF(SER_hh_tes!I26=0,0,11630*1000*SER_hh_tes!I26/SER_hh_num!I26)</f>
        <v>4425.8451365431474</v>
      </c>
      <c r="J26" s="65">
        <f>IF(SER_hh_tes!J26=0,0,11630*1000*SER_hh_tes!J26/SER_hh_num!J26)</f>
        <v>4597.7718527883626</v>
      </c>
      <c r="K26" s="65">
        <f>IF(SER_hh_tes!K26=0,0,11630*1000*SER_hh_tes!K26/SER_hh_num!K26)</f>
        <v>4543.0957364810938</v>
      </c>
      <c r="L26" s="65">
        <f>IF(SER_hh_tes!L26=0,0,11630*1000*SER_hh_tes!L26/SER_hh_num!L26)</f>
        <v>4245.6695084078019</v>
      </c>
      <c r="M26" s="65">
        <f>IF(SER_hh_tes!M26=0,0,11630*1000*SER_hh_tes!M26/SER_hh_num!M26)</f>
        <v>4436.6463950858952</v>
      </c>
      <c r="N26" s="65">
        <f>IF(SER_hh_tes!N26=0,0,11630*1000*SER_hh_tes!N26/SER_hh_num!N26)</f>
        <v>4561.2536974850982</v>
      </c>
      <c r="O26" s="65">
        <f>IF(SER_hh_tes!O26=0,0,11630*1000*SER_hh_tes!O26/SER_hh_num!O26)</f>
        <v>4699.6079383387814</v>
      </c>
      <c r="P26" s="65">
        <f>IF(SER_hh_tes!P26=0,0,11630*1000*SER_hh_tes!P26/SER_hh_num!P26)</f>
        <v>4777.8164152218815</v>
      </c>
      <c r="Q26" s="65">
        <f>IF(SER_hh_tes!Q26=0,0,11630*1000*SER_hh_tes!Q26/SER_hh_num!Q26)</f>
        <v>4715.2836614198168</v>
      </c>
      <c r="R26" s="65">
        <f>IF(SER_hh_tes!R26=0,0,11630*1000*SER_hh_tes!R26/SER_hh_num!R26)</f>
        <v>4663.3544935258933</v>
      </c>
      <c r="S26" s="65">
        <f>IF(SER_hh_tes!S26=0,0,11630*1000*SER_hh_tes!S26/SER_hh_num!S26)</f>
        <v>4356.7203793244171</v>
      </c>
      <c r="T26" s="65">
        <f>IF(SER_hh_tes!T26=0,0,11630*1000*SER_hh_tes!T26/SER_hh_num!T26)</f>
        <v>4396.9427311940626</v>
      </c>
      <c r="U26" s="65">
        <f>IF(SER_hh_tes!U26=0,0,11630*1000*SER_hh_tes!U26/SER_hh_num!U26)</f>
        <v>4125.695752327395</v>
      </c>
      <c r="V26" s="65">
        <f>IF(SER_hh_tes!V26=0,0,11630*1000*SER_hh_tes!V26/SER_hh_num!V26)</f>
        <v>3832.4481342144472</v>
      </c>
      <c r="W26" s="65">
        <f>IF(SER_hh_tes!W26=0,0,11630*1000*SER_hh_tes!W26/SER_hh_num!W26)</f>
        <v>3864.6581675696939</v>
      </c>
      <c r="DA26" s="109" t="s">
        <v>437</v>
      </c>
    </row>
    <row r="27" spans="1:105" ht="12" customHeight="1" x14ac:dyDescent="0.25">
      <c r="A27" s="145" t="s">
        <v>86</v>
      </c>
      <c r="B27" s="146">
        <f>IF(SER_hh_tes!B27=0,0,11630*1000*SER_hh_tes!B27/SER_hh_num!B19)</f>
        <v>3740.4250253701302</v>
      </c>
      <c r="C27" s="146">
        <f>IF(SER_hh_tes!C27=0,0,11630*1000*SER_hh_tes!C27/SER_hh_num!C19)</f>
        <v>3555.7959308564687</v>
      </c>
      <c r="D27" s="146">
        <f>IF(SER_hh_tes!D27=0,0,11630*1000*SER_hh_tes!D27/SER_hh_num!D19)</f>
        <v>3586.0727646348423</v>
      </c>
      <c r="E27" s="146">
        <f>IF(SER_hh_tes!E27=0,0,11630*1000*SER_hh_tes!E27/SER_hh_num!E19)</f>
        <v>3620.2286743995764</v>
      </c>
      <c r="F27" s="146">
        <f>IF(SER_hh_tes!F27=0,0,11630*1000*SER_hh_tes!F27/SER_hh_num!F19)</f>
        <v>3881.1134121776799</v>
      </c>
      <c r="G27" s="146">
        <f>IF(SER_hh_tes!G27=0,0,11630*1000*SER_hh_tes!G27/SER_hh_num!G19)</f>
        <v>3957.9767293589675</v>
      </c>
      <c r="H27" s="146">
        <f>IF(SER_hh_tes!H27=0,0,11630*1000*SER_hh_tes!H27/SER_hh_num!H19)</f>
        <v>4028.1718482303468</v>
      </c>
      <c r="I27" s="146">
        <f>IF(SER_hh_tes!I27=0,0,11630*1000*SER_hh_tes!I27/SER_hh_num!I19)</f>
        <v>4861.1495909667929</v>
      </c>
      <c r="J27" s="146">
        <f>IF(SER_hh_tes!J27=0,0,11630*1000*SER_hh_tes!J27/SER_hh_num!J19)</f>
        <v>5090.9212760550363</v>
      </c>
      <c r="K27" s="146">
        <f>IF(SER_hh_tes!K27=0,0,11630*1000*SER_hh_tes!K27/SER_hh_num!K19)</f>
        <v>5098.7855442057289</v>
      </c>
      <c r="L27" s="146">
        <f>IF(SER_hh_tes!L27=0,0,11630*1000*SER_hh_tes!L27/SER_hh_num!L19)</f>
        <v>5173.5656824418556</v>
      </c>
      <c r="M27" s="146">
        <f>IF(SER_hh_tes!M27=0,0,11630*1000*SER_hh_tes!M27/SER_hh_num!M19)</f>
        <v>5215.6088656746488</v>
      </c>
      <c r="N27" s="146">
        <f>IF(SER_hh_tes!N27=0,0,11630*1000*SER_hh_tes!N27/SER_hh_num!N19)</f>
        <v>5239.006738544329</v>
      </c>
      <c r="O27" s="146">
        <f>IF(SER_hh_tes!O27=0,0,11630*1000*SER_hh_tes!O27/SER_hh_num!O19)</f>
        <v>5340.3957963189832</v>
      </c>
      <c r="P27" s="146">
        <f>IF(SER_hh_tes!P27=0,0,11630*1000*SER_hh_tes!P27/SER_hh_num!P19)</f>
        <v>5473.6430815993226</v>
      </c>
      <c r="Q27" s="146">
        <f>IF(SER_hh_tes!Q27=0,0,11630*1000*SER_hh_tes!Q27/SER_hh_num!Q19)</f>
        <v>5602.04956315236</v>
      </c>
      <c r="R27" s="146">
        <f>IF(SER_hh_tes!R27=0,0,11630*1000*SER_hh_tes!R27/SER_hh_num!R19)</f>
        <v>5646.9380479503261</v>
      </c>
      <c r="S27" s="146">
        <f>IF(SER_hh_tes!S27=0,0,11630*1000*SER_hh_tes!S27/SER_hh_num!S19)</f>
        <v>5671.5097665779367</v>
      </c>
      <c r="T27" s="146">
        <f>IF(SER_hh_tes!T27=0,0,11630*1000*SER_hh_tes!T27/SER_hh_num!T19)</f>
        <v>5709.3020840138997</v>
      </c>
      <c r="U27" s="146">
        <f>IF(SER_hh_tes!U27=0,0,11630*1000*SER_hh_tes!U27/SER_hh_num!U19)</f>
        <v>5720.1160094616434</v>
      </c>
      <c r="V27" s="146">
        <f>IF(SER_hh_tes!V27=0,0,11630*1000*SER_hh_tes!V27/SER_hh_num!V19)</f>
        <v>5751.8085481206481</v>
      </c>
      <c r="W27" s="146">
        <f>IF(SER_hh_tes!W27=0,0,11630*1000*SER_hh_tes!W27/SER_hh_num!W19)</f>
        <v>5789.942405469209</v>
      </c>
      <c r="DA27" s="159" t="s">
        <v>438</v>
      </c>
    </row>
    <row r="28" spans="1:105" ht="12" customHeight="1" x14ac:dyDescent="0.25">
      <c r="A28" s="78" t="s">
        <v>85</v>
      </c>
      <c r="B28" s="147">
        <f>IF(SER_hh_tes!B27=0,0,11630*1000*SER_hh_tes!B27/SER_hh_num!B27)</f>
        <v>10096.51613778319</v>
      </c>
      <c r="C28" s="147">
        <f>IF(SER_hh_tes!C27=0,0,11630*1000*SER_hh_tes!C27/SER_hh_num!C27)</f>
        <v>10156.128885278766</v>
      </c>
      <c r="D28" s="147">
        <f>IF(SER_hh_tes!D27=0,0,11630*1000*SER_hh_tes!D27/SER_hh_num!D27)</f>
        <v>9407.4708899249381</v>
      </c>
      <c r="E28" s="147">
        <f>IF(SER_hh_tes!E27=0,0,11630*1000*SER_hh_tes!E27/SER_hh_num!E27)</f>
        <v>8808.4411034179939</v>
      </c>
      <c r="F28" s="147">
        <f>IF(SER_hh_tes!F27=0,0,11630*1000*SER_hh_tes!F27/SER_hh_num!F27)</f>
        <v>8921.8161348543654</v>
      </c>
      <c r="G28" s="147">
        <f>IF(SER_hh_tes!G27=0,0,11630*1000*SER_hh_tes!G27/SER_hh_num!G27)</f>
        <v>8387.2591979939734</v>
      </c>
      <c r="H28" s="147">
        <f>IF(SER_hh_tes!H27=0,0,11630*1000*SER_hh_tes!H27/SER_hh_num!H27)</f>
        <v>8692.5913730264856</v>
      </c>
      <c r="I28" s="147">
        <f>IF(SER_hh_tes!I27=0,0,11630*1000*SER_hh_tes!I27/SER_hh_num!I27)</f>
        <v>9541.5853878898943</v>
      </c>
      <c r="J28" s="147">
        <f>IF(SER_hh_tes!J27=0,0,11630*1000*SER_hh_tes!J27/SER_hh_num!J27)</f>
        <v>9719.795001412218</v>
      </c>
      <c r="K28" s="147">
        <f>IF(SER_hh_tes!K27=0,0,11630*1000*SER_hh_tes!K27/SER_hh_num!K27)</f>
        <v>9335.5969403851177</v>
      </c>
      <c r="L28" s="147">
        <f>IF(SER_hh_tes!L27=0,0,11630*1000*SER_hh_tes!L27/SER_hh_num!L27)</f>
        <v>9528.6882716973214</v>
      </c>
      <c r="M28" s="147">
        <f>IF(SER_hh_tes!M27=0,0,11630*1000*SER_hh_tes!M27/SER_hh_num!M27)</f>
        <v>9495.8787744452075</v>
      </c>
      <c r="N28" s="147">
        <f>IF(SER_hh_tes!N27=0,0,11630*1000*SER_hh_tes!N27/SER_hh_num!N27)</f>
        <v>10060.641549324722</v>
      </c>
      <c r="O28" s="147">
        <f>IF(SER_hh_tes!O27=0,0,11630*1000*SER_hh_tes!O27/SER_hh_num!O27)</f>
        <v>11326.364981225945</v>
      </c>
      <c r="P28" s="147">
        <f>IF(SER_hh_tes!P27=0,0,11630*1000*SER_hh_tes!P27/SER_hh_num!P27)</f>
        <v>11484.378746428662</v>
      </c>
      <c r="Q28" s="147">
        <f>IF(SER_hh_tes!Q27=0,0,11630*1000*SER_hh_tes!Q27/SER_hh_num!Q27)</f>
        <v>11331.793936943357</v>
      </c>
      <c r="R28" s="147">
        <f>IF(SER_hh_tes!R27=0,0,11630*1000*SER_hh_tes!R27/SER_hh_num!R27)</f>
        <v>10999.728169011049</v>
      </c>
      <c r="S28" s="147">
        <f>IF(SER_hh_tes!S27=0,0,11630*1000*SER_hh_tes!S27/SER_hh_num!S27)</f>
        <v>10352.243643598558</v>
      </c>
      <c r="T28" s="147">
        <f>IF(SER_hh_tes!T27=0,0,11630*1000*SER_hh_tes!T27/SER_hh_num!T27)</f>
        <v>10575.482297611019</v>
      </c>
      <c r="U28" s="147">
        <f>IF(SER_hh_tes!U27=0,0,11630*1000*SER_hh_tes!U27/SER_hh_num!U27)</f>
        <v>10597.088047447727</v>
      </c>
      <c r="V28" s="147">
        <f>IF(SER_hh_tes!V27=0,0,11630*1000*SER_hh_tes!V27/SER_hh_num!V27)</f>
        <v>9858.2588605531819</v>
      </c>
      <c r="W28" s="147">
        <f>IF(SER_hh_tes!W27=0,0,11630*1000*SER_hh_tes!W27/SER_hh_num!W27)</f>
        <v>9848.6752682877377</v>
      </c>
      <c r="DA28" s="160"/>
    </row>
    <row r="29" spans="1:105" ht="12.95" customHeight="1" x14ac:dyDescent="0.25">
      <c r="A29" s="130" t="s">
        <v>34</v>
      </c>
      <c r="B29" s="131">
        <f>IF(SER_hh_tes!B29=0,0,11630*1000*SER_hh_tes!B29/SER_hh_num!B29)</f>
        <v>11496.012899346561</v>
      </c>
      <c r="C29" s="131">
        <f>IF(SER_hh_tes!C29=0,0,11630*1000*SER_hh_tes!C29/SER_hh_num!C29)</f>
        <v>11435.823792339635</v>
      </c>
      <c r="D29" s="131">
        <f>IF(SER_hh_tes!D29=0,0,11630*1000*SER_hh_tes!D29/SER_hh_num!D29)</f>
        <v>11494.228033513713</v>
      </c>
      <c r="E29" s="131">
        <f>IF(SER_hh_tes!E29=0,0,11630*1000*SER_hh_tes!E29/SER_hh_num!E29)</f>
        <v>11600.839880498612</v>
      </c>
      <c r="F29" s="131">
        <f>IF(SER_hh_tes!F29=0,0,11630*1000*SER_hh_tes!F29/SER_hh_num!F29)</f>
        <v>11827.247566772099</v>
      </c>
      <c r="G29" s="131">
        <f>IF(SER_hh_tes!G29=0,0,11630*1000*SER_hh_tes!G29/SER_hh_num!G29)</f>
        <v>11983.511727200421</v>
      </c>
      <c r="H29" s="131">
        <f>IF(SER_hh_tes!H29=0,0,11630*1000*SER_hh_tes!H29/SER_hh_num!H29)</f>
        <v>12056.024651723623</v>
      </c>
      <c r="I29" s="131">
        <f>IF(SER_hh_tes!I29=0,0,11630*1000*SER_hh_tes!I29/SER_hh_num!I29)</f>
        <v>12121.632616631787</v>
      </c>
      <c r="J29" s="131">
        <f>IF(SER_hh_tes!J29=0,0,11630*1000*SER_hh_tes!J29/SER_hh_num!J29)</f>
        <v>12266.051460336963</v>
      </c>
      <c r="K29" s="131">
        <f>IF(SER_hh_tes!K29=0,0,11630*1000*SER_hh_tes!K29/SER_hh_num!K29)</f>
        <v>12198.456787941737</v>
      </c>
      <c r="L29" s="131">
        <f>IF(SER_hh_tes!L29=0,0,11630*1000*SER_hh_tes!L29/SER_hh_num!L29)</f>
        <v>12020.892396653924</v>
      </c>
      <c r="M29" s="131">
        <f>IF(SER_hh_tes!M29=0,0,11630*1000*SER_hh_tes!M29/SER_hh_num!M29)</f>
        <v>12007.804391712496</v>
      </c>
      <c r="N29" s="131">
        <f>IF(SER_hh_tes!N29=0,0,11630*1000*SER_hh_tes!N29/SER_hh_num!N29)</f>
        <v>12067.813345216995</v>
      </c>
      <c r="O29" s="131">
        <f>IF(SER_hh_tes!O29=0,0,11630*1000*SER_hh_tes!O29/SER_hh_num!O29)</f>
        <v>12055.623175123348</v>
      </c>
      <c r="P29" s="131">
        <f>IF(SER_hh_tes!P29=0,0,11630*1000*SER_hh_tes!P29/SER_hh_num!P29)</f>
        <v>12170.380048378314</v>
      </c>
      <c r="Q29" s="131">
        <f>IF(SER_hh_tes!Q29=0,0,11630*1000*SER_hh_tes!Q29/SER_hh_num!Q29)</f>
        <v>12140.916840143283</v>
      </c>
      <c r="R29" s="131">
        <f>IF(SER_hh_tes!R29=0,0,11630*1000*SER_hh_tes!R29/SER_hh_num!R29)</f>
        <v>12082.797102500466</v>
      </c>
      <c r="S29" s="131">
        <f>IF(SER_hh_tes!S29=0,0,11630*1000*SER_hh_tes!S29/SER_hh_num!S29)</f>
        <v>11999.252901957601</v>
      </c>
      <c r="T29" s="131">
        <f>IF(SER_hh_tes!T29=0,0,11630*1000*SER_hh_tes!T29/SER_hh_num!T29)</f>
        <v>12107.5562800762</v>
      </c>
      <c r="U29" s="131">
        <f>IF(SER_hh_tes!U29=0,0,11630*1000*SER_hh_tes!U29/SER_hh_num!U29)</f>
        <v>12065.091323346051</v>
      </c>
      <c r="V29" s="131">
        <f>IF(SER_hh_tes!V29=0,0,11630*1000*SER_hh_tes!V29/SER_hh_num!V29)</f>
        <v>10859.3768126087</v>
      </c>
      <c r="W29" s="131">
        <f>IF(SER_hh_tes!W29=0,0,11630*1000*SER_hh_tes!W29/SER_hh_num!W29)</f>
        <v>11271.457517306193</v>
      </c>
      <c r="DA29" s="156" t="s">
        <v>439</v>
      </c>
    </row>
    <row r="30" spans="1:105" ht="12" customHeight="1" x14ac:dyDescent="0.25">
      <c r="A30" s="132" t="s">
        <v>52</v>
      </c>
      <c r="B30" s="133">
        <f>IF(SER_hh_tes!B30=0,0,11630*1000*SER_hh_tes!B30/SER_hh_num!B30)</f>
        <v>0</v>
      </c>
      <c r="C30" s="133">
        <f>IF(SER_hh_tes!C30=0,0,11630*1000*SER_hh_tes!C30/SER_hh_num!C30)</f>
        <v>0</v>
      </c>
      <c r="D30" s="133">
        <f>IF(SER_hh_tes!D30=0,0,11630*1000*SER_hh_tes!D30/SER_hh_num!D30)</f>
        <v>0</v>
      </c>
      <c r="E30" s="133">
        <f>IF(SER_hh_tes!E30=0,0,11630*1000*SER_hh_tes!E30/SER_hh_num!E30)</f>
        <v>0</v>
      </c>
      <c r="F30" s="133">
        <f>IF(SER_hh_tes!F30=0,0,11630*1000*SER_hh_tes!F30/SER_hh_num!F30)</f>
        <v>0</v>
      </c>
      <c r="G30" s="133">
        <f>IF(SER_hh_tes!G30=0,0,11630*1000*SER_hh_tes!G30/SER_hh_num!G30)</f>
        <v>0</v>
      </c>
      <c r="H30" s="133">
        <f>IF(SER_hh_tes!H30=0,0,11630*1000*SER_hh_tes!H30/SER_hh_num!H30)</f>
        <v>16995.166560121292</v>
      </c>
      <c r="I30" s="133">
        <f>IF(SER_hh_tes!I30=0,0,11630*1000*SER_hh_tes!I30/SER_hh_num!I30)</f>
        <v>12996.508233458146</v>
      </c>
      <c r="J30" s="133">
        <f>IF(SER_hh_tes!J30=0,0,11630*1000*SER_hh_tes!J30/SER_hh_num!J30)</f>
        <v>13562.202656618099</v>
      </c>
      <c r="K30" s="133">
        <f>IF(SER_hh_tes!K30=0,0,11630*1000*SER_hh_tes!K30/SER_hh_num!K30)</f>
        <v>11467.647391995066</v>
      </c>
      <c r="L30" s="133">
        <f>IF(SER_hh_tes!L30=0,0,11630*1000*SER_hh_tes!L30/SER_hh_num!L30)</f>
        <v>10593.47875402313</v>
      </c>
      <c r="M30" s="133">
        <f>IF(SER_hh_tes!M30=0,0,11630*1000*SER_hh_tes!M30/SER_hh_num!M30)</f>
        <v>12699.066002831933</v>
      </c>
      <c r="N30" s="133">
        <f>IF(SER_hh_tes!N30=0,0,11630*1000*SER_hh_tes!N30/SER_hh_num!N30)</f>
        <v>13111.930153487712</v>
      </c>
      <c r="O30" s="133">
        <f>IF(SER_hh_tes!O30=0,0,11630*1000*SER_hh_tes!O30/SER_hh_num!O30)</f>
        <v>12194.339178771286</v>
      </c>
      <c r="P30" s="133">
        <f>IF(SER_hh_tes!P30=0,0,11630*1000*SER_hh_tes!P30/SER_hh_num!P30)</f>
        <v>10670.948665341661</v>
      </c>
      <c r="Q30" s="133">
        <f>IF(SER_hh_tes!Q30=0,0,11630*1000*SER_hh_tes!Q30/SER_hh_num!Q30)</f>
        <v>12193.536544633314</v>
      </c>
      <c r="R30" s="133">
        <f>IF(SER_hh_tes!R30=0,0,11630*1000*SER_hh_tes!R30/SER_hh_num!R30)</f>
        <v>10870.316010705123</v>
      </c>
      <c r="S30" s="133">
        <f>IF(SER_hh_tes!S30=0,0,11630*1000*SER_hh_tes!S30/SER_hh_num!S30)</f>
        <v>12546.819145455158</v>
      </c>
      <c r="T30" s="133">
        <f>IF(SER_hh_tes!T30=0,0,11630*1000*SER_hh_tes!T30/SER_hh_num!T30)</f>
        <v>13041.068940147272</v>
      </c>
      <c r="U30" s="133">
        <f>IF(SER_hh_tes!U30=0,0,11630*1000*SER_hh_tes!U30/SER_hh_num!U30)</f>
        <v>16532.870727872971</v>
      </c>
      <c r="V30" s="133">
        <f>IF(SER_hh_tes!V30=0,0,11630*1000*SER_hh_tes!V30/SER_hh_num!V30)</f>
        <v>11578.244718155249</v>
      </c>
      <c r="W30" s="133">
        <f>IF(SER_hh_tes!W30=0,0,11630*1000*SER_hh_tes!W30/SER_hh_num!W30)</f>
        <v>10174.905054670202</v>
      </c>
      <c r="DA30" s="157" t="s">
        <v>440</v>
      </c>
    </row>
    <row r="31" spans="1:105" ht="12" customHeight="1" x14ac:dyDescent="0.25">
      <c r="A31" s="132" t="s">
        <v>153</v>
      </c>
      <c r="B31" s="133">
        <f>IF(SER_hh_tes!B31=0,0,11630*1000*SER_hh_tes!B31/SER_hh_num!B31)</f>
        <v>0</v>
      </c>
      <c r="C31" s="133">
        <f>IF(SER_hh_tes!C31=0,0,11630*1000*SER_hh_tes!C31/SER_hh_num!C31)</f>
        <v>0</v>
      </c>
      <c r="D31" s="133">
        <f>IF(SER_hh_tes!D31=0,0,11630*1000*SER_hh_tes!D31/SER_hh_num!D31)</f>
        <v>0</v>
      </c>
      <c r="E31" s="133">
        <f>IF(SER_hh_tes!E31=0,0,11630*1000*SER_hh_tes!E31/SER_hh_num!E31)</f>
        <v>0</v>
      </c>
      <c r="F31" s="133">
        <f>IF(SER_hh_tes!F31=0,0,11630*1000*SER_hh_tes!F31/SER_hh_num!F31)</f>
        <v>0</v>
      </c>
      <c r="G31" s="133">
        <f>IF(SER_hh_tes!G31=0,0,11630*1000*SER_hh_tes!G31/SER_hh_num!G31)</f>
        <v>0</v>
      </c>
      <c r="H31" s="133">
        <f>IF(SER_hh_tes!H31=0,0,11630*1000*SER_hh_tes!H31/SER_hh_num!H31)</f>
        <v>0</v>
      </c>
      <c r="I31" s="133">
        <f>IF(SER_hh_tes!I31=0,0,11630*1000*SER_hh_tes!I31/SER_hh_num!I31)</f>
        <v>0</v>
      </c>
      <c r="J31" s="133">
        <f>IF(SER_hh_tes!J31=0,0,11630*1000*SER_hh_tes!J31/SER_hh_num!J31)</f>
        <v>0</v>
      </c>
      <c r="K31" s="133">
        <f>IF(SER_hh_tes!K31=0,0,11630*1000*SER_hh_tes!K31/SER_hh_num!K31)</f>
        <v>0</v>
      </c>
      <c r="L31" s="133">
        <f>IF(SER_hh_tes!L31=0,0,11630*1000*SER_hh_tes!L31/SER_hh_num!L31)</f>
        <v>0</v>
      </c>
      <c r="M31" s="133">
        <f>IF(SER_hh_tes!M31=0,0,11630*1000*SER_hh_tes!M31/SER_hh_num!M31)</f>
        <v>0</v>
      </c>
      <c r="N31" s="133">
        <f>IF(SER_hh_tes!N31=0,0,11630*1000*SER_hh_tes!N31/SER_hh_num!N31)</f>
        <v>0</v>
      </c>
      <c r="O31" s="133">
        <f>IF(SER_hh_tes!O31=0,0,11630*1000*SER_hh_tes!O31/SER_hh_num!O31)</f>
        <v>0</v>
      </c>
      <c r="P31" s="133">
        <f>IF(SER_hh_tes!P31=0,0,11630*1000*SER_hh_tes!P31/SER_hh_num!P31)</f>
        <v>0</v>
      </c>
      <c r="Q31" s="133">
        <f>IF(SER_hh_tes!Q31=0,0,11630*1000*SER_hh_tes!Q31/SER_hh_num!Q31)</f>
        <v>0</v>
      </c>
      <c r="R31" s="133">
        <f>IF(SER_hh_tes!R31=0,0,11630*1000*SER_hh_tes!R31/SER_hh_num!R31)</f>
        <v>0</v>
      </c>
      <c r="S31" s="133">
        <f>IF(SER_hh_tes!S31=0,0,11630*1000*SER_hh_tes!S31/SER_hh_num!S31)</f>
        <v>0</v>
      </c>
      <c r="T31" s="133">
        <f>IF(SER_hh_tes!T31=0,0,11630*1000*SER_hh_tes!T31/SER_hh_num!T31)</f>
        <v>0</v>
      </c>
      <c r="U31" s="133">
        <f>IF(SER_hh_tes!U31=0,0,11630*1000*SER_hh_tes!U31/SER_hh_num!U31)</f>
        <v>0</v>
      </c>
      <c r="V31" s="133">
        <f>IF(SER_hh_tes!V31=0,0,11630*1000*SER_hh_tes!V31/SER_hh_num!V31)</f>
        <v>0</v>
      </c>
      <c r="W31" s="133">
        <f>IF(SER_hh_tes!W31=0,0,11630*1000*SER_hh_tes!W31/SER_hh_num!W31)</f>
        <v>0</v>
      </c>
      <c r="DA31" s="157" t="s">
        <v>441</v>
      </c>
    </row>
    <row r="32" spans="1:105" ht="12" customHeight="1" x14ac:dyDescent="0.25">
      <c r="A32" s="132" t="s">
        <v>128</v>
      </c>
      <c r="B32" s="133">
        <f>IF(SER_hh_tes!B32=0,0,11630*1000*SER_hh_tes!B32/SER_hh_num!B32)</f>
        <v>11468.193195835867</v>
      </c>
      <c r="C32" s="133">
        <f>IF(SER_hh_tes!C32=0,0,11630*1000*SER_hh_tes!C32/SER_hh_num!C32)</f>
        <v>10422.386504054553</v>
      </c>
      <c r="D32" s="133">
        <f>IF(SER_hh_tes!D32=0,0,11630*1000*SER_hh_tes!D32/SER_hh_num!D32)</f>
        <v>12369.95013048594</v>
      </c>
      <c r="E32" s="133">
        <f>IF(SER_hh_tes!E32=0,0,11630*1000*SER_hh_tes!E32/SER_hh_num!E32)</f>
        <v>11017.168602262827</v>
      </c>
      <c r="F32" s="133">
        <f>IF(SER_hh_tes!F32=0,0,11630*1000*SER_hh_tes!F32/SER_hh_num!F32)</f>
        <v>11520.275823412523</v>
      </c>
      <c r="G32" s="133">
        <f>IF(SER_hh_tes!G32=0,0,11630*1000*SER_hh_tes!G32/SER_hh_num!G32)</f>
        <v>12370.882077594397</v>
      </c>
      <c r="H32" s="133">
        <f>IF(SER_hh_tes!H32=0,0,11630*1000*SER_hh_tes!H32/SER_hh_num!H32)</f>
        <v>10970.097911143876</v>
      </c>
      <c r="I32" s="133">
        <f>IF(SER_hh_tes!I32=0,0,11630*1000*SER_hh_tes!I32/SER_hh_num!I32)</f>
        <v>13299.855533196396</v>
      </c>
      <c r="J32" s="133">
        <f>IF(SER_hh_tes!J32=0,0,11630*1000*SER_hh_tes!J32/SER_hh_num!J32)</f>
        <v>12597.617151450539</v>
      </c>
      <c r="K32" s="133">
        <f>IF(SER_hh_tes!K32=0,0,11630*1000*SER_hh_tes!K32/SER_hh_num!K32)</f>
        <v>12096.193863601529</v>
      </c>
      <c r="L32" s="133">
        <f>IF(SER_hh_tes!L32=0,0,11630*1000*SER_hh_tes!L32/SER_hh_num!L32)</f>
        <v>12065.97235032567</v>
      </c>
      <c r="M32" s="133">
        <f>IF(SER_hh_tes!M32=0,0,11630*1000*SER_hh_tes!M32/SER_hh_num!M32)</f>
        <v>12045.895453793402</v>
      </c>
      <c r="N32" s="133">
        <f>IF(SER_hh_tes!N32=0,0,11630*1000*SER_hh_tes!N32/SER_hh_num!N32)</f>
        <v>12058.305508481575</v>
      </c>
      <c r="O32" s="133">
        <f>IF(SER_hh_tes!O32=0,0,11630*1000*SER_hh_tes!O32/SER_hh_num!O32)</f>
        <v>12118.140898431131</v>
      </c>
      <c r="P32" s="133">
        <f>IF(SER_hh_tes!P32=0,0,11630*1000*SER_hh_tes!P32/SER_hh_num!P32)</f>
        <v>12224.342407514541</v>
      </c>
      <c r="Q32" s="133">
        <f>IF(SER_hh_tes!Q32=0,0,11630*1000*SER_hh_tes!Q32/SER_hh_num!Q32)</f>
        <v>11995.783878637372</v>
      </c>
      <c r="R32" s="133">
        <f>IF(SER_hh_tes!R32=0,0,11630*1000*SER_hh_tes!R32/SER_hh_num!R32)</f>
        <v>11996.13071913177</v>
      </c>
      <c r="S32" s="133">
        <f>IF(SER_hh_tes!S32=0,0,11630*1000*SER_hh_tes!S32/SER_hh_num!S32)</f>
        <v>11772.369759151212</v>
      </c>
      <c r="T32" s="133">
        <f>IF(SER_hh_tes!T32=0,0,11630*1000*SER_hh_tes!T32/SER_hh_num!T32)</f>
        <v>11244.835430006098</v>
      </c>
      <c r="U32" s="133">
        <f>IF(SER_hh_tes!U32=0,0,11630*1000*SER_hh_tes!U32/SER_hh_num!U32)</f>
        <v>12892.0589457142</v>
      </c>
      <c r="V32" s="133">
        <f>IF(SER_hh_tes!V32=0,0,11630*1000*SER_hh_tes!V32/SER_hh_num!V32)</f>
        <v>12190.520172564909</v>
      </c>
      <c r="W32" s="133">
        <f>IF(SER_hh_tes!W32=0,0,11630*1000*SER_hh_tes!W32/SER_hh_num!W32)</f>
        <v>8174.5841650329194</v>
      </c>
      <c r="DA32" s="157" t="s">
        <v>442</v>
      </c>
    </row>
    <row r="33" spans="1:105" ht="12" customHeight="1" x14ac:dyDescent="0.25">
      <c r="A33" s="62" t="s">
        <v>24</v>
      </c>
      <c r="B33" s="68">
        <f>IF(SER_hh_tes!B33=0,0,11630*1000*SER_hh_tes!B33/SER_hh_num!B33)</f>
        <v>11497.865800265119</v>
      </c>
      <c r="C33" s="68">
        <f>IF(SER_hh_tes!C33=0,0,11630*1000*SER_hh_tes!C33/SER_hh_num!C33)</f>
        <v>11509.17538620021</v>
      </c>
      <c r="D33" s="68">
        <f>IF(SER_hh_tes!D33=0,0,11630*1000*SER_hh_tes!D33/SER_hh_num!D33)</f>
        <v>11419.442107449968</v>
      </c>
      <c r="E33" s="68">
        <f>IF(SER_hh_tes!E33=0,0,11630*1000*SER_hh_tes!E33/SER_hh_num!E33)</f>
        <v>11656.480440462306</v>
      </c>
      <c r="F33" s="68">
        <f>IF(SER_hh_tes!F33=0,0,11630*1000*SER_hh_tes!F33/SER_hh_num!F33)</f>
        <v>11860.34143659752</v>
      </c>
      <c r="G33" s="68">
        <f>IF(SER_hh_tes!G33=0,0,11630*1000*SER_hh_tes!G33/SER_hh_num!G33)</f>
        <v>11935.168503052608</v>
      </c>
      <c r="H33" s="68">
        <f>IF(SER_hh_tes!H33=0,0,11630*1000*SER_hh_tes!H33/SER_hh_num!H33)</f>
        <v>11347.137613729108</v>
      </c>
      <c r="I33" s="68">
        <f>IF(SER_hh_tes!I33=0,0,11630*1000*SER_hh_tes!I33/SER_hh_num!I33)</f>
        <v>11675.438776311314</v>
      </c>
      <c r="J33" s="68">
        <f>IF(SER_hh_tes!J33=0,0,11630*1000*SER_hh_tes!J33/SER_hh_num!J33)</f>
        <v>11840.694255858007</v>
      </c>
      <c r="K33" s="68">
        <f>IF(SER_hh_tes!K33=0,0,11630*1000*SER_hh_tes!K33/SER_hh_num!K33)</f>
        <v>12404.658740499459</v>
      </c>
      <c r="L33" s="68">
        <f>IF(SER_hh_tes!L33=0,0,11630*1000*SER_hh_tes!L33/SER_hh_num!L33)</f>
        <v>12366.612356339057</v>
      </c>
      <c r="M33" s="68">
        <f>IF(SER_hh_tes!M33=0,0,11630*1000*SER_hh_tes!M33/SER_hh_num!M33)</f>
        <v>11815.751279504264</v>
      </c>
      <c r="N33" s="68">
        <f>IF(SER_hh_tes!N33=0,0,11630*1000*SER_hh_tes!N33/SER_hh_num!N33)</f>
        <v>11786.365037865751</v>
      </c>
      <c r="O33" s="68">
        <f>IF(SER_hh_tes!O33=0,0,11630*1000*SER_hh_tes!O33/SER_hh_num!O33)</f>
        <v>12006.540274008239</v>
      </c>
      <c r="P33" s="68">
        <f>IF(SER_hh_tes!P33=0,0,11630*1000*SER_hh_tes!P33/SER_hh_num!P33)</f>
        <v>12547.967294196671</v>
      </c>
      <c r="Q33" s="68">
        <f>IF(SER_hh_tes!Q33=0,0,11630*1000*SER_hh_tes!Q33/SER_hh_num!Q33)</f>
        <v>12153.889015119481</v>
      </c>
      <c r="R33" s="68">
        <f>IF(SER_hh_tes!R33=0,0,11630*1000*SER_hh_tes!R33/SER_hh_num!R33)</f>
        <v>12494.497643605342</v>
      </c>
      <c r="S33" s="68">
        <f>IF(SER_hh_tes!S33=0,0,11630*1000*SER_hh_tes!S33/SER_hh_num!S33)</f>
        <v>11820.676418998242</v>
      </c>
      <c r="T33" s="68">
        <f>IF(SER_hh_tes!T33=0,0,11630*1000*SER_hh_tes!T33/SER_hh_num!T33)</f>
        <v>11910.303448422579</v>
      </c>
      <c r="U33" s="68">
        <f>IF(SER_hh_tes!U33=0,0,11630*1000*SER_hh_tes!U33/SER_hh_num!U33)</f>
        <v>10023.806139036718</v>
      </c>
      <c r="V33" s="68">
        <f>IF(SER_hh_tes!V33=0,0,11630*1000*SER_hh_tes!V33/SER_hh_num!V33)</f>
        <v>10219.437684092827</v>
      </c>
      <c r="W33" s="68">
        <f>IF(SER_hh_tes!W33=0,0,11630*1000*SER_hh_tes!W33/SER_hh_num!W33)</f>
        <v>12481.548547444458</v>
      </c>
      <c r="DA33" s="111" t="s">
        <v>443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444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89</v>
      </c>
      <c r="B3" s="126">
        <f>IF(SER_hh_emi!B3=0,0,1000000*SER_hh_emi!B3/SER_hh_num!B3)</f>
        <v>4971.2084599761874</v>
      </c>
      <c r="C3" s="126">
        <f>IF(SER_hh_emi!C3=0,0,1000000*SER_hh_emi!C3/SER_hh_num!C3)</f>
        <v>4924.4375402963669</v>
      </c>
      <c r="D3" s="126">
        <f>IF(SER_hh_emi!D3=0,0,1000000*SER_hh_emi!D3/SER_hh_num!D3)</f>
        <v>4653.9364215521464</v>
      </c>
      <c r="E3" s="126">
        <f>IF(SER_hh_emi!E3=0,0,1000000*SER_hh_emi!E3/SER_hh_num!E3)</f>
        <v>4700.8569767375693</v>
      </c>
      <c r="F3" s="126">
        <f>IF(SER_hh_emi!F3=0,0,1000000*SER_hh_emi!F3/SER_hh_num!F3)</f>
        <v>4138.988069829662</v>
      </c>
      <c r="G3" s="126">
        <f>IF(SER_hh_emi!G3=0,0,1000000*SER_hh_emi!G3/SER_hh_num!G3)</f>
        <v>3890.9925290764445</v>
      </c>
      <c r="H3" s="126">
        <f>IF(SER_hh_emi!H3=0,0,1000000*SER_hh_emi!H3/SER_hh_num!H3)</f>
        <v>6475.8074212366937</v>
      </c>
      <c r="I3" s="126">
        <f>IF(SER_hh_emi!I3=0,0,1000000*SER_hh_emi!I3/SER_hh_num!I3)</f>
        <v>6484.1205145425274</v>
      </c>
      <c r="J3" s="126">
        <f>IF(SER_hh_emi!J3=0,0,1000000*SER_hh_emi!J3/SER_hh_num!J3)</f>
        <v>7975.6246091400371</v>
      </c>
      <c r="K3" s="126">
        <f>IF(SER_hh_emi!K3=0,0,1000000*SER_hh_emi!K3/SER_hh_num!K3)</f>
        <v>6286.0345918247294</v>
      </c>
      <c r="L3" s="126">
        <f>IF(SER_hh_emi!L3=0,0,1000000*SER_hh_emi!L3/SER_hh_num!L3)</f>
        <v>6701.2303042428339</v>
      </c>
      <c r="M3" s="126">
        <f>IF(SER_hh_emi!M3=0,0,1000000*SER_hh_emi!M3/SER_hh_num!M3)</f>
        <v>6536.7342478860583</v>
      </c>
      <c r="N3" s="126">
        <f>IF(SER_hh_emi!N3=0,0,1000000*SER_hh_emi!N3/SER_hh_num!N3)</f>
        <v>5787.1552791261902</v>
      </c>
      <c r="O3" s="126">
        <f>IF(SER_hh_emi!O3=0,0,1000000*SER_hh_emi!O3/SER_hh_num!O3)</f>
        <v>5927.6635452263063</v>
      </c>
      <c r="P3" s="126">
        <f>IF(SER_hh_emi!P3=0,0,1000000*SER_hh_emi!P3/SER_hh_num!P3)</f>
        <v>5568.2294493637246</v>
      </c>
      <c r="Q3" s="126">
        <f>IF(SER_hh_emi!Q3=0,0,1000000*SER_hh_emi!Q3/SER_hh_num!Q3)</f>
        <v>5157.1777321219142</v>
      </c>
      <c r="R3" s="126">
        <f>IF(SER_hh_emi!R3=0,0,1000000*SER_hh_emi!R3/SER_hh_num!R3)</f>
        <v>4959.5657680727409</v>
      </c>
      <c r="S3" s="126">
        <f>IF(SER_hh_emi!S3=0,0,1000000*SER_hh_emi!S3/SER_hh_num!S3)</f>
        <v>5627.6949688754294</v>
      </c>
      <c r="T3" s="126">
        <f>IF(SER_hh_emi!T3=0,0,1000000*SER_hh_emi!T3/SER_hh_num!T3)</f>
        <v>5511.3212876891685</v>
      </c>
      <c r="U3" s="126">
        <f>IF(SER_hh_emi!U3=0,0,1000000*SER_hh_emi!U3/SER_hh_num!U3)</f>
        <v>6615.0633543424992</v>
      </c>
      <c r="V3" s="126">
        <f>IF(SER_hh_emi!V3=0,0,1000000*SER_hh_emi!V3/SER_hh_num!V3)</f>
        <v>5131.5048013828746</v>
      </c>
      <c r="W3" s="126">
        <f>IF(SER_hh_emi!W3=0,0,1000000*SER_hh_emi!W3/SER_hh_num!W3)</f>
        <v>5315.5088914220032</v>
      </c>
      <c r="DA3" s="155" t="s">
        <v>445</v>
      </c>
    </row>
    <row r="4" spans="1:105" ht="12.95" customHeight="1" x14ac:dyDescent="0.25">
      <c r="A4" s="130" t="s">
        <v>32</v>
      </c>
      <c r="B4" s="131">
        <f>IF(SER_hh_emi!B4=0,0,1000000*SER_hh_emi!B4/SER_hh_num!B4)</f>
        <v>4742.2511862125148</v>
      </c>
      <c r="C4" s="131">
        <f>IF(SER_hh_emi!C4=0,0,1000000*SER_hh_emi!C4/SER_hh_num!C4)</f>
        <v>4698.5966192961259</v>
      </c>
      <c r="D4" s="131">
        <f>IF(SER_hh_emi!D4=0,0,1000000*SER_hh_emi!D4/SER_hh_num!D4)</f>
        <v>4430.8504980705347</v>
      </c>
      <c r="E4" s="131">
        <f>IF(SER_hh_emi!E4=0,0,1000000*SER_hh_emi!E4/SER_hh_num!E4)</f>
        <v>4483.1802554747874</v>
      </c>
      <c r="F4" s="131">
        <f>IF(SER_hh_emi!F4=0,0,1000000*SER_hh_emi!F4/SER_hh_num!F4)</f>
        <v>3925.0957927518807</v>
      </c>
      <c r="G4" s="131">
        <f>IF(SER_hh_emi!G4=0,0,1000000*SER_hh_emi!G4/SER_hh_num!G4)</f>
        <v>3681.0768014524187</v>
      </c>
      <c r="H4" s="131">
        <f>IF(SER_hh_emi!H4=0,0,1000000*SER_hh_emi!H4/SER_hh_num!H4)</f>
        <v>4149.7211691937837</v>
      </c>
      <c r="I4" s="131">
        <f>IF(SER_hh_emi!I4=0,0,1000000*SER_hh_emi!I4/SER_hh_num!I4)</f>
        <v>4219.514326290704</v>
      </c>
      <c r="J4" s="131">
        <f>IF(SER_hh_emi!J4=0,0,1000000*SER_hh_emi!J4/SER_hh_num!J4)</f>
        <v>5613.347853051243</v>
      </c>
      <c r="K4" s="131">
        <f>IF(SER_hh_emi!K4=0,0,1000000*SER_hh_emi!K4/SER_hh_num!K4)</f>
        <v>4149.2511036478309</v>
      </c>
      <c r="L4" s="131">
        <f>IF(SER_hh_emi!L4=0,0,1000000*SER_hh_emi!L4/SER_hh_num!L4)</f>
        <v>4636.1672037806247</v>
      </c>
      <c r="M4" s="131">
        <f>IF(SER_hh_emi!M4=0,0,1000000*SER_hh_emi!M4/SER_hh_num!M4)</f>
        <v>4375.8480670179752</v>
      </c>
      <c r="N4" s="131">
        <f>IF(SER_hh_emi!N4=0,0,1000000*SER_hh_emi!N4/SER_hh_num!N4)</f>
        <v>3674.1984441177246</v>
      </c>
      <c r="O4" s="131">
        <f>IF(SER_hh_emi!O4=0,0,1000000*SER_hh_emi!O4/SER_hh_num!O4)</f>
        <v>3958.6435362398615</v>
      </c>
      <c r="P4" s="131">
        <f>IF(SER_hh_emi!P4=0,0,1000000*SER_hh_emi!P4/SER_hh_num!P4)</f>
        <v>3859.5601840796471</v>
      </c>
      <c r="Q4" s="131">
        <f>IF(SER_hh_emi!Q4=0,0,1000000*SER_hh_emi!Q4/SER_hh_num!Q4)</f>
        <v>3296.0470361152038</v>
      </c>
      <c r="R4" s="131">
        <f>IF(SER_hh_emi!R4=0,0,1000000*SER_hh_emi!R4/SER_hh_num!R4)</f>
        <v>3112.5514441883515</v>
      </c>
      <c r="S4" s="131">
        <f>IF(SER_hh_emi!S4=0,0,1000000*SER_hh_emi!S4/SER_hh_num!S4)</f>
        <v>3472.43755907278</v>
      </c>
      <c r="T4" s="131">
        <f>IF(SER_hh_emi!T4=0,0,1000000*SER_hh_emi!T4/SER_hh_num!T4)</f>
        <v>3353.4865781733183</v>
      </c>
      <c r="U4" s="131">
        <f>IF(SER_hh_emi!U4=0,0,1000000*SER_hh_emi!U4/SER_hh_num!U4)</f>
        <v>4199.7950704302375</v>
      </c>
      <c r="V4" s="131">
        <f>IF(SER_hh_emi!V4=0,0,1000000*SER_hh_emi!V4/SER_hh_num!V4)</f>
        <v>3342.4554095749709</v>
      </c>
      <c r="W4" s="131">
        <f>IF(SER_hh_emi!W4=0,0,1000000*SER_hh_emi!W4/SER_hh_num!W4)</f>
        <v>3736.7775483134419</v>
      </c>
      <c r="DA4" s="156" t="s">
        <v>446</v>
      </c>
    </row>
    <row r="5" spans="1:105" ht="12" customHeight="1" x14ac:dyDescent="0.25">
      <c r="A5" s="132" t="s">
        <v>29</v>
      </c>
      <c r="B5" s="133">
        <f>IF(SER_hh_emi!B5=0,0,1000000*SER_hh_emi!B5/SER_hh_num!B5)</f>
        <v>0</v>
      </c>
      <c r="C5" s="133">
        <f>IF(SER_hh_emi!C5=0,0,1000000*SER_hh_emi!C5/SER_hh_num!C5)</f>
        <v>0</v>
      </c>
      <c r="D5" s="133">
        <f>IF(SER_hh_emi!D5=0,0,1000000*SER_hh_emi!D5/SER_hh_num!D5)</f>
        <v>0</v>
      </c>
      <c r="E5" s="133">
        <f>IF(SER_hh_emi!E5=0,0,1000000*SER_hh_emi!E5/SER_hh_num!E5)</f>
        <v>0</v>
      </c>
      <c r="F5" s="133">
        <f>IF(SER_hh_emi!F5=0,0,1000000*SER_hh_emi!F5/SER_hh_num!F5)</f>
        <v>0</v>
      </c>
      <c r="G5" s="133">
        <f>IF(SER_hh_emi!G5=0,0,1000000*SER_hh_emi!G5/SER_hh_num!G5)</f>
        <v>0</v>
      </c>
      <c r="H5" s="133">
        <f>IF(SER_hh_emi!H5=0,0,1000000*SER_hh_emi!H5/SER_hh_num!H5)</f>
        <v>0</v>
      </c>
      <c r="I5" s="133">
        <f>IF(SER_hh_emi!I5=0,0,1000000*SER_hh_emi!I5/SER_hh_num!I5)</f>
        <v>0</v>
      </c>
      <c r="J5" s="133">
        <f>IF(SER_hh_emi!J5=0,0,1000000*SER_hh_emi!J5/SER_hh_num!J5)</f>
        <v>0</v>
      </c>
      <c r="K5" s="133">
        <f>IF(SER_hh_emi!K5=0,0,1000000*SER_hh_emi!K5/SER_hh_num!K5)</f>
        <v>0</v>
      </c>
      <c r="L5" s="133">
        <f>IF(SER_hh_emi!L5=0,0,1000000*SER_hh_emi!L5/SER_hh_num!L5)</f>
        <v>0</v>
      </c>
      <c r="M5" s="133">
        <f>IF(SER_hh_emi!M5=0,0,1000000*SER_hh_emi!M5/SER_hh_num!M5)</f>
        <v>0</v>
      </c>
      <c r="N5" s="133">
        <f>IF(SER_hh_emi!N5=0,0,1000000*SER_hh_emi!N5/SER_hh_num!N5)</f>
        <v>0</v>
      </c>
      <c r="O5" s="133">
        <f>IF(SER_hh_emi!O5=0,0,1000000*SER_hh_emi!O5/SER_hh_num!O5)</f>
        <v>0</v>
      </c>
      <c r="P5" s="133">
        <f>IF(SER_hh_emi!P5=0,0,1000000*SER_hh_emi!P5/SER_hh_num!P5)</f>
        <v>0</v>
      </c>
      <c r="Q5" s="133">
        <f>IF(SER_hh_emi!Q5=0,0,1000000*SER_hh_emi!Q5/SER_hh_num!Q5)</f>
        <v>0</v>
      </c>
      <c r="R5" s="133">
        <f>IF(SER_hh_emi!R5=0,0,1000000*SER_hh_emi!R5/SER_hh_num!R5)</f>
        <v>0</v>
      </c>
      <c r="S5" s="133">
        <f>IF(SER_hh_emi!S5=0,0,1000000*SER_hh_emi!S5/SER_hh_num!S5)</f>
        <v>0</v>
      </c>
      <c r="T5" s="133">
        <f>IF(SER_hh_emi!T5=0,0,1000000*SER_hh_emi!T5/SER_hh_num!T5)</f>
        <v>0</v>
      </c>
      <c r="U5" s="133">
        <f>IF(SER_hh_emi!U5=0,0,1000000*SER_hh_emi!U5/SER_hh_num!U5)</f>
        <v>0</v>
      </c>
      <c r="V5" s="133">
        <f>IF(SER_hh_emi!V5=0,0,1000000*SER_hh_emi!V5/SER_hh_num!V5)</f>
        <v>0</v>
      </c>
      <c r="W5" s="133">
        <f>IF(SER_hh_emi!W5=0,0,1000000*SER_hh_emi!W5/SER_hh_num!W5)</f>
        <v>0</v>
      </c>
      <c r="DA5" s="157" t="s">
        <v>447</v>
      </c>
    </row>
    <row r="6" spans="1:105" ht="12" customHeight="1" x14ac:dyDescent="0.25">
      <c r="A6" s="132" t="s">
        <v>52</v>
      </c>
      <c r="B6" s="133">
        <f>IF(SER_hh_emi!B6=0,0,1000000*SER_hh_emi!B6/SER_hh_num!B6)</f>
        <v>0</v>
      </c>
      <c r="C6" s="133">
        <f>IF(SER_hh_emi!C6=0,0,1000000*SER_hh_emi!C6/SER_hh_num!C6)</f>
        <v>0</v>
      </c>
      <c r="D6" s="133">
        <f>IF(SER_hh_emi!D6=0,0,1000000*SER_hh_emi!D6/SER_hh_num!D6)</f>
        <v>0</v>
      </c>
      <c r="E6" s="133">
        <f>IF(SER_hh_emi!E6=0,0,1000000*SER_hh_emi!E6/SER_hh_num!E6)</f>
        <v>0</v>
      </c>
      <c r="F6" s="133">
        <f>IF(SER_hh_emi!F6=0,0,1000000*SER_hh_emi!F6/SER_hh_num!F6)</f>
        <v>0</v>
      </c>
      <c r="G6" s="133">
        <f>IF(SER_hh_emi!G6=0,0,1000000*SER_hh_emi!G6/SER_hh_num!G6)</f>
        <v>0</v>
      </c>
      <c r="H6" s="133">
        <f>IF(SER_hh_emi!H6=0,0,1000000*SER_hh_emi!H6/SER_hh_num!H6)</f>
        <v>0</v>
      </c>
      <c r="I6" s="133">
        <f>IF(SER_hh_emi!I6=0,0,1000000*SER_hh_emi!I6/SER_hh_num!I6)</f>
        <v>0</v>
      </c>
      <c r="J6" s="133">
        <f>IF(SER_hh_emi!J6=0,0,1000000*SER_hh_emi!J6/SER_hh_num!J6)</f>
        <v>0</v>
      </c>
      <c r="K6" s="133">
        <f>IF(SER_hh_emi!K6=0,0,1000000*SER_hh_emi!K6/SER_hh_num!K6)</f>
        <v>0</v>
      </c>
      <c r="L6" s="133">
        <f>IF(SER_hh_emi!L6=0,0,1000000*SER_hh_emi!L6/SER_hh_num!L6)</f>
        <v>0</v>
      </c>
      <c r="M6" s="133">
        <f>IF(SER_hh_emi!M6=0,0,1000000*SER_hh_emi!M6/SER_hh_num!M6)</f>
        <v>0</v>
      </c>
      <c r="N6" s="133">
        <f>IF(SER_hh_emi!N6=0,0,1000000*SER_hh_emi!N6/SER_hh_num!N6)</f>
        <v>0</v>
      </c>
      <c r="O6" s="133">
        <f>IF(SER_hh_emi!O6=0,0,1000000*SER_hh_emi!O6/SER_hh_num!O6)</f>
        <v>0</v>
      </c>
      <c r="P6" s="133">
        <f>IF(SER_hh_emi!P6=0,0,1000000*SER_hh_emi!P6/SER_hh_num!P6)</f>
        <v>0</v>
      </c>
      <c r="Q6" s="133">
        <f>IF(SER_hh_emi!Q6=0,0,1000000*SER_hh_emi!Q6/SER_hh_num!Q6)</f>
        <v>0</v>
      </c>
      <c r="R6" s="133">
        <f>IF(SER_hh_emi!R6=0,0,1000000*SER_hh_emi!R6/SER_hh_num!R6)</f>
        <v>0</v>
      </c>
      <c r="S6" s="133">
        <f>IF(SER_hh_emi!S6=0,0,1000000*SER_hh_emi!S6/SER_hh_num!S6)</f>
        <v>0</v>
      </c>
      <c r="T6" s="133">
        <f>IF(SER_hh_emi!T6=0,0,1000000*SER_hh_emi!T6/SER_hh_num!T6)</f>
        <v>0</v>
      </c>
      <c r="U6" s="133">
        <f>IF(SER_hh_emi!U6=0,0,1000000*SER_hh_emi!U6/SER_hh_num!U6)</f>
        <v>0</v>
      </c>
      <c r="V6" s="133">
        <f>IF(SER_hh_emi!V6=0,0,1000000*SER_hh_emi!V6/SER_hh_num!V6)</f>
        <v>0</v>
      </c>
      <c r="W6" s="133">
        <f>IF(SER_hh_emi!W6=0,0,1000000*SER_hh_emi!W6/SER_hh_num!W6)</f>
        <v>0</v>
      </c>
      <c r="DA6" s="157" t="s">
        <v>448</v>
      </c>
    </row>
    <row r="7" spans="1:105" ht="12" customHeight="1" x14ac:dyDescent="0.25">
      <c r="A7" s="132" t="s">
        <v>168</v>
      </c>
      <c r="B7" s="133">
        <f>IF(SER_hh_emi!B7=0,0,1000000*SER_hh_emi!B7/SER_hh_num!B7)</f>
        <v>7478.7473272061115</v>
      </c>
      <c r="C7" s="133">
        <f>IF(SER_hh_emi!C7=0,0,1000000*SER_hh_emi!C7/SER_hh_num!C7)</f>
        <v>8787.0823653326952</v>
      </c>
      <c r="D7" s="133">
        <f>IF(SER_hh_emi!D7=0,0,1000000*SER_hh_emi!D7/SER_hh_num!D7)</f>
        <v>9931.0707888285688</v>
      </c>
      <c r="E7" s="133">
        <f>IF(SER_hh_emi!E7=0,0,1000000*SER_hh_emi!E7/SER_hh_num!E7)</f>
        <v>11674.981934322359</v>
      </c>
      <c r="F7" s="133">
        <f>IF(SER_hh_emi!F7=0,0,1000000*SER_hh_emi!F7/SER_hh_num!F7)</f>
        <v>12074.858756779584</v>
      </c>
      <c r="G7" s="133">
        <f>IF(SER_hh_emi!G7=0,0,1000000*SER_hh_emi!G7/SER_hh_num!G7)</f>
        <v>13244.417967348669</v>
      </c>
      <c r="H7" s="133">
        <f>IF(SER_hh_emi!H7=0,0,1000000*SER_hh_emi!H7/SER_hh_num!H7)</f>
        <v>17134.419021043072</v>
      </c>
      <c r="I7" s="133">
        <f>IF(SER_hh_emi!I7=0,0,1000000*SER_hh_emi!I7/SER_hh_num!I7)</f>
        <v>18737.277314437739</v>
      </c>
      <c r="J7" s="133">
        <f>IF(SER_hh_emi!J7=0,0,1000000*SER_hh_emi!J7/SER_hh_num!J7)</f>
        <v>25239.721856367018</v>
      </c>
      <c r="K7" s="133">
        <f>IF(SER_hh_emi!K7=0,0,1000000*SER_hh_emi!K7/SER_hh_num!K7)</f>
        <v>20038.246129106526</v>
      </c>
      <c r="L7" s="133">
        <f>IF(SER_hh_emi!L7=0,0,1000000*SER_hh_emi!L7/SER_hh_num!L7)</f>
        <v>22311.075839901758</v>
      </c>
      <c r="M7" s="133">
        <f>IF(SER_hh_emi!M7=0,0,1000000*SER_hh_emi!M7/SER_hh_num!M7)</f>
        <v>20723.211518207459</v>
      </c>
      <c r="N7" s="133">
        <f>IF(SER_hh_emi!N7=0,0,1000000*SER_hh_emi!N7/SER_hh_num!N7)</f>
        <v>16892.737285825257</v>
      </c>
      <c r="O7" s="133">
        <f>IF(SER_hh_emi!O7=0,0,1000000*SER_hh_emi!O7/SER_hh_num!O7)</f>
        <v>18577.933363037911</v>
      </c>
      <c r="P7" s="133">
        <f>IF(SER_hh_emi!P7=0,0,1000000*SER_hh_emi!P7/SER_hh_num!P7)</f>
        <v>19613.396894184967</v>
      </c>
      <c r="Q7" s="133">
        <f>IF(SER_hh_emi!Q7=0,0,1000000*SER_hh_emi!Q7/SER_hh_num!Q7)</f>
        <v>19111.246372212692</v>
      </c>
      <c r="R7" s="133">
        <f>IF(SER_hh_emi!R7=0,0,1000000*SER_hh_emi!R7/SER_hh_num!R7)</f>
        <v>20298.399592263446</v>
      </c>
      <c r="S7" s="133">
        <f>IF(SER_hh_emi!S7=0,0,1000000*SER_hh_emi!S7/SER_hh_num!S7)</f>
        <v>23544.362741800229</v>
      </c>
      <c r="T7" s="133">
        <f>IF(SER_hh_emi!T7=0,0,1000000*SER_hh_emi!T7/SER_hh_num!T7)</f>
        <v>22793.939232647983</v>
      </c>
      <c r="U7" s="133">
        <f>IF(SER_hh_emi!U7=0,0,1000000*SER_hh_emi!U7/SER_hh_num!U7)</f>
        <v>27200.163048759729</v>
      </c>
      <c r="V7" s="133">
        <f>IF(SER_hh_emi!V7=0,0,1000000*SER_hh_emi!V7/SER_hh_num!V7)</f>
        <v>20509.088262898396</v>
      </c>
      <c r="W7" s="133">
        <f>IF(SER_hh_emi!W7=0,0,1000000*SER_hh_emi!W7/SER_hh_num!W7)</f>
        <v>23039.240100800391</v>
      </c>
      <c r="DA7" s="157" t="s">
        <v>449</v>
      </c>
    </row>
    <row r="8" spans="1:105" ht="12" customHeight="1" x14ac:dyDescent="0.25">
      <c r="A8" s="132" t="s">
        <v>73</v>
      </c>
      <c r="B8" s="133">
        <f>IF(SER_hh_emi!B8=0,0,1000000*SER_hh_emi!B8/SER_hh_num!B8)</f>
        <v>0</v>
      </c>
      <c r="C8" s="133">
        <f>IF(SER_hh_emi!C8=0,0,1000000*SER_hh_emi!C8/SER_hh_num!C8)</f>
        <v>0</v>
      </c>
      <c r="D8" s="133">
        <f>IF(SER_hh_emi!D8=0,0,1000000*SER_hh_emi!D8/SER_hh_num!D8)</f>
        <v>0</v>
      </c>
      <c r="E8" s="133">
        <f>IF(SER_hh_emi!E8=0,0,1000000*SER_hh_emi!E8/SER_hh_num!E8)</f>
        <v>0</v>
      </c>
      <c r="F8" s="133">
        <f>IF(SER_hh_emi!F8=0,0,1000000*SER_hh_emi!F8/SER_hh_num!F8)</f>
        <v>0</v>
      </c>
      <c r="G8" s="133">
        <f>IF(SER_hh_emi!G8=0,0,1000000*SER_hh_emi!G8/SER_hh_num!G8)</f>
        <v>0</v>
      </c>
      <c r="H8" s="133">
        <f>IF(SER_hh_emi!H8=0,0,1000000*SER_hh_emi!H8/SER_hh_num!H8)</f>
        <v>0</v>
      </c>
      <c r="I8" s="133">
        <f>IF(SER_hh_emi!I8=0,0,1000000*SER_hh_emi!I8/SER_hh_num!I8)</f>
        <v>0</v>
      </c>
      <c r="J8" s="133">
        <f>IF(SER_hh_emi!J8=0,0,1000000*SER_hh_emi!J8/SER_hh_num!J8)</f>
        <v>0</v>
      </c>
      <c r="K8" s="133">
        <f>IF(SER_hh_emi!K8=0,0,1000000*SER_hh_emi!K8/SER_hh_num!K8)</f>
        <v>0</v>
      </c>
      <c r="L8" s="133">
        <f>IF(SER_hh_emi!L8=0,0,1000000*SER_hh_emi!L8/SER_hh_num!L8)</f>
        <v>0</v>
      </c>
      <c r="M8" s="133">
        <f>IF(SER_hh_emi!M8=0,0,1000000*SER_hh_emi!M8/SER_hh_num!M8)</f>
        <v>0</v>
      </c>
      <c r="N8" s="133">
        <f>IF(SER_hh_emi!N8=0,0,1000000*SER_hh_emi!N8/SER_hh_num!N8)</f>
        <v>0</v>
      </c>
      <c r="O8" s="133">
        <f>IF(SER_hh_emi!O8=0,0,1000000*SER_hh_emi!O8/SER_hh_num!O8)</f>
        <v>0</v>
      </c>
      <c r="P8" s="133">
        <f>IF(SER_hh_emi!P8=0,0,1000000*SER_hh_emi!P8/SER_hh_num!P8)</f>
        <v>0</v>
      </c>
      <c r="Q8" s="133">
        <f>IF(SER_hh_emi!Q8=0,0,1000000*SER_hh_emi!Q8/SER_hh_num!Q8)</f>
        <v>0</v>
      </c>
      <c r="R8" s="133">
        <f>IF(SER_hh_emi!R8=0,0,1000000*SER_hh_emi!R8/SER_hh_num!R8)</f>
        <v>0</v>
      </c>
      <c r="S8" s="133">
        <f>IF(SER_hh_emi!S8=0,0,1000000*SER_hh_emi!S8/SER_hh_num!S8)</f>
        <v>0</v>
      </c>
      <c r="T8" s="133">
        <f>IF(SER_hh_emi!T8=0,0,1000000*SER_hh_emi!T8/SER_hh_num!T8)</f>
        <v>0</v>
      </c>
      <c r="U8" s="133">
        <f>IF(SER_hh_emi!U8=0,0,1000000*SER_hh_emi!U8/SER_hh_num!U8)</f>
        <v>0</v>
      </c>
      <c r="V8" s="133">
        <f>IF(SER_hh_emi!V8=0,0,1000000*SER_hh_emi!V8/SER_hh_num!V8)</f>
        <v>0</v>
      </c>
      <c r="W8" s="133">
        <f>IF(SER_hh_emi!W8=0,0,1000000*SER_hh_emi!W8/SER_hh_num!W8)</f>
        <v>0</v>
      </c>
      <c r="DA8" s="157" t="s">
        <v>450</v>
      </c>
    </row>
    <row r="9" spans="1:105" ht="12" customHeight="1" x14ac:dyDescent="0.25">
      <c r="A9" s="132" t="s">
        <v>78</v>
      </c>
      <c r="B9" s="133">
        <f>IF(SER_hh_emi!B9=0,0,1000000*SER_hh_emi!B9/SER_hh_num!B9)</f>
        <v>0</v>
      </c>
      <c r="C9" s="133">
        <f>IF(SER_hh_emi!C9=0,0,1000000*SER_hh_emi!C9/SER_hh_num!C9)</f>
        <v>0</v>
      </c>
      <c r="D9" s="133">
        <f>IF(SER_hh_emi!D9=0,0,1000000*SER_hh_emi!D9/SER_hh_num!D9)</f>
        <v>0</v>
      </c>
      <c r="E9" s="133">
        <f>IF(SER_hh_emi!E9=0,0,1000000*SER_hh_emi!E9/SER_hh_num!E9)</f>
        <v>0</v>
      </c>
      <c r="F9" s="133">
        <f>IF(SER_hh_emi!F9=0,0,1000000*SER_hh_emi!F9/SER_hh_num!F9)</f>
        <v>0</v>
      </c>
      <c r="G9" s="133">
        <f>IF(SER_hh_emi!G9=0,0,1000000*SER_hh_emi!G9/SER_hh_num!G9)</f>
        <v>0</v>
      </c>
      <c r="H9" s="133">
        <f>IF(SER_hh_emi!H9=0,0,1000000*SER_hh_emi!H9/SER_hh_num!H9)</f>
        <v>0</v>
      </c>
      <c r="I9" s="133">
        <f>IF(SER_hh_emi!I9=0,0,1000000*SER_hh_emi!I9/SER_hh_num!I9)</f>
        <v>0</v>
      </c>
      <c r="J9" s="133">
        <f>IF(SER_hh_emi!J9=0,0,1000000*SER_hh_emi!J9/SER_hh_num!J9)</f>
        <v>0</v>
      </c>
      <c r="K9" s="133">
        <f>IF(SER_hh_emi!K9=0,0,1000000*SER_hh_emi!K9/SER_hh_num!K9)</f>
        <v>0</v>
      </c>
      <c r="L9" s="133">
        <f>IF(SER_hh_emi!L9=0,0,1000000*SER_hh_emi!L9/SER_hh_num!L9)</f>
        <v>0</v>
      </c>
      <c r="M9" s="133">
        <f>IF(SER_hh_emi!M9=0,0,1000000*SER_hh_emi!M9/SER_hh_num!M9)</f>
        <v>0</v>
      </c>
      <c r="N9" s="133">
        <f>IF(SER_hh_emi!N9=0,0,1000000*SER_hh_emi!N9/SER_hh_num!N9)</f>
        <v>0</v>
      </c>
      <c r="O9" s="133">
        <f>IF(SER_hh_emi!O9=0,0,1000000*SER_hh_emi!O9/SER_hh_num!O9)</f>
        <v>0</v>
      </c>
      <c r="P9" s="133">
        <f>IF(SER_hh_emi!P9=0,0,1000000*SER_hh_emi!P9/SER_hh_num!P9)</f>
        <v>0</v>
      </c>
      <c r="Q9" s="133">
        <f>IF(SER_hh_emi!Q9=0,0,1000000*SER_hh_emi!Q9/SER_hh_num!Q9)</f>
        <v>0</v>
      </c>
      <c r="R9" s="133">
        <f>IF(SER_hh_emi!R9=0,0,1000000*SER_hh_emi!R9/SER_hh_num!R9)</f>
        <v>0</v>
      </c>
      <c r="S9" s="133">
        <f>IF(SER_hh_emi!S9=0,0,1000000*SER_hh_emi!S9/SER_hh_num!S9)</f>
        <v>0</v>
      </c>
      <c r="T9" s="133">
        <f>IF(SER_hh_emi!T9=0,0,1000000*SER_hh_emi!T9/SER_hh_num!T9)</f>
        <v>0</v>
      </c>
      <c r="U9" s="133">
        <f>IF(SER_hh_emi!U9=0,0,1000000*SER_hh_emi!U9/SER_hh_num!U9)</f>
        <v>0</v>
      </c>
      <c r="V9" s="133">
        <f>IF(SER_hh_emi!V9=0,0,1000000*SER_hh_emi!V9/SER_hh_num!V9)</f>
        <v>0</v>
      </c>
      <c r="W9" s="133">
        <f>IF(SER_hh_emi!W9=0,0,1000000*SER_hh_emi!W9/SER_hh_num!W9)</f>
        <v>0</v>
      </c>
      <c r="DA9" s="157" t="s">
        <v>451</v>
      </c>
    </row>
    <row r="10" spans="1:105" ht="12" customHeight="1" x14ac:dyDescent="0.25">
      <c r="A10" s="132" t="s">
        <v>128</v>
      </c>
      <c r="B10" s="133">
        <f>IF(SER_hh_emi!B10=0,0,1000000*SER_hh_emi!B10/SER_hh_num!B10)</f>
        <v>0</v>
      </c>
      <c r="C10" s="133">
        <f>IF(SER_hh_emi!C10=0,0,1000000*SER_hh_emi!C10/SER_hh_num!C10)</f>
        <v>0</v>
      </c>
      <c r="D10" s="133">
        <f>IF(SER_hh_emi!D10=0,0,1000000*SER_hh_emi!D10/SER_hh_num!D10)</f>
        <v>0</v>
      </c>
      <c r="E10" s="133">
        <f>IF(SER_hh_emi!E10=0,0,1000000*SER_hh_emi!E10/SER_hh_num!E10)</f>
        <v>0</v>
      </c>
      <c r="F10" s="133">
        <f>IF(SER_hh_emi!F10=0,0,1000000*SER_hh_emi!F10/SER_hh_num!F10)</f>
        <v>0</v>
      </c>
      <c r="G10" s="133">
        <f>IF(SER_hh_emi!G10=0,0,1000000*SER_hh_emi!G10/SER_hh_num!G10)</f>
        <v>0</v>
      </c>
      <c r="H10" s="133">
        <f>IF(SER_hh_emi!H10=0,0,1000000*SER_hh_emi!H10/SER_hh_num!H10)</f>
        <v>0</v>
      </c>
      <c r="I10" s="133">
        <f>IF(SER_hh_emi!I10=0,0,1000000*SER_hh_emi!I10/SER_hh_num!I10)</f>
        <v>0</v>
      </c>
      <c r="J10" s="133">
        <f>IF(SER_hh_emi!J10=0,0,1000000*SER_hh_emi!J10/SER_hh_num!J10)</f>
        <v>0</v>
      </c>
      <c r="K10" s="133">
        <f>IF(SER_hh_emi!K10=0,0,1000000*SER_hh_emi!K10/SER_hh_num!K10)</f>
        <v>0</v>
      </c>
      <c r="L10" s="133">
        <f>IF(SER_hh_emi!L10=0,0,1000000*SER_hh_emi!L10/SER_hh_num!L10)</f>
        <v>0</v>
      </c>
      <c r="M10" s="133">
        <f>IF(SER_hh_emi!M10=0,0,1000000*SER_hh_emi!M10/SER_hh_num!M10)</f>
        <v>0</v>
      </c>
      <c r="N10" s="133">
        <f>IF(SER_hh_emi!N10=0,0,1000000*SER_hh_emi!N10/SER_hh_num!N10)</f>
        <v>0</v>
      </c>
      <c r="O10" s="133">
        <f>IF(SER_hh_emi!O10=0,0,1000000*SER_hh_emi!O10/SER_hh_num!O10)</f>
        <v>0</v>
      </c>
      <c r="P10" s="133">
        <f>IF(SER_hh_emi!P10=0,0,1000000*SER_hh_emi!P10/SER_hh_num!P10)</f>
        <v>0</v>
      </c>
      <c r="Q10" s="133">
        <f>IF(SER_hh_emi!Q10=0,0,1000000*SER_hh_emi!Q10/SER_hh_num!Q10)</f>
        <v>0</v>
      </c>
      <c r="R10" s="133">
        <f>IF(SER_hh_emi!R10=0,0,1000000*SER_hh_emi!R10/SER_hh_num!R10)</f>
        <v>0</v>
      </c>
      <c r="S10" s="133">
        <f>IF(SER_hh_emi!S10=0,0,1000000*SER_hh_emi!S10/SER_hh_num!S10)</f>
        <v>0</v>
      </c>
      <c r="T10" s="133">
        <f>IF(SER_hh_emi!T10=0,0,1000000*SER_hh_emi!T10/SER_hh_num!T10)</f>
        <v>0</v>
      </c>
      <c r="U10" s="133">
        <f>IF(SER_hh_emi!U10=0,0,1000000*SER_hh_emi!U10/SER_hh_num!U10)</f>
        <v>0</v>
      </c>
      <c r="V10" s="133">
        <f>IF(SER_hh_emi!V10=0,0,1000000*SER_hh_emi!V10/SER_hh_num!V10)</f>
        <v>0</v>
      </c>
      <c r="W10" s="133">
        <f>IF(SER_hh_emi!W10=0,0,1000000*SER_hh_emi!W10/SER_hh_num!W10)</f>
        <v>0</v>
      </c>
      <c r="DA10" s="157" t="s">
        <v>452</v>
      </c>
    </row>
    <row r="11" spans="1:105" ht="12" customHeight="1" x14ac:dyDescent="0.25">
      <c r="A11" s="132" t="s">
        <v>25</v>
      </c>
      <c r="B11" s="133">
        <f>IF(SER_hh_emi!B11=0,0,1000000*SER_hh_emi!B11/SER_hh_num!B11)</f>
        <v>0</v>
      </c>
      <c r="C11" s="133">
        <f>IF(SER_hh_emi!C11=0,0,1000000*SER_hh_emi!C11/SER_hh_num!C11)</f>
        <v>0</v>
      </c>
      <c r="D11" s="133">
        <f>IF(SER_hh_emi!D11=0,0,1000000*SER_hh_emi!D11/SER_hh_num!D11)</f>
        <v>0</v>
      </c>
      <c r="E11" s="133">
        <f>IF(SER_hh_emi!E11=0,0,1000000*SER_hh_emi!E11/SER_hh_num!E11)</f>
        <v>0</v>
      </c>
      <c r="F11" s="133">
        <f>IF(SER_hh_emi!F11=0,0,1000000*SER_hh_emi!F11/SER_hh_num!F11)</f>
        <v>0</v>
      </c>
      <c r="G11" s="133">
        <f>IF(SER_hh_emi!G11=0,0,1000000*SER_hh_emi!G11/SER_hh_num!G11)</f>
        <v>0</v>
      </c>
      <c r="H11" s="133">
        <f>IF(SER_hh_emi!H11=0,0,1000000*SER_hh_emi!H11/SER_hh_num!H11)</f>
        <v>0</v>
      </c>
      <c r="I11" s="133">
        <f>IF(SER_hh_emi!I11=0,0,1000000*SER_hh_emi!I11/SER_hh_num!I11)</f>
        <v>0</v>
      </c>
      <c r="J11" s="133">
        <f>IF(SER_hh_emi!J11=0,0,1000000*SER_hh_emi!J11/SER_hh_num!J11)</f>
        <v>0</v>
      </c>
      <c r="K11" s="133">
        <f>IF(SER_hh_emi!K11=0,0,1000000*SER_hh_emi!K11/SER_hh_num!K11)</f>
        <v>0</v>
      </c>
      <c r="L11" s="133">
        <f>IF(SER_hh_emi!L11=0,0,1000000*SER_hh_emi!L11/SER_hh_num!L11)</f>
        <v>0</v>
      </c>
      <c r="M11" s="133">
        <f>IF(SER_hh_emi!M11=0,0,1000000*SER_hh_emi!M11/SER_hh_num!M11)</f>
        <v>0</v>
      </c>
      <c r="N11" s="133">
        <f>IF(SER_hh_emi!N11=0,0,1000000*SER_hh_emi!N11/SER_hh_num!N11)</f>
        <v>0</v>
      </c>
      <c r="O11" s="133">
        <f>IF(SER_hh_emi!O11=0,0,1000000*SER_hh_emi!O11/SER_hh_num!O11)</f>
        <v>0</v>
      </c>
      <c r="P11" s="133">
        <f>IF(SER_hh_emi!P11=0,0,1000000*SER_hh_emi!P11/SER_hh_num!P11)</f>
        <v>0</v>
      </c>
      <c r="Q11" s="133">
        <f>IF(SER_hh_emi!Q11=0,0,1000000*SER_hh_emi!Q11/SER_hh_num!Q11)</f>
        <v>0</v>
      </c>
      <c r="R11" s="133">
        <f>IF(SER_hh_emi!R11=0,0,1000000*SER_hh_emi!R11/SER_hh_num!R11)</f>
        <v>0</v>
      </c>
      <c r="S11" s="133">
        <f>IF(SER_hh_emi!S11=0,0,1000000*SER_hh_emi!S11/SER_hh_num!S11)</f>
        <v>0</v>
      </c>
      <c r="T11" s="133">
        <f>IF(SER_hh_emi!T11=0,0,1000000*SER_hh_emi!T11/SER_hh_num!T11)</f>
        <v>0</v>
      </c>
      <c r="U11" s="133">
        <f>IF(SER_hh_emi!U11=0,0,1000000*SER_hh_emi!U11/SER_hh_num!U11)</f>
        <v>0</v>
      </c>
      <c r="V11" s="133">
        <f>IF(SER_hh_emi!V11=0,0,1000000*SER_hh_emi!V11/SER_hh_num!V11)</f>
        <v>0</v>
      </c>
      <c r="W11" s="133">
        <f>IF(SER_hh_emi!W11=0,0,1000000*SER_hh_emi!W11/SER_hh_num!W11)</f>
        <v>0</v>
      </c>
      <c r="DA11" s="157" t="s">
        <v>453</v>
      </c>
    </row>
    <row r="12" spans="1:105" ht="12" customHeight="1" x14ac:dyDescent="0.25">
      <c r="A12" s="132" t="s">
        <v>169</v>
      </c>
      <c r="B12" s="133">
        <f>IF(SER_hh_emi!B12=0,0,1000000*SER_hh_emi!B12/SER_hh_num!B12)</f>
        <v>0</v>
      </c>
      <c r="C12" s="133">
        <f>IF(SER_hh_emi!C12=0,0,1000000*SER_hh_emi!C12/SER_hh_num!C12)</f>
        <v>0</v>
      </c>
      <c r="D12" s="133">
        <f>IF(SER_hh_emi!D12=0,0,1000000*SER_hh_emi!D12/SER_hh_num!D12)</f>
        <v>0</v>
      </c>
      <c r="E12" s="133">
        <f>IF(SER_hh_emi!E12=0,0,1000000*SER_hh_emi!E12/SER_hh_num!E12)</f>
        <v>0</v>
      </c>
      <c r="F12" s="133">
        <f>IF(SER_hh_emi!F12=0,0,1000000*SER_hh_emi!F12/SER_hh_num!F12)</f>
        <v>0</v>
      </c>
      <c r="G12" s="133">
        <f>IF(SER_hh_emi!G12=0,0,1000000*SER_hh_emi!G12/SER_hh_num!G12)</f>
        <v>0</v>
      </c>
      <c r="H12" s="133">
        <f>IF(SER_hh_emi!H12=0,0,1000000*SER_hh_emi!H12/SER_hh_num!H12)</f>
        <v>0</v>
      </c>
      <c r="I12" s="133">
        <f>IF(SER_hh_emi!I12=0,0,1000000*SER_hh_emi!I12/SER_hh_num!I12)</f>
        <v>0</v>
      </c>
      <c r="J12" s="133">
        <f>IF(SER_hh_emi!J12=0,0,1000000*SER_hh_emi!J12/SER_hh_num!J12)</f>
        <v>0</v>
      </c>
      <c r="K12" s="133">
        <f>IF(SER_hh_emi!K12=0,0,1000000*SER_hh_emi!K12/SER_hh_num!K12)</f>
        <v>0</v>
      </c>
      <c r="L12" s="133">
        <f>IF(SER_hh_emi!L12=0,0,1000000*SER_hh_emi!L12/SER_hh_num!L12)</f>
        <v>0</v>
      </c>
      <c r="M12" s="133">
        <f>IF(SER_hh_emi!M12=0,0,1000000*SER_hh_emi!M12/SER_hh_num!M12)</f>
        <v>0</v>
      </c>
      <c r="N12" s="133">
        <f>IF(SER_hh_emi!N12=0,0,1000000*SER_hh_emi!N12/SER_hh_num!N12)</f>
        <v>0</v>
      </c>
      <c r="O12" s="133">
        <f>IF(SER_hh_emi!O12=0,0,1000000*SER_hh_emi!O12/SER_hh_num!O12)</f>
        <v>0</v>
      </c>
      <c r="P12" s="133">
        <f>IF(SER_hh_emi!P12=0,0,1000000*SER_hh_emi!P12/SER_hh_num!P12)</f>
        <v>0</v>
      </c>
      <c r="Q12" s="133">
        <f>IF(SER_hh_emi!Q12=0,0,1000000*SER_hh_emi!Q12/SER_hh_num!Q12)</f>
        <v>0</v>
      </c>
      <c r="R12" s="133">
        <f>IF(SER_hh_emi!R12=0,0,1000000*SER_hh_emi!R12/SER_hh_num!R12)</f>
        <v>0</v>
      </c>
      <c r="S12" s="133">
        <f>IF(SER_hh_emi!S12=0,0,1000000*SER_hh_emi!S12/SER_hh_num!S12)</f>
        <v>0</v>
      </c>
      <c r="T12" s="133">
        <f>IF(SER_hh_emi!T12=0,0,1000000*SER_hh_emi!T12/SER_hh_num!T12)</f>
        <v>0</v>
      </c>
      <c r="U12" s="133">
        <f>IF(SER_hh_emi!U12=0,0,1000000*SER_hh_emi!U12/SER_hh_num!U12)</f>
        <v>0</v>
      </c>
      <c r="V12" s="133">
        <f>IF(SER_hh_emi!V12=0,0,1000000*SER_hh_emi!V12/SER_hh_num!V12)</f>
        <v>0</v>
      </c>
      <c r="W12" s="133">
        <f>IF(SER_hh_emi!W12=0,0,1000000*SER_hh_emi!W12/SER_hh_num!W12)</f>
        <v>0</v>
      </c>
      <c r="DA12" s="157" t="s">
        <v>454</v>
      </c>
    </row>
    <row r="13" spans="1:105" ht="12" customHeight="1" x14ac:dyDescent="0.25">
      <c r="A13" s="132" t="s">
        <v>77</v>
      </c>
      <c r="B13" s="133">
        <f>IF(SER_hh_emi!B13=0,0,1000000*SER_hh_emi!B13/SER_hh_num!B13)</f>
        <v>0</v>
      </c>
      <c r="C13" s="133">
        <f>IF(SER_hh_emi!C13=0,0,1000000*SER_hh_emi!C13/SER_hh_num!C13)</f>
        <v>0</v>
      </c>
      <c r="D13" s="133">
        <f>IF(SER_hh_emi!D13=0,0,1000000*SER_hh_emi!D13/SER_hh_num!D13)</f>
        <v>0</v>
      </c>
      <c r="E13" s="133">
        <f>IF(SER_hh_emi!E13=0,0,1000000*SER_hh_emi!E13/SER_hh_num!E13)</f>
        <v>0</v>
      </c>
      <c r="F13" s="133">
        <f>IF(SER_hh_emi!F13=0,0,1000000*SER_hh_emi!F13/SER_hh_num!F13)</f>
        <v>0</v>
      </c>
      <c r="G13" s="133">
        <f>IF(SER_hh_emi!G13=0,0,1000000*SER_hh_emi!G13/SER_hh_num!G13)</f>
        <v>0</v>
      </c>
      <c r="H13" s="133">
        <f>IF(SER_hh_emi!H13=0,0,1000000*SER_hh_emi!H13/SER_hh_num!H13)</f>
        <v>0</v>
      </c>
      <c r="I13" s="133">
        <f>IF(SER_hh_emi!I13=0,0,1000000*SER_hh_emi!I13/SER_hh_num!I13)</f>
        <v>0</v>
      </c>
      <c r="J13" s="133">
        <f>IF(SER_hh_emi!J13=0,0,1000000*SER_hh_emi!J13/SER_hh_num!J13)</f>
        <v>0</v>
      </c>
      <c r="K13" s="133">
        <f>IF(SER_hh_emi!K13=0,0,1000000*SER_hh_emi!K13/SER_hh_num!K13)</f>
        <v>0</v>
      </c>
      <c r="L13" s="133">
        <f>IF(SER_hh_emi!L13=0,0,1000000*SER_hh_emi!L13/SER_hh_num!L13)</f>
        <v>0</v>
      </c>
      <c r="M13" s="133">
        <f>IF(SER_hh_emi!M13=0,0,1000000*SER_hh_emi!M13/SER_hh_num!M13)</f>
        <v>0</v>
      </c>
      <c r="N13" s="133">
        <f>IF(SER_hh_emi!N13=0,0,1000000*SER_hh_emi!N13/SER_hh_num!N13)</f>
        <v>0</v>
      </c>
      <c r="O13" s="133">
        <f>IF(SER_hh_emi!O13=0,0,1000000*SER_hh_emi!O13/SER_hh_num!O13)</f>
        <v>0</v>
      </c>
      <c r="P13" s="133">
        <f>IF(SER_hh_emi!P13=0,0,1000000*SER_hh_emi!P13/SER_hh_num!P13)</f>
        <v>0</v>
      </c>
      <c r="Q13" s="133">
        <f>IF(SER_hh_emi!Q13=0,0,1000000*SER_hh_emi!Q13/SER_hh_num!Q13)</f>
        <v>0</v>
      </c>
      <c r="R13" s="133">
        <f>IF(SER_hh_emi!R13=0,0,1000000*SER_hh_emi!R13/SER_hh_num!R13)</f>
        <v>0</v>
      </c>
      <c r="S13" s="133">
        <f>IF(SER_hh_emi!S13=0,0,1000000*SER_hh_emi!S13/SER_hh_num!S13)</f>
        <v>0</v>
      </c>
      <c r="T13" s="133">
        <f>IF(SER_hh_emi!T13=0,0,1000000*SER_hh_emi!T13/SER_hh_num!T13)</f>
        <v>0</v>
      </c>
      <c r="U13" s="133">
        <f>IF(SER_hh_emi!U13=0,0,1000000*SER_hh_emi!U13/SER_hh_num!U13)</f>
        <v>0</v>
      </c>
      <c r="V13" s="133">
        <f>IF(SER_hh_emi!V13=0,0,1000000*SER_hh_emi!V13/SER_hh_num!V13)</f>
        <v>0</v>
      </c>
      <c r="W13" s="133">
        <f>IF(SER_hh_emi!W13=0,0,1000000*SER_hh_emi!W13/SER_hh_num!W13)</f>
        <v>0</v>
      </c>
      <c r="DA13" s="157" t="s">
        <v>455</v>
      </c>
    </row>
    <row r="14" spans="1:105" ht="12" customHeight="1" x14ac:dyDescent="0.25">
      <c r="A14" s="60" t="s">
        <v>76</v>
      </c>
      <c r="B14" s="65">
        <f>IF(SER_hh_emi!B14=0,0,1000000*SER_hh_emi!B14/SER_hh_num!B14)</f>
        <v>0</v>
      </c>
      <c r="C14" s="65">
        <f>IF(SER_hh_emi!C14=0,0,1000000*SER_hh_emi!C14/SER_hh_num!C14)</f>
        <v>0</v>
      </c>
      <c r="D14" s="65">
        <f>IF(SER_hh_emi!D14=0,0,1000000*SER_hh_emi!D14/SER_hh_num!D14)</f>
        <v>0</v>
      </c>
      <c r="E14" s="65">
        <f>IF(SER_hh_emi!E14=0,0,1000000*SER_hh_emi!E14/SER_hh_num!E14)</f>
        <v>0</v>
      </c>
      <c r="F14" s="65">
        <f>IF(SER_hh_emi!F14=0,0,1000000*SER_hh_emi!F14/SER_hh_num!F14)</f>
        <v>0</v>
      </c>
      <c r="G14" s="65">
        <f>IF(SER_hh_emi!G14=0,0,1000000*SER_hh_emi!G14/SER_hh_num!G14)</f>
        <v>0</v>
      </c>
      <c r="H14" s="65">
        <f>IF(SER_hh_emi!H14=0,0,1000000*SER_hh_emi!H14/SER_hh_num!H14)</f>
        <v>0</v>
      </c>
      <c r="I14" s="65">
        <f>IF(SER_hh_emi!I14=0,0,1000000*SER_hh_emi!I14/SER_hh_num!I14)</f>
        <v>0</v>
      </c>
      <c r="J14" s="65">
        <f>IF(SER_hh_emi!J14=0,0,1000000*SER_hh_emi!J14/SER_hh_num!J14)</f>
        <v>0</v>
      </c>
      <c r="K14" s="65">
        <f>IF(SER_hh_emi!K14=0,0,1000000*SER_hh_emi!K14/SER_hh_num!K14)</f>
        <v>0</v>
      </c>
      <c r="L14" s="65">
        <f>IF(SER_hh_emi!L14=0,0,1000000*SER_hh_emi!L14/SER_hh_num!L14)</f>
        <v>0</v>
      </c>
      <c r="M14" s="65">
        <f>IF(SER_hh_emi!M14=0,0,1000000*SER_hh_emi!M14/SER_hh_num!M14)</f>
        <v>0</v>
      </c>
      <c r="N14" s="65">
        <f>IF(SER_hh_emi!N14=0,0,1000000*SER_hh_emi!N14/SER_hh_num!N14)</f>
        <v>0</v>
      </c>
      <c r="O14" s="65">
        <f>IF(SER_hh_emi!O14=0,0,1000000*SER_hh_emi!O14/SER_hh_num!O14)</f>
        <v>0</v>
      </c>
      <c r="P14" s="65">
        <f>IF(SER_hh_emi!P14=0,0,1000000*SER_hh_emi!P14/SER_hh_num!P14)</f>
        <v>0</v>
      </c>
      <c r="Q14" s="65">
        <f>IF(SER_hh_emi!Q14=0,0,1000000*SER_hh_emi!Q14/SER_hh_num!Q14)</f>
        <v>0</v>
      </c>
      <c r="R14" s="65">
        <f>IF(SER_hh_emi!R14=0,0,1000000*SER_hh_emi!R14/SER_hh_num!R14)</f>
        <v>0</v>
      </c>
      <c r="S14" s="65">
        <f>IF(SER_hh_emi!S14=0,0,1000000*SER_hh_emi!S14/SER_hh_num!S14)</f>
        <v>0</v>
      </c>
      <c r="T14" s="65">
        <f>IF(SER_hh_emi!T14=0,0,1000000*SER_hh_emi!T14/SER_hh_num!T14)</f>
        <v>0</v>
      </c>
      <c r="U14" s="65">
        <f>IF(SER_hh_emi!U14=0,0,1000000*SER_hh_emi!U14/SER_hh_num!U14)</f>
        <v>0</v>
      </c>
      <c r="V14" s="65">
        <f>IF(SER_hh_emi!V14=0,0,1000000*SER_hh_emi!V14/SER_hh_num!V14)</f>
        <v>0</v>
      </c>
      <c r="W14" s="65">
        <f>IF(SER_hh_emi!W14=0,0,1000000*SER_hh_emi!W14/SER_hh_num!W14)</f>
        <v>0</v>
      </c>
      <c r="DA14" s="109" t="s">
        <v>456</v>
      </c>
    </row>
    <row r="15" spans="1:105" ht="12" customHeight="1" x14ac:dyDescent="0.25">
      <c r="A15" s="134" t="s">
        <v>80</v>
      </c>
      <c r="B15" s="135">
        <f>IF(SER_hh_emi!B15=0,0,1000000*SER_hh_emi!B15/SER_hh_num!B15)</f>
        <v>0</v>
      </c>
      <c r="C15" s="135">
        <f>IF(SER_hh_emi!C15=0,0,1000000*SER_hh_emi!C15/SER_hh_num!C15)</f>
        <v>0</v>
      </c>
      <c r="D15" s="135">
        <f>IF(SER_hh_emi!D15=0,0,1000000*SER_hh_emi!D15/SER_hh_num!D15)</f>
        <v>0</v>
      </c>
      <c r="E15" s="135">
        <f>IF(SER_hh_emi!E15=0,0,1000000*SER_hh_emi!E15/SER_hh_num!E15)</f>
        <v>0</v>
      </c>
      <c r="F15" s="135">
        <f>IF(SER_hh_emi!F15=0,0,1000000*SER_hh_emi!F15/SER_hh_num!F15)</f>
        <v>0</v>
      </c>
      <c r="G15" s="135">
        <f>IF(SER_hh_emi!G15=0,0,1000000*SER_hh_emi!G15/SER_hh_num!G15)</f>
        <v>0</v>
      </c>
      <c r="H15" s="135">
        <f>IF(SER_hh_emi!H15=0,0,1000000*SER_hh_emi!H15/SER_hh_num!H15)</f>
        <v>0</v>
      </c>
      <c r="I15" s="135">
        <f>IF(SER_hh_emi!I15=0,0,1000000*SER_hh_emi!I15/SER_hh_num!I15)</f>
        <v>0</v>
      </c>
      <c r="J15" s="135">
        <f>IF(SER_hh_emi!J15=0,0,1000000*SER_hh_emi!J15/SER_hh_num!J15)</f>
        <v>0</v>
      </c>
      <c r="K15" s="135">
        <f>IF(SER_hh_emi!K15=0,0,1000000*SER_hh_emi!K15/SER_hh_num!K15)</f>
        <v>0</v>
      </c>
      <c r="L15" s="135">
        <f>IF(SER_hh_emi!L15=0,0,1000000*SER_hh_emi!L15/SER_hh_num!L15)</f>
        <v>0</v>
      </c>
      <c r="M15" s="135">
        <f>IF(SER_hh_emi!M15=0,0,1000000*SER_hh_emi!M15/SER_hh_num!M15)</f>
        <v>0</v>
      </c>
      <c r="N15" s="135">
        <f>IF(SER_hh_emi!N15=0,0,1000000*SER_hh_emi!N15/SER_hh_num!N15)</f>
        <v>0</v>
      </c>
      <c r="O15" s="135">
        <f>IF(SER_hh_emi!O15=0,0,1000000*SER_hh_emi!O15/SER_hh_num!O15)</f>
        <v>0</v>
      </c>
      <c r="P15" s="135">
        <f>IF(SER_hh_emi!P15=0,0,1000000*SER_hh_emi!P15/SER_hh_num!P15)</f>
        <v>0</v>
      </c>
      <c r="Q15" s="135">
        <f>IF(SER_hh_emi!Q15=0,0,1000000*SER_hh_emi!Q15/SER_hh_num!Q15)</f>
        <v>0</v>
      </c>
      <c r="R15" s="135">
        <f>IF(SER_hh_emi!R15=0,0,1000000*SER_hh_emi!R15/SER_hh_num!R15)</f>
        <v>0</v>
      </c>
      <c r="S15" s="135">
        <f>IF(SER_hh_emi!S15=0,0,1000000*SER_hh_emi!S15/SER_hh_num!S15)</f>
        <v>0</v>
      </c>
      <c r="T15" s="135">
        <f>IF(SER_hh_emi!T15=0,0,1000000*SER_hh_emi!T15/SER_hh_num!T15)</f>
        <v>0</v>
      </c>
      <c r="U15" s="135">
        <f>IF(SER_hh_emi!U15=0,0,1000000*SER_hh_emi!U15/SER_hh_num!U15)</f>
        <v>0</v>
      </c>
      <c r="V15" s="135">
        <f>IF(SER_hh_emi!V15=0,0,1000000*SER_hh_emi!V15/SER_hh_num!V15)</f>
        <v>0</v>
      </c>
      <c r="W15" s="135">
        <f>IF(SER_hh_emi!W15=0,0,1000000*SER_hh_emi!W15/SER_hh_num!W15)</f>
        <v>0</v>
      </c>
      <c r="DA15" s="158" t="s">
        <v>457</v>
      </c>
    </row>
    <row r="16" spans="1:105" ht="12.95" customHeight="1" x14ac:dyDescent="0.25">
      <c r="A16" s="130" t="s">
        <v>74</v>
      </c>
      <c r="B16" s="131">
        <f>IF(SER_hh_emi!B16=0,0,1000000*SER_hh_emi!B16/SER_hh_num!B16)</f>
        <v>0</v>
      </c>
      <c r="C16" s="131">
        <f>IF(SER_hh_emi!C16=0,0,1000000*SER_hh_emi!C16/SER_hh_num!C16)</f>
        <v>0</v>
      </c>
      <c r="D16" s="131">
        <f>IF(SER_hh_emi!D16=0,0,1000000*SER_hh_emi!D16/SER_hh_num!D16)</f>
        <v>0</v>
      </c>
      <c r="E16" s="131">
        <f>IF(SER_hh_emi!E16=0,0,1000000*SER_hh_emi!E16/SER_hh_num!E16)</f>
        <v>0</v>
      </c>
      <c r="F16" s="131">
        <f>IF(SER_hh_emi!F16=0,0,1000000*SER_hh_emi!F16/SER_hh_num!F16)</f>
        <v>0</v>
      </c>
      <c r="G16" s="131">
        <f>IF(SER_hh_emi!G16=0,0,1000000*SER_hh_emi!G16/SER_hh_num!G16)</f>
        <v>0</v>
      </c>
      <c r="H16" s="131">
        <f>IF(SER_hh_emi!H16=0,0,1000000*SER_hh_emi!H16/SER_hh_num!H16)</f>
        <v>0</v>
      </c>
      <c r="I16" s="131">
        <f>IF(SER_hh_emi!I16=0,0,1000000*SER_hh_emi!I16/SER_hh_num!I16)</f>
        <v>0</v>
      </c>
      <c r="J16" s="131">
        <f>IF(SER_hh_emi!J16=0,0,1000000*SER_hh_emi!J16/SER_hh_num!J16)</f>
        <v>0</v>
      </c>
      <c r="K16" s="131">
        <f>IF(SER_hh_emi!K16=0,0,1000000*SER_hh_emi!K16/SER_hh_num!K16)</f>
        <v>0</v>
      </c>
      <c r="L16" s="131">
        <f>IF(SER_hh_emi!L16=0,0,1000000*SER_hh_emi!L16/SER_hh_num!L16)</f>
        <v>0</v>
      </c>
      <c r="M16" s="131">
        <f>IF(SER_hh_emi!M16=0,0,1000000*SER_hh_emi!M16/SER_hh_num!M16)</f>
        <v>0</v>
      </c>
      <c r="N16" s="131">
        <f>IF(SER_hh_emi!N16=0,0,1000000*SER_hh_emi!N16/SER_hh_num!N16)</f>
        <v>0</v>
      </c>
      <c r="O16" s="131">
        <f>IF(SER_hh_emi!O16=0,0,1000000*SER_hh_emi!O16/SER_hh_num!O16)</f>
        <v>0</v>
      </c>
      <c r="P16" s="131">
        <f>IF(SER_hh_emi!P16=0,0,1000000*SER_hh_emi!P16/SER_hh_num!P16)</f>
        <v>0</v>
      </c>
      <c r="Q16" s="131">
        <f>IF(SER_hh_emi!Q16=0,0,1000000*SER_hh_emi!Q16/SER_hh_num!Q16)</f>
        <v>0</v>
      </c>
      <c r="R16" s="131">
        <f>IF(SER_hh_emi!R16=0,0,1000000*SER_hh_emi!R16/SER_hh_num!R16)</f>
        <v>0</v>
      </c>
      <c r="S16" s="131">
        <f>IF(SER_hh_emi!S16=0,0,1000000*SER_hh_emi!S16/SER_hh_num!S16)</f>
        <v>0</v>
      </c>
      <c r="T16" s="131">
        <f>IF(SER_hh_emi!T16=0,0,1000000*SER_hh_emi!T16/SER_hh_num!T16)</f>
        <v>0</v>
      </c>
      <c r="U16" s="131">
        <f>IF(SER_hh_emi!U16=0,0,1000000*SER_hh_emi!U16/SER_hh_num!U16)</f>
        <v>0</v>
      </c>
      <c r="V16" s="131">
        <f>IF(SER_hh_emi!V16=0,0,1000000*SER_hh_emi!V16/SER_hh_num!V16)</f>
        <v>0</v>
      </c>
      <c r="W16" s="131">
        <f>IF(SER_hh_emi!W16=0,0,1000000*SER_hh_emi!W16/SER_hh_num!W16)</f>
        <v>0</v>
      </c>
      <c r="DA16" s="156" t="s">
        <v>458</v>
      </c>
    </row>
    <row r="17" spans="1:105" ht="12.95" customHeight="1" x14ac:dyDescent="0.25">
      <c r="A17" s="132" t="s">
        <v>73</v>
      </c>
      <c r="B17" s="133">
        <f>IF(SER_hh_emi!B17=0,0,1000000*SER_hh_emi!B17/SER_hh_num!B17)</f>
        <v>0</v>
      </c>
      <c r="C17" s="133">
        <f>IF(SER_hh_emi!C17=0,0,1000000*SER_hh_emi!C17/SER_hh_num!C17)</f>
        <v>0</v>
      </c>
      <c r="D17" s="133">
        <f>IF(SER_hh_emi!D17=0,0,1000000*SER_hh_emi!D17/SER_hh_num!D17)</f>
        <v>0</v>
      </c>
      <c r="E17" s="133">
        <f>IF(SER_hh_emi!E17=0,0,1000000*SER_hh_emi!E17/SER_hh_num!E17)</f>
        <v>0</v>
      </c>
      <c r="F17" s="133">
        <f>IF(SER_hh_emi!F17=0,0,1000000*SER_hh_emi!F17/SER_hh_num!F17)</f>
        <v>0</v>
      </c>
      <c r="G17" s="133">
        <f>IF(SER_hh_emi!G17=0,0,1000000*SER_hh_emi!G17/SER_hh_num!G17)</f>
        <v>0</v>
      </c>
      <c r="H17" s="133">
        <f>IF(SER_hh_emi!H17=0,0,1000000*SER_hh_emi!H17/SER_hh_num!H17)</f>
        <v>0</v>
      </c>
      <c r="I17" s="133">
        <f>IF(SER_hh_emi!I17=0,0,1000000*SER_hh_emi!I17/SER_hh_num!I17)</f>
        <v>0</v>
      </c>
      <c r="J17" s="133">
        <f>IF(SER_hh_emi!J17=0,0,1000000*SER_hh_emi!J17/SER_hh_num!J17)</f>
        <v>0</v>
      </c>
      <c r="K17" s="133">
        <f>IF(SER_hh_emi!K17=0,0,1000000*SER_hh_emi!K17/SER_hh_num!K17)</f>
        <v>0</v>
      </c>
      <c r="L17" s="133">
        <f>IF(SER_hh_emi!L17=0,0,1000000*SER_hh_emi!L17/SER_hh_num!L17)</f>
        <v>0</v>
      </c>
      <c r="M17" s="133">
        <f>IF(SER_hh_emi!M17=0,0,1000000*SER_hh_emi!M17/SER_hh_num!M17)</f>
        <v>0</v>
      </c>
      <c r="N17" s="133">
        <f>IF(SER_hh_emi!N17=0,0,1000000*SER_hh_emi!N17/SER_hh_num!N17)</f>
        <v>0</v>
      </c>
      <c r="O17" s="133">
        <f>IF(SER_hh_emi!O17=0,0,1000000*SER_hh_emi!O17/SER_hh_num!O17)</f>
        <v>0</v>
      </c>
      <c r="P17" s="133">
        <f>IF(SER_hh_emi!P17=0,0,1000000*SER_hh_emi!P17/SER_hh_num!P17)</f>
        <v>0</v>
      </c>
      <c r="Q17" s="133">
        <f>IF(SER_hh_emi!Q17=0,0,1000000*SER_hh_emi!Q17/SER_hh_num!Q17)</f>
        <v>0</v>
      </c>
      <c r="R17" s="133">
        <f>IF(SER_hh_emi!R17=0,0,1000000*SER_hh_emi!R17/SER_hh_num!R17)</f>
        <v>0</v>
      </c>
      <c r="S17" s="133">
        <f>IF(SER_hh_emi!S17=0,0,1000000*SER_hh_emi!S17/SER_hh_num!S17)</f>
        <v>0</v>
      </c>
      <c r="T17" s="133">
        <f>IF(SER_hh_emi!T17=0,0,1000000*SER_hh_emi!T17/SER_hh_num!T17)</f>
        <v>0</v>
      </c>
      <c r="U17" s="133">
        <f>IF(SER_hh_emi!U17=0,0,1000000*SER_hh_emi!U17/SER_hh_num!U17)</f>
        <v>0</v>
      </c>
      <c r="V17" s="133">
        <f>IF(SER_hh_emi!V17=0,0,1000000*SER_hh_emi!V17/SER_hh_num!V17)</f>
        <v>0</v>
      </c>
      <c r="W17" s="133">
        <f>IF(SER_hh_emi!W17=0,0,1000000*SER_hh_emi!W17/SER_hh_num!W17)</f>
        <v>0</v>
      </c>
      <c r="DA17" s="157" t="s">
        <v>459</v>
      </c>
    </row>
    <row r="18" spans="1:105" ht="12" customHeight="1" x14ac:dyDescent="0.25">
      <c r="A18" s="132" t="s">
        <v>72</v>
      </c>
      <c r="B18" s="133">
        <f>IF(SER_hh_emi!B18=0,0,1000000*SER_hh_emi!B18/SER_hh_num!B18)</f>
        <v>0</v>
      </c>
      <c r="C18" s="133">
        <f>IF(SER_hh_emi!C18=0,0,1000000*SER_hh_emi!C18/SER_hh_num!C18)</f>
        <v>0</v>
      </c>
      <c r="D18" s="133">
        <f>IF(SER_hh_emi!D18=0,0,1000000*SER_hh_emi!D18/SER_hh_num!D18)</f>
        <v>0</v>
      </c>
      <c r="E18" s="133">
        <f>IF(SER_hh_emi!E18=0,0,1000000*SER_hh_emi!E18/SER_hh_num!E18)</f>
        <v>0</v>
      </c>
      <c r="F18" s="133">
        <f>IF(SER_hh_emi!F18=0,0,1000000*SER_hh_emi!F18/SER_hh_num!F18)</f>
        <v>0</v>
      </c>
      <c r="G18" s="133">
        <f>IF(SER_hh_emi!G18=0,0,1000000*SER_hh_emi!G18/SER_hh_num!G18)</f>
        <v>0</v>
      </c>
      <c r="H18" s="133">
        <f>IF(SER_hh_emi!H18=0,0,1000000*SER_hh_emi!H18/SER_hh_num!H18)</f>
        <v>0</v>
      </c>
      <c r="I18" s="133">
        <f>IF(SER_hh_emi!I18=0,0,1000000*SER_hh_emi!I18/SER_hh_num!I18)</f>
        <v>0</v>
      </c>
      <c r="J18" s="133">
        <f>IF(SER_hh_emi!J18=0,0,1000000*SER_hh_emi!J18/SER_hh_num!J18)</f>
        <v>0</v>
      </c>
      <c r="K18" s="133">
        <f>IF(SER_hh_emi!K18=0,0,1000000*SER_hh_emi!K18/SER_hh_num!K18)</f>
        <v>0</v>
      </c>
      <c r="L18" s="133">
        <f>IF(SER_hh_emi!L18=0,0,1000000*SER_hh_emi!L18/SER_hh_num!L18)</f>
        <v>0</v>
      </c>
      <c r="M18" s="133">
        <f>IF(SER_hh_emi!M18=0,0,1000000*SER_hh_emi!M18/SER_hh_num!M18)</f>
        <v>0</v>
      </c>
      <c r="N18" s="133">
        <f>IF(SER_hh_emi!N18=0,0,1000000*SER_hh_emi!N18/SER_hh_num!N18)</f>
        <v>0</v>
      </c>
      <c r="O18" s="133">
        <f>IF(SER_hh_emi!O18=0,0,1000000*SER_hh_emi!O18/SER_hh_num!O18)</f>
        <v>0</v>
      </c>
      <c r="P18" s="133">
        <f>IF(SER_hh_emi!P18=0,0,1000000*SER_hh_emi!P18/SER_hh_num!P18)</f>
        <v>0</v>
      </c>
      <c r="Q18" s="133">
        <f>IF(SER_hh_emi!Q18=0,0,1000000*SER_hh_emi!Q18/SER_hh_num!Q18)</f>
        <v>0</v>
      </c>
      <c r="R18" s="133">
        <f>IF(SER_hh_emi!R18=0,0,1000000*SER_hh_emi!R18/SER_hh_num!R18)</f>
        <v>0</v>
      </c>
      <c r="S18" s="133">
        <f>IF(SER_hh_emi!S18=0,0,1000000*SER_hh_emi!S18/SER_hh_num!S18)</f>
        <v>0</v>
      </c>
      <c r="T18" s="133">
        <f>IF(SER_hh_emi!T18=0,0,1000000*SER_hh_emi!T18/SER_hh_num!T18)</f>
        <v>0</v>
      </c>
      <c r="U18" s="133">
        <f>IF(SER_hh_emi!U18=0,0,1000000*SER_hh_emi!U18/SER_hh_num!U18)</f>
        <v>0</v>
      </c>
      <c r="V18" s="133">
        <f>IF(SER_hh_emi!V18=0,0,1000000*SER_hh_emi!V18/SER_hh_num!V18)</f>
        <v>0</v>
      </c>
      <c r="W18" s="133">
        <f>IF(SER_hh_emi!W18=0,0,1000000*SER_hh_emi!W18/SER_hh_num!W18)</f>
        <v>0</v>
      </c>
      <c r="DA18" s="157" t="s">
        <v>460</v>
      </c>
    </row>
    <row r="19" spans="1:105" ht="12.95" customHeight="1" x14ac:dyDescent="0.25">
      <c r="A19" s="130" t="s">
        <v>35</v>
      </c>
      <c r="B19" s="131">
        <f>IF(SER_hh_emi!B19=0,0,1000000*SER_hh_emi!B19/SER_hh_num!B19)</f>
        <v>228.9572737636727</v>
      </c>
      <c r="C19" s="131">
        <f>IF(SER_hh_emi!C19=0,0,1000000*SER_hh_emi!C19/SER_hh_num!C19)</f>
        <v>225.84092100024037</v>
      </c>
      <c r="D19" s="131">
        <f>IF(SER_hh_emi!D19=0,0,1000000*SER_hh_emi!D19/SER_hh_num!D19)</f>
        <v>223.08592348161264</v>
      </c>
      <c r="E19" s="131">
        <f>IF(SER_hh_emi!E19=0,0,1000000*SER_hh_emi!E19/SER_hh_num!E19)</f>
        <v>217.67672126278325</v>
      </c>
      <c r="F19" s="131">
        <f>IF(SER_hh_emi!F19=0,0,1000000*SER_hh_emi!F19/SER_hh_num!F19)</f>
        <v>213.89227707778173</v>
      </c>
      <c r="G19" s="131">
        <f>IF(SER_hh_emi!G19=0,0,1000000*SER_hh_emi!G19/SER_hh_num!G19)</f>
        <v>209.91572762402592</v>
      </c>
      <c r="H19" s="131">
        <f>IF(SER_hh_emi!H19=0,0,1000000*SER_hh_emi!H19/SER_hh_num!H19)</f>
        <v>1489.414784174407</v>
      </c>
      <c r="I19" s="131">
        <f>IF(SER_hh_emi!I19=0,0,1000000*SER_hh_emi!I19/SER_hh_num!I19)</f>
        <v>1462.1184941058452</v>
      </c>
      <c r="J19" s="131">
        <f>IF(SER_hh_emi!J19=0,0,1000000*SER_hh_emi!J19/SER_hh_num!J19)</f>
        <v>1441.6019623987354</v>
      </c>
      <c r="K19" s="131">
        <f>IF(SER_hh_emi!K19=0,0,1000000*SER_hh_emi!K19/SER_hh_num!K19)</f>
        <v>1404.7738975461004</v>
      </c>
      <c r="L19" s="131">
        <f>IF(SER_hh_emi!L19=0,0,1000000*SER_hh_emi!L19/SER_hh_num!L19)</f>
        <v>1395.5763192054139</v>
      </c>
      <c r="M19" s="131">
        <f>IF(SER_hh_emi!M19=0,0,1000000*SER_hh_emi!M19/SER_hh_num!M19)</f>
        <v>1308.5183287405732</v>
      </c>
      <c r="N19" s="131">
        <f>IF(SER_hh_emi!N19=0,0,1000000*SER_hh_emi!N19/SER_hh_num!N19)</f>
        <v>1218.4126670578346</v>
      </c>
      <c r="O19" s="131">
        <f>IF(SER_hh_emi!O19=0,0,1000000*SER_hh_emi!O19/SER_hh_num!O19)</f>
        <v>1145.0303187159841</v>
      </c>
      <c r="P19" s="131">
        <f>IF(SER_hh_emi!P19=0,0,1000000*SER_hh_emi!P19/SER_hh_num!P19)</f>
        <v>1007.3864618293859</v>
      </c>
      <c r="Q19" s="131">
        <f>IF(SER_hh_emi!Q19=0,0,1000000*SER_hh_emi!Q19/SER_hh_num!Q19)</f>
        <v>988.08701544646021</v>
      </c>
      <c r="R19" s="131">
        <f>IF(SER_hh_emi!R19=0,0,1000000*SER_hh_emi!R19/SER_hh_num!R19)</f>
        <v>992.61480685736512</v>
      </c>
      <c r="S19" s="131">
        <f>IF(SER_hh_emi!S19=0,0,1000000*SER_hh_emi!S19/SER_hh_num!S19)</f>
        <v>980.43412344485273</v>
      </c>
      <c r="T19" s="131">
        <f>IF(SER_hh_emi!T19=0,0,1000000*SER_hh_emi!T19/SER_hh_num!T19)</f>
        <v>931.88361467646052</v>
      </c>
      <c r="U19" s="131">
        <f>IF(SER_hh_emi!U19=0,0,1000000*SER_hh_emi!U19/SER_hh_num!U19)</f>
        <v>900.35426180696152</v>
      </c>
      <c r="V19" s="131">
        <f>IF(SER_hh_emi!V19=0,0,1000000*SER_hh_emi!V19/SER_hh_num!V19)</f>
        <v>713.49389421511569</v>
      </c>
      <c r="W19" s="131">
        <f>IF(SER_hh_emi!W19=0,0,1000000*SER_hh_emi!W19/SER_hh_num!W19)</f>
        <v>664.83503091673253</v>
      </c>
      <c r="DA19" s="156" t="s">
        <v>461</v>
      </c>
    </row>
    <row r="20" spans="1:105" ht="12" customHeight="1" x14ac:dyDescent="0.25">
      <c r="A20" s="132" t="s">
        <v>29</v>
      </c>
      <c r="B20" s="133">
        <f>IF(SER_hh_emi!B20=0,0,1000000*SER_hh_emi!B20/SER_hh_num!B20)</f>
        <v>0</v>
      </c>
      <c r="C20" s="133">
        <f>IF(SER_hh_emi!C20=0,0,1000000*SER_hh_emi!C20/SER_hh_num!C20)</f>
        <v>0</v>
      </c>
      <c r="D20" s="133">
        <f>IF(SER_hh_emi!D20=0,0,1000000*SER_hh_emi!D20/SER_hh_num!D20)</f>
        <v>0</v>
      </c>
      <c r="E20" s="133">
        <f>IF(SER_hh_emi!E20=0,0,1000000*SER_hh_emi!E20/SER_hh_num!E20)</f>
        <v>0</v>
      </c>
      <c r="F20" s="133">
        <f>IF(SER_hh_emi!F20=0,0,1000000*SER_hh_emi!F20/SER_hh_num!F20)</f>
        <v>0</v>
      </c>
      <c r="G20" s="133">
        <f>IF(SER_hh_emi!G20=0,0,1000000*SER_hh_emi!G20/SER_hh_num!G20)</f>
        <v>0</v>
      </c>
      <c r="H20" s="133">
        <f>IF(SER_hh_emi!H20=0,0,1000000*SER_hh_emi!H20/SER_hh_num!H20)</f>
        <v>0</v>
      </c>
      <c r="I20" s="133">
        <f>IF(SER_hh_emi!I20=0,0,1000000*SER_hh_emi!I20/SER_hh_num!I20)</f>
        <v>0</v>
      </c>
      <c r="J20" s="133">
        <f>IF(SER_hh_emi!J20=0,0,1000000*SER_hh_emi!J20/SER_hh_num!J20)</f>
        <v>0</v>
      </c>
      <c r="K20" s="133">
        <f>IF(SER_hh_emi!K20=0,0,1000000*SER_hh_emi!K20/SER_hh_num!K20)</f>
        <v>0</v>
      </c>
      <c r="L20" s="133">
        <f>IF(SER_hh_emi!L20=0,0,1000000*SER_hh_emi!L20/SER_hh_num!L20)</f>
        <v>0</v>
      </c>
      <c r="M20" s="133">
        <f>IF(SER_hh_emi!M20=0,0,1000000*SER_hh_emi!M20/SER_hh_num!M20)</f>
        <v>0</v>
      </c>
      <c r="N20" s="133">
        <f>IF(SER_hh_emi!N20=0,0,1000000*SER_hh_emi!N20/SER_hh_num!N20)</f>
        <v>0</v>
      </c>
      <c r="O20" s="133">
        <f>IF(SER_hh_emi!O20=0,0,1000000*SER_hh_emi!O20/SER_hh_num!O20)</f>
        <v>0</v>
      </c>
      <c r="P20" s="133">
        <f>IF(SER_hh_emi!P20=0,0,1000000*SER_hh_emi!P20/SER_hh_num!P20)</f>
        <v>0</v>
      </c>
      <c r="Q20" s="133">
        <f>IF(SER_hh_emi!Q20=0,0,1000000*SER_hh_emi!Q20/SER_hh_num!Q20)</f>
        <v>0</v>
      </c>
      <c r="R20" s="133">
        <f>IF(SER_hh_emi!R20=0,0,1000000*SER_hh_emi!R20/SER_hh_num!R20)</f>
        <v>0</v>
      </c>
      <c r="S20" s="133">
        <f>IF(SER_hh_emi!S20=0,0,1000000*SER_hh_emi!S20/SER_hh_num!S20)</f>
        <v>0</v>
      </c>
      <c r="T20" s="133">
        <f>IF(SER_hh_emi!T20=0,0,1000000*SER_hh_emi!T20/SER_hh_num!T20)</f>
        <v>0</v>
      </c>
      <c r="U20" s="133">
        <f>IF(SER_hh_emi!U20=0,0,1000000*SER_hh_emi!U20/SER_hh_num!U20)</f>
        <v>0</v>
      </c>
      <c r="V20" s="133">
        <f>IF(SER_hh_emi!V20=0,0,1000000*SER_hh_emi!V20/SER_hh_num!V20)</f>
        <v>0</v>
      </c>
      <c r="W20" s="133">
        <f>IF(SER_hh_emi!W20=0,0,1000000*SER_hh_emi!W20/SER_hh_num!W20)</f>
        <v>0</v>
      </c>
      <c r="DA20" s="157" t="s">
        <v>462</v>
      </c>
    </row>
    <row r="21" spans="1:105" s="2" customFormat="1" ht="12" customHeight="1" x14ac:dyDescent="0.25">
      <c r="A21" s="132" t="s">
        <v>52</v>
      </c>
      <c r="B21" s="133">
        <f>IF(SER_hh_emi!B21=0,0,1000000*SER_hh_emi!B21/SER_hh_num!B21)</f>
        <v>0</v>
      </c>
      <c r="C21" s="133">
        <f>IF(SER_hh_emi!C21=0,0,1000000*SER_hh_emi!C21/SER_hh_num!C21)</f>
        <v>0</v>
      </c>
      <c r="D21" s="133">
        <f>IF(SER_hh_emi!D21=0,0,1000000*SER_hh_emi!D21/SER_hh_num!D21)</f>
        <v>0</v>
      </c>
      <c r="E21" s="133">
        <f>IF(SER_hh_emi!E21=0,0,1000000*SER_hh_emi!E21/SER_hh_num!E21)</f>
        <v>0</v>
      </c>
      <c r="F21" s="133">
        <f>IF(SER_hh_emi!F21=0,0,1000000*SER_hh_emi!F21/SER_hh_num!F21)</f>
        <v>0</v>
      </c>
      <c r="G21" s="133">
        <f>IF(SER_hh_emi!G21=0,0,1000000*SER_hh_emi!G21/SER_hh_num!G21)</f>
        <v>0</v>
      </c>
      <c r="H21" s="133">
        <f>IF(SER_hh_emi!H21=0,0,1000000*SER_hh_emi!H21/SER_hh_num!H21)</f>
        <v>5200.8426789034902</v>
      </c>
      <c r="I21" s="133">
        <f>IF(SER_hh_emi!I21=0,0,1000000*SER_hh_emi!I21/SER_hh_num!I21)</f>
        <v>3996.2815379330746</v>
      </c>
      <c r="J21" s="133">
        <f>IF(SER_hh_emi!J21=0,0,1000000*SER_hh_emi!J21/SER_hh_num!J21)</f>
        <v>3581.7382650386289</v>
      </c>
      <c r="K21" s="133">
        <f>IF(SER_hh_emi!K21=0,0,1000000*SER_hh_emi!K21/SER_hh_num!K21)</f>
        <v>3543.8935062108944</v>
      </c>
      <c r="L21" s="133">
        <f>IF(SER_hh_emi!L21=0,0,1000000*SER_hh_emi!L21/SER_hh_num!L21)</f>
        <v>3633.3629863806063</v>
      </c>
      <c r="M21" s="133">
        <f>IF(SER_hh_emi!M21=0,0,1000000*SER_hh_emi!M21/SER_hh_num!M21)</f>
        <v>3569.4522667429364</v>
      </c>
      <c r="N21" s="133">
        <f>IF(SER_hh_emi!N21=0,0,1000000*SER_hh_emi!N21/SER_hh_num!N21)</f>
        <v>3580.0003736012691</v>
      </c>
      <c r="O21" s="133">
        <f>IF(SER_hh_emi!O21=0,0,1000000*SER_hh_emi!O21/SER_hh_num!O21)</f>
        <v>3637.8684337567565</v>
      </c>
      <c r="P21" s="133">
        <f>IF(SER_hh_emi!P21=0,0,1000000*SER_hh_emi!P21/SER_hh_num!P21)</f>
        <v>3459.2774441101947</v>
      </c>
      <c r="Q21" s="133">
        <f>IF(SER_hh_emi!Q21=0,0,1000000*SER_hh_emi!Q21/SER_hh_num!Q21)</f>
        <v>3477.2010524559555</v>
      </c>
      <c r="R21" s="133">
        <f>IF(SER_hh_emi!R21=0,0,1000000*SER_hh_emi!R21/SER_hh_num!R21)</f>
        <v>3540.8678335483878</v>
      </c>
      <c r="S21" s="133">
        <f>IF(SER_hh_emi!S21=0,0,1000000*SER_hh_emi!S21/SER_hh_num!S21)</f>
        <v>3544.0110041124221</v>
      </c>
      <c r="T21" s="133">
        <f>IF(SER_hh_emi!T21=0,0,1000000*SER_hh_emi!T21/SER_hh_num!T21)</f>
        <v>3405.2723575715986</v>
      </c>
      <c r="U21" s="133">
        <f>IF(SER_hh_emi!U21=0,0,1000000*SER_hh_emi!U21/SER_hh_num!U21)</f>
        <v>3412.0743026929704</v>
      </c>
      <c r="V21" s="133">
        <f>IF(SER_hh_emi!V21=0,0,1000000*SER_hh_emi!V21/SER_hh_num!V21)</f>
        <v>2946.4624179014559</v>
      </c>
      <c r="W21" s="133">
        <f>IF(SER_hh_emi!W21=0,0,1000000*SER_hh_emi!W21/SER_hh_num!W21)</f>
        <v>2799.1542680853022</v>
      </c>
      <c r="DA21" s="157" t="s">
        <v>463</v>
      </c>
    </row>
    <row r="22" spans="1:105" ht="12" customHeight="1" x14ac:dyDescent="0.25">
      <c r="A22" s="132" t="s">
        <v>168</v>
      </c>
      <c r="B22" s="133">
        <f>IF(SER_hh_emi!B22=0,0,1000000*SER_hh_emi!B22/SER_hh_num!B22)</f>
        <v>7026.3127245106562</v>
      </c>
      <c r="C22" s="133">
        <f>IF(SER_hh_emi!C22=0,0,1000000*SER_hh_emi!C22/SER_hh_num!C22)</f>
        <v>7013.2148913126985</v>
      </c>
      <c r="D22" s="133">
        <f>IF(SER_hh_emi!D22=0,0,1000000*SER_hh_emi!D22/SER_hh_num!D22)</f>
        <v>6989.2471418523737</v>
      </c>
      <c r="E22" s="133">
        <f>IF(SER_hh_emi!E22=0,0,1000000*SER_hh_emi!E22/SER_hh_num!E22)</f>
        <v>6903.0301237688045</v>
      </c>
      <c r="F22" s="133">
        <f>IF(SER_hh_emi!F22=0,0,1000000*SER_hh_emi!F22/SER_hh_num!F22)</f>
        <v>6867.4331492372257</v>
      </c>
      <c r="G22" s="133">
        <f>IF(SER_hh_emi!G22=0,0,1000000*SER_hh_emi!G22/SER_hh_num!G22)</f>
        <v>6798.6414054451034</v>
      </c>
      <c r="H22" s="133">
        <f>IF(SER_hh_emi!H22=0,0,1000000*SER_hh_emi!H22/SER_hh_num!H22)</f>
        <v>6575.7582433528587</v>
      </c>
      <c r="I22" s="133">
        <f>IF(SER_hh_emi!I22=0,0,1000000*SER_hh_emi!I22/SER_hh_num!I22)</f>
        <v>6353.7841824226261</v>
      </c>
      <c r="J22" s="133">
        <f>IF(SER_hh_emi!J22=0,0,1000000*SER_hh_emi!J22/SER_hh_num!J22)</f>
        <v>6200.4526611306192</v>
      </c>
      <c r="K22" s="133">
        <f>IF(SER_hh_emi!K22=0,0,1000000*SER_hh_emi!K22/SER_hh_num!K22)</f>
        <v>6112.9439014207119</v>
      </c>
      <c r="L22" s="133">
        <f>IF(SER_hh_emi!L22=0,0,1000000*SER_hh_emi!L22/SER_hh_num!L22)</f>
        <v>6001.7172635226434</v>
      </c>
      <c r="M22" s="133">
        <f>IF(SER_hh_emi!M22=0,0,1000000*SER_hh_emi!M22/SER_hh_num!M22)</f>
        <v>5943.0503479758772</v>
      </c>
      <c r="N22" s="133">
        <f>IF(SER_hh_emi!N22=0,0,1000000*SER_hh_emi!N22/SER_hh_num!N22)</f>
        <v>5931.3473328863192</v>
      </c>
      <c r="O22" s="133">
        <f>IF(SER_hh_emi!O22=0,0,1000000*SER_hh_emi!O22/SER_hh_num!O22)</f>
        <v>5764.6973853195041</v>
      </c>
      <c r="P22" s="133">
        <f>IF(SER_hh_emi!P22=0,0,1000000*SER_hh_emi!P22/SER_hh_num!P22)</f>
        <v>5713.043187092695</v>
      </c>
      <c r="Q22" s="133">
        <f>IF(SER_hh_emi!Q22=0,0,1000000*SER_hh_emi!Q22/SER_hh_num!Q22)</f>
        <v>5630.3632249835373</v>
      </c>
      <c r="R22" s="133">
        <f>IF(SER_hh_emi!R22=0,0,1000000*SER_hh_emi!R22/SER_hh_num!R22)</f>
        <v>5533.8173720964087</v>
      </c>
      <c r="S22" s="133">
        <f>IF(SER_hh_emi!S22=0,0,1000000*SER_hh_emi!S22/SER_hh_num!S22)</f>
        <v>5019.9677703030184</v>
      </c>
      <c r="T22" s="133">
        <f>IF(SER_hh_emi!T22=0,0,1000000*SER_hh_emi!T22/SER_hh_num!T22)</f>
        <v>5092.0318122539202</v>
      </c>
      <c r="U22" s="133">
        <f>IF(SER_hh_emi!U22=0,0,1000000*SER_hh_emi!U22/SER_hh_num!U22)</f>
        <v>4853.5559440401985</v>
      </c>
      <c r="V22" s="133">
        <f>IF(SER_hh_emi!V22=0,0,1000000*SER_hh_emi!V22/SER_hh_num!V22)</f>
        <v>4325.771321055895</v>
      </c>
      <c r="W22" s="133">
        <f>IF(SER_hh_emi!W22=0,0,1000000*SER_hh_emi!W22/SER_hh_num!W22)</f>
        <v>4671.1419390749688</v>
      </c>
      <c r="DA22" s="157" t="s">
        <v>464</v>
      </c>
    </row>
    <row r="23" spans="1:105" ht="12" customHeight="1" x14ac:dyDescent="0.25">
      <c r="A23" s="132" t="s">
        <v>153</v>
      </c>
      <c r="B23" s="133">
        <f>IF(SER_hh_emi!B23=0,0,1000000*SER_hh_emi!B23/SER_hh_num!B23)</f>
        <v>0</v>
      </c>
      <c r="C23" s="133">
        <f>IF(SER_hh_emi!C23=0,0,1000000*SER_hh_emi!C23/SER_hh_num!C23)</f>
        <v>0</v>
      </c>
      <c r="D23" s="133">
        <f>IF(SER_hh_emi!D23=0,0,1000000*SER_hh_emi!D23/SER_hh_num!D23)</f>
        <v>0</v>
      </c>
      <c r="E23" s="133">
        <f>IF(SER_hh_emi!E23=0,0,1000000*SER_hh_emi!E23/SER_hh_num!E23)</f>
        <v>0</v>
      </c>
      <c r="F23" s="133">
        <f>IF(SER_hh_emi!F23=0,0,1000000*SER_hh_emi!F23/SER_hh_num!F23)</f>
        <v>0</v>
      </c>
      <c r="G23" s="133">
        <f>IF(SER_hh_emi!G23=0,0,1000000*SER_hh_emi!G23/SER_hh_num!G23)</f>
        <v>0</v>
      </c>
      <c r="H23" s="133">
        <f>IF(SER_hh_emi!H23=0,0,1000000*SER_hh_emi!H23/SER_hh_num!H23)</f>
        <v>0</v>
      </c>
      <c r="I23" s="133">
        <f>IF(SER_hh_emi!I23=0,0,1000000*SER_hh_emi!I23/SER_hh_num!I23)</f>
        <v>0</v>
      </c>
      <c r="J23" s="133">
        <f>IF(SER_hh_emi!J23=0,0,1000000*SER_hh_emi!J23/SER_hh_num!J23)</f>
        <v>0</v>
      </c>
      <c r="K23" s="133">
        <f>IF(SER_hh_emi!K23=0,0,1000000*SER_hh_emi!K23/SER_hh_num!K23)</f>
        <v>0</v>
      </c>
      <c r="L23" s="133">
        <f>IF(SER_hh_emi!L23=0,0,1000000*SER_hh_emi!L23/SER_hh_num!L23)</f>
        <v>0</v>
      </c>
      <c r="M23" s="133">
        <f>IF(SER_hh_emi!M23=0,0,1000000*SER_hh_emi!M23/SER_hh_num!M23)</f>
        <v>0</v>
      </c>
      <c r="N23" s="133">
        <f>IF(SER_hh_emi!N23=0,0,1000000*SER_hh_emi!N23/SER_hh_num!N23)</f>
        <v>0</v>
      </c>
      <c r="O23" s="133">
        <f>IF(SER_hh_emi!O23=0,0,1000000*SER_hh_emi!O23/SER_hh_num!O23)</f>
        <v>0</v>
      </c>
      <c r="P23" s="133">
        <f>IF(SER_hh_emi!P23=0,0,1000000*SER_hh_emi!P23/SER_hh_num!P23)</f>
        <v>0</v>
      </c>
      <c r="Q23" s="133">
        <f>IF(SER_hh_emi!Q23=0,0,1000000*SER_hh_emi!Q23/SER_hh_num!Q23)</f>
        <v>0</v>
      </c>
      <c r="R23" s="133">
        <f>IF(SER_hh_emi!R23=0,0,1000000*SER_hh_emi!R23/SER_hh_num!R23)</f>
        <v>0</v>
      </c>
      <c r="S23" s="133">
        <f>IF(SER_hh_emi!S23=0,0,1000000*SER_hh_emi!S23/SER_hh_num!S23)</f>
        <v>0</v>
      </c>
      <c r="T23" s="133">
        <f>IF(SER_hh_emi!T23=0,0,1000000*SER_hh_emi!T23/SER_hh_num!T23)</f>
        <v>0</v>
      </c>
      <c r="U23" s="133">
        <f>IF(SER_hh_emi!U23=0,0,1000000*SER_hh_emi!U23/SER_hh_num!U23)</f>
        <v>0</v>
      </c>
      <c r="V23" s="133">
        <f>IF(SER_hh_emi!V23=0,0,1000000*SER_hh_emi!V23/SER_hh_num!V23)</f>
        <v>0</v>
      </c>
      <c r="W23" s="133">
        <f>IF(SER_hh_emi!W23=0,0,1000000*SER_hh_emi!W23/SER_hh_num!W23)</f>
        <v>0</v>
      </c>
      <c r="DA23" s="157" t="s">
        <v>465</v>
      </c>
    </row>
    <row r="24" spans="1:105" ht="12" customHeight="1" x14ac:dyDescent="0.25">
      <c r="A24" s="132" t="s">
        <v>128</v>
      </c>
      <c r="B24" s="133">
        <f>IF(SER_hh_emi!B24=0,0,1000000*SER_hh_emi!B24/SER_hh_num!B24)</f>
        <v>0</v>
      </c>
      <c r="C24" s="133">
        <f>IF(SER_hh_emi!C24=0,0,1000000*SER_hh_emi!C24/SER_hh_num!C24)</f>
        <v>0</v>
      </c>
      <c r="D24" s="133">
        <f>IF(SER_hh_emi!D24=0,0,1000000*SER_hh_emi!D24/SER_hh_num!D24)</f>
        <v>0</v>
      </c>
      <c r="E24" s="133">
        <f>IF(SER_hh_emi!E24=0,0,1000000*SER_hh_emi!E24/SER_hh_num!E24)</f>
        <v>0</v>
      </c>
      <c r="F24" s="133">
        <f>IF(SER_hh_emi!F24=0,0,1000000*SER_hh_emi!F24/SER_hh_num!F24)</f>
        <v>0</v>
      </c>
      <c r="G24" s="133">
        <f>IF(SER_hh_emi!G24=0,0,1000000*SER_hh_emi!G24/SER_hh_num!G24)</f>
        <v>0</v>
      </c>
      <c r="H24" s="133">
        <f>IF(SER_hh_emi!H24=0,0,1000000*SER_hh_emi!H24/SER_hh_num!H24)</f>
        <v>0</v>
      </c>
      <c r="I24" s="133">
        <f>IF(SER_hh_emi!I24=0,0,1000000*SER_hh_emi!I24/SER_hh_num!I24)</f>
        <v>0</v>
      </c>
      <c r="J24" s="133">
        <f>IF(SER_hh_emi!J24=0,0,1000000*SER_hh_emi!J24/SER_hh_num!J24)</f>
        <v>0</v>
      </c>
      <c r="K24" s="133">
        <f>IF(SER_hh_emi!K24=0,0,1000000*SER_hh_emi!K24/SER_hh_num!K24)</f>
        <v>0</v>
      </c>
      <c r="L24" s="133">
        <f>IF(SER_hh_emi!L24=0,0,1000000*SER_hh_emi!L24/SER_hh_num!L24)</f>
        <v>0</v>
      </c>
      <c r="M24" s="133">
        <f>IF(SER_hh_emi!M24=0,0,1000000*SER_hh_emi!M24/SER_hh_num!M24)</f>
        <v>0</v>
      </c>
      <c r="N24" s="133">
        <f>IF(SER_hh_emi!N24=0,0,1000000*SER_hh_emi!N24/SER_hh_num!N24)</f>
        <v>0</v>
      </c>
      <c r="O24" s="133">
        <f>IF(SER_hh_emi!O24=0,0,1000000*SER_hh_emi!O24/SER_hh_num!O24)</f>
        <v>0</v>
      </c>
      <c r="P24" s="133">
        <f>IF(SER_hh_emi!P24=0,0,1000000*SER_hh_emi!P24/SER_hh_num!P24)</f>
        <v>0</v>
      </c>
      <c r="Q24" s="133">
        <f>IF(SER_hh_emi!Q24=0,0,1000000*SER_hh_emi!Q24/SER_hh_num!Q24)</f>
        <v>0</v>
      </c>
      <c r="R24" s="133">
        <f>IF(SER_hh_emi!R24=0,0,1000000*SER_hh_emi!R24/SER_hh_num!R24)</f>
        <v>0</v>
      </c>
      <c r="S24" s="133">
        <f>IF(SER_hh_emi!S24=0,0,1000000*SER_hh_emi!S24/SER_hh_num!S24)</f>
        <v>0</v>
      </c>
      <c r="T24" s="133">
        <f>IF(SER_hh_emi!T24=0,0,1000000*SER_hh_emi!T24/SER_hh_num!T24)</f>
        <v>0</v>
      </c>
      <c r="U24" s="133">
        <f>IF(SER_hh_emi!U24=0,0,1000000*SER_hh_emi!U24/SER_hh_num!U24)</f>
        <v>0</v>
      </c>
      <c r="V24" s="133">
        <f>IF(SER_hh_emi!V24=0,0,1000000*SER_hh_emi!V24/SER_hh_num!V24)</f>
        <v>0</v>
      </c>
      <c r="W24" s="133">
        <f>IF(SER_hh_emi!W24=0,0,1000000*SER_hh_emi!W24/SER_hh_num!W24)</f>
        <v>0</v>
      </c>
      <c r="DA24" s="157" t="s">
        <v>466</v>
      </c>
    </row>
    <row r="25" spans="1:105" ht="12" customHeight="1" x14ac:dyDescent="0.25">
      <c r="A25" s="132" t="s">
        <v>169</v>
      </c>
      <c r="B25" s="133">
        <f>IF(SER_hh_emi!B25=0,0,1000000*SER_hh_emi!B25/SER_hh_num!B25)</f>
        <v>0</v>
      </c>
      <c r="C25" s="133">
        <f>IF(SER_hh_emi!C25=0,0,1000000*SER_hh_emi!C25/SER_hh_num!C25)</f>
        <v>0</v>
      </c>
      <c r="D25" s="133">
        <f>IF(SER_hh_emi!D25=0,0,1000000*SER_hh_emi!D25/SER_hh_num!D25)</f>
        <v>0</v>
      </c>
      <c r="E25" s="133">
        <f>IF(SER_hh_emi!E25=0,0,1000000*SER_hh_emi!E25/SER_hh_num!E25)</f>
        <v>0</v>
      </c>
      <c r="F25" s="133">
        <f>IF(SER_hh_emi!F25=0,0,1000000*SER_hh_emi!F25/SER_hh_num!F25)</f>
        <v>0</v>
      </c>
      <c r="G25" s="133">
        <f>IF(SER_hh_emi!G25=0,0,1000000*SER_hh_emi!G25/SER_hh_num!G25)</f>
        <v>0</v>
      </c>
      <c r="H25" s="133">
        <f>IF(SER_hh_emi!H25=0,0,1000000*SER_hh_emi!H25/SER_hh_num!H25)</f>
        <v>0</v>
      </c>
      <c r="I25" s="133">
        <f>IF(SER_hh_emi!I25=0,0,1000000*SER_hh_emi!I25/SER_hh_num!I25)</f>
        <v>0</v>
      </c>
      <c r="J25" s="133">
        <f>IF(SER_hh_emi!J25=0,0,1000000*SER_hh_emi!J25/SER_hh_num!J25)</f>
        <v>0</v>
      </c>
      <c r="K25" s="133">
        <f>IF(SER_hh_emi!K25=0,0,1000000*SER_hh_emi!K25/SER_hh_num!K25)</f>
        <v>0</v>
      </c>
      <c r="L25" s="133">
        <f>IF(SER_hh_emi!L25=0,0,1000000*SER_hh_emi!L25/SER_hh_num!L25)</f>
        <v>0</v>
      </c>
      <c r="M25" s="133">
        <f>IF(SER_hh_emi!M25=0,0,1000000*SER_hh_emi!M25/SER_hh_num!M25)</f>
        <v>0</v>
      </c>
      <c r="N25" s="133">
        <f>IF(SER_hh_emi!N25=0,0,1000000*SER_hh_emi!N25/SER_hh_num!N25)</f>
        <v>0</v>
      </c>
      <c r="O25" s="133">
        <f>IF(SER_hh_emi!O25=0,0,1000000*SER_hh_emi!O25/SER_hh_num!O25)</f>
        <v>0</v>
      </c>
      <c r="P25" s="133">
        <f>IF(SER_hh_emi!P25=0,0,1000000*SER_hh_emi!P25/SER_hh_num!P25)</f>
        <v>0</v>
      </c>
      <c r="Q25" s="133">
        <f>IF(SER_hh_emi!Q25=0,0,1000000*SER_hh_emi!Q25/SER_hh_num!Q25)</f>
        <v>0</v>
      </c>
      <c r="R25" s="133">
        <f>IF(SER_hh_emi!R25=0,0,1000000*SER_hh_emi!R25/SER_hh_num!R25)</f>
        <v>0</v>
      </c>
      <c r="S25" s="133">
        <f>IF(SER_hh_emi!S25=0,0,1000000*SER_hh_emi!S25/SER_hh_num!S25)</f>
        <v>0</v>
      </c>
      <c r="T25" s="133">
        <f>IF(SER_hh_emi!T25=0,0,1000000*SER_hh_emi!T25/SER_hh_num!T25)</f>
        <v>0</v>
      </c>
      <c r="U25" s="133">
        <f>IF(SER_hh_emi!U25=0,0,1000000*SER_hh_emi!U25/SER_hh_num!U25)</f>
        <v>0</v>
      </c>
      <c r="V25" s="133">
        <f>IF(SER_hh_emi!V25=0,0,1000000*SER_hh_emi!V25/SER_hh_num!V25)</f>
        <v>0</v>
      </c>
      <c r="W25" s="133">
        <f>IF(SER_hh_emi!W25=0,0,1000000*SER_hh_emi!W25/SER_hh_num!W25)</f>
        <v>0</v>
      </c>
      <c r="DA25" s="157" t="s">
        <v>467</v>
      </c>
    </row>
    <row r="26" spans="1:105" ht="12" customHeight="1" x14ac:dyDescent="0.25">
      <c r="A26" s="132" t="s">
        <v>24</v>
      </c>
      <c r="B26" s="65">
        <f>IF(SER_hh_emi!B26=0,0,1000000*SER_hh_emi!B26/SER_hh_num!B26)</f>
        <v>0</v>
      </c>
      <c r="C26" s="65">
        <f>IF(SER_hh_emi!C26=0,0,1000000*SER_hh_emi!C26/SER_hh_num!C26)</f>
        <v>0</v>
      </c>
      <c r="D26" s="65">
        <f>IF(SER_hh_emi!D26=0,0,1000000*SER_hh_emi!D26/SER_hh_num!D26)</f>
        <v>0</v>
      </c>
      <c r="E26" s="65">
        <f>IF(SER_hh_emi!E26=0,0,1000000*SER_hh_emi!E26/SER_hh_num!E26)</f>
        <v>0</v>
      </c>
      <c r="F26" s="65">
        <f>IF(SER_hh_emi!F26=0,0,1000000*SER_hh_emi!F26/SER_hh_num!F26)</f>
        <v>0</v>
      </c>
      <c r="G26" s="65">
        <f>IF(SER_hh_emi!G26=0,0,1000000*SER_hh_emi!G26/SER_hh_num!G26)</f>
        <v>0</v>
      </c>
      <c r="H26" s="65">
        <f>IF(SER_hh_emi!H26=0,0,1000000*SER_hh_emi!H26/SER_hh_num!H26)</f>
        <v>0</v>
      </c>
      <c r="I26" s="65">
        <f>IF(SER_hh_emi!I26=0,0,1000000*SER_hh_emi!I26/SER_hh_num!I26)</f>
        <v>0</v>
      </c>
      <c r="J26" s="65">
        <f>IF(SER_hh_emi!J26=0,0,1000000*SER_hh_emi!J26/SER_hh_num!J26)</f>
        <v>0</v>
      </c>
      <c r="K26" s="65">
        <f>IF(SER_hh_emi!K26=0,0,1000000*SER_hh_emi!K26/SER_hh_num!K26)</f>
        <v>0</v>
      </c>
      <c r="L26" s="65">
        <f>IF(SER_hh_emi!L26=0,0,1000000*SER_hh_emi!L26/SER_hh_num!L26)</f>
        <v>0</v>
      </c>
      <c r="M26" s="65">
        <f>IF(SER_hh_emi!M26=0,0,1000000*SER_hh_emi!M26/SER_hh_num!M26)</f>
        <v>0</v>
      </c>
      <c r="N26" s="65">
        <f>IF(SER_hh_emi!N26=0,0,1000000*SER_hh_emi!N26/SER_hh_num!N26)</f>
        <v>0</v>
      </c>
      <c r="O26" s="65">
        <f>IF(SER_hh_emi!O26=0,0,1000000*SER_hh_emi!O26/SER_hh_num!O26)</f>
        <v>0</v>
      </c>
      <c r="P26" s="65">
        <f>IF(SER_hh_emi!P26=0,0,1000000*SER_hh_emi!P26/SER_hh_num!P26)</f>
        <v>0</v>
      </c>
      <c r="Q26" s="65">
        <f>IF(SER_hh_emi!Q26=0,0,1000000*SER_hh_emi!Q26/SER_hh_num!Q26)</f>
        <v>0</v>
      </c>
      <c r="R26" s="65">
        <f>IF(SER_hh_emi!R26=0,0,1000000*SER_hh_emi!R26/SER_hh_num!R26)</f>
        <v>0</v>
      </c>
      <c r="S26" s="65">
        <f>IF(SER_hh_emi!S26=0,0,1000000*SER_hh_emi!S26/SER_hh_num!S26)</f>
        <v>0</v>
      </c>
      <c r="T26" s="65">
        <f>IF(SER_hh_emi!T26=0,0,1000000*SER_hh_emi!T26/SER_hh_num!T26)</f>
        <v>0</v>
      </c>
      <c r="U26" s="65">
        <f>IF(SER_hh_emi!U26=0,0,1000000*SER_hh_emi!U26/SER_hh_num!U26)</f>
        <v>0</v>
      </c>
      <c r="V26" s="65">
        <f>IF(SER_hh_emi!V26=0,0,1000000*SER_hh_emi!V26/SER_hh_num!V26)</f>
        <v>0</v>
      </c>
      <c r="W26" s="65">
        <f>IF(SER_hh_emi!W26=0,0,1000000*SER_hh_emi!W26/SER_hh_num!W26)</f>
        <v>0</v>
      </c>
      <c r="DA26" s="109" t="s">
        <v>468</v>
      </c>
    </row>
    <row r="27" spans="1:105" ht="12" customHeight="1" x14ac:dyDescent="0.25">
      <c r="A27" s="145" t="s">
        <v>86</v>
      </c>
      <c r="B27" s="146">
        <f>IF(SER_hh_emi!B27=0,0,1000000*SER_hh_emi!B27/SER_hh_num!B19)</f>
        <v>0</v>
      </c>
      <c r="C27" s="146">
        <f>IF(SER_hh_emi!C27=0,0,1000000*SER_hh_emi!C27/SER_hh_num!C19)</f>
        <v>0</v>
      </c>
      <c r="D27" s="146">
        <f>IF(SER_hh_emi!D27=0,0,1000000*SER_hh_emi!D27/SER_hh_num!D19)</f>
        <v>0</v>
      </c>
      <c r="E27" s="146">
        <f>IF(SER_hh_emi!E27=0,0,1000000*SER_hh_emi!E27/SER_hh_num!E19)</f>
        <v>0</v>
      </c>
      <c r="F27" s="146">
        <f>IF(SER_hh_emi!F27=0,0,1000000*SER_hh_emi!F27/SER_hh_num!F19)</f>
        <v>0</v>
      </c>
      <c r="G27" s="146">
        <f>IF(SER_hh_emi!G27=0,0,1000000*SER_hh_emi!G27/SER_hh_num!G19)</f>
        <v>0</v>
      </c>
      <c r="H27" s="146">
        <f>IF(SER_hh_emi!H27=0,0,1000000*SER_hh_emi!H27/SER_hh_num!H19)</f>
        <v>0</v>
      </c>
      <c r="I27" s="146">
        <f>IF(SER_hh_emi!I27=0,0,1000000*SER_hh_emi!I27/SER_hh_num!I19)</f>
        <v>0</v>
      </c>
      <c r="J27" s="146">
        <f>IF(SER_hh_emi!J27=0,0,1000000*SER_hh_emi!J27/SER_hh_num!J19)</f>
        <v>0</v>
      </c>
      <c r="K27" s="146">
        <f>IF(SER_hh_emi!K27=0,0,1000000*SER_hh_emi!K27/SER_hh_num!K19)</f>
        <v>0</v>
      </c>
      <c r="L27" s="146">
        <f>IF(SER_hh_emi!L27=0,0,1000000*SER_hh_emi!L27/SER_hh_num!L19)</f>
        <v>0</v>
      </c>
      <c r="M27" s="146">
        <f>IF(SER_hh_emi!M27=0,0,1000000*SER_hh_emi!M27/SER_hh_num!M19)</f>
        <v>0</v>
      </c>
      <c r="N27" s="146">
        <f>IF(SER_hh_emi!N27=0,0,1000000*SER_hh_emi!N27/SER_hh_num!N19)</f>
        <v>0</v>
      </c>
      <c r="O27" s="146">
        <f>IF(SER_hh_emi!O27=0,0,1000000*SER_hh_emi!O27/SER_hh_num!O19)</f>
        <v>0</v>
      </c>
      <c r="P27" s="146">
        <f>IF(SER_hh_emi!P27=0,0,1000000*SER_hh_emi!P27/SER_hh_num!P19)</f>
        <v>0</v>
      </c>
      <c r="Q27" s="146">
        <f>IF(SER_hh_emi!Q27=0,0,1000000*SER_hh_emi!Q27/SER_hh_num!Q19)</f>
        <v>0</v>
      </c>
      <c r="R27" s="146">
        <f>IF(SER_hh_emi!R27=0,0,1000000*SER_hh_emi!R27/SER_hh_num!R19)</f>
        <v>0</v>
      </c>
      <c r="S27" s="146">
        <f>IF(SER_hh_emi!S27=0,0,1000000*SER_hh_emi!S27/SER_hh_num!S19)</f>
        <v>0</v>
      </c>
      <c r="T27" s="146">
        <f>IF(SER_hh_emi!T27=0,0,1000000*SER_hh_emi!T27/SER_hh_num!T19)</f>
        <v>0</v>
      </c>
      <c r="U27" s="146">
        <f>IF(SER_hh_emi!U27=0,0,1000000*SER_hh_emi!U27/SER_hh_num!U19)</f>
        <v>0</v>
      </c>
      <c r="V27" s="146">
        <f>IF(SER_hh_emi!V27=0,0,1000000*SER_hh_emi!V27/SER_hh_num!V19)</f>
        <v>0</v>
      </c>
      <c r="W27" s="146">
        <f>IF(SER_hh_emi!W27=0,0,1000000*SER_hh_emi!W27/SER_hh_num!W19)</f>
        <v>0</v>
      </c>
      <c r="DA27" s="159" t="s">
        <v>469</v>
      </c>
    </row>
    <row r="28" spans="1:105" ht="12" customHeight="1" x14ac:dyDescent="0.25">
      <c r="A28" s="78" t="s">
        <v>85</v>
      </c>
      <c r="B28" s="147">
        <f>IF(SER_hh_emi!B27=0,0,1000000*SER_hh_emi!B27/SER_hh_num!B27)</f>
        <v>0</v>
      </c>
      <c r="C28" s="147">
        <f>IF(SER_hh_emi!C27=0,0,1000000*SER_hh_emi!C27/SER_hh_num!C27)</f>
        <v>0</v>
      </c>
      <c r="D28" s="147">
        <f>IF(SER_hh_emi!D27=0,0,1000000*SER_hh_emi!D27/SER_hh_num!D27)</f>
        <v>0</v>
      </c>
      <c r="E28" s="147">
        <f>IF(SER_hh_emi!E27=0,0,1000000*SER_hh_emi!E27/SER_hh_num!E27)</f>
        <v>0</v>
      </c>
      <c r="F28" s="147">
        <f>IF(SER_hh_emi!F27=0,0,1000000*SER_hh_emi!F27/SER_hh_num!F27)</f>
        <v>0</v>
      </c>
      <c r="G28" s="147">
        <f>IF(SER_hh_emi!G27=0,0,1000000*SER_hh_emi!G27/SER_hh_num!G27)</f>
        <v>0</v>
      </c>
      <c r="H28" s="147">
        <f>IF(SER_hh_emi!H27=0,0,1000000*SER_hh_emi!H27/SER_hh_num!H27)</f>
        <v>0</v>
      </c>
      <c r="I28" s="147">
        <f>IF(SER_hh_emi!I27=0,0,1000000*SER_hh_emi!I27/SER_hh_num!I27)</f>
        <v>0</v>
      </c>
      <c r="J28" s="147">
        <f>IF(SER_hh_emi!J27=0,0,1000000*SER_hh_emi!J27/SER_hh_num!J27)</f>
        <v>0</v>
      </c>
      <c r="K28" s="147">
        <f>IF(SER_hh_emi!K27=0,0,1000000*SER_hh_emi!K27/SER_hh_num!K27)</f>
        <v>0</v>
      </c>
      <c r="L28" s="147">
        <f>IF(SER_hh_emi!L27=0,0,1000000*SER_hh_emi!L27/SER_hh_num!L27)</f>
        <v>0</v>
      </c>
      <c r="M28" s="147">
        <f>IF(SER_hh_emi!M27=0,0,1000000*SER_hh_emi!M27/SER_hh_num!M27)</f>
        <v>0</v>
      </c>
      <c r="N28" s="147">
        <f>IF(SER_hh_emi!N27=0,0,1000000*SER_hh_emi!N27/SER_hh_num!N27)</f>
        <v>0</v>
      </c>
      <c r="O28" s="147">
        <f>IF(SER_hh_emi!O27=0,0,1000000*SER_hh_emi!O27/SER_hh_num!O27)</f>
        <v>0</v>
      </c>
      <c r="P28" s="147">
        <f>IF(SER_hh_emi!P27=0,0,1000000*SER_hh_emi!P27/SER_hh_num!P27)</f>
        <v>0</v>
      </c>
      <c r="Q28" s="147">
        <f>IF(SER_hh_emi!Q27=0,0,1000000*SER_hh_emi!Q27/SER_hh_num!Q27)</f>
        <v>0</v>
      </c>
      <c r="R28" s="147">
        <f>IF(SER_hh_emi!R27=0,0,1000000*SER_hh_emi!R27/SER_hh_num!R27)</f>
        <v>0</v>
      </c>
      <c r="S28" s="147">
        <f>IF(SER_hh_emi!S27=0,0,1000000*SER_hh_emi!S27/SER_hh_num!S27)</f>
        <v>0</v>
      </c>
      <c r="T28" s="147">
        <f>IF(SER_hh_emi!T27=0,0,1000000*SER_hh_emi!T27/SER_hh_num!T27)</f>
        <v>0</v>
      </c>
      <c r="U28" s="147">
        <f>IF(SER_hh_emi!U27=0,0,1000000*SER_hh_emi!U27/SER_hh_num!U27)</f>
        <v>0</v>
      </c>
      <c r="V28" s="147">
        <f>IF(SER_hh_emi!V27=0,0,1000000*SER_hh_emi!V27/SER_hh_num!V27)</f>
        <v>0</v>
      </c>
      <c r="W28" s="147">
        <f>IF(SER_hh_emi!W27=0,0,1000000*SER_hh_emi!W27/SER_hh_num!W27)</f>
        <v>0</v>
      </c>
      <c r="DA28" s="160"/>
    </row>
    <row r="29" spans="1:105" ht="12.95" customHeight="1" x14ac:dyDescent="0.25">
      <c r="A29" s="130" t="s">
        <v>34</v>
      </c>
      <c r="B29" s="131">
        <f>IF(SER_hh_emi!B29=0,0,1000000*SER_hh_emi!B29/SER_hh_num!B29)</f>
        <v>0</v>
      </c>
      <c r="C29" s="131">
        <f>IF(SER_hh_emi!C29=0,0,1000000*SER_hh_emi!C29/SER_hh_num!C29)</f>
        <v>0</v>
      </c>
      <c r="D29" s="131">
        <f>IF(SER_hh_emi!D29=0,0,1000000*SER_hh_emi!D29/SER_hh_num!D29)</f>
        <v>0</v>
      </c>
      <c r="E29" s="131">
        <f>IF(SER_hh_emi!E29=0,0,1000000*SER_hh_emi!E29/SER_hh_num!E29)</f>
        <v>0</v>
      </c>
      <c r="F29" s="131">
        <f>IF(SER_hh_emi!F29=0,0,1000000*SER_hh_emi!F29/SER_hh_num!F29)</f>
        <v>0</v>
      </c>
      <c r="G29" s="131">
        <f>IF(SER_hh_emi!G29=0,0,1000000*SER_hh_emi!G29/SER_hh_num!G29)</f>
        <v>0</v>
      </c>
      <c r="H29" s="131">
        <f>IF(SER_hh_emi!H29=0,0,1000000*SER_hh_emi!H29/SER_hh_num!H29)</f>
        <v>836.67146786850253</v>
      </c>
      <c r="I29" s="131">
        <f>IF(SER_hh_emi!I29=0,0,1000000*SER_hh_emi!I29/SER_hh_num!I29)</f>
        <v>802.48769414597848</v>
      </c>
      <c r="J29" s="131">
        <f>IF(SER_hh_emi!J29=0,0,1000000*SER_hh_emi!J29/SER_hh_num!J29)</f>
        <v>920.67479369005719</v>
      </c>
      <c r="K29" s="131">
        <f>IF(SER_hh_emi!K29=0,0,1000000*SER_hh_emi!K29/SER_hh_num!K29)</f>
        <v>732.00959063079858</v>
      </c>
      <c r="L29" s="131">
        <f>IF(SER_hh_emi!L29=0,0,1000000*SER_hh_emi!L29/SER_hh_num!L29)</f>
        <v>669.48678125679419</v>
      </c>
      <c r="M29" s="131">
        <f>IF(SER_hh_emi!M29=0,0,1000000*SER_hh_emi!M29/SER_hh_num!M29)</f>
        <v>852.36785212751056</v>
      </c>
      <c r="N29" s="131">
        <f>IF(SER_hh_emi!N29=0,0,1000000*SER_hh_emi!N29/SER_hh_num!N29)</f>
        <v>894.54416795063094</v>
      </c>
      <c r="O29" s="131">
        <f>IF(SER_hh_emi!O29=0,0,1000000*SER_hh_emi!O29/SER_hh_num!O29)</f>
        <v>823.98969027046098</v>
      </c>
      <c r="P29" s="131">
        <f>IF(SER_hh_emi!P29=0,0,1000000*SER_hh_emi!P29/SER_hh_num!P29)</f>
        <v>701.28280345469079</v>
      </c>
      <c r="Q29" s="131">
        <f>IF(SER_hh_emi!Q29=0,0,1000000*SER_hh_emi!Q29/SER_hh_num!Q29)</f>
        <v>873.0436805602501</v>
      </c>
      <c r="R29" s="131">
        <f>IF(SER_hh_emi!R29=0,0,1000000*SER_hh_emi!R29/SER_hh_num!R29)</f>
        <v>854.39951702702353</v>
      </c>
      <c r="S29" s="131">
        <f>IF(SER_hh_emi!S29=0,0,1000000*SER_hh_emi!S29/SER_hh_num!S29)</f>
        <v>1174.8232863577962</v>
      </c>
      <c r="T29" s="131">
        <f>IF(SER_hh_emi!T29=0,0,1000000*SER_hh_emi!T29/SER_hh_num!T29)</f>
        <v>1225.9510948393888</v>
      </c>
      <c r="U29" s="131">
        <f>IF(SER_hh_emi!U29=0,0,1000000*SER_hh_emi!U29/SER_hh_num!U29)</f>
        <v>1514.9140221053003</v>
      </c>
      <c r="V29" s="131">
        <f>IF(SER_hh_emi!V29=0,0,1000000*SER_hh_emi!V29/SER_hh_num!V29)</f>
        <v>1075.5554975927885</v>
      </c>
      <c r="W29" s="131">
        <f>IF(SER_hh_emi!W29=0,0,1000000*SER_hh_emi!W29/SER_hh_num!W29)</f>
        <v>913.89631219182866</v>
      </c>
      <c r="DA29" s="156" t="s">
        <v>470</v>
      </c>
    </row>
    <row r="30" spans="1:105" ht="12" customHeight="1" x14ac:dyDescent="0.25">
      <c r="A30" s="132" t="s">
        <v>52</v>
      </c>
      <c r="B30" s="133">
        <f>IF(SER_hh_emi!B30=0,0,1000000*SER_hh_emi!B30/SER_hh_num!B30)</f>
        <v>0</v>
      </c>
      <c r="C30" s="133">
        <f>IF(SER_hh_emi!C30=0,0,1000000*SER_hh_emi!C30/SER_hh_num!C30)</f>
        <v>0</v>
      </c>
      <c r="D30" s="133">
        <f>IF(SER_hh_emi!D30=0,0,1000000*SER_hh_emi!D30/SER_hh_num!D30)</f>
        <v>0</v>
      </c>
      <c r="E30" s="133">
        <f>IF(SER_hh_emi!E30=0,0,1000000*SER_hh_emi!E30/SER_hh_num!E30)</f>
        <v>0</v>
      </c>
      <c r="F30" s="133">
        <f>IF(SER_hh_emi!F30=0,0,1000000*SER_hh_emi!F30/SER_hh_num!F30)</f>
        <v>0</v>
      </c>
      <c r="G30" s="133">
        <f>IF(SER_hh_emi!G30=0,0,1000000*SER_hh_emi!G30/SER_hh_num!G30)</f>
        <v>0</v>
      </c>
      <c r="H30" s="133">
        <f>IF(SER_hh_emi!H30=0,0,1000000*SER_hh_emi!H30/SER_hh_num!H30)</f>
        <v>6257.8080621770887</v>
      </c>
      <c r="I30" s="133">
        <f>IF(SER_hh_emi!I30=0,0,1000000*SER_hh_emi!I30/SER_hh_num!I30)</f>
        <v>4785.1964841227109</v>
      </c>
      <c r="J30" s="133">
        <f>IF(SER_hh_emi!J30=0,0,1000000*SER_hh_emi!J30/SER_hh_num!J30)</f>
        <v>4993.2327079607367</v>
      </c>
      <c r="K30" s="133">
        <f>IF(SER_hh_emi!K30=0,0,1000000*SER_hh_emi!K30/SER_hh_num!K30)</f>
        <v>4222.0718739908389</v>
      </c>
      <c r="L30" s="133">
        <f>IF(SER_hh_emi!L30=0,0,1000000*SER_hh_emi!L30/SER_hh_num!L30)</f>
        <v>3900.1492878417675</v>
      </c>
      <c r="M30" s="133">
        <f>IF(SER_hh_emi!M30=0,0,1000000*SER_hh_emi!M30/SER_hh_num!M30)</f>
        <v>4674.889757535193</v>
      </c>
      <c r="N30" s="133">
        <f>IF(SER_hh_emi!N30=0,0,1000000*SER_hh_emi!N30/SER_hh_num!N30)</f>
        <v>4826.5305986113435</v>
      </c>
      <c r="O30" s="133">
        <f>IF(SER_hh_emi!O30=0,0,1000000*SER_hh_emi!O30/SER_hh_num!O30)</f>
        <v>4488.5368172541057</v>
      </c>
      <c r="P30" s="133">
        <f>IF(SER_hh_emi!P30=0,0,1000000*SER_hh_emi!P30/SER_hh_num!P30)</f>
        <v>3927.5934796492411</v>
      </c>
      <c r="Q30" s="133">
        <f>IF(SER_hh_emi!Q30=0,0,1000000*SER_hh_emi!Q30/SER_hh_num!Q30)</f>
        <v>4487.3505618820755</v>
      </c>
      <c r="R30" s="133">
        <f>IF(SER_hh_emi!R30=0,0,1000000*SER_hh_emi!R30/SER_hh_num!R30)</f>
        <v>3999.1179484404952</v>
      </c>
      <c r="S30" s="133">
        <f>IF(SER_hh_emi!S30=0,0,1000000*SER_hh_emi!S30/SER_hh_num!S30)</f>
        <v>4612.5561329831335</v>
      </c>
      <c r="T30" s="133">
        <f>IF(SER_hh_emi!T30=0,0,1000000*SER_hh_emi!T30/SER_hh_num!T30)</f>
        <v>4790.9642844317732</v>
      </c>
      <c r="U30" s="133">
        <f>IF(SER_hh_emi!U30=0,0,1000000*SER_hh_emi!U30/SER_hh_num!U30)</f>
        <v>6071.941946637663</v>
      </c>
      <c r="V30" s="133">
        <f>IF(SER_hh_emi!V30=0,0,1000000*SER_hh_emi!V30/SER_hh_num!V30)</f>
        <v>4250.4890862250631</v>
      </c>
      <c r="W30" s="133">
        <f>IF(SER_hh_emi!W30=0,0,1000000*SER_hh_emi!W30/SER_hh_num!W30)</f>
        <v>3734.5168348140114</v>
      </c>
      <c r="DA30" s="157" t="s">
        <v>471</v>
      </c>
    </row>
    <row r="31" spans="1:105" ht="12" customHeight="1" x14ac:dyDescent="0.25">
      <c r="A31" s="132" t="s">
        <v>153</v>
      </c>
      <c r="B31" s="133">
        <f>IF(SER_hh_emi!B31=0,0,1000000*SER_hh_emi!B31/SER_hh_num!B31)</f>
        <v>0</v>
      </c>
      <c r="C31" s="133">
        <f>IF(SER_hh_emi!C31=0,0,1000000*SER_hh_emi!C31/SER_hh_num!C31)</f>
        <v>0</v>
      </c>
      <c r="D31" s="133">
        <f>IF(SER_hh_emi!D31=0,0,1000000*SER_hh_emi!D31/SER_hh_num!D31)</f>
        <v>0</v>
      </c>
      <c r="E31" s="133">
        <f>IF(SER_hh_emi!E31=0,0,1000000*SER_hh_emi!E31/SER_hh_num!E31)</f>
        <v>0</v>
      </c>
      <c r="F31" s="133">
        <f>IF(SER_hh_emi!F31=0,0,1000000*SER_hh_emi!F31/SER_hh_num!F31)</f>
        <v>0</v>
      </c>
      <c r="G31" s="133">
        <f>IF(SER_hh_emi!G31=0,0,1000000*SER_hh_emi!G31/SER_hh_num!G31)</f>
        <v>0</v>
      </c>
      <c r="H31" s="133">
        <f>IF(SER_hh_emi!H31=0,0,1000000*SER_hh_emi!H31/SER_hh_num!H31)</f>
        <v>0</v>
      </c>
      <c r="I31" s="133">
        <f>IF(SER_hh_emi!I31=0,0,1000000*SER_hh_emi!I31/SER_hh_num!I31)</f>
        <v>0</v>
      </c>
      <c r="J31" s="133">
        <f>IF(SER_hh_emi!J31=0,0,1000000*SER_hh_emi!J31/SER_hh_num!J31)</f>
        <v>0</v>
      </c>
      <c r="K31" s="133">
        <f>IF(SER_hh_emi!K31=0,0,1000000*SER_hh_emi!K31/SER_hh_num!K31)</f>
        <v>0</v>
      </c>
      <c r="L31" s="133">
        <f>IF(SER_hh_emi!L31=0,0,1000000*SER_hh_emi!L31/SER_hh_num!L31)</f>
        <v>0</v>
      </c>
      <c r="M31" s="133">
        <f>IF(SER_hh_emi!M31=0,0,1000000*SER_hh_emi!M31/SER_hh_num!M31)</f>
        <v>0</v>
      </c>
      <c r="N31" s="133">
        <f>IF(SER_hh_emi!N31=0,0,1000000*SER_hh_emi!N31/SER_hh_num!N31)</f>
        <v>0</v>
      </c>
      <c r="O31" s="133">
        <f>IF(SER_hh_emi!O31=0,0,1000000*SER_hh_emi!O31/SER_hh_num!O31)</f>
        <v>0</v>
      </c>
      <c r="P31" s="133">
        <f>IF(SER_hh_emi!P31=0,0,1000000*SER_hh_emi!P31/SER_hh_num!P31)</f>
        <v>0</v>
      </c>
      <c r="Q31" s="133">
        <f>IF(SER_hh_emi!Q31=0,0,1000000*SER_hh_emi!Q31/SER_hh_num!Q31)</f>
        <v>0</v>
      </c>
      <c r="R31" s="133">
        <f>IF(SER_hh_emi!R31=0,0,1000000*SER_hh_emi!R31/SER_hh_num!R31)</f>
        <v>0</v>
      </c>
      <c r="S31" s="133">
        <f>IF(SER_hh_emi!S31=0,0,1000000*SER_hh_emi!S31/SER_hh_num!S31)</f>
        <v>0</v>
      </c>
      <c r="T31" s="133">
        <f>IF(SER_hh_emi!T31=0,0,1000000*SER_hh_emi!T31/SER_hh_num!T31)</f>
        <v>0</v>
      </c>
      <c r="U31" s="133">
        <f>IF(SER_hh_emi!U31=0,0,1000000*SER_hh_emi!U31/SER_hh_num!U31)</f>
        <v>0</v>
      </c>
      <c r="V31" s="133">
        <f>IF(SER_hh_emi!V31=0,0,1000000*SER_hh_emi!V31/SER_hh_num!V31)</f>
        <v>0</v>
      </c>
      <c r="W31" s="133">
        <f>IF(SER_hh_emi!W31=0,0,1000000*SER_hh_emi!W31/SER_hh_num!W31)</f>
        <v>0</v>
      </c>
      <c r="DA31" s="157" t="s">
        <v>472</v>
      </c>
    </row>
    <row r="32" spans="1:105" ht="12" customHeight="1" x14ac:dyDescent="0.25">
      <c r="A32" s="132" t="s">
        <v>128</v>
      </c>
      <c r="B32" s="133">
        <f>IF(SER_hh_emi!B32=0,0,1000000*SER_hh_emi!B32/SER_hh_num!B32)</f>
        <v>0</v>
      </c>
      <c r="C32" s="133">
        <f>IF(SER_hh_emi!C32=0,0,1000000*SER_hh_emi!C32/SER_hh_num!C32)</f>
        <v>0</v>
      </c>
      <c r="D32" s="133">
        <f>IF(SER_hh_emi!D32=0,0,1000000*SER_hh_emi!D32/SER_hh_num!D32)</f>
        <v>0</v>
      </c>
      <c r="E32" s="133">
        <f>IF(SER_hh_emi!E32=0,0,1000000*SER_hh_emi!E32/SER_hh_num!E32)</f>
        <v>0</v>
      </c>
      <c r="F32" s="133">
        <f>IF(SER_hh_emi!F32=0,0,1000000*SER_hh_emi!F32/SER_hh_num!F32)</f>
        <v>0</v>
      </c>
      <c r="G32" s="133">
        <f>IF(SER_hh_emi!G32=0,0,1000000*SER_hh_emi!G32/SER_hh_num!G32)</f>
        <v>0</v>
      </c>
      <c r="H32" s="133">
        <f>IF(SER_hh_emi!H32=0,0,1000000*SER_hh_emi!H32/SER_hh_num!H32)</f>
        <v>0</v>
      </c>
      <c r="I32" s="133">
        <f>IF(SER_hh_emi!I32=0,0,1000000*SER_hh_emi!I32/SER_hh_num!I32)</f>
        <v>0</v>
      </c>
      <c r="J32" s="133">
        <f>IF(SER_hh_emi!J32=0,0,1000000*SER_hh_emi!J32/SER_hh_num!J32)</f>
        <v>0</v>
      </c>
      <c r="K32" s="133">
        <f>IF(SER_hh_emi!K32=0,0,1000000*SER_hh_emi!K32/SER_hh_num!K32)</f>
        <v>0</v>
      </c>
      <c r="L32" s="133">
        <f>IF(SER_hh_emi!L32=0,0,1000000*SER_hh_emi!L32/SER_hh_num!L32)</f>
        <v>0</v>
      </c>
      <c r="M32" s="133">
        <f>IF(SER_hh_emi!M32=0,0,1000000*SER_hh_emi!M32/SER_hh_num!M32)</f>
        <v>0</v>
      </c>
      <c r="N32" s="133">
        <f>IF(SER_hh_emi!N32=0,0,1000000*SER_hh_emi!N32/SER_hh_num!N32)</f>
        <v>0</v>
      </c>
      <c r="O32" s="133">
        <f>IF(SER_hh_emi!O32=0,0,1000000*SER_hh_emi!O32/SER_hh_num!O32)</f>
        <v>0</v>
      </c>
      <c r="P32" s="133">
        <f>IF(SER_hh_emi!P32=0,0,1000000*SER_hh_emi!P32/SER_hh_num!P32)</f>
        <v>0</v>
      </c>
      <c r="Q32" s="133">
        <f>IF(SER_hh_emi!Q32=0,0,1000000*SER_hh_emi!Q32/SER_hh_num!Q32)</f>
        <v>0</v>
      </c>
      <c r="R32" s="133">
        <f>IF(SER_hh_emi!R32=0,0,1000000*SER_hh_emi!R32/SER_hh_num!R32)</f>
        <v>0</v>
      </c>
      <c r="S32" s="133">
        <f>IF(SER_hh_emi!S32=0,0,1000000*SER_hh_emi!S32/SER_hh_num!S32)</f>
        <v>0</v>
      </c>
      <c r="T32" s="133">
        <f>IF(SER_hh_emi!T32=0,0,1000000*SER_hh_emi!T32/SER_hh_num!T32)</f>
        <v>0</v>
      </c>
      <c r="U32" s="133">
        <f>IF(SER_hh_emi!U32=0,0,1000000*SER_hh_emi!U32/SER_hh_num!U32)</f>
        <v>0</v>
      </c>
      <c r="V32" s="133">
        <f>IF(SER_hh_emi!V32=0,0,1000000*SER_hh_emi!V32/SER_hh_num!V32)</f>
        <v>0</v>
      </c>
      <c r="W32" s="133">
        <f>IF(SER_hh_emi!W32=0,0,1000000*SER_hh_emi!W32/SER_hh_num!W32)</f>
        <v>0</v>
      </c>
      <c r="DA32" s="157" t="s">
        <v>473</v>
      </c>
    </row>
    <row r="33" spans="1:105" ht="12" customHeight="1" x14ac:dyDescent="0.25">
      <c r="A33" s="62" t="s">
        <v>24</v>
      </c>
      <c r="B33" s="68">
        <f>IF(SER_hh_emi!B33=0,0,1000000*SER_hh_emi!B33/SER_hh_num!B33)</f>
        <v>0</v>
      </c>
      <c r="C33" s="68">
        <f>IF(SER_hh_emi!C33=0,0,1000000*SER_hh_emi!C33/SER_hh_num!C33)</f>
        <v>0</v>
      </c>
      <c r="D33" s="68">
        <f>IF(SER_hh_emi!D33=0,0,1000000*SER_hh_emi!D33/SER_hh_num!D33)</f>
        <v>0</v>
      </c>
      <c r="E33" s="68">
        <f>IF(SER_hh_emi!E33=0,0,1000000*SER_hh_emi!E33/SER_hh_num!E33)</f>
        <v>0</v>
      </c>
      <c r="F33" s="68">
        <f>IF(SER_hh_emi!F33=0,0,1000000*SER_hh_emi!F33/SER_hh_num!F33)</f>
        <v>0</v>
      </c>
      <c r="G33" s="68">
        <f>IF(SER_hh_emi!G33=0,0,1000000*SER_hh_emi!G33/SER_hh_num!G33)</f>
        <v>0</v>
      </c>
      <c r="H33" s="68">
        <f>IF(SER_hh_emi!H33=0,0,1000000*SER_hh_emi!H33/SER_hh_num!H33)</f>
        <v>0</v>
      </c>
      <c r="I33" s="68">
        <f>IF(SER_hh_emi!I33=0,0,1000000*SER_hh_emi!I33/SER_hh_num!I33)</f>
        <v>0</v>
      </c>
      <c r="J33" s="68">
        <f>IF(SER_hh_emi!J33=0,0,1000000*SER_hh_emi!J33/SER_hh_num!J33)</f>
        <v>0</v>
      </c>
      <c r="K33" s="68">
        <f>IF(SER_hh_emi!K33=0,0,1000000*SER_hh_emi!K33/SER_hh_num!K33)</f>
        <v>0</v>
      </c>
      <c r="L33" s="68">
        <f>IF(SER_hh_emi!L33=0,0,1000000*SER_hh_emi!L33/SER_hh_num!L33)</f>
        <v>0</v>
      </c>
      <c r="M33" s="68">
        <f>IF(SER_hh_emi!M33=0,0,1000000*SER_hh_emi!M33/SER_hh_num!M33)</f>
        <v>0</v>
      </c>
      <c r="N33" s="68">
        <f>IF(SER_hh_emi!N33=0,0,1000000*SER_hh_emi!N33/SER_hh_num!N33)</f>
        <v>0</v>
      </c>
      <c r="O33" s="68">
        <f>IF(SER_hh_emi!O33=0,0,1000000*SER_hh_emi!O33/SER_hh_num!O33)</f>
        <v>0</v>
      </c>
      <c r="P33" s="68">
        <f>IF(SER_hh_emi!P33=0,0,1000000*SER_hh_emi!P33/SER_hh_num!P33)</f>
        <v>0</v>
      </c>
      <c r="Q33" s="68">
        <f>IF(SER_hh_emi!Q33=0,0,1000000*SER_hh_emi!Q33/SER_hh_num!Q33)</f>
        <v>0</v>
      </c>
      <c r="R33" s="68">
        <f>IF(SER_hh_emi!R33=0,0,1000000*SER_hh_emi!R33/SER_hh_num!R33)</f>
        <v>0</v>
      </c>
      <c r="S33" s="68">
        <f>IF(SER_hh_emi!S33=0,0,1000000*SER_hh_emi!S33/SER_hh_num!S33)</f>
        <v>0</v>
      </c>
      <c r="T33" s="68">
        <f>IF(SER_hh_emi!T33=0,0,1000000*SER_hh_emi!T33/SER_hh_num!T33)</f>
        <v>0</v>
      </c>
      <c r="U33" s="68">
        <f>IF(SER_hh_emi!U33=0,0,1000000*SER_hh_emi!U33/SER_hh_num!U33)</f>
        <v>0</v>
      </c>
      <c r="V33" s="68">
        <f>IF(SER_hh_emi!V33=0,0,1000000*SER_hh_emi!V33/SER_hh_num!V33)</f>
        <v>0</v>
      </c>
      <c r="W33" s="68">
        <f>IF(SER_hh_emi!W33=0,0,1000000*SER_hh_emi!W33/SER_hh_num!W33)</f>
        <v>0</v>
      </c>
      <c r="DA33" s="111" t="s">
        <v>474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475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90</v>
      </c>
      <c r="B3" s="126">
        <f>IF(SER_hh_fech!B3=0,0,SER_hh_fech!B3/SER_summary!B$26)</f>
        <v>77.593338587199085</v>
      </c>
      <c r="C3" s="126">
        <f>IF(SER_hh_fech!C3=0,0,SER_hh_fech!C3/SER_summary!C$26)</f>
        <v>82.888790915802943</v>
      </c>
      <c r="D3" s="126">
        <f>IF(SER_hh_fech!D3=0,0,SER_hh_fech!D3/SER_summary!D$26)</f>
        <v>88.442345590186505</v>
      </c>
      <c r="E3" s="126">
        <f>IF(SER_hh_fech!E3=0,0,SER_hh_fech!E3/SER_summary!E$26)</f>
        <v>90.724629461996017</v>
      </c>
      <c r="F3" s="126">
        <f>IF(SER_hh_fech!F3=0,0,SER_hh_fech!F3/SER_summary!F$26)</f>
        <v>89.459817201598057</v>
      </c>
      <c r="G3" s="126">
        <f>IF(SER_hh_fech!G3=0,0,SER_hh_fech!G3/SER_summary!G$26)</f>
        <v>91.131148508264047</v>
      </c>
      <c r="H3" s="126">
        <f>IF(SER_hh_fech!H3=0,0,SER_hh_fech!H3/SER_summary!H$26)</f>
        <v>107.81509495010967</v>
      </c>
      <c r="I3" s="126">
        <f>IF(SER_hh_fech!I3=0,0,SER_hh_fech!I3/SER_summary!I$26)</f>
        <v>110.37450217022123</v>
      </c>
      <c r="J3" s="126">
        <f>IF(SER_hh_fech!J3=0,0,SER_hh_fech!J3/SER_summary!J$26)</f>
        <v>121.34242548231471</v>
      </c>
      <c r="K3" s="126">
        <f>IF(SER_hh_fech!K3=0,0,SER_hh_fech!K3/SER_summary!K$26)</f>
        <v>117.97591455799602</v>
      </c>
      <c r="L3" s="126">
        <f>IF(SER_hh_fech!L3=0,0,SER_hh_fech!L3/SER_summary!L$26)</f>
        <v>121.17630840629222</v>
      </c>
      <c r="M3" s="126">
        <f>IF(SER_hh_fech!M3=0,0,SER_hh_fech!M3/SER_summary!M$26)</f>
        <v>113.5829231050282</v>
      </c>
      <c r="N3" s="126">
        <f>IF(SER_hh_fech!N3=0,0,SER_hh_fech!N3/SER_summary!N$26)</f>
        <v>96.851866525480361</v>
      </c>
      <c r="O3" s="126">
        <f>IF(SER_hh_fech!O3=0,0,SER_hh_fech!O3/SER_summary!O$26)</f>
        <v>84.569951772776349</v>
      </c>
      <c r="P3" s="126">
        <f>IF(SER_hh_fech!P3=0,0,SER_hh_fech!P3/SER_summary!P$26)</f>
        <v>86.0884706962471</v>
      </c>
      <c r="Q3" s="126">
        <f>IF(SER_hh_fech!Q3=0,0,SER_hh_fech!Q3/SER_summary!Q$26)</f>
        <v>88.145732119176216</v>
      </c>
      <c r="R3" s="126">
        <f>IF(SER_hh_fech!R3=0,0,SER_hh_fech!R3/SER_summary!R$26)</f>
        <v>95.552356129553203</v>
      </c>
      <c r="S3" s="126">
        <f>IF(SER_hh_fech!S3=0,0,SER_hh_fech!S3/SER_summary!S$26)</f>
        <v>100.56805274338633</v>
      </c>
      <c r="T3" s="126">
        <f>IF(SER_hh_fech!T3=0,0,SER_hh_fech!T3/SER_summary!T$26)</f>
        <v>103.06034162436735</v>
      </c>
      <c r="U3" s="126">
        <f>IF(SER_hh_fech!U3=0,0,SER_hh_fech!U3/SER_summary!U$26)</f>
        <v>107.80809503372372</v>
      </c>
      <c r="V3" s="126">
        <f>IF(SER_hh_fech!V3=0,0,SER_hh_fech!V3/SER_summary!V$26)</f>
        <v>85.999660498955151</v>
      </c>
      <c r="W3" s="126">
        <f>IF(SER_hh_fech!W3=0,0,SER_hh_fech!W3/SER_summary!W$26)</f>
        <v>95.264913387426645</v>
      </c>
      <c r="DA3" s="155" t="s">
        <v>476</v>
      </c>
    </row>
    <row r="4" spans="1:105" ht="12.95" customHeight="1" x14ac:dyDescent="0.25">
      <c r="A4" s="130" t="s">
        <v>32</v>
      </c>
      <c r="B4" s="131">
        <f>IF(SER_hh_fech!B4=0,0,SER_hh_fech!B4/SER_summary!B$26)</f>
        <v>25.688926698513615</v>
      </c>
      <c r="C4" s="131">
        <f>IF(SER_hh_fech!C4=0,0,SER_hh_fech!C4/SER_summary!C$26)</f>
        <v>31.307942765808548</v>
      </c>
      <c r="D4" s="131">
        <f>IF(SER_hh_fech!D4=0,0,SER_hh_fech!D4/SER_summary!D$26)</f>
        <v>35.734869036609638</v>
      </c>
      <c r="E4" s="131">
        <f>IF(SER_hh_fech!E4=0,0,SER_hh_fech!E4/SER_summary!E$26)</f>
        <v>35.906556965361808</v>
      </c>
      <c r="F4" s="131">
        <f>IF(SER_hh_fech!F4=0,0,SER_hh_fech!F4/SER_summary!F$26)</f>
        <v>36.509281572261997</v>
      </c>
      <c r="G4" s="131">
        <f>IF(SER_hh_fech!G4=0,0,SER_hh_fech!G4/SER_summary!G$26)</f>
        <v>38.529665439919192</v>
      </c>
      <c r="H4" s="131">
        <f>IF(SER_hh_fech!H4=0,0,SER_hh_fech!H4/SER_summary!H$26)</f>
        <v>53.316199031980162</v>
      </c>
      <c r="I4" s="131">
        <f>IF(SER_hh_fech!I4=0,0,SER_hh_fech!I4/SER_summary!I$26)</f>
        <v>54.28567003324877</v>
      </c>
      <c r="J4" s="131">
        <f>IF(SER_hh_fech!J4=0,0,SER_hh_fech!J4/SER_summary!J$26)</f>
        <v>64.54218164844572</v>
      </c>
      <c r="K4" s="131">
        <f>IF(SER_hh_fech!K4=0,0,SER_hh_fech!K4/SER_summary!K$26)</f>
        <v>62.150493345459317</v>
      </c>
      <c r="L4" s="131">
        <f>IF(SER_hh_fech!L4=0,0,SER_hh_fech!L4/SER_summary!L$26)</f>
        <v>64.902101258939226</v>
      </c>
      <c r="M4" s="131">
        <f>IF(SER_hh_fech!M4=0,0,SER_hh_fech!M4/SER_summary!M$26)</f>
        <v>59.818884234133819</v>
      </c>
      <c r="N4" s="131">
        <f>IF(SER_hh_fech!N4=0,0,SER_hh_fech!N4/SER_summary!N$26)</f>
        <v>39.891228393557434</v>
      </c>
      <c r="O4" s="131">
        <f>IF(SER_hh_fech!O4=0,0,SER_hh_fech!O4/SER_summary!O$26)</f>
        <v>31.228940738729573</v>
      </c>
      <c r="P4" s="131">
        <f>IF(SER_hh_fech!P4=0,0,SER_hh_fech!P4/SER_summary!P$26)</f>
        <v>35.023778776844516</v>
      </c>
      <c r="Q4" s="131">
        <f>IF(SER_hh_fech!Q4=0,0,SER_hh_fech!Q4/SER_summary!Q$26)</f>
        <v>35.978042517809556</v>
      </c>
      <c r="R4" s="131">
        <f>IF(SER_hh_fech!R4=0,0,SER_hh_fech!R4/SER_summary!R$26)</f>
        <v>41.65269504083227</v>
      </c>
      <c r="S4" s="131">
        <f>IF(SER_hh_fech!S4=0,0,SER_hh_fech!S4/SER_summary!S$26)</f>
        <v>48.151771610309218</v>
      </c>
      <c r="T4" s="131">
        <f>IF(SER_hh_fech!T4=0,0,SER_hh_fech!T4/SER_summary!T$26)</f>
        <v>46.421621124455861</v>
      </c>
      <c r="U4" s="131">
        <f>IF(SER_hh_fech!U4=0,0,SER_hh_fech!U4/SER_summary!U$26)</f>
        <v>54.543078747440326</v>
      </c>
      <c r="V4" s="131">
        <f>IF(SER_hh_fech!V4=0,0,SER_hh_fech!V4/SER_summary!V$26)</f>
        <v>35.451482890497317</v>
      </c>
      <c r="W4" s="131">
        <f>IF(SER_hh_fech!W4=0,0,SER_hh_fech!W4/SER_summary!W$26)</f>
        <v>47.026389471762464</v>
      </c>
      <c r="DA4" s="156" t="s">
        <v>477</v>
      </c>
    </row>
    <row r="5" spans="1:105" ht="12" customHeight="1" x14ac:dyDescent="0.25">
      <c r="A5" s="132" t="s">
        <v>29</v>
      </c>
      <c r="B5" s="133">
        <f>IF(SER_hh_fech!B5=0,0,SER_hh_fech!B5/SER_summary!B$26)</f>
        <v>0</v>
      </c>
      <c r="C5" s="133">
        <f>IF(SER_hh_fech!C5=0,0,SER_hh_fech!C5/SER_summary!C$26)</f>
        <v>0</v>
      </c>
      <c r="D5" s="133">
        <f>IF(SER_hh_fech!D5=0,0,SER_hh_fech!D5/SER_summary!D$26)</f>
        <v>0</v>
      </c>
      <c r="E5" s="133">
        <f>IF(SER_hh_fech!E5=0,0,SER_hh_fech!E5/SER_summary!E$26)</f>
        <v>0</v>
      </c>
      <c r="F5" s="133">
        <f>IF(SER_hh_fech!F5=0,0,SER_hh_fech!F5/SER_summary!F$26)</f>
        <v>0</v>
      </c>
      <c r="G5" s="133">
        <f>IF(SER_hh_fech!G5=0,0,SER_hh_fech!G5/SER_summary!G$26)</f>
        <v>0</v>
      </c>
      <c r="H5" s="133">
        <f>IF(SER_hh_fech!H5=0,0,SER_hh_fech!H5/SER_summary!H$26)</f>
        <v>0</v>
      </c>
      <c r="I5" s="133">
        <f>IF(SER_hh_fech!I5=0,0,SER_hh_fech!I5/SER_summary!I$26)</f>
        <v>0</v>
      </c>
      <c r="J5" s="133">
        <f>IF(SER_hh_fech!J5=0,0,SER_hh_fech!J5/SER_summary!J$26)</f>
        <v>0</v>
      </c>
      <c r="K5" s="133">
        <f>IF(SER_hh_fech!K5=0,0,SER_hh_fech!K5/SER_summary!K$26)</f>
        <v>0</v>
      </c>
      <c r="L5" s="133">
        <f>IF(SER_hh_fech!L5=0,0,SER_hh_fech!L5/SER_summary!L$26)</f>
        <v>0</v>
      </c>
      <c r="M5" s="133">
        <f>IF(SER_hh_fech!M5=0,0,SER_hh_fech!M5/SER_summary!M$26)</f>
        <v>0</v>
      </c>
      <c r="N5" s="133">
        <f>IF(SER_hh_fech!N5=0,0,SER_hh_fech!N5/SER_summary!N$26)</f>
        <v>0</v>
      </c>
      <c r="O5" s="133">
        <f>IF(SER_hh_fech!O5=0,0,SER_hh_fech!O5/SER_summary!O$26)</f>
        <v>0</v>
      </c>
      <c r="P5" s="133">
        <f>IF(SER_hh_fech!P5=0,0,SER_hh_fech!P5/SER_summary!P$26)</f>
        <v>0</v>
      </c>
      <c r="Q5" s="133">
        <f>IF(SER_hh_fech!Q5=0,0,SER_hh_fech!Q5/SER_summary!Q$26)</f>
        <v>0</v>
      </c>
      <c r="R5" s="133">
        <f>IF(SER_hh_fech!R5=0,0,SER_hh_fech!R5/SER_summary!R$26)</f>
        <v>0</v>
      </c>
      <c r="S5" s="133">
        <f>IF(SER_hh_fech!S5=0,0,SER_hh_fech!S5/SER_summary!S$26)</f>
        <v>0</v>
      </c>
      <c r="T5" s="133">
        <f>IF(SER_hh_fech!T5=0,0,SER_hh_fech!T5/SER_summary!T$26)</f>
        <v>0</v>
      </c>
      <c r="U5" s="133">
        <f>IF(SER_hh_fech!U5=0,0,SER_hh_fech!U5/SER_summary!U$26)</f>
        <v>0</v>
      </c>
      <c r="V5" s="133">
        <f>IF(SER_hh_fech!V5=0,0,SER_hh_fech!V5/SER_summary!V$26)</f>
        <v>0</v>
      </c>
      <c r="W5" s="133">
        <f>IF(SER_hh_fech!W5=0,0,SER_hh_fech!W5/SER_summary!W$26)</f>
        <v>0</v>
      </c>
      <c r="DA5" s="157" t="s">
        <v>478</v>
      </c>
    </row>
    <row r="6" spans="1:105" ht="12" customHeight="1" x14ac:dyDescent="0.25">
      <c r="A6" s="132" t="s">
        <v>52</v>
      </c>
      <c r="B6" s="133">
        <f>IF(SER_hh_fech!B6=0,0,SER_hh_fech!B6/SER_summary!B$26)</f>
        <v>0</v>
      </c>
      <c r="C6" s="133">
        <f>IF(SER_hh_fech!C6=0,0,SER_hh_fech!C6/SER_summary!C$26)</f>
        <v>0</v>
      </c>
      <c r="D6" s="133">
        <f>IF(SER_hh_fech!D6=0,0,SER_hh_fech!D6/SER_summary!D$26)</f>
        <v>0</v>
      </c>
      <c r="E6" s="133">
        <f>IF(SER_hh_fech!E6=0,0,SER_hh_fech!E6/SER_summary!E$26)</f>
        <v>0</v>
      </c>
      <c r="F6" s="133">
        <f>IF(SER_hh_fech!F6=0,0,SER_hh_fech!F6/SER_summary!F$26)</f>
        <v>0</v>
      </c>
      <c r="G6" s="133">
        <f>IF(SER_hh_fech!G6=0,0,SER_hh_fech!G6/SER_summary!G$26)</f>
        <v>0</v>
      </c>
      <c r="H6" s="133">
        <f>IF(SER_hh_fech!H6=0,0,SER_hh_fech!H6/SER_summary!H$26)</f>
        <v>0</v>
      </c>
      <c r="I6" s="133">
        <f>IF(SER_hh_fech!I6=0,0,SER_hh_fech!I6/SER_summary!I$26)</f>
        <v>0</v>
      </c>
      <c r="J6" s="133">
        <f>IF(SER_hh_fech!J6=0,0,SER_hh_fech!J6/SER_summary!J$26)</f>
        <v>0</v>
      </c>
      <c r="K6" s="133">
        <f>IF(SER_hh_fech!K6=0,0,SER_hh_fech!K6/SER_summary!K$26)</f>
        <v>0</v>
      </c>
      <c r="L6" s="133">
        <f>IF(SER_hh_fech!L6=0,0,SER_hh_fech!L6/SER_summary!L$26)</f>
        <v>0</v>
      </c>
      <c r="M6" s="133">
        <f>IF(SER_hh_fech!M6=0,0,SER_hh_fech!M6/SER_summary!M$26)</f>
        <v>0</v>
      </c>
      <c r="N6" s="133">
        <f>IF(SER_hh_fech!N6=0,0,SER_hh_fech!N6/SER_summary!N$26)</f>
        <v>0</v>
      </c>
      <c r="O6" s="133">
        <f>IF(SER_hh_fech!O6=0,0,SER_hh_fech!O6/SER_summary!O$26)</f>
        <v>0</v>
      </c>
      <c r="P6" s="133">
        <f>IF(SER_hh_fech!P6=0,0,SER_hh_fech!P6/SER_summary!P$26)</f>
        <v>0</v>
      </c>
      <c r="Q6" s="133">
        <f>IF(SER_hh_fech!Q6=0,0,SER_hh_fech!Q6/SER_summary!Q$26)</f>
        <v>0</v>
      </c>
      <c r="R6" s="133">
        <f>IF(SER_hh_fech!R6=0,0,SER_hh_fech!R6/SER_summary!R$26)</f>
        <v>0</v>
      </c>
      <c r="S6" s="133">
        <f>IF(SER_hh_fech!S6=0,0,SER_hh_fech!S6/SER_summary!S$26)</f>
        <v>0</v>
      </c>
      <c r="T6" s="133">
        <f>IF(SER_hh_fech!T6=0,0,SER_hh_fech!T6/SER_summary!T$26)</f>
        <v>0</v>
      </c>
      <c r="U6" s="133">
        <f>IF(SER_hh_fech!U6=0,0,SER_hh_fech!U6/SER_summary!U$26)</f>
        <v>0</v>
      </c>
      <c r="V6" s="133">
        <f>IF(SER_hh_fech!V6=0,0,SER_hh_fech!V6/SER_summary!V$26)</f>
        <v>0</v>
      </c>
      <c r="W6" s="133">
        <f>IF(SER_hh_fech!W6=0,0,SER_hh_fech!W6/SER_summary!W$26)</f>
        <v>0</v>
      </c>
      <c r="DA6" s="157" t="s">
        <v>479</v>
      </c>
    </row>
    <row r="7" spans="1:105" ht="12" customHeight="1" x14ac:dyDescent="0.25">
      <c r="A7" s="132" t="s">
        <v>168</v>
      </c>
      <c r="B7" s="133">
        <f>IF(SER_hh_fech!B7=0,0,SER_hh_fech!B7/SER_summary!B$26)</f>
        <v>31.150544506114983</v>
      </c>
      <c r="C7" s="133">
        <f>IF(SER_hh_fech!C7=0,0,SER_hh_fech!C7/SER_summary!C$26)</f>
        <v>36.600033177274192</v>
      </c>
      <c r="D7" s="133">
        <f>IF(SER_hh_fech!D7=0,0,SER_hh_fech!D7/SER_summary!D$26)</f>
        <v>41.364983875762519</v>
      </c>
      <c r="E7" s="133">
        <f>IF(SER_hh_fech!E7=0,0,SER_hh_fech!E7/SER_summary!E$26)</f>
        <v>48.628738001375993</v>
      </c>
      <c r="F7" s="133">
        <f>IF(SER_hh_fech!F7=0,0,SER_hh_fech!F7/SER_summary!F$26)</f>
        <v>50.294308478614063</v>
      </c>
      <c r="G7" s="133">
        <f>IF(SER_hh_fech!G7=0,0,SER_hh_fech!G7/SER_summary!G$26)</f>
        <v>55.060140496994919</v>
      </c>
      <c r="H7" s="133">
        <f>IF(SER_hh_fech!H7=0,0,SER_hh_fech!H7/SER_summary!H$26)</f>
        <v>71.129177794261011</v>
      </c>
      <c r="I7" s="133">
        <f>IF(SER_hh_fech!I7=0,0,SER_hh_fech!I7/SER_summary!I$26)</f>
        <v>77.792958327888357</v>
      </c>
      <c r="J7" s="133">
        <f>IF(SER_hh_fech!J7=0,0,SER_hh_fech!J7/SER_summary!J$26)</f>
        <v>104.875469022641</v>
      </c>
      <c r="K7" s="133">
        <f>IF(SER_hh_fech!K7=0,0,SER_hh_fech!K7/SER_summary!K$26)</f>
        <v>83.296174903413942</v>
      </c>
      <c r="L7" s="133">
        <f>IF(SER_hh_fech!L7=0,0,SER_hh_fech!L7/SER_summary!L$26)</f>
        <v>92.769066739909249</v>
      </c>
      <c r="M7" s="133">
        <f>IF(SER_hh_fech!M7=0,0,SER_hh_fech!M7/SER_summary!M$26)</f>
        <v>86.24886273461297</v>
      </c>
      <c r="N7" s="133">
        <f>IF(SER_hh_fech!N7=0,0,SER_hh_fech!N7/SER_summary!N$26)</f>
        <v>69.985374892068904</v>
      </c>
      <c r="O7" s="133">
        <f>IF(SER_hh_fech!O7=0,0,SER_hh_fech!O7/SER_summary!O$26)</f>
        <v>77.082100293963421</v>
      </c>
      <c r="P7" s="133">
        <f>IF(SER_hh_fech!P7=0,0,SER_hh_fech!P7/SER_summary!P$26)</f>
        <v>81.494619670096483</v>
      </c>
      <c r="Q7" s="133">
        <f>IF(SER_hh_fech!Q7=0,0,SER_hh_fech!Q7/SER_summary!Q$26)</f>
        <v>79.267475776275646</v>
      </c>
      <c r="R7" s="133">
        <f>IF(SER_hh_fech!R7=0,0,SER_hh_fech!R7/SER_summary!R$26)</f>
        <v>84.204281403143696</v>
      </c>
      <c r="S7" s="133">
        <f>IF(SER_hh_fech!S7=0,0,SER_hh_fech!S7/SER_summary!S$26)</f>
        <v>102.73063703775573</v>
      </c>
      <c r="T7" s="133">
        <f>IF(SER_hh_fech!T7=0,0,SER_hh_fech!T7/SER_summary!T$26)</f>
        <v>94.992359966699652</v>
      </c>
      <c r="U7" s="133">
        <f>IF(SER_hh_fech!U7=0,0,SER_hh_fech!U7/SER_summary!U$26)</f>
        <v>113.27414884879981</v>
      </c>
      <c r="V7" s="133">
        <f>IF(SER_hh_fech!V7=0,0,SER_hh_fech!V7/SER_summary!V$26)</f>
        <v>86.571429435681978</v>
      </c>
      <c r="W7" s="133">
        <f>IF(SER_hh_fech!W7=0,0,SER_hh_fech!W7/SER_summary!W$26)</f>
        <v>96.932768121487641</v>
      </c>
      <c r="DA7" s="157" t="s">
        <v>480</v>
      </c>
    </row>
    <row r="8" spans="1:105" ht="12" customHeight="1" x14ac:dyDescent="0.25">
      <c r="A8" s="132" t="s">
        <v>73</v>
      </c>
      <c r="B8" s="133">
        <f>IF(SER_hh_fech!B8=0,0,SER_hh_fech!B8/SER_summary!B$26)</f>
        <v>0</v>
      </c>
      <c r="C8" s="133">
        <f>IF(SER_hh_fech!C8=0,0,SER_hh_fech!C8/SER_summary!C$26)</f>
        <v>0</v>
      </c>
      <c r="D8" s="133">
        <f>IF(SER_hh_fech!D8=0,0,SER_hh_fech!D8/SER_summary!D$26)</f>
        <v>0</v>
      </c>
      <c r="E8" s="133">
        <f>IF(SER_hh_fech!E8=0,0,SER_hh_fech!E8/SER_summary!E$26)</f>
        <v>0</v>
      </c>
      <c r="F8" s="133">
        <f>IF(SER_hh_fech!F8=0,0,SER_hh_fech!F8/SER_summary!F$26)</f>
        <v>0</v>
      </c>
      <c r="G8" s="133">
        <f>IF(SER_hh_fech!G8=0,0,SER_hh_fech!G8/SER_summary!G$26)</f>
        <v>0</v>
      </c>
      <c r="H8" s="133">
        <f>IF(SER_hh_fech!H8=0,0,SER_hh_fech!H8/SER_summary!H$26)</f>
        <v>0</v>
      </c>
      <c r="I8" s="133">
        <f>IF(SER_hh_fech!I8=0,0,SER_hh_fech!I8/SER_summary!I$26)</f>
        <v>0</v>
      </c>
      <c r="J8" s="133">
        <f>IF(SER_hh_fech!J8=0,0,SER_hh_fech!J8/SER_summary!J$26)</f>
        <v>0</v>
      </c>
      <c r="K8" s="133">
        <f>IF(SER_hh_fech!K8=0,0,SER_hh_fech!K8/SER_summary!K$26)</f>
        <v>0</v>
      </c>
      <c r="L8" s="133">
        <f>IF(SER_hh_fech!L8=0,0,SER_hh_fech!L8/SER_summary!L$26)</f>
        <v>0</v>
      </c>
      <c r="M8" s="133">
        <f>IF(SER_hh_fech!M8=0,0,SER_hh_fech!M8/SER_summary!M$26)</f>
        <v>0</v>
      </c>
      <c r="N8" s="133">
        <f>IF(SER_hh_fech!N8=0,0,SER_hh_fech!N8/SER_summary!N$26)</f>
        <v>0</v>
      </c>
      <c r="O8" s="133">
        <f>IF(SER_hh_fech!O8=0,0,SER_hh_fech!O8/SER_summary!O$26)</f>
        <v>0</v>
      </c>
      <c r="P8" s="133">
        <f>IF(SER_hh_fech!P8=0,0,SER_hh_fech!P8/SER_summary!P$26)</f>
        <v>0</v>
      </c>
      <c r="Q8" s="133">
        <f>IF(SER_hh_fech!Q8=0,0,SER_hh_fech!Q8/SER_summary!Q$26)</f>
        <v>0</v>
      </c>
      <c r="R8" s="133">
        <f>IF(SER_hh_fech!R8=0,0,SER_hh_fech!R8/SER_summary!R$26)</f>
        <v>0</v>
      </c>
      <c r="S8" s="133">
        <f>IF(SER_hh_fech!S8=0,0,SER_hh_fech!S8/SER_summary!S$26)</f>
        <v>0</v>
      </c>
      <c r="T8" s="133">
        <f>IF(SER_hh_fech!T8=0,0,SER_hh_fech!T8/SER_summary!T$26)</f>
        <v>0</v>
      </c>
      <c r="U8" s="133">
        <f>IF(SER_hh_fech!U8=0,0,SER_hh_fech!U8/SER_summary!U$26)</f>
        <v>0</v>
      </c>
      <c r="V8" s="133">
        <f>IF(SER_hh_fech!V8=0,0,SER_hh_fech!V8/SER_summary!V$26)</f>
        <v>0</v>
      </c>
      <c r="W8" s="133">
        <f>IF(SER_hh_fech!W8=0,0,SER_hh_fech!W8/SER_summary!W$26)</f>
        <v>0</v>
      </c>
      <c r="DA8" s="157" t="s">
        <v>481</v>
      </c>
    </row>
    <row r="9" spans="1:105" ht="12" customHeight="1" x14ac:dyDescent="0.25">
      <c r="A9" s="132" t="s">
        <v>78</v>
      </c>
      <c r="B9" s="133">
        <f>IF(SER_hh_fech!B9=0,0,SER_hh_fech!B9/SER_summary!B$26)</f>
        <v>0</v>
      </c>
      <c r="C9" s="133">
        <f>IF(SER_hh_fech!C9=0,0,SER_hh_fech!C9/SER_summary!C$26)</f>
        <v>0</v>
      </c>
      <c r="D9" s="133">
        <f>IF(SER_hh_fech!D9=0,0,SER_hh_fech!D9/SER_summary!D$26)</f>
        <v>0</v>
      </c>
      <c r="E9" s="133">
        <f>IF(SER_hh_fech!E9=0,0,SER_hh_fech!E9/SER_summary!E$26)</f>
        <v>0</v>
      </c>
      <c r="F9" s="133">
        <f>IF(SER_hh_fech!F9=0,0,SER_hh_fech!F9/SER_summary!F$26)</f>
        <v>0</v>
      </c>
      <c r="G9" s="133">
        <f>IF(SER_hh_fech!G9=0,0,SER_hh_fech!G9/SER_summary!G$26)</f>
        <v>0</v>
      </c>
      <c r="H9" s="133">
        <f>IF(SER_hh_fech!H9=0,0,SER_hh_fech!H9/SER_summary!H$26)</f>
        <v>0</v>
      </c>
      <c r="I9" s="133">
        <f>IF(SER_hh_fech!I9=0,0,SER_hh_fech!I9/SER_summary!I$26)</f>
        <v>0</v>
      </c>
      <c r="J9" s="133">
        <f>IF(SER_hh_fech!J9=0,0,SER_hh_fech!J9/SER_summary!J$26)</f>
        <v>0</v>
      </c>
      <c r="K9" s="133">
        <f>IF(SER_hh_fech!K9=0,0,SER_hh_fech!K9/SER_summary!K$26)</f>
        <v>66.987041529647826</v>
      </c>
      <c r="L9" s="133">
        <f>IF(SER_hh_fech!L9=0,0,SER_hh_fech!L9/SER_summary!L$26)</f>
        <v>55.71921561828772</v>
      </c>
      <c r="M9" s="133">
        <f>IF(SER_hh_fech!M9=0,0,SER_hh_fech!M9/SER_summary!M$26)</f>
        <v>45.841740935513798</v>
      </c>
      <c r="N9" s="133">
        <f>IF(SER_hh_fech!N9=0,0,SER_hh_fech!N9/SER_summary!N$26)</f>
        <v>43.940044714104133</v>
      </c>
      <c r="O9" s="133">
        <f>IF(SER_hh_fech!O9=0,0,SER_hh_fech!O9/SER_summary!O$26)</f>
        <v>45.323992655101925</v>
      </c>
      <c r="P9" s="133">
        <f>IF(SER_hh_fech!P9=0,0,SER_hh_fech!P9/SER_summary!P$26)</f>
        <v>49.323158335322475</v>
      </c>
      <c r="Q9" s="133">
        <f>IF(SER_hh_fech!Q9=0,0,SER_hh_fech!Q9/SER_summary!Q$26)</f>
        <v>49.29534655449396</v>
      </c>
      <c r="R9" s="133">
        <f>IF(SER_hh_fech!R9=0,0,SER_hh_fech!R9/SER_summary!R$26)</f>
        <v>52.191993928918883</v>
      </c>
      <c r="S9" s="133">
        <f>IF(SER_hh_fech!S9=0,0,SER_hh_fech!S9/SER_summary!S$26)</f>
        <v>40.994389844414371</v>
      </c>
      <c r="T9" s="133">
        <f>IF(SER_hh_fech!T9=0,0,SER_hh_fech!T9/SER_summary!T$26)</f>
        <v>83.326776380874833</v>
      </c>
      <c r="U9" s="133">
        <f>IF(SER_hh_fech!U9=0,0,SER_hh_fech!U9/SER_summary!U$26)</f>
        <v>94.138498437637935</v>
      </c>
      <c r="V9" s="133">
        <f>IF(SER_hh_fech!V9=0,0,SER_hh_fech!V9/SER_summary!V$26)</f>
        <v>35.493558916060017</v>
      </c>
      <c r="W9" s="133">
        <f>IF(SER_hh_fech!W9=0,0,SER_hh_fech!W9/SER_summary!W$26)</f>
        <v>41.753682276311196</v>
      </c>
      <c r="DA9" s="157" t="s">
        <v>482</v>
      </c>
    </row>
    <row r="10" spans="1:105" ht="12" customHeight="1" x14ac:dyDescent="0.25">
      <c r="A10" s="132" t="s">
        <v>128</v>
      </c>
      <c r="B10" s="133">
        <f>IF(SER_hh_fech!B10=0,0,SER_hh_fech!B10/SER_summary!B$26)</f>
        <v>0</v>
      </c>
      <c r="C10" s="133">
        <f>IF(SER_hh_fech!C10=0,0,SER_hh_fech!C10/SER_summary!C$26)</f>
        <v>0</v>
      </c>
      <c r="D10" s="133">
        <f>IF(SER_hh_fech!D10=0,0,SER_hh_fech!D10/SER_summary!D$26)</f>
        <v>0</v>
      </c>
      <c r="E10" s="133">
        <f>IF(SER_hh_fech!E10=0,0,SER_hh_fech!E10/SER_summary!E$26)</f>
        <v>0</v>
      </c>
      <c r="F10" s="133">
        <f>IF(SER_hh_fech!F10=0,0,SER_hh_fech!F10/SER_summary!F$26)</f>
        <v>0</v>
      </c>
      <c r="G10" s="133">
        <f>IF(SER_hh_fech!G10=0,0,SER_hh_fech!G10/SER_summary!G$26)</f>
        <v>0</v>
      </c>
      <c r="H10" s="133">
        <f>IF(SER_hh_fech!H10=0,0,SER_hh_fech!H10/SER_summary!H$26)</f>
        <v>0</v>
      </c>
      <c r="I10" s="133">
        <f>IF(SER_hh_fech!I10=0,0,SER_hh_fech!I10/SER_summary!I$26)</f>
        <v>44.675446382916526</v>
      </c>
      <c r="J10" s="133">
        <f>IF(SER_hh_fech!J10=0,0,SER_hh_fech!J10/SER_summary!J$26)</f>
        <v>117.57326539965185</v>
      </c>
      <c r="K10" s="133">
        <f>IF(SER_hh_fech!K10=0,0,SER_hh_fech!K10/SER_summary!K$26)</f>
        <v>137.46658511927893</v>
      </c>
      <c r="L10" s="133">
        <f>IF(SER_hh_fech!L10=0,0,SER_hh_fech!L10/SER_summary!L$26)</f>
        <v>39.918817000094272</v>
      </c>
      <c r="M10" s="133">
        <f>IF(SER_hh_fech!M10=0,0,SER_hh_fech!M10/SER_summary!M$26)</f>
        <v>68.776357326058161</v>
      </c>
      <c r="N10" s="133">
        <f>IF(SER_hh_fech!N10=0,0,SER_hh_fech!N10/SER_summary!N$26)</f>
        <v>89.37366674320873</v>
      </c>
      <c r="O10" s="133">
        <f>IF(SER_hh_fech!O10=0,0,SER_hh_fech!O10/SER_summary!O$26)</f>
        <v>69.914867491601683</v>
      </c>
      <c r="P10" s="133">
        <f>IF(SER_hh_fech!P10=0,0,SER_hh_fech!P10/SER_summary!P$26)</f>
        <v>56.456726133920732</v>
      </c>
      <c r="Q10" s="133">
        <f>IF(SER_hh_fech!Q10=0,0,SER_hh_fech!Q10/SER_summary!Q$26)</f>
        <v>119.5909186714933</v>
      </c>
      <c r="R10" s="133">
        <f>IF(SER_hh_fech!R10=0,0,SER_hh_fech!R10/SER_summary!R$26)</f>
        <v>90.734031500878629</v>
      </c>
      <c r="S10" s="133">
        <f>IF(SER_hh_fech!S10=0,0,SER_hh_fech!S10/SER_summary!S$26)</f>
        <v>130.65248866440444</v>
      </c>
      <c r="T10" s="133">
        <f>IF(SER_hh_fech!T10=0,0,SER_hh_fech!T10/SER_summary!T$26)</f>
        <v>98.187303050236281</v>
      </c>
      <c r="U10" s="133">
        <f>IF(SER_hh_fech!U10=0,0,SER_hh_fech!U10/SER_summary!U$26)</f>
        <v>70.223927575790057</v>
      </c>
      <c r="V10" s="133">
        <f>IF(SER_hh_fech!V10=0,0,SER_hh_fech!V10/SER_summary!V$26)</f>
        <v>63.155040925276765</v>
      </c>
      <c r="W10" s="133">
        <f>IF(SER_hh_fech!W10=0,0,SER_hh_fech!W10/SER_summary!W$26)</f>
        <v>192.80278498969125</v>
      </c>
      <c r="DA10" s="157" t="s">
        <v>483</v>
      </c>
    </row>
    <row r="11" spans="1:105" ht="12" customHeight="1" x14ac:dyDescent="0.25">
      <c r="A11" s="132" t="s">
        <v>25</v>
      </c>
      <c r="B11" s="133">
        <f>IF(SER_hh_fech!B11=0,0,SER_hh_fech!B11/SER_summary!B$26)</f>
        <v>0</v>
      </c>
      <c r="C11" s="133">
        <f>IF(SER_hh_fech!C11=0,0,SER_hh_fech!C11/SER_summary!C$26)</f>
        <v>0</v>
      </c>
      <c r="D11" s="133">
        <f>IF(SER_hh_fech!D11=0,0,SER_hh_fech!D11/SER_summary!D$26)</f>
        <v>0</v>
      </c>
      <c r="E11" s="133">
        <f>IF(SER_hh_fech!E11=0,0,SER_hh_fech!E11/SER_summary!E$26)</f>
        <v>0</v>
      </c>
      <c r="F11" s="133">
        <f>IF(SER_hh_fech!F11=0,0,SER_hh_fech!F11/SER_summary!F$26)</f>
        <v>0</v>
      </c>
      <c r="G11" s="133">
        <f>IF(SER_hh_fech!G11=0,0,SER_hh_fech!G11/SER_summary!G$26)</f>
        <v>0</v>
      </c>
      <c r="H11" s="133">
        <f>IF(SER_hh_fech!H11=0,0,SER_hh_fech!H11/SER_summary!H$26)</f>
        <v>0</v>
      </c>
      <c r="I11" s="133">
        <f>IF(SER_hh_fech!I11=0,0,SER_hh_fech!I11/SER_summary!I$26)</f>
        <v>0</v>
      </c>
      <c r="J11" s="133">
        <f>IF(SER_hh_fech!J11=0,0,SER_hh_fech!J11/SER_summary!J$26)</f>
        <v>0</v>
      </c>
      <c r="K11" s="133">
        <f>IF(SER_hh_fech!K11=0,0,SER_hh_fech!K11/SER_summary!K$26)</f>
        <v>0</v>
      </c>
      <c r="L11" s="133">
        <f>IF(SER_hh_fech!L11=0,0,SER_hh_fech!L11/SER_summary!L$26)</f>
        <v>0</v>
      </c>
      <c r="M11" s="133">
        <f>IF(SER_hh_fech!M11=0,0,SER_hh_fech!M11/SER_summary!M$26)</f>
        <v>0</v>
      </c>
      <c r="N11" s="133">
        <f>IF(SER_hh_fech!N11=0,0,SER_hh_fech!N11/SER_summary!N$26)</f>
        <v>0</v>
      </c>
      <c r="O11" s="133">
        <f>IF(SER_hh_fech!O11=0,0,SER_hh_fech!O11/SER_summary!O$26)</f>
        <v>0</v>
      </c>
      <c r="P11" s="133">
        <f>IF(SER_hh_fech!P11=0,0,SER_hh_fech!P11/SER_summary!P$26)</f>
        <v>0</v>
      </c>
      <c r="Q11" s="133">
        <f>IF(SER_hh_fech!Q11=0,0,SER_hh_fech!Q11/SER_summary!Q$26)</f>
        <v>0</v>
      </c>
      <c r="R11" s="133">
        <f>IF(SER_hh_fech!R11=0,0,SER_hh_fech!R11/SER_summary!R$26)</f>
        <v>0</v>
      </c>
      <c r="S11" s="133">
        <f>IF(SER_hh_fech!S11=0,0,SER_hh_fech!S11/SER_summary!S$26)</f>
        <v>0</v>
      </c>
      <c r="T11" s="133">
        <f>IF(SER_hh_fech!T11=0,0,SER_hh_fech!T11/SER_summary!T$26)</f>
        <v>0</v>
      </c>
      <c r="U11" s="133">
        <f>IF(SER_hh_fech!U11=0,0,SER_hh_fech!U11/SER_summary!U$26)</f>
        <v>0</v>
      </c>
      <c r="V11" s="133">
        <f>IF(SER_hh_fech!V11=0,0,SER_hh_fech!V11/SER_summary!V$26)</f>
        <v>0</v>
      </c>
      <c r="W11" s="133">
        <f>IF(SER_hh_fech!W11=0,0,SER_hh_fech!W11/SER_summary!W$26)</f>
        <v>0</v>
      </c>
      <c r="DA11" s="157" t="s">
        <v>484</v>
      </c>
    </row>
    <row r="12" spans="1:105" ht="12" customHeight="1" x14ac:dyDescent="0.25">
      <c r="A12" s="132" t="s">
        <v>169</v>
      </c>
      <c r="B12" s="133">
        <f>IF(SER_hh_fech!B12=0,0,SER_hh_fech!B12/SER_summary!B$26)</f>
        <v>0</v>
      </c>
      <c r="C12" s="133">
        <f>IF(SER_hh_fech!C12=0,0,SER_hh_fech!C12/SER_summary!C$26)</f>
        <v>0</v>
      </c>
      <c r="D12" s="133">
        <f>IF(SER_hh_fech!D12=0,0,SER_hh_fech!D12/SER_summary!D$26)</f>
        <v>0</v>
      </c>
      <c r="E12" s="133">
        <f>IF(SER_hh_fech!E12=0,0,SER_hh_fech!E12/SER_summary!E$26)</f>
        <v>0</v>
      </c>
      <c r="F12" s="133">
        <f>IF(SER_hh_fech!F12=0,0,SER_hh_fech!F12/SER_summary!F$26)</f>
        <v>0</v>
      </c>
      <c r="G12" s="133">
        <f>IF(SER_hh_fech!G12=0,0,SER_hh_fech!G12/SER_summary!G$26)</f>
        <v>0</v>
      </c>
      <c r="H12" s="133">
        <f>IF(SER_hh_fech!H12=0,0,SER_hh_fech!H12/SER_summary!H$26)</f>
        <v>0</v>
      </c>
      <c r="I12" s="133">
        <f>IF(SER_hh_fech!I12=0,0,SER_hh_fech!I12/SER_summary!I$26)</f>
        <v>0</v>
      </c>
      <c r="J12" s="133">
        <f>IF(SER_hh_fech!J12=0,0,SER_hh_fech!J12/SER_summary!J$26)</f>
        <v>0</v>
      </c>
      <c r="K12" s="133">
        <f>IF(SER_hh_fech!K12=0,0,SER_hh_fech!K12/SER_summary!K$26)</f>
        <v>0</v>
      </c>
      <c r="L12" s="133">
        <f>IF(SER_hh_fech!L12=0,0,SER_hh_fech!L12/SER_summary!L$26)</f>
        <v>0</v>
      </c>
      <c r="M12" s="133">
        <f>IF(SER_hh_fech!M12=0,0,SER_hh_fech!M12/SER_summary!M$26)</f>
        <v>0</v>
      </c>
      <c r="N12" s="133">
        <f>IF(SER_hh_fech!N12=0,0,SER_hh_fech!N12/SER_summary!N$26)</f>
        <v>0</v>
      </c>
      <c r="O12" s="133">
        <f>IF(SER_hh_fech!O12=0,0,SER_hh_fech!O12/SER_summary!O$26)</f>
        <v>0</v>
      </c>
      <c r="P12" s="133">
        <f>IF(SER_hh_fech!P12=0,0,SER_hh_fech!P12/SER_summary!P$26)</f>
        <v>0</v>
      </c>
      <c r="Q12" s="133">
        <f>IF(SER_hh_fech!Q12=0,0,SER_hh_fech!Q12/SER_summary!Q$26)</f>
        <v>0</v>
      </c>
      <c r="R12" s="133">
        <f>IF(SER_hh_fech!R12=0,0,SER_hh_fech!R12/SER_summary!R$26)</f>
        <v>0</v>
      </c>
      <c r="S12" s="133">
        <f>IF(SER_hh_fech!S12=0,0,SER_hh_fech!S12/SER_summary!S$26)</f>
        <v>0</v>
      </c>
      <c r="T12" s="133">
        <f>IF(SER_hh_fech!T12=0,0,SER_hh_fech!T12/SER_summary!T$26)</f>
        <v>0</v>
      </c>
      <c r="U12" s="133">
        <f>IF(SER_hh_fech!U12=0,0,SER_hh_fech!U12/SER_summary!U$26)</f>
        <v>0</v>
      </c>
      <c r="V12" s="133">
        <f>IF(SER_hh_fech!V12=0,0,SER_hh_fech!V12/SER_summary!V$26)</f>
        <v>0</v>
      </c>
      <c r="W12" s="133">
        <f>IF(SER_hh_fech!W12=0,0,SER_hh_fech!W12/SER_summary!W$26)</f>
        <v>0</v>
      </c>
      <c r="DA12" s="157" t="s">
        <v>485</v>
      </c>
    </row>
    <row r="13" spans="1:105" ht="12" customHeight="1" x14ac:dyDescent="0.25">
      <c r="A13" s="132" t="s">
        <v>77</v>
      </c>
      <c r="B13" s="133">
        <f>IF(SER_hh_fech!B13=0,0,SER_hh_fech!B13/SER_summary!B$26)</f>
        <v>6.2258010337845597</v>
      </c>
      <c r="C13" s="133">
        <f>IF(SER_hh_fech!C13=0,0,SER_hh_fech!C13/SER_summary!C$26)</f>
        <v>11.924203864744126</v>
      </c>
      <c r="D13" s="133">
        <f>IF(SER_hh_fech!D13=0,0,SER_hh_fech!D13/SER_summary!D$26)</f>
        <v>12.132816150430324</v>
      </c>
      <c r="E13" s="133">
        <f>IF(SER_hh_fech!E13=0,0,SER_hh_fech!E13/SER_summary!E$26)</f>
        <v>11.915934428030809</v>
      </c>
      <c r="F13" s="133">
        <f>IF(SER_hh_fech!F13=0,0,SER_hh_fech!F13/SER_summary!F$26)</f>
        <v>13.093589878321838</v>
      </c>
      <c r="G13" s="133">
        <f>IF(SER_hh_fech!G13=0,0,SER_hh_fech!G13/SER_summary!G$26)</f>
        <v>15.260612110351754</v>
      </c>
      <c r="H13" s="133">
        <f>IF(SER_hh_fech!H13=0,0,SER_hh_fech!H13/SER_summary!H$26)</f>
        <v>17.53458238119044</v>
      </c>
      <c r="I13" s="133">
        <f>IF(SER_hh_fech!I13=0,0,SER_hh_fech!I13/SER_summary!I$26)</f>
        <v>19.267500681046691</v>
      </c>
      <c r="J13" s="133">
        <f>IF(SER_hh_fech!J13=0,0,SER_hh_fech!J13/SER_summary!J$26)</f>
        <v>19.83484031750114</v>
      </c>
      <c r="K13" s="133">
        <f>IF(SER_hh_fech!K13=0,0,SER_hh_fech!K13/SER_summary!K$26)</f>
        <v>20.939633515556224</v>
      </c>
      <c r="L13" s="133">
        <f>IF(SER_hh_fech!L13=0,0,SER_hh_fech!L13/SER_summary!L$26)</f>
        <v>17.370103034224776</v>
      </c>
      <c r="M13" s="133">
        <f>IF(SER_hh_fech!M13=0,0,SER_hh_fech!M13/SER_summary!M$26)</f>
        <v>13.759081234894321</v>
      </c>
      <c r="N13" s="133">
        <f>IF(SER_hh_fech!N13=0,0,SER_hh_fech!N13/SER_summary!N$26)</f>
        <v>12.781744662905714</v>
      </c>
      <c r="O13" s="133">
        <f>IF(SER_hh_fech!O13=0,0,SER_hh_fech!O13/SER_summary!O$26)</f>
        <v>17.304038202967934</v>
      </c>
      <c r="P13" s="133">
        <f>IF(SER_hh_fech!P13=0,0,SER_hh_fech!P13/SER_summary!P$26)</f>
        <v>15.818821309477542</v>
      </c>
      <c r="Q13" s="133">
        <f>IF(SER_hh_fech!Q13=0,0,SER_hh_fech!Q13/SER_summary!Q$26)</f>
        <v>17.059429146265547</v>
      </c>
      <c r="R13" s="133">
        <f>IF(SER_hh_fech!R13=0,0,SER_hh_fech!R13/SER_summary!R$26)</f>
        <v>16.662132174952784</v>
      </c>
      <c r="S13" s="133">
        <f>IF(SER_hh_fech!S13=0,0,SER_hh_fech!S13/SER_summary!S$26)</f>
        <v>16.577976337794315</v>
      </c>
      <c r="T13" s="133">
        <f>IF(SER_hh_fech!T13=0,0,SER_hh_fech!T13/SER_summary!T$26)</f>
        <v>16.51048876740326</v>
      </c>
      <c r="U13" s="133">
        <f>IF(SER_hh_fech!U13=0,0,SER_hh_fech!U13/SER_summary!U$26)</f>
        <v>16.785238092827502</v>
      </c>
      <c r="V13" s="133">
        <f>IF(SER_hh_fech!V13=0,0,SER_hh_fech!V13/SER_summary!V$26)</f>
        <v>14.918136636122497</v>
      </c>
      <c r="W13" s="133">
        <f>IF(SER_hh_fech!W13=0,0,SER_hh_fech!W13/SER_summary!W$26)</f>
        <v>14.810153037367682</v>
      </c>
      <c r="DA13" s="157" t="s">
        <v>486</v>
      </c>
    </row>
    <row r="14" spans="1:105" ht="12" customHeight="1" x14ac:dyDescent="0.25">
      <c r="A14" s="60" t="s">
        <v>76</v>
      </c>
      <c r="B14" s="65">
        <f>IF(SER_hh_fech!B14=0,0,SER_hh_fech!B14/SER_summary!B$26)</f>
        <v>16.570305667679989</v>
      </c>
      <c r="C14" s="65">
        <f>IF(SER_hh_fech!C14=0,0,SER_hh_fech!C14/SER_summary!C$26)</f>
        <v>26.232286751898521</v>
      </c>
      <c r="D14" s="65">
        <f>IF(SER_hh_fech!D14=0,0,SER_hh_fech!D14/SER_summary!D$26)</f>
        <v>33.577578728350602</v>
      </c>
      <c r="E14" s="65">
        <f>IF(SER_hh_fech!E14=0,0,SER_hh_fech!E14/SER_summary!E$26)</f>
        <v>30.650442509318111</v>
      </c>
      <c r="F14" s="65">
        <f>IF(SER_hh_fech!F14=0,0,SER_hh_fech!F14/SER_summary!F$26)</f>
        <v>33.24189851705902</v>
      </c>
      <c r="G14" s="65">
        <f>IF(SER_hh_fech!G14=0,0,SER_hh_fech!G14/SER_summary!G$26)</f>
        <v>35.940379260597652</v>
      </c>
      <c r="H14" s="65">
        <f>IF(SER_hh_fech!H14=0,0,SER_hh_fech!H14/SER_summary!H$26)</f>
        <v>54.176757243351638</v>
      </c>
      <c r="I14" s="65">
        <f>IF(SER_hh_fech!I14=0,0,SER_hh_fech!I14/SER_summary!I$26)</f>
        <v>53.785087671428627</v>
      </c>
      <c r="J14" s="65">
        <f>IF(SER_hh_fech!J14=0,0,SER_hh_fech!J14/SER_summary!J$26)</f>
        <v>59.758859645422731</v>
      </c>
      <c r="K14" s="65">
        <f>IF(SER_hh_fech!K14=0,0,SER_hh_fech!K14/SER_summary!K$26)</f>
        <v>64.829692026538169</v>
      </c>
      <c r="L14" s="65">
        <f>IF(SER_hh_fech!L14=0,0,SER_hh_fech!L14/SER_summary!L$26)</f>
        <v>71.534210607187759</v>
      </c>
      <c r="M14" s="65">
        <f>IF(SER_hh_fech!M14=0,0,SER_hh_fech!M14/SER_summary!M$26)</f>
        <v>76.159298858996024</v>
      </c>
      <c r="N14" s="65">
        <f>IF(SER_hh_fech!N14=0,0,SER_hh_fech!N14/SER_summary!N$26)</f>
        <v>55.12930843958879</v>
      </c>
      <c r="O14" s="65">
        <f>IF(SER_hh_fech!O14=0,0,SER_hh_fech!O14/SER_summary!O$26)</f>
        <v>19.668158248007895</v>
      </c>
      <c r="P14" s="65">
        <f>IF(SER_hh_fech!P14=0,0,SER_hh_fech!P14/SER_summary!P$26)</f>
        <v>56.119746482226468</v>
      </c>
      <c r="Q14" s="65">
        <f>IF(SER_hh_fech!Q14=0,0,SER_hh_fech!Q14/SER_summary!Q$26)</f>
        <v>60.506689747167499</v>
      </c>
      <c r="R14" s="65">
        <f>IF(SER_hh_fech!R14=0,0,SER_hh_fech!R14/SER_summary!R$26)</f>
        <v>93.256297688906812</v>
      </c>
      <c r="S14" s="65">
        <f>IF(SER_hh_fech!S14=0,0,SER_hh_fech!S14/SER_summary!S$26)</f>
        <v>113.52460756761174</v>
      </c>
      <c r="T14" s="65">
        <f>IF(SER_hh_fech!T14=0,0,SER_hh_fech!T14/SER_summary!T$26)</f>
        <v>114.57114922761765</v>
      </c>
      <c r="U14" s="65">
        <f>IF(SER_hh_fech!U14=0,0,SER_hh_fech!U14/SER_summary!U$26)</f>
        <v>143.31559394091394</v>
      </c>
      <c r="V14" s="65">
        <f>IF(SER_hh_fech!V14=0,0,SER_hh_fech!V14/SER_summary!V$26)</f>
        <v>66.014815487203649</v>
      </c>
      <c r="W14" s="65">
        <f>IF(SER_hh_fech!W14=0,0,SER_hh_fech!W14/SER_summary!W$26)</f>
        <v>117.68438345491731</v>
      </c>
      <c r="DA14" s="109" t="s">
        <v>487</v>
      </c>
    </row>
    <row r="15" spans="1:105" ht="12" customHeight="1" x14ac:dyDescent="0.25">
      <c r="A15" s="134" t="s">
        <v>80</v>
      </c>
      <c r="B15" s="135">
        <f>IF(SER_hh_fech!B15=0,0,SER_hh_fech!B15/SER_summary!B$26)</f>
        <v>0.24214577677173099</v>
      </c>
      <c r="C15" s="135">
        <f>IF(SER_hh_fech!C15=0,0,SER_hh_fech!C15/SER_summary!C$26)</f>
        <v>0.27859158124669009</v>
      </c>
      <c r="D15" s="135">
        <f>IF(SER_hh_fech!D15=0,0,SER_hh_fech!D15/SER_summary!D$26)</f>
        <v>0.30862360021413521</v>
      </c>
      <c r="E15" s="135">
        <f>IF(SER_hh_fech!E15=0,0,SER_hh_fech!E15/SER_summary!E$26)</f>
        <v>0.35598651679782084</v>
      </c>
      <c r="F15" s="135">
        <f>IF(SER_hh_fech!F15=0,0,SER_hh_fech!F15/SER_summary!F$26)</f>
        <v>0.36160812437020873</v>
      </c>
      <c r="G15" s="135">
        <f>IF(SER_hh_fech!G15=0,0,SER_hh_fech!G15/SER_summary!G$26)</f>
        <v>0.38919742052879919</v>
      </c>
      <c r="H15" s="135">
        <f>IF(SER_hh_fech!H15=0,0,SER_hh_fech!H15/SER_summary!H$26)</f>
        <v>0.49479834483385637</v>
      </c>
      <c r="I15" s="135">
        <f>IF(SER_hh_fech!I15=0,0,SER_hh_fech!I15/SER_summary!I$26)</f>
        <v>0.52531157997558642</v>
      </c>
      <c r="J15" s="135">
        <f>IF(SER_hh_fech!J15=0,0,SER_hh_fech!J15/SER_summary!J$26)</f>
        <v>0.71409887629057989</v>
      </c>
      <c r="K15" s="135">
        <f>IF(SER_hh_fech!K15=0,0,SER_hh_fech!K15/SER_summary!K$26)</f>
        <v>0.58989468634478515</v>
      </c>
      <c r="L15" s="135">
        <f>IF(SER_hh_fech!L15=0,0,SER_hh_fech!L15/SER_summary!L$26)</f>
        <v>0.66510999919767344</v>
      </c>
      <c r="M15" s="135">
        <f>IF(SER_hh_fech!M15=0,0,SER_hh_fech!M15/SER_summary!M$26)</f>
        <v>0.6515694120673754</v>
      </c>
      <c r="N15" s="135">
        <f>IF(SER_hh_fech!N15=0,0,SER_hh_fech!N15/SER_summary!N$26)</f>
        <v>0.56500776083296822</v>
      </c>
      <c r="O15" s="135">
        <f>IF(SER_hh_fech!O15=0,0,SER_hh_fech!O15/SER_summary!O$26)</f>
        <v>0.6446435109055384</v>
      </c>
      <c r="P15" s="135">
        <f>IF(SER_hh_fech!P15=0,0,SER_hh_fech!P15/SER_summary!P$26)</f>
        <v>0.66863471250612216</v>
      </c>
      <c r="Q15" s="135">
        <f>IF(SER_hh_fech!Q15=0,0,SER_hh_fech!Q15/SER_summary!Q$26)</f>
        <v>0.65569991873399269</v>
      </c>
      <c r="R15" s="135">
        <f>IF(SER_hh_fech!R15=0,0,SER_hh_fech!R15/SER_summary!R$26)</f>
        <v>0.67841718671648132</v>
      </c>
      <c r="S15" s="135">
        <f>IF(SER_hh_fech!S15=0,0,SER_hh_fech!S15/SER_summary!S$26)</f>
        <v>0.82091973189909651</v>
      </c>
      <c r="T15" s="135">
        <f>IF(SER_hh_fech!T15=0,0,SER_hh_fech!T15/SER_summary!T$26)</f>
        <v>0.78574500978493433</v>
      </c>
      <c r="U15" s="135">
        <f>IF(SER_hh_fech!U15=0,0,SER_hh_fech!U15/SER_summary!U$26)</f>
        <v>0.9368245495282933</v>
      </c>
      <c r="V15" s="135">
        <f>IF(SER_hh_fech!V15=0,0,SER_hh_fech!V15/SER_summary!V$26)</f>
        <v>0.70339721474649752</v>
      </c>
      <c r="W15" s="135">
        <f>IF(SER_hh_fech!W15=0,0,SER_hh_fech!W15/SER_summary!W$26)</f>
        <v>0.8202209510310291</v>
      </c>
      <c r="DA15" s="158" t="s">
        <v>488</v>
      </c>
    </row>
    <row r="16" spans="1:105" ht="12.95" customHeight="1" x14ac:dyDescent="0.25">
      <c r="A16" s="130" t="s">
        <v>74</v>
      </c>
      <c r="B16" s="131">
        <f>IF(SER_hh_fech!B16=0,0,SER_hh_fech!B16/SER_summary!B$26)</f>
        <v>53.482863490741991</v>
      </c>
      <c r="C16" s="131">
        <f>IF(SER_hh_fech!C16=0,0,SER_hh_fech!C16/SER_summary!C$26)</f>
        <v>43.457126591379669</v>
      </c>
      <c r="D16" s="131">
        <f>IF(SER_hh_fech!D16=0,0,SER_hh_fech!D16/SER_summary!D$26)</f>
        <v>39.270673753468273</v>
      </c>
      <c r="E16" s="131">
        <f>IF(SER_hh_fech!E16=0,0,SER_hh_fech!E16/SER_summary!E$26)</f>
        <v>40.468419123545864</v>
      </c>
      <c r="F16" s="131">
        <f>IF(SER_hh_fech!F16=0,0,SER_hh_fech!F16/SER_summary!F$26)</f>
        <v>32.020977161531981</v>
      </c>
      <c r="G16" s="131">
        <f>IF(SER_hh_fech!G16=0,0,SER_hh_fech!G16/SER_summary!G$26)</f>
        <v>28.156674319039105</v>
      </c>
      <c r="H16" s="131">
        <f>IF(SER_hh_fech!H16=0,0,SER_hh_fech!H16/SER_summary!H$26)</f>
        <v>31.331682496003296</v>
      </c>
      <c r="I16" s="131">
        <f>IF(SER_hh_fech!I16=0,0,SER_hh_fech!I16/SER_summary!I$26)</f>
        <v>33.91522186051202</v>
      </c>
      <c r="J16" s="131">
        <f>IF(SER_hh_fech!J16=0,0,SER_hh_fech!J16/SER_summary!J$26)</f>
        <v>33.306505824172213</v>
      </c>
      <c r="K16" s="131">
        <f>IF(SER_hh_fech!K16=0,0,SER_hh_fech!K16/SER_summary!K$26)</f>
        <v>31.648030392911618</v>
      </c>
      <c r="L16" s="131">
        <f>IF(SER_hh_fech!L16=0,0,SER_hh_fech!L16/SER_summary!L$26)</f>
        <v>32.486536919579954</v>
      </c>
      <c r="M16" s="131">
        <f>IF(SER_hh_fech!M16=0,0,SER_hh_fech!M16/SER_summary!M$26)</f>
        <v>27.192917443862104</v>
      </c>
      <c r="N16" s="131">
        <f>IF(SER_hh_fech!N16=0,0,SER_hh_fech!N16/SER_summary!N$26)</f>
        <v>32.181241880089473</v>
      </c>
      <c r="O16" s="131">
        <f>IF(SER_hh_fech!O16=0,0,SER_hh_fech!O16/SER_summary!O$26)</f>
        <v>26.446390622677466</v>
      </c>
      <c r="P16" s="131">
        <f>IF(SER_hh_fech!P16=0,0,SER_hh_fech!P16/SER_summary!P$26)</f>
        <v>23.127277893696434</v>
      </c>
      <c r="Q16" s="131">
        <f>IF(SER_hh_fech!Q16=0,0,SER_hh_fech!Q16/SER_summary!Q$26)</f>
        <v>24.510071533219513</v>
      </c>
      <c r="R16" s="131">
        <f>IF(SER_hh_fech!R16=0,0,SER_hh_fech!R16/SER_summary!R$26)</f>
        <v>27.233266411718475</v>
      </c>
      <c r="S16" s="131">
        <f>IF(SER_hh_fech!S16=0,0,SER_hh_fech!S16/SER_summary!S$26)</f>
        <v>25.176597927988276</v>
      </c>
      <c r="T16" s="131">
        <f>IF(SER_hh_fech!T16=0,0,SER_hh_fech!T16/SER_summary!T$26)</f>
        <v>31.061993042118644</v>
      </c>
      <c r="U16" s="131">
        <f>IF(SER_hh_fech!U16=0,0,SER_hh_fech!U16/SER_summary!U$26)</f>
        <v>25.675202278371206</v>
      </c>
      <c r="V16" s="131">
        <f>IF(SER_hh_fech!V16=0,0,SER_hh_fech!V16/SER_summary!V$26)</f>
        <v>27.377072260552836</v>
      </c>
      <c r="W16" s="131">
        <f>IF(SER_hh_fech!W16=0,0,SER_hh_fech!W16/SER_summary!W$26)</f>
        <v>23.538251718112516</v>
      </c>
      <c r="DA16" s="156" t="s">
        <v>489</v>
      </c>
    </row>
    <row r="17" spans="1:105" ht="12.95" customHeight="1" x14ac:dyDescent="0.25">
      <c r="A17" s="132" t="s">
        <v>73</v>
      </c>
      <c r="B17" s="133">
        <f>IF(SER_hh_fech!B17=0,0,SER_hh_fech!B17/SER_summary!B$26)</f>
        <v>0</v>
      </c>
      <c r="C17" s="133">
        <f>IF(SER_hh_fech!C17=0,0,SER_hh_fech!C17/SER_summary!C$26)</f>
        <v>0</v>
      </c>
      <c r="D17" s="133">
        <f>IF(SER_hh_fech!D17=0,0,SER_hh_fech!D17/SER_summary!D$26)</f>
        <v>0</v>
      </c>
      <c r="E17" s="133">
        <f>IF(SER_hh_fech!E17=0,0,SER_hh_fech!E17/SER_summary!E$26)</f>
        <v>0</v>
      </c>
      <c r="F17" s="133">
        <f>IF(SER_hh_fech!F17=0,0,SER_hh_fech!F17/SER_summary!F$26)</f>
        <v>0</v>
      </c>
      <c r="G17" s="133">
        <f>IF(SER_hh_fech!G17=0,0,SER_hh_fech!G17/SER_summary!G$26)</f>
        <v>0</v>
      </c>
      <c r="H17" s="133">
        <f>IF(SER_hh_fech!H17=0,0,SER_hh_fech!H17/SER_summary!H$26)</f>
        <v>0</v>
      </c>
      <c r="I17" s="133">
        <f>IF(SER_hh_fech!I17=0,0,SER_hh_fech!I17/SER_summary!I$26)</f>
        <v>0</v>
      </c>
      <c r="J17" s="133">
        <f>IF(SER_hh_fech!J17=0,0,SER_hh_fech!J17/SER_summary!J$26)</f>
        <v>0</v>
      </c>
      <c r="K17" s="133">
        <f>IF(SER_hh_fech!K17=0,0,SER_hh_fech!K17/SER_summary!K$26)</f>
        <v>0</v>
      </c>
      <c r="L17" s="133">
        <f>IF(SER_hh_fech!L17=0,0,SER_hh_fech!L17/SER_summary!L$26)</f>
        <v>0</v>
      </c>
      <c r="M17" s="133">
        <f>IF(SER_hh_fech!M17=0,0,SER_hh_fech!M17/SER_summary!M$26)</f>
        <v>0</v>
      </c>
      <c r="N17" s="133">
        <f>IF(SER_hh_fech!N17=0,0,SER_hh_fech!N17/SER_summary!N$26)</f>
        <v>0</v>
      </c>
      <c r="O17" s="133">
        <f>IF(SER_hh_fech!O17=0,0,SER_hh_fech!O17/SER_summary!O$26)</f>
        <v>0</v>
      </c>
      <c r="P17" s="133">
        <f>IF(SER_hh_fech!P17=0,0,SER_hh_fech!P17/SER_summary!P$26)</f>
        <v>0</v>
      </c>
      <c r="Q17" s="133">
        <f>IF(SER_hh_fech!Q17=0,0,SER_hh_fech!Q17/SER_summary!Q$26)</f>
        <v>0</v>
      </c>
      <c r="R17" s="133">
        <f>IF(SER_hh_fech!R17=0,0,SER_hh_fech!R17/SER_summary!R$26)</f>
        <v>0</v>
      </c>
      <c r="S17" s="133">
        <f>IF(SER_hh_fech!S17=0,0,SER_hh_fech!S17/SER_summary!S$26)</f>
        <v>0</v>
      </c>
      <c r="T17" s="133">
        <f>IF(SER_hh_fech!T17=0,0,SER_hh_fech!T17/SER_summary!T$26)</f>
        <v>0</v>
      </c>
      <c r="U17" s="133">
        <f>IF(SER_hh_fech!U17=0,0,SER_hh_fech!U17/SER_summary!U$26)</f>
        <v>0</v>
      </c>
      <c r="V17" s="133">
        <f>IF(SER_hh_fech!V17=0,0,SER_hh_fech!V17/SER_summary!V$26)</f>
        <v>0</v>
      </c>
      <c r="W17" s="133">
        <f>IF(SER_hh_fech!W17=0,0,SER_hh_fech!W17/SER_summary!W$26)</f>
        <v>0</v>
      </c>
      <c r="DA17" s="157" t="s">
        <v>490</v>
      </c>
    </row>
    <row r="18" spans="1:105" ht="12" customHeight="1" x14ac:dyDescent="0.25">
      <c r="A18" s="132" t="s">
        <v>72</v>
      </c>
      <c r="B18" s="133">
        <f>IF(SER_hh_fech!B18=0,0,SER_hh_fech!B18/SER_summary!B$26)</f>
        <v>53.482863490741991</v>
      </c>
      <c r="C18" s="133">
        <f>IF(SER_hh_fech!C18=0,0,SER_hh_fech!C18/SER_summary!C$26)</f>
        <v>43.457126591379669</v>
      </c>
      <c r="D18" s="133">
        <f>IF(SER_hh_fech!D18=0,0,SER_hh_fech!D18/SER_summary!D$26)</f>
        <v>39.270673753468273</v>
      </c>
      <c r="E18" s="133">
        <f>IF(SER_hh_fech!E18=0,0,SER_hh_fech!E18/SER_summary!E$26)</f>
        <v>40.468419123545864</v>
      </c>
      <c r="F18" s="133">
        <f>IF(SER_hh_fech!F18=0,0,SER_hh_fech!F18/SER_summary!F$26)</f>
        <v>32.020977161531981</v>
      </c>
      <c r="G18" s="133">
        <f>IF(SER_hh_fech!G18=0,0,SER_hh_fech!G18/SER_summary!G$26)</f>
        <v>28.156674319039105</v>
      </c>
      <c r="H18" s="133">
        <f>IF(SER_hh_fech!H18=0,0,SER_hh_fech!H18/SER_summary!H$26)</f>
        <v>31.331682496003296</v>
      </c>
      <c r="I18" s="133">
        <f>IF(SER_hh_fech!I18=0,0,SER_hh_fech!I18/SER_summary!I$26)</f>
        <v>33.91522186051202</v>
      </c>
      <c r="J18" s="133">
        <f>IF(SER_hh_fech!J18=0,0,SER_hh_fech!J18/SER_summary!J$26)</f>
        <v>33.306505824172213</v>
      </c>
      <c r="K18" s="133">
        <f>IF(SER_hh_fech!K18=0,0,SER_hh_fech!K18/SER_summary!K$26)</f>
        <v>31.648030392911618</v>
      </c>
      <c r="L18" s="133">
        <f>IF(SER_hh_fech!L18=0,0,SER_hh_fech!L18/SER_summary!L$26)</f>
        <v>32.486536919579954</v>
      </c>
      <c r="M18" s="133">
        <f>IF(SER_hh_fech!M18=0,0,SER_hh_fech!M18/SER_summary!M$26)</f>
        <v>27.192917443862104</v>
      </c>
      <c r="N18" s="133">
        <f>IF(SER_hh_fech!N18=0,0,SER_hh_fech!N18/SER_summary!N$26)</f>
        <v>32.181241880089473</v>
      </c>
      <c r="O18" s="133">
        <f>IF(SER_hh_fech!O18=0,0,SER_hh_fech!O18/SER_summary!O$26)</f>
        <v>26.446390622677466</v>
      </c>
      <c r="P18" s="133">
        <f>IF(SER_hh_fech!P18=0,0,SER_hh_fech!P18/SER_summary!P$26)</f>
        <v>23.127277893696434</v>
      </c>
      <c r="Q18" s="133">
        <f>IF(SER_hh_fech!Q18=0,0,SER_hh_fech!Q18/SER_summary!Q$26)</f>
        <v>24.510071533219513</v>
      </c>
      <c r="R18" s="133">
        <f>IF(SER_hh_fech!R18=0,0,SER_hh_fech!R18/SER_summary!R$26)</f>
        <v>27.233266411718475</v>
      </c>
      <c r="S18" s="133">
        <f>IF(SER_hh_fech!S18=0,0,SER_hh_fech!S18/SER_summary!S$26)</f>
        <v>25.176597927988276</v>
      </c>
      <c r="T18" s="133">
        <f>IF(SER_hh_fech!T18=0,0,SER_hh_fech!T18/SER_summary!T$26)</f>
        <v>31.061993042118644</v>
      </c>
      <c r="U18" s="133">
        <f>IF(SER_hh_fech!U18=0,0,SER_hh_fech!U18/SER_summary!U$26)</f>
        <v>25.675202278371206</v>
      </c>
      <c r="V18" s="133">
        <f>IF(SER_hh_fech!V18=0,0,SER_hh_fech!V18/SER_summary!V$26)</f>
        <v>27.377072260552836</v>
      </c>
      <c r="W18" s="133">
        <f>IF(SER_hh_fech!W18=0,0,SER_hh_fech!W18/SER_summary!W$26)</f>
        <v>23.538251718112516</v>
      </c>
      <c r="DA18" s="157" t="s">
        <v>491</v>
      </c>
    </row>
    <row r="19" spans="1:105" ht="12.95" customHeight="1" x14ac:dyDescent="0.25">
      <c r="A19" s="130" t="s">
        <v>35</v>
      </c>
      <c r="B19" s="131">
        <f>IF(SER_hh_fech!B19=0,0,SER_hh_fech!B19/SER_summary!B$26)</f>
        <v>21.471200651559744</v>
      </c>
      <c r="C19" s="131">
        <f>IF(SER_hh_fech!C19=0,0,SER_hh_fech!C19/SER_summary!C$26)</f>
        <v>21.345690188573784</v>
      </c>
      <c r="D19" s="131">
        <f>IF(SER_hh_fech!D19=0,0,SER_hh_fech!D19/SER_summary!D$26)</f>
        <v>21.243233309396935</v>
      </c>
      <c r="E19" s="131">
        <f>IF(SER_hh_fech!E19=0,0,SER_hh_fech!E19/SER_summary!E$26)</f>
        <v>21.127319091848832</v>
      </c>
      <c r="F19" s="131">
        <f>IF(SER_hh_fech!F19=0,0,SER_hh_fech!F19/SER_summary!F$26)</f>
        <v>20.773200138950408</v>
      </c>
      <c r="G19" s="131">
        <f>IF(SER_hh_fech!G19=0,0,SER_hh_fech!G19/SER_summary!G$26)</f>
        <v>20.721811231440398</v>
      </c>
      <c r="H19" s="131">
        <f>IF(SER_hh_fech!H19=0,0,SER_hh_fech!H19/SER_summary!H$26)</f>
        <v>19.265476047996575</v>
      </c>
      <c r="I19" s="131">
        <f>IF(SER_hh_fech!I19=0,0,SER_hh_fech!I19/SER_summary!I$26)</f>
        <v>18.470796112536327</v>
      </c>
      <c r="J19" s="131">
        <f>IF(SER_hh_fech!J19=0,0,SER_hh_fech!J19/SER_summary!J$26)</f>
        <v>18.552175774920606</v>
      </c>
      <c r="K19" s="131">
        <f>IF(SER_hh_fech!K19=0,0,SER_hh_fech!K19/SER_summary!K$26)</f>
        <v>18.324500662049683</v>
      </c>
      <c r="L19" s="131">
        <f>IF(SER_hh_fech!L19=0,0,SER_hh_fech!L19/SER_summary!L$26)</f>
        <v>17.97539286576119</v>
      </c>
      <c r="M19" s="131">
        <f>IF(SER_hh_fech!M19=0,0,SER_hh_fech!M19/SER_summary!M$26)</f>
        <v>17.909409025423315</v>
      </c>
      <c r="N19" s="131">
        <f>IF(SER_hh_fech!N19=0,0,SER_hh_fech!N19/SER_summary!N$26)</f>
        <v>17.729328442129205</v>
      </c>
      <c r="O19" s="131">
        <f>IF(SER_hh_fech!O19=0,0,SER_hh_fech!O19/SER_summary!O$26)</f>
        <v>17.707936881246113</v>
      </c>
      <c r="P19" s="131">
        <f>IF(SER_hh_fech!P19=0,0,SER_hh_fech!P19/SER_summary!P$26)</f>
        <v>17.478599329267304</v>
      </c>
      <c r="Q19" s="131">
        <f>IF(SER_hh_fech!Q19=0,0,SER_hh_fech!Q19/SER_summary!Q$26)</f>
        <v>17.478357075639927</v>
      </c>
      <c r="R19" s="131">
        <f>IF(SER_hh_fech!R19=0,0,SER_hh_fech!R19/SER_summary!R$26)</f>
        <v>17.45738340774577</v>
      </c>
      <c r="S19" s="131">
        <f>IF(SER_hh_fech!S19=0,0,SER_hh_fech!S19/SER_summary!S$26)</f>
        <v>17.003628724501485</v>
      </c>
      <c r="T19" s="131">
        <f>IF(SER_hh_fech!T19=0,0,SER_hh_fech!T19/SER_summary!T$26)</f>
        <v>16.754896450148451</v>
      </c>
      <c r="U19" s="131">
        <f>IF(SER_hh_fech!U19=0,0,SER_hh_fech!U19/SER_summary!U$26)</f>
        <v>16.195225812700357</v>
      </c>
      <c r="V19" s="131">
        <f>IF(SER_hh_fech!V19=0,0,SER_hh_fech!V19/SER_summary!V$26)</f>
        <v>15.073547574108138</v>
      </c>
      <c r="W19" s="131">
        <f>IF(SER_hh_fech!W19=0,0,SER_hh_fech!W19/SER_summary!W$26)</f>
        <v>14.887408872766597</v>
      </c>
      <c r="DA19" s="156" t="s">
        <v>492</v>
      </c>
    </row>
    <row r="20" spans="1:105" ht="12" customHeight="1" x14ac:dyDescent="0.25">
      <c r="A20" s="132" t="s">
        <v>29</v>
      </c>
      <c r="B20" s="133">
        <f>IF(SER_hh_fech!B20=0,0,SER_hh_fech!B20/SER_summary!B$26)</f>
        <v>0</v>
      </c>
      <c r="C20" s="133">
        <f>IF(SER_hh_fech!C20=0,0,SER_hh_fech!C20/SER_summary!C$26)</f>
        <v>0</v>
      </c>
      <c r="D20" s="133">
        <f>IF(SER_hh_fech!D20=0,0,SER_hh_fech!D20/SER_summary!D$26)</f>
        <v>0</v>
      </c>
      <c r="E20" s="133">
        <f>IF(SER_hh_fech!E20=0,0,SER_hh_fech!E20/SER_summary!E$26)</f>
        <v>0</v>
      </c>
      <c r="F20" s="133">
        <f>IF(SER_hh_fech!F20=0,0,SER_hh_fech!F20/SER_summary!F$26)</f>
        <v>0</v>
      </c>
      <c r="G20" s="133">
        <f>IF(SER_hh_fech!G20=0,0,SER_hh_fech!G20/SER_summary!G$26)</f>
        <v>0</v>
      </c>
      <c r="H20" s="133">
        <f>IF(SER_hh_fech!H20=0,0,SER_hh_fech!H20/SER_summary!H$26)</f>
        <v>0</v>
      </c>
      <c r="I20" s="133">
        <f>IF(SER_hh_fech!I20=0,0,SER_hh_fech!I20/SER_summary!I$26)</f>
        <v>0</v>
      </c>
      <c r="J20" s="133">
        <f>IF(SER_hh_fech!J20=0,0,SER_hh_fech!J20/SER_summary!J$26)</f>
        <v>0</v>
      </c>
      <c r="K20" s="133">
        <f>IF(SER_hh_fech!K20=0,0,SER_hh_fech!K20/SER_summary!K$26)</f>
        <v>0</v>
      </c>
      <c r="L20" s="133">
        <f>IF(SER_hh_fech!L20=0,0,SER_hh_fech!L20/SER_summary!L$26)</f>
        <v>0</v>
      </c>
      <c r="M20" s="133">
        <f>IF(SER_hh_fech!M20=0,0,SER_hh_fech!M20/SER_summary!M$26)</f>
        <v>0</v>
      </c>
      <c r="N20" s="133">
        <f>IF(SER_hh_fech!N20=0,0,SER_hh_fech!N20/SER_summary!N$26)</f>
        <v>0</v>
      </c>
      <c r="O20" s="133">
        <f>IF(SER_hh_fech!O20=0,0,SER_hh_fech!O20/SER_summary!O$26)</f>
        <v>0</v>
      </c>
      <c r="P20" s="133">
        <f>IF(SER_hh_fech!P20=0,0,SER_hh_fech!P20/SER_summary!P$26)</f>
        <v>0</v>
      </c>
      <c r="Q20" s="133">
        <f>IF(SER_hh_fech!Q20=0,0,SER_hh_fech!Q20/SER_summary!Q$26)</f>
        <v>0</v>
      </c>
      <c r="R20" s="133">
        <f>IF(SER_hh_fech!R20=0,0,SER_hh_fech!R20/SER_summary!R$26)</f>
        <v>0</v>
      </c>
      <c r="S20" s="133">
        <f>IF(SER_hh_fech!S20=0,0,SER_hh_fech!S20/SER_summary!S$26)</f>
        <v>0</v>
      </c>
      <c r="T20" s="133">
        <f>IF(SER_hh_fech!T20=0,0,SER_hh_fech!T20/SER_summary!T$26)</f>
        <v>0</v>
      </c>
      <c r="U20" s="133">
        <f>IF(SER_hh_fech!U20=0,0,SER_hh_fech!U20/SER_summary!U$26)</f>
        <v>0</v>
      </c>
      <c r="V20" s="133">
        <f>IF(SER_hh_fech!V20=0,0,SER_hh_fech!V20/SER_summary!V$26)</f>
        <v>0</v>
      </c>
      <c r="W20" s="133">
        <f>IF(SER_hh_fech!W20=0,0,SER_hh_fech!W20/SER_summary!W$26)</f>
        <v>0</v>
      </c>
      <c r="DA20" s="157" t="s">
        <v>493</v>
      </c>
    </row>
    <row r="21" spans="1:105" s="2" customFormat="1" ht="12" customHeight="1" x14ac:dyDescent="0.25">
      <c r="A21" s="132" t="s">
        <v>52</v>
      </c>
      <c r="B21" s="133">
        <f>IF(SER_hh_fech!B21=0,0,SER_hh_fech!B21/SER_summary!B$26)</f>
        <v>0</v>
      </c>
      <c r="C21" s="133">
        <f>IF(SER_hh_fech!C21=0,0,SER_hh_fech!C21/SER_summary!C$26)</f>
        <v>0</v>
      </c>
      <c r="D21" s="133">
        <f>IF(SER_hh_fech!D21=0,0,SER_hh_fech!D21/SER_summary!D$26)</f>
        <v>0</v>
      </c>
      <c r="E21" s="133">
        <f>IF(SER_hh_fech!E21=0,0,SER_hh_fech!E21/SER_summary!E$26)</f>
        <v>0</v>
      </c>
      <c r="F21" s="133">
        <f>IF(SER_hh_fech!F21=0,0,SER_hh_fech!F21/SER_summary!F$26)</f>
        <v>0</v>
      </c>
      <c r="G21" s="133">
        <f>IF(SER_hh_fech!G21=0,0,SER_hh_fech!G21/SER_summary!G$26)</f>
        <v>0</v>
      </c>
      <c r="H21" s="133">
        <f>IF(SER_hh_fech!H21=0,0,SER_hh_fech!H21/SER_summary!H$26)</f>
        <v>25.43895970976644</v>
      </c>
      <c r="I21" s="133">
        <f>IF(SER_hh_fech!I21=0,0,SER_hh_fech!I21/SER_summary!I$26)</f>
        <v>19.547071755263413</v>
      </c>
      <c r="J21" s="133">
        <f>IF(SER_hh_fech!J21=0,0,SER_hh_fech!J21/SER_summary!J$26)</f>
        <v>17.519410034232497</v>
      </c>
      <c r="K21" s="133">
        <f>IF(SER_hh_fech!K21=0,0,SER_hh_fech!K21/SER_summary!K$26)</f>
        <v>17.334299398421543</v>
      </c>
      <c r="L21" s="133">
        <f>IF(SER_hh_fech!L21=0,0,SER_hh_fech!L21/SER_summary!L$26)</f>
        <v>17.771922807128632</v>
      </c>
      <c r="M21" s="133">
        <f>IF(SER_hh_fech!M21=0,0,SER_hh_fech!M21/SER_summary!M$26)</f>
        <v>17.459315346710763</v>
      </c>
      <c r="N21" s="133">
        <f>IF(SER_hh_fech!N21=0,0,SER_hh_fech!N21/SER_summary!N$26)</f>
        <v>17.510909459809383</v>
      </c>
      <c r="O21" s="133">
        <f>IF(SER_hh_fech!O21=0,0,SER_hh_fech!O21/SER_summary!O$26)</f>
        <v>17.79396036937624</v>
      </c>
      <c r="P21" s="133">
        <f>IF(SER_hh_fech!P21=0,0,SER_hh_fech!P21/SER_summary!P$26)</f>
        <v>16.920415586225051</v>
      </c>
      <c r="Q21" s="133">
        <f>IF(SER_hh_fech!Q21=0,0,SER_hh_fech!Q21/SER_summary!Q$26)</f>
        <v>17.008085600242389</v>
      </c>
      <c r="R21" s="133">
        <f>IF(SER_hh_fech!R21=0,0,SER_hh_fech!R21/SER_summary!R$26)</f>
        <v>17.319499880399459</v>
      </c>
      <c r="S21" s="133">
        <f>IF(SER_hh_fech!S21=0,0,SER_hh_fech!S21/SER_summary!S$26)</f>
        <v>17.334874117667539</v>
      </c>
      <c r="T21" s="133">
        <f>IF(SER_hh_fech!T21=0,0,SER_hh_fech!T21/SER_summary!T$26)</f>
        <v>16.656259697382158</v>
      </c>
      <c r="U21" s="133">
        <f>IF(SER_hh_fech!U21=0,0,SER_hh_fech!U21/SER_summary!U$26)</f>
        <v>16.689530153455074</v>
      </c>
      <c r="V21" s="133">
        <f>IF(SER_hh_fech!V21=0,0,SER_hh_fech!V21/SER_summary!V$26)</f>
        <v>14.412075765987042</v>
      </c>
      <c r="W21" s="133">
        <f>IF(SER_hh_fech!W21=0,0,SER_hh_fech!W21/SER_summary!W$26)</f>
        <v>13.691545205950291</v>
      </c>
      <c r="DA21" s="157" t="s">
        <v>494</v>
      </c>
    </row>
    <row r="22" spans="1:105" ht="12" customHeight="1" x14ac:dyDescent="0.25">
      <c r="A22" s="132" t="s">
        <v>168</v>
      </c>
      <c r="B22" s="133">
        <f>IF(SER_hh_fech!B22=0,0,SER_hh_fech!B22/SER_summary!B$26)</f>
        <v>29.266059897830154</v>
      </c>
      <c r="C22" s="133">
        <f>IF(SER_hh_fech!C22=0,0,SER_hh_fech!C22/SER_summary!C$26)</f>
        <v>29.211504687162407</v>
      </c>
      <c r="D22" s="133">
        <f>IF(SER_hh_fech!D22=0,0,SER_hh_fech!D22/SER_summary!D$26)</f>
        <v>29.111674005149755</v>
      </c>
      <c r="E22" s="133">
        <f>IF(SER_hh_fech!E22=0,0,SER_hh_fech!E22/SER_summary!E$26)</f>
        <v>28.752562118961709</v>
      </c>
      <c r="F22" s="133">
        <f>IF(SER_hh_fech!F22=0,0,SER_hh_fech!F22/SER_summary!F$26)</f>
        <v>28.604293285838391</v>
      </c>
      <c r="G22" s="133">
        <f>IF(SER_hh_fech!G22=0,0,SER_hh_fech!G22/SER_summary!G$26)</f>
        <v>28.263541055208055</v>
      </c>
      <c r="H22" s="133">
        <f>IF(SER_hh_fech!H22=0,0,SER_hh_fech!H22/SER_summary!H$26)</f>
        <v>27.297586025478765</v>
      </c>
      <c r="I22" s="133">
        <f>IF(SER_hh_fech!I22=0,0,SER_hh_fech!I22/SER_summary!I$26)</f>
        <v>26.37948191900535</v>
      </c>
      <c r="J22" s="133">
        <f>IF(SER_hh_fech!J22=0,0,SER_hh_fech!J22/SER_summary!J$26)</f>
        <v>25.763967792090249</v>
      </c>
      <c r="K22" s="133">
        <f>IF(SER_hh_fech!K22=0,0,SER_hh_fech!K22/SER_summary!K$26)</f>
        <v>25.410649270740393</v>
      </c>
      <c r="L22" s="133">
        <f>IF(SER_hh_fech!L22=0,0,SER_hh_fech!L22/SER_summary!L$26)</f>
        <v>24.955036385024869</v>
      </c>
      <c r="M22" s="133">
        <f>IF(SER_hh_fech!M22=0,0,SER_hh_fech!M22/SER_summary!M$26)</f>
        <v>24.734647582837738</v>
      </c>
      <c r="N22" s="133">
        <f>IF(SER_hh_fech!N22=0,0,SER_hh_fech!N22/SER_summary!N$26)</f>
        <v>24.573138129333248</v>
      </c>
      <c r="O22" s="133">
        <f>IF(SER_hh_fech!O22=0,0,SER_hh_fech!O22/SER_summary!O$26)</f>
        <v>23.918429102755947</v>
      </c>
      <c r="P22" s="133">
        <f>IF(SER_hh_fech!P22=0,0,SER_hh_fech!P22/SER_summary!P$26)</f>
        <v>23.737972784764896</v>
      </c>
      <c r="Q22" s="133">
        <f>IF(SER_hh_fech!Q22=0,0,SER_hh_fech!Q22/SER_summary!Q$26)</f>
        <v>23.352986605673841</v>
      </c>
      <c r="R22" s="133">
        <f>IF(SER_hh_fech!R22=0,0,SER_hh_fech!R22/SER_summary!R$26)</f>
        <v>22.956051934814209</v>
      </c>
      <c r="S22" s="133">
        <f>IF(SER_hh_fech!S22=0,0,SER_hh_fech!S22/SER_summary!S$26)</f>
        <v>21.903522835071644</v>
      </c>
      <c r="T22" s="133">
        <f>IF(SER_hh_fech!T22=0,0,SER_hh_fech!T22/SER_summary!T$26)</f>
        <v>21.220733894854657</v>
      </c>
      <c r="U22" s="133">
        <f>IF(SER_hh_fech!U22=0,0,SER_hh_fech!U22/SER_summary!U$26)</f>
        <v>20.212467751227525</v>
      </c>
      <c r="V22" s="133">
        <f>IF(SER_hh_fech!V22=0,0,SER_hh_fech!V22/SER_summary!V$26)</f>
        <v>18.25962236230405</v>
      </c>
      <c r="W22" s="133">
        <f>IF(SER_hh_fech!W22=0,0,SER_hh_fech!W22/SER_summary!W$26)</f>
        <v>19.652849506402784</v>
      </c>
      <c r="DA22" s="157" t="s">
        <v>495</v>
      </c>
    </row>
    <row r="23" spans="1:105" ht="12" customHeight="1" x14ac:dyDescent="0.25">
      <c r="A23" s="132" t="s">
        <v>153</v>
      </c>
      <c r="B23" s="133">
        <f>IF(SER_hh_fech!B23=0,0,SER_hh_fech!B23/SER_summary!B$26)</f>
        <v>0</v>
      </c>
      <c r="C23" s="133">
        <f>IF(SER_hh_fech!C23=0,0,SER_hh_fech!C23/SER_summary!C$26)</f>
        <v>0</v>
      </c>
      <c r="D23" s="133">
        <f>IF(SER_hh_fech!D23=0,0,SER_hh_fech!D23/SER_summary!D$26)</f>
        <v>0</v>
      </c>
      <c r="E23" s="133">
        <f>IF(SER_hh_fech!E23=0,0,SER_hh_fech!E23/SER_summary!E$26)</f>
        <v>0</v>
      </c>
      <c r="F23" s="133">
        <f>IF(SER_hh_fech!F23=0,0,SER_hh_fech!F23/SER_summary!F$26)</f>
        <v>0</v>
      </c>
      <c r="G23" s="133">
        <f>IF(SER_hh_fech!G23=0,0,SER_hh_fech!G23/SER_summary!G$26)</f>
        <v>0</v>
      </c>
      <c r="H23" s="133">
        <f>IF(SER_hh_fech!H23=0,0,SER_hh_fech!H23/SER_summary!H$26)</f>
        <v>0</v>
      </c>
      <c r="I23" s="133">
        <f>IF(SER_hh_fech!I23=0,0,SER_hh_fech!I23/SER_summary!I$26)</f>
        <v>0</v>
      </c>
      <c r="J23" s="133">
        <f>IF(SER_hh_fech!J23=0,0,SER_hh_fech!J23/SER_summary!J$26)</f>
        <v>0</v>
      </c>
      <c r="K23" s="133">
        <f>IF(SER_hh_fech!K23=0,0,SER_hh_fech!K23/SER_summary!K$26)</f>
        <v>0</v>
      </c>
      <c r="L23" s="133">
        <f>IF(SER_hh_fech!L23=0,0,SER_hh_fech!L23/SER_summary!L$26)</f>
        <v>0</v>
      </c>
      <c r="M23" s="133">
        <f>IF(SER_hh_fech!M23=0,0,SER_hh_fech!M23/SER_summary!M$26)</f>
        <v>0</v>
      </c>
      <c r="N23" s="133">
        <f>IF(SER_hh_fech!N23=0,0,SER_hh_fech!N23/SER_summary!N$26)</f>
        <v>0</v>
      </c>
      <c r="O23" s="133">
        <f>IF(SER_hh_fech!O23=0,0,SER_hh_fech!O23/SER_summary!O$26)</f>
        <v>0</v>
      </c>
      <c r="P23" s="133">
        <f>IF(SER_hh_fech!P23=0,0,SER_hh_fech!P23/SER_summary!P$26)</f>
        <v>0</v>
      </c>
      <c r="Q23" s="133">
        <f>IF(SER_hh_fech!Q23=0,0,SER_hh_fech!Q23/SER_summary!Q$26)</f>
        <v>0</v>
      </c>
      <c r="R23" s="133">
        <f>IF(SER_hh_fech!R23=0,0,SER_hh_fech!R23/SER_summary!R$26)</f>
        <v>0</v>
      </c>
      <c r="S23" s="133">
        <f>IF(SER_hh_fech!S23=0,0,SER_hh_fech!S23/SER_summary!S$26)</f>
        <v>0</v>
      </c>
      <c r="T23" s="133">
        <f>IF(SER_hh_fech!T23=0,0,SER_hh_fech!T23/SER_summary!T$26)</f>
        <v>0</v>
      </c>
      <c r="U23" s="133">
        <f>IF(SER_hh_fech!U23=0,0,SER_hh_fech!U23/SER_summary!U$26)</f>
        <v>0</v>
      </c>
      <c r="V23" s="133">
        <f>IF(SER_hh_fech!V23=0,0,SER_hh_fech!V23/SER_summary!V$26)</f>
        <v>0</v>
      </c>
      <c r="W23" s="133">
        <f>IF(SER_hh_fech!W23=0,0,SER_hh_fech!W23/SER_summary!W$26)</f>
        <v>0</v>
      </c>
      <c r="DA23" s="157" t="s">
        <v>496</v>
      </c>
    </row>
    <row r="24" spans="1:105" ht="12" customHeight="1" x14ac:dyDescent="0.25">
      <c r="A24" s="132" t="s">
        <v>128</v>
      </c>
      <c r="B24" s="133">
        <f>IF(SER_hh_fech!B24=0,0,SER_hh_fech!B24/SER_summary!B$26)</f>
        <v>0</v>
      </c>
      <c r="C24" s="133">
        <f>IF(SER_hh_fech!C24=0,0,SER_hh_fech!C24/SER_summary!C$26)</f>
        <v>0</v>
      </c>
      <c r="D24" s="133">
        <f>IF(SER_hh_fech!D24=0,0,SER_hh_fech!D24/SER_summary!D$26)</f>
        <v>0</v>
      </c>
      <c r="E24" s="133">
        <f>IF(SER_hh_fech!E24=0,0,SER_hh_fech!E24/SER_summary!E$26)</f>
        <v>0</v>
      </c>
      <c r="F24" s="133">
        <f>IF(SER_hh_fech!F24=0,0,SER_hh_fech!F24/SER_summary!F$26)</f>
        <v>0</v>
      </c>
      <c r="G24" s="133">
        <f>IF(SER_hh_fech!G24=0,0,SER_hh_fech!G24/SER_summary!G$26)</f>
        <v>0</v>
      </c>
      <c r="H24" s="133">
        <f>IF(SER_hh_fech!H24=0,0,SER_hh_fech!H24/SER_summary!H$26)</f>
        <v>0</v>
      </c>
      <c r="I24" s="133">
        <f>IF(SER_hh_fech!I24=0,0,SER_hh_fech!I24/SER_summary!I$26)</f>
        <v>0</v>
      </c>
      <c r="J24" s="133">
        <f>IF(SER_hh_fech!J24=0,0,SER_hh_fech!J24/SER_summary!J$26)</f>
        <v>0</v>
      </c>
      <c r="K24" s="133">
        <f>IF(SER_hh_fech!K24=0,0,SER_hh_fech!K24/SER_summary!K$26)</f>
        <v>0</v>
      </c>
      <c r="L24" s="133">
        <f>IF(SER_hh_fech!L24=0,0,SER_hh_fech!L24/SER_summary!L$26)</f>
        <v>0</v>
      </c>
      <c r="M24" s="133">
        <f>IF(SER_hh_fech!M24=0,0,SER_hh_fech!M24/SER_summary!M$26)</f>
        <v>0</v>
      </c>
      <c r="N24" s="133">
        <f>IF(SER_hh_fech!N24=0,0,SER_hh_fech!N24/SER_summary!N$26)</f>
        <v>0</v>
      </c>
      <c r="O24" s="133">
        <f>IF(SER_hh_fech!O24=0,0,SER_hh_fech!O24/SER_summary!O$26)</f>
        <v>0</v>
      </c>
      <c r="P24" s="133">
        <f>IF(SER_hh_fech!P24=0,0,SER_hh_fech!P24/SER_summary!P$26)</f>
        <v>0</v>
      </c>
      <c r="Q24" s="133">
        <f>IF(SER_hh_fech!Q24=0,0,SER_hh_fech!Q24/SER_summary!Q$26)</f>
        <v>0</v>
      </c>
      <c r="R24" s="133">
        <f>IF(SER_hh_fech!R24=0,0,SER_hh_fech!R24/SER_summary!R$26)</f>
        <v>0</v>
      </c>
      <c r="S24" s="133">
        <f>IF(SER_hh_fech!S24=0,0,SER_hh_fech!S24/SER_summary!S$26)</f>
        <v>0</v>
      </c>
      <c r="T24" s="133">
        <f>IF(SER_hh_fech!T24=0,0,SER_hh_fech!T24/SER_summary!T$26)</f>
        <v>0</v>
      </c>
      <c r="U24" s="133">
        <f>IF(SER_hh_fech!U24=0,0,SER_hh_fech!U24/SER_summary!U$26)</f>
        <v>0</v>
      </c>
      <c r="V24" s="133">
        <f>IF(SER_hh_fech!V24=0,0,SER_hh_fech!V24/SER_summary!V$26)</f>
        <v>0</v>
      </c>
      <c r="W24" s="133">
        <f>IF(SER_hh_fech!W24=0,0,SER_hh_fech!W24/SER_summary!W$26)</f>
        <v>0</v>
      </c>
      <c r="DA24" s="157" t="s">
        <v>497</v>
      </c>
    </row>
    <row r="25" spans="1:105" ht="12" customHeight="1" x14ac:dyDescent="0.25">
      <c r="A25" s="132" t="s">
        <v>169</v>
      </c>
      <c r="B25" s="133">
        <f>IF(SER_hh_fech!B25=0,0,SER_hh_fech!B25/SER_summary!B$26)</f>
        <v>0</v>
      </c>
      <c r="C25" s="133">
        <f>IF(SER_hh_fech!C25=0,0,SER_hh_fech!C25/SER_summary!C$26)</f>
        <v>0</v>
      </c>
      <c r="D25" s="133">
        <f>IF(SER_hh_fech!D25=0,0,SER_hh_fech!D25/SER_summary!D$26)</f>
        <v>0</v>
      </c>
      <c r="E25" s="133">
        <f>IF(SER_hh_fech!E25=0,0,SER_hh_fech!E25/SER_summary!E$26)</f>
        <v>0</v>
      </c>
      <c r="F25" s="133">
        <f>IF(SER_hh_fech!F25=0,0,SER_hh_fech!F25/SER_summary!F$26)</f>
        <v>0</v>
      </c>
      <c r="G25" s="133">
        <f>IF(SER_hh_fech!G25=0,0,SER_hh_fech!G25/SER_summary!G$26)</f>
        <v>0</v>
      </c>
      <c r="H25" s="133">
        <f>IF(SER_hh_fech!H25=0,0,SER_hh_fech!H25/SER_summary!H$26)</f>
        <v>0</v>
      </c>
      <c r="I25" s="133">
        <f>IF(SER_hh_fech!I25=0,0,SER_hh_fech!I25/SER_summary!I$26)</f>
        <v>0</v>
      </c>
      <c r="J25" s="133">
        <f>IF(SER_hh_fech!J25=0,0,SER_hh_fech!J25/SER_summary!J$26)</f>
        <v>0</v>
      </c>
      <c r="K25" s="133">
        <f>IF(SER_hh_fech!K25=0,0,SER_hh_fech!K25/SER_summary!K$26)</f>
        <v>0</v>
      </c>
      <c r="L25" s="133">
        <f>IF(SER_hh_fech!L25=0,0,SER_hh_fech!L25/SER_summary!L$26)</f>
        <v>0</v>
      </c>
      <c r="M25" s="133">
        <f>IF(SER_hh_fech!M25=0,0,SER_hh_fech!M25/SER_summary!M$26)</f>
        <v>0</v>
      </c>
      <c r="N25" s="133">
        <f>IF(SER_hh_fech!N25=0,0,SER_hh_fech!N25/SER_summary!N$26)</f>
        <v>0</v>
      </c>
      <c r="O25" s="133">
        <f>IF(SER_hh_fech!O25=0,0,SER_hh_fech!O25/SER_summary!O$26)</f>
        <v>0</v>
      </c>
      <c r="P25" s="133">
        <f>IF(SER_hh_fech!P25=0,0,SER_hh_fech!P25/SER_summary!P$26)</f>
        <v>0</v>
      </c>
      <c r="Q25" s="133">
        <f>IF(SER_hh_fech!Q25=0,0,SER_hh_fech!Q25/SER_summary!Q$26)</f>
        <v>0</v>
      </c>
      <c r="R25" s="133">
        <f>IF(SER_hh_fech!R25=0,0,SER_hh_fech!R25/SER_summary!R$26)</f>
        <v>0</v>
      </c>
      <c r="S25" s="133">
        <f>IF(SER_hh_fech!S25=0,0,SER_hh_fech!S25/SER_summary!S$26)</f>
        <v>0</v>
      </c>
      <c r="T25" s="133">
        <f>IF(SER_hh_fech!T25=0,0,SER_hh_fech!T25/SER_summary!T$26)</f>
        <v>0</v>
      </c>
      <c r="U25" s="133">
        <f>IF(SER_hh_fech!U25=0,0,SER_hh_fech!U25/SER_summary!U$26)</f>
        <v>0</v>
      </c>
      <c r="V25" s="133">
        <f>IF(SER_hh_fech!V25=0,0,SER_hh_fech!V25/SER_summary!V$26)</f>
        <v>0</v>
      </c>
      <c r="W25" s="133">
        <f>IF(SER_hh_fech!W25=0,0,SER_hh_fech!W25/SER_summary!W$26)</f>
        <v>0</v>
      </c>
      <c r="DA25" s="157" t="s">
        <v>498</v>
      </c>
    </row>
    <row r="26" spans="1:105" ht="12" customHeight="1" x14ac:dyDescent="0.25">
      <c r="A26" s="132" t="s">
        <v>24</v>
      </c>
      <c r="B26" s="65">
        <f>IF(SER_hh_fech!B26=0,0,SER_hh_fech!B26/SER_summary!B$26)</f>
        <v>16.912627688382255</v>
      </c>
      <c r="C26" s="65">
        <f>IF(SER_hh_fech!C26=0,0,SER_hh_fech!C26/SER_summary!C$26)</f>
        <v>17.001620744252868</v>
      </c>
      <c r="D26" s="65">
        <f>IF(SER_hh_fech!D26=0,0,SER_hh_fech!D26/SER_summary!D$26)</f>
        <v>16.867905937416381</v>
      </c>
      <c r="E26" s="65">
        <f>IF(SER_hh_fech!E26=0,0,SER_hh_fech!E26/SER_summary!E$26)</f>
        <v>16.725590232648365</v>
      </c>
      <c r="F26" s="65">
        <f>IF(SER_hh_fech!F26=0,0,SER_hh_fech!F26/SER_summary!F$26)</f>
        <v>16.070475052915807</v>
      </c>
      <c r="G26" s="65">
        <f>IF(SER_hh_fech!G26=0,0,SER_hh_fech!G26/SER_summary!G$26)</f>
        <v>15.943669364959685</v>
      </c>
      <c r="H26" s="65">
        <f>IF(SER_hh_fech!H26=0,0,SER_hh_fech!H26/SER_summary!H$26)</f>
        <v>10.60530798939838</v>
      </c>
      <c r="I26" s="65">
        <f>IF(SER_hh_fech!I26=0,0,SER_hh_fech!I26/SER_summary!I$26)</f>
        <v>9.2943687526169665</v>
      </c>
      <c r="J26" s="65">
        <f>IF(SER_hh_fech!J26=0,0,SER_hh_fech!J26/SER_summary!J$26)</f>
        <v>9.6552534114924793</v>
      </c>
      <c r="K26" s="65">
        <f>IF(SER_hh_fech!K26=0,0,SER_hh_fech!K26/SER_summary!K$26)</f>
        <v>9.4729106765754683</v>
      </c>
      <c r="L26" s="65">
        <f>IF(SER_hh_fech!L26=0,0,SER_hh_fech!L26/SER_summary!L$26)</f>
        <v>8.7091250956670745</v>
      </c>
      <c r="M26" s="65">
        <f>IF(SER_hh_fech!M26=0,0,SER_hh_fech!M26/SER_summary!M$26)</f>
        <v>8.9480541359385981</v>
      </c>
      <c r="N26" s="65">
        <f>IF(SER_hh_fech!N26=0,0,SER_hh_fech!N26/SER_summary!N$26)</f>
        <v>8.9559758560716141</v>
      </c>
      <c r="O26" s="65">
        <f>IF(SER_hh_fech!O26=0,0,SER_hh_fech!O26/SER_summary!O$26)</f>
        <v>8.9693126157239877</v>
      </c>
      <c r="P26" s="65">
        <f>IF(SER_hh_fech!P26=0,0,SER_hh_fech!P26/SER_summary!P$26)</f>
        <v>9.0583838311660916</v>
      </c>
      <c r="Q26" s="65">
        <f>IF(SER_hh_fech!Q26=0,0,SER_hh_fech!Q26/SER_summary!Q$26)</f>
        <v>8.9148646991380343</v>
      </c>
      <c r="R26" s="65">
        <f>IF(SER_hh_fech!R26=0,0,SER_hh_fech!R26/SER_summary!R$26)</f>
        <v>8.7586741706403348</v>
      </c>
      <c r="S26" s="65">
        <f>IF(SER_hh_fech!S26=0,0,SER_hh_fech!S26/SER_summary!S$26)</f>
        <v>8.1340778401005291</v>
      </c>
      <c r="T26" s="65">
        <f>IF(SER_hh_fech!T26=0,0,SER_hh_fech!T26/SER_summary!T$26)</f>
        <v>8.0454296440013806</v>
      </c>
      <c r="U26" s="65">
        <f>IF(SER_hh_fech!U26=0,0,SER_hh_fech!U26/SER_summary!U$26)</f>
        <v>7.4017012106731555</v>
      </c>
      <c r="V26" s="65">
        <f>IF(SER_hh_fech!V26=0,0,SER_hh_fech!V26/SER_summary!V$26)</f>
        <v>6.8390230914347754</v>
      </c>
      <c r="W26" s="65">
        <f>IF(SER_hh_fech!W26=0,0,SER_hh_fech!W26/SER_summary!W$26)</f>
        <v>6.7664529857098925</v>
      </c>
      <c r="DA26" s="109" t="s">
        <v>499</v>
      </c>
    </row>
    <row r="27" spans="1:105" ht="12" customHeight="1" x14ac:dyDescent="0.25">
      <c r="A27" s="145" t="s">
        <v>86</v>
      </c>
      <c r="B27" s="146">
        <f>IF(SER_hh_fech!B27=0,0,SER_hh_fech!B27/SER_summary!B$26)</f>
        <v>4.1560278059668105</v>
      </c>
      <c r="C27" s="146">
        <f>IF(SER_hh_fech!C27=0,0,SER_hh_fech!C27/SER_summary!C$26)</f>
        <v>3.9508843676182992</v>
      </c>
      <c r="D27" s="146">
        <f>IF(SER_hh_fech!D27=0,0,SER_hh_fech!D27/SER_summary!D$26)</f>
        <v>3.9845252940387144</v>
      </c>
      <c r="E27" s="146">
        <f>IF(SER_hh_fech!E27=0,0,SER_hh_fech!E27/SER_summary!E$26)</f>
        <v>4.0224763048884178</v>
      </c>
      <c r="F27" s="146">
        <f>IF(SER_hh_fech!F27=0,0,SER_hh_fech!F27/SER_summary!F$26)</f>
        <v>4.3123482357529772</v>
      </c>
      <c r="G27" s="146">
        <f>IF(SER_hh_fech!G27=0,0,SER_hh_fech!G27/SER_summary!G$26)</f>
        <v>4.397751921509963</v>
      </c>
      <c r="H27" s="146">
        <f>IF(SER_hh_fech!H27=0,0,SER_hh_fech!H27/SER_summary!H$26)</f>
        <v>4.4757464980337183</v>
      </c>
      <c r="I27" s="146">
        <f>IF(SER_hh_fech!I27=0,0,SER_hh_fech!I27/SER_summary!I$26)</f>
        <v>5.4012773232964362</v>
      </c>
      <c r="J27" s="146">
        <f>IF(SER_hh_fech!J27=0,0,SER_hh_fech!J27/SER_summary!J$26)</f>
        <v>5.6565791956167066</v>
      </c>
      <c r="K27" s="146">
        <f>IF(SER_hh_fech!K27=0,0,SER_hh_fech!K27/SER_summary!K$26)</f>
        <v>5.6653172713396982</v>
      </c>
      <c r="L27" s="146">
        <f>IF(SER_hh_fech!L27=0,0,SER_hh_fech!L27/SER_summary!L$26)</f>
        <v>5.7484063138242849</v>
      </c>
      <c r="M27" s="146">
        <f>IF(SER_hh_fech!M27=0,0,SER_hh_fech!M27/SER_summary!M$26)</f>
        <v>5.7951209618607207</v>
      </c>
      <c r="N27" s="146">
        <f>IF(SER_hh_fech!N27=0,0,SER_hh_fech!N27/SER_summary!N$26)</f>
        <v>5.8211185983825882</v>
      </c>
      <c r="O27" s="146">
        <f>IF(SER_hh_fech!O27=0,0,SER_hh_fech!O27/SER_summary!O$26)</f>
        <v>5.9337731070210928</v>
      </c>
      <c r="P27" s="146">
        <f>IF(SER_hh_fech!P27=0,0,SER_hh_fech!P27/SER_summary!P$26)</f>
        <v>6.0818256462214695</v>
      </c>
      <c r="Q27" s="146">
        <f>IF(SER_hh_fech!Q27=0,0,SER_hh_fech!Q27/SER_summary!Q$26)</f>
        <v>6.2244995146137336</v>
      </c>
      <c r="R27" s="146">
        <f>IF(SER_hh_fech!R27=0,0,SER_hh_fech!R27/SER_summary!R$26)</f>
        <v>6.2743756088336946</v>
      </c>
      <c r="S27" s="146">
        <f>IF(SER_hh_fech!S27=0,0,SER_hh_fech!S27/SER_summary!S$26)</f>
        <v>6.3016775184199316</v>
      </c>
      <c r="T27" s="146">
        <f>IF(SER_hh_fech!T27=0,0,SER_hh_fech!T27/SER_summary!T$26)</f>
        <v>6.3436689822376655</v>
      </c>
      <c r="U27" s="146">
        <f>IF(SER_hh_fech!U27=0,0,SER_hh_fech!U27/SER_summary!U$26)</f>
        <v>6.3556844549573803</v>
      </c>
      <c r="V27" s="146">
        <f>IF(SER_hh_fech!V27=0,0,SER_hh_fech!V27/SER_summary!V$26)</f>
        <v>6.3908983868007203</v>
      </c>
      <c r="W27" s="146">
        <f>IF(SER_hh_fech!W27=0,0,SER_hh_fech!W27/SER_summary!W$26)</f>
        <v>6.4332693394102325</v>
      </c>
      <c r="DA27" s="159" t="s">
        <v>500</v>
      </c>
    </row>
    <row r="28" spans="1:105" ht="12" customHeight="1" x14ac:dyDescent="0.25">
      <c r="A28" s="78" t="s">
        <v>85</v>
      </c>
      <c r="B28" s="147">
        <f>IF(SER_hh_fech!B28=0,0,SER_hh_fech!B28/SER_summary!B$26)</f>
        <v>11.218351264203543</v>
      </c>
      <c r="C28" s="147">
        <f>IF(SER_hh_fech!C28=0,0,SER_hh_fech!C28/SER_summary!C$26)</f>
        <v>11.28458765030974</v>
      </c>
      <c r="D28" s="147">
        <f>IF(SER_hh_fech!D28=0,0,SER_hh_fech!D28/SER_summary!D$26)</f>
        <v>10.452745433249932</v>
      </c>
      <c r="E28" s="147">
        <f>IF(SER_hh_fech!E28=0,0,SER_hh_fech!E28/SER_summary!E$26)</f>
        <v>9.7871567815755469</v>
      </c>
      <c r="F28" s="147">
        <f>IF(SER_hh_fech!F28=0,0,SER_hh_fech!F28/SER_summary!F$26)</f>
        <v>9.913129038727071</v>
      </c>
      <c r="G28" s="147">
        <f>IF(SER_hh_fech!G28=0,0,SER_hh_fech!G28/SER_summary!G$26)</f>
        <v>9.3191768866599691</v>
      </c>
      <c r="H28" s="147">
        <f>IF(SER_hh_fech!H28=0,0,SER_hh_fech!H28/SER_summary!H$26)</f>
        <v>9.6584348589183175</v>
      </c>
      <c r="I28" s="147">
        <f>IF(SER_hh_fech!I28=0,0,SER_hh_fech!I28/SER_summary!I$26)</f>
        <v>10.601761542099883</v>
      </c>
      <c r="J28" s="147">
        <f>IF(SER_hh_fech!J28=0,0,SER_hh_fech!J28/SER_summary!J$26)</f>
        <v>10.799772223791352</v>
      </c>
      <c r="K28" s="147">
        <f>IF(SER_hh_fech!K28=0,0,SER_hh_fech!K28/SER_summary!K$26)</f>
        <v>10.372885489316797</v>
      </c>
      <c r="L28" s="147">
        <f>IF(SER_hh_fech!L28=0,0,SER_hh_fech!L28/SER_summary!L$26)</f>
        <v>10.587431412997026</v>
      </c>
      <c r="M28" s="147">
        <f>IF(SER_hh_fech!M28=0,0,SER_hh_fech!M28/SER_summary!M$26)</f>
        <v>10.550976416050231</v>
      </c>
      <c r="N28" s="147">
        <f>IF(SER_hh_fech!N28=0,0,SER_hh_fech!N28/SER_summary!N$26)</f>
        <v>11.178490610360804</v>
      </c>
      <c r="O28" s="147">
        <f>IF(SER_hh_fech!O28=0,0,SER_hh_fech!O28/SER_summary!O$26)</f>
        <v>12.584849979139939</v>
      </c>
      <c r="P28" s="147">
        <f>IF(SER_hh_fech!P28=0,0,SER_hh_fech!P28/SER_summary!P$26)</f>
        <v>12.760420829365179</v>
      </c>
      <c r="Q28" s="147">
        <f>IF(SER_hh_fech!Q28=0,0,SER_hh_fech!Q28/SER_summary!Q$26)</f>
        <v>12.590882152159285</v>
      </c>
      <c r="R28" s="147">
        <f>IF(SER_hh_fech!R28=0,0,SER_hh_fech!R28/SER_summary!R$26)</f>
        <v>12.221920187790053</v>
      </c>
      <c r="S28" s="147">
        <f>IF(SER_hh_fech!S28=0,0,SER_hh_fech!S28/SER_summary!S$26)</f>
        <v>11.502492937331734</v>
      </c>
      <c r="T28" s="147">
        <f>IF(SER_hh_fech!T28=0,0,SER_hh_fech!T28/SER_summary!T$26)</f>
        <v>11.750535886234465</v>
      </c>
      <c r="U28" s="147">
        <f>IF(SER_hh_fech!U28=0,0,SER_hh_fech!U28/SER_summary!U$26)</f>
        <v>11.774542274941917</v>
      </c>
      <c r="V28" s="147">
        <f>IF(SER_hh_fech!V28=0,0,SER_hh_fech!V28/SER_summary!V$26)</f>
        <v>10.953620956170202</v>
      </c>
      <c r="W28" s="147">
        <f>IF(SER_hh_fech!W28=0,0,SER_hh_fech!W28/SER_summary!W$26)</f>
        <v>10.942972520319708</v>
      </c>
      <c r="DA28" s="160"/>
    </row>
    <row r="29" spans="1:105" ht="12.95" customHeight="1" x14ac:dyDescent="0.25">
      <c r="A29" s="130" t="s">
        <v>34</v>
      </c>
      <c r="B29" s="131">
        <f>IF(SER_hh_fech!B29=0,0,SER_hh_fech!B29/SER_summary!B$26)</f>
        <v>16.975831142355183</v>
      </c>
      <c r="C29" s="131">
        <f>IF(SER_hh_fech!C29=0,0,SER_hh_fech!C29/SER_summary!C$26)</f>
        <v>16.845827289426335</v>
      </c>
      <c r="D29" s="131">
        <f>IF(SER_hh_fech!D29=0,0,SER_hh_fech!D29/SER_summary!D$26)</f>
        <v>17.030311752362291</v>
      </c>
      <c r="E29" s="131">
        <f>IF(SER_hh_fech!E29=0,0,SER_hh_fech!E29/SER_summary!E$26)</f>
        <v>17.136944202252963</v>
      </c>
      <c r="F29" s="131">
        <f>IF(SER_hh_fech!F29=0,0,SER_hh_fech!F29/SER_summary!F$26)</f>
        <v>17.500929283202993</v>
      </c>
      <c r="G29" s="131">
        <f>IF(SER_hh_fech!G29=0,0,SER_hh_fech!G29/SER_summary!G$26)</f>
        <v>17.807116130649948</v>
      </c>
      <c r="H29" s="131">
        <f>IF(SER_hh_fech!H29=0,0,SER_hh_fech!H29/SER_summary!H$26)</f>
        <v>18.726463784313772</v>
      </c>
      <c r="I29" s="131">
        <f>IF(SER_hh_fech!I29=0,0,SER_hh_fech!I29/SER_summary!I$26)</f>
        <v>19.003836710883167</v>
      </c>
      <c r="J29" s="131">
        <f>IF(SER_hh_fech!J29=0,0,SER_hh_fech!J29/SER_summary!J$26)</f>
        <v>19.261132631510929</v>
      </c>
      <c r="K29" s="131">
        <f>IF(SER_hh_fech!K29=0,0,SER_hh_fech!K29/SER_summary!K$26)</f>
        <v>18.864847289551015</v>
      </c>
      <c r="L29" s="131">
        <f>IF(SER_hh_fech!L29=0,0,SER_hh_fech!L29/SER_summary!L$26)</f>
        <v>18.474743194770088</v>
      </c>
      <c r="M29" s="131">
        <f>IF(SER_hh_fech!M29=0,0,SER_hh_fech!M29/SER_summary!M$26)</f>
        <v>18.618807081404924</v>
      </c>
      <c r="N29" s="131">
        <f>IF(SER_hh_fech!N29=0,0,SER_hh_fech!N29/SER_summary!N$26)</f>
        <v>18.705605789715719</v>
      </c>
      <c r="O29" s="131">
        <f>IF(SER_hh_fech!O29=0,0,SER_hh_fech!O29/SER_summary!O$26)</f>
        <v>18.578471030890121</v>
      </c>
      <c r="P29" s="131">
        <f>IF(SER_hh_fech!P29=0,0,SER_hh_fech!P29/SER_summary!P$26)</f>
        <v>18.574802413400924</v>
      </c>
      <c r="Q29" s="131">
        <f>IF(SER_hh_fech!Q29=0,0,SER_hh_fech!Q29/SER_summary!Q$26)</f>
        <v>18.669676264117854</v>
      </c>
      <c r="R29" s="131">
        <f>IF(SER_hh_fech!R29=0,0,SER_hh_fech!R29/SER_summary!R$26)</f>
        <v>18.512334434806011</v>
      </c>
      <c r="S29" s="131">
        <f>IF(SER_hh_fech!S29=0,0,SER_hh_fech!S29/SER_summary!S$26)</f>
        <v>18.717691914007919</v>
      </c>
      <c r="T29" s="131">
        <f>IF(SER_hh_fech!T29=0,0,SER_hh_fech!T29/SER_summary!T$26)</f>
        <v>18.853047247812963</v>
      </c>
      <c r="U29" s="131">
        <f>IF(SER_hh_fech!U29=0,0,SER_hh_fech!U29/SER_summary!U$26)</f>
        <v>19.208094502904054</v>
      </c>
      <c r="V29" s="131">
        <f>IF(SER_hh_fech!V29=0,0,SER_hh_fech!V29/SER_summary!V$26)</f>
        <v>16.908980864206153</v>
      </c>
      <c r="W29" s="131">
        <f>IF(SER_hh_fech!W29=0,0,SER_hh_fech!W29/SER_summary!W$26)</f>
        <v>16.756758944057886</v>
      </c>
      <c r="DA29" s="156" t="s">
        <v>501</v>
      </c>
    </row>
    <row r="30" spans="1:105" ht="12" customHeight="1" x14ac:dyDescent="0.25">
      <c r="A30" s="132" t="s">
        <v>52</v>
      </c>
      <c r="B30" s="133">
        <f>IF(SER_hh_fech!B30=0,0,SER_hh_fech!B30/SER_summary!B$26)</f>
        <v>0</v>
      </c>
      <c r="C30" s="133">
        <f>IF(SER_hh_fech!C30=0,0,SER_hh_fech!C30/SER_summary!C$26)</f>
        <v>0</v>
      </c>
      <c r="D30" s="133">
        <f>IF(SER_hh_fech!D30=0,0,SER_hh_fech!D30/SER_summary!D$26)</f>
        <v>0</v>
      </c>
      <c r="E30" s="133">
        <f>IF(SER_hh_fech!E30=0,0,SER_hh_fech!E30/SER_summary!E$26)</f>
        <v>0</v>
      </c>
      <c r="F30" s="133">
        <f>IF(SER_hh_fech!F30=0,0,SER_hh_fech!F30/SER_summary!F$26)</f>
        <v>0</v>
      </c>
      <c r="G30" s="133">
        <f>IF(SER_hh_fech!G30=0,0,SER_hh_fech!G30/SER_summary!G$26)</f>
        <v>0</v>
      </c>
      <c r="H30" s="133">
        <f>IF(SER_hh_fech!H30=0,0,SER_hh_fech!H30/SER_summary!H$26)</f>
        <v>30.608910323497327</v>
      </c>
      <c r="I30" s="133">
        <f>IF(SER_hh_fech!I30=0,0,SER_hh_fech!I30/SER_summary!I$26)</f>
        <v>23.405903250389887</v>
      </c>
      <c r="J30" s="133">
        <f>IF(SER_hh_fech!J30=0,0,SER_hh_fech!J30/SER_summary!J$26)</f>
        <v>24.423473948664359</v>
      </c>
      <c r="K30" s="133">
        <f>IF(SER_hh_fech!K30=0,0,SER_hh_fech!K30/SER_summary!K$26)</f>
        <v>20.651483408614766</v>
      </c>
      <c r="L30" s="133">
        <f>IF(SER_hh_fech!L30=0,0,SER_hh_fech!L30/SER_summary!L$26)</f>
        <v>19.076858640223083</v>
      </c>
      <c r="M30" s="133">
        <f>IF(SER_hh_fech!M30=0,0,SER_hh_fech!M30/SER_summary!M$26)</f>
        <v>22.866358306114105</v>
      </c>
      <c r="N30" s="133">
        <f>IF(SER_hh_fech!N30=0,0,SER_hh_fech!N30/SER_summary!N$26)</f>
        <v>23.608081423819449</v>
      </c>
      <c r="O30" s="133">
        <f>IF(SER_hh_fech!O30=0,0,SER_hh_fech!O30/SER_summary!O$26)</f>
        <v>21.954847377541554</v>
      </c>
      <c r="P30" s="133">
        <f>IF(SER_hh_fech!P30=0,0,SER_hh_fech!P30/SER_summary!P$26)</f>
        <v>19.211096826755689</v>
      </c>
      <c r="Q30" s="133">
        <f>IF(SER_hh_fech!Q30=0,0,SER_hh_fech!Q30/SER_summary!Q$26)</f>
        <v>21.949045028868902</v>
      </c>
      <c r="R30" s="133">
        <f>IF(SER_hh_fech!R30=0,0,SER_hh_fech!R30/SER_summary!R$26)</f>
        <v>19.560945532470967</v>
      </c>
      <c r="S30" s="133">
        <f>IF(SER_hh_fech!S30=0,0,SER_hh_fech!S30/SER_summary!S$26)</f>
        <v>22.561464914515145</v>
      </c>
      <c r="T30" s="133">
        <f>IF(SER_hh_fech!T30=0,0,SER_hh_fech!T30/SER_summary!T$26)</f>
        <v>23.434115378449704</v>
      </c>
      <c r="U30" s="133">
        <f>IF(SER_hh_fech!U30=0,0,SER_hh_fech!U30/SER_summary!U$26)</f>
        <v>29.699780608076836</v>
      </c>
      <c r="V30" s="133">
        <f>IF(SER_hh_fech!V30=0,0,SER_hh_fech!V30/SER_summary!V$26)</f>
        <v>20.790480944537688</v>
      </c>
      <c r="W30" s="133">
        <f>IF(SER_hh_fech!W30=0,0,SER_hh_fech!W30/SER_summary!W$26)</f>
        <v>18.266698141368842</v>
      </c>
      <c r="DA30" s="157" t="s">
        <v>502</v>
      </c>
    </row>
    <row r="31" spans="1:105" ht="12" customHeight="1" x14ac:dyDescent="0.25">
      <c r="A31" s="132" t="s">
        <v>153</v>
      </c>
      <c r="B31" s="133">
        <f>IF(SER_hh_fech!B31=0,0,SER_hh_fech!B31/SER_summary!B$26)</f>
        <v>0</v>
      </c>
      <c r="C31" s="133">
        <f>IF(SER_hh_fech!C31=0,0,SER_hh_fech!C31/SER_summary!C$26)</f>
        <v>0</v>
      </c>
      <c r="D31" s="133">
        <f>IF(SER_hh_fech!D31=0,0,SER_hh_fech!D31/SER_summary!D$26)</f>
        <v>0</v>
      </c>
      <c r="E31" s="133">
        <f>IF(SER_hh_fech!E31=0,0,SER_hh_fech!E31/SER_summary!E$26)</f>
        <v>0</v>
      </c>
      <c r="F31" s="133">
        <f>IF(SER_hh_fech!F31=0,0,SER_hh_fech!F31/SER_summary!F$26)</f>
        <v>0</v>
      </c>
      <c r="G31" s="133">
        <f>IF(SER_hh_fech!G31=0,0,SER_hh_fech!G31/SER_summary!G$26)</f>
        <v>0</v>
      </c>
      <c r="H31" s="133">
        <f>IF(SER_hh_fech!H31=0,0,SER_hh_fech!H31/SER_summary!H$26)</f>
        <v>0</v>
      </c>
      <c r="I31" s="133">
        <f>IF(SER_hh_fech!I31=0,0,SER_hh_fech!I31/SER_summary!I$26)</f>
        <v>0</v>
      </c>
      <c r="J31" s="133">
        <f>IF(SER_hh_fech!J31=0,0,SER_hh_fech!J31/SER_summary!J$26)</f>
        <v>0</v>
      </c>
      <c r="K31" s="133">
        <f>IF(SER_hh_fech!K31=0,0,SER_hh_fech!K31/SER_summary!K$26)</f>
        <v>0</v>
      </c>
      <c r="L31" s="133">
        <f>IF(SER_hh_fech!L31=0,0,SER_hh_fech!L31/SER_summary!L$26)</f>
        <v>0</v>
      </c>
      <c r="M31" s="133">
        <f>IF(SER_hh_fech!M31=0,0,SER_hh_fech!M31/SER_summary!M$26)</f>
        <v>0</v>
      </c>
      <c r="N31" s="133">
        <f>IF(SER_hh_fech!N31=0,0,SER_hh_fech!N31/SER_summary!N$26)</f>
        <v>0</v>
      </c>
      <c r="O31" s="133">
        <f>IF(SER_hh_fech!O31=0,0,SER_hh_fech!O31/SER_summary!O$26)</f>
        <v>0</v>
      </c>
      <c r="P31" s="133">
        <f>IF(SER_hh_fech!P31=0,0,SER_hh_fech!P31/SER_summary!P$26)</f>
        <v>0</v>
      </c>
      <c r="Q31" s="133">
        <f>IF(SER_hh_fech!Q31=0,0,SER_hh_fech!Q31/SER_summary!Q$26)</f>
        <v>0</v>
      </c>
      <c r="R31" s="133">
        <f>IF(SER_hh_fech!R31=0,0,SER_hh_fech!R31/SER_summary!R$26)</f>
        <v>0</v>
      </c>
      <c r="S31" s="133">
        <f>IF(SER_hh_fech!S31=0,0,SER_hh_fech!S31/SER_summary!S$26)</f>
        <v>0</v>
      </c>
      <c r="T31" s="133">
        <f>IF(SER_hh_fech!T31=0,0,SER_hh_fech!T31/SER_summary!T$26)</f>
        <v>0</v>
      </c>
      <c r="U31" s="133">
        <f>IF(SER_hh_fech!U31=0,0,SER_hh_fech!U31/SER_summary!U$26)</f>
        <v>0</v>
      </c>
      <c r="V31" s="133">
        <f>IF(SER_hh_fech!V31=0,0,SER_hh_fech!V31/SER_summary!V$26)</f>
        <v>0</v>
      </c>
      <c r="W31" s="133">
        <f>IF(SER_hh_fech!W31=0,0,SER_hh_fech!W31/SER_summary!W$26)</f>
        <v>0</v>
      </c>
      <c r="DA31" s="157" t="s">
        <v>503</v>
      </c>
    </row>
    <row r="32" spans="1:105" ht="12" customHeight="1" x14ac:dyDescent="0.25">
      <c r="A32" s="132" t="s">
        <v>128</v>
      </c>
      <c r="B32" s="133">
        <f>IF(SER_hh_fech!B32=0,0,SER_hh_fech!B32/SER_summary!B$26)</f>
        <v>22.396424685985835</v>
      </c>
      <c r="C32" s="133">
        <f>IF(SER_hh_fech!C32=0,0,SER_hh_fech!C32/SER_summary!C$26)</f>
        <v>20.313350000732981</v>
      </c>
      <c r="D32" s="133">
        <f>IF(SER_hh_fech!D32=0,0,SER_hh_fech!D32/SER_summary!D$26)</f>
        <v>24.052535234604012</v>
      </c>
      <c r="E32" s="133">
        <f>IF(SER_hh_fech!E32=0,0,SER_hh_fech!E32/SER_summary!E$26)</f>
        <v>21.385576563854848</v>
      </c>
      <c r="F32" s="133">
        <f>IF(SER_hh_fech!F32=0,0,SER_hh_fech!F32/SER_summary!F$26)</f>
        <v>22.325854226088904</v>
      </c>
      <c r="G32" s="133">
        <f>IF(SER_hh_fech!G32=0,0,SER_hh_fech!G32/SER_summary!G$26)</f>
        <v>23.937624293735833</v>
      </c>
      <c r="H32" s="133">
        <f>IF(SER_hh_fech!H32=0,0,SER_hh_fech!H32/SER_summary!H$26)</f>
        <v>21.200960189281322</v>
      </c>
      <c r="I32" s="133">
        <f>IF(SER_hh_fech!I32=0,0,SER_hh_fech!I32/SER_summary!I$26)</f>
        <v>25.672506811454724</v>
      </c>
      <c r="J32" s="133">
        <f>IF(SER_hh_fech!J32=0,0,SER_hh_fech!J32/SER_summary!J$26)</f>
        <v>24.296192372752106</v>
      </c>
      <c r="K32" s="133">
        <f>IF(SER_hh_fech!K32=0,0,SER_hh_fech!K32/SER_summary!K$26)</f>
        <v>23.310389786424714</v>
      </c>
      <c r="L32" s="133">
        <f>IF(SER_hh_fech!L32=0,0,SER_hh_fech!L32/SER_summary!L$26)</f>
        <v>23.238953513640123</v>
      </c>
      <c r="M32" s="133">
        <f>IF(SER_hh_fech!M32=0,0,SER_hh_fech!M32/SER_summary!M$26)</f>
        <v>23.193931552760578</v>
      </c>
      <c r="N32" s="133">
        <f>IF(SER_hh_fech!N32=0,0,SER_hh_fech!N32/SER_summary!N$26)</f>
        <v>23.209752875726938</v>
      </c>
      <c r="O32" s="133">
        <f>IF(SER_hh_fech!O32=0,0,SER_hh_fech!O32/SER_summary!O$26)</f>
        <v>23.314794692566352</v>
      </c>
      <c r="P32" s="133">
        <f>IF(SER_hh_fech!P32=0,0,SER_hh_fech!P32/SER_summary!P$26)</f>
        <v>23.509330476576309</v>
      </c>
      <c r="Q32" s="133">
        <f>IF(SER_hh_fech!Q32=0,0,SER_hh_fech!Q32/SER_summary!Q$26)</f>
        <v>23.061502481925501</v>
      </c>
      <c r="R32" s="133">
        <f>IF(SER_hh_fech!R32=0,0,SER_hh_fech!R32/SER_summary!R$26)</f>
        <v>23.0490231705143</v>
      </c>
      <c r="S32" s="133">
        <f>IF(SER_hh_fech!S32=0,0,SER_hh_fech!S32/SER_summary!S$26)</f>
        <v>22.595568224484779</v>
      </c>
      <c r="T32" s="133">
        <f>IF(SER_hh_fech!T32=0,0,SER_hh_fech!T32/SER_summary!T$26)</f>
        <v>21.548552353315941</v>
      </c>
      <c r="U32" s="133">
        <f>IF(SER_hh_fech!U32=0,0,SER_hh_fech!U32/SER_summary!U$26)</f>
        <v>24.657610704866769</v>
      </c>
      <c r="V32" s="133">
        <f>IF(SER_hh_fech!V32=0,0,SER_hh_fech!V32/SER_summary!V$26)</f>
        <v>23.27505993267043</v>
      </c>
      <c r="W32" s="133">
        <f>IF(SER_hh_fech!W32=0,0,SER_hh_fech!W32/SER_summary!W$26)</f>
        <v>15.584143563262295</v>
      </c>
      <c r="DA32" s="157" t="s">
        <v>504</v>
      </c>
    </row>
    <row r="33" spans="1:105" ht="12" customHeight="1" x14ac:dyDescent="0.25">
      <c r="A33" s="62" t="s">
        <v>24</v>
      </c>
      <c r="B33" s="68">
        <f>IF(SER_hh_fech!B33=0,0,SER_hh_fech!B33/SER_summary!B$26)</f>
        <v>16.61479843931896</v>
      </c>
      <c r="C33" s="68">
        <f>IF(SER_hh_fech!C33=0,0,SER_hh_fech!C33/SER_summary!C$26)</f>
        <v>16.594851407087837</v>
      </c>
      <c r="D33" s="68">
        <f>IF(SER_hh_fech!D33=0,0,SER_hh_fech!D33/SER_summary!D$26)</f>
        <v>16.43061980903714</v>
      </c>
      <c r="E33" s="68">
        <f>IF(SER_hh_fech!E33=0,0,SER_hh_fech!E33/SER_summary!E$26)</f>
        <v>16.731928069895133</v>
      </c>
      <c r="F33" s="68">
        <f>IF(SER_hh_fech!F33=0,0,SER_hh_fech!F33/SER_summary!F$26)</f>
        <v>16.980765973610499</v>
      </c>
      <c r="G33" s="68">
        <f>IF(SER_hh_fech!G33=0,0,SER_hh_fech!G33/SER_summary!G$26)</f>
        <v>17.042038137544303</v>
      </c>
      <c r="H33" s="68">
        <f>IF(SER_hh_fech!H33=0,0,SER_hh_fech!H33/SER_summary!H$26)</f>
        <v>16.181777088874103</v>
      </c>
      <c r="I33" s="68">
        <f>IF(SER_hh_fech!I33=0,0,SER_hh_fech!I33/SER_summary!I$26)</f>
        <v>16.611232950624334</v>
      </c>
      <c r="J33" s="68">
        <f>IF(SER_hh_fech!J33=0,0,SER_hh_fech!J33/SER_summary!J$26)</f>
        <v>16.779970761999117</v>
      </c>
      <c r="K33" s="68">
        <f>IF(SER_hh_fech!K33=0,0,SER_hh_fech!K33/SER_summary!K$26)</f>
        <v>17.491874058344731</v>
      </c>
      <c r="L33" s="68">
        <f>IF(SER_hh_fech!L33=0,0,SER_hh_fech!L33/SER_summary!L$26)</f>
        <v>17.376572412539677</v>
      </c>
      <c r="M33" s="68">
        <f>IF(SER_hh_fech!M33=0,0,SER_hh_fech!M33/SER_summary!M$26)</f>
        <v>16.582575511814071</v>
      </c>
      <c r="N33" s="68">
        <f>IF(SER_hh_fech!N33=0,0,SER_hh_fech!N33/SER_summary!N$26)</f>
        <v>16.508256212495727</v>
      </c>
      <c r="O33" s="68">
        <f>IF(SER_hh_fech!O33=0,0,SER_hh_fech!O33/SER_summary!O$26)</f>
        <v>16.770006899038687</v>
      </c>
      <c r="P33" s="68">
        <f>IF(SER_hh_fech!P33=0,0,SER_hh_fech!P33/SER_summary!P$26)</f>
        <v>17.472787295492274</v>
      </c>
      <c r="Q33" s="68">
        <f>IF(SER_hh_fech!Q33=0,0,SER_hh_fech!Q33/SER_summary!Q$26)</f>
        <v>16.872138009473236</v>
      </c>
      <c r="R33" s="68">
        <f>IF(SER_hh_fech!R33=0,0,SER_hh_fech!R33/SER_summary!R$26)</f>
        <v>17.274015205161952</v>
      </c>
      <c r="S33" s="68">
        <f>IF(SER_hh_fech!S33=0,0,SER_hh_fech!S33/SER_summary!S$26)</f>
        <v>16.287514735123068</v>
      </c>
      <c r="T33" s="68">
        <f>IF(SER_hh_fech!T33=0,0,SER_hh_fech!T33/SER_summary!T$26)</f>
        <v>16.301888859832474</v>
      </c>
      <c r="U33" s="68">
        <f>IF(SER_hh_fech!U33=0,0,SER_hh_fech!U33/SER_summary!U$26)</f>
        <v>13.571049988122807</v>
      </c>
      <c r="V33" s="68">
        <f>IF(SER_hh_fech!V33=0,0,SER_hh_fech!V33/SER_summary!V$26)</f>
        <v>13.660430075952137</v>
      </c>
      <c r="W33" s="68">
        <f>IF(SER_hh_fech!W33=0,0,SER_hh_fech!W33/SER_summary!W$26)</f>
        <v>16.436746320668409</v>
      </c>
      <c r="DA33" s="111" t="s">
        <v>505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506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91</v>
      </c>
      <c r="B3" s="126">
        <f>IF(SER_hh_tesh!B3=0,0,SER_hh_tesh!B3/SER_summary!B$26)</f>
        <v>60.163277800757101</v>
      </c>
      <c r="C3" s="126">
        <f>IF(SER_hh_tesh!C3=0,0,SER_hh_tesh!C3/SER_summary!C$26)</f>
        <v>65.699601343408887</v>
      </c>
      <c r="D3" s="126">
        <f>IF(SER_hh_tesh!D3=0,0,SER_hh_tesh!D3/SER_summary!D$26)</f>
        <v>73.038019560100437</v>
      </c>
      <c r="E3" s="126">
        <f>IF(SER_hh_tesh!E3=0,0,SER_hh_tesh!E3/SER_summary!E$26)</f>
        <v>79.875131059248858</v>
      </c>
      <c r="F3" s="126">
        <f>IF(SER_hh_tesh!F3=0,0,SER_hh_tesh!F3/SER_summary!F$26)</f>
        <v>79.310460400525031</v>
      </c>
      <c r="G3" s="126">
        <f>IF(SER_hh_tesh!G3=0,0,SER_hh_tesh!G3/SER_summary!G$26)</f>
        <v>81.955200479101791</v>
      </c>
      <c r="H3" s="126">
        <f>IF(SER_hh_tesh!H3=0,0,SER_hh_tesh!H3/SER_summary!H$26)</f>
        <v>98.692856801952814</v>
      </c>
      <c r="I3" s="126">
        <f>IF(SER_hh_tesh!I3=0,0,SER_hh_tesh!I3/SER_summary!I$26)</f>
        <v>107.29354428251916</v>
      </c>
      <c r="J3" s="126">
        <f>IF(SER_hh_tesh!J3=0,0,SER_hh_tesh!J3/SER_summary!J$26)</f>
        <v>116.5358944034276</v>
      </c>
      <c r="K3" s="126">
        <f>IF(SER_hh_tesh!K3=0,0,SER_hh_tesh!K3/SER_summary!K$26)</f>
        <v>117.62036360649724</v>
      </c>
      <c r="L3" s="126">
        <f>IF(SER_hh_tesh!L3=0,0,SER_hh_tesh!L3/SER_summary!L$26)</f>
        <v>124.79110945654803</v>
      </c>
      <c r="M3" s="126">
        <f>IF(SER_hh_tesh!M3=0,0,SER_hh_tesh!M3/SER_summary!M$26)</f>
        <v>118.53199860278335</v>
      </c>
      <c r="N3" s="126">
        <f>IF(SER_hh_tesh!N3=0,0,SER_hh_tesh!N3/SER_summary!N$26)</f>
        <v>122.99006502900696</v>
      </c>
      <c r="O3" s="126">
        <f>IF(SER_hh_tesh!O3=0,0,SER_hh_tesh!O3/SER_summary!O$26)</f>
        <v>119.20328364649976</v>
      </c>
      <c r="P3" s="126">
        <f>IF(SER_hh_tesh!P3=0,0,SER_hh_tesh!P3/SER_summary!P$26)</f>
        <v>117.44909238084918</v>
      </c>
      <c r="Q3" s="126">
        <f>IF(SER_hh_tesh!Q3=0,0,SER_hh_tesh!Q3/SER_summary!Q$26)</f>
        <v>125.88515988831224</v>
      </c>
      <c r="R3" s="126">
        <f>IF(SER_hh_tesh!R3=0,0,SER_hh_tesh!R3/SER_summary!R$26)</f>
        <v>138.12045118765371</v>
      </c>
      <c r="S3" s="126">
        <f>IF(SER_hh_tesh!S3=0,0,SER_hh_tesh!S3/SER_summary!S$26)</f>
        <v>140.50768103790227</v>
      </c>
      <c r="T3" s="126">
        <f>IF(SER_hh_tesh!T3=0,0,SER_hh_tesh!T3/SER_summary!T$26)</f>
        <v>159.55218360500777</v>
      </c>
      <c r="U3" s="126">
        <f>IF(SER_hh_tesh!U3=0,0,SER_hh_tesh!U3/SER_summary!U$26)</f>
        <v>155.98488533188626</v>
      </c>
      <c r="V3" s="126">
        <f>IF(SER_hh_tesh!V3=0,0,SER_hh_tesh!V3/SER_summary!V$26)</f>
        <v>144.09693093916394</v>
      </c>
      <c r="W3" s="126">
        <f>IF(SER_hh_tesh!W3=0,0,SER_hh_tesh!W3/SER_summary!W$26)</f>
        <v>146.89788297912085</v>
      </c>
      <c r="DA3" s="155" t="s">
        <v>507</v>
      </c>
    </row>
    <row r="4" spans="1:105" ht="12.95" customHeight="1" x14ac:dyDescent="0.25">
      <c r="A4" s="130" t="s">
        <v>32</v>
      </c>
      <c r="B4" s="131">
        <f>IF(SER_hh_tesh!B4=0,0,SER_hh_tesh!B4/SER_summary!B$26)</f>
        <v>11.259246285411043</v>
      </c>
      <c r="C4" s="131">
        <f>IF(SER_hh_tesh!C4=0,0,SER_hh_tesh!C4/SER_summary!C$26)</f>
        <v>14.888146373028793</v>
      </c>
      <c r="D4" s="131">
        <f>IF(SER_hh_tesh!D4=0,0,SER_hh_tesh!D4/SER_summary!D$26)</f>
        <v>18.093895733963802</v>
      </c>
      <c r="E4" s="131">
        <f>IF(SER_hh_tesh!E4=0,0,SER_hh_tesh!E4/SER_summary!E$26)</f>
        <v>18.578580533745054</v>
      </c>
      <c r="F4" s="131">
        <f>IF(SER_hh_tesh!F4=0,0,SER_hh_tesh!F4/SER_summary!F$26)</f>
        <v>19.981138116756334</v>
      </c>
      <c r="G4" s="131">
        <f>IF(SER_hh_tesh!G4=0,0,SER_hh_tesh!G4/SER_summary!G$26)</f>
        <v>22.140459376228616</v>
      </c>
      <c r="H4" s="131">
        <f>IF(SER_hh_tesh!H4=0,0,SER_hh_tesh!H4/SER_summary!H$26)</f>
        <v>31.193988237448117</v>
      </c>
      <c r="I4" s="131">
        <f>IF(SER_hh_tesh!I4=0,0,SER_hh_tesh!I4/SER_summary!I$26)</f>
        <v>32.285766149186372</v>
      </c>
      <c r="J4" s="131">
        <f>IF(SER_hh_tesh!J4=0,0,SER_hh_tesh!J4/SER_summary!J$26)</f>
        <v>37.741665208162559</v>
      </c>
      <c r="K4" s="131">
        <f>IF(SER_hh_tesh!K4=0,0,SER_hh_tesh!K4/SER_summary!K$26)</f>
        <v>38.897652418250772</v>
      </c>
      <c r="L4" s="131">
        <f>IF(SER_hh_tesh!L4=0,0,SER_hh_tesh!L4/SER_summary!L$26)</f>
        <v>41.437861619916653</v>
      </c>
      <c r="M4" s="131">
        <f>IF(SER_hh_tesh!M4=0,0,SER_hh_tesh!M4/SER_summary!M$26)</f>
        <v>40.758937215342648</v>
      </c>
      <c r="N4" s="131">
        <f>IF(SER_hh_tesh!N4=0,0,SER_hh_tesh!N4/SER_summary!N$26)</f>
        <v>33.315904120745465</v>
      </c>
      <c r="O4" s="131">
        <f>IF(SER_hh_tesh!O4=0,0,SER_hh_tesh!O4/SER_summary!O$26)</f>
        <v>38.471201085687966</v>
      </c>
      <c r="P4" s="131">
        <f>IF(SER_hh_tesh!P4=0,0,SER_hh_tesh!P4/SER_summary!P$26)</f>
        <v>41.644889545766837</v>
      </c>
      <c r="Q4" s="131">
        <f>IF(SER_hh_tesh!Q4=0,0,SER_hh_tesh!Q4/SER_summary!Q$26)</f>
        <v>44.965648405691873</v>
      </c>
      <c r="R4" s="131">
        <f>IF(SER_hh_tesh!R4=0,0,SER_hh_tesh!R4/SER_summary!R$26)</f>
        <v>48.611846351737171</v>
      </c>
      <c r="S4" s="131">
        <f>IF(SER_hh_tesh!S4=0,0,SER_hh_tesh!S4/SER_summary!S$26)</f>
        <v>53.56964262712652</v>
      </c>
      <c r="T4" s="131">
        <f>IF(SER_hh_tesh!T4=0,0,SER_hh_tesh!T4/SER_summary!T$26)</f>
        <v>53.987389874323945</v>
      </c>
      <c r="U4" s="131">
        <f>IF(SER_hh_tesh!U4=0,0,SER_hh_tesh!U4/SER_summary!U$26)</f>
        <v>60.366204412489083</v>
      </c>
      <c r="V4" s="131">
        <f>IF(SER_hh_tesh!V4=0,0,SER_hh_tesh!V4/SER_summary!V$26)</f>
        <v>45.755851328456558</v>
      </c>
      <c r="W4" s="131">
        <f>IF(SER_hh_tesh!W4=0,0,SER_hh_tesh!W4/SER_summary!W$26)</f>
        <v>53.997404461659258</v>
      </c>
      <c r="DA4" s="156" t="s">
        <v>508</v>
      </c>
    </row>
    <row r="5" spans="1:105" ht="12" customHeight="1" x14ac:dyDescent="0.25">
      <c r="A5" s="132" t="s">
        <v>29</v>
      </c>
      <c r="B5" s="133">
        <f>IF(SER_hh_tesh!B5=0,0,SER_hh_tesh!B5/SER_summary!B$26)</f>
        <v>0</v>
      </c>
      <c r="C5" s="133">
        <f>IF(SER_hh_tesh!C5=0,0,SER_hh_tesh!C5/SER_summary!C$26)</f>
        <v>0</v>
      </c>
      <c r="D5" s="133">
        <f>IF(SER_hh_tesh!D5=0,0,SER_hh_tesh!D5/SER_summary!D$26)</f>
        <v>0</v>
      </c>
      <c r="E5" s="133">
        <f>IF(SER_hh_tesh!E5=0,0,SER_hh_tesh!E5/SER_summary!E$26)</f>
        <v>0</v>
      </c>
      <c r="F5" s="133">
        <f>IF(SER_hh_tesh!F5=0,0,SER_hh_tesh!F5/SER_summary!F$26)</f>
        <v>0</v>
      </c>
      <c r="G5" s="133">
        <f>IF(SER_hh_tesh!G5=0,0,SER_hh_tesh!G5/SER_summary!G$26)</f>
        <v>0</v>
      </c>
      <c r="H5" s="133">
        <f>IF(SER_hh_tesh!H5=0,0,SER_hh_tesh!H5/SER_summary!H$26)</f>
        <v>0</v>
      </c>
      <c r="I5" s="133">
        <f>IF(SER_hh_tesh!I5=0,0,SER_hh_tesh!I5/SER_summary!I$26)</f>
        <v>0</v>
      </c>
      <c r="J5" s="133">
        <f>IF(SER_hh_tesh!J5=0,0,SER_hh_tesh!J5/SER_summary!J$26)</f>
        <v>0</v>
      </c>
      <c r="K5" s="133">
        <f>IF(SER_hh_tesh!K5=0,0,SER_hh_tesh!K5/SER_summary!K$26)</f>
        <v>0</v>
      </c>
      <c r="L5" s="133">
        <f>IF(SER_hh_tesh!L5=0,0,SER_hh_tesh!L5/SER_summary!L$26)</f>
        <v>0</v>
      </c>
      <c r="M5" s="133">
        <f>IF(SER_hh_tesh!M5=0,0,SER_hh_tesh!M5/SER_summary!M$26)</f>
        <v>0</v>
      </c>
      <c r="N5" s="133">
        <f>IF(SER_hh_tesh!N5=0,0,SER_hh_tesh!N5/SER_summary!N$26)</f>
        <v>0</v>
      </c>
      <c r="O5" s="133">
        <f>IF(SER_hh_tesh!O5=0,0,SER_hh_tesh!O5/SER_summary!O$26)</f>
        <v>0</v>
      </c>
      <c r="P5" s="133">
        <f>IF(SER_hh_tesh!P5=0,0,SER_hh_tesh!P5/SER_summary!P$26)</f>
        <v>0</v>
      </c>
      <c r="Q5" s="133">
        <f>IF(SER_hh_tesh!Q5=0,0,SER_hh_tesh!Q5/SER_summary!Q$26)</f>
        <v>0</v>
      </c>
      <c r="R5" s="133">
        <f>IF(SER_hh_tesh!R5=0,0,SER_hh_tesh!R5/SER_summary!R$26)</f>
        <v>0</v>
      </c>
      <c r="S5" s="133">
        <f>IF(SER_hh_tesh!S5=0,0,SER_hh_tesh!S5/SER_summary!S$26)</f>
        <v>0</v>
      </c>
      <c r="T5" s="133">
        <f>IF(SER_hh_tesh!T5=0,0,SER_hh_tesh!T5/SER_summary!T$26)</f>
        <v>0</v>
      </c>
      <c r="U5" s="133">
        <f>IF(SER_hh_tesh!U5=0,0,SER_hh_tesh!U5/SER_summary!U$26)</f>
        <v>0</v>
      </c>
      <c r="V5" s="133">
        <f>IF(SER_hh_tesh!V5=0,0,SER_hh_tesh!V5/SER_summary!V$26)</f>
        <v>0</v>
      </c>
      <c r="W5" s="133">
        <f>IF(SER_hh_tesh!W5=0,0,SER_hh_tesh!W5/SER_summary!W$26)</f>
        <v>0</v>
      </c>
      <c r="DA5" s="157" t="s">
        <v>509</v>
      </c>
    </row>
    <row r="6" spans="1:105" ht="12" customHeight="1" x14ac:dyDescent="0.25">
      <c r="A6" s="132" t="s">
        <v>52</v>
      </c>
      <c r="B6" s="133">
        <f>IF(SER_hh_tesh!B6=0,0,SER_hh_tesh!B6/SER_summary!B$26)</f>
        <v>0</v>
      </c>
      <c r="C6" s="133">
        <f>IF(SER_hh_tesh!C6=0,0,SER_hh_tesh!C6/SER_summary!C$26)</f>
        <v>0</v>
      </c>
      <c r="D6" s="133">
        <f>IF(SER_hh_tesh!D6=0,0,SER_hh_tesh!D6/SER_summary!D$26)</f>
        <v>0</v>
      </c>
      <c r="E6" s="133">
        <f>IF(SER_hh_tesh!E6=0,0,SER_hh_tesh!E6/SER_summary!E$26)</f>
        <v>0</v>
      </c>
      <c r="F6" s="133">
        <f>IF(SER_hh_tesh!F6=0,0,SER_hh_tesh!F6/SER_summary!F$26)</f>
        <v>0</v>
      </c>
      <c r="G6" s="133">
        <f>IF(SER_hh_tesh!G6=0,0,SER_hh_tesh!G6/SER_summary!G$26)</f>
        <v>0</v>
      </c>
      <c r="H6" s="133">
        <f>IF(SER_hh_tesh!H6=0,0,SER_hh_tesh!H6/SER_summary!H$26)</f>
        <v>0</v>
      </c>
      <c r="I6" s="133">
        <f>IF(SER_hh_tesh!I6=0,0,SER_hh_tesh!I6/SER_summary!I$26)</f>
        <v>0</v>
      </c>
      <c r="J6" s="133">
        <f>IF(SER_hh_tesh!J6=0,0,SER_hh_tesh!J6/SER_summary!J$26)</f>
        <v>0</v>
      </c>
      <c r="K6" s="133">
        <f>IF(SER_hh_tesh!K6=0,0,SER_hh_tesh!K6/SER_summary!K$26)</f>
        <v>0</v>
      </c>
      <c r="L6" s="133">
        <f>IF(SER_hh_tesh!L6=0,0,SER_hh_tesh!L6/SER_summary!L$26)</f>
        <v>0</v>
      </c>
      <c r="M6" s="133">
        <f>IF(SER_hh_tesh!M6=0,0,SER_hh_tesh!M6/SER_summary!M$26)</f>
        <v>0</v>
      </c>
      <c r="N6" s="133">
        <f>IF(SER_hh_tesh!N6=0,0,SER_hh_tesh!N6/SER_summary!N$26)</f>
        <v>0</v>
      </c>
      <c r="O6" s="133">
        <f>IF(SER_hh_tesh!O6=0,0,SER_hh_tesh!O6/SER_summary!O$26)</f>
        <v>0</v>
      </c>
      <c r="P6" s="133">
        <f>IF(SER_hh_tesh!P6=0,0,SER_hh_tesh!P6/SER_summary!P$26)</f>
        <v>0</v>
      </c>
      <c r="Q6" s="133">
        <f>IF(SER_hh_tesh!Q6=0,0,SER_hh_tesh!Q6/SER_summary!Q$26)</f>
        <v>0</v>
      </c>
      <c r="R6" s="133">
        <f>IF(SER_hh_tesh!R6=0,0,SER_hh_tesh!R6/SER_summary!R$26)</f>
        <v>0</v>
      </c>
      <c r="S6" s="133">
        <f>IF(SER_hh_tesh!S6=0,0,SER_hh_tesh!S6/SER_summary!S$26)</f>
        <v>0</v>
      </c>
      <c r="T6" s="133">
        <f>IF(SER_hh_tesh!T6=0,0,SER_hh_tesh!T6/SER_summary!T$26)</f>
        <v>0</v>
      </c>
      <c r="U6" s="133">
        <f>IF(SER_hh_tesh!U6=0,0,SER_hh_tesh!U6/SER_summary!U$26)</f>
        <v>0</v>
      </c>
      <c r="V6" s="133">
        <f>IF(SER_hh_tesh!V6=0,0,SER_hh_tesh!V6/SER_summary!V$26)</f>
        <v>0</v>
      </c>
      <c r="W6" s="133">
        <f>IF(SER_hh_tesh!W6=0,0,SER_hh_tesh!W6/SER_summary!W$26)</f>
        <v>0</v>
      </c>
      <c r="DA6" s="157" t="s">
        <v>510</v>
      </c>
    </row>
    <row r="7" spans="1:105" ht="12" customHeight="1" x14ac:dyDescent="0.25">
      <c r="A7" s="132" t="s">
        <v>168</v>
      </c>
      <c r="B7" s="133">
        <f>IF(SER_hh_tesh!B7=0,0,SER_hh_tesh!B7/SER_summary!B$26)</f>
        <v>12.107288838586548</v>
      </c>
      <c r="C7" s="133">
        <f>IF(SER_hh_tesh!C7=0,0,SER_hh_tesh!C7/SER_summary!C$26)</f>
        <v>14.225342773450441</v>
      </c>
      <c r="D7" s="133">
        <f>IF(SER_hh_tesh!D7=0,0,SER_hh_tesh!D7/SER_summary!D$26)</f>
        <v>16.077337187124272</v>
      </c>
      <c r="E7" s="133">
        <f>IF(SER_hh_tesh!E7=0,0,SER_hh_tesh!E7/SER_summary!E$26)</f>
        <v>18.90054206670553</v>
      </c>
      <c r="F7" s="133">
        <f>IF(SER_hh_tesh!F7=0,0,SER_hh_tesh!F7/SER_summary!F$26)</f>
        <v>19.547899702620541</v>
      </c>
      <c r="G7" s="133">
        <f>IF(SER_hh_tesh!G7=0,0,SER_hh_tesh!G7/SER_summary!G$26)</f>
        <v>21.400236659086705</v>
      </c>
      <c r="H7" s="133">
        <f>IF(SER_hh_tesh!H7=0,0,SER_hh_tesh!H7/SER_summary!H$26)</f>
        <v>27.645792844399274</v>
      </c>
      <c r="I7" s="133">
        <f>IF(SER_hh_tesh!I7=0,0,SER_hh_tesh!I7/SER_summary!I$26)</f>
        <v>30.23580585883434</v>
      </c>
      <c r="J7" s="133">
        <f>IF(SER_hh_tesh!J7=0,0,SER_hh_tesh!J7/SER_summary!J$26)</f>
        <v>41.542176592315911</v>
      </c>
      <c r="K7" s="133">
        <f>IF(SER_hh_tesh!K7=0,0,SER_hh_tesh!K7/SER_summary!K$26)</f>
        <v>34.184298643478229</v>
      </c>
      <c r="L7" s="133">
        <f>IF(SER_hh_tesh!L7=0,0,SER_hh_tesh!L7/SER_summary!L$26)</f>
        <v>40.1836180791137</v>
      </c>
      <c r="M7" s="133">
        <f>IF(SER_hh_tesh!M7=0,0,SER_hh_tesh!M7/SER_summary!M$26)</f>
        <v>39.669148195264313</v>
      </c>
      <c r="N7" s="133">
        <f>IF(SER_hh_tesh!N7=0,0,SER_hh_tesh!N7/SER_summary!N$26)</f>
        <v>34.481084635492927</v>
      </c>
      <c r="O7" s="133">
        <f>IF(SER_hh_tesh!O7=0,0,SER_hh_tesh!O7/SER_summary!O$26)</f>
        <v>40.234513467909387</v>
      </c>
      <c r="P7" s="133">
        <f>IF(SER_hh_tesh!P7=0,0,SER_hh_tesh!P7/SER_summary!P$26)</f>
        <v>42.548904030552997</v>
      </c>
      <c r="Q7" s="133">
        <f>IF(SER_hh_tesh!Q7=0,0,SER_hh_tesh!Q7/SER_summary!Q$26)</f>
        <v>41.386096814763448</v>
      </c>
      <c r="R7" s="133">
        <f>IF(SER_hh_tesh!R7=0,0,SER_hh_tesh!R7/SER_summary!R$26)</f>
        <v>43.963637144240913</v>
      </c>
      <c r="S7" s="133">
        <f>IF(SER_hh_tesh!S7=0,0,SER_hh_tesh!S7/SER_summary!S$26)</f>
        <v>53.636375432045327</v>
      </c>
      <c r="T7" s="133">
        <f>IF(SER_hh_tesh!T7=0,0,SER_hh_tesh!T7/SER_summary!T$26)</f>
        <v>49.695930834776995</v>
      </c>
      <c r="U7" s="133">
        <f>IF(SER_hh_tesh!U7=0,0,SER_hh_tesh!U7/SER_summary!U$26)</f>
        <v>59.910066222943378</v>
      </c>
      <c r="V7" s="133">
        <f>IF(SER_hh_tesh!V7=0,0,SER_hh_tesh!V7/SER_summary!V$26)</f>
        <v>46.440563326585711</v>
      </c>
      <c r="W7" s="133">
        <f>IF(SER_hh_tesh!W7=0,0,SER_hh_tesh!W7/SER_summary!W$26)</f>
        <v>52.499357898973969</v>
      </c>
      <c r="DA7" s="157" t="s">
        <v>511</v>
      </c>
    </row>
    <row r="8" spans="1:105" ht="12" customHeight="1" x14ac:dyDescent="0.25">
      <c r="A8" s="132" t="s">
        <v>73</v>
      </c>
      <c r="B8" s="133">
        <f>IF(SER_hh_tesh!B8=0,0,SER_hh_tesh!B8/SER_summary!B$26)</f>
        <v>0</v>
      </c>
      <c r="C8" s="133">
        <f>IF(SER_hh_tesh!C8=0,0,SER_hh_tesh!C8/SER_summary!C$26)</f>
        <v>0</v>
      </c>
      <c r="D8" s="133">
        <f>IF(SER_hh_tesh!D8=0,0,SER_hh_tesh!D8/SER_summary!D$26)</f>
        <v>0</v>
      </c>
      <c r="E8" s="133">
        <f>IF(SER_hh_tesh!E8=0,0,SER_hh_tesh!E8/SER_summary!E$26)</f>
        <v>0</v>
      </c>
      <c r="F8" s="133">
        <f>IF(SER_hh_tesh!F8=0,0,SER_hh_tesh!F8/SER_summary!F$26)</f>
        <v>0</v>
      </c>
      <c r="G8" s="133">
        <f>IF(SER_hh_tesh!G8=0,0,SER_hh_tesh!G8/SER_summary!G$26)</f>
        <v>0</v>
      </c>
      <c r="H8" s="133">
        <f>IF(SER_hh_tesh!H8=0,0,SER_hh_tesh!H8/SER_summary!H$26)</f>
        <v>0</v>
      </c>
      <c r="I8" s="133">
        <f>IF(SER_hh_tesh!I8=0,0,SER_hh_tesh!I8/SER_summary!I$26)</f>
        <v>0</v>
      </c>
      <c r="J8" s="133">
        <f>IF(SER_hh_tesh!J8=0,0,SER_hh_tesh!J8/SER_summary!J$26)</f>
        <v>0</v>
      </c>
      <c r="K8" s="133">
        <f>IF(SER_hh_tesh!K8=0,0,SER_hh_tesh!K8/SER_summary!K$26)</f>
        <v>0</v>
      </c>
      <c r="L8" s="133">
        <f>IF(SER_hh_tesh!L8=0,0,SER_hh_tesh!L8/SER_summary!L$26)</f>
        <v>0</v>
      </c>
      <c r="M8" s="133">
        <f>IF(SER_hh_tesh!M8=0,0,SER_hh_tesh!M8/SER_summary!M$26)</f>
        <v>0</v>
      </c>
      <c r="N8" s="133">
        <f>IF(SER_hh_tesh!N8=0,0,SER_hh_tesh!N8/SER_summary!N$26)</f>
        <v>0</v>
      </c>
      <c r="O8" s="133">
        <f>IF(SER_hh_tesh!O8=0,0,SER_hh_tesh!O8/SER_summary!O$26)</f>
        <v>0</v>
      </c>
      <c r="P8" s="133">
        <f>IF(SER_hh_tesh!P8=0,0,SER_hh_tesh!P8/SER_summary!P$26)</f>
        <v>0</v>
      </c>
      <c r="Q8" s="133">
        <f>IF(SER_hh_tesh!Q8=0,0,SER_hh_tesh!Q8/SER_summary!Q$26)</f>
        <v>0</v>
      </c>
      <c r="R8" s="133">
        <f>IF(SER_hh_tesh!R8=0,0,SER_hh_tesh!R8/SER_summary!R$26)</f>
        <v>0</v>
      </c>
      <c r="S8" s="133">
        <f>IF(SER_hh_tesh!S8=0,0,SER_hh_tesh!S8/SER_summary!S$26)</f>
        <v>0</v>
      </c>
      <c r="T8" s="133">
        <f>IF(SER_hh_tesh!T8=0,0,SER_hh_tesh!T8/SER_summary!T$26)</f>
        <v>0</v>
      </c>
      <c r="U8" s="133">
        <f>IF(SER_hh_tesh!U8=0,0,SER_hh_tesh!U8/SER_summary!U$26)</f>
        <v>0</v>
      </c>
      <c r="V8" s="133">
        <f>IF(SER_hh_tesh!V8=0,0,SER_hh_tesh!V8/SER_summary!V$26)</f>
        <v>0</v>
      </c>
      <c r="W8" s="133">
        <f>IF(SER_hh_tesh!W8=0,0,SER_hh_tesh!W8/SER_summary!W$26)</f>
        <v>0</v>
      </c>
      <c r="DA8" s="157" t="s">
        <v>512</v>
      </c>
    </row>
    <row r="9" spans="1:105" ht="12" customHeight="1" x14ac:dyDescent="0.25">
      <c r="A9" s="132" t="s">
        <v>78</v>
      </c>
      <c r="B9" s="133">
        <f>IF(SER_hh_tesh!B9=0,0,SER_hh_tesh!B9/SER_summary!B$26)</f>
        <v>0</v>
      </c>
      <c r="C9" s="133">
        <f>IF(SER_hh_tesh!C9=0,0,SER_hh_tesh!C9/SER_summary!C$26)</f>
        <v>0</v>
      </c>
      <c r="D9" s="133">
        <f>IF(SER_hh_tesh!D9=0,0,SER_hh_tesh!D9/SER_summary!D$26)</f>
        <v>0</v>
      </c>
      <c r="E9" s="133">
        <f>IF(SER_hh_tesh!E9=0,0,SER_hh_tesh!E9/SER_summary!E$26)</f>
        <v>0</v>
      </c>
      <c r="F9" s="133">
        <f>IF(SER_hh_tesh!F9=0,0,SER_hh_tesh!F9/SER_summary!F$26)</f>
        <v>0</v>
      </c>
      <c r="G9" s="133">
        <f>IF(SER_hh_tesh!G9=0,0,SER_hh_tesh!G9/SER_summary!G$26)</f>
        <v>0</v>
      </c>
      <c r="H9" s="133">
        <f>IF(SER_hh_tesh!H9=0,0,SER_hh_tesh!H9/SER_summary!H$26)</f>
        <v>0</v>
      </c>
      <c r="I9" s="133">
        <f>IF(SER_hh_tesh!I9=0,0,SER_hh_tesh!I9/SER_summary!I$26)</f>
        <v>0</v>
      </c>
      <c r="J9" s="133">
        <f>IF(SER_hh_tesh!J9=0,0,SER_hh_tesh!J9/SER_summary!J$26)</f>
        <v>0</v>
      </c>
      <c r="K9" s="133">
        <f>IF(SER_hh_tesh!K9=0,0,SER_hh_tesh!K9/SER_summary!K$26)</f>
        <v>54.56408621218678</v>
      </c>
      <c r="L9" s="133">
        <f>IF(SER_hh_tesh!L9=0,0,SER_hh_tesh!L9/SER_summary!L$26)</f>
        <v>45.473149801100142</v>
      </c>
      <c r="M9" s="133">
        <f>IF(SER_hh_tesh!M9=0,0,SER_hh_tesh!M9/SER_summary!M$26)</f>
        <v>37.476643979623084</v>
      </c>
      <c r="N9" s="133">
        <f>IF(SER_hh_tesh!N9=0,0,SER_hh_tesh!N9/SER_summary!N$26)</f>
        <v>35.967199810955357</v>
      </c>
      <c r="O9" s="133">
        <f>IF(SER_hh_tesh!O9=0,0,SER_hh_tesh!O9/SER_summary!O$26)</f>
        <v>37.100910418667773</v>
      </c>
      <c r="P9" s="133">
        <f>IF(SER_hh_tesh!P9=0,0,SER_hh_tesh!P9/SER_summary!P$26)</f>
        <v>40.379739109065248</v>
      </c>
      <c r="Q9" s="133">
        <f>IF(SER_hh_tesh!Q9=0,0,SER_hh_tesh!Q9/SER_summary!Q$26)</f>
        <v>40.387186770070372</v>
      </c>
      <c r="R9" s="133">
        <f>IF(SER_hh_tesh!R9=0,0,SER_hh_tesh!R9/SER_summary!R$26)</f>
        <v>43.501577019121143</v>
      </c>
      <c r="S9" s="133">
        <f>IF(SER_hh_tesh!S9=0,0,SER_hh_tesh!S9/SER_summary!S$26)</f>
        <v>34.812221439703144</v>
      </c>
      <c r="T9" s="133">
        <f>IF(SER_hh_tesh!T9=0,0,SER_hh_tesh!T9/SER_summary!T$26)</f>
        <v>71.818725252128473</v>
      </c>
      <c r="U9" s="133">
        <f>IF(SER_hh_tesh!U9=0,0,SER_hh_tesh!U9/SER_summary!U$26)</f>
        <v>81.568871123141207</v>
      </c>
      <c r="V9" s="133">
        <f>IF(SER_hh_tesh!V9=0,0,SER_hh_tesh!V9/SER_summary!V$26)</f>
        <v>30.858299167365008</v>
      </c>
      <c r="W9" s="133">
        <f>IF(SER_hh_tesh!W9=0,0,SER_hh_tesh!W9/SER_summary!W$26)</f>
        <v>36.453633616245455</v>
      </c>
      <c r="DA9" s="157" t="s">
        <v>513</v>
      </c>
    </row>
    <row r="10" spans="1:105" ht="12" customHeight="1" x14ac:dyDescent="0.25">
      <c r="A10" s="132" t="s">
        <v>128</v>
      </c>
      <c r="B10" s="133">
        <f>IF(SER_hh_tesh!B10=0,0,SER_hh_tesh!B10/SER_summary!B$26)</f>
        <v>0</v>
      </c>
      <c r="C10" s="133">
        <f>IF(SER_hh_tesh!C10=0,0,SER_hh_tesh!C10/SER_summary!C$26)</f>
        <v>0</v>
      </c>
      <c r="D10" s="133">
        <f>IF(SER_hh_tesh!D10=0,0,SER_hh_tesh!D10/SER_summary!D$26)</f>
        <v>0</v>
      </c>
      <c r="E10" s="133">
        <f>IF(SER_hh_tesh!E10=0,0,SER_hh_tesh!E10/SER_summary!E$26)</f>
        <v>0</v>
      </c>
      <c r="F10" s="133">
        <f>IF(SER_hh_tesh!F10=0,0,SER_hh_tesh!F10/SER_summary!F$26)</f>
        <v>0</v>
      </c>
      <c r="G10" s="133">
        <f>IF(SER_hh_tesh!G10=0,0,SER_hh_tesh!G10/SER_summary!G$26)</f>
        <v>0</v>
      </c>
      <c r="H10" s="133">
        <f>IF(SER_hh_tesh!H10=0,0,SER_hh_tesh!H10/SER_summary!H$26)</f>
        <v>0</v>
      </c>
      <c r="I10" s="133">
        <f>IF(SER_hh_tesh!I10=0,0,SER_hh_tesh!I10/SER_summary!I$26)</f>
        <v>21.069990324779287</v>
      </c>
      <c r="J10" s="133">
        <f>IF(SER_hh_tesh!J10=0,0,SER_hh_tesh!J10/SER_summary!J$26)</f>
        <v>55.823981310475304</v>
      </c>
      <c r="K10" s="133">
        <f>IF(SER_hh_tesh!K10=0,0,SER_hh_tesh!K10/SER_summary!K$26)</f>
        <v>65.269772499934149</v>
      </c>
      <c r="L10" s="133">
        <f>IF(SER_hh_tesh!L10=0,0,SER_hh_tesh!L10/SER_summary!L$26)</f>
        <v>18.954023812726117</v>
      </c>
      <c r="M10" s="133">
        <f>IF(SER_hh_tesh!M10=0,0,SER_hh_tesh!M10/SER_summary!M$26)</f>
        <v>32.742411970202618</v>
      </c>
      <c r="N10" s="133">
        <f>IF(SER_hh_tesh!N10=0,0,SER_hh_tesh!N10/SER_summary!N$26)</f>
        <v>42.999821049804602</v>
      </c>
      <c r="O10" s="133">
        <f>IF(SER_hh_tesh!O10=0,0,SER_hh_tesh!O10/SER_summary!O$26)</f>
        <v>34.04321663918013</v>
      </c>
      <c r="P10" s="133">
        <f>IF(SER_hh_tesh!P10=0,0,SER_hh_tesh!P10/SER_summary!P$26)</f>
        <v>27.793373214477167</v>
      </c>
      <c r="Q10" s="133">
        <f>IF(SER_hh_tesh!Q10=0,0,SER_hh_tesh!Q10/SER_summary!Q$26)</f>
        <v>60.009590090137955</v>
      </c>
      <c r="R10" s="133">
        <f>IF(SER_hh_tesh!R10=0,0,SER_hh_tesh!R10/SER_summary!R$26)</f>
        <v>45.631897235136933</v>
      </c>
      <c r="S10" s="133">
        <f>IF(SER_hh_tesh!S10=0,0,SER_hh_tesh!S10/SER_summary!S$26)</f>
        <v>65.821356701686142</v>
      </c>
      <c r="T10" s="133">
        <f>IF(SER_hh_tesh!T10=0,0,SER_hh_tesh!T10/SER_summary!T$26)</f>
        <v>49.574605637548999</v>
      </c>
      <c r="U10" s="133">
        <f>IF(SER_hh_tesh!U10=0,0,SER_hh_tesh!U10/SER_summary!U$26)</f>
        <v>35.455943973819309</v>
      </c>
      <c r="V10" s="133">
        <f>IF(SER_hh_tesh!V10=0,0,SER_hh_tesh!V10/SER_summary!V$26)</f>
        <v>31.930728738314812</v>
      </c>
      <c r="W10" s="133">
        <f>IF(SER_hh_tesh!W10=0,0,SER_hh_tesh!W10/SER_summary!W$26)</f>
        <v>99.129622035560786</v>
      </c>
      <c r="DA10" s="157" t="s">
        <v>514</v>
      </c>
    </row>
    <row r="11" spans="1:105" ht="12" customHeight="1" x14ac:dyDescent="0.25">
      <c r="A11" s="132" t="s">
        <v>25</v>
      </c>
      <c r="B11" s="133">
        <f>IF(SER_hh_tesh!B11=0,0,SER_hh_tesh!B11/SER_summary!B$26)</f>
        <v>0</v>
      </c>
      <c r="C11" s="133">
        <f>IF(SER_hh_tesh!C11=0,0,SER_hh_tesh!C11/SER_summary!C$26)</f>
        <v>0</v>
      </c>
      <c r="D11" s="133">
        <f>IF(SER_hh_tesh!D11=0,0,SER_hh_tesh!D11/SER_summary!D$26)</f>
        <v>0</v>
      </c>
      <c r="E11" s="133">
        <f>IF(SER_hh_tesh!E11=0,0,SER_hh_tesh!E11/SER_summary!E$26)</f>
        <v>0</v>
      </c>
      <c r="F11" s="133">
        <f>IF(SER_hh_tesh!F11=0,0,SER_hh_tesh!F11/SER_summary!F$26)</f>
        <v>0</v>
      </c>
      <c r="G11" s="133">
        <f>IF(SER_hh_tesh!G11=0,0,SER_hh_tesh!G11/SER_summary!G$26)</f>
        <v>0</v>
      </c>
      <c r="H11" s="133">
        <f>IF(SER_hh_tesh!H11=0,0,SER_hh_tesh!H11/SER_summary!H$26)</f>
        <v>0</v>
      </c>
      <c r="I11" s="133">
        <f>IF(SER_hh_tesh!I11=0,0,SER_hh_tesh!I11/SER_summary!I$26)</f>
        <v>0</v>
      </c>
      <c r="J11" s="133">
        <f>IF(SER_hh_tesh!J11=0,0,SER_hh_tesh!J11/SER_summary!J$26)</f>
        <v>0</v>
      </c>
      <c r="K11" s="133">
        <f>IF(SER_hh_tesh!K11=0,0,SER_hh_tesh!K11/SER_summary!K$26)</f>
        <v>0</v>
      </c>
      <c r="L11" s="133">
        <f>IF(SER_hh_tesh!L11=0,0,SER_hh_tesh!L11/SER_summary!L$26)</f>
        <v>0</v>
      </c>
      <c r="M11" s="133">
        <f>IF(SER_hh_tesh!M11=0,0,SER_hh_tesh!M11/SER_summary!M$26)</f>
        <v>0</v>
      </c>
      <c r="N11" s="133">
        <f>IF(SER_hh_tesh!N11=0,0,SER_hh_tesh!N11/SER_summary!N$26)</f>
        <v>0</v>
      </c>
      <c r="O11" s="133">
        <f>IF(SER_hh_tesh!O11=0,0,SER_hh_tesh!O11/SER_summary!O$26)</f>
        <v>0</v>
      </c>
      <c r="P11" s="133">
        <f>IF(SER_hh_tesh!P11=0,0,SER_hh_tesh!P11/SER_summary!P$26)</f>
        <v>0</v>
      </c>
      <c r="Q11" s="133">
        <f>IF(SER_hh_tesh!Q11=0,0,SER_hh_tesh!Q11/SER_summary!Q$26)</f>
        <v>0</v>
      </c>
      <c r="R11" s="133">
        <f>IF(SER_hh_tesh!R11=0,0,SER_hh_tesh!R11/SER_summary!R$26)</f>
        <v>0</v>
      </c>
      <c r="S11" s="133">
        <f>IF(SER_hh_tesh!S11=0,0,SER_hh_tesh!S11/SER_summary!S$26)</f>
        <v>0</v>
      </c>
      <c r="T11" s="133">
        <f>IF(SER_hh_tesh!T11=0,0,SER_hh_tesh!T11/SER_summary!T$26)</f>
        <v>0</v>
      </c>
      <c r="U11" s="133">
        <f>IF(SER_hh_tesh!U11=0,0,SER_hh_tesh!U11/SER_summary!U$26)</f>
        <v>0</v>
      </c>
      <c r="V11" s="133">
        <f>IF(SER_hh_tesh!V11=0,0,SER_hh_tesh!V11/SER_summary!V$26)</f>
        <v>0</v>
      </c>
      <c r="W11" s="133">
        <f>IF(SER_hh_tesh!W11=0,0,SER_hh_tesh!W11/SER_summary!W$26)</f>
        <v>0</v>
      </c>
      <c r="DA11" s="157" t="s">
        <v>515</v>
      </c>
    </row>
    <row r="12" spans="1:105" ht="12" customHeight="1" x14ac:dyDescent="0.25">
      <c r="A12" s="132" t="s">
        <v>169</v>
      </c>
      <c r="B12" s="133">
        <f>IF(SER_hh_tesh!B12=0,0,SER_hh_tesh!B12/SER_summary!B$26)</f>
        <v>0</v>
      </c>
      <c r="C12" s="133">
        <f>IF(SER_hh_tesh!C12=0,0,SER_hh_tesh!C12/SER_summary!C$26)</f>
        <v>0</v>
      </c>
      <c r="D12" s="133">
        <f>IF(SER_hh_tesh!D12=0,0,SER_hh_tesh!D12/SER_summary!D$26)</f>
        <v>0</v>
      </c>
      <c r="E12" s="133">
        <f>IF(SER_hh_tesh!E12=0,0,SER_hh_tesh!E12/SER_summary!E$26)</f>
        <v>0</v>
      </c>
      <c r="F12" s="133">
        <f>IF(SER_hh_tesh!F12=0,0,SER_hh_tesh!F12/SER_summary!F$26)</f>
        <v>0</v>
      </c>
      <c r="G12" s="133">
        <f>IF(SER_hh_tesh!G12=0,0,SER_hh_tesh!G12/SER_summary!G$26)</f>
        <v>0</v>
      </c>
      <c r="H12" s="133">
        <f>IF(SER_hh_tesh!H12=0,0,SER_hh_tesh!H12/SER_summary!H$26)</f>
        <v>0</v>
      </c>
      <c r="I12" s="133">
        <f>IF(SER_hh_tesh!I12=0,0,SER_hh_tesh!I12/SER_summary!I$26)</f>
        <v>0</v>
      </c>
      <c r="J12" s="133">
        <f>IF(SER_hh_tesh!J12=0,0,SER_hh_tesh!J12/SER_summary!J$26)</f>
        <v>0</v>
      </c>
      <c r="K12" s="133">
        <f>IF(SER_hh_tesh!K12=0,0,SER_hh_tesh!K12/SER_summary!K$26)</f>
        <v>0</v>
      </c>
      <c r="L12" s="133">
        <f>IF(SER_hh_tesh!L12=0,0,SER_hh_tesh!L12/SER_summary!L$26)</f>
        <v>0</v>
      </c>
      <c r="M12" s="133">
        <f>IF(SER_hh_tesh!M12=0,0,SER_hh_tesh!M12/SER_summary!M$26)</f>
        <v>0</v>
      </c>
      <c r="N12" s="133">
        <f>IF(SER_hh_tesh!N12=0,0,SER_hh_tesh!N12/SER_summary!N$26)</f>
        <v>0</v>
      </c>
      <c r="O12" s="133">
        <f>IF(SER_hh_tesh!O12=0,0,SER_hh_tesh!O12/SER_summary!O$26)</f>
        <v>0</v>
      </c>
      <c r="P12" s="133">
        <f>IF(SER_hh_tesh!P12=0,0,SER_hh_tesh!P12/SER_summary!P$26)</f>
        <v>0</v>
      </c>
      <c r="Q12" s="133">
        <f>IF(SER_hh_tesh!Q12=0,0,SER_hh_tesh!Q12/SER_summary!Q$26)</f>
        <v>0</v>
      </c>
      <c r="R12" s="133">
        <f>IF(SER_hh_tesh!R12=0,0,SER_hh_tesh!R12/SER_summary!R$26)</f>
        <v>0</v>
      </c>
      <c r="S12" s="133">
        <f>IF(SER_hh_tesh!S12=0,0,SER_hh_tesh!S12/SER_summary!S$26)</f>
        <v>0</v>
      </c>
      <c r="T12" s="133">
        <f>IF(SER_hh_tesh!T12=0,0,SER_hh_tesh!T12/SER_summary!T$26)</f>
        <v>0</v>
      </c>
      <c r="U12" s="133">
        <f>IF(SER_hh_tesh!U12=0,0,SER_hh_tesh!U12/SER_summary!U$26)</f>
        <v>0</v>
      </c>
      <c r="V12" s="133">
        <f>IF(SER_hh_tesh!V12=0,0,SER_hh_tesh!V12/SER_summary!V$26)</f>
        <v>0</v>
      </c>
      <c r="W12" s="133">
        <f>IF(SER_hh_tesh!W12=0,0,SER_hh_tesh!W12/SER_summary!W$26)</f>
        <v>0</v>
      </c>
      <c r="DA12" s="157" t="s">
        <v>516</v>
      </c>
    </row>
    <row r="13" spans="1:105" ht="12" customHeight="1" x14ac:dyDescent="0.25">
      <c r="A13" s="132" t="s">
        <v>77</v>
      </c>
      <c r="B13" s="133">
        <f>IF(SER_hh_tesh!B13=0,0,SER_hh_tesh!B13/SER_summary!B$26)</f>
        <v>7.3611176053757115</v>
      </c>
      <c r="C13" s="133">
        <f>IF(SER_hh_tesh!C13=0,0,SER_hh_tesh!C13/SER_summary!C$26)</f>
        <v>15.513498578822768</v>
      </c>
      <c r="D13" s="133">
        <f>IF(SER_hh_tesh!D13=0,0,SER_hh_tesh!D13/SER_summary!D$26)</f>
        <v>17.165158622559684</v>
      </c>
      <c r="E13" s="133">
        <f>IF(SER_hh_tesh!E13=0,0,SER_hh_tesh!E13/SER_summary!E$26)</f>
        <v>17.966453553593801</v>
      </c>
      <c r="F13" s="133">
        <f>IF(SER_hh_tesh!F13=0,0,SER_hh_tesh!F13/SER_summary!F$26)</f>
        <v>20.70876186731801</v>
      </c>
      <c r="G13" s="133">
        <f>IF(SER_hh_tesh!G13=0,0,SER_hh_tesh!G13/SER_summary!G$26)</f>
        <v>25.069023732360638</v>
      </c>
      <c r="H13" s="133">
        <f>IF(SER_hh_tesh!H13=0,0,SER_hh_tesh!H13/SER_summary!H$26)</f>
        <v>29.282190720241903</v>
      </c>
      <c r="I13" s="133">
        <f>IF(SER_hh_tesh!I13=0,0,SER_hh_tesh!I13/SER_summary!I$26)</f>
        <v>33.007717436918128</v>
      </c>
      <c r="J13" s="133">
        <f>IF(SER_hh_tesh!J13=0,0,SER_hh_tesh!J13/SER_summary!J$26)</f>
        <v>34.8015394634592</v>
      </c>
      <c r="K13" s="133">
        <f>IF(SER_hh_tesh!K13=0,0,SER_hh_tesh!K13/SER_summary!K$26)</f>
        <v>38.698939908080511</v>
      </c>
      <c r="L13" s="133">
        <f>IF(SER_hh_tesh!L13=0,0,SER_hh_tesh!L13/SER_summary!L$26)</f>
        <v>34.695227527722288</v>
      </c>
      <c r="M13" s="133">
        <f>IF(SER_hh_tesh!M13=0,0,SER_hh_tesh!M13/SER_summary!M$26)</f>
        <v>30.706510633614094</v>
      </c>
      <c r="N13" s="133">
        <f>IF(SER_hh_tesh!N13=0,0,SER_hh_tesh!N13/SER_summary!N$26)</f>
        <v>31.524951492950024</v>
      </c>
      <c r="O13" s="133">
        <f>IF(SER_hh_tesh!O13=0,0,SER_hh_tesh!O13/SER_summary!O$26)</f>
        <v>45.599344756194206</v>
      </c>
      <c r="P13" s="133">
        <f>IF(SER_hh_tesh!P13=0,0,SER_hh_tesh!P13/SER_summary!P$26)</f>
        <v>42.806381033382827</v>
      </c>
      <c r="Q13" s="133">
        <f>IF(SER_hh_tesh!Q13=0,0,SER_hh_tesh!Q13/SER_summary!Q$26)</f>
        <v>46.92887192312137</v>
      </c>
      <c r="R13" s="133">
        <f>IF(SER_hh_tesh!R13=0,0,SER_hh_tesh!R13/SER_summary!R$26)</f>
        <v>46.627199826709322</v>
      </c>
      <c r="S13" s="133">
        <f>IF(SER_hh_tesh!S13=0,0,SER_hh_tesh!S13/SER_summary!S$26)</f>
        <v>47.582267747129052</v>
      </c>
      <c r="T13" s="133">
        <f>IF(SER_hh_tesh!T13=0,0,SER_hh_tesh!T13/SER_summary!T$26)</f>
        <v>48.595727974391515</v>
      </c>
      <c r="U13" s="133">
        <f>IF(SER_hh_tesh!U13=0,0,SER_hh_tesh!U13/SER_summary!U$26)</f>
        <v>50.419981708516687</v>
      </c>
      <c r="V13" s="133">
        <f>IF(SER_hh_tesh!V13=0,0,SER_hh_tesh!V13/SER_summary!V$26)</f>
        <v>45.68741898616954</v>
      </c>
      <c r="W13" s="133">
        <f>IF(SER_hh_tesh!W13=0,0,SER_hh_tesh!W13/SER_summary!W$26)</f>
        <v>46.093325838861929</v>
      </c>
      <c r="DA13" s="157" t="s">
        <v>517</v>
      </c>
    </row>
    <row r="14" spans="1:105" ht="12" customHeight="1" x14ac:dyDescent="0.25">
      <c r="A14" s="60" t="s">
        <v>76</v>
      </c>
      <c r="B14" s="65">
        <f>IF(SER_hh_tesh!B14=0,0,SER_hh_tesh!B14/SER_summary!B$26)</f>
        <v>9.5305939364087742</v>
      </c>
      <c r="C14" s="65">
        <f>IF(SER_hh_tesh!C14=0,0,SER_hh_tesh!C14/SER_summary!C$26)</f>
        <v>15.310914016511047</v>
      </c>
      <c r="D14" s="65">
        <f>IF(SER_hh_tesh!D14=0,0,SER_hh_tesh!D14/SER_summary!D$26)</f>
        <v>19.791472126809253</v>
      </c>
      <c r="E14" s="65">
        <f>IF(SER_hh_tesh!E14=0,0,SER_hh_tesh!E14/SER_summary!E$26)</f>
        <v>18.190623615752394</v>
      </c>
      <c r="F14" s="65">
        <f>IF(SER_hh_tesh!F14=0,0,SER_hh_tesh!F14/SER_summary!F$26)</f>
        <v>19.867599279039396</v>
      </c>
      <c r="G14" s="65">
        <f>IF(SER_hh_tesh!G14=0,0,SER_hh_tesh!G14/SER_summary!G$26)</f>
        <v>21.621514636955126</v>
      </c>
      <c r="H14" s="65">
        <f>IF(SER_hh_tesh!H14=0,0,SER_hh_tesh!H14/SER_summary!H$26)</f>
        <v>32.817309504649479</v>
      </c>
      <c r="I14" s="65">
        <f>IF(SER_hh_tesh!I14=0,0,SER_hh_tesh!I14/SER_summary!I$26)</f>
        <v>32.75644918253294</v>
      </c>
      <c r="J14" s="65">
        <f>IF(SER_hh_tesh!J14=0,0,SER_hh_tesh!J14/SER_summary!J$26)</f>
        <v>36.584304572678604</v>
      </c>
      <c r="K14" s="65">
        <f>IF(SER_hh_tesh!K14=0,0,SER_hh_tesh!K14/SER_summary!K$26)</f>
        <v>39.929385356589734</v>
      </c>
      <c r="L14" s="65">
        <f>IF(SER_hh_tesh!L14=0,0,SER_hh_tesh!L14/SER_summary!L$26)</f>
        <v>44.240018036580523</v>
      </c>
      <c r="M14" s="65">
        <f>IF(SER_hh_tesh!M14=0,0,SER_hh_tesh!M14/SER_summary!M$26)</f>
        <v>47.250748747410277</v>
      </c>
      <c r="N14" s="65">
        <f>IF(SER_hh_tesh!N14=0,0,SER_hh_tesh!N14/SER_summary!N$26)</f>
        <v>34.307595350180193</v>
      </c>
      <c r="O14" s="65">
        <f>IF(SER_hh_tesh!O14=0,0,SER_hh_tesh!O14/SER_summary!O$26)</f>
        <v>12.277458297763514</v>
      </c>
      <c r="P14" s="65">
        <f>IF(SER_hh_tesh!P14=0,0,SER_hh_tesh!P14/SER_summary!P$26)</f>
        <v>35.031640402139971</v>
      </c>
      <c r="Q14" s="65">
        <f>IF(SER_hh_tesh!Q14=0,0,SER_hh_tesh!Q14/SER_summary!Q$26)</f>
        <v>38.011659240422908</v>
      </c>
      <c r="R14" s="65">
        <f>IF(SER_hh_tesh!R14=0,0,SER_hh_tesh!R14/SER_summary!R$26)</f>
        <v>59.953706317149702</v>
      </c>
      <c r="S14" s="65">
        <f>IF(SER_hh_tesh!S14=0,0,SER_hh_tesh!S14/SER_summary!S$26)</f>
        <v>74.854558242917122</v>
      </c>
      <c r="T14" s="65">
        <f>IF(SER_hh_tesh!T14=0,0,SER_hh_tesh!T14/SER_summary!T$26)</f>
        <v>77.121333252687791</v>
      </c>
      <c r="U14" s="65">
        <f>IF(SER_hh_tesh!U14=0,0,SER_hh_tesh!U14/SER_summary!U$26)</f>
        <v>98.393530513212568</v>
      </c>
      <c r="V14" s="65">
        <f>IF(SER_hh_tesh!V14=0,0,SER_hh_tesh!V14/SER_summary!V$26)</f>
        <v>46.01829641645547</v>
      </c>
      <c r="W14" s="65">
        <f>IF(SER_hh_tesh!W14=0,0,SER_hh_tesh!W14/SER_summary!W$26)</f>
        <v>84.437735615085018</v>
      </c>
      <c r="DA14" s="109" t="s">
        <v>518</v>
      </c>
    </row>
    <row r="15" spans="1:105" ht="12" customHeight="1" x14ac:dyDescent="0.25">
      <c r="A15" s="134" t="s">
        <v>80</v>
      </c>
      <c r="B15" s="135">
        <f>IF(SER_hh_tesh!B15=0,0,SER_hh_tesh!B15/SER_summary!B$26)</f>
        <v>0.24214577677173099</v>
      </c>
      <c r="C15" s="135">
        <f>IF(SER_hh_tesh!C15=0,0,SER_hh_tesh!C15/SER_summary!C$26)</f>
        <v>0.27859158124669009</v>
      </c>
      <c r="D15" s="135">
        <f>IF(SER_hh_tesh!D15=0,0,SER_hh_tesh!D15/SER_summary!D$26)</f>
        <v>0.30862360021413521</v>
      </c>
      <c r="E15" s="135">
        <f>IF(SER_hh_tesh!E15=0,0,SER_hh_tesh!E15/SER_summary!E$26)</f>
        <v>0.35598651679782084</v>
      </c>
      <c r="F15" s="135">
        <f>IF(SER_hh_tesh!F15=0,0,SER_hh_tesh!F15/SER_summary!F$26)</f>
        <v>0.36160812437020873</v>
      </c>
      <c r="G15" s="135">
        <f>IF(SER_hh_tesh!G15=0,0,SER_hh_tesh!G15/SER_summary!G$26)</f>
        <v>0.38919742052879919</v>
      </c>
      <c r="H15" s="135">
        <f>IF(SER_hh_tesh!H15=0,0,SER_hh_tesh!H15/SER_summary!H$26)</f>
        <v>0.49479834483385637</v>
      </c>
      <c r="I15" s="135">
        <f>IF(SER_hh_tesh!I15=0,0,SER_hh_tesh!I15/SER_summary!I$26)</f>
        <v>0.52531157997558642</v>
      </c>
      <c r="J15" s="135">
        <f>IF(SER_hh_tesh!J15=0,0,SER_hh_tesh!J15/SER_summary!J$26)</f>
        <v>0.71409887629057989</v>
      </c>
      <c r="K15" s="135">
        <f>IF(SER_hh_tesh!K15=0,0,SER_hh_tesh!K15/SER_summary!K$26)</f>
        <v>0.58989468634478515</v>
      </c>
      <c r="L15" s="135">
        <f>IF(SER_hh_tesh!L15=0,0,SER_hh_tesh!L15/SER_summary!L$26)</f>
        <v>0.66510999919767344</v>
      </c>
      <c r="M15" s="135">
        <f>IF(SER_hh_tesh!M15=0,0,SER_hh_tesh!M15/SER_summary!M$26)</f>
        <v>0.6515694120673754</v>
      </c>
      <c r="N15" s="135">
        <f>IF(SER_hh_tesh!N15=0,0,SER_hh_tesh!N15/SER_summary!N$26)</f>
        <v>0.56500776083296822</v>
      </c>
      <c r="O15" s="135">
        <f>IF(SER_hh_tesh!O15=0,0,SER_hh_tesh!O15/SER_summary!O$26)</f>
        <v>0.6446435109055384</v>
      </c>
      <c r="P15" s="135">
        <f>IF(SER_hh_tesh!P15=0,0,SER_hh_tesh!P15/SER_summary!P$26)</f>
        <v>0.66863471250612216</v>
      </c>
      <c r="Q15" s="135">
        <f>IF(SER_hh_tesh!Q15=0,0,SER_hh_tesh!Q15/SER_summary!Q$26)</f>
        <v>0.65569991873399269</v>
      </c>
      <c r="R15" s="135">
        <f>IF(SER_hh_tesh!R15=0,0,SER_hh_tesh!R15/SER_summary!R$26)</f>
        <v>0.67841718671648132</v>
      </c>
      <c r="S15" s="135">
        <f>IF(SER_hh_tesh!S15=0,0,SER_hh_tesh!S15/SER_summary!S$26)</f>
        <v>0.82091973189909651</v>
      </c>
      <c r="T15" s="135">
        <f>IF(SER_hh_tesh!T15=0,0,SER_hh_tesh!T15/SER_summary!T$26)</f>
        <v>0.78574500978493433</v>
      </c>
      <c r="U15" s="135">
        <f>IF(SER_hh_tesh!U15=0,0,SER_hh_tesh!U15/SER_summary!U$26)</f>
        <v>0.9368245495282933</v>
      </c>
      <c r="V15" s="135">
        <f>IF(SER_hh_tesh!V15=0,0,SER_hh_tesh!V15/SER_summary!V$26)</f>
        <v>0.70339721474649752</v>
      </c>
      <c r="W15" s="135">
        <f>IF(SER_hh_tesh!W15=0,0,SER_hh_tesh!W15/SER_summary!W$26)</f>
        <v>0.8202209510310291</v>
      </c>
      <c r="DA15" s="158" t="s">
        <v>519</v>
      </c>
    </row>
    <row r="16" spans="1:105" ht="12.95" customHeight="1" x14ac:dyDescent="0.25">
      <c r="A16" s="130" t="s">
        <v>74</v>
      </c>
      <c r="B16" s="131">
        <f>IF(SER_hh_tesh!B16=0,0,SER_hh_tesh!B16/SER_summary!B$26)</f>
        <v>91.645783334388497</v>
      </c>
      <c r="C16" s="131">
        <f>IF(SER_hh_tesh!C16=0,0,SER_hh_tesh!C16/SER_summary!C$26)</f>
        <v>81.648975169787718</v>
      </c>
      <c r="D16" s="131">
        <f>IF(SER_hh_tesh!D16=0,0,SER_hh_tesh!D16/SER_summary!D$26)</f>
        <v>79.552788266449852</v>
      </c>
      <c r="E16" s="131">
        <f>IF(SER_hh_tesh!E16=0,0,SER_hh_tesh!E16/SER_summary!E$26)</f>
        <v>86.751835018994754</v>
      </c>
      <c r="F16" s="131">
        <f>IF(SER_hh_tesh!F16=0,0,SER_hh_tesh!F16/SER_summary!F$26)</f>
        <v>72.612424258789261</v>
      </c>
      <c r="G16" s="131">
        <f>IF(SER_hh_tesh!G16=0,0,SER_hh_tesh!G16/SER_summary!G$26)</f>
        <v>67.112159249167391</v>
      </c>
      <c r="H16" s="131">
        <f>IF(SER_hh_tesh!H16=0,0,SER_hh_tesh!H16/SER_summary!H$26)</f>
        <v>78.09897008799679</v>
      </c>
      <c r="I16" s="131">
        <f>IF(SER_hh_tesh!I16=0,0,SER_hh_tesh!I16/SER_summary!I$26)</f>
        <v>88.504955690367538</v>
      </c>
      <c r="J16" s="131">
        <f>IF(SER_hh_tesh!J16=0,0,SER_hh_tesh!J16/SER_summary!J$26)</f>
        <v>91.283712817570375</v>
      </c>
      <c r="K16" s="131">
        <f>IF(SER_hh_tesh!K16=0,0,SER_hh_tesh!K16/SER_summary!K$26)</f>
        <v>88.556165428660734</v>
      </c>
      <c r="L16" s="131">
        <f>IF(SER_hh_tesh!L16=0,0,SER_hh_tesh!L16/SER_summary!L$26)</f>
        <v>93.518415473633439</v>
      </c>
      <c r="M16" s="131">
        <f>IF(SER_hh_tesh!M16=0,0,SER_hh_tesh!M16/SER_summary!M$26)</f>
        <v>81.250058328320364</v>
      </c>
      <c r="N16" s="131">
        <f>IF(SER_hh_tesh!N16=0,0,SER_hh_tesh!N16/SER_summary!N$26)</f>
        <v>99.344789513724081</v>
      </c>
      <c r="O16" s="131">
        <f>IF(SER_hh_tesh!O16=0,0,SER_hh_tesh!O16/SER_summary!O$26)</f>
        <v>84.223248892077663</v>
      </c>
      <c r="P16" s="131">
        <f>IF(SER_hh_tesh!P16=0,0,SER_hh_tesh!P16/SER_summary!P$26)</f>
        <v>76.025560057872383</v>
      </c>
      <c r="Q16" s="131">
        <f>IF(SER_hh_tesh!Q16=0,0,SER_hh_tesh!Q16/SER_summary!Q$26)</f>
        <v>83.273749616602927</v>
      </c>
      <c r="R16" s="131">
        <f>IF(SER_hh_tesh!R16=0,0,SER_hh_tesh!R16/SER_summary!R$26)</f>
        <v>95.746405067437095</v>
      </c>
      <c r="S16" s="131">
        <f>IF(SER_hh_tesh!S16=0,0,SER_hh_tesh!S16/SER_summary!S$26)</f>
        <v>91.640369227286158</v>
      </c>
      <c r="T16" s="131">
        <f>IF(SER_hh_tesh!T16=0,0,SER_hh_tesh!T16/SER_summary!T$26)</f>
        <v>117.12129421206986</v>
      </c>
      <c r="U16" s="131">
        <f>IF(SER_hh_tesh!U16=0,0,SER_hh_tesh!U16/SER_summary!U$26)</f>
        <v>100.02999169036818</v>
      </c>
      <c r="V16" s="131">
        <f>IF(SER_hh_tesh!V16=0,0,SER_hh_tesh!V16/SER_summary!V$26)</f>
        <v>109.57023888393054</v>
      </c>
      <c r="W16" s="131">
        <f>IF(SER_hh_tesh!W16=0,0,SER_hh_tesh!W16/SER_summary!W$26)</f>
        <v>96.958888167749734</v>
      </c>
      <c r="DA16" s="156" t="s">
        <v>520</v>
      </c>
    </row>
    <row r="17" spans="1:105" ht="12.95" customHeight="1" x14ac:dyDescent="0.25">
      <c r="A17" s="132" t="s">
        <v>73</v>
      </c>
      <c r="B17" s="133">
        <f>IF(SER_hh_tesh!B17=0,0,SER_hh_tesh!B17/SER_summary!B$26)</f>
        <v>0</v>
      </c>
      <c r="C17" s="133">
        <f>IF(SER_hh_tesh!C17=0,0,SER_hh_tesh!C17/SER_summary!C$26)</f>
        <v>0</v>
      </c>
      <c r="D17" s="133">
        <f>IF(SER_hh_tesh!D17=0,0,SER_hh_tesh!D17/SER_summary!D$26)</f>
        <v>0</v>
      </c>
      <c r="E17" s="133">
        <f>IF(SER_hh_tesh!E17=0,0,SER_hh_tesh!E17/SER_summary!E$26)</f>
        <v>0</v>
      </c>
      <c r="F17" s="133">
        <f>IF(SER_hh_tesh!F17=0,0,SER_hh_tesh!F17/SER_summary!F$26)</f>
        <v>0</v>
      </c>
      <c r="G17" s="133">
        <f>IF(SER_hh_tesh!G17=0,0,SER_hh_tesh!G17/SER_summary!G$26)</f>
        <v>0</v>
      </c>
      <c r="H17" s="133">
        <f>IF(SER_hh_tesh!H17=0,0,SER_hh_tesh!H17/SER_summary!H$26)</f>
        <v>0</v>
      </c>
      <c r="I17" s="133">
        <f>IF(SER_hh_tesh!I17=0,0,SER_hh_tesh!I17/SER_summary!I$26)</f>
        <v>0</v>
      </c>
      <c r="J17" s="133">
        <f>IF(SER_hh_tesh!J17=0,0,SER_hh_tesh!J17/SER_summary!J$26)</f>
        <v>0</v>
      </c>
      <c r="K17" s="133">
        <f>IF(SER_hh_tesh!K17=0,0,SER_hh_tesh!K17/SER_summary!K$26)</f>
        <v>0</v>
      </c>
      <c r="L17" s="133">
        <f>IF(SER_hh_tesh!L17=0,0,SER_hh_tesh!L17/SER_summary!L$26)</f>
        <v>0</v>
      </c>
      <c r="M17" s="133">
        <f>IF(SER_hh_tesh!M17=0,0,SER_hh_tesh!M17/SER_summary!M$26)</f>
        <v>0</v>
      </c>
      <c r="N17" s="133">
        <f>IF(SER_hh_tesh!N17=0,0,SER_hh_tesh!N17/SER_summary!N$26)</f>
        <v>0</v>
      </c>
      <c r="O17" s="133">
        <f>IF(SER_hh_tesh!O17=0,0,SER_hh_tesh!O17/SER_summary!O$26)</f>
        <v>0</v>
      </c>
      <c r="P17" s="133">
        <f>IF(SER_hh_tesh!P17=0,0,SER_hh_tesh!P17/SER_summary!P$26)</f>
        <v>0</v>
      </c>
      <c r="Q17" s="133">
        <f>IF(SER_hh_tesh!Q17=0,0,SER_hh_tesh!Q17/SER_summary!Q$26)</f>
        <v>0</v>
      </c>
      <c r="R17" s="133">
        <f>IF(SER_hh_tesh!R17=0,0,SER_hh_tesh!R17/SER_summary!R$26)</f>
        <v>0</v>
      </c>
      <c r="S17" s="133">
        <f>IF(SER_hh_tesh!S17=0,0,SER_hh_tesh!S17/SER_summary!S$26)</f>
        <v>0</v>
      </c>
      <c r="T17" s="133">
        <f>IF(SER_hh_tesh!T17=0,0,SER_hh_tesh!T17/SER_summary!T$26)</f>
        <v>0</v>
      </c>
      <c r="U17" s="133">
        <f>IF(SER_hh_tesh!U17=0,0,SER_hh_tesh!U17/SER_summary!U$26)</f>
        <v>0</v>
      </c>
      <c r="V17" s="133">
        <f>IF(SER_hh_tesh!V17=0,0,SER_hh_tesh!V17/SER_summary!V$26)</f>
        <v>0</v>
      </c>
      <c r="W17" s="133">
        <f>IF(SER_hh_tesh!W17=0,0,SER_hh_tesh!W17/SER_summary!W$26)</f>
        <v>0</v>
      </c>
      <c r="DA17" s="157" t="s">
        <v>521</v>
      </c>
    </row>
    <row r="18" spans="1:105" ht="12" customHeight="1" x14ac:dyDescent="0.25">
      <c r="A18" s="132" t="s">
        <v>72</v>
      </c>
      <c r="B18" s="133">
        <f>IF(SER_hh_tesh!B18=0,0,SER_hh_tesh!B18/SER_summary!B$26)</f>
        <v>91.645783334388497</v>
      </c>
      <c r="C18" s="133">
        <f>IF(SER_hh_tesh!C18=0,0,SER_hh_tesh!C18/SER_summary!C$26)</f>
        <v>81.648975169787718</v>
      </c>
      <c r="D18" s="133">
        <f>IF(SER_hh_tesh!D18=0,0,SER_hh_tesh!D18/SER_summary!D$26)</f>
        <v>79.552788266449852</v>
      </c>
      <c r="E18" s="133">
        <f>IF(SER_hh_tesh!E18=0,0,SER_hh_tesh!E18/SER_summary!E$26)</f>
        <v>86.751835018994754</v>
      </c>
      <c r="F18" s="133">
        <f>IF(SER_hh_tesh!F18=0,0,SER_hh_tesh!F18/SER_summary!F$26)</f>
        <v>72.612424258789261</v>
      </c>
      <c r="G18" s="133">
        <f>IF(SER_hh_tesh!G18=0,0,SER_hh_tesh!G18/SER_summary!G$26)</f>
        <v>67.112159249167391</v>
      </c>
      <c r="H18" s="133">
        <f>IF(SER_hh_tesh!H18=0,0,SER_hh_tesh!H18/SER_summary!H$26)</f>
        <v>78.09897008799679</v>
      </c>
      <c r="I18" s="133">
        <f>IF(SER_hh_tesh!I18=0,0,SER_hh_tesh!I18/SER_summary!I$26)</f>
        <v>88.504955690367538</v>
      </c>
      <c r="J18" s="133">
        <f>IF(SER_hh_tesh!J18=0,0,SER_hh_tesh!J18/SER_summary!J$26)</f>
        <v>91.283712817570375</v>
      </c>
      <c r="K18" s="133">
        <f>IF(SER_hh_tesh!K18=0,0,SER_hh_tesh!K18/SER_summary!K$26)</f>
        <v>88.556165428660734</v>
      </c>
      <c r="L18" s="133">
        <f>IF(SER_hh_tesh!L18=0,0,SER_hh_tesh!L18/SER_summary!L$26)</f>
        <v>93.518415473633439</v>
      </c>
      <c r="M18" s="133">
        <f>IF(SER_hh_tesh!M18=0,0,SER_hh_tesh!M18/SER_summary!M$26)</f>
        <v>81.250058328320364</v>
      </c>
      <c r="N18" s="133">
        <f>IF(SER_hh_tesh!N18=0,0,SER_hh_tesh!N18/SER_summary!N$26)</f>
        <v>99.344789513724081</v>
      </c>
      <c r="O18" s="133">
        <f>IF(SER_hh_tesh!O18=0,0,SER_hh_tesh!O18/SER_summary!O$26)</f>
        <v>84.223248892077663</v>
      </c>
      <c r="P18" s="133">
        <f>IF(SER_hh_tesh!P18=0,0,SER_hh_tesh!P18/SER_summary!P$26)</f>
        <v>76.025560057872383</v>
      </c>
      <c r="Q18" s="133">
        <f>IF(SER_hh_tesh!Q18=0,0,SER_hh_tesh!Q18/SER_summary!Q$26)</f>
        <v>83.273749616602927</v>
      </c>
      <c r="R18" s="133">
        <f>IF(SER_hh_tesh!R18=0,0,SER_hh_tesh!R18/SER_summary!R$26)</f>
        <v>95.746405067437095</v>
      </c>
      <c r="S18" s="133">
        <f>IF(SER_hh_tesh!S18=0,0,SER_hh_tesh!S18/SER_summary!S$26)</f>
        <v>91.640369227286158</v>
      </c>
      <c r="T18" s="133">
        <f>IF(SER_hh_tesh!T18=0,0,SER_hh_tesh!T18/SER_summary!T$26)</f>
        <v>117.12129421206986</v>
      </c>
      <c r="U18" s="133">
        <f>IF(SER_hh_tesh!U18=0,0,SER_hh_tesh!U18/SER_summary!U$26)</f>
        <v>100.02999169036818</v>
      </c>
      <c r="V18" s="133">
        <f>IF(SER_hh_tesh!V18=0,0,SER_hh_tesh!V18/SER_summary!V$26)</f>
        <v>109.57023888393054</v>
      </c>
      <c r="W18" s="133">
        <f>IF(SER_hh_tesh!W18=0,0,SER_hh_tesh!W18/SER_summary!W$26)</f>
        <v>96.958888167749734</v>
      </c>
      <c r="DA18" s="157" t="s">
        <v>522</v>
      </c>
    </row>
    <row r="19" spans="1:105" ht="12.95" customHeight="1" x14ac:dyDescent="0.25">
      <c r="A19" s="130" t="s">
        <v>35</v>
      </c>
      <c r="B19" s="131">
        <f>IF(SER_hh_tesh!B19=0,0,SER_hh_tesh!B19/SER_summary!B$26)</f>
        <v>13.070734177351289</v>
      </c>
      <c r="C19" s="131">
        <f>IF(SER_hh_tesh!C19=0,0,SER_hh_tesh!C19/SER_summary!C$26)</f>
        <v>12.948577918532717</v>
      </c>
      <c r="D19" s="131">
        <f>IF(SER_hh_tesh!D19=0,0,SER_hh_tesh!D19/SER_summary!D$26)</f>
        <v>12.933141429327858</v>
      </c>
      <c r="E19" s="131">
        <f>IF(SER_hh_tesh!E19=0,0,SER_hh_tesh!E19/SER_summary!E$26)</f>
        <v>12.92045652388596</v>
      </c>
      <c r="F19" s="131">
        <f>IF(SER_hh_tesh!F19=0,0,SER_hh_tesh!F19/SER_summary!F$26)</f>
        <v>12.906958171580097</v>
      </c>
      <c r="G19" s="131">
        <f>IF(SER_hh_tesh!G19=0,0,SER_hh_tesh!G19/SER_summary!G$26)</f>
        <v>12.95742869099667</v>
      </c>
      <c r="H19" s="131">
        <f>IF(SER_hh_tesh!H19=0,0,SER_hh_tesh!H19/SER_summary!H$26)</f>
        <v>12.957194285363476</v>
      </c>
      <c r="I19" s="131">
        <f>IF(SER_hh_tesh!I19=0,0,SER_hh_tesh!I19/SER_summary!I$26)</f>
        <v>12.96379668238343</v>
      </c>
      <c r="J19" s="131">
        <f>IF(SER_hh_tesh!J19=0,0,SER_hh_tesh!J19/SER_summary!J$26)</f>
        <v>13.127462949978714</v>
      </c>
      <c r="K19" s="131">
        <f>IF(SER_hh_tesh!K19=0,0,SER_hh_tesh!K19/SER_summary!K$26)</f>
        <v>13.022206961290863</v>
      </c>
      <c r="L19" s="131">
        <f>IF(SER_hh_tesh!L19=0,0,SER_hh_tesh!L19/SER_summary!L$26)</f>
        <v>12.929500218898024</v>
      </c>
      <c r="M19" s="131">
        <f>IF(SER_hh_tesh!M19=0,0,SER_hh_tesh!M19/SER_summary!M$26)</f>
        <v>12.931925978348536</v>
      </c>
      <c r="N19" s="131">
        <f>IF(SER_hh_tesh!N19=0,0,SER_hh_tesh!N19/SER_summary!N$26)</f>
        <v>12.90180497328411</v>
      </c>
      <c r="O19" s="131">
        <f>IF(SER_hh_tesh!O19=0,0,SER_hh_tesh!O19/SER_summary!O$26)</f>
        <v>13.023519569474411</v>
      </c>
      <c r="P19" s="131">
        <f>IF(SER_hh_tesh!P19=0,0,SER_hh_tesh!P19/SER_summary!P$26)</f>
        <v>12.935424817706677</v>
      </c>
      <c r="Q19" s="131">
        <f>IF(SER_hh_tesh!Q19=0,0,SER_hh_tesh!Q19/SER_summary!Q$26)</f>
        <v>13.002310895363411</v>
      </c>
      <c r="R19" s="131">
        <f>IF(SER_hh_tesh!R19=0,0,SER_hh_tesh!R19/SER_summary!R$26)</f>
        <v>13.045386320026211</v>
      </c>
      <c r="S19" s="131">
        <f>IF(SER_hh_tesh!S19=0,0,SER_hh_tesh!S19/SER_summary!S$26)</f>
        <v>12.837501779595282</v>
      </c>
      <c r="T19" s="131">
        <f>IF(SER_hh_tesh!T19=0,0,SER_hh_tesh!T19/SER_summary!T$26)</f>
        <v>12.814021893019532</v>
      </c>
      <c r="U19" s="131">
        <f>IF(SER_hh_tesh!U19=0,0,SER_hh_tesh!U19/SER_summary!U$26)</f>
        <v>12.624271284952032</v>
      </c>
      <c r="V19" s="131">
        <f>IF(SER_hh_tesh!V19=0,0,SER_hh_tesh!V19/SER_summary!V$26)</f>
        <v>11.970497663044641</v>
      </c>
      <c r="W19" s="131">
        <f>IF(SER_hh_tesh!W19=0,0,SER_hh_tesh!W19/SER_summary!W$26)</f>
        <v>12.021079397998227</v>
      </c>
      <c r="DA19" s="156" t="s">
        <v>523</v>
      </c>
    </row>
    <row r="20" spans="1:105" ht="12" customHeight="1" x14ac:dyDescent="0.25">
      <c r="A20" s="132" t="s">
        <v>29</v>
      </c>
      <c r="B20" s="133">
        <f>IF(SER_hh_tesh!B20=0,0,SER_hh_tesh!B20/SER_summary!B$26)</f>
        <v>0</v>
      </c>
      <c r="C20" s="133">
        <f>IF(SER_hh_tesh!C20=0,0,SER_hh_tesh!C20/SER_summary!C$26)</f>
        <v>0</v>
      </c>
      <c r="D20" s="133">
        <f>IF(SER_hh_tesh!D20=0,0,SER_hh_tesh!D20/SER_summary!D$26)</f>
        <v>0</v>
      </c>
      <c r="E20" s="133">
        <f>IF(SER_hh_tesh!E20=0,0,SER_hh_tesh!E20/SER_summary!E$26)</f>
        <v>0</v>
      </c>
      <c r="F20" s="133">
        <f>IF(SER_hh_tesh!F20=0,0,SER_hh_tesh!F20/SER_summary!F$26)</f>
        <v>0</v>
      </c>
      <c r="G20" s="133">
        <f>IF(SER_hh_tesh!G20=0,0,SER_hh_tesh!G20/SER_summary!G$26)</f>
        <v>0</v>
      </c>
      <c r="H20" s="133">
        <f>IF(SER_hh_tesh!H20=0,0,SER_hh_tesh!H20/SER_summary!H$26)</f>
        <v>0</v>
      </c>
      <c r="I20" s="133">
        <f>IF(SER_hh_tesh!I20=0,0,SER_hh_tesh!I20/SER_summary!I$26)</f>
        <v>0</v>
      </c>
      <c r="J20" s="133">
        <f>IF(SER_hh_tesh!J20=0,0,SER_hh_tesh!J20/SER_summary!J$26)</f>
        <v>0</v>
      </c>
      <c r="K20" s="133">
        <f>IF(SER_hh_tesh!K20=0,0,SER_hh_tesh!K20/SER_summary!K$26)</f>
        <v>0</v>
      </c>
      <c r="L20" s="133">
        <f>IF(SER_hh_tesh!L20=0,0,SER_hh_tesh!L20/SER_summary!L$26)</f>
        <v>0</v>
      </c>
      <c r="M20" s="133">
        <f>IF(SER_hh_tesh!M20=0,0,SER_hh_tesh!M20/SER_summary!M$26)</f>
        <v>0</v>
      </c>
      <c r="N20" s="133">
        <f>IF(SER_hh_tesh!N20=0,0,SER_hh_tesh!N20/SER_summary!N$26)</f>
        <v>0</v>
      </c>
      <c r="O20" s="133">
        <f>IF(SER_hh_tesh!O20=0,0,SER_hh_tesh!O20/SER_summary!O$26)</f>
        <v>0</v>
      </c>
      <c r="P20" s="133">
        <f>IF(SER_hh_tesh!P20=0,0,SER_hh_tesh!P20/SER_summary!P$26)</f>
        <v>0</v>
      </c>
      <c r="Q20" s="133">
        <f>IF(SER_hh_tesh!Q20=0,0,SER_hh_tesh!Q20/SER_summary!Q$26)</f>
        <v>0</v>
      </c>
      <c r="R20" s="133">
        <f>IF(SER_hh_tesh!R20=0,0,SER_hh_tesh!R20/SER_summary!R$26)</f>
        <v>0</v>
      </c>
      <c r="S20" s="133">
        <f>IF(SER_hh_tesh!S20=0,0,SER_hh_tesh!S20/SER_summary!S$26)</f>
        <v>0</v>
      </c>
      <c r="T20" s="133">
        <f>IF(SER_hh_tesh!T20=0,0,SER_hh_tesh!T20/SER_summary!T$26)</f>
        <v>0</v>
      </c>
      <c r="U20" s="133">
        <f>IF(SER_hh_tesh!U20=0,0,SER_hh_tesh!U20/SER_summary!U$26)</f>
        <v>0</v>
      </c>
      <c r="V20" s="133">
        <f>IF(SER_hh_tesh!V20=0,0,SER_hh_tesh!V20/SER_summary!V$26)</f>
        <v>0</v>
      </c>
      <c r="W20" s="133">
        <f>IF(SER_hh_tesh!W20=0,0,SER_hh_tesh!W20/SER_summary!W$26)</f>
        <v>0</v>
      </c>
      <c r="DA20" s="157" t="s">
        <v>524</v>
      </c>
    </row>
    <row r="21" spans="1:105" s="2" customFormat="1" ht="12" customHeight="1" x14ac:dyDescent="0.25">
      <c r="A21" s="132" t="s">
        <v>52</v>
      </c>
      <c r="B21" s="133">
        <f>IF(SER_hh_tesh!B21=0,0,SER_hh_tesh!B21/SER_summary!B$26)</f>
        <v>0</v>
      </c>
      <c r="C21" s="133">
        <f>IF(SER_hh_tesh!C21=0,0,SER_hh_tesh!C21/SER_summary!C$26)</f>
        <v>0</v>
      </c>
      <c r="D21" s="133">
        <f>IF(SER_hh_tesh!D21=0,0,SER_hh_tesh!D21/SER_summary!D$26)</f>
        <v>0</v>
      </c>
      <c r="E21" s="133">
        <f>IF(SER_hh_tesh!E21=0,0,SER_hh_tesh!E21/SER_summary!E$26)</f>
        <v>0</v>
      </c>
      <c r="F21" s="133">
        <f>IF(SER_hh_tesh!F21=0,0,SER_hh_tesh!F21/SER_summary!F$26)</f>
        <v>0</v>
      </c>
      <c r="G21" s="133">
        <f>IF(SER_hh_tesh!G21=0,0,SER_hh_tesh!G21/SER_summary!G$26)</f>
        <v>0</v>
      </c>
      <c r="H21" s="133">
        <f>IF(SER_hh_tesh!H21=0,0,SER_hh_tesh!H21/SER_summary!H$26)</f>
        <v>16.418537626630826</v>
      </c>
      <c r="I21" s="133">
        <f>IF(SER_hh_tesh!I21=0,0,SER_hh_tesh!I21/SER_summary!I$26)</f>
        <v>12.624097330703178</v>
      </c>
      <c r="J21" s="133">
        <f>IF(SER_hh_tesh!J21=0,0,SER_hh_tesh!J21/SER_summary!J$26)</f>
        <v>11.322623823002864</v>
      </c>
      <c r="K21" s="133">
        <f>IF(SER_hh_tesh!K21=0,0,SER_hh_tesh!K21/SER_summary!K$26)</f>
        <v>11.20617931411326</v>
      </c>
      <c r="L21" s="133">
        <f>IF(SER_hh_tesh!L21=0,0,SER_hh_tesh!L21/SER_summary!L$26)</f>
        <v>11.492930565121984</v>
      </c>
      <c r="M21" s="133">
        <f>IF(SER_hh_tesh!M21=0,0,SER_hh_tesh!M21/SER_summary!M$26)</f>
        <v>11.291243375158457</v>
      </c>
      <c r="N21" s="133">
        <f>IF(SER_hh_tesh!N21=0,0,SER_hh_tesh!N21/SER_summary!N$26)</f>
        <v>11.32526972032125</v>
      </c>
      <c r="O21" s="133">
        <f>IF(SER_hh_tesh!O21=0,0,SER_hh_tesh!O21/SER_summary!O$26)</f>
        <v>11.508824569511448</v>
      </c>
      <c r="P21" s="133">
        <f>IF(SER_hh_tesh!P21=0,0,SER_hh_tesh!P21/SER_summary!P$26)</f>
        <v>10.944951584777989</v>
      </c>
      <c r="Q21" s="133">
        <f>IF(SER_hh_tesh!Q21=0,0,SER_hh_tesh!Q21/SER_summary!Q$26)</f>
        <v>11.001963089884601</v>
      </c>
      <c r="R21" s="133">
        <f>IF(SER_hh_tesh!R21=0,0,SER_hh_tesh!R21/SER_summary!R$26)</f>
        <v>11.211516621527952</v>
      </c>
      <c r="S21" s="133">
        <f>IF(SER_hh_tesh!S21=0,0,SER_hh_tesh!S21/SER_summary!S$26)</f>
        <v>11.300266071537093</v>
      </c>
      <c r="T21" s="133">
        <f>IF(SER_hh_tesh!T21=0,0,SER_hh_tesh!T21/SER_summary!T$26)</f>
        <v>11.026577932864987</v>
      </c>
      <c r="U21" s="133">
        <f>IF(SER_hh_tesh!U21=0,0,SER_hh_tesh!U21/SER_summary!U$26)</f>
        <v>11.382009367799849</v>
      </c>
      <c r="V21" s="133">
        <f>IF(SER_hh_tesh!V21=0,0,SER_hh_tesh!V21/SER_summary!V$26)</f>
        <v>10.079106986566286</v>
      </c>
      <c r="W21" s="133">
        <f>IF(SER_hh_tesh!W21=0,0,SER_hh_tesh!W21/SER_summary!W$26)</f>
        <v>10.129851019823858</v>
      </c>
      <c r="DA21" s="157" t="s">
        <v>525</v>
      </c>
    </row>
    <row r="22" spans="1:105" ht="12" customHeight="1" x14ac:dyDescent="0.25">
      <c r="A22" s="132" t="s">
        <v>168</v>
      </c>
      <c r="B22" s="133">
        <f>IF(SER_hh_tesh!B22=0,0,SER_hh_tesh!B22/SER_summary!B$26)</f>
        <v>12.398707354980996</v>
      </c>
      <c r="C22" s="133">
        <f>IF(SER_hh_tesh!C22=0,0,SER_hh_tesh!C22/SER_summary!C$26)</f>
        <v>12.413661100738835</v>
      </c>
      <c r="D22" s="133">
        <f>IF(SER_hh_tesh!D22=0,0,SER_hh_tesh!D22/SER_summary!D$26)</f>
        <v>12.395205662192055</v>
      </c>
      <c r="E22" s="133">
        <f>IF(SER_hh_tesh!E22=0,0,SER_hh_tesh!E22/SER_summary!E$26)</f>
        <v>12.278071817548351</v>
      </c>
      <c r="F22" s="133">
        <f>IF(SER_hh_tesh!F22=0,0,SER_hh_tesh!F22/SER_summary!F$26)</f>
        <v>12.259948902457554</v>
      </c>
      <c r="G22" s="133">
        <f>IF(SER_hh_tesh!G22=0,0,SER_hh_tesh!G22/SER_summary!G$26)</f>
        <v>12.166127311787758</v>
      </c>
      <c r="H22" s="133">
        <f>IF(SER_hh_tesh!H22=0,0,SER_hh_tesh!H22/SER_summary!H$26)</f>
        <v>11.812996246457217</v>
      </c>
      <c r="I22" s="133">
        <f>IF(SER_hh_tesh!I22=0,0,SER_hh_tesh!I22/SER_summary!I$26)</f>
        <v>11.463254423153758</v>
      </c>
      <c r="J22" s="133">
        <f>IF(SER_hh_tesh!J22=0,0,SER_hh_tesh!J22/SER_summary!J$26)</f>
        <v>11.256431976301911</v>
      </c>
      <c r="K22" s="133">
        <f>IF(SER_hh_tesh!K22=0,0,SER_hh_tesh!K22/SER_summary!K$26)</f>
        <v>11.188729371881477</v>
      </c>
      <c r="L22" s="133">
        <f>IF(SER_hh_tesh!L22=0,0,SER_hh_tesh!L22/SER_summary!L$26)</f>
        <v>11.102914012296239</v>
      </c>
      <c r="M22" s="133">
        <f>IF(SER_hh_tesh!M22=0,0,SER_hh_tesh!M22/SER_summary!M$26)</f>
        <v>11.145200274455693</v>
      </c>
      <c r="N22" s="133">
        <f>IF(SER_hh_tesh!N22=0,0,SER_hh_tesh!N22/SER_summary!N$26)</f>
        <v>11.283651247019812</v>
      </c>
      <c r="O22" s="133">
        <f>IF(SER_hh_tesh!O22=0,0,SER_hh_tesh!O22/SER_summary!O$26)</f>
        <v>11.258246754147526</v>
      </c>
      <c r="P22" s="133">
        <f>IF(SER_hh_tesh!P22=0,0,SER_hh_tesh!P22/SER_summary!P$26)</f>
        <v>11.271092532558869</v>
      </c>
      <c r="Q22" s="133">
        <f>IF(SER_hh_tesh!Q22=0,0,SER_hh_tesh!Q22/SER_summary!Q$26)</f>
        <v>11.205560476551483</v>
      </c>
      <c r="R22" s="133">
        <f>IF(SER_hh_tesh!R22=0,0,SER_hh_tesh!R22/SER_summary!R$26)</f>
        <v>11.231987396929551</v>
      </c>
      <c r="S22" s="133">
        <f>IF(SER_hh_tesh!S22=0,0,SER_hh_tesh!S22/SER_summary!S$26)</f>
        <v>10.981093437789911</v>
      </c>
      <c r="T22" s="133">
        <f>IF(SER_hh_tesh!T22=0,0,SER_hh_tesh!T22/SER_summary!T$26)</f>
        <v>11.011235426916704</v>
      </c>
      <c r="U22" s="133">
        <f>IF(SER_hh_tesh!U22=0,0,SER_hh_tesh!U22/SER_summary!U$26)</f>
        <v>10.87507577724913</v>
      </c>
      <c r="V22" s="133">
        <f>IF(SER_hh_tesh!V22=0,0,SER_hh_tesh!V22/SER_summary!V$26)</f>
        <v>10.079419576398845</v>
      </c>
      <c r="W22" s="133">
        <f>IF(SER_hh_tesh!W22=0,0,SER_hh_tesh!W22/SER_summary!W$26)</f>
        <v>11.169425707704875</v>
      </c>
      <c r="DA22" s="157" t="s">
        <v>526</v>
      </c>
    </row>
    <row r="23" spans="1:105" ht="12" customHeight="1" x14ac:dyDescent="0.25">
      <c r="A23" s="132" t="s">
        <v>153</v>
      </c>
      <c r="B23" s="133">
        <f>IF(SER_hh_tesh!B23=0,0,SER_hh_tesh!B23/SER_summary!B$26)</f>
        <v>0</v>
      </c>
      <c r="C23" s="133">
        <f>IF(SER_hh_tesh!C23=0,0,SER_hh_tesh!C23/SER_summary!C$26)</f>
        <v>0</v>
      </c>
      <c r="D23" s="133">
        <f>IF(SER_hh_tesh!D23=0,0,SER_hh_tesh!D23/SER_summary!D$26)</f>
        <v>0</v>
      </c>
      <c r="E23" s="133">
        <f>IF(SER_hh_tesh!E23=0,0,SER_hh_tesh!E23/SER_summary!E$26)</f>
        <v>0</v>
      </c>
      <c r="F23" s="133">
        <f>IF(SER_hh_tesh!F23=0,0,SER_hh_tesh!F23/SER_summary!F$26)</f>
        <v>0</v>
      </c>
      <c r="G23" s="133">
        <f>IF(SER_hh_tesh!G23=0,0,SER_hh_tesh!G23/SER_summary!G$26)</f>
        <v>0</v>
      </c>
      <c r="H23" s="133">
        <f>IF(SER_hh_tesh!H23=0,0,SER_hh_tesh!H23/SER_summary!H$26)</f>
        <v>0</v>
      </c>
      <c r="I23" s="133">
        <f>IF(SER_hh_tesh!I23=0,0,SER_hh_tesh!I23/SER_summary!I$26)</f>
        <v>0</v>
      </c>
      <c r="J23" s="133">
        <f>IF(SER_hh_tesh!J23=0,0,SER_hh_tesh!J23/SER_summary!J$26)</f>
        <v>0</v>
      </c>
      <c r="K23" s="133">
        <f>IF(SER_hh_tesh!K23=0,0,SER_hh_tesh!K23/SER_summary!K$26)</f>
        <v>0</v>
      </c>
      <c r="L23" s="133">
        <f>IF(SER_hh_tesh!L23=0,0,SER_hh_tesh!L23/SER_summary!L$26)</f>
        <v>0</v>
      </c>
      <c r="M23" s="133">
        <f>IF(SER_hh_tesh!M23=0,0,SER_hh_tesh!M23/SER_summary!M$26)</f>
        <v>0</v>
      </c>
      <c r="N23" s="133">
        <f>IF(SER_hh_tesh!N23=0,0,SER_hh_tesh!N23/SER_summary!N$26)</f>
        <v>0</v>
      </c>
      <c r="O23" s="133">
        <f>IF(SER_hh_tesh!O23=0,0,SER_hh_tesh!O23/SER_summary!O$26)</f>
        <v>0</v>
      </c>
      <c r="P23" s="133">
        <f>IF(SER_hh_tesh!P23=0,0,SER_hh_tesh!P23/SER_summary!P$26)</f>
        <v>0</v>
      </c>
      <c r="Q23" s="133">
        <f>IF(SER_hh_tesh!Q23=0,0,SER_hh_tesh!Q23/SER_summary!Q$26)</f>
        <v>0</v>
      </c>
      <c r="R23" s="133">
        <f>IF(SER_hh_tesh!R23=0,0,SER_hh_tesh!R23/SER_summary!R$26)</f>
        <v>0</v>
      </c>
      <c r="S23" s="133">
        <f>IF(SER_hh_tesh!S23=0,0,SER_hh_tesh!S23/SER_summary!S$26)</f>
        <v>0</v>
      </c>
      <c r="T23" s="133">
        <f>IF(SER_hh_tesh!T23=0,0,SER_hh_tesh!T23/SER_summary!T$26)</f>
        <v>0</v>
      </c>
      <c r="U23" s="133">
        <f>IF(SER_hh_tesh!U23=0,0,SER_hh_tesh!U23/SER_summary!U$26)</f>
        <v>0</v>
      </c>
      <c r="V23" s="133">
        <f>IF(SER_hh_tesh!V23=0,0,SER_hh_tesh!V23/SER_summary!V$26)</f>
        <v>0</v>
      </c>
      <c r="W23" s="133">
        <f>IF(SER_hh_tesh!W23=0,0,SER_hh_tesh!W23/SER_summary!W$26)</f>
        <v>0</v>
      </c>
      <c r="DA23" s="157" t="s">
        <v>527</v>
      </c>
    </row>
    <row r="24" spans="1:105" ht="12" customHeight="1" x14ac:dyDescent="0.25">
      <c r="A24" s="132" t="s">
        <v>128</v>
      </c>
      <c r="B24" s="133">
        <f>IF(SER_hh_tesh!B24=0,0,SER_hh_tesh!B24/SER_summary!B$26)</f>
        <v>0</v>
      </c>
      <c r="C24" s="133">
        <f>IF(SER_hh_tesh!C24=0,0,SER_hh_tesh!C24/SER_summary!C$26)</f>
        <v>0</v>
      </c>
      <c r="D24" s="133">
        <f>IF(SER_hh_tesh!D24=0,0,SER_hh_tesh!D24/SER_summary!D$26)</f>
        <v>0</v>
      </c>
      <c r="E24" s="133">
        <f>IF(SER_hh_tesh!E24=0,0,SER_hh_tesh!E24/SER_summary!E$26)</f>
        <v>0</v>
      </c>
      <c r="F24" s="133">
        <f>IF(SER_hh_tesh!F24=0,0,SER_hh_tesh!F24/SER_summary!F$26)</f>
        <v>0</v>
      </c>
      <c r="G24" s="133">
        <f>IF(SER_hh_tesh!G24=0,0,SER_hh_tesh!G24/SER_summary!G$26)</f>
        <v>0</v>
      </c>
      <c r="H24" s="133">
        <f>IF(SER_hh_tesh!H24=0,0,SER_hh_tesh!H24/SER_summary!H$26)</f>
        <v>0</v>
      </c>
      <c r="I24" s="133">
        <f>IF(SER_hh_tesh!I24=0,0,SER_hh_tesh!I24/SER_summary!I$26)</f>
        <v>0</v>
      </c>
      <c r="J24" s="133">
        <f>IF(SER_hh_tesh!J24=0,0,SER_hh_tesh!J24/SER_summary!J$26)</f>
        <v>0</v>
      </c>
      <c r="K24" s="133">
        <f>IF(SER_hh_tesh!K24=0,0,SER_hh_tesh!K24/SER_summary!K$26)</f>
        <v>0</v>
      </c>
      <c r="L24" s="133">
        <f>IF(SER_hh_tesh!L24=0,0,SER_hh_tesh!L24/SER_summary!L$26)</f>
        <v>0</v>
      </c>
      <c r="M24" s="133">
        <f>IF(SER_hh_tesh!M24=0,0,SER_hh_tesh!M24/SER_summary!M$26)</f>
        <v>0</v>
      </c>
      <c r="N24" s="133">
        <f>IF(SER_hh_tesh!N24=0,0,SER_hh_tesh!N24/SER_summary!N$26)</f>
        <v>0</v>
      </c>
      <c r="O24" s="133">
        <f>IF(SER_hh_tesh!O24=0,0,SER_hh_tesh!O24/SER_summary!O$26)</f>
        <v>0</v>
      </c>
      <c r="P24" s="133">
        <f>IF(SER_hh_tesh!P24=0,0,SER_hh_tesh!P24/SER_summary!P$26)</f>
        <v>0</v>
      </c>
      <c r="Q24" s="133">
        <f>IF(SER_hh_tesh!Q24=0,0,SER_hh_tesh!Q24/SER_summary!Q$26)</f>
        <v>0</v>
      </c>
      <c r="R24" s="133">
        <f>IF(SER_hh_tesh!R24=0,0,SER_hh_tesh!R24/SER_summary!R$26)</f>
        <v>0</v>
      </c>
      <c r="S24" s="133">
        <f>IF(SER_hh_tesh!S24=0,0,SER_hh_tesh!S24/SER_summary!S$26)</f>
        <v>0</v>
      </c>
      <c r="T24" s="133">
        <f>IF(SER_hh_tesh!T24=0,0,SER_hh_tesh!T24/SER_summary!T$26)</f>
        <v>0</v>
      </c>
      <c r="U24" s="133">
        <f>IF(SER_hh_tesh!U24=0,0,SER_hh_tesh!U24/SER_summary!U$26)</f>
        <v>0</v>
      </c>
      <c r="V24" s="133">
        <f>IF(SER_hh_tesh!V24=0,0,SER_hh_tesh!V24/SER_summary!V$26)</f>
        <v>0</v>
      </c>
      <c r="W24" s="133">
        <f>IF(SER_hh_tesh!W24=0,0,SER_hh_tesh!W24/SER_summary!W$26)</f>
        <v>0</v>
      </c>
      <c r="DA24" s="157" t="s">
        <v>528</v>
      </c>
    </row>
    <row r="25" spans="1:105" ht="12" customHeight="1" x14ac:dyDescent="0.25">
      <c r="A25" s="132" t="s">
        <v>169</v>
      </c>
      <c r="B25" s="133">
        <f>IF(SER_hh_tesh!B25=0,0,SER_hh_tesh!B25/SER_summary!B$26)</f>
        <v>0</v>
      </c>
      <c r="C25" s="133">
        <f>IF(SER_hh_tesh!C25=0,0,SER_hh_tesh!C25/SER_summary!C$26)</f>
        <v>0</v>
      </c>
      <c r="D25" s="133">
        <f>IF(SER_hh_tesh!D25=0,0,SER_hh_tesh!D25/SER_summary!D$26)</f>
        <v>0</v>
      </c>
      <c r="E25" s="133">
        <f>IF(SER_hh_tesh!E25=0,0,SER_hh_tesh!E25/SER_summary!E$26)</f>
        <v>0</v>
      </c>
      <c r="F25" s="133">
        <f>IF(SER_hh_tesh!F25=0,0,SER_hh_tesh!F25/SER_summary!F$26)</f>
        <v>0</v>
      </c>
      <c r="G25" s="133">
        <f>IF(SER_hh_tesh!G25=0,0,SER_hh_tesh!G25/SER_summary!G$26)</f>
        <v>0</v>
      </c>
      <c r="H25" s="133">
        <f>IF(SER_hh_tesh!H25=0,0,SER_hh_tesh!H25/SER_summary!H$26)</f>
        <v>0</v>
      </c>
      <c r="I25" s="133">
        <f>IF(SER_hh_tesh!I25=0,0,SER_hh_tesh!I25/SER_summary!I$26)</f>
        <v>0</v>
      </c>
      <c r="J25" s="133">
        <f>IF(SER_hh_tesh!J25=0,0,SER_hh_tesh!J25/SER_summary!J$26)</f>
        <v>0</v>
      </c>
      <c r="K25" s="133">
        <f>IF(SER_hh_tesh!K25=0,0,SER_hh_tesh!K25/SER_summary!K$26)</f>
        <v>0</v>
      </c>
      <c r="L25" s="133">
        <f>IF(SER_hh_tesh!L25=0,0,SER_hh_tesh!L25/SER_summary!L$26)</f>
        <v>0</v>
      </c>
      <c r="M25" s="133">
        <f>IF(SER_hh_tesh!M25=0,0,SER_hh_tesh!M25/SER_summary!M$26)</f>
        <v>0</v>
      </c>
      <c r="N25" s="133">
        <f>IF(SER_hh_tesh!N25=0,0,SER_hh_tesh!N25/SER_summary!N$26)</f>
        <v>0</v>
      </c>
      <c r="O25" s="133">
        <f>IF(SER_hh_tesh!O25=0,0,SER_hh_tesh!O25/SER_summary!O$26)</f>
        <v>0</v>
      </c>
      <c r="P25" s="133">
        <f>IF(SER_hh_tesh!P25=0,0,SER_hh_tesh!P25/SER_summary!P$26)</f>
        <v>0</v>
      </c>
      <c r="Q25" s="133">
        <f>IF(SER_hh_tesh!Q25=0,0,SER_hh_tesh!Q25/SER_summary!Q$26)</f>
        <v>0</v>
      </c>
      <c r="R25" s="133">
        <f>IF(SER_hh_tesh!R25=0,0,SER_hh_tesh!R25/SER_summary!R$26)</f>
        <v>0</v>
      </c>
      <c r="S25" s="133">
        <f>IF(SER_hh_tesh!S25=0,0,SER_hh_tesh!S25/SER_summary!S$26)</f>
        <v>0</v>
      </c>
      <c r="T25" s="133">
        <f>IF(SER_hh_tesh!T25=0,0,SER_hh_tesh!T25/SER_summary!T$26)</f>
        <v>0</v>
      </c>
      <c r="U25" s="133">
        <f>IF(SER_hh_tesh!U25=0,0,SER_hh_tesh!U25/SER_summary!U$26)</f>
        <v>0</v>
      </c>
      <c r="V25" s="133">
        <f>IF(SER_hh_tesh!V25=0,0,SER_hh_tesh!V25/SER_summary!V$26)</f>
        <v>0</v>
      </c>
      <c r="W25" s="133">
        <f>IF(SER_hh_tesh!W25=0,0,SER_hh_tesh!W25/SER_summary!W$26)</f>
        <v>0</v>
      </c>
      <c r="DA25" s="157" t="s">
        <v>529</v>
      </c>
    </row>
    <row r="26" spans="1:105" ht="12" customHeight="1" x14ac:dyDescent="0.25">
      <c r="A26" s="132" t="s">
        <v>24</v>
      </c>
      <c r="B26" s="65">
        <f>IF(SER_hh_tesh!B26=0,0,SER_hh_tesh!B26/SER_summary!B$26)</f>
        <v>8.7973537667172401</v>
      </c>
      <c r="C26" s="65">
        <f>IF(SER_hh_tesh!C26=0,0,SER_hh_tesh!C26/SER_summary!C$26)</f>
        <v>8.8840317339976522</v>
      </c>
      <c r="D26" s="65">
        <f>IF(SER_hh_tesh!D26=0,0,SER_hh_tesh!D26/SER_summary!D$26)</f>
        <v>8.8349792320797427</v>
      </c>
      <c r="E26" s="65">
        <f>IF(SER_hh_tesh!E26=0,0,SER_hh_tesh!E26/SER_summary!E$26)</f>
        <v>8.7879236202746362</v>
      </c>
      <c r="F26" s="65">
        <f>IF(SER_hh_tesh!F26=0,0,SER_hh_tesh!F26/SER_summary!F$26)</f>
        <v>8.4767797890078587</v>
      </c>
      <c r="G26" s="65">
        <f>IF(SER_hh_tesh!G26=0,0,SER_hh_tesh!G26/SER_summary!G$26)</f>
        <v>8.4447758422443453</v>
      </c>
      <c r="H26" s="65">
        <f>IF(SER_hh_tesh!H26=0,0,SER_hh_tesh!H26/SER_summary!H$26)</f>
        <v>5.6187436257420877</v>
      </c>
      <c r="I26" s="65">
        <f>IF(SER_hh_tesh!I26=0,0,SER_hh_tesh!I26/SER_summary!I$26)</f>
        <v>4.9176057072701642</v>
      </c>
      <c r="J26" s="65">
        <f>IF(SER_hh_tesh!J26=0,0,SER_hh_tesh!J26/SER_summary!J$26)</f>
        <v>5.10863539198707</v>
      </c>
      <c r="K26" s="65">
        <f>IF(SER_hh_tesh!K26=0,0,SER_hh_tesh!K26/SER_summary!K$26)</f>
        <v>5.0478841516456594</v>
      </c>
      <c r="L26" s="65">
        <f>IF(SER_hh_tesh!L26=0,0,SER_hh_tesh!L26/SER_summary!L$26)</f>
        <v>4.7174105648975582</v>
      </c>
      <c r="M26" s="65">
        <f>IF(SER_hh_tesh!M26=0,0,SER_hh_tesh!M26/SER_summary!M$26)</f>
        <v>4.9296071056509945</v>
      </c>
      <c r="N26" s="65">
        <f>IF(SER_hh_tesh!N26=0,0,SER_hh_tesh!N26/SER_summary!N$26)</f>
        <v>5.0680596638723321</v>
      </c>
      <c r="O26" s="65">
        <f>IF(SER_hh_tesh!O26=0,0,SER_hh_tesh!O26/SER_summary!O$26)</f>
        <v>5.2217865981542015</v>
      </c>
      <c r="P26" s="65">
        <f>IF(SER_hh_tesh!P26=0,0,SER_hh_tesh!P26/SER_summary!P$26)</f>
        <v>5.3086849058020906</v>
      </c>
      <c r="Q26" s="65">
        <f>IF(SER_hh_tesh!Q26=0,0,SER_hh_tesh!Q26/SER_summary!Q$26)</f>
        <v>5.2392040682442405</v>
      </c>
      <c r="R26" s="65">
        <f>IF(SER_hh_tesh!R26=0,0,SER_hh_tesh!R26/SER_summary!R$26)</f>
        <v>5.1815049928065475</v>
      </c>
      <c r="S26" s="65">
        <f>IF(SER_hh_tesh!S26=0,0,SER_hh_tesh!S26/SER_summary!S$26)</f>
        <v>4.8408004214715756</v>
      </c>
      <c r="T26" s="65">
        <f>IF(SER_hh_tesh!T26=0,0,SER_hh_tesh!T26/SER_summary!T$26)</f>
        <v>4.8854919235489582</v>
      </c>
      <c r="U26" s="65">
        <f>IF(SER_hh_tesh!U26=0,0,SER_hh_tesh!U26/SER_summary!U$26)</f>
        <v>4.5841063914748821</v>
      </c>
      <c r="V26" s="65">
        <f>IF(SER_hh_tesh!V26=0,0,SER_hh_tesh!V26/SER_summary!V$26)</f>
        <v>4.2582757046827195</v>
      </c>
      <c r="W26" s="65">
        <f>IF(SER_hh_tesh!W26=0,0,SER_hh_tesh!W26/SER_summary!W$26)</f>
        <v>4.2940646306329935</v>
      </c>
      <c r="DA26" s="109" t="s">
        <v>530</v>
      </c>
    </row>
    <row r="27" spans="1:105" ht="12" customHeight="1" x14ac:dyDescent="0.25">
      <c r="A27" s="145" t="s">
        <v>86</v>
      </c>
      <c r="B27" s="146">
        <f>IF(SER_hh_tesh!B27=0,0,SER_hh_tesh!B27/SER_summary!B$26)</f>
        <v>4.1560278059668105</v>
      </c>
      <c r="C27" s="146">
        <f>IF(SER_hh_tesh!C27=0,0,SER_hh_tesh!C27/SER_summary!C$26)</f>
        <v>3.9508843676182992</v>
      </c>
      <c r="D27" s="146">
        <f>IF(SER_hh_tesh!D27=0,0,SER_hh_tesh!D27/SER_summary!D$26)</f>
        <v>3.9845252940387144</v>
      </c>
      <c r="E27" s="146">
        <f>IF(SER_hh_tesh!E27=0,0,SER_hh_tesh!E27/SER_summary!E$26)</f>
        <v>4.0224763048884178</v>
      </c>
      <c r="F27" s="146">
        <f>IF(SER_hh_tesh!F27=0,0,SER_hh_tesh!F27/SER_summary!F$26)</f>
        <v>4.3123482357529772</v>
      </c>
      <c r="G27" s="146">
        <f>IF(SER_hh_tesh!G27=0,0,SER_hh_tesh!G27/SER_summary!G$26)</f>
        <v>4.397751921509963</v>
      </c>
      <c r="H27" s="146">
        <f>IF(SER_hh_tesh!H27=0,0,SER_hh_tesh!H27/SER_summary!H$26)</f>
        <v>4.4757464980337183</v>
      </c>
      <c r="I27" s="146">
        <f>IF(SER_hh_tesh!I27=0,0,SER_hh_tesh!I27/SER_summary!I$26)</f>
        <v>5.4012773232964362</v>
      </c>
      <c r="J27" s="146">
        <f>IF(SER_hh_tesh!J27=0,0,SER_hh_tesh!J27/SER_summary!J$26)</f>
        <v>5.6565791956167066</v>
      </c>
      <c r="K27" s="146">
        <f>IF(SER_hh_tesh!K27=0,0,SER_hh_tesh!K27/SER_summary!K$26)</f>
        <v>5.6653172713396982</v>
      </c>
      <c r="L27" s="146">
        <f>IF(SER_hh_tesh!L27=0,0,SER_hh_tesh!L27/SER_summary!L$26)</f>
        <v>5.7484063138242849</v>
      </c>
      <c r="M27" s="146">
        <f>IF(SER_hh_tesh!M27=0,0,SER_hh_tesh!M27/SER_summary!M$26)</f>
        <v>5.7951209618607207</v>
      </c>
      <c r="N27" s="146">
        <f>IF(SER_hh_tesh!N27=0,0,SER_hh_tesh!N27/SER_summary!N$26)</f>
        <v>5.8211185983825882</v>
      </c>
      <c r="O27" s="146">
        <f>IF(SER_hh_tesh!O27=0,0,SER_hh_tesh!O27/SER_summary!O$26)</f>
        <v>5.9337731070210928</v>
      </c>
      <c r="P27" s="146">
        <f>IF(SER_hh_tesh!P27=0,0,SER_hh_tesh!P27/SER_summary!P$26)</f>
        <v>6.0818256462214695</v>
      </c>
      <c r="Q27" s="146">
        <f>IF(SER_hh_tesh!Q27=0,0,SER_hh_tesh!Q27/SER_summary!Q$26)</f>
        <v>6.2244995146137336</v>
      </c>
      <c r="R27" s="146">
        <f>IF(SER_hh_tesh!R27=0,0,SER_hh_tesh!R27/SER_summary!R$26)</f>
        <v>6.2743756088336946</v>
      </c>
      <c r="S27" s="146">
        <f>IF(SER_hh_tesh!S27=0,0,SER_hh_tesh!S27/SER_summary!S$26)</f>
        <v>6.3016775184199316</v>
      </c>
      <c r="T27" s="146">
        <f>IF(SER_hh_tesh!T27=0,0,SER_hh_tesh!T27/SER_summary!T$26)</f>
        <v>6.3436689822376655</v>
      </c>
      <c r="U27" s="146">
        <f>IF(SER_hh_tesh!U27=0,0,SER_hh_tesh!U27/SER_summary!U$26)</f>
        <v>6.3556844549573803</v>
      </c>
      <c r="V27" s="146">
        <f>IF(SER_hh_tesh!V27=0,0,SER_hh_tesh!V27/SER_summary!V$26)</f>
        <v>6.3908983868007203</v>
      </c>
      <c r="W27" s="146">
        <f>IF(SER_hh_tesh!W27=0,0,SER_hh_tesh!W27/SER_summary!W$26)</f>
        <v>6.4332693394102325</v>
      </c>
      <c r="DA27" s="159" t="s">
        <v>531</v>
      </c>
    </row>
    <row r="28" spans="1:105" ht="12" customHeight="1" x14ac:dyDescent="0.25">
      <c r="A28" s="78" t="s">
        <v>85</v>
      </c>
      <c r="B28" s="147">
        <f>IF(SER_hh_tesh!B28=0,0,SER_hh_tesh!B28/SER_summary!B$26)</f>
        <v>11.218351264203543</v>
      </c>
      <c r="C28" s="147">
        <f>IF(SER_hh_tesh!C28=0,0,SER_hh_tesh!C28/SER_summary!C$26)</f>
        <v>11.28458765030974</v>
      </c>
      <c r="D28" s="147">
        <f>IF(SER_hh_tesh!D28=0,0,SER_hh_tesh!D28/SER_summary!D$26)</f>
        <v>10.452745433249932</v>
      </c>
      <c r="E28" s="147">
        <f>IF(SER_hh_tesh!E28=0,0,SER_hh_tesh!E28/SER_summary!E$26)</f>
        <v>9.7871567815755469</v>
      </c>
      <c r="F28" s="147">
        <f>IF(SER_hh_tesh!F28=0,0,SER_hh_tesh!F28/SER_summary!F$26)</f>
        <v>9.913129038727071</v>
      </c>
      <c r="G28" s="147">
        <f>IF(SER_hh_tesh!G28=0,0,SER_hh_tesh!G28/SER_summary!G$26)</f>
        <v>9.3191768866599691</v>
      </c>
      <c r="H28" s="147">
        <f>IF(SER_hh_tesh!H28=0,0,SER_hh_tesh!H28/SER_summary!H$26)</f>
        <v>9.6584348589183175</v>
      </c>
      <c r="I28" s="147">
        <f>IF(SER_hh_tesh!I28=0,0,SER_hh_tesh!I28/SER_summary!I$26)</f>
        <v>10.601761542099883</v>
      </c>
      <c r="J28" s="147">
        <f>IF(SER_hh_tesh!J28=0,0,SER_hh_tesh!J28/SER_summary!J$26)</f>
        <v>10.799772223791352</v>
      </c>
      <c r="K28" s="147">
        <f>IF(SER_hh_tesh!K28=0,0,SER_hh_tesh!K28/SER_summary!K$26)</f>
        <v>10.372885489316797</v>
      </c>
      <c r="L28" s="147">
        <f>IF(SER_hh_tesh!L28=0,0,SER_hh_tesh!L28/SER_summary!L$26)</f>
        <v>10.587431412997026</v>
      </c>
      <c r="M28" s="147">
        <f>IF(SER_hh_tesh!M28=0,0,SER_hh_tesh!M28/SER_summary!M$26)</f>
        <v>10.550976416050231</v>
      </c>
      <c r="N28" s="147">
        <f>IF(SER_hh_tesh!N28=0,0,SER_hh_tesh!N28/SER_summary!N$26)</f>
        <v>11.178490610360804</v>
      </c>
      <c r="O28" s="147">
        <f>IF(SER_hh_tesh!O28=0,0,SER_hh_tesh!O28/SER_summary!O$26)</f>
        <v>12.584849979139939</v>
      </c>
      <c r="P28" s="147">
        <f>IF(SER_hh_tesh!P28=0,0,SER_hh_tesh!P28/SER_summary!P$26)</f>
        <v>12.760420829365179</v>
      </c>
      <c r="Q28" s="147">
        <f>IF(SER_hh_tesh!Q28=0,0,SER_hh_tesh!Q28/SER_summary!Q$26)</f>
        <v>12.590882152159285</v>
      </c>
      <c r="R28" s="147">
        <f>IF(SER_hh_tesh!R28=0,0,SER_hh_tesh!R28/SER_summary!R$26)</f>
        <v>12.221920187790053</v>
      </c>
      <c r="S28" s="147">
        <f>IF(SER_hh_tesh!S28=0,0,SER_hh_tesh!S28/SER_summary!S$26)</f>
        <v>11.502492937331734</v>
      </c>
      <c r="T28" s="147">
        <f>IF(SER_hh_tesh!T28=0,0,SER_hh_tesh!T28/SER_summary!T$26)</f>
        <v>11.750535886234465</v>
      </c>
      <c r="U28" s="147">
        <f>IF(SER_hh_tesh!U28=0,0,SER_hh_tesh!U28/SER_summary!U$26)</f>
        <v>11.774542274941917</v>
      </c>
      <c r="V28" s="147">
        <f>IF(SER_hh_tesh!V28=0,0,SER_hh_tesh!V28/SER_summary!V$26)</f>
        <v>10.953620956170202</v>
      </c>
      <c r="W28" s="147">
        <f>IF(SER_hh_tesh!W28=0,0,SER_hh_tesh!W28/SER_summary!W$26)</f>
        <v>10.942972520319708</v>
      </c>
      <c r="DA28" s="160"/>
    </row>
    <row r="29" spans="1:105" ht="12.95" customHeight="1" x14ac:dyDescent="0.25">
      <c r="A29" s="130" t="s">
        <v>34</v>
      </c>
      <c r="B29" s="131">
        <f>IF(SER_hh_tesh!B29=0,0,SER_hh_tesh!B29/SER_summary!B$26)</f>
        <v>12.773347665940621</v>
      </c>
      <c r="C29" s="131">
        <f>IF(SER_hh_tesh!C29=0,0,SER_hh_tesh!C29/SER_summary!C$26)</f>
        <v>12.706470880377374</v>
      </c>
      <c r="D29" s="131">
        <f>IF(SER_hh_tesh!D29=0,0,SER_hh_tesh!D29/SER_summary!D$26)</f>
        <v>12.771364481681905</v>
      </c>
      <c r="E29" s="131">
        <f>IF(SER_hh_tesh!E29=0,0,SER_hh_tesh!E29/SER_summary!E$26)</f>
        <v>12.8898220894429</v>
      </c>
      <c r="F29" s="131">
        <f>IF(SER_hh_tesh!F29=0,0,SER_hh_tesh!F29/SER_summary!F$26)</f>
        <v>13.141386185302331</v>
      </c>
      <c r="G29" s="131">
        <f>IF(SER_hh_tesh!G29=0,0,SER_hh_tesh!G29/SER_summary!G$26)</f>
        <v>13.315013030222689</v>
      </c>
      <c r="H29" s="131">
        <f>IF(SER_hh_tesh!H29=0,0,SER_hh_tesh!H29/SER_summary!H$26)</f>
        <v>13.39558294635958</v>
      </c>
      <c r="I29" s="131">
        <f>IF(SER_hh_tesh!I29=0,0,SER_hh_tesh!I29/SER_summary!I$26)</f>
        <v>13.46848068514643</v>
      </c>
      <c r="J29" s="131">
        <f>IF(SER_hh_tesh!J29=0,0,SER_hh_tesh!J29/SER_summary!J$26)</f>
        <v>13.62894606704107</v>
      </c>
      <c r="K29" s="131">
        <f>IF(SER_hh_tesh!K29=0,0,SER_hh_tesh!K29/SER_summary!K$26)</f>
        <v>13.553840875490817</v>
      </c>
      <c r="L29" s="131">
        <f>IF(SER_hh_tesh!L29=0,0,SER_hh_tesh!L29/SER_summary!L$26)</f>
        <v>13.356547107393251</v>
      </c>
      <c r="M29" s="131">
        <f>IF(SER_hh_tesh!M29=0,0,SER_hh_tesh!M29/SER_summary!M$26)</f>
        <v>13.342004879680552</v>
      </c>
      <c r="N29" s="131">
        <f>IF(SER_hh_tesh!N29=0,0,SER_hh_tesh!N29/SER_summary!N$26)</f>
        <v>13.408681494685551</v>
      </c>
      <c r="O29" s="131">
        <f>IF(SER_hh_tesh!O29=0,0,SER_hh_tesh!O29/SER_summary!O$26)</f>
        <v>13.395136861248165</v>
      </c>
      <c r="P29" s="131">
        <f>IF(SER_hh_tesh!P29=0,0,SER_hh_tesh!P29/SER_summary!P$26)</f>
        <v>13.522644498198128</v>
      </c>
      <c r="Q29" s="131">
        <f>IF(SER_hh_tesh!Q29=0,0,SER_hh_tesh!Q29/SER_summary!Q$26)</f>
        <v>13.489907600159205</v>
      </c>
      <c r="R29" s="131">
        <f>IF(SER_hh_tesh!R29=0,0,SER_hh_tesh!R29/SER_summary!R$26)</f>
        <v>13.425330113889405</v>
      </c>
      <c r="S29" s="131">
        <f>IF(SER_hh_tesh!S29=0,0,SER_hh_tesh!S29/SER_summary!S$26)</f>
        <v>13.332503224397339</v>
      </c>
      <c r="T29" s="131">
        <f>IF(SER_hh_tesh!T29=0,0,SER_hh_tesh!T29/SER_summary!T$26)</f>
        <v>13.452840311195777</v>
      </c>
      <c r="U29" s="131">
        <f>IF(SER_hh_tesh!U29=0,0,SER_hh_tesh!U29/SER_summary!U$26)</f>
        <v>13.405657025940053</v>
      </c>
      <c r="V29" s="131">
        <f>IF(SER_hh_tesh!V29=0,0,SER_hh_tesh!V29/SER_summary!V$26)</f>
        <v>12.065974236231888</v>
      </c>
      <c r="W29" s="131">
        <f>IF(SER_hh_tesh!W29=0,0,SER_hh_tesh!W29/SER_summary!W$26)</f>
        <v>12.52384168589577</v>
      </c>
      <c r="DA29" s="156" t="s">
        <v>532</v>
      </c>
    </row>
    <row r="30" spans="1:105" ht="12" customHeight="1" x14ac:dyDescent="0.25">
      <c r="A30" s="132" t="s">
        <v>52</v>
      </c>
      <c r="B30" s="133">
        <f>IF(SER_hh_tesh!B30=0,0,SER_hh_tesh!B30/SER_summary!B$26)</f>
        <v>0</v>
      </c>
      <c r="C30" s="133">
        <f>IF(SER_hh_tesh!C30=0,0,SER_hh_tesh!C30/SER_summary!C$26)</f>
        <v>0</v>
      </c>
      <c r="D30" s="133">
        <f>IF(SER_hh_tesh!D30=0,0,SER_hh_tesh!D30/SER_summary!D$26)</f>
        <v>0</v>
      </c>
      <c r="E30" s="133">
        <f>IF(SER_hh_tesh!E30=0,0,SER_hh_tesh!E30/SER_summary!E$26)</f>
        <v>0</v>
      </c>
      <c r="F30" s="133">
        <f>IF(SER_hh_tesh!F30=0,0,SER_hh_tesh!F30/SER_summary!F$26)</f>
        <v>0</v>
      </c>
      <c r="G30" s="133">
        <f>IF(SER_hh_tesh!G30=0,0,SER_hh_tesh!G30/SER_summary!G$26)</f>
        <v>0</v>
      </c>
      <c r="H30" s="133">
        <f>IF(SER_hh_tesh!H30=0,0,SER_hh_tesh!H30/SER_summary!H$26)</f>
        <v>18.883518400134768</v>
      </c>
      <c r="I30" s="133">
        <f>IF(SER_hh_tesh!I30=0,0,SER_hh_tesh!I30/SER_summary!I$26)</f>
        <v>14.440564703842384</v>
      </c>
      <c r="J30" s="133">
        <f>IF(SER_hh_tesh!J30=0,0,SER_hh_tesh!J30/SER_summary!J$26)</f>
        <v>15.069114062909</v>
      </c>
      <c r="K30" s="133">
        <f>IF(SER_hh_tesh!K30=0,0,SER_hh_tesh!K30/SER_summary!K$26)</f>
        <v>12.741830435550071</v>
      </c>
      <c r="L30" s="133">
        <f>IF(SER_hh_tesh!L30=0,0,SER_hh_tesh!L30/SER_summary!L$26)</f>
        <v>11.77053194891459</v>
      </c>
      <c r="M30" s="133">
        <f>IF(SER_hh_tesh!M30=0,0,SER_hh_tesh!M30/SER_summary!M$26)</f>
        <v>14.110073336479925</v>
      </c>
      <c r="N30" s="133">
        <f>IF(SER_hh_tesh!N30=0,0,SER_hh_tesh!N30/SER_summary!N$26)</f>
        <v>14.568811281653016</v>
      </c>
      <c r="O30" s="133">
        <f>IF(SER_hh_tesh!O30=0,0,SER_hh_tesh!O30/SER_summary!O$26)</f>
        <v>13.549265754190317</v>
      </c>
      <c r="P30" s="133">
        <f>IF(SER_hh_tesh!P30=0,0,SER_hh_tesh!P30/SER_summary!P$26)</f>
        <v>11.8566096281574</v>
      </c>
      <c r="Q30" s="133">
        <f>IF(SER_hh_tesh!Q30=0,0,SER_hh_tesh!Q30/SER_summary!Q$26)</f>
        <v>13.548373938481461</v>
      </c>
      <c r="R30" s="133">
        <f>IF(SER_hh_tesh!R30=0,0,SER_hh_tesh!R30/SER_summary!R$26)</f>
        <v>12.078128900783469</v>
      </c>
      <c r="S30" s="133">
        <f>IF(SER_hh_tesh!S30=0,0,SER_hh_tesh!S30/SER_summary!S$26)</f>
        <v>13.940910161616845</v>
      </c>
      <c r="T30" s="133">
        <f>IF(SER_hh_tesh!T30=0,0,SER_hh_tesh!T30/SER_summary!T$26)</f>
        <v>14.490076600163633</v>
      </c>
      <c r="U30" s="133">
        <f>IF(SER_hh_tesh!U30=0,0,SER_hh_tesh!U30/SER_summary!U$26)</f>
        <v>18.369856364303295</v>
      </c>
      <c r="V30" s="133">
        <f>IF(SER_hh_tesh!V30=0,0,SER_hh_tesh!V30/SER_summary!V$26)</f>
        <v>12.864716353505832</v>
      </c>
      <c r="W30" s="133">
        <f>IF(SER_hh_tesh!W30=0,0,SER_hh_tesh!W30/SER_summary!W$26)</f>
        <v>11.305450060744668</v>
      </c>
      <c r="DA30" s="157" t="s">
        <v>533</v>
      </c>
    </row>
    <row r="31" spans="1:105" ht="12" customHeight="1" x14ac:dyDescent="0.25">
      <c r="A31" s="132" t="s">
        <v>153</v>
      </c>
      <c r="B31" s="133">
        <f>IF(SER_hh_tesh!B31=0,0,SER_hh_tesh!B31/SER_summary!B$26)</f>
        <v>0</v>
      </c>
      <c r="C31" s="133">
        <f>IF(SER_hh_tesh!C31=0,0,SER_hh_tesh!C31/SER_summary!C$26)</f>
        <v>0</v>
      </c>
      <c r="D31" s="133">
        <f>IF(SER_hh_tesh!D31=0,0,SER_hh_tesh!D31/SER_summary!D$26)</f>
        <v>0</v>
      </c>
      <c r="E31" s="133">
        <f>IF(SER_hh_tesh!E31=0,0,SER_hh_tesh!E31/SER_summary!E$26)</f>
        <v>0</v>
      </c>
      <c r="F31" s="133">
        <f>IF(SER_hh_tesh!F31=0,0,SER_hh_tesh!F31/SER_summary!F$26)</f>
        <v>0</v>
      </c>
      <c r="G31" s="133">
        <f>IF(SER_hh_tesh!G31=0,0,SER_hh_tesh!G31/SER_summary!G$26)</f>
        <v>0</v>
      </c>
      <c r="H31" s="133">
        <f>IF(SER_hh_tesh!H31=0,0,SER_hh_tesh!H31/SER_summary!H$26)</f>
        <v>0</v>
      </c>
      <c r="I31" s="133">
        <f>IF(SER_hh_tesh!I31=0,0,SER_hh_tesh!I31/SER_summary!I$26)</f>
        <v>0</v>
      </c>
      <c r="J31" s="133">
        <f>IF(SER_hh_tesh!J31=0,0,SER_hh_tesh!J31/SER_summary!J$26)</f>
        <v>0</v>
      </c>
      <c r="K31" s="133">
        <f>IF(SER_hh_tesh!K31=0,0,SER_hh_tesh!K31/SER_summary!K$26)</f>
        <v>0</v>
      </c>
      <c r="L31" s="133">
        <f>IF(SER_hh_tesh!L31=0,0,SER_hh_tesh!L31/SER_summary!L$26)</f>
        <v>0</v>
      </c>
      <c r="M31" s="133">
        <f>IF(SER_hh_tesh!M31=0,0,SER_hh_tesh!M31/SER_summary!M$26)</f>
        <v>0</v>
      </c>
      <c r="N31" s="133">
        <f>IF(SER_hh_tesh!N31=0,0,SER_hh_tesh!N31/SER_summary!N$26)</f>
        <v>0</v>
      </c>
      <c r="O31" s="133">
        <f>IF(SER_hh_tesh!O31=0,0,SER_hh_tesh!O31/SER_summary!O$26)</f>
        <v>0</v>
      </c>
      <c r="P31" s="133">
        <f>IF(SER_hh_tesh!P31=0,0,SER_hh_tesh!P31/SER_summary!P$26)</f>
        <v>0</v>
      </c>
      <c r="Q31" s="133">
        <f>IF(SER_hh_tesh!Q31=0,0,SER_hh_tesh!Q31/SER_summary!Q$26)</f>
        <v>0</v>
      </c>
      <c r="R31" s="133">
        <f>IF(SER_hh_tesh!R31=0,0,SER_hh_tesh!R31/SER_summary!R$26)</f>
        <v>0</v>
      </c>
      <c r="S31" s="133">
        <f>IF(SER_hh_tesh!S31=0,0,SER_hh_tesh!S31/SER_summary!S$26)</f>
        <v>0</v>
      </c>
      <c r="T31" s="133">
        <f>IF(SER_hh_tesh!T31=0,0,SER_hh_tesh!T31/SER_summary!T$26)</f>
        <v>0</v>
      </c>
      <c r="U31" s="133">
        <f>IF(SER_hh_tesh!U31=0,0,SER_hh_tesh!U31/SER_summary!U$26)</f>
        <v>0</v>
      </c>
      <c r="V31" s="133">
        <f>IF(SER_hh_tesh!V31=0,0,SER_hh_tesh!V31/SER_summary!V$26)</f>
        <v>0</v>
      </c>
      <c r="W31" s="133">
        <f>IF(SER_hh_tesh!W31=0,0,SER_hh_tesh!W31/SER_summary!W$26)</f>
        <v>0</v>
      </c>
      <c r="DA31" s="157" t="s">
        <v>534</v>
      </c>
    </row>
    <row r="32" spans="1:105" ht="12" customHeight="1" x14ac:dyDescent="0.25">
      <c r="A32" s="132" t="s">
        <v>128</v>
      </c>
      <c r="B32" s="133">
        <f>IF(SER_hh_tesh!B32=0,0,SER_hh_tesh!B32/SER_summary!B$26)</f>
        <v>12.742436884262073</v>
      </c>
      <c r="C32" s="133">
        <f>IF(SER_hh_tesh!C32=0,0,SER_hh_tesh!C32/SER_summary!C$26)</f>
        <v>11.580429448949506</v>
      </c>
      <c r="D32" s="133">
        <f>IF(SER_hh_tesh!D32=0,0,SER_hh_tesh!D32/SER_summary!D$26)</f>
        <v>13.744389033873269</v>
      </c>
      <c r="E32" s="133">
        <f>IF(SER_hh_tesh!E32=0,0,SER_hh_tesh!E32/SER_summary!E$26)</f>
        <v>12.241298446958696</v>
      </c>
      <c r="F32" s="133">
        <f>IF(SER_hh_tesh!F32=0,0,SER_hh_tesh!F32/SER_summary!F$26)</f>
        <v>12.800306470458358</v>
      </c>
      <c r="G32" s="133">
        <f>IF(SER_hh_tesh!G32=0,0,SER_hh_tesh!G32/SER_summary!G$26)</f>
        <v>13.74542453066044</v>
      </c>
      <c r="H32" s="133">
        <f>IF(SER_hh_tesh!H32=0,0,SER_hh_tesh!H32/SER_summary!H$26)</f>
        <v>12.18899767904875</v>
      </c>
      <c r="I32" s="133">
        <f>IF(SER_hh_tesh!I32=0,0,SER_hh_tesh!I32/SER_summary!I$26)</f>
        <v>14.777617259107107</v>
      </c>
      <c r="J32" s="133">
        <f>IF(SER_hh_tesh!J32=0,0,SER_hh_tesh!J32/SER_summary!J$26)</f>
        <v>13.997352390500598</v>
      </c>
      <c r="K32" s="133">
        <f>IF(SER_hh_tesh!K32=0,0,SER_hh_tesh!K32/SER_summary!K$26)</f>
        <v>13.440215404001698</v>
      </c>
      <c r="L32" s="133">
        <f>IF(SER_hh_tesh!L32=0,0,SER_hh_tesh!L32/SER_summary!L$26)</f>
        <v>13.406635944806302</v>
      </c>
      <c r="M32" s="133">
        <f>IF(SER_hh_tesh!M32=0,0,SER_hh_tesh!M32/SER_summary!M$26)</f>
        <v>13.384328281992669</v>
      </c>
      <c r="N32" s="133">
        <f>IF(SER_hh_tesh!N32=0,0,SER_hh_tesh!N32/SER_summary!N$26)</f>
        <v>13.398117231646197</v>
      </c>
      <c r="O32" s="133">
        <f>IF(SER_hh_tesh!O32=0,0,SER_hh_tesh!O32/SER_summary!O$26)</f>
        <v>13.464600998256813</v>
      </c>
      <c r="P32" s="133">
        <f>IF(SER_hh_tesh!P32=0,0,SER_hh_tesh!P32/SER_summary!P$26)</f>
        <v>13.582602675016156</v>
      </c>
      <c r="Q32" s="133">
        <f>IF(SER_hh_tesh!Q32=0,0,SER_hh_tesh!Q32/SER_summary!Q$26)</f>
        <v>13.328648754041525</v>
      </c>
      <c r="R32" s="133">
        <f>IF(SER_hh_tesh!R32=0,0,SER_hh_tesh!R32/SER_summary!R$26)</f>
        <v>13.329034132368632</v>
      </c>
      <c r="S32" s="133">
        <f>IF(SER_hh_tesh!S32=0,0,SER_hh_tesh!S32/SER_summary!S$26)</f>
        <v>13.080410843501349</v>
      </c>
      <c r="T32" s="133">
        <f>IF(SER_hh_tesh!T32=0,0,SER_hh_tesh!T32/SER_summary!T$26)</f>
        <v>12.494261588895663</v>
      </c>
      <c r="U32" s="133">
        <f>IF(SER_hh_tesh!U32=0,0,SER_hh_tesh!U32/SER_summary!U$26)</f>
        <v>14.324509939682441</v>
      </c>
      <c r="V32" s="133">
        <f>IF(SER_hh_tesh!V32=0,0,SER_hh_tesh!V32/SER_summary!V$26)</f>
        <v>13.545022413961011</v>
      </c>
      <c r="W32" s="133">
        <f>IF(SER_hh_tesh!W32=0,0,SER_hh_tesh!W32/SER_summary!W$26)</f>
        <v>9.0828712944810217</v>
      </c>
      <c r="DA32" s="157" t="s">
        <v>535</v>
      </c>
    </row>
    <row r="33" spans="1:105" ht="12" customHeight="1" x14ac:dyDescent="0.25">
      <c r="A33" s="62" t="s">
        <v>24</v>
      </c>
      <c r="B33" s="68">
        <f>IF(SER_hh_tesh!B33=0,0,SER_hh_tesh!B33/SER_summary!B$26)</f>
        <v>12.775406444739019</v>
      </c>
      <c r="C33" s="68">
        <f>IF(SER_hh_tesh!C33=0,0,SER_hh_tesh!C33/SER_summary!C$26)</f>
        <v>12.787972651333568</v>
      </c>
      <c r="D33" s="68">
        <f>IF(SER_hh_tesh!D33=0,0,SER_hh_tesh!D33/SER_summary!D$26)</f>
        <v>12.688269008277743</v>
      </c>
      <c r="E33" s="68">
        <f>IF(SER_hh_tesh!E33=0,0,SER_hh_tesh!E33/SER_summary!E$26)</f>
        <v>12.951644933847005</v>
      </c>
      <c r="F33" s="68">
        <f>IF(SER_hh_tesh!F33=0,0,SER_hh_tesh!F33/SER_summary!F$26)</f>
        <v>13.178157151775022</v>
      </c>
      <c r="G33" s="68">
        <f>IF(SER_hh_tesh!G33=0,0,SER_hh_tesh!G33/SER_summary!G$26)</f>
        <v>13.261298336725119</v>
      </c>
      <c r="H33" s="68">
        <f>IF(SER_hh_tesh!H33=0,0,SER_hh_tesh!H33/SER_summary!H$26)</f>
        <v>12.607930681921232</v>
      </c>
      <c r="I33" s="68">
        <f>IF(SER_hh_tesh!I33=0,0,SER_hh_tesh!I33/SER_summary!I$26)</f>
        <v>12.972709751457016</v>
      </c>
      <c r="J33" s="68">
        <f>IF(SER_hh_tesh!J33=0,0,SER_hh_tesh!J33/SER_summary!J$26)</f>
        <v>13.156326950953341</v>
      </c>
      <c r="K33" s="68">
        <f>IF(SER_hh_tesh!K33=0,0,SER_hh_tesh!K33/SER_summary!K$26)</f>
        <v>13.782954156110508</v>
      </c>
      <c r="L33" s="68">
        <f>IF(SER_hh_tesh!L33=0,0,SER_hh_tesh!L33/SER_summary!L$26)</f>
        <v>13.740680395932287</v>
      </c>
      <c r="M33" s="68">
        <f>IF(SER_hh_tesh!M33=0,0,SER_hh_tesh!M33/SER_summary!M$26)</f>
        <v>13.128612532782515</v>
      </c>
      <c r="N33" s="68">
        <f>IF(SER_hh_tesh!N33=0,0,SER_hh_tesh!N33/SER_summary!N$26)</f>
        <v>13.09596115318417</v>
      </c>
      <c r="O33" s="68">
        <f>IF(SER_hh_tesh!O33=0,0,SER_hh_tesh!O33/SER_summary!O$26)</f>
        <v>13.340600304453599</v>
      </c>
      <c r="P33" s="68">
        <f>IF(SER_hh_tesh!P33=0,0,SER_hh_tesh!P33/SER_summary!P$26)</f>
        <v>13.942185882440745</v>
      </c>
      <c r="Q33" s="68">
        <f>IF(SER_hh_tesh!Q33=0,0,SER_hh_tesh!Q33/SER_summary!Q$26)</f>
        <v>13.504321127910535</v>
      </c>
      <c r="R33" s="68">
        <f>IF(SER_hh_tesh!R33=0,0,SER_hh_tesh!R33/SER_summary!R$26)</f>
        <v>13.88277515956149</v>
      </c>
      <c r="S33" s="68">
        <f>IF(SER_hh_tesh!S33=0,0,SER_hh_tesh!S33/SER_summary!S$26)</f>
        <v>13.13408490999805</v>
      </c>
      <c r="T33" s="68">
        <f>IF(SER_hh_tesh!T33=0,0,SER_hh_tesh!T33/SER_summary!T$26)</f>
        <v>13.233670498247308</v>
      </c>
      <c r="U33" s="68">
        <f>IF(SER_hh_tesh!U33=0,0,SER_hh_tesh!U33/SER_summary!U$26)</f>
        <v>11.137562376707463</v>
      </c>
      <c r="V33" s="68">
        <f>IF(SER_hh_tesh!V33=0,0,SER_hh_tesh!V33/SER_summary!V$26)</f>
        <v>11.354930760103141</v>
      </c>
      <c r="W33" s="68">
        <f>IF(SER_hh_tesh!W33=0,0,SER_hh_tesh!W33/SER_summary!W$26)</f>
        <v>13.868387274938286</v>
      </c>
      <c r="DA33" s="111" t="s">
        <v>536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537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92</v>
      </c>
      <c r="B3" s="126">
        <f>IF(SER_hh_emih!B3=0,0,SER_hh_emih!B3/SER_summary!B$26)</f>
        <v>5.5235649555290962</v>
      </c>
      <c r="C3" s="126">
        <f>IF(SER_hh_emih!C3=0,0,SER_hh_emih!C3/SER_summary!C$26)</f>
        <v>5.471597266995964</v>
      </c>
      <c r="D3" s="126">
        <f>IF(SER_hh_emih!D3=0,0,SER_hh_emih!D3/SER_summary!D$26)</f>
        <v>5.1710404683912747</v>
      </c>
      <c r="E3" s="126">
        <f>IF(SER_hh_emih!E3=0,0,SER_hh_emih!E3/SER_summary!E$26)</f>
        <v>5.2231744185972984</v>
      </c>
      <c r="F3" s="126">
        <f>IF(SER_hh_emih!F3=0,0,SER_hh_emih!F3/SER_summary!F$26)</f>
        <v>4.5988756331440683</v>
      </c>
      <c r="G3" s="126">
        <f>IF(SER_hh_emih!G3=0,0,SER_hh_emih!G3/SER_summary!G$26)</f>
        <v>4.3233250323071601</v>
      </c>
      <c r="H3" s="126">
        <f>IF(SER_hh_emih!H3=0,0,SER_hh_emih!H3/SER_summary!H$26)</f>
        <v>7.195341579151882</v>
      </c>
      <c r="I3" s="126">
        <f>IF(SER_hh_emih!I3=0,0,SER_hh_emih!I3/SER_summary!I$26)</f>
        <v>7.2045783494916975</v>
      </c>
      <c r="J3" s="126">
        <f>IF(SER_hh_emih!J3=0,0,SER_hh_emih!J3/SER_summary!J$26)</f>
        <v>8.8618051212667073</v>
      </c>
      <c r="K3" s="126">
        <f>IF(SER_hh_emih!K3=0,0,SER_hh_emih!K3/SER_summary!K$26)</f>
        <v>6.9844828798052543</v>
      </c>
      <c r="L3" s="126">
        <f>IF(SER_hh_emih!L3=0,0,SER_hh_emih!L3/SER_summary!L$26)</f>
        <v>7.4458114491587049</v>
      </c>
      <c r="M3" s="126">
        <f>IF(SER_hh_emih!M3=0,0,SER_hh_emih!M3/SER_summary!M$26)</f>
        <v>7.2630380532067313</v>
      </c>
      <c r="N3" s="126">
        <f>IF(SER_hh_emih!N3=0,0,SER_hh_emih!N3/SER_summary!N$26)</f>
        <v>6.4301725323624339</v>
      </c>
      <c r="O3" s="126">
        <f>IF(SER_hh_emih!O3=0,0,SER_hh_emih!O3/SER_summary!O$26)</f>
        <v>6.5862928280292294</v>
      </c>
      <c r="P3" s="126">
        <f>IF(SER_hh_emih!P3=0,0,SER_hh_emih!P3/SER_summary!P$26)</f>
        <v>6.1869216104041387</v>
      </c>
      <c r="Q3" s="126">
        <f>IF(SER_hh_emih!Q3=0,0,SER_hh_emih!Q3/SER_summary!Q$26)</f>
        <v>5.7301974801354598</v>
      </c>
      <c r="R3" s="126">
        <f>IF(SER_hh_emih!R3=0,0,SER_hh_emih!R3/SER_summary!R$26)</f>
        <v>5.5106286311919339</v>
      </c>
      <c r="S3" s="126">
        <f>IF(SER_hh_emih!S3=0,0,SER_hh_emih!S3/SER_summary!S$26)</f>
        <v>6.2529944098615902</v>
      </c>
      <c r="T3" s="126">
        <f>IF(SER_hh_emih!T3=0,0,SER_hh_emih!T3/SER_summary!T$26)</f>
        <v>6.1236903196546306</v>
      </c>
      <c r="U3" s="126">
        <f>IF(SER_hh_emih!U3=0,0,SER_hh_emih!U3/SER_summary!U$26)</f>
        <v>7.350070393713886</v>
      </c>
      <c r="V3" s="126">
        <f>IF(SER_hh_emih!V3=0,0,SER_hh_emih!V3/SER_summary!V$26)</f>
        <v>5.7016720015365276</v>
      </c>
      <c r="W3" s="126">
        <f>IF(SER_hh_emih!W3=0,0,SER_hh_emih!W3/SER_summary!W$26)</f>
        <v>5.9061209904688923</v>
      </c>
      <c r="DA3" s="155" t="s">
        <v>538</v>
      </c>
    </row>
    <row r="4" spans="1:105" ht="12.95" customHeight="1" x14ac:dyDescent="0.25">
      <c r="A4" s="130" t="s">
        <v>32</v>
      </c>
      <c r="B4" s="131">
        <f>IF(SER_hh_emih!B4=0,0,SER_hh_emih!B4/SER_summary!B$26)</f>
        <v>5.2691679846805712</v>
      </c>
      <c r="C4" s="131">
        <f>IF(SER_hh_emih!C4=0,0,SER_hh_emih!C4/SER_summary!C$26)</f>
        <v>5.2206629103290298</v>
      </c>
      <c r="D4" s="131">
        <f>IF(SER_hh_emih!D4=0,0,SER_hh_emih!D4/SER_summary!D$26)</f>
        <v>4.9231672200783727</v>
      </c>
      <c r="E4" s="131">
        <f>IF(SER_hh_emih!E4=0,0,SER_hh_emih!E4/SER_summary!E$26)</f>
        <v>4.9813113949719856</v>
      </c>
      <c r="F4" s="131">
        <f>IF(SER_hh_emih!F4=0,0,SER_hh_emih!F4/SER_summary!F$26)</f>
        <v>4.3612175475020889</v>
      </c>
      <c r="G4" s="131">
        <f>IF(SER_hh_emih!G4=0,0,SER_hh_emih!G4/SER_summary!G$26)</f>
        <v>4.0900853349471316</v>
      </c>
      <c r="H4" s="131">
        <f>IF(SER_hh_emih!H4=0,0,SER_hh_emih!H4/SER_summary!H$26)</f>
        <v>4.610801299104204</v>
      </c>
      <c r="I4" s="131">
        <f>IF(SER_hh_emih!I4=0,0,SER_hh_emih!I4/SER_summary!I$26)</f>
        <v>4.6883492514341158</v>
      </c>
      <c r="J4" s="131">
        <f>IF(SER_hh_emih!J4=0,0,SER_hh_emih!J4/SER_summary!J$26)</f>
        <v>6.2370531700569369</v>
      </c>
      <c r="K4" s="131">
        <f>IF(SER_hh_emih!K4=0,0,SER_hh_emih!K4/SER_summary!K$26)</f>
        <v>4.6102790040531447</v>
      </c>
      <c r="L4" s="131">
        <f>IF(SER_hh_emih!L4=0,0,SER_hh_emih!L4/SER_summary!L$26)</f>
        <v>5.1512968930895839</v>
      </c>
      <c r="M4" s="131">
        <f>IF(SER_hh_emih!M4=0,0,SER_hh_emih!M4/SER_summary!M$26)</f>
        <v>4.8620534077977497</v>
      </c>
      <c r="N4" s="131">
        <f>IF(SER_hh_emih!N4=0,0,SER_hh_emih!N4/SER_summary!N$26)</f>
        <v>4.0824427156863612</v>
      </c>
      <c r="O4" s="131">
        <f>IF(SER_hh_emih!O4=0,0,SER_hh_emih!O4/SER_summary!O$26)</f>
        <v>4.3984928180442902</v>
      </c>
      <c r="P4" s="131">
        <f>IF(SER_hh_emih!P4=0,0,SER_hh_emih!P4/SER_summary!P$26)</f>
        <v>4.288400204532941</v>
      </c>
      <c r="Q4" s="131">
        <f>IF(SER_hh_emih!Q4=0,0,SER_hh_emih!Q4/SER_summary!Q$26)</f>
        <v>3.6622744845724489</v>
      </c>
      <c r="R4" s="131">
        <f>IF(SER_hh_emih!R4=0,0,SER_hh_emih!R4/SER_summary!R$26)</f>
        <v>3.4583904935426122</v>
      </c>
      <c r="S4" s="131">
        <f>IF(SER_hh_emih!S4=0,0,SER_hh_emih!S4/SER_summary!S$26)</f>
        <v>3.8582639545253121</v>
      </c>
      <c r="T4" s="131">
        <f>IF(SER_hh_emih!T4=0,0,SER_hh_emih!T4/SER_summary!T$26)</f>
        <v>3.7260961979703531</v>
      </c>
      <c r="U4" s="131">
        <f>IF(SER_hh_emih!U4=0,0,SER_hh_emih!U4/SER_summary!U$26)</f>
        <v>4.6664389671447069</v>
      </c>
      <c r="V4" s="131">
        <f>IF(SER_hh_emih!V4=0,0,SER_hh_emih!V4/SER_summary!V$26)</f>
        <v>3.71383934397219</v>
      </c>
      <c r="W4" s="131">
        <f>IF(SER_hh_emih!W4=0,0,SER_hh_emih!W4/SER_summary!W$26)</f>
        <v>4.1519750536816025</v>
      </c>
      <c r="DA4" s="156" t="s">
        <v>539</v>
      </c>
    </row>
    <row r="5" spans="1:105" ht="12" customHeight="1" x14ac:dyDescent="0.25">
      <c r="A5" s="132" t="s">
        <v>29</v>
      </c>
      <c r="B5" s="133">
        <f>IF(SER_hh_emih!B5=0,0,SER_hh_emih!B5/SER_summary!B$26)</f>
        <v>0</v>
      </c>
      <c r="C5" s="133">
        <f>IF(SER_hh_emih!C5=0,0,SER_hh_emih!C5/SER_summary!C$26)</f>
        <v>0</v>
      </c>
      <c r="D5" s="133">
        <f>IF(SER_hh_emih!D5=0,0,SER_hh_emih!D5/SER_summary!D$26)</f>
        <v>0</v>
      </c>
      <c r="E5" s="133">
        <f>IF(SER_hh_emih!E5=0,0,SER_hh_emih!E5/SER_summary!E$26)</f>
        <v>0</v>
      </c>
      <c r="F5" s="133">
        <f>IF(SER_hh_emih!F5=0,0,SER_hh_emih!F5/SER_summary!F$26)</f>
        <v>0</v>
      </c>
      <c r="G5" s="133">
        <f>IF(SER_hh_emih!G5=0,0,SER_hh_emih!G5/SER_summary!G$26)</f>
        <v>0</v>
      </c>
      <c r="H5" s="133">
        <f>IF(SER_hh_emih!H5=0,0,SER_hh_emih!H5/SER_summary!H$26)</f>
        <v>0</v>
      </c>
      <c r="I5" s="133">
        <f>IF(SER_hh_emih!I5=0,0,SER_hh_emih!I5/SER_summary!I$26)</f>
        <v>0</v>
      </c>
      <c r="J5" s="133">
        <f>IF(SER_hh_emih!J5=0,0,SER_hh_emih!J5/SER_summary!J$26)</f>
        <v>0</v>
      </c>
      <c r="K5" s="133">
        <f>IF(SER_hh_emih!K5=0,0,SER_hh_emih!K5/SER_summary!K$26)</f>
        <v>0</v>
      </c>
      <c r="L5" s="133">
        <f>IF(SER_hh_emih!L5=0,0,SER_hh_emih!L5/SER_summary!L$26)</f>
        <v>0</v>
      </c>
      <c r="M5" s="133">
        <f>IF(SER_hh_emih!M5=0,0,SER_hh_emih!M5/SER_summary!M$26)</f>
        <v>0</v>
      </c>
      <c r="N5" s="133">
        <f>IF(SER_hh_emih!N5=0,0,SER_hh_emih!N5/SER_summary!N$26)</f>
        <v>0</v>
      </c>
      <c r="O5" s="133">
        <f>IF(SER_hh_emih!O5=0,0,SER_hh_emih!O5/SER_summary!O$26)</f>
        <v>0</v>
      </c>
      <c r="P5" s="133">
        <f>IF(SER_hh_emih!P5=0,0,SER_hh_emih!P5/SER_summary!P$26)</f>
        <v>0</v>
      </c>
      <c r="Q5" s="133">
        <f>IF(SER_hh_emih!Q5=0,0,SER_hh_emih!Q5/SER_summary!Q$26)</f>
        <v>0</v>
      </c>
      <c r="R5" s="133">
        <f>IF(SER_hh_emih!R5=0,0,SER_hh_emih!R5/SER_summary!R$26)</f>
        <v>0</v>
      </c>
      <c r="S5" s="133">
        <f>IF(SER_hh_emih!S5=0,0,SER_hh_emih!S5/SER_summary!S$26)</f>
        <v>0</v>
      </c>
      <c r="T5" s="133">
        <f>IF(SER_hh_emih!T5=0,0,SER_hh_emih!T5/SER_summary!T$26)</f>
        <v>0</v>
      </c>
      <c r="U5" s="133">
        <f>IF(SER_hh_emih!U5=0,0,SER_hh_emih!U5/SER_summary!U$26)</f>
        <v>0</v>
      </c>
      <c r="V5" s="133">
        <f>IF(SER_hh_emih!V5=0,0,SER_hh_emih!V5/SER_summary!V$26)</f>
        <v>0</v>
      </c>
      <c r="W5" s="133">
        <f>IF(SER_hh_emih!W5=0,0,SER_hh_emih!W5/SER_summary!W$26)</f>
        <v>0</v>
      </c>
      <c r="DA5" s="157" t="s">
        <v>540</v>
      </c>
    </row>
    <row r="6" spans="1:105" ht="12" customHeight="1" x14ac:dyDescent="0.25">
      <c r="A6" s="132" t="s">
        <v>52</v>
      </c>
      <c r="B6" s="133">
        <f>IF(SER_hh_emih!B6=0,0,SER_hh_emih!B6/SER_summary!B$26)</f>
        <v>0</v>
      </c>
      <c r="C6" s="133">
        <f>IF(SER_hh_emih!C6=0,0,SER_hh_emih!C6/SER_summary!C$26)</f>
        <v>0</v>
      </c>
      <c r="D6" s="133">
        <f>IF(SER_hh_emih!D6=0,0,SER_hh_emih!D6/SER_summary!D$26)</f>
        <v>0</v>
      </c>
      <c r="E6" s="133">
        <f>IF(SER_hh_emih!E6=0,0,SER_hh_emih!E6/SER_summary!E$26)</f>
        <v>0</v>
      </c>
      <c r="F6" s="133">
        <f>IF(SER_hh_emih!F6=0,0,SER_hh_emih!F6/SER_summary!F$26)</f>
        <v>0</v>
      </c>
      <c r="G6" s="133">
        <f>IF(SER_hh_emih!G6=0,0,SER_hh_emih!G6/SER_summary!G$26)</f>
        <v>0</v>
      </c>
      <c r="H6" s="133">
        <f>IF(SER_hh_emih!H6=0,0,SER_hh_emih!H6/SER_summary!H$26)</f>
        <v>0</v>
      </c>
      <c r="I6" s="133">
        <f>IF(SER_hh_emih!I6=0,0,SER_hh_emih!I6/SER_summary!I$26)</f>
        <v>0</v>
      </c>
      <c r="J6" s="133">
        <f>IF(SER_hh_emih!J6=0,0,SER_hh_emih!J6/SER_summary!J$26)</f>
        <v>0</v>
      </c>
      <c r="K6" s="133">
        <f>IF(SER_hh_emih!K6=0,0,SER_hh_emih!K6/SER_summary!K$26)</f>
        <v>0</v>
      </c>
      <c r="L6" s="133">
        <f>IF(SER_hh_emih!L6=0,0,SER_hh_emih!L6/SER_summary!L$26)</f>
        <v>0</v>
      </c>
      <c r="M6" s="133">
        <f>IF(SER_hh_emih!M6=0,0,SER_hh_emih!M6/SER_summary!M$26)</f>
        <v>0</v>
      </c>
      <c r="N6" s="133">
        <f>IF(SER_hh_emih!N6=0,0,SER_hh_emih!N6/SER_summary!N$26)</f>
        <v>0</v>
      </c>
      <c r="O6" s="133">
        <f>IF(SER_hh_emih!O6=0,0,SER_hh_emih!O6/SER_summary!O$26)</f>
        <v>0</v>
      </c>
      <c r="P6" s="133">
        <f>IF(SER_hh_emih!P6=0,0,SER_hh_emih!P6/SER_summary!P$26)</f>
        <v>0</v>
      </c>
      <c r="Q6" s="133">
        <f>IF(SER_hh_emih!Q6=0,0,SER_hh_emih!Q6/SER_summary!Q$26)</f>
        <v>0</v>
      </c>
      <c r="R6" s="133">
        <f>IF(SER_hh_emih!R6=0,0,SER_hh_emih!R6/SER_summary!R$26)</f>
        <v>0</v>
      </c>
      <c r="S6" s="133">
        <f>IF(SER_hh_emih!S6=0,0,SER_hh_emih!S6/SER_summary!S$26)</f>
        <v>0</v>
      </c>
      <c r="T6" s="133">
        <f>IF(SER_hh_emih!T6=0,0,SER_hh_emih!T6/SER_summary!T$26)</f>
        <v>0</v>
      </c>
      <c r="U6" s="133">
        <f>IF(SER_hh_emih!U6=0,0,SER_hh_emih!U6/SER_summary!U$26)</f>
        <v>0</v>
      </c>
      <c r="V6" s="133">
        <f>IF(SER_hh_emih!V6=0,0,SER_hh_emih!V6/SER_summary!V$26)</f>
        <v>0</v>
      </c>
      <c r="W6" s="133">
        <f>IF(SER_hh_emih!W6=0,0,SER_hh_emih!W6/SER_summary!W$26)</f>
        <v>0</v>
      </c>
      <c r="DA6" s="157" t="s">
        <v>541</v>
      </c>
    </row>
    <row r="7" spans="1:105" ht="12" customHeight="1" x14ac:dyDescent="0.25">
      <c r="A7" s="132" t="s">
        <v>168</v>
      </c>
      <c r="B7" s="133">
        <f>IF(SER_hh_emih!B7=0,0,SER_hh_emih!B7/SER_summary!B$26)</f>
        <v>8.3097192524512344</v>
      </c>
      <c r="C7" s="133">
        <f>IF(SER_hh_emih!C7=0,0,SER_hh_emih!C7/SER_summary!C$26)</f>
        <v>9.7634248503696632</v>
      </c>
      <c r="D7" s="133">
        <f>IF(SER_hh_emih!D7=0,0,SER_hh_emih!D7/SER_summary!D$26)</f>
        <v>11.034523098698411</v>
      </c>
      <c r="E7" s="133">
        <f>IF(SER_hh_emih!E7=0,0,SER_hh_emih!E7/SER_summary!E$26)</f>
        <v>12.972202149247064</v>
      </c>
      <c r="F7" s="133">
        <f>IF(SER_hh_emih!F7=0,0,SER_hh_emih!F7/SER_summary!F$26)</f>
        <v>13.416509729755091</v>
      </c>
      <c r="G7" s="133">
        <f>IF(SER_hh_emih!G7=0,0,SER_hh_emih!G7/SER_summary!G$26)</f>
        <v>14.716019963720742</v>
      </c>
      <c r="H7" s="133">
        <f>IF(SER_hh_emih!H7=0,0,SER_hh_emih!H7/SER_summary!H$26)</f>
        <v>19.038243356714524</v>
      </c>
      <c r="I7" s="133">
        <f>IF(SER_hh_emih!I7=0,0,SER_hh_emih!I7/SER_summary!I$26)</f>
        <v>20.819197016041933</v>
      </c>
      <c r="J7" s="133">
        <f>IF(SER_hh_emih!J7=0,0,SER_hh_emih!J7/SER_summary!J$26)</f>
        <v>28.044135395963352</v>
      </c>
      <c r="K7" s="133">
        <f>IF(SER_hh_emih!K7=0,0,SER_hh_emih!K7/SER_summary!K$26)</f>
        <v>22.264717921229472</v>
      </c>
      <c r="L7" s="133">
        <f>IF(SER_hh_emih!L7=0,0,SER_hh_emih!L7/SER_summary!L$26)</f>
        <v>24.790084266557511</v>
      </c>
      <c r="M7" s="133">
        <f>IF(SER_hh_emih!M7=0,0,SER_hh_emih!M7/SER_summary!M$26)</f>
        <v>23.025790575786065</v>
      </c>
      <c r="N7" s="133">
        <f>IF(SER_hh_emih!N7=0,0,SER_hh_emih!N7/SER_summary!N$26)</f>
        <v>18.769708095361398</v>
      </c>
      <c r="O7" s="133">
        <f>IF(SER_hh_emih!O7=0,0,SER_hh_emih!O7/SER_summary!O$26)</f>
        <v>20.642148181153235</v>
      </c>
      <c r="P7" s="133">
        <f>IF(SER_hh_emih!P7=0,0,SER_hh_emih!P7/SER_summary!P$26)</f>
        <v>21.792663215761074</v>
      </c>
      <c r="Q7" s="133">
        <f>IF(SER_hh_emih!Q7=0,0,SER_hh_emih!Q7/SER_summary!Q$26)</f>
        <v>21.234718191347437</v>
      </c>
      <c r="R7" s="133">
        <f>IF(SER_hh_emih!R7=0,0,SER_hh_emih!R7/SER_summary!R$26)</f>
        <v>22.553777324737158</v>
      </c>
      <c r="S7" s="133">
        <f>IF(SER_hh_emih!S7=0,0,SER_hh_emih!S7/SER_summary!S$26)</f>
        <v>26.160403046444706</v>
      </c>
      <c r="T7" s="133">
        <f>IF(SER_hh_emih!T7=0,0,SER_hh_emih!T7/SER_summary!T$26)</f>
        <v>25.326599147386645</v>
      </c>
      <c r="U7" s="133">
        <f>IF(SER_hh_emih!U7=0,0,SER_hh_emih!U7/SER_summary!U$26)</f>
        <v>30.222403387510802</v>
      </c>
      <c r="V7" s="133">
        <f>IF(SER_hh_emih!V7=0,0,SER_hh_emih!V7/SER_summary!V$26)</f>
        <v>22.787875847664885</v>
      </c>
      <c r="W7" s="133">
        <f>IF(SER_hh_emih!W7=0,0,SER_hh_emih!W7/SER_summary!W$26)</f>
        <v>25.599155667555991</v>
      </c>
      <c r="DA7" s="157" t="s">
        <v>542</v>
      </c>
    </row>
    <row r="8" spans="1:105" ht="12" customHeight="1" x14ac:dyDescent="0.25">
      <c r="A8" s="132" t="s">
        <v>73</v>
      </c>
      <c r="B8" s="133">
        <f>IF(SER_hh_emih!B8=0,0,SER_hh_emih!B8/SER_summary!B$26)</f>
        <v>0</v>
      </c>
      <c r="C8" s="133">
        <f>IF(SER_hh_emih!C8=0,0,SER_hh_emih!C8/SER_summary!C$26)</f>
        <v>0</v>
      </c>
      <c r="D8" s="133">
        <f>IF(SER_hh_emih!D8=0,0,SER_hh_emih!D8/SER_summary!D$26)</f>
        <v>0</v>
      </c>
      <c r="E8" s="133">
        <f>IF(SER_hh_emih!E8=0,0,SER_hh_emih!E8/SER_summary!E$26)</f>
        <v>0</v>
      </c>
      <c r="F8" s="133">
        <f>IF(SER_hh_emih!F8=0,0,SER_hh_emih!F8/SER_summary!F$26)</f>
        <v>0</v>
      </c>
      <c r="G8" s="133">
        <f>IF(SER_hh_emih!G8=0,0,SER_hh_emih!G8/SER_summary!G$26)</f>
        <v>0</v>
      </c>
      <c r="H8" s="133">
        <f>IF(SER_hh_emih!H8=0,0,SER_hh_emih!H8/SER_summary!H$26)</f>
        <v>0</v>
      </c>
      <c r="I8" s="133">
        <f>IF(SER_hh_emih!I8=0,0,SER_hh_emih!I8/SER_summary!I$26)</f>
        <v>0</v>
      </c>
      <c r="J8" s="133">
        <f>IF(SER_hh_emih!J8=0,0,SER_hh_emih!J8/SER_summary!J$26)</f>
        <v>0</v>
      </c>
      <c r="K8" s="133">
        <f>IF(SER_hh_emih!K8=0,0,SER_hh_emih!K8/SER_summary!K$26)</f>
        <v>0</v>
      </c>
      <c r="L8" s="133">
        <f>IF(SER_hh_emih!L8=0,0,SER_hh_emih!L8/SER_summary!L$26)</f>
        <v>0</v>
      </c>
      <c r="M8" s="133">
        <f>IF(SER_hh_emih!M8=0,0,SER_hh_emih!M8/SER_summary!M$26)</f>
        <v>0</v>
      </c>
      <c r="N8" s="133">
        <f>IF(SER_hh_emih!N8=0,0,SER_hh_emih!N8/SER_summary!N$26)</f>
        <v>0</v>
      </c>
      <c r="O8" s="133">
        <f>IF(SER_hh_emih!O8=0,0,SER_hh_emih!O8/SER_summary!O$26)</f>
        <v>0</v>
      </c>
      <c r="P8" s="133">
        <f>IF(SER_hh_emih!P8=0,0,SER_hh_emih!P8/SER_summary!P$26)</f>
        <v>0</v>
      </c>
      <c r="Q8" s="133">
        <f>IF(SER_hh_emih!Q8=0,0,SER_hh_emih!Q8/SER_summary!Q$26)</f>
        <v>0</v>
      </c>
      <c r="R8" s="133">
        <f>IF(SER_hh_emih!R8=0,0,SER_hh_emih!R8/SER_summary!R$26)</f>
        <v>0</v>
      </c>
      <c r="S8" s="133">
        <f>IF(SER_hh_emih!S8=0,0,SER_hh_emih!S8/SER_summary!S$26)</f>
        <v>0</v>
      </c>
      <c r="T8" s="133">
        <f>IF(SER_hh_emih!T8=0,0,SER_hh_emih!T8/SER_summary!T$26)</f>
        <v>0</v>
      </c>
      <c r="U8" s="133">
        <f>IF(SER_hh_emih!U8=0,0,SER_hh_emih!U8/SER_summary!U$26)</f>
        <v>0</v>
      </c>
      <c r="V8" s="133">
        <f>IF(SER_hh_emih!V8=0,0,SER_hh_emih!V8/SER_summary!V$26)</f>
        <v>0</v>
      </c>
      <c r="W8" s="133">
        <f>IF(SER_hh_emih!W8=0,0,SER_hh_emih!W8/SER_summary!W$26)</f>
        <v>0</v>
      </c>
      <c r="DA8" s="157" t="s">
        <v>543</v>
      </c>
    </row>
    <row r="9" spans="1:105" ht="12" customHeight="1" x14ac:dyDescent="0.25">
      <c r="A9" s="132" t="s">
        <v>78</v>
      </c>
      <c r="B9" s="133">
        <f>IF(SER_hh_emih!B9=0,0,SER_hh_emih!B9/SER_summary!B$26)</f>
        <v>0</v>
      </c>
      <c r="C9" s="133">
        <f>IF(SER_hh_emih!C9=0,0,SER_hh_emih!C9/SER_summary!C$26)</f>
        <v>0</v>
      </c>
      <c r="D9" s="133">
        <f>IF(SER_hh_emih!D9=0,0,SER_hh_emih!D9/SER_summary!D$26)</f>
        <v>0</v>
      </c>
      <c r="E9" s="133">
        <f>IF(SER_hh_emih!E9=0,0,SER_hh_emih!E9/SER_summary!E$26)</f>
        <v>0</v>
      </c>
      <c r="F9" s="133">
        <f>IF(SER_hh_emih!F9=0,0,SER_hh_emih!F9/SER_summary!F$26)</f>
        <v>0</v>
      </c>
      <c r="G9" s="133">
        <f>IF(SER_hh_emih!G9=0,0,SER_hh_emih!G9/SER_summary!G$26)</f>
        <v>0</v>
      </c>
      <c r="H9" s="133">
        <f>IF(SER_hh_emih!H9=0,0,SER_hh_emih!H9/SER_summary!H$26)</f>
        <v>0</v>
      </c>
      <c r="I9" s="133">
        <f>IF(SER_hh_emih!I9=0,0,SER_hh_emih!I9/SER_summary!I$26)</f>
        <v>0</v>
      </c>
      <c r="J9" s="133">
        <f>IF(SER_hh_emih!J9=0,0,SER_hh_emih!J9/SER_summary!J$26)</f>
        <v>0</v>
      </c>
      <c r="K9" s="133">
        <f>IF(SER_hh_emih!K9=0,0,SER_hh_emih!K9/SER_summary!K$26)</f>
        <v>0</v>
      </c>
      <c r="L9" s="133">
        <f>IF(SER_hh_emih!L9=0,0,SER_hh_emih!L9/SER_summary!L$26)</f>
        <v>0</v>
      </c>
      <c r="M9" s="133">
        <f>IF(SER_hh_emih!M9=0,0,SER_hh_emih!M9/SER_summary!M$26)</f>
        <v>0</v>
      </c>
      <c r="N9" s="133">
        <f>IF(SER_hh_emih!N9=0,0,SER_hh_emih!N9/SER_summary!N$26)</f>
        <v>0</v>
      </c>
      <c r="O9" s="133">
        <f>IF(SER_hh_emih!O9=0,0,SER_hh_emih!O9/SER_summary!O$26)</f>
        <v>0</v>
      </c>
      <c r="P9" s="133">
        <f>IF(SER_hh_emih!P9=0,0,SER_hh_emih!P9/SER_summary!P$26)</f>
        <v>0</v>
      </c>
      <c r="Q9" s="133">
        <f>IF(SER_hh_emih!Q9=0,0,SER_hh_emih!Q9/SER_summary!Q$26)</f>
        <v>0</v>
      </c>
      <c r="R9" s="133">
        <f>IF(SER_hh_emih!R9=0,0,SER_hh_emih!R9/SER_summary!R$26)</f>
        <v>0</v>
      </c>
      <c r="S9" s="133">
        <f>IF(SER_hh_emih!S9=0,0,SER_hh_emih!S9/SER_summary!S$26)</f>
        <v>0</v>
      </c>
      <c r="T9" s="133">
        <f>IF(SER_hh_emih!T9=0,0,SER_hh_emih!T9/SER_summary!T$26)</f>
        <v>0</v>
      </c>
      <c r="U9" s="133">
        <f>IF(SER_hh_emih!U9=0,0,SER_hh_emih!U9/SER_summary!U$26)</f>
        <v>0</v>
      </c>
      <c r="V9" s="133">
        <f>IF(SER_hh_emih!V9=0,0,SER_hh_emih!V9/SER_summary!V$26)</f>
        <v>0</v>
      </c>
      <c r="W9" s="133">
        <f>IF(SER_hh_emih!W9=0,0,SER_hh_emih!W9/SER_summary!W$26)</f>
        <v>0</v>
      </c>
      <c r="DA9" s="157" t="s">
        <v>544</v>
      </c>
    </row>
    <row r="10" spans="1:105" ht="12" customHeight="1" x14ac:dyDescent="0.25">
      <c r="A10" s="132" t="s">
        <v>128</v>
      </c>
      <c r="B10" s="133">
        <f>IF(SER_hh_emih!B10=0,0,SER_hh_emih!B10/SER_summary!B$26)</f>
        <v>0</v>
      </c>
      <c r="C10" s="133">
        <f>IF(SER_hh_emih!C10=0,0,SER_hh_emih!C10/SER_summary!C$26)</f>
        <v>0</v>
      </c>
      <c r="D10" s="133">
        <f>IF(SER_hh_emih!D10=0,0,SER_hh_emih!D10/SER_summary!D$26)</f>
        <v>0</v>
      </c>
      <c r="E10" s="133">
        <f>IF(SER_hh_emih!E10=0,0,SER_hh_emih!E10/SER_summary!E$26)</f>
        <v>0</v>
      </c>
      <c r="F10" s="133">
        <f>IF(SER_hh_emih!F10=0,0,SER_hh_emih!F10/SER_summary!F$26)</f>
        <v>0</v>
      </c>
      <c r="G10" s="133">
        <f>IF(SER_hh_emih!G10=0,0,SER_hh_emih!G10/SER_summary!G$26)</f>
        <v>0</v>
      </c>
      <c r="H10" s="133">
        <f>IF(SER_hh_emih!H10=0,0,SER_hh_emih!H10/SER_summary!H$26)</f>
        <v>0</v>
      </c>
      <c r="I10" s="133">
        <f>IF(SER_hh_emih!I10=0,0,SER_hh_emih!I10/SER_summary!I$26)</f>
        <v>0</v>
      </c>
      <c r="J10" s="133">
        <f>IF(SER_hh_emih!J10=0,0,SER_hh_emih!J10/SER_summary!J$26)</f>
        <v>0</v>
      </c>
      <c r="K10" s="133">
        <f>IF(SER_hh_emih!K10=0,0,SER_hh_emih!K10/SER_summary!K$26)</f>
        <v>0</v>
      </c>
      <c r="L10" s="133">
        <f>IF(SER_hh_emih!L10=0,0,SER_hh_emih!L10/SER_summary!L$26)</f>
        <v>0</v>
      </c>
      <c r="M10" s="133">
        <f>IF(SER_hh_emih!M10=0,0,SER_hh_emih!M10/SER_summary!M$26)</f>
        <v>0</v>
      </c>
      <c r="N10" s="133">
        <f>IF(SER_hh_emih!N10=0,0,SER_hh_emih!N10/SER_summary!N$26)</f>
        <v>0</v>
      </c>
      <c r="O10" s="133">
        <f>IF(SER_hh_emih!O10=0,0,SER_hh_emih!O10/SER_summary!O$26)</f>
        <v>0</v>
      </c>
      <c r="P10" s="133">
        <f>IF(SER_hh_emih!P10=0,0,SER_hh_emih!P10/SER_summary!P$26)</f>
        <v>0</v>
      </c>
      <c r="Q10" s="133">
        <f>IF(SER_hh_emih!Q10=0,0,SER_hh_emih!Q10/SER_summary!Q$26)</f>
        <v>0</v>
      </c>
      <c r="R10" s="133">
        <f>IF(SER_hh_emih!R10=0,0,SER_hh_emih!R10/SER_summary!R$26)</f>
        <v>0</v>
      </c>
      <c r="S10" s="133">
        <f>IF(SER_hh_emih!S10=0,0,SER_hh_emih!S10/SER_summary!S$26)</f>
        <v>0</v>
      </c>
      <c r="T10" s="133">
        <f>IF(SER_hh_emih!T10=0,0,SER_hh_emih!T10/SER_summary!T$26)</f>
        <v>0</v>
      </c>
      <c r="U10" s="133">
        <f>IF(SER_hh_emih!U10=0,0,SER_hh_emih!U10/SER_summary!U$26)</f>
        <v>0</v>
      </c>
      <c r="V10" s="133">
        <f>IF(SER_hh_emih!V10=0,0,SER_hh_emih!V10/SER_summary!V$26)</f>
        <v>0</v>
      </c>
      <c r="W10" s="133">
        <f>IF(SER_hh_emih!W10=0,0,SER_hh_emih!W10/SER_summary!W$26)</f>
        <v>0</v>
      </c>
      <c r="DA10" s="157" t="s">
        <v>545</v>
      </c>
    </row>
    <row r="11" spans="1:105" ht="12" customHeight="1" x14ac:dyDescent="0.25">
      <c r="A11" s="132" t="s">
        <v>25</v>
      </c>
      <c r="B11" s="133">
        <f>IF(SER_hh_emih!B11=0,0,SER_hh_emih!B11/SER_summary!B$26)</f>
        <v>0</v>
      </c>
      <c r="C11" s="133">
        <f>IF(SER_hh_emih!C11=0,0,SER_hh_emih!C11/SER_summary!C$26)</f>
        <v>0</v>
      </c>
      <c r="D11" s="133">
        <f>IF(SER_hh_emih!D11=0,0,SER_hh_emih!D11/SER_summary!D$26)</f>
        <v>0</v>
      </c>
      <c r="E11" s="133">
        <f>IF(SER_hh_emih!E11=0,0,SER_hh_emih!E11/SER_summary!E$26)</f>
        <v>0</v>
      </c>
      <c r="F11" s="133">
        <f>IF(SER_hh_emih!F11=0,0,SER_hh_emih!F11/SER_summary!F$26)</f>
        <v>0</v>
      </c>
      <c r="G11" s="133">
        <f>IF(SER_hh_emih!G11=0,0,SER_hh_emih!G11/SER_summary!G$26)</f>
        <v>0</v>
      </c>
      <c r="H11" s="133">
        <f>IF(SER_hh_emih!H11=0,0,SER_hh_emih!H11/SER_summary!H$26)</f>
        <v>0</v>
      </c>
      <c r="I11" s="133">
        <f>IF(SER_hh_emih!I11=0,0,SER_hh_emih!I11/SER_summary!I$26)</f>
        <v>0</v>
      </c>
      <c r="J11" s="133">
        <f>IF(SER_hh_emih!J11=0,0,SER_hh_emih!J11/SER_summary!J$26)</f>
        <v>0</v>
      </c>
      <c r="K11" s="133">
        <f>IF(SER_hh_emih!K11=0,0,SER_hh_emih!K11/SER_summary!K$26)</f>
        <v>0</v>
      </c>
      <c r="L11" s="133">
        <f>IF(SER_hh_emih!L11=0,0,SER_hh_emih!L11/SER_summary!L$26)</f>
        <v>0</v>
      </c>
      <c r="M11" s="133">
        <f>IF(SER_hh_emih!M11=0,0,SER_hh_emih!M11/SER_summary!M$26)</f>
        <v>0</v>
      </c>
      <c r="N11" s="133">
        <f>IF(SER_hh_emih!N11=0,0,SER_hh_emih!N11/SER_summary!N$26)</f>
        <v>0</v>
      </c>
      <c r="O11" s="133">
        <f>IF(SER_hh_emih!O11=0,0,SER_hh_emih!O11/SER_summary!O$26)</f>
        <v>0</v>
      </c>
      <c r="P11" s="133">
        <f>IF(SER_hh_emih!P11=0,0,SER_hh_emih!P11/SER_summary!P$26)</f>
        <v>0</v>
      </c>
      <c r="Q11" s="133">
        <f>IF(SER_hh_emih!Q11=0,0,SER_hh_emih!Q11/SER_summary!Q$26)</f>
        <v>0</v>
      </c>
      <c r="R11" s="133">
        <f>IF(SER_hh_emih!R11=0,0,SER_hh_emih!R11/SER_summary!R$26)</f>
        <v>0</v>
      </c>
      <c r="S11" s="133">
        <f>IF(SER_hh_emih!S11=0,0,SER_hh_emih!S11/SER_summary!S$26)</f>
        <v>0</v>
      </c>
      <c r="T11" s="133">
        <f>IF(SER_hh_emih!T11=0,0,SER_hh_emih!T11/SER_summary!T$26)</f>
        <v>0</v>
      </c>
      <c r="U11" s="133">
        <f>IF(SER_hh_emih!U11=0,0,SER_hh_emih!U11/SER_summary!U$26)</f>
        <v>0</v>
      </c>
      <c r="V11" s="133">
        <f>IF(SER_hh_emih!V11=0,0,SER_hh_emih!V11/SER_summary!V$26)</f>
        <v>0</v>
      </c>
      <c r="W11" s="133">
        <f>IF(SER_hh_emih!W11=0,0,SER_hh_emih!W11/SER_summary!W$26)</f>
        <v>0</v>
      </c>
      <c r="DA11" s="157" t="s">
        <v>546</v>
      </c>
    </row>
    <row r="12" spans="1:105" ht="12" customHeight="1" x14ac:dyDescent="0.25">
      <c r="A12" s="132" t="s">
        <v>169</v>
      </c>
      <c r="B12" s="133">
        <f>IF(SER_hh_emih!B12=0,0,SER_hh_emih!B12/SER_summary!B$26)</f>
        <v>0</v>
      </c>
      <c r="C12" s="133">
        <f>IF(SER_hh_emih!C12=0,0,SER_hh_emih!C12/SER_summary!C$26)</f>
        <v>0</v>
      </c>
      <c r="D12" s="133">
        <f>IF(SER_hh_emih!D12=0,0,SER_hh_emih!D12/SER_summary!D$26)</f>
        <v>0</v>
      </c>
      <c r="E12" s="133">
        <f>IF(SER_hh_emih!E12=0,0,SER_hh_emih!E12/SER_summary!E$26)</f>
        <v>0</v>
      </c>
      <c r="F12" s="133">
        <f>IF(SER_hh_emih!F12=0,0,SER_hh_emih!F12/SER_summary!F$26)</f>
        <v>0</v>
      </c>
      <c r="G12" s="133">
        <f>IF(SER_hh_emih!G12=0,0,SER_hh_emih!G12/SER_summary!G$26)</f>
        <v>0</v>
      </c>
      <c r="H12" s="133">
        <f>IF(SER_hh_emih!H12=0,0,SER_hh_emih!H12/SER_summary!H$26)</f>
        <v>0</v>
      </c>
      <c r="I12" s="133">
        <f>IF(SER_hh_emih!I12=0,0,SER_hh_emih!I12/SER_summary!I$26)</f>
        <v>0</v>
      </c>
      <c r="J12" s="133">
        <f>IF(SER_hh_emih!J12=0,0,SER_hh_emih!J12/SER_summary!J$26)</f>
        <v>0</v>
      </c>
      <c r="K12" s="133">
        <f>IF(SER_hh_emih!K12=0,0,SER_hh_emih!K12/SER_summary!K$26)</f>
        <v>0</v>
      </c>
      <c r="L12" s="133">
        <f>IF(SER_hh_emih!L12=0,0,SER_hh_emih!L12/SER_summary!L$26)</f>
        <v>0</v>
      </c>
      <c r="M12" s="133">
        <f>IF(SER_hh_emih!M12=0,0,SER_hh_emih!M12/SER_summary!M$26)</f>
        <v>0</v>
      </c>
      <c r="N12" s="133">
        <f>IF(SER_hh_emih!N12=0,0,SER_hh_emih!N12/SER_summary!N$26)</f>
        <v>0</v>
      </c>
      <c r="O12" s="133">
        <f>IF(SER_hh_emih!O12=0,0,SER_hh_emih!O12/SER_summary!O$26)</f>
        <v>0</v>
      </c>
      <c r="P12" s="133">
        <f>IF(SER_hh_emih!P12=0,0,SER_hh_emih!P12/SER_summary!P$26)</f>
        <v>0</v>
      </c>
      <c r="Q12" s="133">
        <f>IF(SER_hh_emih!Q12=0,0,SER_hh_emih!Q12/SER_summary!Q$26)</f>
        <v>0</v>
      </c>
      <c r="R12" s="133">
        <f>IF(SER_hh_emih!R12=0,0,SER_hh_emih!R12/SER_summary!R$26)</f>
        <v>0</v>
      </c>
      <c r="S12" s="133">
        <f>IF(SER_hh_emih!S12=0,0,SER_hh_emih!S12/SER_summary!S$26)</f>
        <v>0</v>
      </c>
      <c r="T12" s="133">
        <f>IF(SER_hh_emih!T12=0,0,SER_hh_emih!T12/SER_summary!T$26)</f>
        <v>0</v>
      </c>
      <c r="U12" s="133">
        <f>IF(SER_hh_emih!U12=0,0,SER_hh_emih!U12/SER_summary!U$26)</f>
        <v>0</v>
      </c>
      <c r="V12" s="133">
        <f>IF(SER_hh_emih!V12=0,0,SER_hh_emih!V12/SER_summary!V$26)</f>
        <v>0</v>
      </c>
      <c r="W12" s="133">
        <f>IF(SER_hh_emih!W12=0,0,SER_hh_emih!W12/SER_summary!W$26)</f>
        <v>0</v>
      </c>
      <c r="DA12" s="157" t="s">
        <v>547</v>
      </c>
    </row>
    <row r="13" spans="1:105" ht="12" customHeight="1" x14ac:dyDescent="0.25">
      <c r="A13" s="132" t="s">
        <v>77</v>
      </c>
      <c r="B13" s="133">
        <f>IF(SER_hh_emih!B13=0,0,SER_hh_emih!B13/SER_summary!B$26)</f>
        <v>0</v>
      </c>
      <c r="C13" s="133">
        <f>IF(SER_hh_emih!C13=0,0,SER_hh_emih!C13/SER_summary!C$26)</f>
        <v>0</v>
      </c>
      <c r="D13" s="133">
        <f>IF(SER_hh_emih!D13=0,0,SER_hh_emih!D13/SER_summary!D$26)</f>
        <v>0</v>
      </c>
      <c r="E13" s="133">
        <f>IF(SER_hh_emih!E13=0,0,SER_hh_emih!E13/SER_summary!E$26)</f>
        <v>0</v>
      </c>
      <c r="F13" s="133">
        <f>IF(SER_hh_emih!F13=0,0,SER_hh_emih!F13/SER_summary!F$26)</f>
        <v>0</v>
      </c>
      <c r="G13" s="133">
        <f>IF(SER_hh_emih!G13=0,0,SER_hh_emih!G13/SER_summary!G$26)</f>
        <v>0</v>
      </c>
      <c r="H13" s="133">
        <f>IF(SER_hh_emih!H13=0,0,SER_hh_emih!H13/SER_summary!H$26)</f>
        <v>0</v>
      </c>
      <c r="I13" s="133">
        <f>IF(SER_hh_emih!I13=0,0,SER_hh_emih!I13/SER_summary!I$26)</f>
        <v>0</v>
      </c>
      <c r="J13" s="133">
        <f>IF(SER_hh_emih!J13=0,0,SER_hh_emih!J13/SER_summary!J$26)</f>
        <v>0</v>
      </c>
      <c r="K13" s="133">
        <f>IF(SER_hh_emih!K13=0,0,SER_hh_emih!K13/SER_summary!K$26)</f>
        <v>0</v>
      </c>
      <c r="L13" s="133">
        <f>IF(SER_hh_emih!L13=0,0,SER_hh_emih!L13/SER_summary!L$26)</f>
        <v>0</v>
      </c>
      <c r="M13" s="133">
        <f>IF(SER_hh_emih!M13=0,0,SER_hh_emih!M13/SER_summary!M$26)</f>
        <v>0</v>
      </c>
      <c r="N13" s="133">
        <f>IF(SER_hh_emih!N13=0,0,SER_hh_emih!N13/SER_summary!N$26)</f>
        <v>0</v>
      </c>
      <c r="O13" s="133">
        <f>IF(SER_hh_emih!O13=0,0,SER_hh_emih!O13/SER_summary!O$26)</f>
        <v>0</v>
      </c>
      <c r="P13" s="133">
        <f>IF(SER_hh_emih!P13=0,0,SER_hh_emih!P13/SER_summary!P$26)</f>
        <v>0</v>
      </c>
      <c r="Q13" s="133">
        <f>IF(SER_hh_emih!Q13=0,0,SER_hh_emih!Q13/SER_summary!Q$26)</f>
        <v>0</v>
      </c>
      <c r="R13" s="133">
        <f>IF(SER_hh_emih!R13=0,0,SER_hh_emih!R13/SER_summary!R$26)</f>
        <v>0</v>
      </c>
      <c r="S13" s="133">
        <f>IF(SER_hh_emih!S13=0,0,SER_hh_emih!S13/SER_summary!S$26)</f>
        <v>0</v>
      </c>
      <c r="T13" s="133">
        <f>IF(SER_hh_emih!T13=0,0,SER_hh_emih!T13/SER_summary!T$26)</f>
        <v>0</v>
      </c>
      <c r="U13" s="133">
        <f>IF(SER_hh_emih!U13=0,0,SER_hh_emih!U13/SER_summary!U$26)</f>
        <v>0</v>
      </c>
      <c r="V13" s="133">
        <f>IF(SER_hh_emih!V13=0,0,SER_hh_emih!V13/SER_summary!V$26)</f>
        <v>0</v>
      </c>
      <c r="W13" s="133">
        <f>IF(SER_hh_emih!W13=0,0,SER_hh_emih!W13/SER_summary!W$26)</f>
        <v>0</v>
      </c>
      <c r="DA13" s="157" t="s">
        <v>548</v>
      </c>
    </row>
    <row r="14" spans="1:105" ht="12" customHeight="1" x14ac:dyDescent="0.25">
      <c r="A14" s="60" t="s">
        <v>76</v>
      </c>
      <c r="B14" s="65">
        <f>IF(SER_hh_emih!B14=0,0,SER_hh_emih!B14/SER_summary!B$26)</f>
        <v>0</v>
      </c>
      <c r="C14" s="65">
        <f>IF(SER_hh_emih!C14=0,0,SER_hh_emih!C14/SER_summary!C$26)</f>
        <v>0</v>
      </c>
      <c r="D14" s="65">
        <f>IF(SER_hh_emih!D14=0,0,SER_hh_emih!D14/SER_summary!D$26)</f>
        <v>0</v>
      </c>
      <c r="E14" s="65">
        <f>IF(SER_hh_emih!E14=0,0,SER_hh_emih!E14/SER_summary!E$26)</f>
        <v>0</v>
      </c>
      <c r="F14" s="65">
        <f>IF(SER_hh_emih!F14=0,0,SER_hh_emih!F14/SER_summary!F$26)</f>
        <v>0</v>
      </c>
      <c r="G14" s="65">
        <f>IF(SER_hh_emih!G14=0,0,SER_hh_emih!G14/SER_summary!G$26)</f>
        <v>0</v>
      </c>
      <c r="H14" s="65">
        <f>IF(SER_hh_emih!H14=0,0,SER_hh_emih!H14/SER_summary!H$26)</f>
        <v>0</v>
      </c>
      <c r="I14" s="65">
        <f>IF(SER_hh_emih!I14=0,0,SER_hh_emih!I14/SER_summary!I$26)</f>
        <v>0</v>
      </c>
      <c r="J14" s="65">
        <f>IF(SER_hh_emih!J14=0,0,SER_hh_emih!J14/SER_summary!J$26)</f>
        <v>0</v>
      </c>
      <c r="K14" s="65">
        <f>IF(SER_hh_emih!K14=0,0,SER_hh_emih!K14/SER_summary!K$26)</f>
        <v>0</v>
      </c>
      <c r="L14" s="65">
        <f>IF(SER_hh_emih!L14=0,0,SER_hh_emih!L14/SER_summary!L$26)</f>
        <v>0</v>
      </c>
      <c r="M14" s="65">
        <f>IF(SER_hh_emih!M14=0,0,SER_hh_emih!M14/SER_summary!M$26)</f>
        <v>0</v>
      </c>
      <c r="N14" s="65">
        <f>IF(SER_hh_emih!N14=0,0,SER_hh_emih!N14/SER_summary!N$26)</f>
        <v>0</v>
      </c>
      <c r="O14" s="65">
        <f>IF(SER_hh_emih!O14=0,0,SER_hh_emih!O14/SER_summary!O$26)</f>
        <v>0</v>
      </c>
      <c r="P14" s="65">
        <f>IF(SER_hh_emih!P14=0,0,SER_hh_emih!P14/SER_summary!P$26)</f>
        <v>0</v>
      </c>
      <c r="Q14" s="65">
        <f>IF(SER_hh_emih!Q14=0,0,SER_hh_emih!Q14/SER_summary!Q$26)</f>
        <v>0</v>
      </c>
      <c r="R14" s="65">
        <f>IF(SER_hh_emih!R14=0,0,SER_hh_emih!R14/SER_summary!R$26)</f>
        <v>0</v>
      </c>
      <c r="S14" s="65">
        <f>IF(SER_hh_emih!S14=0,0,SER_hh_emih!S14/SER_summary!S$26)</f>
        <v>0</v>
      </c>
      <c r="T14" s="65">
        <f>IF(SER_hh_emih!T14=0,0,SER_hh_emih!T14/SER_summary!T$26)</f>
        <v>0</v>
      </c>
      <c r="U14" s="65">
        <f>IF(SER_hh_emih!U14=0,0,SER_hh_emih!U14/SER_summary!U$26)</f>
        <v>0</v>
      </c>
      <c r="V14" s="65">
        <f>IF(SER_hh_emih!V14=0,0,SER_hh_emih!V14/SER_summary!V$26)</f>
        <v>0</v>
      </c>
      <c r="W14" s="65">
        <f>IF(SER_hh_emih!W14=0,0,SER_hh_emih!W14/SER_summary!W$26)</f>
        <v>0</v>
      </c>
      <c r="DA14" s="109" t="s">
        <v>549</v>
      </c>
    </row>
    <row r="15" spans="1:105" ht="12" customHeight="1" x14ac:dyDescent="0.25">
      <c r="A15" s="134" t="s">
        <v>80</v>
      </c>
      <c r="B15" s="135">
        <f>IF(SER_hh_emih!B15=0,0,SER_hh_emih!B15/SER_summary!B$26)</f>
        <v>0</v>
      </c>
      <c r="C15" s="135">
        <f>IF(SER_hh_emih!C15=0,0,SER_hh_emih!C15/SER_summary!C$26)</f>
        <v>0</v>
      </c>
      <c r="D15" s="135">
        <f>IF(SER_hh_emih!D15=0,0,SER_hh_emih!D15/SER_summary!D$26)</f>
        <v>0</v>
      </c>
      <c r="E15" s="135">
        <f>IF(SER_hh_emih!E15=0,0,SER_hh_emih!E15/SER_summary!E$26)</f>
        <v>0</v>
      </c>
      <c r="F15" s="135">
        <f>IF(SER_hh_emih!F15=0,0,SER_hh_emih!F15/SER_summary!F$26)</f>
        <v>0</v>
      </c>
      <c r="G15" s="135">
        <f>IF(SER_hh_emih!G15=0,0,SER_hh_emih!G15/SER_summary!G$26)</f>
        <v>0</v>
      </c>
      <c r="H15" s="135">
        <f>IF(SER_hh_emih!H15=0,0,SER_hh_emih!H15/SER_summary!H$26)</f>
        <v>0</v>
      </c>
      <c r="I15" s="135">
        <f>IF(SER_hh_emih!I15=0,0,SER_hh_emih!I15/SER_summary!I$26)</f>
        <v>0</v>
      </c>
      <c r="J15" s="135">
        <f>IF(SER_hh_emih!J15=0,0,SER_hh_emih!J15/SER_summary!J$26)</f>
        <v>0</v>
      </c>
      <c r="K15" s="135">
        <f>IF(SER_hh_emih!K15=0,0,SER_hh_emih!K15/SER_summary!K$26)</f>
        <v>0</v>
      </c>
      <c r="L15" s="135">
        <f>IF(SER_hh_emih!L15=0,0,SER_hh_emih!L15/SER_summary!L$26)</f>
        <v>0</v>
      </c>
      <c r="M15" s="135">
        <f>IF(SER_hh_emih!M15=0,0,SER_hh_emih!M15/SER_summary!M$26)</f>
        <v>0</v>
      </c>
      <c r="N15" s="135">
        <f>IF(SER_hh_emih!N15=0,0,SER_hh_emih!N15/SER_summary!N$26)</f>
        <v>0</v>
      </c>
      <c r="O15" s="135">
        <f>IF(SER_hh_emih!O15=0,0,SER_hh_emih!O15/SER_summary!O$26)</f>
        <v>0</v>
      </c>
      <c r="P15" s="135">
        <f>IF(SER_hh_emih!P15=0,0,SER_hh_emih!P15/SER_summary!P$26)</f>
        <v>0</v>
      </c>
      <c r="Q15" s="135">
        <f>IF(SER_hh_emih!Q15=0,0,SER_hh_emih!Q15/SER_summary!Q$26)</f>
        <v>0</v>
      </c>
      <c r="R15" s="135">
        <f>IF(SER_hh_emih!R15=0,0,SER_hh_emih!R15/SER_summary!R$26)</f>
        <v>0</v>
      </c>
      <c r="S15" s="135">
        <f>IF(SER_hh_emih!S15=0,0,SER_hh_emih!S15/SER_summary!S$26)</f>
        <v>0</v>
      </c>
      <c r="T15" s="135">
        <f>IF(SER_hh_emih!T15=0,0,SER_hh_emih!T15/SER_summary!T$26)</f>
        <v>0</v>
      </c>
      <c r="U15" s="135">
        <f>IF(SER_hh_emih!U15=0,0,SER_hh_emih!U15/SER_summary!U$26)</f>
        <v>0</v>
      </c>
      <c r="V15" s="135">
        <f>IF(SER_hh_emih!V15=0,0,SER_hh_emih!V15/SER_summary!V$26)</f>
        <v>0</v>
      </c>
      <c r="W15" s="135">
        <f>IF(SER_hh_emih!W15=0,0,SER_hh_emih!W15/SER_summary!W$26)</f>
        <v>0</v>
      </c>
      <c r="DA15" s="158" t="s">
        <v>550</v>
      </c>
    </row>
    <row r="16" spans="1:105" ht="12.95" customHeight="1" x14ac:dyDescent="0.25">
      <c r="A16" s="130" t="s">
        <v>74</v>
      </c>
      <c r="B16" s="131">
        <f>IF(SER_hh_emih!B16=0,0,SER_hh_emih!B16/SER_summary!B$26)</f>
        <v>0</v>
      </c>
      <c r="C16" s="131">
        <f>IF(SER_hh_emih!C16=0,0,SER_hh_emih!C16/SER_summary!C$26)</f>
        <v>0</v>
      </c>
      <c r="D16" s="131">
        <f>IF(SER_hh_emih!D16=0,0,SER_hh_emih!D16/SER_summary!D$26)</f>
        <v>0</v>
      </c>
      <c r="E16" s="131">
        <f>IF(SER_hh_emih!E16=0,0,SER_hh_emih!E16/SER_summary!E$26)</f>
        <v>0</v>
      </c>
      <c r="F16" s="131">
        <f>IF(SER_hh_emih!F16=0,0,SER_hh_emih!F16/SER_summary!F$26)</f>
        <v>0</v>
      </c>
      <c r="G16" s="131">
        <f>IF(SER_hh_emih!G16=0,0,SER_hh_emih!G16/SER_summary!G$26)</f>
        <v>0</v>
      </c>
      <c r="H16" s="131">
        <f>IF(SER_hh_emih!H16=0,0,SER_hh_emih!H16/SER_summary!H$26)</f>
        <v>0</v>
      </c>
      <c r="I16" s="131">
        <f>IF(SER_hh_emih!I16=0,0,SER_hh_emih!I16/SER_summary!I$26)</f>
        <v>0</v>
      </c>
      <c r="J16" s="131">
        <f>IF(SER_hh_emih!J16=0,0,SER_hh_emih!J16/SER_summary!J$26)</f>
        <v>0</v>
      </c>
      <c r="K16" s="131">
        <f>IF(SER_hh_emih!K16=0,0,SER_hh_emih!K16/SER_summary!K$26)</f>
        <v>0</v>
      </c>
      <c r="L16" s="131">
        <f>IF(SER_hh_emih!L16=0,0,SER_hh_emih!L16/SER_summary!L$26)</f>
        <v>0</v>
      </c>
      <c r="M16" s="131">
        <f>IF(SER_hh_emih!M16=0,0,SER_hh_emih!M16/SER_summary!M$26)</f>
        <v>0</v>
      </c>
      <c r="N16" s="131">
        <f>IF(SER_hh_emih!N16=0,0,SER_hh_emih!N16/SER_summary!N$26)</f>
        <v>0</v>
      </c>
      <c r="O16" s="131">
        <f>IF(SER_hh_emih!O16=0,0,SER_hh_emih!O16/SER_summary!O$26)</f>
        <v>0</v>
      </c>
      <c r="P16" s="131">
        <f>IF(SER_hh_emih!P16=0,0,SER_hh_emih!P16/SER_summary!P$26)</f>
        <v>0</v>
      </c>
      <c r="Q16" s="131">
        <f>IF(SER_hh_emih!Q16=0,0,SER_hh_emih!Q16/SER_summary!Q$26)</f>
        <v>0</v>
      </c>
      <c r="R16" s="131">
        <f>IF(SER_hh_emih!R16=0,0,SER_hh_emih!R16/SER_summary!R$26)</f>
        <v>0</v>
      </c>
      <c r="S16" s="131">
        <f>IF(SER_hh_emih!S16=0,0,SER_hh_emih!S16/SER_summary!S$26)</f>
        <v>0</v>
      </c>
      <c r="T16" s="131">
        <f>IF(SER_hh_emih!T16=0,0,SER_hh_emih!T16/SER_summary!T$26)</f>
        <v>0</v>
      </c>
      <c r="U16" s="131">
        <f>IF(SER_hh_emih!U16=0,0,SER_hh_emih!U16/SER_summary!U$26)</f>
        <v>0</v>
      </c>
      <c r="V16" s="131">
        <f>IF(SER_hh_emih!V16=0,0,SER_hh_emih!V16/SER_summary!V$26)</f>
        <v>0</v>
      </c>
      <c r="W16" s="131">
        <f>IF(SER_hh_emih!W16=0,0,SER_hh_emih!W16/SER_summary!W$26)</f>
        <v>0</v>
      </c>
      <c r="DA16" s="156" t="s">
        <v>551</v>
      </c>
    </row>
    <row r="17" spans="1:105" ht="12.95" customHeight="1" x14ac:dyDescent="0.25">
      <c r="A17" s="132" t="s">
        <v>73</v>
      </c>
      <c r="B17" s="133">
        <f>IF(SER_hh_emih!B17=0,0,SER_hh_emih!B17/SER_summary!B$26)</f>
        <v>0</v>
      </c>
      <c r="C17" s="133">
        <f>IF(SER_hh_emih!C17=0,0,SER_hh_emih!C17/SER_summary!C$26)</f>
        <v>0</v>
      </c>
      <c r="D17" s="133">
        <f>IF(SER_hh_emih!D17=0,0,SER_hh_emih!D17/SER_summary!D$26)</f>
        <v>0</v>
      </c>
      <c r="E17" s="133">
        <f>IF(SER_hh_emih!E17=0,0,SER_hh_emih!E17/SER_summary!E$26)</f>
        <v>0</v>
      </c>
      <c r="F17" s="133">
        <f>IF(SER_hh_emih!F17=0,0,SER_hh_emih!F17/SER_summary!F$26)</f>
        <v>0</v>
      </c>
      <c r="G17" s="133">
        <f>IF(SER_hh_emih!G17=0,0,SER_hh_emih!G17/SER_summary!G$26)</f>
        <v>0</v>
      </c>
      <c r="H17" s="133">
        <f>IF(SER_hh_emih!H17=0,0,SER_hh_emih!H17/SER_summary!H$26)</f>
        <v>0</v>
      </c>
      <c r="I17" s="133">
        <f>IF(SER_hh_emih!I17=0,0,SER_hh_emih!I17/SER_summary!I$26)</f>
        <v>0</v>
      </c>
      <c r="J17" s="133">
        <f>IF(SER_hh_emih!J17=0,0,SER_hh_emih!J17/SER_summary!J$26)</f>
        <v>0</v>
      </c>
      <c r="K17" s="133">
        <f>IF(SER_hh_emih!K17=0,0,SER_hh_emih!K17/SER_summary!K$26)</f>
        <v>0</v>
      </c>
      <c r="L17" s="133">
        <f>IF(SER_hh_emih!L17=0,0,SER_hh_emih!L17/SER_summary!L$26)</f>
        <v>0</v>
      </c>
      <c r="M17" s="133">
        <f>IF(SER_hh_emih!M17=0,0,SER_hh_emih!M17/SER_summary!M$26)</f>
        <v>0</v>
      </c>
      <c r="N17" s="133">
        <f>IF(SER_hh_emih!N17=0,0,SER_hh_emih!N17/SER_summary!N$26)</f>
        <v>0</v>
      </c>
      <c r="O17" s="133">
        <f>IF(SER_hh_emih!O17=0,0,SER_hh_emih!O17/SER_summary!O$26)</f>
        <v>0</v>
      </c>
      <c r="P17" s="133">
        <f>IF(SER_hh_emih!P17=0,0,SER_hh_emih!P17/SER_summary!P$26)</f>
        <v>0</v>
      </c>
      <c r="Q17" s="133">
        <f>IF(SER_hh_emih!Q17=0,0,SER_hh_emih!Q17/SER_summary!Q$26)</f>
        <v>0</v>
      </c>
      <c r="R17" s="133">
        <f>IF(SER_hh_emih!R17=0,0,SER_hh_emih!R17/SER_summary!R$26)</f>
        <v>0</v>
      </c>
      <c r="S17" s="133">
        <f>IF(SER_hh_emih!S17=0,0,SER_hh_emih!S17/SER_summary!S$26)</f>
        <v>0</v>
      </c>
      <c r="T17" s="133">
        <f>IF(SER_hh_emih!T17=0,0,SER_hh_emih!T17/SER_summary!T$26)</f>
        <v>0</v>
      </c>
      <c r="U17" s="133">
        <f>IF(SER_hh_emih!U17=0,0,SER_hh_emih!U17/SER_summary!U$26)</f>
        <v>0</v>
      </c>
      <c r="V17" s="133">
        <f>IF(SER_hh_emih!V17=0,0,SER_hh_emih!V17/SER_summary!V$26)</f>
        <v>0</v>
      </c>
      <c r="W17" s="133">
        <f>IF(SER_hh_emih!W17=0,0,SER_hh_emih!W17/SER_summary!W$26)</f>
        <v>0</v>
      </c>
      <c r="DA17" s="157" t="s">
        <v>552</v>
      </c>
    </row>
    <row r="18" spans="1:105" ht="12" customHeight="1" x14ac:dyDescent="0.25">
      <c r="A18" s="132" t="s">
        <v>72</v>
      </c>
      <c r="B18" s="133">
        <f>IF(SER_hh_emih!B18=0,0,SER_hh_emih!B18/SER_summary!B$26)</f>
        <v>0</v>
      </c>
      <c r="C18" s="133">
        <f>IF(SER_hh_emih!C18=0,0,SER_hh_emih!C18/SER_summary!C$26)</f>
        <v>0</v>
      </c>
      <c r="D18" s="133">
        <f>IF(SER_hh_emih!D18=0,0,SER_hh_emih!D18/SER_summary!D$26)</f>
        <v>0</v>
      </c>
      <c r="E18" s="133">
        <f>IF(SER_hh_emih!E18=0,0,SER_hh_emih!E18/SER_summary!E$26)</f>
        <v>0</v>
      </c>
      <c r="F18" s="133">
        <f>IF(SER_hh_emih!F18=0,0,SER_hh_emih!F18/SER_summary!F$26)</f>
        <v>0</v>
      </c>
      <c r="G18" s="133">
        <f>IF(SER_hh_emih!G18=0,0,SER_hh_emih!G18/SER_summary!G$26)</f>
        <v>0</v>
      </c>
      <c r="H18" s="133">
        <f>IF(SER_hh_emih!H18=0,0,SER_hh_emih!H18/SER_summary!H$26)</f>
        <v>0</v>
      </c>
      <c r="I18" s="133">
        <f>IF(SER_hh_emih!I18=0,0,SER_hh_emih!I18/SER_summary!I$26)</f>
        <v>0</v>
      </c>
      <c r="J18" s="133">
        <f>IF(SER_hh_emih!J18=0,0,SER_hh_emih!J18/SER_summary!J$26)</f>
        <v>0</v>
      </c>
      <c r="K18" s="133">
        <f>IF(SER_hh_emih!K18=0,0,SER_hh_emih!K18/SER_summary!K$26)</f>
        <v>0</v>
      </c>
      <c r="L18" s="133">
        <f>IF(SER_hh_emih!L18=0,0,SER_hh_emih!L18/SER_summary!L$26)</f>
        <v>0</v>
      </c>
      <c r="M18" s="133">
        <f>IF(SER_hh_emih!M18=0,0,SER_hh_emih!M18/SER_summary!M$26)</f>
        <v>0</v>
      </c>
      <c r="N18" s="133">
        <f>IF(SER_hh_emih!N18=0,0,SER_hh_emih!N18/SER_summary!N$26)</f>
        <v>0</v>
      </c>
      <c r="O18" s="133">
        <f>IF(SER_hh_emih!O18=0,0,SER_hh_emih!O18/SER_summary!O$26)</f>
        <v>0</v>
      </c>
      <c r="P18" s="133">
        <f>IF(SER_hh_emih!P18=0,0,SER_hh_emih!P18/SER_summary!P$26)</f>
        <v>0</v>
      </c>
      <c r="Q18" s="133">
        <f>IF(SER_hh_emih!Q18=0,0,SER_hh_emih!Q18/SER_summary!Q$26)</f>
        <v>0</v>
      </c>
      <c r="R18" s="133">
        <f>IF(SER_hh_emih!R18=0,0,SER_hh_emih!R18/SER_summary!R$26)</f>
        <v>0</v>
      </c>
      <c r="S18" s="133">
        <f>IF(SER_hh_emih!S18=0,0,SER_hh_emih!S18/SER_summary!S$26)</f>
        <v>0</v>
      </c>
      <c r="T18" s="133">
        <f>IF(SER_hh_emih!T18=0,0,SER_hh_emih!T18/SER_summary!T$26)</f>
        <v>0</v>
      </c>
      <c r="U18" s="133">
        <f>IF(SER_hh_emih!U18=0,0,SER_hh_emih!U18/SER_summary!U$26)</f>
        <v>0</v>
      </c>
      <c r="V18" s="133">
        <f>IF(SER_hh_emih!V18=0,0,SER_hh_emih!V18/SER_summary!V$26)</f>
        <v>0</v>
      </c>
      <c r="W18" s="133">
        <f>IF(SER_hh_emih!W18=0,0,SER_hh_emih!W18/SER_summary!W$26)</f>
        <v>0</v>
      </c>
      <c r="DA18" s="157" t="s">
        <v>553</v>
      </c>
    </row>
    <row r="19" spans="1:105" ht="12.95" customHeight="1" x14ac:dyDescent="0.25">
      <c r="A19" s="130" t="s">
        <v>35</v>
      </c>
      <c r="B19" s="131">
        <f>IF(SER_hh_emih!B19=0,0,SER_hh_emih!B19/SER_summary!B$26)</f>
        <v>0.25439697084852519</v>
      </c>
      <c r="C19" s="131">
        <f>IF(SER_hh_emih!C19=0,0,SER_hh_emih!C19/SER_summary!C$26)</f>
        <v>0.25093435666693376</v>
      </c>
      <c r="D19" s="131">
        <f>IF(SER_hh_emih!D19=0,0,SER_hh_emih!D19/SER_summary!D$26)</f>
        <v>0.24787324831290297</v>
      </c>
      <c r="E19" s="131">
        <f>IF(SER_hh_emih!E19=0,0,SER_hh_emih!E19/SER_summary!E$26)</f>
        <v>0.2418630236253147</v>
      </c>
      <c r="F19" s="131">
        <f>IF(SER_hh_emih!F19=0,0,SER_hh_emih!F19/SER_summary!F$26)</f>
        <v>0.23765808564197966</v>
      </c>
      <c r="G19" s="131">
        <f>IF(SER_hh_emih!G19=0,0,SER_hh_emih!G19/SER_summary!G$26)</f>
        <v>0.23323969736002878</v>
      </c>
      <c r="H19" s="131">
        <f>IF(SER_hh_emih!H19=0,0,SER_hh_emih!H19/SER_summary!H$26)</f>
        <v>1.6549053157493412</v>
      </c>
      <c r="I19" s="131">
        <f>IF(SER_hh_emih!I19=0,0,SER_hh_emih!I19/SER_summary!I$26)</f>
        <v>1.6245761045620501</v>
      </c>
      <c r="J19" s="131">
        <f>IF(SER_hh_emih!J19=0,0,SER_hh_emih!J19/SER_summary!J$26)</f>
        <v>1.6017799582208172</v>
      </c>
      <c r="K19" s="131">
        <f>IF(SER_hh_emih!K19=0,0,SER_hh_emih!K19/SER_summary!K$26)</f>
        <v>1.5608598861623337</v>
      </c>
      <c r="L19" s="131">
        <f>IF(SER_hh_emih!L19=0,0,SER_hh_emih!L19/SER_summary!L$26)</f>
        <v>1.5506403546726824</v>
      </c>
      <c r="M19" s="131">
        <f>IF(SER_hh_emih!M19=0,0,SER_hh_emih!M19/SER_summary!M$26)</f>
        <v>1.4539092541561924</v>
      </c>
      <c r="N19" s="131">
        <f>IF(SER_hh_emih!N19=0,0,SER_hh_emih!N19/SER_summary!N$26)</f>
        <v>1.3537918522864831</v>
      </c>
      <c r="O19" s="131">
        <f>IF(SER_hh_emih!O19=0,0,SER_hh_emih!O19/SER_summary!O$26)</f>
        <v>1.2722559096844268</v>
      </c>
      <c r="P19" s="131">
        <f>IF(SER_hh_emih!P19=0,0,SER_hh_emih!P19/SER_summary!P$26)</f>
        <v>1.1193182909215398</v>
      </c>
      <c r="Q19" s="131">
        <f>IF(SER_hh_emih!Q19=0,0,SER_hh_emih!Q19/SER_summary!Q$26)</f>
        <v>1.0978744616071781</v>
      </c>
      <c r="R19" s="131">
        <f>IF(SER_hh_emih!R19=0,0,SER_hh_emih!R19/SER_summary!R$26)</f>
        <v>1.1029053409526277</v>
      </c>
      <c r="S19" s="131">
        <f>IF(SER_hh_emih!S19=0,0,SER_hh_emih!S19/SER_summary!S$26)</f>
        <v>1.0893712482720588</v>
      </c>
      <c r="T19" s="131">
        <f>IF(SER_hh_emih!T19=0,0,SER_hh_emih!T19/SER_summary!T$26)</f>
        <v>1.0354262385294004</v>
      </c>
      <c r="U19" s="131">
        <f>IF(SER_hh_emih!U19=0,0,SER_hh_emih!U19/SER_summary!U$26)</f>
        <v>1.0003936242299569</v>
      </c>
      <c r="V19" s="131">
        <f>IF(SER_hh_emih!V19=0,0,SER_hh_emih!V19/SER_summary!V$26)</f>
        <v>0.79277099357235081</v>
      </c>
      <c r="W19" s="131">
        <f>IF(SER_hh_emih!W19=0,0,SER_hh_emih!W19/SER_summary!W$26)</f>
        <v>0.73870558990748059</v>
      </c>
      <c r="DA19" s="156" t="s">
        <v>554</v>
      </c>
    </row>
    <row r="20" spans="1:105" ht="12" customHeight="1" x14ac:dyDescent="0.25">
      <c r="A20" s="132" t="s">
        <v>29</v>
      </c>
      <c r="B20" s="133">
        <f>IF(SER_hh_emih!B20=0,0,SER_hh_emih!B20/SER_summary!B$26)</f>
        <v>0</v>
      </c>
      <c r="C20" s="133">
        <f>IF(SER_hh_emih!C20=0,0,SER_hh_emih!C20/SER_summary!C$26)</f>
        <v>0</v>
      </c>
      <c r="D20" s="133">
        <f>IF(SER_hh_emih!D20=0,0,SER_hh_emih!D20/SER_summary!D$26)</f>
        <v>0</v>
      </c>
      <c r="E20" s="133">
        <f>IF(SER_hh_emih!E20=0,0,SER_hh_emih!E20/SER_summary!E$26)</f>
        <v>0</v>
      </c>
      <c r="F20" s="133">
        <f>IF(SER_hh_emih!F20=0,0,SER_hh_emih!F20/SER_summary!F$26)</f>
        <v>0</v>
      </c>
      <c r="G20" s="133">
        <f>IF(SER_hh_emih!G20=0,0,SER_hh_emih!G20/SER_summary!G$26)</f>
        <v>0</v>
      </c>
      <c r="H20" s="133">
        <f>IF(SER_hh_emih!H20=0,0,SER_hh_emih!H20/SER_summary!H$26)</f>
        <v>0</v>
      </c>
      <c r="I20" s="133">
        <f>IF(SER_hh_emih!I20=0,0,SER_hh_emih!I20/SER_summary!I$26)</f>
        <v>0</v>
      </c>
      <c r="J20" s="133">
        <f>IF(SER_hh_emih!J20=0,0,SER_hh_emih!J20/SER_summary!J$26)</f>
        <v>0</v>
      </c>
      <c r="K20" s="133">
        <f>IF(SER_hh_emih!K20=0,0,SER_hh_emih!K20/SER_summary!K$26)</f>
        <v>0</v>
      </c>
      <c r="L20" s="133">
        <f>IF(SER_hh_emih!L20=0,0,SER_hh_emih!L20/SER_summary!L$26)</f>
        <v>0</v>
      </c>
      <c r="M20" s="133">
        <f>IF(SER_hh_emih!M20=0,0,SER_hh_emih!M20/SER_summary!M$26)</f>
        <v>0</v>
      </c>
      <c r="N20" s="133">
        <f>IF(SER_hh_emih!N20=0,0,SER_hh_emih!N20/SER_summary!N$26)</f>
        <v>0</v>
      </c>
      <c r="O20" s="133">
        <f>IF(SER_hh_emih!O20=0,0,SER_hh_emih!O20/SER_summary!O$26)</f>
        <v>0</v>
      </c>
      <c r="P20" s="133">
        <f>IF(SER_hh_emih!P20=0,0,SER_hh_emih!P20/SER_summary!P$26)</f>
        <v>0</v>
      </c>
      <c r="Q20" s="133">
        <f>IF(SER_hh_emih!Q20=0,0,SER_hh_emih!Q20/SER_summary!Q$26)</f>
        <v>0</v>
      </c>
      <c r="R20" s="133">
        <f>IF(SER_hh_emih!R20=0,0,SER_hh_emih!R20/SER_summary!R$26)</f>
        <v>0</v>
      </c>
      <c r="S20" s="133">
        <f>IF(SER_hh_emih!S20=0,0,SER_hh_emih!S20/SER_summary!S$26)</f>
        <v>0</v>
      </c>
      <c r="T20" s="133">
        <f>IF(SER_hh_emih!T20=0,0,SER_hh_emih!T20/SER_summary!T$26)</f>
        <v>0</v>
      </c>
      <c r="U20" s="133">
        <f>IF(SER_hh_emih!U20=0,0,SER_hh_emih!U20/SER_summary!U$26)</f>
        <v>0</v>
      </c>
      <c r="V20" s="133">
        <f>IF(SER_hh_emih!V20=0,0,SER_hh_emih!V20/SER_summary!V$26)</f>
        <v>0</v>
      </c>
      <c r="W20" s="133">
        <f>IF(SER_hh_emih!W20=0,0,SER_hh_emih!W20/SER_summary!W$26)</f>
        <v>0</v>
      </c>
      <c r="DA20" s="157" t="s">
        <v>555</v>
      </c>
    </row>
    <row r="21" spans="1:105" s="2" customFormat="1" ht="12" customHeight="1" x14ac:dyDescent="0.25">
      <c r="A21" s="132" t="s">
        <v>52</v>
      </c>
      <c r="B21" s="133">
        <f>IF(SER_hh_emih!B21=0,0,SER_hh_emih!B21/SER_summary!B$26)</f>
        <v>0</v>
      </c>
      <c r="C21" s="133">
        <f>IF(SER_hh_emih!C21=0,0,SER_hh_emih!C21/SER_summary!C$26)</f>
        <v>0</v>
      </c>
      <c r="D21" s="133">
        <f>IF(SER_hh_emih!D21=0,0,SER_hh_emih!D21/SER_summary!D$26)</f>
        <v>0</v>
      </c>
      <c r="E21" s="133">
        <f>IF(SER_hh_emih!E21=0,0,SER_hh_emih!E21/SER_summary!E$26)</f>
        <v>0</v>
      </c>
      <c r="F21" s="133">
        <f>IF(SER_hh_emih!F21=0,0,SER_hh_emih!F21/SER_summary!F$26)</f>
        <v>0</v>
      </c>
      <c r="G21" s="133">
        <f>IF(SER_hh_emih!G21=0,0,SER_hh_emih!G21/SER_summary!G$26)</f>
        <v>0</v>
      </c>
      <c r="H21" s="133">
        <f>IF(SER_hh_emih!H21=0,0,SER_hh_emih!H21/SER_summary!H$26)</f>
        <v>5.7787140876705445</v>
      </c>
      <c r="I21" s="133">
        <f>IF(SER_hh_emih!I21=0,0,SER_hh_emih!I21/SER_summary!I$26)</f>
        <v>4.4403128199256381</v>
      </c>
      <c r="J21" s="133">
        <f>IF(SER_hh_emih!J21=0,0,SER_hh_emih!J21/SER_summary!J$26)</f>
        <v>3.9797091833762543</v>
      </c>
      <c r="K21" s="133">
        <f>IF(SER_hh_emih!K21=0,0,SER_hh_emih!K21/SER_summary!K$26)</f>
        <v>3.9376594513454379</v>
      </c>
      <c r="L21" s="133">
        <f>IF(SER_hh_emih!L21=0,0,SER_hh_emih!L21/SER_summary!L$26)</f>
        <v>4.0370699848673413</v>
      </c>
      <c r="M21" s="133">
        <f>IF(SER_hh_emih!M21=0,0,SER_hh_emih!M21/SER_summary!M$26)</f>
        <v>3.9660580741588181</v>
      </c>
      <c r="N21" s="133">
        <f>IF(SER_hh_emih!N21=0,0,SER_hh_emih!N21/SER_summary!N$26)</f>
        <v>3.9777781928902995</v>
      </c>
      <c r="O21" s="133">
        <f>IF(SER_hh_emih!O21=0,0,SER_hh_emih!O21/SER_summary!O$26)</f>
        <v>4.0420760375075071</v>
      </c>
      <c r="P21" s="133">
        <f>IF(SER_hh_emih!P21=0,0,SER_hh_emih!P21/SER_summary!P$26)</f>
        <v>3.8436416045668831</v>
      </c>
      <c r="Q21" s="133">
        <f>IF(SER_hh_emih!Q21=0,0,SER_hh_emih!Q21/SER_summary!Q$26)</f>
        <v>3.8635567249510618</v>
      </c>
      <c r="R21" s="133">
        <f>IF(SER_hh_emih!R21=0,0,SER_hh_emih!R21/SER_summary!R$26)</f>
        <v>3.9342975928315416</v>
      </c>
      <c r="S21" s="133">
        <f>IF(SER_hh_emih!S21=0,0,SER_hh_emih!S21/SER_summary!S$26)</f>
        <v>3.9377900045693588</v>
      </c>
      <c r="T21" s="133">
        <f>IF(SER_hh_emih!T21=0,0,SER_hh_emih!T21/SER_summary!T$26)</f>
        <v>3.7836359528573311</v>
      </c>
      <c r="U21" s="133">
        <f>IF(SER_hh_emih!U21=0,0,SER_hh_emih!U21/SER_summary!U$26)</f>
        <v>3.7911936696588548</v>
      </c>
      <c r="V21" s="133">
        <f>IF(SER_hh_emih!V21=0,0,SER_hh_emih!V21/SER_summary!V$26)</f>
        <v>3.2738471310016175</v>
      </c>
      <c r="W21" s="133">
        <f>IF(SER_hh_emih!W21=0,0,SER_hh_emih!W21/SER_summary!W$26)</f>
        <v>3.110171408983669</v>
      </c>
      <c r="DA21" s="157" t="s">
        <v>556</v>
      </c>
    </row>
    <row r="22" spans="1:105" ht="12" customHeight="1" x14ac:dyDescent="0.25">
      <c r="A22" s="132" t="s">
        <v>168</v>
      </c>
      <c r="B22" s="133">
        <f>IF(SER_hh_emih!B22=0,0,SER_hh_emih!B22/SER_summary!B$26)</f>
        <v>7.8070141383451723</v>
      </c>
      <c r="C22" s="133">
        <f>IF(SER_hh_emih!C22=0,0,SER_hh_emih!C22/SER_summary!C$26)</f>
        <v>7.7924609903474433</v>
      </c>
      <c r="D22" s="133">
        <f>IF(SER_hh_emih!D22=0,0,SER_hh_emih!D22/SER_summary!D$26)</f>
        <v>7.7658301576137498</v>
      </c>
      <c r="E22" s="133">
        <f>IF(SER_hh_emih!E22=0,0,SER_hh_emih!E22/SER_summary!E$26)</f>
        <v>7.6700334708542259</v>
      </c>
      <c r="F22" s="133">
        <f>IF(SER_hh_emih!F22=0,0,SER_hh_emih!F22/SER_summary!F$26)</f>
        <v>7.6304812769302499</v>
      </c>
      <c r="G22" s="133">
        <f>IF(SER_hh_emih!G22=0,0,SER_hh_emih!G22/SER_summary!G$26)</f>
        <v>7.5540460060501138</v>
      </c>
      <c r="H22" s="133">
        <f>IF(SER_hh_emih!H22=0,0,SER_hh_emih!H22/SER_summary!H$26)</f>
        <v>7.306398048169843</v>
      </c>
      <c r="I22" s="133">
        <f>IF(SER_hh_emih!I22=0,0,SER_hh_emih!I22/SER_summary!I$26)</f>
        <v>7.0597602026918072</v>
      </c>
      <c r="J22" s="133">
        <f>IF(SER_hh_emih!J22=0,0,SER_hh_emih!J22/SER_summary!J$26)</f>
        <v>6.889391845700688</v>
      </c>
      <c r="K22" s="133">
        <f>IF(SER_hh_emih!K22=0,0,SER_hh_emih!K22/SER_summary!K$26)</f>
        <v>6.7921598904674569</v>
      </c>
      <c r="L22" s="133">
        <f>IF(SER_hh_emih!L22=0,0,SER_hh_emih!L22/SER_summary!L$26)</f>
        <v>6.6685747372473827</v>
      </c>
      <c r="M22" s="133">
        <f>IF(SER_hh_emih!M22=0,0,SER_hh_emih!M22/SER_summary!M$26)</f>
        <v>6.6033892755287527</v>
      </c>
      <c r="N22" s="133">
        <f>IF(SER_hh_emih!N22=0,0,SER_hh_emih!N22/SER_summary!N$26)</f>
        <v>6.5903859254292447</v>
      </c>
      <c r="O22" s="133">
        <f>IF(SER_hh_emih!O22=0,0,SER_hh_emih!O22/SER_summary!O$26)</f>
        <v>6.4052193170216709</v>
      </c>
      <c r="P22" s="133">
        <f>IF(SER_hh_emih!P22=0,0,SER_hh_emih!P22/SER_summary!P$26)</f>
        <v>6.3478257634363278</v>
      </c>
      <c r="Q22" s="133">
        <f>IF(SER_hh_emih!Q22=0,0,SER_hh_emih!Q22/SER_summary!Q$26)</f>
        <v>6.2559591388705966</v>
      </c>
      <c r="R22" s="133">
        <f>IF(SER_hh_emih!R22=0,0,SER_hh_emih!R22/SER_summary!R$26)</f>
        <v>6.1486859689960092</v>
      </c>
      <c r="S22" s="133">
        <f>IF(SER_hh_emih!S22=0,0,SER_hh_emih!S22/SER_summary!S$26)</f>
        <v>5.5777419670033552</v>
      </c>
      <c r="T22" s="133">
        <f>IF(SER_hh_emih!T22=0,0,SER_hh_emih!T22/SER_summary!T$26)</f>
        <v>5.6578131247265775</v>
      </c>
      <c r="U22" s="133">
        <f>IF(SER_hh_emih!U22=0,0,SER_hh_emih!U22/SER_summary!U$26)</f>
        <v>5.3928399378224414</v>
      </c>
      <c r="V22" s="133">
        <f>IF(SER_hh_emih!V22=0,0,SER_hh_emih!V22/SER_summary!V$26)</f>
        <v>4.8064125789509946</v>
      </c>
      <c r="W22" s="133">
        <f>IF(SER_hh_emih!W22=0,0,SER_hh_emih!W22/SER_summary!W$26)</f>
        <v>5.190157710083299</v>
      </c>
      <c r="DA22" s="157" t="s">
        <v>557</v>
      </c>
    </row>
    <row r="23" spans="1:105" ht="12" customHeight="1" x14ac:dyDescent="0.25">
      <c r="A23" s="132" t="s">
        <v>153</v>
      </c>
      <c r="B23" s="133">
        <f>IF(SER_hh_emih!B23=0,0,SER_hh_emih!B23/SER_summary!B$26)</f>
        <v>0</v>
      </c>
      <c r="C23" s="133">
        <f>IF(SER_hh_emih!C23=0,0,SER_hh_emih!C23/SER_summary!C$26)</f>
        <v>0</v>
      </c>
      <c r="D23" s="133">
        <f>IF(SER_hh_emih!D23=0,0,SER_hh_emih!D23/SER_summary!D$26)</f>
        <v>0</v>
      </c>
      <c r="E23" s="133">
        <f>IF(SER_hh_emih!E23=0,0,SER_hh_emih!E23/SER_summary!E$26)</f>
        <v>0</v>
      </c>
      <c r="F23" s="133">
        <f>IF(SER_hh_emih!F23=0,0,SER_hh_emih!F23/SER_summary!F$26)</f>
        <v>0</v>
      </c>
      <c r="G23" s="133">
        <f>IF(SER_hh_emih!G23=0,0,SER_hh_emih!G23/SER_summary!G$26)</f>
        <v>0</v>
      </c>
      <c r="H23" s="133">
        <f>IF(SER_hh_emih!H23=0,0,SER_hh_emih!H23/SER_summary!H$26)</f>
        <v>0</v>
      </c>
      <c r="I23" s="133">
        <f>IF(SER_hh_emih!I23=0,0,SER_hh_emih!I23/SER_summary!I$26)</f>
        <v>0</v>
      </c>
      <c r="J23" s="133">
        <f>IF(SER_hh_emih!J23=0,0,SER_hh_emih!J23/SER_summary!J$26)</f>
        <v>0</v>
      </c>
      <c r="K23" s="133">
        <f>IF(SER_hh_emih!K23=0,0,SER_hh_emih!K23/SER_summary!K$26)</f>
        <v>0</v>
      </c>
      <c r="L23" s="133">
        <f>IF(SER_hh_emih!L23=0,0,SER_hh_emih!L23/SER_summary!L$26)</f>
        <v>0</v>
      </c>
      <c r="M23" s="133">
        <f>IF(SER_hh_emih!M23=0,0,SER_hh_emih!M23/SER_summary!M$26)</f>
        <v>0</v>
      </c>
      <c r="N23" s="133">
        <f>IF(SER_hh_emih!N23=0,0,SER_hh_emih!N23/SER_summary!N$26)</f>
        <v>0</v>
      </c>
      <c r="O23" s="133">
        <f>IF(SER_hh_emih!O23=0,0,SER_hh_emih!O23/SER_summary!O$26)</f>
        <v>0</v>
      </c>
      <c r="P23" s="133">
        <f>IF(SER_hh_emih!P23=0,0,SER_hh_emih!P23/SER_summary!P$26)</f>
        <v>0</v>
      </c>
      <c r="Q23" s="133">
        <f>IF(SER_hh_emih!Q23=0,0,SER_hh_emih!Q23/SER_summary!Q$26)</f>
        <v>0</v>
      </c>
      <c r="R23" s="133">
        <f>IF(SER_hh_emih!R23=0,0,SER_hh_emih!R23/SER_summary!R$26)</f>
        <v>0</v>
      </c>
      <c r="S23" s="133">
        <f>IF(SER_hh_emih!S23=0,0,SER_hh_emih!S23/SER_summary!S$26)</f>
        <v>0</v>
      </c>
      <c r="T23" s="133">
        <f>IF(SER_hh_emih!T23=0,0,SER_hh_emih!T23/SER_summary!T$26)</f>
        <v>0</v>
      </c>
      <c r="U23" s="133">
        <f>IF(SER_hh_emih!U23=0,0,SER_hh_emih!U23/SER_summary!U$26)</f>
        <v>0</v>
      </c>
      <c r="V23" s="133">
        <f>IF(SER_hh_emih!V23=0,0,SER_hh_emih!V23/SER_summary!V$26)</f>
        <v>0</v>
      </c>
      <c r="W23" s="133">
        <f>IF(SER_hh_emih!W23=0,0,SER_hh_emih!W23/SER_summary!W$26)</f>
        <v>0</v>
      </c>
      <c r="DA23" s="157" t="s">
        <v>558</v>
      </c>
    </row>
    <row r="24" spans="1:105" ht="12" customHeight="1" x14ac:dyDescent="0.25">
      <c r="A24" s="132" t="s">
        <v>128</v>
      </c>
      <c r="B24" s="133">
        <f>IF(SER_hh_emih!B24=0,0,SER_hh_emih!B24/SER_summary!B$26)</f>
        <v>0</v>
      </c>
      <c r="C24" s="133">
        <f>IF(SER_hh_emih!C24=0,0,SER_hh_emih!C24/SER_summary!C$26)</f>
        <v>0</v>
      </c>
      <c r="D24" s="133">
        <f>IF(SER_hh_emih!D24=0,0,SER_hh_emih!D24/SER_summary!D$26)</f>
        <v>0</v>
      </c>
      <c r="E24" s="133">
        <f>IF(SER_hh_emih!E24=0,0,SER_hh_emih!E24/SER_summary!E$26)</f>
        <v>0</v>
      </c>
      <c r="F24" s="133">
        <f>IF(SER_hh_emih!F24=0,0,SER_hh_emih!F24/SER_summary!F$26)</f>
        <v>0</v>
      </c>
      <c r="G24" s="133">
        <f>IF(SER_hh_emih!G24=0,0,SER_hh_emih!G24/SER_summary!G$26)</f>
        <v>0</v>
      </c>
      <c r="H24" s="133">
        <f>IF(SER_hh_emih!H24=0,0,SER_hh_emih!H24/SER_summary!H$26)</f>
        <v>0</v>
      </c>
      <c r="I24" s="133">
        <f>IF(SER_hh_emih!I24=0,0,SER_hh_emih!I24/SER_summary!I$26)</f>
        <v>0</v>
      </c>
      <c r="J24" s="133">
        <f>IF(SER_hh_emih!J24=0,0,SER_hh_emih!J24/SER_summary!J$26)</f>
        <v>0</v>
      </c>
      <c r="K24" s="133">
        <f>IF(SER_hh_emih!K24=0,0,SER_hh_emih!K24/SER_summary!K$26)</f>
        <v>0</v>
      </c>
      <c r="L24" s="133">
        <f>IF(SER_hh_emih!L24=0,0,SER_hh_emih!L24/SER_summary!L$26)</f>
        <v>0</v>
      </c>
      <c r="M24" s="133">
        <f>IF(SER_hh_emih!M24=0,0,SER_hh_emih!M24/SER_summary!M$26)</f>
        <v>0</v>
      </c>
      <c r="N24" s="133">
        <f>IF(SER_hh_emih!N24=0,0,SER_hh_emih!N24/SER_summary!N$26)</f>
        <v>0</v>
      </c>
      <c r="O24" s="133">
        <f>IF(SER_hh_emih!O24=0,0,SER_hh_emih!O24/SER_summary!O$26)</f>
        <v>0</v>
      </c>
      <c r="P24" s="133">
        <f>IF(SER_hh_emih!P24=0,0,SER_hh_emih!P24/SER_summary!P$26)</f>
        <v>0</v>
      </c>
      <c r="Q24" s="133">
        <f>IF(SER_hh_emih!Q24=0,0,SER_hh_emih!Q24/SER_summary!Q$26)</f>
        <v>0</v>
      </c>
      <c r="R24" s="133">
        <f>IF(SER_hh_emih!R24=0,0,SER_hh_emih!R24/SER_summary!R$26)</f>
        <v>0</v>
      </c>
      <c r="S24" s="133">
        <f>IF(SER_hh_emih!S24=0,0,SER_hh_emih!S24/SER_summary!S$26)</f>
        <v>0</v>
      </c>
      <c r="T24" s="133">
        <f>IF(SER_hh_emih!T24=0,0,SER_hh_emih!T24/SER_summary!T$26)</f>
        <v>0</v>
      </c>
      <c r="U24" s="133">
        <f>IF(SER_hh_emih!U24=0,0,SER_hh_emih!U24/SER_summary!U$26)</f>
        <v>0</v>
      </c>
      <c r="V24" s="133">
        <f>IF(SER_hh_emih!V24=0,0,SER_hh_emih!V24/SER_summary!V$26)</f>
        <v>0</v>
      </c>
      <c r="W24" s="133">
        <f>IF(SER_hh_emih!W24=0,0,SER_hh_emih!W24/SER_summary!W$26)</f>
        <v>0</v>
      </c>
      <c r="DA24" s="157" t="s">
        <v>559</v>
      </c>
    </row>
    <row r="25" spans="1:105" ht="12" customHeight="1" x14ac:dyDescent="0.25">
      <c r="A25" s="132" t="s">
        <v>169</v>
      </c>
      <c r="B25" s="133">
        <f>IF(SER_hh_emih!B25=0,0,SER_hh_emih!B25/SER_summary!B$26)</f>
        <v>0</v>
      </c>
      <c r="C25" s="133">
        <f>IF(SER_hh_emih!C25=0,0,SER_hh_emih!C25/SER_summary!C$26)</f>
        <v>0</v>
      </c>
      <c r="D25" s="133">
        <f>IF(SER_hh_emih!D25=0,0,SER_hh_emih!D25/SER_summary!D$26)</f>
        <v>0</v>
      </c>
      <c r="E25" s="133">
        <f>IF(SER_hh_emih!E25=0,0,SER_hh_emih!E25/SER_summary!E$26)</f>
        <v>0</v>
      </c>
      <c r="F25" s="133">
        <f>IF(SER_hh_emih!F25=0,0,SER_hh_emih!F25/SER_summary!F$26)</f>
        <v>0</v>
      </c>
      <c r="G25" s="133">
        <f>IF(SER_hh_emih!G25=0,0,SER_hh_emih!G25/SER_summary!G$26)</f>
        <v>0</v>
      </c>
      <c r="H25" s="133">
        <f>IF(SER_hh_emih!H25=0,0,SER_hh_emih!H25/SER_summary!H$26)</f>
        <v>0</v>
      </c>
      <c r="I25" s="133">
        <f>IF(SER_hh_emih!I25=0,0,SER_hh_emih!I25/SER_summary!I$26)</f>
        <v>0</v>
      </c>
      <c r="J25" s="133">
        <f>IF(SER_hh_emih!J25=0,0,SER_hh_emih!J25/SER_summary!J$26)</f>
        <v>0</v>
      </c>
      <c r="K25" s="133">
        <f>IF(SER_hh_emih!K25=0,0,SER_hh_emih!K25/SER_summary!K$26)</f>
        <v>0</v>
      </c>
      <c r="L25" s="133">
        <f>IF(SER_hh_emih!L25=0,0,SER_hh_emih!L25/SER_summary!L$26)</f>
        <v>0</v>
      </c>
      <c r="M25" s="133">
        <f>IF(SER_hh_emih!M25=0,0,SER_hh_emih!M25/SER_summary!M$26)</f>
        <v>0</v>
      </c>
      <c r="N25" s="133">
        <f>IF(SER_hh_emih!N25=0,0,SER_hh_emih!N25/SER_summary!N$26)</f>
        <v>0</v>
      </c>
      <c r="O25" s="133">
        <f>IF(SER_hh_emih!O25=0,0,SER_hh_emih!O25/SER_summary!O$26)</f>
        <v>0</v>
      </c>
      <c r="P25" s="133">
        <f>IF(SER_hh_emih!P25=0,0,SER_hh_emih!P25/SER_summary!P$26)</f>
        <v>0</v>
      </c>
      <c r="Q25" s="133">
        <f>IF(SER_hh_emih!Q25=0,0,SER_hh_emih!Q25/SER_summary!Q$26)</f>
        <v>0</v>
      </c>
      <c r="R25" s="133">
        <f>IF(SER_hh_emih!R25=0,0,SER_hh_emih!R25/SER_summary!R$26)</f>
        <v>0</v>
      </c>
      <c r="S25" s="133">
        <f>IF(SER_hh_emih!S25=0,0,SER_hh_emih!S25/SER_summary!S$26)</f>
        <v>0</v>
      </c>
      <c r="T25" s="133">
        <f>IF(SER_hh_emih!T25=0,0,SER_hh_emih!T25/SER_summary!T$26)</f>
        <v>0</v>
      </c>
      <c r="U25" s="133">
        <f>IF(SER_hh_emih!U25=0,0,SER_hh_emih!U25/SER_summary!U$26)</f>
        <v>0</v>
      </c>
      <c r="V25" s="133">
        <f>IF(SER_hh_emih!V25=0,0,SER_hh_emih!V25/SER_summary!V$26)</f>
        <v>0</v>
      </c>
      <c r="W25" s="133">
        <f>IF(SER_hh_emih!W25=0,0,SER_hh_emih!W25/SER_summary!W$26)</f>
        <v>0</v>
      </c>
      <c r="DA25" s="157" t="s">
        <v>560</v>
      </c>
    </row>
    <row r="26" spans="1:105" ht="12" customHeight="1" x14ac:dyDescent="0.25">
      <c r="A26" s="132" t="s">
        <v>24</v>
      </c>
      <c r="B26" s="65">
        <f>IF(SER_hh_emih!B26=0,0,SER_hh_emih!B26/SER_summary!B$26)</f>
        <v>0</v>
      </c>
      <c r="C26" s="65">
        <f>IF(SER_hh_emih!C26=0,0,SER_hh_emih!C26/SER_summary!C$26)</f>
        <v>0</v>
      </c>
      <c r="D26" s="65">
        <f>IF(SER_hh_emih!D26=0,0,SER_hh_emih!D26/SER_summary!D$26)</f>
        <v>0</v>
      </c>
      <c r="E26" s="65">
        <f>IF(SER_hh_emih!E26=0,0,SER_hh_emih!E26/SER_summary!E$26)</f>
        <v>0</v>
      </c>
      <c r="F26" s="65">
        <f>IF(SER_hh_emih!F26=0,0,SER_hh_emih!F26/SER_summary!F$26)</f>
        <v>0</v>
      </c>
      <c r="G26" s="65">
        <f>IF(SER_hh_emih!G26=0,0,SER_hh_emih!G26/SER_summary!G$26)</f>
        <v>0</v>
      </c>
      <c r="H26" s="65">
        <f>IF(SER_hh_emih!H26=0,0,SER_hh_emih!H26/SER_summary!H$26)</f>
        <v>0</v>
      </c>
      <c r="I26" s="65">
        <f>IF(SER_hh_emih!I26=0,0,SER_hh_emih!I26/SER_summary!I$26)</f>
        <v>0</v>
      </c>
      <c r="J26" s="65">
        <f>IF(SER_hh_emih!J26=0,0,SER_hh_emih!J26/SER_summary!J$26)</f>
        <v>0</v>
      </c>
      <c r="K26" s="65">
        <f>IF(SER_hh_emih!K26=0,0,SER_hh_emih!K26/SER_summary!K$26)</f>
        <v>0</v>
      </c>
      <c r="L26" s="65">
        <f>IF(SER_hh_emih!L26=0,0,SER_hh_emih!L26/SER_summary!L$26)</f>
        <v>0</v>
      </c>
      <c r="M26" s="65">
        <f>IF(SER_hh_emih!M26=0,0,SER_hh_emih!M26/SER_summary!M$26)</f>
        <v>0</v>
      </c>
      <c r="N26" s="65">
        <f>IF(SER_hh_emih!N26=0,0,SER_hh_emih!N26/SER_summary!N$26)</f>
        <v>0</v>
      </c>
      <c r="O26" s="65">
        <f>IF(SER_hh_emih!O26=0,0,SER_hh_emih!O26/SER_summary!O$26)</f>
        <v>0</v>
      </c>
      <c r="P26" s="65">
        <f>IF(SER_hh_emih!P26=0,0,SER_hh_emih!P26/SER_summary!P$26)</f>
        <v>0</v>
      </c>
      <c r="Q26" s="65">
        <f>IF(SER_hh_emih!Q26=0,0,SER_hh_emih!Q26/SER_summary!Q$26)</f>
        <v>0</v>
      </c>
      <c r="R26" s="65">
        <f>IF(SER_hh_emih!R26=0,0,SER_hh_emih!R26/SER_summary!R$26)</f>
        <v>0</v>
      </c>
      <c r="S26" s="65">
        <f>IF(SER_hh_emih!S26=0,0,SER_hh_emih!S26/SER_summary!S$26)</f>
        <v>0</v>
      </c>
      <c r="T26" s="65">
        <f>IF(SER_hh_emih!T26=0,0,SER_hh_emih!T26/SER_summary!T$26)</f>
        <v>0</v>
      </c>
      <c r="U26" s="65">
        <f>IF(SER_hh_emih!U26=0,0,SER_hh_emih!U26/SER_summary!U$26)</f>
        <v>0</v>
      </c>
      <c r="V26" s="65">
        <f>IF(SER_hh_emih!V26=0,0,SER_hh_emih!V26/SER_summary!V$26)</f>
        <v>0</v>
      </c>
      <c r="W26" s="65">
        <f>IF(SER_hh_emih!W26=0,0,SER_hh_emih!W26/SER_summary!W$26)</f>
        <v>0</v>
      </c>
      <c r="DA26" s="109" t="s">
        <v>561</v>
      </c>
    </row>
    <row r="27" spans="1:105" ht="12" customHeight="1" x14ac:dyDescent="0.25">
      <c r="A27" s="145" t="s">
        <v>86</v>
      </c>
      <c r="B27" s="146">
        <f>IF(SER_hh_emih!B27=0,0,SER_hh_emih!B27/SER_summary!B$26)</f>
        <v>0</v>
      </c>
      <c r="C27" s="146">
        <f>IF(SER_hh_emih!C27=0,0,SER_hh_emih!C27/SER_summary!C$26)</f>
        <v>0</v>
      </c>
      <c r="D27" s="146">
        <f>IF(SER_hh_emih!D27=0,0,SER_hh_emih!D27/SER_summary!D$26)</f>
        <v>0</v>
      </c>
      <c r="E27" s="146">
        <f>IF(SER_hh_emih!E27=0,0,SER_hh_emih!E27/SER_summary!E$26)</f>
        <v>0</v>
      </c>
      <c r="F27" s="146">
        <f>IF(SER_hh_emih!F27=0,0,SER_hh_emih!F27/SER_summary!F$26)</f>
        <v>0</v>
      </c>
      <c r="G27" s="146">
        <f>IF(SER_hh_emih!G27=0,0,SER_hh_emih!G27/SER_summary!G$26)</f>
        <v>0</v>
      </c>
      <c r="H27" s="146">
        <f>IF(SER_hh_emih!H27=0,0,SER_hh_emih!H27/SER_summary!H$26)</f>
        <v>0</v>
      </c>
      <c r="I27" s="146">
        <f>IF(SER_hh_emih!I27=0,0,SER_hh_emih!I27/SER_summary!I$26)</f>
        <v>0</v>
      </c>
      <c r="J27" s="146">
        <f>IF(SER_hh_emih!J27=0,0,SER_hh_emih!J27/SER_summary!J$26)</f>
        <v>0</v>
      </c>
      <c r="K27" s="146">
        <f>IF(SER_hh_emih!K27=0,0,SER_hh_emih!K27/SER_summary!K$26)</f>
        <v>0</v>
      </c>
      <c r="L27" s="146">
        <f>IF(SER_hh_emih!L27=0,0,SER_hh_emih!L27/SER_summary!L$26)</f>
        <v>0</v>
      </c>
      <c r="M27" s="146">
        <f>IF(SER_hh_emih!M27=0,0,SER_hh_emih!M27/SER_summary!M$26)</f>
        <v>0</v>
      </c>
      <c r="N27" s="146">
        <f>IF(SER_hh_emih!N27=0,0,SER_hh_emih!N27/SER_summary!N$26)</f>
        <v>0</v>
      </c>
      <c r="O27" s="146">
        <f>IF(SER_hh_emih!O27=0,0,SER_hh_emih!O27/SER_summary!O$26)</f>
        <v>0</v>
      </c>
      <c r="P27" s="146">
        <f>IF(SER_hh_emih!P27=0,0,SER_hh_emih!P27/SER_summary!P$26)</f>
        <v>0</v>
      </c>
      <c r="Q27" s="146">
        <f>IF(SER_hh_emih!Q27=0,0,SER_hh_emih!Q27/SER_summary!Q$26)</f>
        <v>0</v>
      </c>
      <c r="R27" s="146">
        <f>IF(SER_hh_emih!R27=0,0,SER_hh_emih!R27/SER_summary!R$26)</f>
        <v>0</v>
      </c>
      <c r="S27" s="146">
        <f>IF(SER_hh_emih!S27=0,0,SER_hh_emih!S27/SER_summary!S$26)</f>
        <v>0</v>
      </c>
      <c r="T27" s="146">
        <f>IF(SER_hh_emih!T27=0,0,SER_hh_emih!T27/SER_summary!T$26)</f>
        <v>0</v>
      </c>
      <c r="U27" s="146">
        <f>IF(SER_hh_emih!U27=0,0,SER_hh_emih!U27/SER_summary!U$26)</f>
        <v>0</v>
      </c>
      <c r="V27" s="146">
        <f>IF(SER_hh_emih!V27=0,0,SER_hh_emih!V27/SER_summary!V$26)</f>
        <v>0</v>
      </c>
      <c r="W27" s="146">
        <f>IF(SER_hh_emih!W27=0,0,SER_hh_emih!W27/SER_summary!W$26)</f>
        <v>0</v>
      </c>
      <c r="DA27" s="159" t="s">
        <v>562</v>
      </c>
    </row>
    <row r="28" spans="1:105" ht="12" customHeight="1" x14ac:dyDescent="0.25">
      <c r="A28" s="78" t="s">
        <v>85</v>
      </c>
      <c r="B28" s="147">
        <f>IF(SER_hh_emih!B28=0,0,SER_hh_emih!B28/SER_summary!B$26)</f>
        <v>0</v>
      </c>
      <c r="C28" s="147">
        <f>IF(SER_hh_emih!C28=0,0,SER_hh_emih!C28/SER_summary!C$26)</f>
        <v>0</v>
      </c>
      <c r="D28" s="147">
        <f>IF(SER_hh_emih!D28=0,0,SER_hh_emih!D28/SER_summary!D$26)</f>
        <v>0</v>
      </c>
      <c r="E28" s="147">
        <f>IF(SER_hh_emih!E28=0,0,SER_hh_emih!E28/SER_summary!E$26)</f>
        <v>0</v>
      </c>
      <c r="F28" s="147">
        <f>IF(SER_hh_emih!F28=0,0,SER_hh_emih!F28/SER_summary!F$26)</f>
        <v>0</v>
      </c>
      <c r="G28" s="147">
        <f>IF(SER_hh_emih!G28=0,0,SER_hh_emih!G28/SER_summary!G$26)</f>
        <v>0</v>
      </c>
      <c r="H28" s="147">
        <f>IF(SER_hh_emih!H28=0,0,SER_hh_emih!H28/SER_summary!H$26)</f>
        <v>0</v>
      </c>
      <c r="I28" s="147">
        <f>IF(SER_hh_emih!I28=0,0,SER_hh_emih!I28/SER_summary!I$26)</f>
        <v>0</v>
      </c>
      <c r="J28" s="147">
        <f>IF(SER_hh_emih!J28=0,0,SER_hh_emih!J28/SER_summary!J$26)</f>
        <v>0</v>
      </c>
      <c r="K28" s="147">
        <f>IF(SER_hh_emih!K28=0,0,SER_hh_emih!K28/SER_summary!K$26)</f>
        <v>0</v>
      </c>
      <c r="L28" s="147">
        <f>IF(SER_hh_emih!L28=0,0,SER_hh_emih!L28/SER_summary!L$26)</f>
        <v>0</v>
      </c>
      <c r="M28" s="147">
        <f>IF(SER_hh_emih!M28=0,0,SER_hh_emih!M28/SER_summary!M$26)</f>
        <v>0</v>
      </c>
      <c r="N28" s="147">
        <f>IF(SER_hh_emih!N28=0,0,SER_hh_emih!N28/SER_summary!N$26)</f>
        <v>0</v>
      </c>
      <c r="O28" s="147">
        <f>IF(SER_hh_emih!O28=0,0,SER_hh_emih!O28/SER_summary!O$26)</f>
        <v>0</v>
      </c>
      <c r="P28" s="147">
        <f>IF(SER_hh_emih!P28=0,0,SER_hh_emih!P28/SER_summary!P$26)</f>
        <v>0</v>
      </c>
      <c r="Q28" s="147">
        <f>IF(SER_hh_emih!Q28=0,0,SER_hh_emih!Q28/SER_summary!Q$26)</f>
        <v>0</v>
      </c>
      <c r="R28" s="147">
        <f>IF(SER_hh_emih!R28=0,0,SER_hh_emih!R28/SER_summary!R$26)</f>
        <v>0</v>
      </c>
      <c r="S28" s="147">
        <f>IF(SER_hh_emih!S28=0,0,SER_hh_emih!S28/SER_summary!S$26)</f>
        <v>0</v>
      </c>
      <c r="T28" s="147">
        <f>IF(SER_hh_emih!T28=0,0,SER_hh_emih!T28/SER_summary!T$26)</f>
        <v>0</v>
      </c>
      <c r="U28" s="147">
        <f>IF(SER_hh_emih!U28=0,0,SER_hh_emih!U28/SER_summary!U$26)</f>
        <v>0</v>
      </c>
      <c r="V28" s="147">
        <f>IF(SER_hh_emih!V28=0,0,SER_hh_emih!V28/SER_summary!V$26)</f>
        <v>0</v>
      </c>
      <c r="W28" s="147">
        <f>IF(SER_hh_emih!W28=0,0,SER_hh_emih!W28/SER_summary!W$26)</f>
        <v>0</v>
      </c>
      <c r="DA28" s="160"/>
    </row>
    <row r="29" spans="1:105" ht="12.95" customHeight="1" x14ac:dyDescent="0.25">
      <c r="A29" s="130" t="s">
        <v>34</v>
      </c>
      <c r="B29" s="131">
        <f>IF(SER_hh_emih!B29=0,0,SER_hh_emih!B29/SER_summary!B$26)</f>
        <v>0</v>
      </c>
      <c r="C29" s="131">
        <f>IF(SER_hh_emih!C29=0,0,SER_hh_emih!C29/SER_summary!C$26)</f>
        <v>0</v>
      </c>
      <c r="D29" s="131">
        <f>IF(SER_hh_emih!D29=0,0,SER_hh_emih!D29/SER_summary!D$26)</f>
        <v>0</v>
      </c>
      <c r="E29" s="131">
        <f>IF(SER_hh_emih!E29=0,0,SER_hh_emih!E29/SER_summary!E$26)</f>
        <v>0</v>
      </c>
      <c r="F29" s="131">
        <f>IF(SER_hh_emih!F29=0,0,SER_hh_emih!F29/SER_summary!F$26)</f>
        <v>0</v>
      </c>
      <c r="G29" s="131">
        <f>IF(SER_hh_emih!G29=0,0,SER_hh_emih!G29/SER_summary!G$26)</f>
        <v>0</v>
      </c>
      <c r="H29" s="131">
        <f>IF(SER_hh_emih!H29=0,0,SER_hh_emih!H29/SER_summary!H$26)</f>
        <v>0.92963496429833614</v>
      </c>
      <c r="I29" s="131">
        <f>IF(SER_hh_emih!I29=0,0,SER_hh_emih!I29/SER_summary!I$26)</f>
        <v>0.89165299349553162</v>
      </c>
      <c r="J29" s="131">
        <f>IF(SER_hh_emih!J29=0,0,SER_hh_emih!J29/SER_summary!J$26)</f>
        <v>1.0229719929889525</v>
      </c>
      <c r="K29" s="131">
        <f>IF(SER_hh_emih!K29=0,0,SER_hh_emih!K29/SER_summary!K$26)</f>
        <v>0.81334398958977605</v>
      </c>
      <c r="L29" s="131">
        <f>IF(SER_hh_emih!L29=0,0,SER_hh_emih!L29/SER_summary!L$26)</f>
        <v>0.74387420139643812</v>
      </c>
      <c r="M29" s="131">
        <f>IF(SER_hh_emih!M29=0,0,SER_hh_emih!M29/SER_summary!M$26)</f>
        <v>0.9470753912527895</v>
      </c>
      <c r="N29" s="131">
        <f>IF(SER_hh_emih!N29=0,0,SER_hh_emih!N29/SER_summary!N$26)</f>
        <v>0.99393796438959003</v>
      </c>
      <c r="O29" s="131">
        <f>IF(SER_hh_emih!O29=0,0,SER_hh_emih!O29/SER_summary!O$26)</f>
        <v>0.91554410030051225</v>
      </c>
      <c r="P29" s="131">
        <f>IF(SER_hh_emih!P29=0,0,SER_hh_emih!P29/SER_summary!P$26)</f>
        <v>0.77920311494965644</v>
      </c>
      <c r="Q29" s="131">
        <f>IF(SER_hh_emih!Q29=0,0,SER_hh_emih!Q29/SER_summary!Q$26)</f>
        <v>0.97004853395583346</v>
      </c>
      <c r="R29" s="131">
        <f>IF(SER_hh_emih!R29=0,0,SER_hh_emih!R29/SER_summary!R$26)</f>
        <v>0.94933279669669268</v>
      </c>
      <c r="S29" s="131">
        <f>IF(SER_hh_emih!S29=0,0,SER_hh_emih!S29/SER_summary!S$26)</f>
        <v>1.3053592070642184</v>
      </c>
      <c r="T29" s="131">
        <f>IF(SER_hh_emih!T29=0,0,SER_hh_emih!T29/SER_summary!T$26)</f>
        <v>1.3621678831548762</v>
      </c>
      <c r="U29" s="131">
        <f>IF(SER_hh_emih!U29=0,0,SER_hh_emih!U29/SER_summary!U$26)</f>
        <v>1.683237802339222</v>
      </c>
      <c r="V29" s="131">
        <f>IF(SER_hh_emih!V29=0,0,SER_hh_emih!V29/SER_summary!V$26)</f>
        <v>1.1950616639919871</v>
      </c>
      <c r="W29" s="131">
        <f>IF(SER_hh_emih!W29=0,0,SER_hh_emih!W29/SER_summary!W$26)</f>
        <v>1.0154403468798097</v>
      </c>
      <c r="DA29" s="156" t="s">
        <v>563</v>
      </c>
    </row>
    <row r="30" spans="1:105" ht="12" customHeight="1" x14ac:dyDescent="0.25">
      <c r="A30" s="132" t="s">
        <v>52</v>
      </c>
      <c r="B30" s="133">
        <f>IF(SER_hh_emih!B30=0,0,SER_hh_emih!B30/SER_summary!B$26)</f>
        <v>0</v>
      </c>
      <c r="C30" s="133">
        <f>IF(SER_hh_emih!C30=0,0,SER_hh_emih!C30/SER_summary!C$26)</f>
        <v>0</v>
      </c>
      <c r="D30" s="133">
        <f>IF(SER_hh_emih!D30=0,0,SER_hh_emih!D30/SER_summary!D$26)</f>
        <v>0</v>
      </c>
      <c r="E30" s="133">
        <f>IF(SER_hh_emih!E30=0,0,SER_hh_emih!E30/SER_summary!E$26)</f>
        <v>0</v>
      </c>
      <c r="F30" s="133">
        <f>IF(SER_hh_emih!F30=0,0,SER_hh_emih!F30/SER_summary!F$26)</f>
        <v>0</v>
      </c>
      <c r="G30" s="133">
        <f>IF(SER_hh_emih!G30=0,0,SER_hh_emih!G30/SER_summary!G$26)</f>
        <v>0</v>
      </c>
      <c r="H30" s="133">
        <f>IF(SER_hh_emih!H30=0,0,SER_hh_emih!H30/SER_summary!H$26)</f>
        <v>6.9531200690856538</v>
      </c>
      <c r="I30" s="133">
        <f>IF(SER_hh_emih!I30=0,0,SER_hh_emih!I30/SER_summary!I$26)</f>
        <v>5.3168849823585678</v>
      </c>
      <c r="J30" s="133">
        <f>IF(SER_hh_emih!J30=0,0,SER_hh_emih!J30/SER_summary!J$26)</f>
        <v>5.5480363421785963</v>
      </c>
      <c r="K30" s="133">
        <f>IF(SER_hh_emih!K30=0,0,SER_hh_emih!K30/SER_summary!K$26)</f>
        <v>4.6911909711009319</v>
      </c>
      <c r="L30" s="133">
        <f>IF(SER_hh_emih!L30=0,0,SER_hh_emih!L30/SER_summary!L$26)</f>
        <v>4.3334992087130759</v>
      </c>
      <c r="M30" s="133">
        <f>IF(SER_hh_emih!M30=0,0,SER_hh_emih!M30/SER_summary!M$26)</f>
        <v>5.1943219528168809</v>
      </c>
      <c r="N30" s="133">
        <f>IF(SER_hh_emih!N30=0,0,SER_hh_emih!N30/SER_summary!N$26)</f>
        <v>5.3628117762348264</v>
      </c>
      <c r="O30" s="133">
        <f>IF(SER_hh_emih!O30=0,0,SER_hh_emih!O30/SER_summary!O$26)</f>
        <v>4.98726313028234</v>
      </c>
      <c r="P30" s="133">
        <f>IF(SER_hh_emih!P30=0,0,SER_hh_emih!P30/SER_summary!P$26)</f>
        <v>4.3639927551658237</v>
      </c>
      <c r="Q30" s="133">
        <f>IF(SER_hh_emih!Q30=0,0,SER_hh_emih!Q30/SER_summary!Q$26)</f>
        <v>4.9859450687578617</v>
      </c>
      <c r="R30" s="133">
        <f>IF(SER_hh_emih!R30=0,0,SER_hh_emih!R30/SER_summary!R$26)</f>
        <v>4.443464387156105</v>
      </c>
      <c r="S30" s="133">
        <f>IF(SER_hh_emih!S30=0,0,SER_hh_emih!S30/SER_summary!S$26)</f>
        <v>5.1250623699812605</v>
      </c>
      <c r="T30" s="133">
        <f>IF(SER_hh_emih!T30=0,0,SER_hh_emih!T30/SER_summary!T$26)</f>
        <v>5.3232936493686358</v>
      </c>
      <c r="U30" s="133">
        <f>IF(SER_hh_emih!U30=0,0,SER_hh_emih!U30/SER_summary!U$26)</f>
        <v>6.7466021629307349</v>
      </c>
      <c r="V30" s="133">
        <f>IF(SER_hh_emih!V30=0,0,SER_hh_emih!V30/SER_summary!V$26)</f>
        <v>4.7227656513611809</v>
      </c>
      <c r="W30" s="133">
        <f>IF(SER_hh_emih!W30=0,0,SER_hh_emih!W30/SER_summary!W$26)</f>
        <v>4.1494631497933456</v>
      </c>
      <c r="DA30" s="157" t="s">
        <v>564</v>
      </c>
    </row>
    <row r="31" spans="1:105" ht="12" customHeight="1" x14ac:dyDescent="0.25">
      <c r="A31" s="132" t="s">
        <v>153</v>
      </c>
      <c r="B31" s="133">
        <f>IF(SER_hh_emih!B31=0,0,SER_hh_emih!B31/SER_summary!B$26)</f>
        <v>0</v>
      </c>
      <c r="C31" s="133">
        <f>IF(SER_hh_emih!C31=0,0,SER_hh_emih!C31/SER_summary!C$26)</f>
        <v>0</v>
      </c>
      <c r="D31" s="133">
        <f>IF(SER_hh_emih!D31=0,0,SER_hh_emih!D31/SER_summary!D$26)</f>
        <v>0</v>
      </c>
      <c r="E31" s="133">
        <f>IF(SER_hh_emih!E31=0,0,SER_hh_emih!E31/SER_summary!E$26)</f>
        <v>0</v>
      </c>
      <c r="F31" s="133">
        <f>IF(SER_hh_emih!F31=0,0,SER_hh_emih!F31/SER_summary!F$26)</f>
        <v>0</v>
      </c>
      <c r="G31" s="133">
        <f>IF(SER_hh_emih!G31=0,0,SER_hh_emih!G31/SER_summary!G$26)</f>
        <v>0</v>
      </c>
      <c r="H31" s="133">
        <f>IF(SER_hh_emih!H31=0,0,SER_hh_emih!H31/SER_summary!H$26)</f>
        <v>0</v>
      </c>
      <c r="I31" s="133">
        <f>IF(SER_hh_emih!I31=0,0,SER_hh_emih!I31/SER_summary!I$26)</f>
        <v>0</v>
      </c>
      <c r="J31" s="133">
        <f>IF(SER_hh_emih!J31=0,0,SER_hh_emih!J31/SER_summary!J$26)</f>
        <v>0</v>
      </c>
      <c r="K31" s="133">
        <f>IF(SER_hh_emih!K31=0,0,SER_hh_emih!K31/SER_summary!K$26)</f>
        <v>0</v>
      </c>
      <c r="L31" s="133">
        <f>IF(SER_hh_emih!L31=0,0,SER_hh_emih!L31/SER_summary!L$26)</f>
        <v>0</v>
      </c>
      <c r="M31" s="133">
        <f>IF(SER_hh_emih!M31=0,0,SER_hh_emih!M31/SER_summary!M$26)</f>
        <v>0</v>
      </c>
      <c r="N31" s="133">
        <f>IF(SER_hh_emih!N31=0,0,SER_hh_emih!N31/SER_summary!N$26)</f>
        <v>0</v>
      </c>
      <c r="O31" s="133">
        <f>IF(SER_hh_emih!O31=0,0,SER_hh_emih!O31/SER_summary!O$26)</f>
        <v>0</v>
      </c>
      <c r="P31" s="133">
        <f>IF(SER_hh_emih!P31=0,0,SER_hh_emih!P31/SER_summary!P$26)</f>
        <v>0</v>
      </c>
      <c r="Q31" s="133">
        <f>IF(SER_hh_emih!Q31=0,0,SER_hh_emih!Q31/SER_summary!Q$26)</f>
        <v>0</v>
      </c>
      <c r="R31" s="133">
        <f>IF(SER_hh_emih!R31=0,0,SER_hh_emih!R31/SER_summary!R$26)</f>
        <v>0</v>
      </c>
      <c r="S31" s="133">
        <f>IF(SER_hh_emih!S31=0,0,SER_hh_emih!S31/SER_summary!S$26)</f>
        <v>0</v>
      </c>
      <c r="T31" s="133">
        <f>IF(SER_hh_emih!T31=0,0,SER_hh_emih!T31/SER_summary!T$26)</f>
        <v>0</v>
      </c>
      <c r="U31" s="133">
        <f>IF(SER_hh_emih!U31=0,0,SER_hh_emih!U31/SER_summary!U$26)</f>
        <v>0</v>
      </c>
      <c r="V31" s="133">
        <f>IF(SER_hh_emih!V31=0,0,SER_hh_emih!V31/SER_summary!V$26)</f>
        <v>0</v>
      </c>
      <c r="W31" s="133">
        <f>IF(SER_hh_emih!W31=0,0,SER_hh_emih!W31/SER_summary!W$26)</f>
        <v>0</v>
      </c>
      <c r="DA31" s="157" t="s">
        <v>565</v>
      </c>
    </row>
    <row r="32" spans="1:105" ht="12" customHeight="1" x14ac:dyDescent="0.25">
      <c r="A32" s="132" t="s">
        <v>128</v>
      </c>
      <c r="B32" s="133">
        <f>IF(SER_hh_emih!B32=0,0,SER_hh_emih!B32/SER_summary!B$26)</f>
        <v>0</v>
      </c>
      <c r="C32" s="133">
        <f>IF(SER_hh_emih!C32=0,0,SER_hh_emih!C32/SER_summary!C$26)</f>
        <v>0</v>
      </c>
      <c r="D32" s="133">
        <f>IF(SER_hh_emih!D32=0,0,SER_hh_emih!D32/SER_summary!D$26)</f>
        <v>0</v>
      </c>
      <c r="E32" s="133">
        <f>IF(SER_hh_emih!E32=0,0,SER_hh_emih!E32/SER_summary!E$26)</f>
        <v>0</v>
      </c>
      <c r="F32" s="133">
        <f>IF(SER_hh_emih!F32=0,0,SER_hh_emih!F32/SER_summary!F$26)</f>
        <v>0</v>
      </c>
      <c r="G32" s="133">
        <f>IF(SER_hh_emih!G32=0,0,SER_hh_emih!G32/SER_summary!G$26)</f>
        <v>0</v>
      </c>
      <c r="H32" s="133">
        <f>IF(SER_hh_emih!H32=0,0,SER_hh_emih!H32/SER_summary!H$26)</f>
        <v>0</v>
      </c>
      <c r="I32" s="133">
        <f>IF(SER_hh_emih!I32=0,0,SER_hh_emih!I32/SER_summary!I$26)</f>
        <v>0</v>
      </c>
      <c r="J32" s="133">
        <f>IF(SER_hh_emih!J32=0,0,SER_hh_emih!J32/SER_summary!J$26)</f>
        <v>0</v>
      </c>
      <c r="K32" s="133">
        <f>IF(SER_hh_emih!K32=0,0,SER_hh_emih!K32/SER_summary!K$26)</f>
        <v>0</v>
      </c>
      <c r="L32" s="133">
        <f>IF(SER_hh_emih!L32=0,0,SER_hh_emih!L32/SER_summary!L$26)</f>
        <v>0</v>
      </c>
      <c r="M32" s="133">
        <f>IF(SER_hh_emih!M32=0,0,SER_hh_emih!M32/SER_summary!M$26)</f>
        <v>0</v>
      </c>
      <c r="N32" s="133">
        <f>IF(SER_hh_emih!N32=0,0,SER_hh_emih!N32/SER_summary!N$26)</f>
        <v>0</v>
      </c>
      <c r="O32" s="133">
        <f>IF(SER_hh_emih!O32=0,0,SER_hh_emih!O32/SER_summary!O$26)</f>
        <v>0</v>
      </c>
      <c r="P32" s="133">
        <f>IF(SER_hh_emih!P32=0,0,SER_hh_emih!P32/SER_summary!P$26)</f>
        <v>0</v>
      </c>
      <c r="Q32" s="133">
        <f>IF(SER_hh_emih!Q32=0,0,SER_hh_emih!Q32/SER_summary!Q$26)</f>
        <v>0</v>
      </c>
      <c r="R32" s="133">
        <f>IF(SER_hh_emih!R32=0,0,SER_hh_emih!R32/SER_summary!R$26)</f>
        <v>0</v>
      </c>
      <c r="S32" s="133">
        <f>IF(SER_hh_emih!S32=0,0,SER_hh_emih!S32/SER_summary!S$26)</f>
        <v>0</v>
      </c>
      <c r="T32" s="133">
        <f>IF(SER_hh_emih!T32=0,0,SER_hh_emih!T32/SER_summary!T$26)</f>
        <v>0</v>
      </c>
      <c r="U32" s="133">
        <f>IF(SER_hh_emih!U32=0,0,SER_hh_emih!U32/SER_summary!U$26)</f>
        <v>0</v>
      </c>
      <c r="V32" s="133">
        <f>IF(SER_hh_emih!V32=0,0,SER_hh_emih!V32/SER_summary!V$26)</f>
        <v>0</v>
      </c>
      <c r="W32" s="133">
        <f>IF(SER_hh_emih!W32=0,0,SER_hh_emih!W32/SER_summary!W$26)</f>
        <v>0</v>
      </c>
      <c r="DA32" s="157" t="s">
        <v>566</v>
      </c>
    </row>
    <row r="33" spans="1:105" ht="12" customHeight="1" x14ac:dyDescent="0.25">
      <c r="A33" s="62" t="s">
        <v>24</v>
      </c>
      <c r="B33" s="68">
        <f>IF(SER_hh_emih!B33=0,0,SER_hh_emih!B33/SER_summary!B$26)</f>
        <v>0</v>
      </c>
      <c r="C33" s="68">
        <f>IF(SER_hh_emih!C33=0,0,SER_hh_emih!C33/SER_summary!C$26)</f>
        <v>0</v>
      </c>
      <c r="D33" s="68">
        <f>IF(SER_hh_emih!D33=0,0,SER_hh_emih!D33/SER_summary!D$26)</f>
        <v>0</v>
      </c>
      <c r="E33" s="68">
        <f>IF(SER_hh_emih!E33=0,0,SER_hh_emih!E33/SER_summary!E$26)</f>
        <v>0</v>
      </c>
      <c r="F33" s="68">
        <f>IF(SER_hh_emih!F33=0,0,SER_hh_emih!F33/SER_summary!F$26)</f>
        <v>0</v>
      </c>
      <c r="G33" s="68">
        <f>IF(SER_hh_emih!G33=0,0,SER_hh_emih!G33/SER_summary!G$26)</f>
        <v>0</v>
      </c>
      <c r="H33" s="68">
        <f>IF(SER_hh_emih!H33=0,0,SER_hh_emih!H33/SER_summary!H$26)</f>
        <v>0</v>
      </c>
      <c r="I33" s="68">
        <f>IF(SER_hh_emih!I33=0,0,SER_hh_emih!I33/SER_summary!I$26)</f>
        <v>0</v>
      </c>
      <c r="J33" s="68">
        <f>IF(SER_hh_emih!J33=0,0,SER_hh_emih!J33/SER_summary!J$26)</f>
        <v>0</v>
      </c>
      <c r="K33" s="68">
        <f>IF(SER_hh_emih!K33=0,0,SER_hh_emih!K33/SER_summary!K$26)</f>
        <v>0</v>
      </c>
      <c r="L33" s="68">
        <f>IF(SER_hh_emih!L33=0,0,SER_hh_emih!L33/SER_summary!L$26)</f>
        <v>0</v>
      </c>
      <c r="M33" s="68">
        <f>IF(SER_hh_emih!M33=0,0,SER_hh_emih!M33/SER_summary!M$26)</f>
        <v>0</v>
      </c>
      <c r="N33" s="68">
        <f>IF(SER_hh_emih!N33=0,0,SER_hh_emih!N33/SER_summary!N$26)</f>
        <v>0</v>
      </c>
      <c r="O33" s="68">
        <f>IF(SER_hh_emih!O33=0,0,SER_hh_emih!O33/SER_summary!O$26)</f>
        <v>0</v>
      </c>
      <c r="P33" s="68">
        <f>IF(SER_hh_emih!P33=0,0,SER_hh_emih!P33/SER_summary!P$26)</f>
        <v>0</v>
      </c>
      <c r="Q33" s="68">
        <f>IF(SER_hh_emih!Q33=0,0,SER_hh_emih!Q33/SER_summary!Q$26)</f>
        <v>0</v>
      </c>
      <c r="R33" s="68">
        <f>IF(SER_hh_emih!R33=0,0,SER_hh_emih!R33/SER_summary!R$26)</f>
        <v>0</v>
      </c>
      <c r="S33" s="68">
        <f>IF(SER_hh_emih!S33=0,0,SER_hh_emih!S33/SER_summary!S$26)</f>
        <v>0</v>
      </c>
      <c r="T33" s="68">
        <f>IF(SER_hh_emih!T33=0,0,SER_hh_emih!T33/SER_summary!T$26)</f>
        <v>0</v>
      </c>
      <c r="U33" s="68">
        <f>IF(SER_hh_emih!U33=0,0,SER_hh_emih!U33/SER_summary!U$26)</f>
        <v>0</v>
      </c>
      <c r="V33" s="68">
        <f>IF(SER_hh_emih!V33=0,0,SER_hh_emih!V33/SER_summary!V$26)</f>
        <v>0</v>
      </c>
      <c r="W33" s="68">
        <f>IF(SER_hh_emih!W33=0,0,SER_hh_emih!W33/SER_summary!W$26)</f>
        <v>0</v>
      </c>
      <c r="DA33" s="111" t="s">
        <v>567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568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79</v>
      </c>
      <c r="B3" s="125"/>
      <c r="C3" s="125">
        <f t="shared" ref="C3:W3" si="0">C4</f>
        <v>391.51955459205624</v>
      </c>
      <c r="D3" s="125">
        <f t="shared" si="0"/>
        <v>302.97356671211105</v>
      </c>
      <c r="E3" s="125">
        <f t="shared" si="0"/>
        <v>349.95320196844591</v>
      </c>
      <c r="F3" s="125">
        <f t="shared" si="0"/>
        <v>448.42686455957158</v>
      </c>
      <c r="G3" s="125">
        <f t="shared" si="0"/>
        <v>465.01113488929582</v>
      </c>
      <c r="H3" s="125">
        <f t="shared" si="0"/>
        <v>449.09874271266318</v>
      </c>
      <c r="I3" s="125">
        <f t="shared" si="0"/>
        <v>541.88388124696621</v>
      </c>
      <c r="J3" s="125">
        <f t="shared" si="0"/>
        <v>538.83299642359907</v>
      </c>
      <c r="K3" s="125">
        <f t="shared" si="0"/>
        <v>701.16109428458162</v>
      </c>
      <c r="L3" s="125">
        <f t="shared" si="0"/>
        <v>758.84428015576509</v>
      </c>
      <c r="M3" s="125">
        <f t="shared" si="0"/>
        <v>555.94924659283106</v>
      </c>
      <c r="N3" s="125">
        <f t="shared" si="0"/>
        <v>573.76751829049408</v>
      </c>
      <c r="O3" s="125">
        <f t="shared" si="0"/>
        <v>94.486802478846087</v>
      </c>
      <c r="P3" s="125">
        <f t="shared" si="0"/>
        <v>86.094463073044864</v>
      </c>
      <c r="Q3" s="125">
        <f t="shared" si="0"/>
        <v>84.809471086880052</v>
      </c>
      <c r="R3" s="125">
        <f t="shared" si="0"/>
        <v>285.4050693735453</v>
      </c>
      <c r="S3" s="125">
        <f t="shared" si="0"/>
        <v>407.70759623309243</v>
      </c>
      <c r="T3" s="125">
        <f t="shared" si="0"/>
        <v>408.17263657456078</v>
      </c>
      <c r="U3" s="125">
        <f t="shared" si="0"/>
        <v>402.40368288265825</v>
      </c>
      <c r="V3" s="125">
        <f t="shared" si="0"/>
        <v>364.86871847267543</v>
      </c>
      <c r="W3" s="125">
        <f t="shared" si="0"/>
        <v>356.83342700859521</v>
      </c>
      <c r="DA3" s="169" t="s">
        <v>569</v>
      </c>
    </row>
    <row r="4" spans="1:105" ht="12.95" customHeight="1" x14ac:dyDescent="0.25">
      <c r="A4" s="130" t="s">
        <v>32</v>
      </c>
      <c r="B4" s="140"/>
      <c r="C4" s="140">
        <f t="shared" ref="C4:Q4" si="1">SUM(C5:C14)</f>
        <v>391.51955459205624</v>
      </c>
      <c r="D4" s="140">
        <f t="shared" si="1"/>
        <v>302.97356671211105</v>
      </c>
      <c r="E4" s="140">
        <f t="shared" si="1"/>
        <v>349.95320196844591</v>
      </c>
      <c r="F4" s="140">
        <f t="shared" si="1"/>
        <v>448.42686455957158</v>
      </c>
      <c r="G4" s="140">
        <f t="shared" si="1"/>
        <v>465.01113488929582</v>
      </c>
      <c r="H4" s="140">
        <f t="shared" si="1"/>
        <v>449.09874271266318</v>
      </c>
      <c r="I4" s="140">
        <f t="shared" si="1"/>
        <v>541.88388124696621</v>
      </c>
      <c r="J4" s="140">
        <f t="shared" si="1"/>
        <v>538.83299642359907</v>
      </c>
      <c r="K4" s="140">
        <f t="shared" si="1"/>
        <v>701.16109428458162</v>
      </c>
      <c r="L4" s="140">
        <f t="shared" si="1"/>
        <v>758.84428015576509</v>
      </c>
      <c r="M4" s="140">
        <f t="shared" si="1"/>
        <v>555.94924659283106</v>
      </c>
      <c r="N4" s="140">
        <f t="shared" si="1"/>
        <v>573.76751829049408</v>
      </c>
      <c r="O4" s="140">
        <f t="shared" si="1"/>
        <v>94.486802478846087</v>
      </c>
      <c r="P4" s="140">
        <f t="shared" si="1"/>
        <v>86.094463073044864</v>
      </c>
      <c r="Q4" s="140">
        <f t="shared" si="1"/>
        <v>84.809471086880052</v>
      </c>
      <c r="R4" s="140">
        <f t="shared" ref="R4:W4" si="2">SUM(R5:R14)</f>
        <v>285.4050693735453</v>
      </c>
      <c r="S4" s="140">
        <f t="shared" si="2"/>
        <v>407.70759623309243</v>
      </c>
      <c r="T4" s="140">
        <f t="shared" si="2"/>
        <v>408.17263657456078</v>
      </c>
      <c r="U4" s="140">
        <f t="shared" si="2"/>
        <v>402.40368288265825</v>
      </c>
      <c r="V4" s="140">
        <f t="shared" si="2"/>
        <v>364.86871847267543</v>
      </c>
      <c r="W4" s="140">
        <f t="shared" si="2"/>
        <v>356.83342700859521</v>
      </c>
      <c r="DA4" s="170" t="s">
        <v>570</v>
      </c>
    </row>
    <row r="5" spans="1:105" ht="12" customHeight="1" x14ac:dyDescent="0.25">
      <c r="A5" s="132" t="s">
        <v>29</v>
      </c>
      <c r="B5" s="141"/>
      <c r="C5" s="141">
        <v>0</v>
      </c>
      <c r="D5" s="141">
        <v>0</v>
      </c>
      <c r="E5" s="141">
        <v>0</v>
      </c>
      <c r="F5" s="141">
        <v>0</v>
      </c>
      <c r="G5" s="141">
        <v>0</v>
      </c>
      <c r="H5" s="141">
        <v>0</v>
      </c>
      <c r="I5" s="141">
        <v>0</v>
      </c>
      <c r="J5" s="141">
        <v>0</v>
      </c>
      <c r="K5" s="141">
        <v>0</v>
      </c>
      <c r="L5" s="141">
        <v>0</v>
      </c>
      <c r="M5" s="141">
        <v>0</v>
      </c>
      <c r="N5" s="141">
        <v>0</v>
      </c>
      <c r="O5" s="141">
        <v>0</v>
      </c>
      <c r="P5" s="141">
        <v>0</v>
      </c>
      <c r="Q5" s="141">
        <v>0</v>
      </c>
      <c r="R5" s="141">
        <v>0</v>
      </c>
      <c r="S5" s="141">
        <v>0</v>
      </c>
      <c r="T5" s="141">
        <v>0</v>
      </c>
      <c r="U5" s="141">
        <v>0</v>
      </c>
      <c r="V5" s="141">
        <v>0</v>
      </c>
      <c r="W5" s="141">
        <v>0</v>
      </c>
      <c r="DA5" s="171" t="s">
        <v>571</v>
      </c>
    </row>
    <row r="6" spans="1:105" ht="12" customHeight="1" x14ac:dyDescent="0.25">
      <c r="A6" s="132" t="s">
        <v>52</v>
      </c>
      <c r="B6" s="141"/>
      <c r="C6" s="141">
        <v>0</v>
      </c>
      <c r="D6" s="141">
        <v>0</v>
      </c>
      <c r="E6" s="141">
        <v>0</v>
      </c>
      <c r="F6" s="141">
        <v>0</v>
      </c>
      <c r="G6" s="141">
        <v>0</v>
      </c>
      <c r="H6" s="141">
        <v>0</v>
      </c>
      <c r="I6" s="141">
        <v>0</v>
      </c>
      <c r="J6" s="141">
        <v>0</v>
      </c>
      <c r="K6" s="141">
        <v>0</v>
      </c>
      <c r="L6" s="141">
        <v>0</v>
      </c>
      <c r="M6" s="141">
        <v>0</v>
      </c>
      <c r="N6" s="141">
        <v>0</v>
      </c>
      <c r="O6" s="141">
        <v>0</v>
      </c>
      <c r="P6" s="141">
        <v>0</v>
      </c>
      <c r="Q6" s="141">
        <v>0</v>
      </c>
      <c r="R6" s="141">
        <v>0</v>
      </c>
      <c r="S6" s="141">
        <v>0</v>
      </c>
      <c r="T6" s="141">
        <v>0</v>
      </c>
      <c r="U6" s="141">
        <v>0</v>
      </c>
      <c r="V6" s="141">
        <v>0</v>
      </c>
      <c r="W6" s="141">
        <v>0</v>
      </c>
      <c r="DA6" s="171" t="s">
        <v>572</v>
      </c>
    </row>
    <row r="7" spans="1:105" ht="12" customHeight="1" x14ac:dyDescent="0.25">
      <c r="A7" s="132" t="s">
        <v>168</v>
      </c>
      <c r="B7" s="141"/>
      <c r="C7" s="141">
        <v>0</v>
      </c>
      <c r="D7" s="141">
        <v>0</v>
      </c>
      <c r="E7" s="141">
        <v>0</v>
      </c>
      <c r="F7" s="141">
        <v>0</v>
      </c>
      <c r="G7" s="141">
        <v>0</v>
      </c>
      <c r="H7" s="141">
        <v>0</v>
      </c>
      <c r="I7" s="141">
        <v>0</v>
      </c>
      <c r="J7" s="141">
        <v>149.57744156838655</v>
      </c>
      <c r="K7" s="141">
        <v>210.09434446700908</v>
      </c>
      <c r="L7" s="141">
        <v>318.81705220298869</v>
      </c>
      <c r="M7" s="141">
        <v>169.98572255246549</v>
      </c>
      <c r="N7" s="141">
        <v>131.54608877821246</v>
      </c>
      <c r="O7" s="141">
        <v>13.460182129507672</v>
      </c>
      <c r="P7" s="141">
        <v>0</v>
      </c>
      <c r="Q7" s="141">
        <v>0</v>
      </c>
      <c r="R7" s="141">
        <v>0</v>
      </c>
      <c r="S7" s="141">
        <v>0</v>
      </c>
      <c r="T7" s="141">
        <v>10.830635903530872</v>
      </c>
      <c r="U7" s="141">
        <v>62.761238503959277</v>
      </c>
      <c r="V7" s="141">
        <v>71.642055105047604</v>
      </c>
      <c r="W7" s="141">
        <v>33.096896321271906</v>
      </c>
      <c r="DA7" s="171" t="s">
        <v>573</v>
      </c>
    </row>
    <row r="8" spans="1:105" ht="12" customHeight="1" x14ac:dyDescent="0.25">
      <c r="A8" s="132" t="s">
        <v>73</v>
      </c>
      <c r="B8" s="141"/>
      <c r="C8" s="141">
        <v>0</v>
      </c>
      <c r="D8" s="141">
        <v>0</v>
      </c>
      <c r="E8" s="141">
        <v>0</v>
      </c>
      <c r="F8" s="141">
        <v>0</v>
      </c>
      <c r="G8" s="141">
        <v>0</v>
      </c>
      <c r="H8" s="141">
        <v>0</v>
      </c>
      <c r="I8" s="141">
        <v>0</v>
      </c>
      <c r="J8" s="141">
        <v>0</v>
      </c>
      <c r="K8" s="141">
        <v>0</v>
      </c>
      <c r="L8" s="141">
        <v>0</v>
      </c>
      <c r="M8" s="141">
        <v>0</v>
      </c>
      <c r="N8" s="141">
        <v>0</v>
      </c>
      <c r="O8" s="141">
        <v>0</v>
      </c>
      <c r="P8" s="141">
        <v>0</v>
      </c>
      <c r="Q8" s="141">
        <v>0</v>
      </c>
      <c r="R8" s="141">
        <v>0</v>
      </c>
      <c r="S8" s="141">
        <v>0</v>
      </c>
      <c r="T8" s="141">
        <v>0</v>
      </c>
      <c r="U8" s="141">
        <v>0</v>
      </c>
      <c r="V8" s="141">
        <v>0</v>
      </c>
      <c r="W8" s="141">
        <v>0</v>
      </c>
      <c r="DA8" s="171" t="s">
        <v>574</v>
      </c>
    </row>
    <row r="9" spans="1:105" ht="12" customHeight="1" x14ac:dyDescent="0.25">
      <c r="A9" s="132" t="s">
        <v>78</v>
      </c>
      <c r="B9" s="141"/>
      <c r="C9" s="141">
        <v>0</v>
      </c>
      <c r="D9" s="141">
        <v>0</v>
      </c>
      <c r="E9" s="141">
        <v>0</v>
      </c>
      <c r="F9" s="141">
        <v>0</v>
      </c>
      <c r="G9" s="141">
        <v>0</v>
      </c>
      <c r="H9" s="141">
        <v>0</v>
      </c>
      <c r="I9" s="141">
        <v>0</v>
      </c>
      <c r="J9" s="141">
        <v>0</v>
      </c>
      <c r="K9" s="141">
        <v>16.612157198872925</v>
      </c>
      <c r="L9" s="141">
        <v>5.2272395557810327</v>
      </c>
      <c r="M9" s="141">
        <v>1.3373362992516578</v>
      </c>
      <c r="N9" s="141">
        <v>0.43288671826597763</v>
      </c>
      <c r="O9" s="141">
        <v>0</v>
      </c>
      <c r="P9" s="141">
        <v>1.0687228420614384E-2</v>
      </c>
      <c r="Q9" s="141">
        <v>8.9715727699965372E-2</v>
      </c>
      <c r="R9" s="141">
        <v>5.9487858575099617</v>
      </c>
      <c r="S9" s="141">
        <v>10.499596877567265</v>
      </c>
      <c r="T9" s="141">
        <v>12.855060120465502</v>
      </c>
      <c r="U9" s="141">
        <v>4.7327999275920281</v>
      </c>
      <c r="V9" s="141">
        <v>1.5199138018049239</v>
      </c>
      <c r="W9" s="141">
        <v>1.5910264008482617</v>
      </c>
      <c r="DA9" s="171" t="s">
        <v>575</v>
      </c>
    </row>
    <row r="10" spans="1:105" ht="12" customHeight="1" x14ac:dyDescent="0.25">
      <c r="A10" s="132" t="s">
        <v>128</v>
      </c>
      <c r="B10" s="141"/>
      <c r="C10" s="141">
        <v>0</v>
      </c>
      <c r="D10" s="141">
        <v>0</v>
      </c>
      <c r="E10" s="141">
        <v>0</v>
      </c>
      <c r="F10" s="141">
        <v>0</v>
      </c>
      <c r="G10" s="141">
        <v>0</v>
      </c>
      <c r="H10" s="141">
        <v>0</v>
      </c>
      <c r="I10" s="141">
        <v>42.071452748788545</v>
      </c>
      <c r="J10" s="141">
        <v>20.703503513792189</v>
      </c>
      <c r="K10" s="141">
        <v>0</v>
      </c>
      <c r="L10" s="141">
        <v>9.5966278680530027E-3</v>
      </c>
      <c r="M10" s="141">
        <v>1.1540693048860471</v>
      </c>
      <c r="N10" s="141">
        <v>3.2674584993433426</v>
      </c>
      <c r="O10" s="141">
        <v>0.79053304026242843</v>
      </c>
      <c r="P10" s="141">
        <v>2.3449166361016851</v>
      </c>
      <c r="Q10" s="141">
        <v>10.202971422303632</v>
      </c>
      <c r="R10" s="141">
        <v>1.2969240325803493</v>
      </c>
      <c r="S10" s="141">
        <v>0</v>
      </c>
      <c r="T10" s="141">
        <v>0</v>
      </c>
      <c r="U10" s="141">
        <v>0</v>
      </c>
      <c r="V10" s="141">
        <v>0.63744918613833668</v>
      </c>
      <c r="W10" s="141">
        <v>4.9992716966561606</v>
      </c>
      <c r="DA10" s="171" t="s">
        <v>576</v>
      </c>
    </row>
    <row r="11" spans="1:105" ht="12" customHeight="1" x14ac:dyDescent="0.25">
      <c r="A11" s="132" t="s">
        <v>25</v>
      </c>
      <c r="B11" s="141"/>
      <c r="C11" s="141">
        <v>0</v>
      </c>
      <c r="D11" s="141">
        <v>0</v>
      </c>
      <c r="E11" s="141">
        <v>0</v>
      </c>
      <c r="F11" s="141">
        <v>0</v>
      </c>
      <c r="G11" s="141">
        <v>0</v>
      </c>
      <c r="H11" s="141">
        <v>0</v>
      </c>
      <c r="I11" s="141">
        <v>0</v>
      </c>
      <c r="J11" s="141">
        <v>0</v>
      </c>
      <c r="K11" s="141">
        <v>0</v>
      </c>
      <c r="L11" s="141">
        <v>0</v>
      </c>
      <c r="M11" s="141">
        <v>0</v>
      </c>
      <c r="N11" s="141">
        <v>0</v>
      </c>
      <c r="O11" s="141">
        <v>0</v>
      </c>
      <c r="P11" s="141">
        <v>0</v>
      </c>
      <c r="Q11" s="141">
        <v>0</v>
      </c>
      <c r="R11" s="141">
        <v>0</v>
      </c>
      <c r="S11" s="141">
        <v>0</v>
      </c>
      <c r="T11" s="141">
        <v>0</v>
      </c>
      <c r="U11" s="141">
        <v>0</v>
      </c>
      <c r="V11" s="141">
        <v>0</v>
      </c>
      <c r="W11" s="141">
        <v>0</v>
      </c>
      <c r="DA11" s="171" t="s">
        <v>577</v>
      </c>
    </row>
    <row r="12" spans="1:105" ht="12" customHeight="1" x14ac:dyDescent="0.25">
      <c r="A12" s="132" t="s">
        <v>169</v>
      </c>
      <c r="B12" s="141"/>
      <c r="C12" s="141">
        <v>0</v>
      </c>
      <c r="D12" s="141">
        <v>0</v>
      </c>
      <c r="E12" s="141">
        <v>0</v>
      </c>
      <c r="F12" s="141">
        <v>0</v>
      </c>
      <c r="G12" s="141">
        <v>0</v>
      </c>
      <c r="H12" s="141">
        <v>0</v>
      </c>
      <c r="I12" s="141">
        <v>0</v>
      </c>
      <c r="J12" s="141">
        <v>0</v>
      </c>
      <c r="K12" s="141">
        <v>0</v>
      </c>
      <c r="L12" s="141">
        <v>0</v>
      </c>
      <c r="M12" s="141">
        <v>0</v>
      </c>
      <c r="N12" s="141">
        <v>0</v>
      </c>
      <c r="O12" s="141">
        <v>0</v>
      </c>
      <c r="P12" s="141">
        <v>0</v>
      </c>
      <c r="Q12" s="141">
        <v>0</v>
      </c>
      <c r="R12" s="141">
        <v>0</v>
      </c>
      <c r="S12" s="141">
        <v>0</v>
      </c>
      <c r="T12" s="141">
        <v>0</v>
      </c>
      <c r="U12" s="141">
        <v>0</v>
      </c>
      <c r="V12" s="141">
        <v>0</v>
      </c>
      <c r="W12" s="141">
        <v>0</v>
      </c>
      <c r="DA12" s="171" t="s">
        <v>578</v>
      </c>
    </row>
    <row r="13" spans="1:105" ht="12" customHeight="1" x14ac:dyDescent="0.25">
      <c r="A13" s="132" t="s">
        <v>77</v>
      </c>
      <c r="B13" s="141"/>
      <c r="C13" s="141">
        <v>54.248235592438711</v>
      </c>
      <c r="D13" s="141">
        <v>67.541726073013507</v>
      </c>
      <c r="E13" s="141">
        <v>108.3435628495933</v>
      </c>
      <c r="F13" s="141">
        <v>124.64946883707246</v>
      </c>
      <c r="G13" s="141">
        <v>119.44720639243448</v>
      </c>
      <c r="H13" s="141">
        <v>40.589116397272392</v>
      </c>
      <c r="I13" s="141">
        <v>97.176600070503369</v>
      </c>
      <c r="J13" s="141">
        <v>70.886057273624559</v>
      </c>
      <c r="K13" s="141">
        <v>166.9195184121163</v>
      </c>
      <c r="L13" s="141">
        <v>326.25479383845914</v>
      </c>
      <c r="M13" s="141">
        <v>383.47211843622784</v>
      </c>
      <c r="N13" s="141">
        <v>438.52108429467233</v>
      </c>
      <c r="O13" s="141">
        <v>80.236087309075984</v>
      </c>
      <c r="P13" s="141">
        <v>83.73885920852257</v>
      </c>
      <c r="Q13" s="141">
        <v>54.049335497839536</v>
      </c>
      <c r="R13" s="141">
        <v>98.295466004803416</v>
      </c>
      <c r="S13" s="141">
        <v>237.02608455938721</v>
      </c>
      <c r="T13" s="141">
        <v>274.76367468359126</v>
      </c>
      <c r="U13" s="141">
        <v>231.12406889147746</v>
      </c>
      <c r="V13" s="141">
        <v>255.3347652302393</v>
      </c>
      <c r="W13" s="141">
        <v>198.59236131330042</v>
      </c>
      <c r="DA13" s="171" t="s">
        <v>579</v>
      </c>
    </row>
    <row r="14" spans="1:105" ht="12" customHeight="1" x14ac:dyDescent="0.25">
      <c r="A14" s="60" t="s">
        <v>76</v>
      </c>
      <c r="B14" s="142"/>
      <c r="C14" s="142">
        <v>337.27131899961751</v>
      </c>
      <c r="D14" s="142">
        <v>235.43184063909754</v>
      </c>
      <c r="E14" s="142">
        <v>241.60963911885261</v>
      </c>
      <c r="F14" s="142">
        <v>323.77739572249914</v>
      </c>
      <c r="G14" s="142">
        <v>345.56392849686131</v>
      </c>
      <c r="H14" s="142">
        <v>408.50962631539079</v>
      </c>
      <c r="I14" s="142">
        <v>402.63582842767437</v>
      </c>
      <c r="J14" s="142">
        <v>297.66599406779574</v>
      </c>
      <c r="K14" s="142">
        <v>307.53507420658326</v>
      </c>
      <c r="L14" s="142">
        <v>108.53559793066822</v>
      </c>
      <c r="M14" s="142">
        <v>0</v>
      </c>
      <c r="N14" s="142">
        <v>0</v>
      </c>
      <c r="O14" s="142">
        <v>0</v>
      </c>
      <c r="P14" s="142">
        <v>0</v>
      </c>
      <c r="Q14" s="142">
        <v>20.467448439036918</v>
      </c>
      <c r="R14" s="142">
        <v>179.86389347865159</v>
      </c>
      <c r="S14" s="142">
        <v>160.18191479613799</v>
      </c>
      <c r="T14" s="142">
        <v>109.72326586697312</v>
      </c>
      <c r="U14" s="142">
        <v>103.78557555962949</v>
      </c>
      <c r="V14" s="142">
        <v>35.73453514944525</v>
      </c>
      <c r="W14" s="142">
        <v>118.55387127651848</v>
      </c>
      <c r="DA14" s="172" t="s">
        <v>580</v>
      </c>
    </row>
    <row r="15" spans="1:105" ht="12" customHeight="1" x14ac:dyDescent="0.25">
      <c r="A15" s="143" t="s">
        <v>75</v>
      </c>
      <c r="B15" s="144"/>
      <c r="C15" s="144">
        <f t="shared" ref="C15:Q15" si="3">SUM(C5:C12)</f>
        <v>0</v>
      </c>
      <c r="D15" s="144">
        <f t="shared" si="3"/>
        <v>0</v>
      </c>
      <c r="E15" s="144">
        <f t="shared" si="3"/>
        <v>0</v>
      </c>
      <c r="F15" s="144">
        <f t="shared" si="3"/>
        <v>0</v>
      </c>
      <c r="G15" s="144">
        <f t="shared" si="3"/>
        <v>0</v>
      </c>
      <c r="H15" s="144">
        <f t="shared" si="3"/>
        <v>0</v>
      </c>
      <c r="I15" s="144">
        <f t="shared" si="3"/>
        <v>42.071452748788545</v>
      </c>
      <c r="J15" s="144">
        <f t="shared" si="3"/>
        <v>170.28094508217873</v>
      </c>
      <c r="K15" s="144">
        <f t="shared" si="3"/>
        <v>226.706501665882</v>
      </c>
      <c r="L15" s="144">
        <f t="shared" si="3"/>
        <v>324.05388838663777</v>
      </c>
      <c r="M15" s="144">
        <f t="shared" si="3"/>
        <v>172.47712815660319</v>
      </c>
      <c r="N15" s="144">
        <f t="shared" si="3"/>
        <v>135.2464339958218</v>
      </c>
      <c r="O15" s="144">
        <f t="shared" si="3"/>
        <v>14.2507151697701</v>
      </c>
      <c r="P15" s="144">
        <f t="shared" si="3"/>
        <v>2.3556038645222994</v>
      </c>
      <c r="Q15" s="144">
        <f t="shared" si="3"/>
        <v>10.292687150003598</v>
      </c>
      <c r="R15" s="144">
        <f t="shared" ref="R15:W15" si="4">SUM(R5:R12)</f>
        <v>7.2457098900903105</v>
      </c>
      <c r="S15" s="144">
        <f t="shared" si="4"/>
        <v>10.499596877567265</v>
      </c>
      <c r="T15" s="144">
        <f t="shared" si="4"/>
        <v>23.685696023996375</v>
      </c>
      <c r="U15" s="144">
        <f t="shared" si="4"/>
        <v>67.494038431551303</v>
      </c>
      <c r="V15" s="144">
        <f t="shared" si="4"/>
        <v>73.799418092990862</v>
      </c>
      <c r="W15" s="144">
        <f t="shared" si="4"/>
        <v>39.687194418776329</v>
      </c>
      <c r="DA15" s="173"/>
    </row>
    <row r="16" spans="1:105" ht="12.95" customHeight="1" x14ac:dyDescent="0.25">
      <c r="A16" s="130" t="s">
        <v>74</v>
      </c>
      <c r="B16" s="140"/>
      <c r="C16" s="140">
        <f t="shared" ref="C16:Q16" si="5">SUM(C17:C18)</f>
        <v>391.51955459205618</v>
      </c>
      <c r="D16" s="140">
        <f t="shared" si="5"/>
        <v>302.97356671211105</v>
      </c>
      <c r="E16" s="140">
        <f t="shared" si="5"/>
        <v>349.95320196844591</v>
      </c>
      <c r="F16" s="140">
        <f t="shared" si="5"/>
        <v>448.42686455957158</v>
      </c>
      <c r="G16" s="140">
        <f t="shared" si="5"/>
        <v>465.01113488929582</v>
      </c>
      <c r="H16" s="140">
        <f t="shared" si="5"/>
        <v>449.09874271266318</v>
      </c>
      <c r="I16" s="140">
        <f t="shared" si="5"/>
        <v>541.88388124696633</v>
      </c>
      <c r="J16" s="140">
        <f t="shared" si="5"/>
        <v>538.83299642359907</v>
      </c>
      <c r="K16" s="140">
        <f t="shared" si="5"/>
        <v>701.16109428458151</v>
      </c>
      <c r="L16" s="140">
        <f t="shared" si="5"/>
        <v>758.84428015576509</v>
      </c>
      <c r="M16" s="140">
        <f t="shared" si="5"/>
        <v>555.94924659283106</v>
      </c>
      <c r="N16" s="140">
        <f t="shared" si="5"/>
        <v>573.76751829049408</v>
      </c>
      <c r="O16" s="140">
        <f t="shared" si="5"/>
        <v>94.486802478846087</v>
      </c>
      <c r="P16" s="140">
        <f t="shared" si="5"/>
        <v>86.094463073044878</v>
      </c>
      <c r="Q16" s="140">
        <f t="shared" si="5"/>
        <v>84.809471086880038</v>
      </c>
      <c r="R16" s="140">
        <f t="shared" ref="R16:W16" si="6">SUM(R17:R18)</f>
        <v>285.4050693735453</v>
      </c>
      <c r="S16" s="140">
        <f t="shared" si="6"/>
        <v>407.70759623309243</v>
      </c>
      <c r="T16" s="140">
        <f t="shared" si="6"/>
        <v>408.17263657456073</v>
      </c>
      <c r="U16" s="140">
        <f t="shared" si="6"/>
        <v>402.40368288265819</v>
      </c>
      <c r="V16" s="140">
        <f t="shared" si="6"/>
        <v>364.86871847267537</v>
      </c>
      <c r="W16" s="140">
        <f t="shared" si="6"/>
        <v>356.83342700859521</v>
      </c>
      <c r="DA16" s="170" t="s">
        <v>581</v>
      </c>
    </row>
    <row r="17" spans="1:105" ht="12.95" customHeight="1" x14ac:dyDescent="0.25">
      <c r="A17" s="132" t="s">
        <v>73</v>
      </c>
      <c r="B17" s="141"/>
      <c r="C17" s="141">
        <v>0</v>
      </c>
      <c r="D17" s="141">
        <v>0</v>
      </c>
      <c r="E17" s="141">
        <v>0</v>
      </c>
      <c r="F17" s="141">
        <v>0</v>
      </c>
      <c r="G17" s="141">
        <v>0</v>
      </c>
      <c r="H17" s="141">
        <v>0</v>
      </c>
      <c r="I17" s="141">
        <v>0</v>
      </c>
      <c r="J17" s="141">
        <v>0</v>
      </c>
      <c r="K17" s="141">
        <v>0</v>
      </c>
      <c r="L17" s="141">
        <v>0</v>
      </c>
      <c r="M17" s="141">
        <v>0</v>
      </c>
      <c r="N17" s="141">
        <v>0</v>
      </c>
      <c r="O17" s="141">
        <v>0</v>
      </c>
      <c r="P17" s="141">
        <v>0</v>
      </c>
      <c r="Q17" s="141">
        <v>0</v>
      </c>
      <c r="R17" s="141">
        <v>0</v>
      </c>
      <c r="S17" s="141">
        <v>0</v>
      </c>
      <c r="T17" s="141">
        <v>0</v>
      </c>
      <c r="U17" s="141">
        <v>0</v>
      </c>
      <c r="V17" s="141">
        <v>0</v>
      </c>
      <c r="W17" s="141">
        <v>0</v>
      </c>
      <c r="DA17" s="171" t="s">
        <v>582</v>
      </c>
    </row>
    <row r="18" spans="1:105" ht="12" customHeight="1" x14ac:dyDescent="0.25">
      <c r="A18" s="132" t="s">
        <v>72</v>
      </c>
      <c r="B18" s="141"/>
      <c r="C18" s="141">
        <v>391.51955459205618</v>
      </c>
      <c r="D18" s="141">
        <v>302.97356671211105</v>
      </c>
      <c r="E18" s="141">
        <v>349.95320196844591</v>
      </c>
      <c r="F18" s="141">
        <v>448.42686455957158</v>
      </c>
      <c r="G18" s="141">
        <v>465.01113488929582</v>
      </c>
      <c r="H18" s="141">
        <v>449.09874271266318</v>
      </c>
      <c r="I18" s="141">
        <v>541.88388124696633</v>
      </c>
      <c r="J18" s="141">
        <v>538.83299642359907</v>
      </c>
      <c r="K18" s="141">
        <v>701.16109428458151</v>
      </c>
      <c r="L18" s="141">
        <v>758.84428015576509</v>
      </c>
      <c r="M18" s="141">
        <v>555.94924659283106</v>
      </c>
      <c r="N18" s="141">
        <v>573.76751829049408</v>
      </c>
      <c r="O18" s="141">
        <v>94.486802478846087</v>
      </c>
      <c r="P18" s="141">
        <v>86.094463073044878</v>
      </c>
      <c r="Q18" s="141">
        <v>84.809471086880038</v>
      </c>
      <c r="R18" s="141">
        <v>285.4050693735453</v>
      </c>
      <c r="S18" s="141">
        <v>407.70759623309243</v>
      </c>
      <c r="T18" s="141">
        <v>408.17263657456073</v>
      </c>
      <c r="U18" s="141">
        <v>402.40368288265819</v>
      </c>
      <c r="V18" s="141">
        <v>364.86871847267537</v>
      </c>
      <c r="W18" s="141">
        <v>356.83342700859521</v>
      </c>
      <c r="DA18" s="171" t="s">
        <v>583</v>
      </c>
    </row>
    <row r="19" spans="1:105" ht="12.95" customHeight="1" x14ac:dyDescent="0.25">
      <c r="A19" s="130" t="s">
        <v>35</v>
      </c>
      <c r="B19" s="140"/>
      <c r="C19" s="140">
        <f t="shared" ref="C19:Q19" si="7">SUM(C20:C26)</f>
        <v>391.51955459205612</v>
      </c>
      <c r="D19" s="140">
        <f t="shared" si="7"/>
        <v>302.97356671211105</v>
      </c>
      <c r="E19" s="140">
        <f t="shared" si="7"/>
        <v>349.95320196844591</v>
      </c>
      <c r="F19" s="140">
        <f t="shared" si="7"/>
        <v>448.42686455957158</v>
      </c>
      <c r="G19" s="140">
        <f t="shared" si="7"/>
        <v>465.01113488929582</v>
      </c>
      <c r="H19" s="140">
        <f t="shared" si="7"/>
        <v>449.09874271266318</v>
      </c>
      <c r="I19" s="140">
        <f t="shared" si="7"/>
        <v>541.88388124696633</v>
      </c>
      <c r="J19" s="140">
        <f t="shared" si="7"/>
        <v>538.83299642359907</v>
      </c>
      <c r="K19" s="140">
        <f t="shared" si="7"/>
        <v>701.1610942845814</v>
      </c>
      <c r="L19" s="140">
        <f t="shared" si="7"/>
        <v>758.84428015576509</v>
      </c>
      <c r="M19" s="140">
        <f t="shared" si="7"/>
        <v>555.94924659283106</v>
      </c>
      <c r="N19" s="140">
        <f t="shared" si="7"/>
        <v>573.76751829049419</v>
      </c>
      <c r="O19" s="140">
        <f t="shared" si="7"/>
        <v>94.486802478846087</v>
      </c>
      <c r="P19" s="140">
        <f t="shared" si="7"/>
        <v>86.094463073044864</v>
      </c>
      <c r="Q19" s="140">
        <f t="shared" si="7"/>
        <v>84.809471086880038</v>
      </c>
      <c r="R19" s="140">
        <f t="shared" ref="R19:W19" si="8">SUM(R20:R26)</f>
        <v>285.40506937354525</v>
      </c>
      <c r="S19" s="140">
        <f t="shared" si="8"/>
        <v>407.70759623309243</v>
      </c>
      <c r="T19" s="140">
        <f t="shared" si="8"/>
        <v>408.17263657456073</v>
      </c>
      <c r="U19" s="140">
        <f t="shared" si="8"/>
        <v>402.40368288265813</v>
      </c>
      <c r="V19" s="140">
        <f t="shared" si="8"/>
        <v>364.86871847267537</v>
      </c>
      <c r="W19" s="140">
        <f t="shared" si="8"/>
        <v>356.83342700859521</v>
      </c>
      <c r="DA19" s="170" t="s">
        <v>584</v>
      </c>
    </row>
    <row r="20" spans="1:105" ht="12" customHeight="1" x14ac:dyDescent="0.25">
      <c r="A20" s="132" t="s">
        <v>29</v>
      </c>
      <c r="B20" s="141"/>
      <c r="C20" s="141">
        <v>0</v>
      </c>
      <c r="D20" s="141">
        <v>0</v>
      </c>
      <c r="E20" s="141">
        <v>0</v>
      </c>
      <c r="F20" s="141">
        <v>0</v>
      </c>
      <c r="G20" s="141">
        <v>0</v>
      </c>
      <c r="H20" s="141">
        <v>0</v>
      </c>
      <c r="I20" s="141">
        <v>0</v>
      </c>
      <c r="J20" s="141">
        <v>0</v>
      </c>
      <c r="K20" s="141">
        <v>0</v>
      </c>
      <c r="L20" s="141">
        <v>0</v>
      </c>
      <c r="M20" s="141">
        <v>0</v>
      </c>
      <c r="N20" s="141">
        <v>0</v>
      </c>
      <c r="O20" s="141">
        <v>0</v>
      </c>
      <c r="P20" s="141">
        <v>0</v>
      </c>
      <c r="Q20" s="141">
        <v>0</v>
      </c>
      <c r="R20" s="141">
        <v>0</v>
      </c>
      <c r="S20" s="141">
        <v>0</v>
      </c>
      <c r="T20" s="141">
        <v>0</v>
      </c>
      <c r="U20" s="141">
        <v>0</v>
      </c>
      <c r="V20" s="141">
        <v>0</v>
      </c>
      <c r="W20" s="141">
        <v>0</v>
      </c>
      <c r="DA20" s="171" t="s">
        <v>585</v>
      </c>
    </row>
    <row r="21" spans="1:105" s="2" customFormat="1" ht="12" customHeight="1" x14ac:dyDescent="0.25">
      <c r="A21" s="132" t="s">
        <v>52</v>
      </c>
      <c r="B21" s="141"/>
      <c r="C21" s="141">
        <v>0</v>
      </c>
      <c r="D21" s="141">
        <v>0</v>
      </c>
      <c r="E21" s="141">
        <v>0</v>
      </c>
      <c r="F21" s="141">
        <v>0</v>
      </c>
      <c r="G21" s="141">
        <v>0</v>
      </c>
      <c r="H21" s="141">
        <v>443.80346253504291</v>
      </c>
      <c r="I21" s="141">
        <v>522.20850944665972</v>
      </c>
      <c r="J21" s="141">
        <v>477.16163514729158</v>
      </c>
      <c r="K21" s="141">
        <v>58.741100331109493</v>
      </c>
      <c r="L21" s="141">
        <v>36.180344782208039</v>
      </c>
      <c r="M21" s="141">
        <v>0</v>
      </c>
      <c r="N21" s="141">
        <v>0</v>
      </c>
      <c r="O21" s="141">
        <v>0</v>
      </c>
      <c r="P21" s="141">
        <v>0</v>
      </c>
      <c r="Q21" s="141">
        <v>0</v>
      </c>
      <c r="R21" s="141">
        <v>5.4481692508902375</v>
      </c>
      <c r="S21" s="141">
        <v>57.392406860049704</v>
      </c>
      <c r="T21" s="141">
        <v>71.670157891991423</v>
      </c>
      <c r="U21" s="141">
        <v>106.74418743693293</v>
      </c>
      <c r="V21" s="141">
        <v>62.325418310306837</v>
      </c>
      <c r="W21" s="141">
        <v>122.9276169660663</v>
      </c>
      <c r="DA21" s="171" t="s">
        <v>586</v>
      </c>
    </row>
    <row r="22" spans="1:105" ht="12" customHeight="1" x14ac:dyDescent="0.25">
      <c r="A22" s="132" t="s">
        <v>168</v>
      </c>
      <c r="B22" s="141"/>
      <c r="C22" s="141">
        <v>11.198157636050615</v>
      </c>
      <c r="D22" s="141">
        <v>8.8945524529975373</v>
      </c>
      <c r="E22" s="141">
        <v>9.8771415832410128</v>
      </c>
      <c r="F22" s="141">
        <v>12.663013563667636</v>
      </c>
      <c r="G22" s="141">
        <v>13.643082064987984</v>
      </c>
      <c r="H22" s="141">
        <v>5.2952801776202465</v>
      </c>
      <c r="I22" s="141">
        <v>19.675371800306646</v>
      </c>
      <c r="J22" s="141">
        <v>30.129174585695345</v>
      </c>
      <c r="K22" s="141">
        <v>21.322332565678181</v>
      </c>
      <c r="L22" s="141">
        <v>21.626980221387832</v>
      </c>
      <c r="M22" s="141">
        <v>16.347257589312012</v>
      </c>
      <c r="N22" s="141">
        <v>15.537628625653063</v>
      </c>
      <c r="O22" s="141">
        <v>2.7782112088202764</v>
      </c>
      <c r="P22" s="141">
        <v>2.5385122362696144</v>
      </c>
      <c r="Q22" s="141">
        <v>4.0411203381051273</v>
      </c>
      <c r="R22" s="141">
        <v>12.650613153910102</v>
      </c>
      <c r="S22" s="141">
        <v>16.259374512287884</v>
      </c>
      <c r="T22" s="141">
        <v>15.434515909002924</v>
      </c>
      <c r="U22" s="141">
        <v>14.932939973798852</v>
      </c>
      <c r="V22" s="141">
        <v>9.8081891145061153</v>
      </c>
      <c r="W22" s="141">
        <v>9.001648341701971</v>
      </c>
      <c r="DA22" s="171" t="s">
        <v>587</v>
      </c>
    </row>
    <row r="23" spans="1:105" ht="12" customHeight="1" x14ac:dyDescent="0.25">
      <c r="A23" s="132" t="s">
        <v>153</v>
      </c>
      <c r="B23" s="141"/>
      <c r="C23" s="141">
        <v>0</v>
      </c>
      <c r="D23" s="141">
        <v>0</v>
      </c>
      <c r="E23" s="141">
        <v>0</v>
      </c>
      <c r="F23" s="141">
        <v>0</v>
      </c>
      <c r="G23" s="141">
        <v>0</v>
      </c>
      <c r="H23" s="141">
        <v>0</v>
      </c>
      <c r="I23" s="141">
        <v>0</v>
      </c>
      <c r="J23" s="141">
        <v>0</v>
      </c>
      <c r="K23" s="141">
        <v>0</v>
      </c>
      <c r="L23" s="141">
        <v>0</v>
      </c>
      <c r="M23" s="141">
        <v>0</v>
      </c>
      <c r="N23" s="141">
        <v>0</v>
      </c>
      <c r="O23" s="141">
        <v>0</v>
      </c>
      <c r="P23" s="141">
        <v>0</v>
      </c>
      <c r="Q23" s="141">
        <v>0</v>
      </c>
      <c r="R23" s="141">
        <v>0</v>
      </c>
      <c r="S23" s="141">
        <v>0</v>
      </c>
      <c r="T23" s="141">
        <v>0</v>
      </c>
      <c r="U23" s="141">
        <v>0</v>
      </c>
      <c r="V23" s="141">
        <v>0</v>
      </c>
      <c r="W23" s="141">
        <v>0</v>
      </c>
      <c r="DA23" s="171" t="s">
        <v>588</v>
      </c>
    </row>
    <row r="24" spans="1:105" ht="12" customHeight="1" x14ac:dyDescent="0.25">
      <c r="A24" s="132" t="s">
        <v>128</v>
      </c>
      <c r="B24" s="141"/>
      <c r="C24" s="141">
        <v>0</v>
      </c>
      <c r="D24" s="141">
        <v>0</v>
      </c>
      <c r="E24" s="141">
        <v>0</v>
      </c>
      <c r="F24" s="141">
        <v>0</v>
      </c>
      <c r="G24" s="141">
        <v>0</v>
      </c>
      <c r="H24" s="141">
        <v>0</v>
      </c>
      <c r="I24" s="141">
        <v>0</v>
      </c>
      <c r="J24" s="141">
        <v>0</v>
      </c>
      <c r="K24" s="141">
        <v>0</v>
      </c>
      <c r="L24" s="141">
        <v>0</v>
      </c>
      <c r="M24" s="141">
        <v>0</v>
      </c>
      <c r="N24" s="141">
        <v>0</v>
      </c>
      <c r="O24" s="141">
        <v>0</v>
      </c>
      <c r="P24" s="141">
        <v>0</v>
      </c>
      <c r="Q24" s="141">
        <v>0</v>
      </c>
      <c r="R24" s="141">
        <v>0</v>
      </c>
      <c r="S24" s="141">
        <v>0</v>
      </c>
      <c r="T24" s="141">
        <v>0</v>
      </c>
      <c r="U24" s="141">
        <v>0</v>
      </c>
      <c r="V24" s="141">
        <v>0</v>
      </c>
      <c r="W24" s="141">
        <v>0</v>
      </c>
      <c r="DA24" s="171" t="s">
        <v>589</v>
      </c>
    </row>
    <row r="25" spans="1:105" ht="12" customHeight="1" x14ac:dyDescent="0.25">
      <c r="A25" s="132" t="s">
        <v>169</v>
      </c>
      <c r="B25" s="141"/>
      <c r="C25" s="141">
        <v>0</v>
      </c>
      <c r="D25" s="141">
        <v>0</v>
      </c>
      <c r="E25" s="141">
        <v>0</v>
      </c>
      <c r="F25" s="141">
        <v>0</v>
      </c>
      <c r="G25" s="141">
        <v>0</v>
      </c>
      <c r="H25" s="141">
        <v>0</v>
      </c>
      <c r="I25" s="141">
        <v>0</v>
      </c>
      <c r="J25" s="141">
        <v>0</v>
      </c>
      <c r="K25" s="141">
        <v>0</v>
      </c>
      <c r="L25" s="141">
        <v>0</v>
      </c>
      <c r="M25" s="141">
        <v>0</v>
      </c>
      <c r="N25" s="141">
        <v>0</v>
      </c>
      <c r="O25" s="141">
        <v>0</v>
      </c>
      <c r="P25" s="141">
        <v>0</v>
      </c>
      <c r="Q25" s="141">
        <v>0</v>
      </c>
      <c r="R25" s="141">
        <v>0</v>
      </c>
      <c r="S25" s="141">
        <v>0</v>
      </c>
      <c r="T25" s="141">
        <v>0</v>
      </c>
      <c r="U25" s="141">
        <v>0</v>
      </c>
      <c r="V25" s="141">
        <v>0</v>
      </c>
      <c r="W25" s="141">
        <v>0</v>
      </c>
      <c r="DA25" s="171" t="s">
        <v>590</v>
      </c>
    </row>
    <row r="26" spans="1:105" ht="12" customHeight="1" x14ac:dyDescent="0.25">
      <c r="A26" s="132" t="s">
        <v>24</v>
      </c>
      <c r="B26" s="142"/>
      <c r="C26" s="142">
        <v>380.32139695600551</v>
      </c>
      <c r="D26" s="142">
        <v>294.07901425911353</v>
      </c>
      <c r="E26" s="142">
        <v>340.07606038520493</v>
      </c>
      <c r="F26" s="142">
        <v>435.76385099590397</v>
      </c>
      <c r="G26" s="142">
        <v>451.36805282430782</v>
      </c>
      <c r="H26" s="142">
        <v>0</v>
      </c>
      <c r="I26" s="142">
        <v>0</v>
      </c>
      <c r="J26" s="142">
        <v>31.542186690612095</v>
      </c>
      <c r="K26" s="142">
        <v>621.09766138779378</v>
      </c>
      <c r="L26" s="142">
        <v>701.03695515216918</v>
      </c>
      <c r="M26" s="142">
        <v>539.60198900351907</v>
      </c>
      <c r="N26" s="142">
        <v>558.22988966484115</v>
      </c>
      <c r="O26" s="142">
        <v>91.708591270025806</v>
      </c>
      <c r="P26" s="142">
        <v>83.555950836775253</v>
      </c>
      <c r="Q26" s="142">
        <v>80.768350748774907</v>
      </c>
      <c r="R26" s="142">
        <v>267.30628696874493</v>
      </c>
      <c r="S26" s="142">
        <v>334.05581486075488</v>
      </c>
      <c r="T26" s="142">
        <v>321.06796277356636</v>
      </c>
      <c r="U26" s="142">
        <v>280.72655547192636</v>
      </c>
      <c r="V26" s="142">
        <v>292.7351110478624</v>
      </c>
      <c r="W26" s="142">
        <v>224.90416170082693</v>
      </c>
      <c r="DA26" s="172" t="s">
        <v>591</v>
      </c>
    </row>
    <row r="27" spans="1:105" ht="12" customHeight="1" x14ac:dyDescent="0.25">
      <c r="A27" s="145" t="s">
        <v>26</v>
      </c>
      <c r="B27" s="151"/>
      <c r="C27" s="151">
        <v>239.39473242992369</v>
      </c>
      <c r="D27" s="151">
        <v>302.97356671211105</v>
      </c>
      <c r="E27" s="151">
        <v>345.58889535523537</v>
      </c>
      <c r="F27" s="151">
        <v>441.559606006808</v>
      </c>
      <c r="G27" s="151">
        <v>460.12160855832275</v>
      </c>
      <c r="H27" s="151">
        <v>444.71392381482673</v>
      </c>
      <c r="I27" s="151">
        <v>541.88388124696644</v>
      </c>
      <c r="J27" s="151">
        <v>538.83299642359896</v>
      </c>
      <c r="K27" s="151">
        <v>663.17804622822268</v>
      </c>
      <c r="L27" s="151">
        <v>704.5052638064127</v>
      </c>
      <c r="M27" s="151">
        <v>544.04124615853232</v>
      </c>
      <c r="N27" s="151">
        <v>381.71936442460287</v>
      </c>
      <c r="O27" s="151">
        <v>50.022620838072797</v>
      </c>
      <c r="P27" s="151">
        <v>84.446637119580387</v>
      </c>
      <c r="Q27" s="151">
        <v>84.809471086880023</v>
      </c>
      <c r="R27" s="151">
        <v>281.43309782600591</v>
      </c>
      <c r="S27" s="151">
        <v>407.70759623309243</v>
      </c>
      <c r="T27" s="151">
        <v>356.97725722289459</v>
      </c>
      <c r="U27" s="151">
        <v>334.50148411654857</v>
      </c>
      <c r="V27" s="151">
        <v>354.96126529449737</v>
      </c>
      <c r="W27" s="151">
        <v>285.8271250359436</v>
      </c>
      <c r="DA27" s="174" t="s">
        <v>592</v>
      </c>
    </row>
    <row r="28" spans="1:105" ht="12" hidden="1" customHeight="1" x14ac:dyDescent="0.25">
      <c r="A28" s="78" t="s">
        <v>26</v>
      </c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52"/>
      <c r="V28" s="152"/>
      <c r="W28" s="152"/>
      <c r="DA28" s="175"/>
    </row>
    <row r="29" spans="1:105" ht="12.95" customHeight="1" x14ac:dyDescent="0.25">
      <c r="A29" s="130" t="s">
        <v>34</v>
      </c>
      <c r="B29" s="140"/>
      <c r="C29" s="140">
        <f t="shared" ref="C29:Q29" si="9">SUM(C30:C33)</f>
        <v>391.51955459205624</v>
      </c>
      <c r="D29" s="140">
        <f t="shared" si="9"/>
        <v>302.97356671211111</v>
      </c>
      <c r="E29" s="140">
        <f t="shared" si="9"/>
        <v>349.95320196844591</v>
      </c>
      <c r="F29" s="140">
        <f t="shared" si="9"/>
        <v>448.4268645595717</v>
      </c>
      <c r="G29" s="140">
        <f t="shared" si="9"/>
        <v>465.01113488929582</v>
      </c>
      <c r="H29" s="140">
        <f t="shared" si="9"/>
        <v>449.09874271266324</v>
      </c>
      <c r="I29" s="140">
        <f t="shared" si="9"/>
        <v>541.88388124696621</v>
      </c>
      <c r="J29" s="140">
        <f t="shared" si="9"/>
        <v>538.83299642359907</v>
      </c>
      <c r="K29" s="140">
        <f t="shared" si="9"/>
        <v>701.16109428458151</v>
      </c>
      <c r="L29" s="140">
        <f t="shared" si="9"/>
        <v>758.8442801557652</v>
      </c>
      <c r="M29" s="140">
        <f t="shared" si="9"/>
        <v>555.94924659283106</v>
      </c>
      <c r="N29" s="140">
        <f t="shared" si="9"/>
        <v>573.76751829049408</v>
      </c>
      <c r="O29" s="140">
        <f t="shared" si="9"/>
        <v>94.486802478846101</v>
      </c>
      <c r="P29" s="140">
        <f t="shared" si="9"/>
        <v>86.094463073044864</v>
      </c>
      <c r="Q29" s="140">
        <f t="shared" si="9"/>
        <v>84.809471086880052</v>
      </c>
      <c r="R29" s="140">
        <f t="shared" ref="R29:W29" si="10">SUM(R30:R33)</f>
        <v>285.4050693735453</v>
      </c>
      <c r="S29" s="140">
        <f t="shared" si="10"/>
        <v>407.70759623309249</v>
      </c>
      <c r="T29" s="140">
        <f t="shared" si="10"/>
        <v>408.17263657456073</v>
      </c>
      <c r="U29" s="140">
        <f t="shared" si="10"/>
        <v>402.40368288265825</v>
      </c>
      <c r="V29" s="140">
        <f t="shared" si="10"/>
        <v>364.86871847267537</v>
      </c>
      <c r="W29" s="140">
        <f t="shared" si="10"/>
        <v>356.83342700859521</v>
      </c>
      <c r="DA29" s="170" t="s">
        <v>593</v>
      </c>
    </row>
    <row r="30" spans="1:105" s="2" customFormat="1" ht="12" customHeight="1" x14ac:dyDescent="0.25">
      <c r="A30" s="132" t="s">
        <v>52</v>
      </c>
      <c r="B30" s="141"/>
      <c r="C30" s="141">
        <v>0</v>
      </c>
      <c r="D30" s="141">
        <v>0</v>
      </c>
      <c r="E30" s="141">
        <v>0</v>
      </c>
      <c r="F30" s="141">
        <v>0</v>
      </c>
      <c r="G30" s="141">
        <v>0</v>
      </c>
      <c r="H30" s="141">
        <v>388.54596873568954</v>
      </c>
      <c r="I30" s="141">
        <v>192.15823298468266</v>
      </c>
      <c r="J30" s="141">
        <v>89.520634962809794</v>
      </c>
      <c r="K30" s="141">
        <v>0</v>
      </c>
      <c r="L30" s="141">
        <v>25.746142967013057</v>
      </c>
      <c r="M30" s="141">
        <v>133.24255322461363</v>
      </c>
      <c r="N30" s="141">
        <v>85.583335906013119</v>
      </c>
      <c r="O30" s="141">
        <v>8.762484119579268</v>
      </c>
      <c r="P30" s="141">
        <v>7.6441531743053881</v>
      </c>
      <c r="Q30" s="141">
        <v>29.662757494555446</v>
      </c>
      <c r="R30" s="141">
        <v>112.37287466899841</v>
      </c>
      <c r="S30" s="141">
        <v>248.97200019007349</v>
      </c>
      <c r="T30" s="141">
        <v>141.5210496546139</v>
      </c>
      <c r="U30" s="141">
        <v>46.066010336737101</v>
      </c>
      <c r="V30" s="141">
        <v>58.980234080871355</v>
      </c>
      <c r="W30" s="141">
        <v>19.785597105283902</v>
      </c>
      <c r="DA30" s="171" t="s">
        <v>594</v>
      </c>
    </row>
    <row r="31" spans="1:105" ht="12" customHeight="1" x14ac:dyDescent="0.25">
      <c r="A31" s="132" t="s">
        <v>153</v>
      </c>
      <c r="B31" s="141"/>
      <c r="C31" s="141">
        <v>0</v>
      </c>
      <c r="D31" s="141">
        <v>0</v>
      </c>
      <c r="E31" s="141">
        <v>0</v>
      </c>
      <c r="F31" s="141">
        <v>0</v>
      </c>
      <c r="G31" s="141">
        <v>0</v>
      </c>
      <c r="H31" s="141">
        <v>0</v>
      </c>
      <c r="I31" s="141">
        <v>0</v>
      </c>
      <c r="J31" s="141">
        <v>0</v>
      </c>
      <c r="K31" s="141">
        <v>0</v>
      </c>
      <c r="L31" s="141">
        <v>0</v>
      </c>
      <c r="M31" s="141">
        <v>0</v>
      </c>
      <c r="N31" s="141">
        <v>0</v>
      </c>
      <c r="O31" s="141">
        <v>0</v>
      </c>
      <c r="P31" s="141">
        <v>0</v>
      </c>
      <c r="Q31" s="141">
        <v>0</v>
      </c>
      <c r="R31" s="141">
        <v>0</v>
      </c>
      <c r="S31" s="141">
        <v>0</v>
      </c>
      <c r="T31" s="141">
        <v>0</v>
      </c>
      <c r="U31" s="141">
        <v>0</v>
      </c>
      <c r="V31" s="141">
        <v>0</v>
      </c>
      <c r="W31" s="141">
        <v>0</v>
      </c>
      <c r="DA31" s="171" t="s">
        <v>595</v>
      </c>
    </row>
    <row r="32" spans="1:105" ht="12" customHeight="1" x14ac:dyDescent="0.25">
      <c r="A32" s="132" t="s">
        <v>128</v>
      </c>
      <c r="B32" s="141"/>
      <c r="C32" s="141">
        <v>40.679449041294511</v>
      </c>
      <c r="D32" s="141">
        <v>48.63237803376726</v>
      </c>
      <c r="E32" s="141">
        <v>47.922518896356806</v>
      </c>
      <c r="F32" s="141">
        <v>68.686494472841787</v>
      </c>
      <c r="G32" s="141">
        <v>85.416745658316117</v>
      </c>
      <c r="H32" s="141">
        <v>60.552773976973668</v>
      </c>
      <c r="I32" s="141">
        <v>134.02275452761523</v>
      </c>
      <c r="J32" s="141">
        <v>67.324995519522361</v>
      </c>
      <c r="K32" s="141">
        <v>62.733624364866429</v>
      </c>
      <c r="L32" s="141">
        <v>59.2223757393269</v>
      </c>
      <c r="M32" s="141">
        <v>59.043812644781767</v>
      </c>
      <c r="N32" s="141">
        <v>62.527989120706032</v>
      </c>
      <c r="O32" s="141">
        <v>12.888677617429018</v>
      </c>
      <c r="P32" s="141">
        <v>13.569527290665343</v>
      </c>
      <c r="Q32" s="141">
        <v>12.460673987987182</v>
      </c>
      <c r="R32" s="141">
        <v>39.912742879286306</v>
      </c>
      <c r="S32" s="141">
        <v>66.112786989273175</v>
      </c>
      <c r="T32" s="141">
        <v>76.731939540542811</v>
      </c>
      <c r="U32" s="141">
        <v>79.3359127133768</v>
      </c>
      <c r="V32" s="141">
        <v>56.076836102855864</v>
      </c>
      <c r="W32" s="141">
        <v>38.86951214187463</v>
      </c>
      <c r="DA32" s="171" t="s">
        <v>596</v>
      </c>
    </row>
    <row r="33" spans="1:105" ht="12" customHeight="1" x14ac:dyDescent="0.25">
      <c r="A33" s="62" t="s">
        <v>24</v>
      </c>
      <c r="B33" s="153"/>
      <c r="C33" s="153">
        <v>350.84010555076173</v>
      </c>
      <c r="D33" s="153">
        <v>254.34118867834383</v>
      </c>
      <c r="E33" s="153">
        <v>302.03068307208912</v>
      </c>
      <c r="F33" s="153">
        <v>379.74037008672991</v>
      </c>
      <c r="G33" s="153">
        <v>379.59438923097969</v>
      </c>
      <c r="H33" s="153">
        <v>0</v>
      </c>
      <c r="I33" s="153">
        <v>215.70289373466841</v>
      </c>
      <c r="J33" s="153">
        <v>381.98736594126694</v>
      </c>
      <c r="K33" s="153">
        <v>638.42746991971512</v>
      </c>
      <c r="L33" s="153">
        <v>673.87576144942523</v>
      </c>
      <c r="M33" s="153">
        <v>363.66288072343565</v>
      </c>
      <c r="N33" s="153">
        <v>425.65619326377498</v>
      </c>
      <c r="O33" s="153">
        <v>72.835640741837807</v>
      </c>
      <c r="P33" s="153">
        <v>64.880782608074128</v>
      </c>
      <c r="Q33" s="153">
        <v>42.686039604337417</v>
      </c>
      <c r="R33" s="153">
        <v>133.1194518252606</v>
      </c>
      <c r="S33" s="153">
        <v>92.622809053745826</v>
      </c>
      <c r="T33" s="153">
        <v>189.91964737940401</v>
      </c>
      <c r="U33" s="153">
        <v>277.00175983254434</v>
      </c>
      <c r="V33" s="153">
        <v>249.81164828894813</v>
      </c>
      <c r="W33" s="153">
        <v>298.17831776143669</v>
      </c>
      <c r="DA33" s="176" t="s">
        <v>597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C15:W15 C19:W19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598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81</v>
      </c>
      <c r="B3" s="126"/>
      <c r="C3" s="126">
        <f t="shared" ref="C3:Q3" si="0">SUM(C4,C16,C19,C29)</f>
        <v>2.7640789386688152</v>
      </c>
      <c r="D3" s="126">
        <f t="shared" si="0"/>
        <v>2.1233871253434793</v>
      </c>
      <c r="E3" s="126">
        <f t="shared" si="0"/>
        <v>2.3888735398745906</v>
      </c>
      <c r="F3" s="126">
        <f t="shared" si="0"/>
        <v>2.9250938704914802</v>
      </c>
      <c r="G3" s="126">
        <f t="shared" si="0"/>
        <v>3.0422013022954388</v>
      </c>
      <c r="H3" s="126">
        <f t="shared" si="0"/>
        <v>4.3202363923282512</v>
      </c>
      <c r="I3" s="126">
        <f t="shared" si="0"/>
        <v>4.6270481023462064</v>
      </c>
      <c r="J3" s="126">
        <f t="shared" si="0"/>
        <v>5.0216683473793369</v>
      </c>
      <c r="K3" s="126">
        <f t="shared" si="0"/>
        <v>5.6251760153379227</v>
      </c>
      <c r="L3" s="126">
        <f t="shared" si="0"/>
        <v>5.8463932447577882</v>
      </c>
      <c r="M3" s="126">
        <f t="shared" si="0"/>
        <v>3.4098065621603886</v>
      </c>
      <c r="N3" s="126">
        <f t="shared" si="0"/>
        <v>3.4121513763084699</v>
      </c>
      <c r="O3" s="126">
        <f t="shared" si="0"/>
        <v>0.51923076679005997</v>
      </c>
      <c r="P3" s="126">
        <f t="shared" si="0"/>
        <v>0.40512354297715014</v>
      </c>
      <c r="Q3" s="126">
        <f t="shared" si="0"/>
        <v>0.50312473324608775</v>
      </c>
      <c r="R3" s="126">
        <f t="shared" ref="R3:W3" si="1">SUM(R4,R16,R19,R29)</f>
        <v>2.0200723640546672</v>
      </c>
      <c r="S3" s="126">
        <f t="shared" si="1"/>
        <v>2.6224232773742555</v>
      </c>
      <c r="T3" s="126">
        <f t="shared" si="1"/>
        <v>2.4945243181267793</v>
      </c>
      <c r="U3" s="126">
        <f t="shared" si="1"/>
        <v>2.4988846432430072</v>
      </c>
      <c r="V3" s="126">
        <f t="shared" si="1"/>
        <v>1.6977534452259158</v>
      </c>
      <c r="W3" s="126">
        <f t="shared" si="1"/>
        <v>1.8477496058235434</v>
      </c>
      <c r="DA3" s="155" t="s">
        <v>599</v>
      </c>
    </row>
    <row r="4" spans="1:105" ht="12.95" customHeight="1" x14ac:dyDescent="0.25">
      <c r="A4" s="130" t="s">
        <v>32</v>
      </c>
      <c r="B4" s="131"/>
      <c r="C4" s="131">
        <f t="shared" ref="C4:Q4" si="2">SUM(C5:C15)</f>
        <v>0.69466660670563785</v>
      </c>
      <c r="D4" s="131">
        <f t="shared" si="2"/>
        <v>0.63216061365002307</v>
      </c>
      <c r="E4" s="131">
        <f t="shared" si="2"/>
        <v>0.61909735801357146</v>
      </c>
      <c r="F4" s="131">
        <f t="shared" si="2"/>
        <v>0.87056431872734352</v>
      </c>
      <c r="G4" s="131">
        <f t="shared" si="2"/>
        <v>0.98331961198246587</v>
      </c>
      <c r="H4" s="131">
        <f t="shared" si="2"/>
        <v>1.5704264680082427</v>
      </c>
      <c r="I4" s="131">
        <f t="shared" si="2"/>
        <v>1.7095544776228793</v>
      </c>
      <c r="J4" s="131">
        <f t="shared" si="2"/>
        <v>2.3048105085474799</v>
      </c>
      <c r="K4" s="131">
        <f t="shared" si="2"/>
        <v>2.5332491853474242</v>
      </c>
      <c r="L4" s="131">
        <f t="shared" si="2"/>
        <v>2.4981779147224072</v>
      </c>
      <c r="M4" s="131">
        <f t="shared" si="2"/>
        <v>1.1398661628750251</v>
      </c>
      <c r="N4" s="131">
        <f t="shared" si="2"/>
        <v>0.85682096448892864</v>
      </c>
      <c r="O4" s="131">
        <f t="shared" si="2"/>
        <v>0.13424965077773188</v>
      </c>
      <c r="P4" s="131">
        <f t="shared" si="2"/>
        <v>7.1317663820101185E-2</v>
      </c>
      <c r="Q4" s="131">
        <f t="shared" si="2"/>
        <v>0.16908617635166542</v>
      </c>
      <c r="R4" s="131">
        <f t="shared" ref="R4:W4" si="3">SUM(R5:R15)</f>
        <v>0.89228684822248938</v>
      </c>
      <c r="S4" s="131">
        <f t="shared" si="3"/>
        <v>1.0175227988031124</v>
      </c>
      <c r="T4" s="131">
        <f t="shared" si="3"/>
        <v>0.81886421604485238</v>
      </c>
      <c r="U4" s="131">
        <f t="shared" si="3"/>
        <v>1.0344469488281787</v>
      </c>
      <c r="V4" s="131">
        <f t="shared" si="3"/>
        <v>0.44120127844789886</v>
      </c>
      <c r="W4" s="131">
        <f t="shared" si="3"/>
        <v>0.6987093396207037</v>
      </c>
      <c r="DA4" s="156" t="s">
        <v>600</v>
      </c>
    </row>
    <row r="5" spans="1:105" ht="12" customHeight="1" x14ac:dyDescent="0.25">
      <c r="A5" s="132" t="s">
        <v>29</v>
      </c>
      <c r="B5" s="133"/>
      <c r="C5" s="133">
        <v>0</v>
      </c>
      <c r="D5" s="133">
        <v>0</v>
      </c>
      <c r="E5" s="133">
        <v>0</v>
      </c>
      <c r="F5" s="133">
        <v>0</v>
      </c>
      <c r="G5" s="133">
        <v>0</v>
      </c>
      <c r="H5" s="133">
        <v>0</v>
      </c>
      <c r="I5" s="133">
        <v>0</v>
      </c>
      <c r="J5" s="133">
        <v>0</v>
      </c>
      <c r="K5" s="133">
        <v>0</v>
      </c>
      <c r="L5" s="133">
        <v>0</v>
      </c>
      <c r="M5" s="133">
        <v>0</v>
      </c>
      <c r="N5" s="133">
        <v>0</v>
      </c>
      <c r="O5" s="133">
        <v>0</v>
      </c>
      <c r="P5" s="133">
        <v>0</v>
      </c>
      <c r="Q5" s="133">
        <v>0</v>
      </c>
      <c r="R5" s="133">
        <v>0</v>
      </c>
      <c r="S5" s="133">
        <v>0</v>
      </c>
      <c r="T5" s="133">
        <v>0</v>
      </c>
      <c r="U5" s="133">
        <v>0</v>
      </c>
      <c r="V5" s="133">
        <v>0</v>
      </c>
      <c r="W5" s="133">
        <v>0</v>
      </c>
      <c r="DA5" s="157" t="s">
        <v>601</v>
      </c>
    </row>
    <row r="6" spans="1:105" ht="12" customHeight="1" x14ac:dyDescent="0.25">
      <c r="A6" s="132" t="s">
        <v>52</v>
      </c>
      <c r="B6" s="133"/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602</v>
      </c>
    </row>
    <row r="7" spans="1:105" ht="12" customHeight="1" x14ac:dyDescent="0.25">
      <c r="A7" s="132" t="s">
        <v>168</v>
      </c>
      <c r="B7" s="133"/>
      <c r="C7" s="133">
        <v>0</v>
      </c>
      <c r="D7" s="133">
        <v>0</v>
      </c>
      <c r="E7" s="133">
        <v>0</v>
      </c>
      <c r="F7" s="133">
        <v>0</v>
      </c>
      <c r="G7" s="133">
        <v>0</v>
      </c>
      <c r="H7" s="133">
        <v>0</v>
      </c>
      <c r="I7" s="133">
        <v>0</v>
      </c>
      <c r="J7" s="133">
        <v>0.87024002391480637</v>
      </c>
      <c r="K7" s="133">
        <v>0.97386687827812812</v>
      </c>
      <c r="L7" s="133">
        <v>1.6839410502126595</v>
      </c>
      <c r="M7" s="133">
        <v>0.8452592041684599</v>
      </c>
      <c r="N7" s="133">
        <v>0.53413658437796652</v>
      </c>
      <c r="O7" s="133">
        <v>5.8803394018888532E-2</v>
      </c>
      <c r="P7" s="133">
        <v>0</v>
      </c>
      <c r="Q7" s="133">
        <v>0</v>
      </c>
      <c r="R7" s="133">
        <v>0</v>
      </c>
      <c r="S7" s="133">
        <v>0</v>
      </c>
      <c r="T7" s="133">
        <v>3.9590039113972006E-2</v>
      </c>
      <c r="U7" s="133">
        <v>0.25726620118064875</v>
      </c>
      <c r="V7" s="133">
        <v>0.20992625895727404</v>
      </c>
      <c r="W7" s="133">
        <v>9.5136273108647487E-2</v>
      </c>
      <c r="DA7" s="157" t="s">
        <v>603</v>
      </c>
    </row>
    <row r="8" spans="1:105" ht="12" customHeight="1" x14ac:dyDescent="0.25">
      <c r="A8" s="132" t="s">
        <v>73</v>
      </c>
      <c r="B8" s="133"/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0</v>
      </c>
      <c r="S8" s="133">
        <v>0</v>
      </c>
      <c r="T8" s="133">
        <v>0</v>
      </c>
      <c r="U8" s="133">
        <v>0</v>
      </c>
      <c r="V8" s="133">
        <v>0</v>
      </c>
      <c r="W8" s="133">
        <v>0</v>
      </c>
      <c r="DA8" s="157" t="s">
        <v>604</v>
      </c>
    </row>
    <row r="9" spans="1:105" ht="12" customHeight="1" x14ac:dyDescent="0.25">
      <c r="A9" s="132" t="s">
        <v>78</v>
      </c>
      <c r="B9" s="133"/>
      <c r="C9" s="133">
        <v>0</v>
      </c>
      <c r="D9" s="133">
        <v>0</v>
      </c>
      <c r="E9" s="133">
        <v>0</v>
      </c>
      <c r="F9" s="133">
        <v>0</v>
      </c>
      <c r="G9" s="133">
        <v>0</v>
      </c>
      <c r="H9" s="133">
        <v>0</v>
      </c>
      <c r="I9" s="133">
        <v>0</v>
      </c>
      <c r="J9" s="133">
        <v>0</v>
      </c>
      <c r="K9" s="133">
        <v>7.7926255970953096E-2</v>
      </c>
      <c r="L9" s="133">
        <v>1.9786231749838994E-2</v>
      </c>
      <c r="M9" s="133">
        <v>4.0077160535148815E-3</v>
      </c>
      <c r="N9" s="133">
        <v>1.1896639136425857E-3</v>
      </c>
      <c r="O9" s="133">
        <v>0</v>
      </c>
      <c r="P9" s="133">
        <v>2.9578129510185071E-5</v>
      </c>
      <c r="Q9" s="133">
        <v>2.3426065758505547E-4</v>
      </c>
      <c r="R9" s="133">
        <v>1.6057007748522797E-2</v>
      </c>
      <c r="S9" s="133">
        <v>2.1717896075599461E-2</v>
      </c>
      <c r="T9" s="133">
        <v>5.2162254075907293E-2</v>
      </c>
      <c r="U9" s="133">
        <v>2.0368775901889156E-2</v>
      </c>
      <c r="V9" s="133">
        <v>2.2792207152101513E-3</v>
      </c>
      <c r="W9" s="133">
        <v>2.4509518699286016E-3</v>
      </c>
      <c r="DA9" s="157" t="s">
        <v>605</v>
      </c>
    </row>
    <row r="10" spans="1:105" ht="12" customHeight="1" x14ac:dyDescent="0.25">
      <c r="A10" s="132" t="s">
        <v>128</v>
      </c>
      <c r="B10" s="133"/>
      <c r="C10" s="133">
        <v>0</v>
      </c>
      <c r="D10" s="133">
        <v>0</v>
      </c>
      <c r="E10" s="133">
        <v>0</v>
      </c>
      <c r="F10" s="133">
        <v>0</v>
      </c>
      <c r="G10" s="133">
        <v>0</v>
      </c>
      <c r="H10" s="133">
        <v>0</v>
      </c>
      <c r="I10" s="133">
        <v>0.13725170483390922</v>
      </c>
      <c r="J10" s="133">
        <v>0.17202740087593174</v>
      </c>
      <c r="K10" s="133">
        <v>0</v>
      </c>
      <c r="L10" s="133">
        <v>2.4850658083966489E-5</v>
      </c>
      <c r="M10" s="133">
        <v>4.9347731661328288E-3</v>
      </c>
      <c r="N10" s="133">
        <v>1.7516319416390681E-2</v>
      </c>
      <c r="O10" s="133">
        <v>3.1911171603056492E-3</v>
      </c>
      <c r="P10" s="133">
        <v>7.3652672123334624E-3</v>
      </c>
      <c r="Q10" s="133">
        <v>6.6088215430198521E-2</v>
      </c>
      <c r="R10" s="133">
        <v>5.9874601328982697E-3</v>
      </c>
      <c r="S10" s="133">
        <v>0</v>
      </c>
      <c r="T10" s="133">
        <v>0</v>
      </c>
      <c r="U10" s="133">
        <v>0</v>
      </c>
      <c r="V10" s="133">
        <v>1.4702941947816604E-3</v>
      </c>
      <c r="W10" s="133">
        <v>3.1115842996481118E-2</v>
      </c>
      <c r="DA10" s="157" t="s">
        <v>606</v>
      </c>
    </row>
    <row r="11" spans="1:105" ht="12" customHeight="1" x14ac:dyDescent="0.25">
      <c r="A11" s="132" t="s">
        <v>25</v>
      </c>
      <c r="B11" s="133"/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607</v>
      </c>
    </row>
    <row r="12" spans="1:105" ht="12" customHeight="1" x14ac:dyDescent="0.25">
      <c r="A12" s="132" t="s">
        <v>169</v>
      </c>
      <c r="B12" s="133"/>
      <c r="C12" s="133">
        <v>0</v>
      </c>
      <c r="D12" s="133">
        <v>0</v>
      </c>
      <c r="E12" s="133">
        <v>0</v>
      </c>
      <c r="F12" s="133">
        <v>0</v>
      </c>
      <c r="G12" s="133">
        <v>0</v>
      </c>
      <c r="H12" s="133">
        <v>0</v>
      </c>
      <c r="I12" s="133">
        <v>0</v>
      </c>
      <c r="J12" s="133">
        <v>0</v>
      </c>
      <c r="K12" s="133">
        <v>0</v>
      </c>
      <c r="L12" s="133">
        <v>0</v>
      </c>
      <c r="M12" s="133">
        <v>0</v>
      </c>
      <c r="N12" s="133">
        <v>0</v>
      </c>
      <c r="O12" s="133">
        <v>0</v>
      </c>
      <c r="P12" s="133">
        <v>0</v>
      </c>
      <c r="Q12" s="133">
        <v>0</v>
      </c>
      <c r="R12" s="133">
        <v>0</v>
      </c>
      <c r="S12" s="133">
        <v>0</v>
      </c>
      <c r="T12" s="133">
        <v>0</v>
      </c>
      <c r="U12" s="133">
        <v>0</v>
      </c>
      <c r="V12" s="133">
        <v>0</v>
      </c>
      <c r="W12" s="133">
        <v>0</v>
      </c>
      <c r="DA12" s="157" t="s">
        <v>608</v>
      </c>
    </row>
    <row r="13" spans="1:105" ht="12" customHeight="1" x14ac:dyDescent="0.25">
      <c r="A13" s="132" t="s">
        <v>77</v>
      </c>
      <c r="B13" s="133"/>
      <c r="C13" s="133">
        <v>4.3051245687888956E-2</v>
      </c>
      <c r="D13" s="133">
        <v>5.4627406698156335E-2</v>
      </c>
      <c r="E13" s="133">
        <v>8.4676619931009528E-2</v>
      </c>
      <c r="F13" s="133">
        <v>0.10386226077395366</v>
      </c>
      <c r="G13" s="133">
        <v>0.11155159968200543</v>
      </c>
      <c r="H13" s="133">
        <v>4.096960726371246E-2</v>
      </c>
      <c r="I13" s="133">
        <v>0.10253282052933647</v>
      </c>
      <c r="J13" s="133">
        <v>7.307123071871531E-2</v>
      </c>
      <c r="K13" s="133">
        <v>0.17768745322099999</v>
      </c>
      <c r="L13" s="133">
        <v>0.2898958171669237</v>
      </c>
      <c r="M13" s="133">
        <v>0.27820541712660768</v>
      </c>
      <c r="N13" s="133">
        <v>0.29909110101637942</v>
      </c>
      <c r="O13" s="133">
        <v>7.1691971140013744E-2</v>
      </c>
      <c r="P13" s="133">
        <v>6.3890902240583289E-2</v>
      </c>
      <c r="Q13" s="133">
        <v>4.1457047776658769E-2</v>
      </c>
      <c r="R13" s="133">
        <v>7.0275394939978961E-2</v>
      </c>
      <c r="S13" s="133">
        <v>0.16275783385805301</v>
      </c>
      <c r="T13" s="133">
        <v>0.18100183257771055</v>
      </c>
      <c r="U13" s="133">
        <v>0.14724812989371408</v>
      </c>
      <c r="V13" s="133">
        <v>0.13592030644831535</v>
      </c>
      <c r="W13" s="133">
        <v>9.2529138065507402E-2</v>
      </c>
      <c r="DA13" s="157" t="s">
        <v>609</v>
      </c>
    </row>
    <row r="14" spans="1:105" ht="12" customHeight="1" x14ac:dyDescent="0.25">
      <c r="A14" s="60" t="s">
        <v>76</v>
      </c>
      <c r="B14" s="65"/>
      <c r="C14" s="65">
        <v>0.65161536101774886</v>
      </c>
      <c r="D14" s="65">
        <v>0.57753320695186672</v>
      </c>
      <c r="E14" s="65">
        <v>0.53442073808256196</v>
      </c>
      <c r="F14" s="65">
        <v>0.76670205795338986</v>
      </c>
      <c r="G14" s="65">
        <v>0.87176801230046042</v>
      </c>
      <c r="H14" s="65">
        <v>1.5294568607445302</v>
      </c>
      <c r="I14" s="65">
        <v>1.4691993089895576</v>
      </c>
      <c r="J14" s="65">
        <v>1.1813272539740949</v>
      </c>
      <c r="K14" s="65">
        <v>1.2943436859852238</v>
      </c>
      <c r="L14" s="65">
        <v>0.48977251127561117</v>
      </c>
      <c r="M14" s="65">
        <v>0</v>
      </c>
      <c r="N14" s="65">
        <v>0</v>
      </c>
      <c r="O14" s="65">
        <v>0</v>
      </c>
      <c r="P14" s="65">
        <v>0</v>
      </c>
      <c r="Q14" s="65">
        <v>6.1019460244614014E-2</v>
      </c>
      <c r="R14" s="65">
        <v>0.79971082709396923</v>
      </c>
      <c r="S14" s="65">
        <v>0.83273536004636917</v>
      </c>
      <c r="T14" s="65">
        <v>0.54494655417481452</v>
      </c>
      <c r="U14" s="65">
        <v>0.60657304780778987</v>
      </c>
      <c r="V14" s="65">
        <v>8.9357235395400511E-2</v>
      </c>
      <c r="W14" s="65">
        <v>0.47629256383494517</v>
      </c>
      <c r="DA14" s="109" t="s">
        <v>610</v>
      </c>
    </row>
    <row r="15" spans="1:105" ht="12" customHeight="1" x14ac:dyDescent="0.25">
      <c r="A15" s="134" t="s">
        <v>80</v>
      </c>
      <c r="B15" s="135"/>
      <c r="C15" s="135">
        <v>0</v>
      </c>
      <c r="D15" s="135">
        <v>0</v>
      </c>
      <c r="E15" s="135">
        <v>0</v>
      </c>
      <c r="F15" s="135">
        <v>0</v>
      </c>
      <c r="G15" s="135">
        <v>0</v>
      </c>
      <c r="H15" s="135">
        <v>0</v>
      </c>
      <c r="I15" s="135">
        <v>5.7064327007595326E-4</v>
      </c>
      <c r="J15" s="135">
        <v>8.1445990639316436E-3</v>
      </c>
      <c r="K15" s="135">
        <v>9.4249118921193847E-3</v>
      </c>
      <c r="L15" s="135">
        <v>1.4757453659290019E-2</v>
      </c>
      <c r="M15" s="135">
        <v>7.4590523603097177E-3</v>
      </c>
      <c r="N15" s="135">
        <v>4.8872957645494366E-3</v>
      </c>
      <c r="O15" s="135">
        <v>5.6316845852393211E-4</v>
      </c>
      <c r="P15" s="135">
        <v>3.1916237674246194E-5</v>
      </c>
      <c r="Q15" s="135">
        <v>2.8719224260907023E-4</v>
      </c>
      <c r="R15" s="135">
        <v>2.5615830712006618E-4</v>
      </c>
      <c r="S15" s="135">
        <v>3.1170882309059617E-4</v>
      </c>
      <c r="T15" s="135">
        <v>1.1635361024480461E-3</v>
      </c>
      <c r="U15" s="135">
        <v>2.9907940441366945E-3</v>
      </c>
      <c r="V15" s="135">
        <v>2.2479627369171337E-3</v>
      </c>
      <c r="W15" s="135">
        <v>1.1845697451938692E-3</v>
      </c>
      <c r="DA15" s="158" t="s">
        <v>611</v>
      </c>
    </row>
    <row r="16" spans="1:105" ht="12.95" customHeight="1" x14ac:dyDescent="0.25">
      <c r="A16" s="130" t="s">
        <v>74</v>
      </c>
      <c r="B16" s="131"/>
      <c r="C16" s="131">
        <f t="shared" ref="C16:Q16" si="4">SUM(C17:C18)</f>
        <v>1.0114399871191595</v>
      </c>
      <c r="D16" s="131">
        <f t="shared" si="4"/>
        <v>0.73064949298530102</v>
      </c>
      <c r="E16" s="131">
        <f t="shared" si="4"/>
        <v>0.88192391860972519</v>
      </c>
      <c r="F16" s="131">
        <f t="shared" si="4"/>
        <v>0.90691332165718663</v>
      </c>
      <c r="G16" s="131">
        <f t="shared" si="4"/>
        <v>0.83327788101728451</v>
      </c>
      <c r="H16" s="131">
        <f t="shared" si="4"/>
        <v>0.89757203666278174</v>
      </c>
      <c r="I16" s="131">
        <f t="shared" si="4"/>
        <v>1.176585377455369</v>
      </c>
      <c r="J16" s="131">
        <f t="shared" si="4"/>
        <v>1.1558585003265744</v>
      </c>
      <c r="K16" s="131">
        <f t="shared" si="4"/>
        <v>1.3980752024383472</v>
      </c>
      <c r="L16" s="131">
        <f t="shared" si="4"/>
        <v>1.5296032845616512</v>
      </c>
      <c r="M16" s="131">
        <f t="shared" si="4"/>
        <v>0.92416781682189875</v>
      </c>
      <c r="N16" s="131">
        <f t="shared" si="4"/>
        <v>1.100120123509027</v>
      </c>
      <c r="O16" s="131">
        <f t="shared" si="4"/>
        <v>0.14293134384844733</v>
      </c>
      <c r="P16" s="131">
        <f t="shared" si="4"/>
        <v>0.10900002975204488</v>
      </c>
      <c r="Q16" s="131">
        <f t="shared" si="4"/>
        <v>0.10963031591035585</v>
      </c>
      <c r="R16" s="131">
        <f t="shared" ref="R16:W16" si="5">SUM(R17:R18)</f>
        <v>0.40151691400402506</v>
      </c>
      <c r="S16" s="131">
        <f t="shared" si="5"/>
        <v>0.52177569742178886</v>
      </c>
      <c r="T16" s="131">
        <f t="shared" si="5"/>
        <v>0.63359079649673788</v>
      </c>
      <c r="U16" s="131">
        <f t="shared" si="5"/>
        <v>0.50432678902469397</v>
      </c>
      <c r="V16" s="131">
        <f t="shared" si="5"/>
        <v>0.47235558112272363</v>
      </c>
      <c r="W16" s="131">
        <f t="shared" si="5"/>
        <v>0.37001400028833303</v>
      </c>
      <c r="DA16" s="156" t="s">
        <v>612</v>
      </c>
    </row>
    <row r="17" spans="1:105" ht="12.95" customHeight="1" x14ac:dyDescent="0.25">
      <c r="A17" s="132" t="s">
        <v>73</v>
      </c>
      <c r="B17" s="133"/>
      <c r="C17" s="133">
        <v>0</v>
      </c>
      <c r="D17" s="133">
        <v>0</v>
      </c>
      <c r="E17" s="133">
        <v>0</v>
      </c>
      <c r="F17" s="133">
        <v>0</v>
      </c>
      <c r="G17" s="133">
        <v>0</v>
      </c>
      <c r="H17" s="133">
        <v>0</v>
      </c>
      <c r="I17" s="133">
        <v>0</v>
      </c>
      <c r="J17" s="133">
        <v>0</v>
      </c>
      <c r="K17" s="133">
        <v>0</v>
      </c>
      <c r="L17" s="133">
        <v>0</v>
      </c>
      <c r="M17" s="133">
        <v>0</v>
      </c>
      <c r="N17" s="133">
        <v>0</v>
      </c>
      <c r="O17" s="133">
        <v>0</v>
      </c>
      <c r="P17" s="133">
        <v>0</v>
      </c>
      <c r="Q17" s="133">
        <v>0</v>
      </c>
      <c r="R17" s="133">
        <v>0</v>
      </c>
      <c r="S17" s="133">
        <v>0</v>
      </c>
      <c r="T17" s="133">
        <v>0</v>
      </c>
      <c r="U17" s="133">
        <v>0</v>
      </c>
      <c r="V17" s="133">
        <v>0</v>
      </c>
      <c r="W17" s="133">
        <v>0</v>
      </c>
      <c r="DA17" s="157" t="s">
        <v>613</v>
      </c>
    </row>
    <row r="18" spans="1:105" ht="12" customHeight="1" x14ac:dyDescent="0.25">
      <c r="A18" s="132" t="s">
        <v>72</v>
      </c>
      <c r="B18" s="133"/>
      <c r="C18" s="133">
        <v>1.0114399871191595</v>
      </c>
      <c r="D18" s="133">
        <v>0.73064949298530102</v>
      </c>
      <c r="E18" s="133">
        <v>0.88192391860972519</v>
      </c>
      <c r="F18" s="133">
        <v>0.90691332165718663</v>
      </c>
      <c r="G18" s="133">
        <v>0.83327788101728451</v>
      </c>
      <c r="H18" s="133">
        <v>0.89757203666278174</v>
      </c>
      <c r="I18" s="133">
        <v>1.176585377455369</v>
      </c>
      <c r="J18" s="133">
        <v>1.1558585003265744</v>
      </c>
      <c r="K18" s="133">
        <v>1.3980752024383472</v>
      </c>
      <c r="L18" s="133">
        <v>1.5296032845616512</v>
      </c>
      <c r="M18" s="133">
        <v>0.92416781682189875</v>
      </c>
      <c r="N18" s="133">
        <v>1.100120123509027</v>
      </c>
      <c r="O18" s="133">
        <v>0.14293134384844733</v>
      </c>
      <c r="P18" s="133">
        <v>0.10900002975204488</v>
      </c>
      <c r="Q18" s="133">
        <v>0.10963031591035585</v>
      </c>
      <c r="R18" s="133">
        <v>0.40151691400402506</v>
      </c>
      <c r="S18" s="133">
        <v>0.52177569742178886</v>
      </c>
      <c r="T18" s="133">
        <v>0.63359079649673788</v>
      </c>
      <c r="U18" s="133">
        <v>0.50432678902469397</v>
      </c>
      <c r="V18" s="133">
        <v>0.47235558112272363</v>
      </c>
      <c r="W18" s="133">
        <v>0.37001400028833303</v>
      </c>
      <c r="DA18" s="157" t="s">
        <v>614</v>
      </c>
    </row>
    <row r="19" spans="1:105" ht="12.95" customHeight="1" x14ac:dyDescent="0.25">
      <c r="A19" s="130" t="s">
        <v>35</v>
      </c>
      <c r="B19" s="131"/>
      <c r="C19" s="131">
        <f t="shared" ref="C19:Q19" si="6">SUM(C20:C27)</f>
        <v>0.55146151149206879</v>
      </c>
      <c r="D19" s="131">
        <f t="shared" si="6"/>
        <v>0.35247580276170765</v>
      </c>
      <c r="E19" s="131">
        <f t="shared" si="6"/>
        <v>0.42394185738128909</v>
      </c>
      <c r="F19" s="131">
        <f t="shared" si="6"/>
        <v>0.5377551888228147</v>
      </c>
      <c r="G19" s="131">
        <f t="shared" si="6"/>
        <v>0.57419348925300828</v>
      </c>
      <c r="H19" s="131">
        <f t="shared" si="6"/>
        <v>0.83289451688483562</v>
      </c>
      <c r="I19" s="131">
        <f t="shared" si="6"/>
        <v>0.85393566815572153</v>
      </c>
      <c r="J19" s="131">
        <f t="shared" si="6"/>
        <v>0.77536281509574478</v>
      </c>
      <c r="K19" s="131">
        <f t="shared" si="6"/>
        <v>0.72434433365837514</v>
      </c>
      <c r="L19" s="131">
        <f t="shared" si="6"/>
        <v>0.77500630915822222</v>
      </c>
      <c r="M19" s="131">
        <f t="shared" si="6"/>
        <v>0.54215229175704693</v>
      </c>
      <c r="N19" s="131">
        <f t="shared" si="6"/>
        <v>0.64928734922616738</v>
      </c>
      <c r="O19" s="131">
        <f t="shared" si="6"/>
        <v>0.11075483065875158</v>
      </c>
      <c r="P19" s="131">
        <f t="shared" si="6"/>
        <v>0.10263689658125008</v>
      </c>
      <c r="Q19" s="131">
        <f t="shared" si="6"/>
        <v>9.7423355662280386E-2</v>
      </c>
      <c r="R19" s="131">
        <f t="shared" ref="R19:W19" si="7">SUM(R20:R27)</f>
        <v>0.31296683944919951</v>
      </c>
      <c r="S19" s="131">
        <f t="shared" si="7"/>
        <v>0.42220825970030573</v>
      </c>
      <c r="T19" s="131">
        <f t="shared" si="7"/>
        <v>0.43159490262776357</v>
      </c>
      <c r="U19" s="131">
        <f t="shared" si="7"/>
        <v>0.42962611357712233</v>
      </c>
      <c r="V19" s="131">
        <f t="shared" si="7"/>
        <v>0.34009792646625436</v>
      </c>
      <c r="W19" s="131">
        <f t="shared" si="7"/>
        <v>0.3442594309634503</v>
      </c>
      <c r="DA19" s="156" t="s">
        <v>615</v>
      </c>
    </row>
    <row r="20" spans="1:105" ht="12" customHeight="1" x14ac:dyDescent="0.25">
      <c r="A20" s="132" t="s">
        <v>29</v>
      </c>
      <c r="B20" s="133"/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616</v>
      </c>
    </row>
    <row r="21" spans="1:105" s="2" customFormat="1" ht="12" customHeight="1" x14ac:dyDescent="0.25">
      <c r="A21" s="132" t="s">
        <v>52</v>
      </c>
      <c r="B21" s="133"/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0.47082859849901454</v>
      </c>
      <c r="I21" s="133">
        <v>0.51496560159634119</v>
      </c>
      <c r="J21" s="133">
        <v>0.45012653629514054</v>
      </c>
      <c r="K21" s="133">
        <v>7.5520283452715914E-2</v>
      </c>
      <c r="L21" s="133">
        <v>6.0583994655057816E-2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5.0078408733103194E-3</v>
      </c>
      <c r="S21" s="133">
        <v>4.4194738281521026E-2</v>
      </c>
      <c r="T21" s="133">
        <v>7.5633131183167404E-2</v>
      </c>
      <c r="U21" s="133">
        <v>0.11188681979848772</v>
      </c>
      <c r="V21" s="133">
        <v>4.4385296820547877E-2</v>
      </c>
      <c r="W21" s="133">
        <v>0.1120448123175434</v>
      </c>
      <c r="DA21" s="157" t="s">
        <v>617</v>
      </c>
    </row>
    <row r="22" spans="1:105" ht="12" customHeight="1" x14ac:dyDescent="0.25">
      <c r="A22" s="132" t="s">
        <v>168</v>
      </c>
      <c r="B22" s="133"/>
      <c r="C22" s="133">
        <v>2.4348557165265891E-2</v>
      </c>
      <c r="D22" s="133">
        <v>6.2889837120472161E-3</v>
      </c>
      <c r="E22" s="133">
        <v>1.5307086001298311E-2</v>
      </c>
      <c r="F22" s="133">
        <v>2.1963819256393617E-2</v>
      </c>
      <c r="G22" s="133">
        <v>2.1782067829127241E-2</v>
      </c>
      <c r="H22" s="133">
        <v>1.1006720587166919E-2</v>
      </c>
      <c r="I22" s="133">
        <v>1.9729686862219559E-2</v>
      </c>
      <c r="J22" s="133">
        <v>3.3897951323897772E-2</v>
      </c>
      <c r="K22" s="133">
        <v>3.6579097918601339E-2</v>
      </c>
      <c r="L22" s="133">
        <v>4.78478890865075E-2</v>
      </c>
      <c r="M22" s="133">
        <v>3.1395811228222922E-2</v>
      </c>
      <c r="N22" s="133">
        <v>3.3215995663321368E-2</v>
      </c>
      <c r="O22" s="133">
        <v>5.5063029078167318E-3</v>
      </c>
      <c r="P22" s="133">
        <v>3.8205662040332318E-3</v>
      </c>
      <c r="Q22" s="133">
        <v>3.4506112930439889E-3</v>
      </c>
      <c r="R22" s="133">
        <v>1.3205899186138226E-2</v>
      </c>
      <c r="S22" s="133">
        <v>1.4066276048662653E-2</v>
      </c>
      <c r="T22" s="133">
        <v>1.9542566123163893E-2</v>
      </c>
      <c r="U22" s="133">
        <v>1.7721748406481289E-2</v>
      </c>
      <c r="V22" s="133">
        <v>7.9323017624841549E-3</v>
      </c>
      <c r="W22" s="133">
        <v>1.0518643975846349E-2</v>
      </c>
      <c r="DA22" s="157" t="s">
        <v>618</v>
      </c>
    </row>
    <row r="23" spans="1:105" ht="12" customHeight="1" x14ac:dyDescent="0.25">
      <c r="A23" s="132" t="s">
        <v>153</v>
      </c>
      <c r="B23" s="133"/>
      <c r="C23" s="133">
        <v>0</v>
      </c>
      <c r="D23" s="133">
        <v>0</v>
      </c>
      <c r="E23" s="133">
        <v>0</v>
      </c>
      <c r="F23" s="133">
        <v>0</v>
      </c>
      <c r="G23" s="133">
        <v>0</v>
      </c>
      <c r="H23" s="133">
        <v>0</v>
      </c>
      <c r="I23" s="133">
        <v>0</v>
      </c>
      <c r="J23" s="133">
        <v>0</v>
      </c>
      <c r="K23" s="133">
        <v>0</v>
      </c>
      <c r="L23" s="133">
        <v>0</v>
      </c>
      <c r="M23" s="133">
        <v>0</v>
      </c>
      <c r="N23" s="133">
        <v>0</v>
      </c>
      <c r="O23" s="133">
        <v>0</v>
      </c>
      <c r="P23" s="133">
        <v>0</v>
      </c>
      <c r="Q23" s="133">
        <v>0</v>
      </c>
      <c r="R23" s="133">
        <v>0</v>
      </c>
      <c r="S23" s="133">
        <v>0</v>
      </c>
      <c r="T23" s="133">
        <v>0</v>
      </c>
      <c r="U23" s="133">
        <v>0</v>
      </c>
      <c r="V23" s="133">
        <v>0</v>
      </c>
      <c r="W23" s="133">
        <v>0</v>
      </c>
      <c r="DA23" s="157" t="s">
        <v>619</v>
      </c>
    </row>
    <row r="24" spans="1:105" ht="12" customHeight="1" x14ac:dyDescent="0.25">
      <c r="A24" s="132" t="s">
        <v>128</v>
      </c>
      <c r="B24" s="133"/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620</v>
      </c>
    </row>
    <row r="25" spans="1:105" ht="12" customHeight="1" x14ac:dyDescent="0.25">
      <c r="A25" s="132" t="s">
        <v>169</v>
      </c>
      <c r="B25" s="133"/>
      <c r="C25" s="133">
        <v>0</v>
      </c>
      <c r="D25" s="133">
        <v>0</v>
      </c>
      <c r="E25" s="133">
        <v>0</v>
      </c>
      <c r="F25" s="133">
        <v>0</v>
      </c>
      <c r="G25" s="133">
        <v>0</v>
      </c>
      <c r="H25" s="133">
        <v>0</v>
      </c>
      <c r="I25" s="133">
        <v>0</v>
      </c>
      <c r="J25" s="133">
        <v>0</v>
      </c>
      <c r="K25" s="133">
        <v>0</v>
      </c>
      <c r="L25" s="133">
        <v>0</v>
      </c>
      <c r="M25" s="133">
        <v>0</v>
      </c>
      <c r="N25" s="133">
        <v>0</v>
      </c>
      <c r="O25" s="133">
        <v>0</v>
      </c>
      <c r="P25" s="133">
        <v>0</v>
      </c>
      <c r="Q25" s="133">
        <v>0</v>
      </c>
      <c r="R25" s="133">
        <v>0</v>
      </c>
      <c r="S25" s="133">
        <v>0</v>
      </c>
      <c r="T25" s="133">
        <v>0</v>
      </c>
      <c r="U25" s="133">
        <v>0</v>
      </c>
      <c r="V25" s="133">
        <v>0</v>
      </c>
      <c r="W25" s="133">
        <v>0</v>
      </c>
      <c r="DA25" s="157" t="s">
        <v>621</v>
      </c>
    </row>
    <row r="26" spans="1:105" ht="12" customHeight="1" x14ac:dyDescent="0.25">
      <c r="A26" s="132" t="s">
        <v>24</v>
      </c>
      <c r="B26" s="65"/>
      <c r="C26" s="65">
        <v>0.31845877005664691</v>
      </c>
      <c r="D26" s="65">
        <v>0.10264862549527373</v>
      </c>
      <c r="E26" s="65">
        <v>0.14873231704458648</v>
      </c>
      <c r="F26" s="65">
        <v>0.17992987084567641</v>
      </c>
      <c r="G26" s="65">
        <v>0.22454767117738261</v>
      </c>
      <c r="H26" s="65">
        <v>0</v>
      </c>
      <c r="I26" s="65">
        <v>0</v>
      </c>
      <c r="J26" s="65">
        <v>4.5941240624653356E-4</v>
      </c>
      <c r="K26" s="65">
        <v>9.4987125243834215E-3</v>
      </c>
      <c r="L26" s="65">
        <v>9.8282142256932992E-3</v>
      </c>
      <c r="M26" s="65">
        <v>7.8306928072838233E-3</v>
      </c>
      <c r="N26" s="65">
        <v>0.23529854480396098</v>
      </c>
      <c r="O26" s="65">
        <v>4.7358301184149271E-2</v>
      </c>
      <c r="P26" s="65">
        <v>9.0656062988870505E-4</v>
      </c>
      <c r="Q26" s="65">
        <v>8.5493265447687534E-4</v>
      </c>
      <c r="R26" s="65">
        <v>2.8332946225226602E-3</v>
      </c>
      <c r="S26" s="65">
        <v>3.4798177814731532E-3</v>
      </c>
      <c r="T26" s="65">
        <v>3.2354227428582102E-3</v>
      </c>
      <c r="U26" s="65">
        <v>2.5749314451344709E-3</v>
      </c>
      <c r="V26" s="65">
        <v>2.6763836933953664E-3</v>
      </c>
      <c r="W26" s="65">
        <v>2.0380046496160592E-3</v>
      </c>
      <c r="DA26" s="109" t="s">
        <v>622</v>
      </c>
    </row>
    <row r="27" spans="1:105" ht="12" customHeight="1" x14ac:dyDescent="0.25">
      <c r="A27" s="145" t="s">
        <v>26</v>
      </c>
      <c r="B27" s="148"/>
      <c r="C27" s="148">
        <v>0.20865418427015595</v>
      </c>
      <c r="D27" s="148">
        <v>0.24353819355438669</v>
      </c>
      <c r="E27" s="148">
        <v>0.25990245433540426</v>
      </c>
      <c r="F27" s="148">
        <v>0.33586149872074467</v>
      </c>
      <c r="G27" s="148">
        <v>0.3278637502464985</v>
      </c>
      <c r="H27" s="148">
        <v>0.35105919779865419</v>
      </c>
      <c r="I27" s="148">
        <v>0.31924037969716085</v>
      </c>
      <c r="J27" s="148">
        <v>0.29087891507045999</v>
      </c>
      <c r="K27" s="148">
        <v>0.6027462397626745</v>
      </c>
      <c r="L27" s="148">
        <v>0.65674621119096366</v>
      </c>
      <c r="M27" s="148">
        <v>0.50292578772154017</v>
      </c>
      <c r="N27" s="148">
        <v>0.38077280875888503</v>
      </c>
      <c r="O27" s="148">
        <v>5.7890226566785587E-2</v>
      </c>
      <c r="P27" s="148">
        <v>9.7909769747328151E-2</v>
      </c>
      <c r="Q27" s="148">
        <v>9.3117811714759524E-2</v>
      </c>
      <c r="R27" s="148">
        <v>0.29191980476722829</v>
      </c>
      <c r="S27" s="148">
        <v>0.36046742758864891</v>
      </c>
      <c r="T27" s="148">
        <v>0.33318378257857406</v>
      </c>
      <c r="U27" s="148">
        <v>0.29744261392701887</v>
      </c>
      <c r="V27" s="148">
        <v>0.28510394418982699</v>
      </c>
      <c r="W27" s="148">
        <v>0.21965797002044449</v>
      </c>
      <c r="DA27" s="161" t="s">
        <v>623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/>
      <c r="C29" s="131">
        <f t="shared" ref="C29:Q29" si="8">SUM(C30:C33)</f>
        <v>0.50651083335194902</v>
      </c>
      <c r="D29" s="131">
        <f t="shared" si="8"/>
        <v>0.4081012159464476</v>
      </c>
      <c r="E29" s="131">
        <f t="shared" si="8"/>
        <v>0.46391040587000509</v>
      </c>
      <c r="F29" s="131">
        <f t="shared" si="8"/>
        <v>0.60986104128413576</v>
      </c>
      <c r="G29" s="131">
        <f t="shared" si="8"/>
        <v>0.65141032004268018</v>
      </c>
      <c r="H29" s="131">
        <f t="shared" si="8"/>
        <v>1.0193433707723902</v>
      </c>
      <c r="I29" s="131">
        <f t="shared" si="8"/>
        <v>0.88697257911223626</v>
      </c>
      <c r="J29" s="131">
        <f t="shared" si="8"/>
        <v>0.78563652340953705</v>
      </c>
      <c r="K29" s="131">
        <f t="shared" si="8"/>
        <v>0.96950729389377566</v>
      </c>
      <c r="L29" s="131">
        <f t="shared" si="8"/>
        <v>1.0436057363155076</v>
      </c>
      <c r="M29" s="131">
        <f t="shared" si="8"/>
        <v>0.80362029070641805</v>
      </c>
      <c r="N29" s="131">
        <f t="shared" si="8"/>
        <v>0.80592293908434687</v>
      </c>
      <c r="O29" s="131">
        <f t="shared" si="8"/>
        <v>0.13129494150512916</v>
      </c>
      <c r="P29" s="131">
        <f t="shared" si="8"/>
        <v>0.12216895282375403</v>
      </c>
      <c r="Q29" s="131">
        <f t="shared" si="8"/>
        <v>0.12698488532178615</v>
      </c>
      <c r="R29" s="131">
        <f t="shared" ref="R29:W29" si="9">SUM(R30:R33)</f>
        <v>0.41330176237895344</v>
      </c>
      <c r="S29" s="131">
        <f t="shared" si="9"/>
        <v>0.66091652144904889</v>
      </c>
      <c r="T29" s="131">
        <f t="shared" si="9"/>
        <v>0.6104744029574255</v>
      </c>
      <c r="U29" s="131">
        <f t="shared" si="9"/>
        <v>0.53048479181301234</v>
      </c>
      <c r="V29" s="131">
        <f t="shared" si="9"/>
        <v>0.44409865918903868</v>
      </c>
      <c r="W29" s="131">
        <f t="shared" si="9"/>
        <v>0.43476683495105628</v>
      </c>
      <c r="DA29" s="156" t="s">
        <v>624</v>
      </c>
    </row>
    <row r="30" spans="1:105" s="2" customFormat="1" ht="12" customHeight="1" x14ac:dyDescent="0.25">
      <c r="A30" s="132" t="s">
        <v>52</v>
      </c>
      <c r="B30" s="133"/>
      <c r="C30" s="133">
        <v>0</v>
      </c>
      <c r="D30" s="133">
        <v>0</v>
      </c>
      <c r="E30" s="133">
        <v>0</v>
      </c>
      <c r="F30" s="133">
        <v>0</v>
      </c>
      <c r="G30" s="133">
        <v>0</v>
      </c>
      <c r="H30" s="133">
        <v>0.92035011541086875</v>
      </c>
      <c r="I30" s="133">
        <v>0.34798825594165572</v>
      </c>
      <c r="J30" s="133">
        <v>0.16913319468810528</v>
      </c>
      <c r="K30" s="133">
        <v>0</v>
      </c>
      <c r="L30" s="133">
        <v>3.7977952441378589E-2</v>
      </c>
      <c r="M30" s="133">
        <v>0.23558316971186419</v>
      </c>
      <c r="N30" s="133">
        <v>0.15623753269244306</v>
      </c>
      <c r="O30" s="133">
        <v>1.4876989231083299E-2</v>
      </c>
      <c r="P30" s="133">
        <v>1.1356956067503161E-2</v>
      </c>
      <c r="Q30" s="133">
        <v>5.035826277298823E-2</v>
      </c>
      <c r="R30" s="133">
        <v>0.16994548978531615</v>
      </c>
      <c r="S30" s="133">
        <v>0.43407179546111713</v>
      </c>
      <c r="T30" s="133">
        <v>0.25609188121121468</v>
      </c>
      <c r="U30" s="133">
        <v>0.10552455546482392</v>
      </c>
      <c r="V30" s="133">
        <v>9.4489102306011652E-2</v>
      </c>
      <c r="W30" s="133">
        <v>2.7820469913964713E-2</v>
      </c>
      <c r="DA30" s="157" t="s">
        <v>625</v>
      </c>
    </row>
    <row r="31" spans="1:105" ht="12" customHeight="1" x14ac:dyDescent="0.25">
      <c r="A31" s="132" t="s">
        <v>153</v>
      </c>
      <c r="B31" s="133"/>
      <c r="C31" s="133">
        <v>0</v>
      </c>
      <c r="D31" s="133">
        <v>0</v>
      </c>
      <c r="E31" s="133">
        <v>0</v>
      </c>
      <c r="F31" s="133">
        <v>0</v>
      </c>
      <c r="G31" s="133">
        <v>0</v>
      </c>
      <c r="H31" s="133">
        <v>0</v>
      </c>
      <c r="I31" s="133">
        <v>0</v>
      </c>
      <c r="J31" s="133">
        <v>0</v>
      </c>
      <c r="K31" s="133">
        <v>0</v>
      </c>
      <c r="L31" s="133">
        <v>0</v>
      </c>
      <c r="M31" s="133">
        <v>0</v>
      </c>
      <c r="N31" s="133">
        <v>0</v>
      </c>
      <c r="O31" s="133">
        <v>0</v>
      </c>
      <c r="P31" s="133">
        <v>0</v>
      </c>
      <c r="Q31" s="133">
        <v>0</v>
      </c>
      <c r="R31" s="133">
        <v>0</v>
      </c>
      <c r="S31" s="133">
        <v>0</v>
      </c>
      <c r="T31" s="133">
        <v>0</v>
      </c>
      <c r="U31" s="133">
        <v>0</v>
      </c>
      <c r="V31" s="133">
        <v>0</v>
      </c>
      <c r="W31" s="133">
        <v>0</v>
      </c>
      <c r="DA31" s="157" t="s">
        <v>626</v>
      </c>
    </row>
    <row r="32" spans="1:105" ht="12" customHeight="1" x14ac:dyDescent="0.25">
      <c r="A32" s="132" t="s">
        <v>128</v>
      </c>
      <c r="B32" s="133"/>
      <c r="C32" s="133">
        <v>6.3391615335988971E-2</v>
      </c>
      <c r="D32" s="133">
        <v>8.9885809114212525E-2</v>
      </c>
      <c r="E32" s="133">
        <v>7.883511655810177E-2</v>
      </c>
      <c r="F32" s="133">
        <v>0.11807486699364766</v>
      </c>
      <c r="G32" s="133">
        <v>0.157573815221702</v>
      </c>
      <c r="H32" s="133">
        <v>9.8993255361521454E-2</v>
      </c>
      <c r="I32" s="133">
        <v>0.26546763153379271</v>
      </c>
      <c r="J32" s="133">
        <v>0.12623607962175468</v>
      </c>
      <c r="K32" s="133">
        <v>0.11287840521351732</v>
      </c>
      <c r="L32" s="133">
        <v>0.10623410050428905</v>
      </c>
      <c r="M32" s="133">
        <v>0.10570535257961344</v>
      </c>
      <c r="N32" s="133">
        <v>0.11205835456479558</v>
      </c>
      <c r="O32" s="133">
        <v>2.3212817377785307E-2</v>
      </c>
      <c r="P32" s="133">
        <v>2.4653223956104659E-2</v>
      </c>
      <c r="Q32" s="133">
        <v>2.2215375703297357E-2</v>
      </c>
      <c r="R32" s="133">
        <v>7.1023385870974967E-2</v>
      </c>
      <c r="S32" s="133">
        <v>0.11508962809405417</v>
      </c>
      <c r="T32" s="133">
        <v>0.12712551921275833</v>
      </c>
      <c r="U32" s="133">
        <v>0.15012800450500835</v>
      </c>
      <c r="V32" s="133">
        <v>9.9990716244020172E-2</v>
      </c>
      <c r="W32" s="133">
        <v>4.6326554767980428E-2</v>
      </c>
      <c r="DA32" s="157" t="s">
        <v>627</v>
      </c>
    </row>
    <row r="33" spans="1:105" ht="12" customHeight="1" x14ac:dyDescent="0.25">
      <c r="A33" s="62" t="s">
        <v>24</v>
      </c>
      <c r="B33" s="68"/>
      <c r="C33" s="68">
        <v>0.4431192180159601</v>
      </c>
      <c r="D33" s="68">
        <v>0.31821540683223509</v>
      </c>
      <c r="E33" s="68">
        <v>0.38507528931190332</v>
      </c>
      <c r="F33" s="68">
        <v>0.4917861742904881</v>
      </c>
      <c r="G33" s="68">
        <v>0.49383650482097824</v>
      </c>
      <c r="H33" s="68">
        <v>0</v>
      </c>
      <c r="I33" s="68">
        <v>0.27351669163678777</v>
      </c>
      <c r="J33" s="68">
        <v>0.49026724909967706</v>
      </c>
      <c r="K33" s="68">
        <v>0.85662888868025833</v>
      </c>
      <c r="L33" s="68">
        <v>0.89939368336983982</v>
      </c>
      <c r="M33" s="68">
        <v>0.46233176841494034</v>
      </c>
      <c r="N33" s="68">
        <v>0.53762705182710824</v>
      </c>
      <c r="O33" s="68">
        <v>9.3205134896260547E-2</v>
      </c>
      <c r="P33" s="68">
        <v>8.6158772800146222E-2</v>
      </c>
      <c r="Q33" s="68">
        <v>5.4411246845500555E-2</v>
      </c>
      <c r="R33" s="68">
        <v>0.17233288672266237</v>
      </c>
      <c r="S33" s="68">
        <v>0.11175509789387762</v>
      </c>
      <c r="T33" s="68">
        <v>0.22725700253345246</v>
      </c>
      <c r="U33" s="68">
        <v>0.27483223184318006</v>
      </c>
      <c r="V33" s="68">
        <v>0.24961884063900686</v>
      </c>
      <c r="W33" s="68">
        <v>0.36061981026911116</v>
      </c>
      <c r="DA33" s="111" t="s">
        <v>628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629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82</v>
      </c>
      <c r="B3" s="126"/>
      <c r="C3" s="126">
        <f t="shared" ref="C3:Q3" si="0">SUM(C4,C16,C19,C29)</f>
        <v>3.6909836992038576</v>
      </c>
      <c r="D3" s="126">
        <f t="shared" si="0"/>
        <v>2.8808490554569648</v>
      </c>
      <c r="E3" s="126">
        <f t="shared" si="0"/>
        <v>3.4634562628399008</v>
      </c>
      <c r="F3" s="126">
        <f t="shared" si="0"/>
        <v>4.0020615320082182</v>
      </c>
      <c r="G3" s="126">
        <f t="shared" si="0"/>
        <v>4.0158880182570176</v>
      </c>
      <c r="H3" s="126">
        <f t="shared" si="0"/>
        <v>4.9003307631591397</v>
      </c>
      <c r="I3" s="126">
        <f t="shared" si="0"/>
        <v>5.9399029977277937</v>
      </c>
      <c r="J3" s="126">
        <f t="shared" si="0"/>
        <v>6.1226777582690257</v>
      </c>
      <c r="K3" s="126">
        <f t="shared" si="0"/>
        <v>7.6312348217856609</v>
      </c>
      <c r="L3" s="126">
        <f t="shared" si="0"/>
        <v>8.4218865171983222</v>
      </c>
      <c r="M3" s="126">
        <f t="shared" si="0"/>
        <v>5.4075508077989971</v>
      </c>
      <c r="N3" s="126">
        <f t="shared" si="0"/>
        <v>6.1355892699261485</v>
      </c>
      <c r="O3" s="126">
        <f t="shared" si="0"/>
        <v>0.96714942996406394</v>
      </c>
      <c r="P3" s="126">
        <f t="shared" si="0"/>
        <v>0.82266635374278863</v>
      </c>
      <c r="Q3" s="126">
        <f t="shared" si="0"/>
        <v>0.84131187200683921</v>
      </c>
      <c r="R3" s="126">
        <f t="shared" ref="R3:W3" si="1">SUM(R4,R16,R19,R29)</f>
        <v>3.0734092962948205</v>
      </c>
      <c r="S3" s="126">
        <f t="shared" si="1"/>
        <v>4.2168348092079846</v>
      </c>
      <c r="T3" s="126">
        <f t="shared" si="1"/>
        <v>4.6396413194636077</v>
      </c>
      <c r="U3" s="126">
        <f t="shared" si="1"/>
        <v>4.1411051207301819</v>
      </c>
      <c r="V3" s="126">
        <f t="shared" si="1"/>
        <v>3.4145480453312178</v>
      </c>
      <c r="W3" s="126">
        <f t="shared" si="1"/>
        <v>3.1123208290197804</v>
      </c>
      <c r="DA3" s="155" t="s">
        <v>630</v>
      </c>
    </row>
    <row r="4" spans="1:105" ht="12.95" customHeight="1" x14ac:dyDescent="0.25">
      <c r="A4" s="130" t="s">
        <v>32</v>
      </c>
      <c r="B4" s="131"/>
      <c r="C4" s="131">
        <f t="shared" ref="C4:Q4" si="2">SUM(C5:C15)</f>
        <v>0.46033490566452095</v>
      </c>
      <c r="D4" s="131">
        <f t="shared" si="2"/>
        <v>0.44127746574032584</v>
      </c>
      <c r="E4" s="131">
        <f t="shared" si="2"/>
        <v>0.47538270008280009</v>
      </c>
      <c r="F4" s="131">
        <f t="shared" si="2"/>
        <v>0.66722419500222707</v>
      </c>
      <c r="G4" s="131">
        <f t="shared" si="2"/>
        <v>0.76402279390971328</v>
      </c>
      <c r="H4" s="131">
        <f t="shared" si="2"/>
        <v>1.0487910870686239</v>
      </c>
      <c r="I4" s="131">
        <f t="shared" si="2"/>
        <v>1.2246039871890377</v>
      </c>
      <c r="J4" s="131">
        <f t="shared" si="2"/>
        <v>1.4446990600413552</v>
      </c>
      <c r="K4" s="131">
        <f t="shared" si="2"/>
        <v>1.8333939107868493</v>
      </c>
      <c r="L4" s="131">
        <f t="shared" si="2"/>
        <v>1.9617902994304683</v>
      </c>
      <c r="M4" s="131">
        <f t="shared" si="2"/>
        <v>1.2232328427809733</v>
      </c>
      <c r="N4" s="131">
        <f t="shared" si="2"/>
        <v>1.1814218243906858</v>
      </c>
      <c r="O4" s="131">
        <f t="shared" si="2"/>
        <v>0.25906260118737523</v>
      </c>
      <c r="P4" s="131">
        <f t="shared" si="2"/>
        <v>0.2147331638154357</v>
      </c>
      <c r="Q4" s="131">
        <f t="shared" si="2"/>
        <v>0.22188513039940372</v>
      </c>
      <c r="R4" s="131">
        <f t="shared" ref="R4:W4" si="3">SUM(R5:R15)</f>
        <v>0.84627149898891085</v>
      </c>
      <c r="S4" s="131">
        <f t="shared" si="3"/>
        <v>1.2195556280048401</v>
      </c>
      <c r="T4" s="131">
        <f t="shared" si="3"/>
        <v>1.1387138181135363</v>
      </c>
      <c r="U4" s="131">
        <f t="shared" si="3"/>
        <v>1.1958758845462765</v>
      </c>
      <c r="V4" s="131">
        <f t="shared" si="3"/>
        <v>0.70685609546894312</v>
      </c>
      <c r="W4" s="131">
        <f t="shared" si="3"/>
        <v>0.80501695827939534</v>
      </c>
      <c r="DA4" s="156" t="s">
        <v>631</v>
      </c>
    </row>
    <row r="5" spans="1:105" ht="12" customHeight="1" x14ac:dyDescent="0.25">
      <c r="A5" s="132" t="s">
        <v>29</v>
      </c>
      <c r="B5" s="133"/>
      <c r="C5" s="133">
        <v>0</v>
      </c>
      <c r="D5" s="133">
        <v>0</v>
      </c>
      <c r="E5" s="133">
        <v>0</v>
      </c>
      <c r="F5" s="133">
        <v>0</v>
      </c>
      <c r="G5" s="133">
        <v>0</v>
      </c>
      <c r="H5" s="133">
        <v>0</v>
      </c>
      <c r="I5" s="133">
        <v>0</v>
      </c>
      <c r="J5" s="133">
        <v>0</v>
      </c>
      <c r="K5" s="133">
        <v>0</v>
      </c>
      <c r="L5" s="133">
        <v>0</v>
      </c>
      <c r="M5" s="133">
        <v>0</v>
      </c>
      <c r="N5" s="133">
        <v>0</v>
      </c>
      <c r="O5" s="133">
        <v>0</v>
      </c>
      <c r="P5" s="133">
        <v>0</v>
      </c>
      <c r="Q5" s="133">
        <v>0</v>
      </c>
      <c r="R5" s="133">
        <v>0</v>
      </c>
      <c r="S5" s="133">
        <v>0</v>
      </c>
      <c r="T5" s="133">
        <v>0</v>
      </c>
      <c r="U5" s="133">
        <v>0</v>
      </c>
      <c r="V5" s="133">
        <v>0</v>
      </c>
      <c r="W5" s="133">
        <v>0</v>
      </c>
      <c r="DA5" s="157" t="s">
        <v>632</v>
      </c>
    </row>
    <row r="6" spans="1:105" ht="12" customHeight="1" x14ac:dyDescent="0.25">
      <c r="A6" s="132" t="s">
        <v>52</v>
      </c>
      <c r="B6" s="133"/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633</v>
      </c>
    </row>
    <row r="7" spans="1:105" ht="12" customHeight="1" x14ac:dyDescent="0.25">
      <c r="A7" s="132" t="s">
        <v>168</v>
      </c>
      <c r="B7" s="133"/>
      <c r="C7" s="133">
        <v>0</v>
      </c>
      <c r="D7" s="133">
        <v>0</v>
      </c>
      <c r="E7" s="133">
        <v>0</v>
      </c>
      <c r="F7" s="133">
        <v>0</v>
      </c>
      <c r="G7" s="133">
        <v>0</v>
      </c>
      <c r="H7" s="133">
        <v>0</v>
      </c>
      <c r="I7" s="133">
        <v>0</v>
      </c>
      <c r="J7" s="133">
        <v>0.42713073847564004</v>
      </c>
      <c r="K7" s="133">
        <v>0.48565616439852138</v>
      </c>
      <c r="L7" s="133">
        <v>0.8540324496523124</v>
      </c>
      <c r="M7" s="133">
        <v>0.44016667176872937</v>
      </c>
      <c r="N7" s="133">
        <v>0.28883750155561938</v>
      </c>
      <c r="O7" s="133">
        <v>3.3396282856172972E-2</v>
      </c>
      <c r="P7" s="133">
        <v>0</v>
      </c>
      <c r="Q7" s="133">
        <v>0</v>
      </c>
      <c r="R7" s="133">
        <v>0</v>
      </c>
      <c r="S7" s="133">
        <v>0</v>
      </c>
      <c r="T7" s="133">
        <v>2.5856644634992709E-2</v>
      </c>
      <c r="U7" s="133">
        <v>0.16934774108690442</v>
      </c>
      <c r="V7" s="133">
        <v>0.13912359939987809</v>
      </c>
      <c r="W7" s="133">
        <v>6.3323945539027579E-2</v>
      </c>
      <c r="DA7" s="157" t="s">
        <v>634</v>
      </c>
    </row>
    <row r="8" spans="1:105" ht="12" customHeight="1" x14ac:dyDescent="0.25">
      <c r="A8" s="132" t="s">
        <v>73</v>
      </c>
      <c r="B8" s="133"/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0</v>
      </c>
      <c r="S8" s="133">
        <v>0</v>
      </c>
      <c r="T8" s="133">
        <v>0</v>
      </c>
      <c r="U8" s="133">
        <v>0</v>
      </c>
      <c r="V8" s="133">
        <v>0</v>
      </c>
      <c r="W8" s="133">
        <v>0</v>
      </c>
      <c r="DA8" s="157" t="s">
        <v>635</v>
      </c>
    </row>
    <row r="9" spans="1:105" ht="12" customHeight="1" x14ac:dyDescent="0.25">
      <c r="A9" s="132" t="s">
        <v>78</v>
      </c>
      <c r="B9" s="133"/>
      <c r="C9" s="133">
        <v>0</v>
      </c>
      <c r="D9" s="133">
        <v>0</v>
      </c>
      <c r="E9" s="133">
        <v>0</v>
      </c>
      <c r="F9" s="133">
        <v>0</v>
      </c>
      <c r="G9" s="133">
        <v>0</v>
      </c>
      <c r="H9" s="133">
        <v>0</v>
      </c>
      <c r="I9" s="133">
        <v>0</v>
      </c>
      <c r="J9" s="133">
        <v>0</v>
      </c>
      <c r="K9" s="133">
        <v>6.3474589292171327E-2</v>
      </c>
      <c r="L9" s="133">
        <v>1.624891911144841E-2</v>
      </c>
      <c r="M9" s="133">
        <v>3.3254340788188498E-3</v>
      </c>
      <c r="N9" s="133">
        <v>1.0001615929645243E-3</v>
      </c>
      <c r="O9" s="133">
        <v>0</v>
      </c>
      <c r="P9" s="133">
        <v>2.5721367489425392E-5</v>
      </c>
      <c r="Q9" s="133">
        <v>2.0673543891224123E-4</v>
      </c>
      <c r="R9" s="133">
        <v>1.4288013301799006E-2</v>
      </c>
      <c r="S9" s="133">
        <v>1.9448108193114329E-2</v>
      </c>
      <c r="T9" s="133">
        <v>4.6945814976547012E-2</v>
      </c>
      <c r="U9" s="133">
        <v>1.8408273750116909E-2</v>
      </c>
      <c r="V9" s="133">
        <v>2.0672722521287291E-3</v>
      </c>
      <c r="W9" s="133">
        <v>2.2285595132266688E-3</v>
      </c>
      <c r="DA9" s="157" t="s">
        <v>636</v>
      </c>
    </row>
    <row r="10" spans="1:105" ht="12" customHeight="1" x14ac:dyDescent="0.25">
      <c r="A10" s="132" t="s">
        <v>128</v>
      </c>
      <c r="B10" s="133"/>
      <c r="C10" s="133">
        <v>0</v>
      </c>
      <c r="D10" s="133">
        <v>0</v>
      </c>
      <c r="E10" s="133">
        <v>0</v>
      </c>
      <c r="F10" s="133">
        <v>0</v>
      </c>
      <c r="G10" s="133">
        <v>0</v>
      </c>
      <c r="H10" s="133">
        <v>0</v>
      </c>
      <c r="I10" s="133">
        <v>6.4731129223048176E-2</v>
      </c>
      <c r="J10" s="133">
        <v>8.2649699531400278E-2</v>
      </c>
      <c r="K10" s="133">
        <v>0</v>
      </c>
      <c r="L10" s="133">
        <v>1.2375321603054989E-5</v>
      </c>
      <c r="M10" s="133">
        <v>2.4971945458234319E-3</v>
      </c>
      <c r="N10" s="133">
        <v>8.9869325839543653E-3</v>
      </c>
      <c r="O10" s="133">
        <v>1.6557541034257566E-3</v>
      </c>
      <c r="P10" s="133">
        <v>3.8590043492206668E-3</v>
      </c>
      <c r="Q10" s="133">
        <v>3.5026587760208353E-2</v>
      </c>
      <c r="R10" s="133">
        <v>3.2267607548201404E-3</v>
      </c>
      <c r="S10" s="133">
        <v>0</v>
      </c>
      <c r="T10" s="133">
        <v>0</v>
      </c>
      <c r="U10" s="133">
        <v>0</v>
      </c>
      <c r="V10" s="133">
        <v>8.4686367596216049E-4</v>
      </c>
      <c r="W10" s="133">
        <v>1.8116363751762576E-2</v>
      </c>
      <c r="DA10" s="157" t="s">
        <v>637</v>
      </c>
    </row>
    <row r="11" spans="1:105" ht="12" customHeight="1" x14ac:dyDescent="0.25">
      <c r="A11" s="132" t="s">
        <v>25</v>
      </c>
      <c r="B11" s="133"/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638</v>
      </c>
    </row>
    <row r="12" spans="1:105" ht="12" customHeight="1" x14ac:dyDescent="0.25">
      <c r="A12" s="132" t="s">
        <v>169</v>
      </c>
      <c r="B12" s="133"/>
      <c r="C12" s="133">
        <v>0</v>
      </c>
      <c r="D12" s="133">
        <v>0</v>
      </c>
      <c r="E12" s="133">
        <v>0</v>
      </c>
      <c r="F12" s="133">
        <v>0</v>
      </c>
      <c r="G12" s="133">
        <v>0</v>
      </c>
      <c r="H12" s="133">
        <v>0</v>
      </c>
      <c r="I12" s="133">
        <v>0</v>
      </c>
      <c r="J12" s="133">
        <v>0</v>
      </c>
      <c r="K12" s="133">
        <v>0</v>
      </c>
      <c r="L12" s="133">
        <v>0</v>
      </c>
      <c r="M12" s="133">
        <v>0</v>
      </c>
      <c r="N12" s="133">
        <v>0</v>
      </c>
      <c r="O12" s="133">
        <v>0</v>
      </c>
      <c r="P12" s="133">
        <v>0</v>
      </c>
      <c r="Q12" s="133">
        <v>0</v>
      </c>
      <c r="R12" s="133">
        <v>0</v>
      </c>
      <c r="S12" s="133">
        <v>0</v>
      </c>
      <c r="T12" s="133">
        <v>0</v>
      </c>
      <c r="U12" s="133">
        <v>0</v>
      </c>
      <c r="V12" s="133">
        <v>0</v>
      </c>
      <c r="W12" s="133">
        <v>0</v>
      </c>
      <c r="DA12" s="157" t="s">
        <v>639</v>
      </c>
    </row>
    <row r="13" spans="1:105" ht="12" customHeight="1" x14ac:dyDescent="0.25">
      <c r="A13" s="132" t="s">
        <v>77</v>
      </c>
      <c r="B13" s="133"/>
      <c r="C13" s="133">
        <v>6.4524180485967406E-2</v>
      </c>
      <c r="D13" s="133">
        <v>8.7970298058684573E-2</v>
      </c>
      <c r="E13" s="133">
        <v>0.14608058790374234</v>
      </c>
      <c r="F13" s="133">
        <v>0.19138351187164579</v>
      </c>
      <c r="G13" s="133">
        <v>0.21900812912417322</v>
      </c>
      <c r="H13" s="133">
        <v>8.5501676538407109E-2</v>
      </c>
      <c r="I13" s="133">
        <v>0.22697982230570135</v>
      </c>
      <c r="J13" s="133">
        <v>0.17127625473537511</v>
      </c>
      <c r="K13" s="133">
        <v>0.44029447929223603</v>
      </c>
      <c r="L13" s="133">
        <v>0.75824726993831193</v>
      </c>
      <c r="M13" s="133">
        <v>0.76978449002729188</v>
      </c>
      <c r="N13" s="133">
        <v>0.877709932893598</v>
      </c>
      <c r="O13" s="133">
        <v>0.22344739576925257</v>
      </c>
      <c r="P13" s="133">
        <v>0.21081652186105138</v>
      </c>
      <c r="Q13" s="133">
        <v>0.1430074247599265</v>
      </c>
      <c r="R13" s="133">
        <v>0.24662191447968368</v>
      </c>
      <c r="S13" s="133">
        <v>0.57734020483514781</v>
      </c>
      <c r="T13" s="133">
        <v>0.64645231796567515</v>
      </c>
      <c r="U13" s="133">
        <v>0.52874659480122665</v>
      </c>
      <c r="V13" s="133">
        <v>0.49124168947074792</v>
      </c>
      <c r="W13" s="133">
        <v>0.33688613986742066</v>
      </c>
      <c r="DA13" s="157" t="s">
        <v>640</v>
      </c>
    </row>
    <row r="14" spans="1:105" ht="12" customHeight="1" x14ac:dyDescent="0.25">
      <c r="A14" s="60" t="s">
        <v>76</v>
      </c>
      <c r="B14" s="65"/>
      <c r="C14" s="65">
        <v>0.39581072517855354</v>
      </c>
      <c r="D14" s="65">
        <v>0.35330716768164128</v>
      </c>
      <c r="E14" s="65">
        <v>0.32930211217905775</v>
      </c>
      <c r="F14" s="65">
        <v>0.47584068313058125</v>
      </c>
      <c r="G14" s="65">
        <v>0.54501466478554006</v>
      </c>
      <c r="H14" s="65">
        <v>0.96328941053021688</v>
      </c>
      <c r="I14" s="65">
        <v>0.93232239239021208</v>
      </c>
      <c r="J14" s="65">
        <v>0.75549776823500814</v>
      </c>
      <c r="K14" s="65">
        <v>0.83454376591180102</v>
      </c>
      <c r="L14" s="65">
        <v>0.31849183174750251</v>
      </c>
      <c r="M14" s="65">
        <v>0</v>
      </c>
      <c r="N14" s="65">
        <v>0</v>
      </c>
      <c r="O14" s="65">
        <v>0</v>
      </c>
      <c r="P14" s="65">
        <v>0</v>
      </c>
      <c r="Q14" s="65">
        <v>4.3357190197747558E-2</v>
      </c>
      <c r="R14" s="65">
        <v>0.58187865214548784</v>
      </c>
      <c r="S14" s="65">
        <v>0.62245560615348727</v>
      </c>
      <c r="T14" s="65">
        <v>0.41829550443387348</v>
      </c>
      <c r="U14" s="65">
        <v>0.47638248086389173</v>
      </c>
      <c r="V14" s="65">
        <v>7.1328707933309074E-2</v>
      </c>
      <c r="W14" s="65">
        <v>0.383277379862764</v>
      </c>
      <c r="DA14" s="109" t="s">
        <v>641</v>
      </c>
    </row>
    <row r="15" spans="1:105" ht="12" customHeight="1" x14ac:dyDescent="0.25">
      <c r="A15" s="134" t="s">
        <v>80</v>
      </c>
      <c r="B15" s="135"/>
      <c r="C15" s="135">
        <v>0</v>
      </c>
      <c r="D15" s="135">
        <v>0</v>
      </c>
      <c r="E15" s="135">
        <v>0</v>
      </c>
      <c r="F15" s="135">
        <v>0</v>
      </c>
      <c r="G15" s="135">
        <v>0</v>
      </c>
      <c r="H15" s="135">
        <v>0</v>
      </c>
      <c r="I15" s="135">
        <v>5.7064327007595326E-4</v>
      </c>
      <c r="J15" s="135">
        <v>8.1445990639316436E-3</v>
      </c>
      <c r="K15" s="135">
        <v>9.4249118921193847E-3</v>
      </c>
      <c r="L15" s="135">
        <v>1.4757453659290019E-2</v>
      </c>
      <c r="M15" s="135">
        <v>7.4590523603097177E-3</v>
      </c>
      <c r="N15" s="135">
        <v>4.8872957645494366E-3</v>
      </c>
      <c r="O15" s="135">
        <v>5.6316845852393211E-4</v>
      </c>
      <c r="P15" s="135">
        <v>3.1916237674246194E-5</v>
      </c>
      <c r="Q15" s="135">
        <v>2.8719224260907023E-4</v>
      </c>
      <c r="R15" s="135">
        <v>2.5615830712006618E-4</v>
      </c>
      <c r="S15" s="135">
        <v>3.1170882309059617E-4</v>
      </c>
      <c r="T15" s="135">
        <v>1.1635361024480461E-3</v>
      </c>
      <c r="U15" s="135">
        <v>2.9907940441366945E-3</v>
      </c>
      <c r="V15" s="135">
        <v>2.2479627369171337E-3</v>
      </c>
      <c r="W15" s="135">
        <v>1.1845697451938692E-3</v>
      </c>
      <c r="DA15" s="158" t="s">
        <v>642</v>
      </c>
    </row>
    <row r="16" spans="1:105" ht="12.95" customHeight="1" x14ac:dyDescent="0.25">
      <c r="A16" s="130" t="s">
        <v>74</v>
      </c>
      <c r="B16" s="131"/>
      <c r="C16" s="131">
        <f t="shared" ref="C16:Q16" si="4">SUM(C17:C18)</f>
        <v>2.4555267548165882</v>
      </c>
      <c r="D16" s="131">
        <f t="shared" si="4"/>
        <v>1.8360366835928967</v>
      </c>
      <c r="E16" s="131">
        <f t="shared" si="4"/>
        <v>2.2920422554332389</v>
      </c>
      <c r="F16" s="131">
        <f t="shared" si="4"/>
        <v>2.4350917381739126</v>
      </c>
      <c r="G16" s="131">
        <f t="shared" si="4"/>
        <v>2.3098227910732607</v>
      </c>
      <c r="H16" s="131">
        <f t="shared" si="4"/>
        <v>2.5667292264343406</v>
      </c>
      <c r="I16" s="131">
        <f t="shared" si="4"/>
        <v>3.4688075776296476</v>
      </c>
      <c r="J16" s="131">
        <f t="shared" si="4"/>
        <v>3.5119420719833978</v>
      </c>
      <c r="K16" s="131">
        <f t="shared" si="4"/>
        <v>4.3770942387186436</v>
      </c>
      <c r="L16" s="131">
        <f t="shared" si="4"/>
        <v>4.9338850123856357</v>
      </c>
      <c r="M16" s="131">
        <f t="shared" si="4"/>
        <v>3.0856341810558181</v>
      </c>
      <c r="N16" s="131">
        <f t="shared" si="4"/>
        <v>3.8237230063204426</v>
      </c>
      <c r="O16" s="131">
        <f t="shared" si="4"/>
        <v>0.52015924218908416</v>
      </c>
      <c r="P16" s="131">
        <f t="shared" si="4"/>
        <v>0.4160016896167083</v>
      </c>
      <c r="Q16" s="131">
        <f t="shared" si="4"/>
        <v>0.43511177893533559</v>
      </c>
      <c r="R16" s="131">
        <f t="shared" ref="R16:W16" si="5">SUM(R17:R18)</f>
        <v>1.6319622674065322</v>
      </c>
      <c r="S16" s="131">
        <f t="shared" si="5"/>
        <v>2.1604531453385079</v>
      </c>
      <c r="T16" s="131">
        <f t="shared" si="5"/>
        <v>2.6637116274771682</v>
      </c>
      <c r="U16" s="131">
        <f t="shared" si="5"/>
        <v>2.1494541421338447</v>
      </c>
      <c r="V16" s="131">
        <f t="shared" si="5"/>
        <v>2.0410657149731688</v>
      </c>
      <c r="W16" s="131">
        <f t="shared" si="5"/>
        <v>1.6202203173024401</v>
      </c>
      <c r="DA16" s="156" t="s">
        <v>643</v>
      </c>
    </row>
    <row r="17" spans="1:105" ht="12.95" customHeight="1" x14ac:dyDescent="0.25">
      <c r="A17" s="132" t="s">
        <v>73</v>
      </c>
      <c r="B17" s="133"/>
      <c r="C17" s="133">
        <v>0</v>
      </c>
      <c r="D17" s="133">
        <v>0</v>
      </c>
      <c r="E17" s="133">
        <v>0</v>
      </c>
      <c r="F17" s="133">
        <v>0</v>
      </c>
      <c r="G17" s="133">
        <v>0</v>
      </c>
      <c r="H17" s="133">
        <v>0</v>
      </c>
      <c r="I17" s="133">
        <v>0</v>
      </c>
      <c r="J17" s="133">
        <v>0</v>
      </c>
      <c r="K17" s="133">
        <v>0</v>
      </c>
      <c r="L17" s="133">
        <v>0</v>
      </c>
      <c r="M17" s="133">
        <v>0</v>
      </c>
      <c r="N17" s="133">
        <v>0</v>
      </c>
      <c r="O17" s="133">
        <v>0</v>
      </c>
      <c r="P17" s="133">
        <v>0</v>
      </c>
      <c r="Q17" s="133">
        <v>0</v>
      </c>
      <c r="R17" s="133">
        <v>0</v>
      </c>
      <c r="S17" s="133">
        <v>0</v>
      </c>
      <c r="T17" s="133">
        <v>0</v>
      </c>
      <c r="U17" s="133">
        <v>0</v>
      </c>
      <c r="V17" s="133">
        <v>0</v>
      </c>
      <c r="W17" s="133">
        <v>0</v>
      </c>
      <c r="DA17" s="157" t="s">
        <v>644</v>
      </c>
    </row>
    <row r="18" spans="1:105" ht="12" customHeight="1" x14ac:dyDescent="0.25">
      <c r="A18" s="132" t="s">
        <v>72</v>
      </c>
      <c r="B18" s="133"/>
      <c r="C18" s="133">
        <v>2.4555267548165882</v>
      </c>
      <c r="D18" s="133">
        <v>1.8360366835928967</v>
      </c>
      <c r="E18" s="133">
        <v>2.2920422554332389</v>
      </c>
      <c r="F18" s="133">
        <v>2.4350917381739126</v>
      </c>
      <c r="G18" s="133">
        <v>2.3098227910732607</v>
      </c>
      <c r="H18" s="133">
        <v>2.5667292264343406</v>
      </c>
      <c r="I18" s="133">
        <v>3.4688075776296476</v>
      </c>
      <c r="J18" s="133">
        <v>3.5119420719833978</v>
      </c>
      <c r="K18" s="133">
        <v>4.3770942387186436</v>
      </c>
      <c r="L18" s="133">
        <v>4.9338850123856357</v>
      </c>
      <c r="M18" s="133">
        <v>3.0856341810558181</v>
      </c>
      <c r="N18" s="133">
        <v>3.8237230063204426</v>
      </c>
      <c r="O18" s="133">
        <v>0.52015924218908416</v>
      </c>
      <c r="P18" s="133">
        <v>0.4160016896167083</v>
      </c>
      <c r="Q18" s="133">
        <v>0.43511177893533559</v>
      </c>
      <c r="R18" s="133">
        <v>1.6319622674065322</v>
      </c>
      <c r="S18" s="133">
        <v>2.1604531453385079</v>
      </c>
      <c r="T18" s="133">
        <v>2.6637116274771682</v>
      </c>
      <c r="U18" s="133">
        <v>2.1494541421338447</v>
      </c>
      <c r="V18" s="133">
        <v>2.0410657149731688</v>
      </c>
      <c r="W18" s="133">
        <v>1.6202203173024401</v>
      </c>
      <c r="DA18" s="157" t="s">
        <v>645</v>
      </c>
    </row>
    <row r="19" spans="1:105" ht="12.95" customHeight="1" x14ac:dyDescent="0.25">
      <c r="A19" s="130" t="s">
        <v>35</v>
      </c>
      <c r="B19" s="131"/>
      <c r="C19" s="131">
        <f t="shared" ref="C19:Q19" si="6">SUM(C20:C27)</f>
        <v>0.39147137251663716</v>
      </c>
      <c r="D19" s="131">
        <f t="shared" si="6"/>
        <v>0.30207191638539332</v>
      </c>
      <c r="E19" s="131">
        <f t="shared" si="6"/>
        <v>0.3479156392090238</v>
      </c>
      <c r="F19" s="131">
        <f t="shared" si="6"/>
        <v>0.44444570131196143</v>
      </c>
      <c r="G19" s="131">
        <f t="shared" si="6"/>
        <v>0.46162940779889433</v>
      </c>
      <c r="H19" s="131">
        <f t="shared" si="6"/>
        <v>0.65990302796696643</v>
      </c>
      <c r="I19" s="131">
        <f t="shared" si="6"/>
        <v>0.66194325920637176</v>
      </c>
      <c r="J19" s="131">
        <f t="shared" si="6"/>
        <v>0.5998090147821995</v>
      </c>
      <c r="K19" s="131">
        <f t="shared" si="6"/>
        <v>0.6745460723662966</v>
      </c>
      <c r="L19" s="131">
        <f t="shared" si="6"/>
        <v>0.72476003729208283</v>
      </c>
      <c r="M19" s="131">
        <f t="shared" si="6"/>
        <v>0.52256669709085934</v>
      </c>
      <c r="N19" s="131">
        <f t="shared" si="6"/>
        <v>0.53774593596602727</v>
      </c>
      <c r="O19" s="131">
        <f t="shared" si="6"/>
        <v>9.0116445683453339E-2</v>
      </c>
      <c r="P19" s="131">
        <f t="shared" si="6"/>
        <v>0.10065283717992878</v>
      </c>
      <c r="Q19" s="131">
        <f t="shared" si="6"/>
        <v>9.5753410005494269E-2</v>
      </c>
      <c r="R19" s="131">
        <f t="shared" ref="R19:W19" si="7">SUM(R20:R27)</f>
        <v>0.30595903662584883</v>
      </c>
      <c r="S19" s="131">
        <f t="shared" si="7"/>
        <v>0.40716351757093144</v>
      </c>
      <c r="T19" s="131">
        <f t="shared" si="7"/>
        <v>0.40983630134560123</v>
      </c>
      <c r="U19" s="131">
        <f t="shared" si="7"/>
        <v>0.40359808650126855</v>
      </c>
      <c r="V19" s="131">
        <f t="shared" si="7"/>
        <v>0.3296160923355973</v>
      </c>
      <c r="W19" s="131">
        <f t="shared" si="7"/>
        <v>0.32244160852062465</v>
      </c>
      <c r="DA19" s="156" t="s">
        <v>646</v>
      </c>
    </row>
    <row r="20" spans="1:105" ht="12" customHeight="1" x14ac:dyDescent="0.25">
      <c r="A20" s="132" t="s">
        <v>29</v>
      </c>
      <c r="B20" s="133"/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647</v>
      </c>
    </row>
    <row r="21" spans="1:105" s="2" customFormat="1" ht="12" customHeight="1" x14ac:dyDescent="0.25">
      <c r="A21" s="132" t="s">
        <v>52</v>
      </c>
      <c r="B21" s="133"/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0.30387709042921801</v>
      </c>
      <c r="I21" s="133">
        <v>0.3337349988365903</v>
      </c>
      <c r="J21" s="133">
        <v>0.29313168064049355</v>
      </c>
      <c r="K21" s="133">
        <v>4.9468366777559294E-2</v>
      </c>
      <c r="L21" s="133">
        <v>3.9958861754458036E-2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3.9064954220178472E-3</v>
      </c>
      <c r="S21" s="133">
        <v>3.521809666463499E-2</v>
      </c>
      <c r="T21" s="133">
        <v>6.1422214683309245E-2</v>
      </c>
      <c r="U21" s="133">
        <v>9.228346424076897E-2</v>
      </c>
      <c r="V21" s="133">
        <v>3.7016899927693532E-2</v>
      </c>
      <c r="W21" s="133">
        <v>9.392900061258827E-2</v>
      </c>
      <c r="DA21" s="157" t="s">
        <v>648</v>
      </c>
    </row>
    <row r="22" spans="1:105" ht="12" customHeight="1" x14ac:dyDescent="0.25">
      <c r="A22" s="132" t="s">
        <v>168</v>
      </c>
      <c r="B22" s="133"/>
      <c r="C22" s="133">
        <v>1.0686671772984175E-2</v>
      </c>
      <c r="D22" s="133">
        <v>2.7728358271793215E-3</v>
      </c>
      <c r="E22" s="133">
        <v>6.7846311567411541E-3</v>
      </c>
      <c r="F22" s="133">
        <v>9.7873158864736215E-3</v>
      </c>
      <c r="G22" s="133">
        <v>9.7647248355180218E-3</v>
      </c>
      <c r="H22" s="133">
        <v>4.9667397390941691E-3</v>
      </c>
      <c r="I22" s="133">
        <v>8.9678806726206026E-3</v>
      </c>
      <c r="J22" s="133">
        <v>1.5539771045660501E-2</v>
      </c>
      <c r="K22" s="133">
        <v>1.694127688520615E-2</v>
      </c>
      <c r="L22" s="133">
        <v>2.2428014099500408E-2</v>
      </c>
      <c r="M22" s="133">
        <v>1.5085777207795862E-2</v>
      </c>
      <c r="N22" s="133">
        <v>1.6612036071115971E-2</v>
      </c>
      <c r="O22" s="133">
        <v>2.9127988991506882E-3</v>
      </c>
      <c r="P22" s="133">
        <v>2.1554595996519251E-3</v>
      </c>
      <c r="Q22" s="133">
        <v>2.0569572626299376E-3</v>
      </c>
      <c r="R22" s="133">
        <v>8.1568901043943126E-3</v>
      </c>
      <c r="S22" s="133">
        <v>8.9805101022409125E-3</v>
      </c>
      <c r="T22" s="133">
        <v>1.2844456979485115E-2</v>
      </c>
      <c r="U22" s="133">
        <v>1.1925544108616348E-2</v>
      </c>
      <c r="V22" s="133">
        <v>5.4280642417307576E-3</v>
      </c>
      <c r="W22" s="133">
        <v>7.2541324701968701E-3</v>
      </c>
      <c r="DA22" s="157" t="s">
        <v>649</v>
      </c>
    </row>
    <row r="23" spans="1:105" ht="12" customHeight="1" x14ac:dyDescent="0.25">
      <c r="A23" s="132" t="s">
        <v>153</v>
      </c>
      <c r="B23" s="133"/>
      <c r="C23" s="133">
        <v>0</v>
      </c>
      <c r="D23" s="133">
        <v>0</v>
      </c>
      <c r="E23" s="133">
        <v>0</v>
      </c>
      <c r="F23" s="133">
        <v>0</v>
      </c>
      <c r="G23" s="133">
        <v>0</v>
      </c>
      <c r="H23" s="133">
        <v>0</v>
      </c>
      <c r="I23" s="133">
        <v>0</v>
      </c>
      <c r="J23" s="133">
        <v>0</v>
      </c>
      <c r="K23" s="133">
        <v>0</v>
      </c>
      <c r="L23" s="133">
        <v>0</v>
      </c>
      <c r="M23" s="133">
        <v>0</v>
      </c>
      <c r="N23" s="133">
        <v>0</v>
      </c>
      <c r="O23" s="133">
        <v>0</v>
      </c>
      <c r="P23" s="133">
        <v>0</v>
      </c>
      <c r="Q23" s="133">
        <v>0</v>
      </c>
      <c r="R23" s="133">
        <v>0</v>
      </c>
      <c r="S23" s="133">
        <v>0</v>
      </c>
      <c r="T23" s="133">
        <v>0</v>
      </c>
      <c r="U23" s="133">
        <v>0</v>
      </c>
      <c r="V23" s="133">
        <v>0</v>
      </c>
      <c r="W23" s="133">
        <v>0</v>
      </c>
      <c r="DA23" s="157" t="s">
        <v>650</v>
      </c>
    </row>
    <row r="24" spans="1:105" ht="12" customHeight="1" x14ac:dyDescent="0.25">
      <c r="A24" s="132" t="s">
        <v>128</v>
      </c>
      <c r="B24" s="133"/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651</v>
      </c>
    </row>
    <row r="25" spans="1:105" ht="12" customHeight="1" x14ac:dyDescent="0.25">
      <c r="A25" s="132" t="s">
        <v>169</v>
      </c>
      <c r="B25" s="133"/>
      <c r="C25" s="133">
        <v>0</v>
      </c>
      <c r="D25" s="133">
        <v>0</v>
      </c>
      <c r="E25" s="133">
        <v>0</v>
      </c>
      <c r="F25" s="133">
        <v>0</v>
      </c>
      <c r="G25" s="133">
        <v>0</v>
      </c>
      <c r="H25" s="133">
        <v>0</v>
      </c>
      <c r="I25" s="133">
        <v>0</v>
      </c>
      <c r="J25" s="133">
        <v>0</v>
      </c>
      <c r="K25" s="133">
        <v>0</v>
      </c>
      <c r="L25" s="133">
        <v>0</v>
      </c>
      <c r="M25" s="133">
        <v>0</v>
      </c>
      <c r="N25" s="133">
        <v>0</v>
      </c>
      <c r="O25" s="133">
        <v>0</v>
      </c>
      <c r="P25" s="133">
        <v>0</v>
      </c>
      <c r="Q25" s="133">
        <v>0</v>
      </c>
      <c r="R25" s="133">
        <v>0</v>
      </c>
      <c r="S25" s="133">
        <v>0</v>
      </c>
      <c r="T25" s="133">
        <v>0</v>
      </c>
      <c r="U25" s="133">
        <v>0</v>
      </c>
      <c r="V25" s="133">
        <v>0</v>
      </c>
      <c r="W25" s="133">
        <v>0</v>
      </c>
      <c r="DA25" s="157" t="s">
        <v>652</v>
      </c>
    </row>
    <row r="26" spans="1:105" ht="12" customHeight="1" x14ac:dyDescent="0.25">
      <c r="A26" s="132" t="s">
        <v>24</v>
      </c>
      <c r="B26" s="65"/>
      <c r="C26" s="65">
        <v>0.17213051647349703</v>
      </c>
      <c r="D26" s="65">
        <v>5.5760887003827343E-2</v>
      </c>
      <c r="E26" s="65">
        <v>8.1228553716878399E-2</v>
      </c>
      <c r="F26" s="65">
        <v>9.8796886704743153E-2</v>
      </c>
      <c r="G26" s="65">
        <v>0.1240009327168778</v>
      </c>
      <c r="H26" s="65">
        <v>0</v>
      </c>
      <c r="I26" s="65">
        <v>0</v>
      </c>
      <c r="J26" s="65">
        <v>2.586480255854534E-4</v>
      </c>
      <c r="K26" s="65">
        <v>5.3901889408565981E-3</v>
      </c>
      <c r="L26" s="65">
        <v>5.6269502471607159E-3</v>
      </c>
      <c r="M26" s="65">
        <v>4.5551321615233085E-3</v>
      </c>
      <c r="N26" s="65">
        <v>0.14036109113602627</v>
      </c>
      <c r="O26" s="65">
        <v>2.9313420217517074E-2</v>
      </c>
      <c r="P26" s="65">
        <v>5.8760783294869686E-4</v>
      </c>
      <c r="Q26" s="65">
        <v>5.7864102810481336E-4</v>
      </c>
      <c r="R26" s="65">
        <v>1.97584633220837E-3</v>
      </c>
      <c r="S26" s="65">
        <v>2.4974832154066391E-3</v>
      </c>
      <c r="T26" s="65">
        <v>2.3858471042328085E-3</v>
      </c>
      <c r="U26" s="65">
        <v>1.9464642248643747E-3</v>
      </c>
      <c r="V26" s="65">
        <v>2.0671839763460342E-3</v>
      </c>
      <c r="W26" s="65">
        <v>1.6005054173950021E-3</v>
      </c>
      <c r="DA26" s="109" t="s">
        <v>653</v>
      </c>
    </row>
    <row r="27" spans="1:105" ht="12" customHeight="1" x14ac:dyDescent="0.25">
      <c r="A27" s="145" t="s">
        <v>26</v>
      </c>
      <c r="B27" s="148"/>
      <c r="C27" s="148">
        <v>0.20865418427015595</v>
      </c>
      <c r="D27" s="148">
        <v>0.24353819355438669</v>
      </c>
      <c r="E27" s="148">
        <v>0.25990245433540426</v>
      </c>
      <c r="F27" s="148">
        <v>0.33586149872074467</v>
      </c>
      <c r="G27" s="148">
        <v>0.3278637502464985</v>
      </c>
      <c r="H27" s="148">
        <v>0.35105919779865419</v>
      </c>
      <c r="I27" s="148">
        <v>0.31924037969716085</v>
      </c>
      <c r="J27" s="148">
        <v>0.29087891507045999</v>
      </c>
      <c r="K27" s="148">
        <v>0.6027462397626745</v>
      </c>
      <c r="L27" s="148">
        <v>0.65674621119096366</v>
      </c>
      <c r="M27" s="148">
        <v>0.50292578772154017</v>
      </c>
      <c r="N27" s="148">
        <v>0.38077280875888503</v>
      </c>
      <c r="O27" s="148">
        <v>5.7890226566785587E-2</v>
      </c>
      <c r="P27" s="148">
        <v>9.7909769747328151E-2</v>
      </c>
      <c r="Q27" s="148">
        <v>9.3117811714759524E-2</v>
      </c>
      <c r="R27" s="148">
        <v>0.29191980476722829</v>
      </c>
      <c r="S27" s="148">
        <v>0.36046742758864891</v>
      </c>
      <c r="T27" s="148">
        <v>0.33318378257857406</v>
      </c>
      <c r="U27" s="148">
        <v>0.29744261392701887</v>
      </c>
      <c r="V27" s="148">
        <v>0.28510394418982699</v>
      </c>
      <c r="W27" s="148">
        <v>0.21965797002044449</v>
      </c>
      <c r="DA27" s="161" t="s">
        <v>654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/>
      <c r="C29" s="131">
        <f t="shared" ref="C29:Q29" si="8">SUM(C30:C33)</f>
        <v>0.38365066620611116</v>
      </c>
      <c r="D29" s="131">
        <f t="shared" si="8"/>
        <v>0.30146298973834884</v>
      </c>
      <c r="E29" s="131">
        <f t="shared" si="8"/>
        <v>0.34811566811483813</v>
      </c>
      <c r="F29" s="131">
        <f t="shared" si="8"/>
        <v>0.45529989752011663</v>
      </c>
      <c r="G29" s="131">
        <f t="shared" si="8"/>
        <v>0.48041302547514886</v>
      </c>
      <c r="H29" s="131">
        <f t="shared" si="8"/>
        <v>0.62490742168920788</v>
      </c>
      <c r="I29" s="131">
        <f t="shared" si="8"/>
        <v>0.58454817370273682</v>
      </c>
      <c r="J29" s="131">
        <f t="shared" si="8"/>
        <v>0.56622761146207345</v>
      </c>
      <c r="K29" s="131">
        <f t="shared" si="8"/>
        <v>0.74620059991387155</v>
      </c>
      <c r="L29" s="131">
        <f t="shared" si="8"/>
        <v>0.8014511680901345</v>
      </c>
      <c r="M29" s="131">
        <f t="shared" si="8"/>
        <v>0.57611708687134677</v>
      </c>
      <c r="N29" s="131">
        <f t="shared" si="8"/>
        <v>0.5926985032489932</v>
      </c>
      <c r="O29" s="131">
        <f t="shared" si="8"/>
        <v>9.7811140904151189E-2</v>
      </c>
      <c r="P29" s="131">
        <f t="shared" si="8"/>
        <v>9.1278663130715879E-2</v>
      </c>
      <c r="Q29" s="131">
        <f t="shared" si="8"/>
        <v>8.856155266660555E-2</v>
      </c>
      <c r="R29" s="131">
        <f t="shared" ref="R29:W29" si="9">SUM(R30:R33)</f>
        <v>0.28921649327352894</v>
      </c>
      <c r="S29" s="131">
        <f t="shared" si="9"/>
        <v>0.42966251829370555</v>
      </c>
      <c r="T29" s="131">
        <f t="shared" si="9"/>
        <v>0.42737957252730241</v>
      </c>
      <c r="U29" s="131">
        <f t="shared" si="9"/>
        <v>0.3921770075487927</v>
      </c>
      <c r="V29" s="131">
        <f t="shared" si="9"/>
        <v>0.33701014255350875</v>
      </c>
      <c r="W29" s="131">
        <f t="shared" si="9"/>
        <v>0.36464194491732038</v>
      </c>
      <c r="DA29" s="156" t="s">
        <v>655</v>
      </c>
    </row>
    <row r="30" spans="1:105" s="2" customFormat="1" ht="12" customHeight="1" x14ac:dyDescent="0.25">
      <c r="A30" s="132" t="s">
        <v>52</v>
      </c>
      <c r="B30" s="133"/>
      <c r="C30" s="133">
        <v>0</v>
      </c>
      <c r="D30" s="133">
        <v>0</v>
      </c>
      <c r="E30" s="133">
        <v>0</v>
      </c>
      <c r="F30" s="133">
        <v>0</v>
      </c>
      <c r="G30" s="133">
        <v>0</v>
      </c>
      <c r="H30" s="133">
        <v>0.56779049483462785</v>
      </c>
      <c r="I30" s="133">
        <v>0.214736548332949</v>
      </c>
      <c r="J30" s="133">
        <v>0.10439355058596368</v>
      </c>
      <c r="K30" s="133">
        <v>0</v>
      </c>
      <c r="L30" s="133">
        <v>2.3451523518408852E-2</v>
      </c>
      <c r="M30" s="133">
        <v>0.14549062577688865</v>
      </c>
      <c r="N30" s="133">
        <v>9.6488626199666416E-2</v>
      </c>
      <c r="O30" s="133">
        <v>9.1876787104683312E-3</v>
      </c>
      <c r="P30" s="133">
        <v>7.0137890036991654E-3</v>
      </c>
      <c r="Q30" s="133">
        <v>3.1100078892902661E-2</v>
      </c>
      <c r="R30" s="133">
        <v>0.10503255878618863</v>
      </c>
      <c r="S30" s="133">
        <v>0.2685990248209012</v>
      </c>
      <c r="T30" s="133">
        <v>0.15869181126636511</v>
      </c>
      <c r="U30" s="133">
        <v>6.5486104371980589E-2</v>
      </c>
      <c r="V30" s="133">
        <v>5.8717763002786624E-2</v>
      </c>
      <c r="W30" s="133">
        <v>1.7310109371988069E-2</v>
      </c>
      <c r="DA30" s="157" t="s">
        <v>656</v>
      </c>
    </row>
    <row r="31" spans="1:105" ht="12" customHeight="1" x14ac:dyDescent="0.25">
      <c r="A31" s="132" t="s">
        <v>153</v>
      </c>
      <c r="B31" s="133"/>
      <c r="C31" s="133">
        <v>0</v>
      </c>
      <c r="D31" s="133">
        <v>0</v>
      </c>
      <c r="E31" s="133">
        <v>0</v>
      </c>
      <c r="F31" s="133">
        <v>0</v>
      </c>
      <c r="G31" s="133">
        <v>0</v>
      </c>
      <c r="H31" s="133">
        <v>0</v>
      </c>
      <c r="I31" s="133">
        <v>0</v>
      </c>
      <c r="J31" s="133">
        <v>0</v>
      </c>
      <c r="K31" s="133">
        <v>0</v>
      </c>
      <c r="L31" s="133">
        <v>0</v>
      </c>
      <c r="M31" s="133">
        <v>0</v>
      </c>
      <c r="N31" s="133">
        <v>0</v>
      </c>
      <c r="O31" s="133">
        <v>0</v>
      </c>
      <c r="P31" s="133">
        <v>0</v>
      </c>
      <c r="Q31" s="133">
        <v>0</v>
      </c>
      <c r="R31" s="133">
        <v>0</v>
      </c>
      <c r="S31" s="133">
        <v>0</v>
      </c>
      <c r="T31" s="133">
        <v>0</v>
      </c>
      <c r="U31" s="133">
        <v>0</v>
      </c>
      <c r="V31" s="133">
        <v>0</v>
      </c>
      <c r="W31" s="133">
        <v>0</v>
      </c>
      <c r="DA31" s="157" t="s">
        <v>657</v>
      </c>
    </row>
    <row r="32" spans="1:105" ht="12" customHeight="1" x14ac:dyDescent="0.25">
      <c r="A32" s="132" t="s">
        <v>128</v>
      </c>
      <c r="B32" s="133"/>
      <c r="C32" s="133">
        <v>3.6455454916626204E-2</v>
      </c>
      <c r="D32" s="133">
        <v>5.1726577042531446E-2</v>
      </c>
      <c r="E32" s="133">
        <v>4.53972889532493E-2</v>
      </c>
      <c r="F32" s="133">
        <v>6.8038466179745224E-2</v>
      </c>
      <c r="G32" s="133">
        <v>9.0858167497068085E-2</v>
      </c>
      <c r="H32" s="133">
        <v>5.7116926854580051E-2</v>
      </c>
      <c r="I32" s="133">
        <v>0.1532659736352816</v>
      </c>
      <c r="J32" s="133">
        <v>7.2926441812387388E-2</v>
      </c>
      <c r="K32" s="133">
        <v>6.5248330359740356E-2</v>
      </c>
      <c r="L32" s="133">
        <v>6.144243750570217E-2</v>
      </c>
      <c r="M32" s="133">
        <v>6.1155253165297144E-2</v>
      </c>
      <c r="N32" s="133">
        <v>6.4830747691185325E-2</v>
      </c>
      <c r="O32" s="133">
        <v>1.3429648440452331E-2</v>
      </c>
      <c r="P32" s="133">
        <v>1.42629877823909E-2</v>
      </c>
      <c r="Q32" s="133">
        <v>1.2852584019093097E-2</v>
      </c>
      <c r="R32" s="133">
        <v>4.1169258894154216E-2</v>
      </c>
      <c r="S32" s="133">
        <v>6.6922113004791464E-2</v>
      </c>
      <c r="T32" s="133">
        <v>7.4190716453876371E-2</v>
      </c>
      <c r="U32" s="133">
        <v>8.7945250491220234E-2</v>
      </c>
      <c r="V32" s="133">
        <v>5.8779518635037054E-2</v>
      </c>
      <c r="W32" s="133">
        <v>2.7320902704860119E-2</v>
      </c>
      <c r="DA32" s="157" t="s">
        <v>658</v>
      </c>
    </row>
    <row r="33" spans="1:105" ht="12" customHeight="1" x14ac:dyDescent="0.25">
      <c r="A33" s="62" t="s">
        <v>24</v>
      </c>
      <c r="B33" s="68"/>
      <c r="C33" s="68">
        <v>0.34719521128948494</v>
      </c>
      <c r="D33" s="68">
        <v>0.24973641269581742</v>
      </c>
      <c r="E33" s="68">
        <v>0.30271837916158884</v>
      </c>
      <c r="F33" s="68">
        <v>0.38726143134037139</v>
      </c>
      <c r="G33" s="68">
        <v>0.38955485797808076</v>
      </c>
      <c r="H33" s="68">
        <v>0</v>
      </c>
      <c r="I33" s="68">
        <v>0.21654565173450621</v>
      </c>
      <c r="J33" s="68">
        <v>0.38890761906372234</v>
      </c>
      <c r="K33" s="68">
        <v>0.68095226955413124</v>
      </c>
      <c r="L33" s="68">
        <v>0.71655720706602344</v>
      </c>
      <c r="M33" s="68">
        <v>0.36947120792916094</v>
      </c>
      <c r="N33" s="68">
        <v>0.43137912935814149</v>
      </c>
      <c r="O33" s="68">
        <v>7.5193813753230532E-2</v>
      </c>
      <c r="P33" s="68">
        <v>7.0001886344625813E-2</v>
      </c>
      <c r="Q33" s="68">
        <v>4.460888975460979E-2</v>
      </c>
      <c r="R33" s="68">
        <v>0.14301467559318612</v>
      </c>
      <c r="S33" s="68">
        <v>9.4141380468012917E-2</v>
      </c>
      <c r="T33" s="68">
        <v>0.19449704480706095</v>
      </c>
      <c r="U33" s="68">
        <v>0.23874565268559189</v>
      </c>
      <c r="V33" s="68">
        <v>0.21951286091568509</v>
      </c>
      <c r="W33" s="68">
        <v>0.32001093284047216</v>
      </c>
      <c r="DA33" s="111" t="s">
        <v>659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660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83</v>
      </c>
      <c r="B3" s="127"/>
      <c r="C3" s="127">
        <f>IF(SER_hh_tes_in!C3=0,"",SER_hh_tes_in!C3/SER_hh_fec_in!C3)</f>
        <v>1.3353394679029831</v>
      </c>
      <c r="D3" s="127">
        <f>IF(SER_hh_tes_in!D3=0,"",SER_hh_tes_in!D3/SER_hh_fec_in!D3)</f>
        <v>1.3567234260172687</v>
      </c>
      <c r="E3" s="127">
        <f>IF(SER_hh_tes_in!E3=0,"",SER_hh_tes_in!E3/SER_hh_fec_in!E3)</f>
        <v>1.4498282161146643</v>
      </c>
      <c r="F3" s="127">
        <f>IF(SER_hh_tes_in!F3=0,"",SER_hh_tes_in!F3/SER_hh_fec_in!F3)</f>
        <v>1.3681822564332897</v>
      </c>
      <c r="G3" s="127">
        <f>IF(SER_hh_tes_in!G3=0,"",SER_hh_tes_in!G3/SER_hh_fec_in!G3)</f>
        <v>1.3200599234596675</v>
      </c>
      <c r="H3" s="127">
        <f>IF(SER_hh_tes_in!H3=0,"",SER_hh_tes_in!H3/SER_hh_fec_in!H3)</f>
        <v>1.1342737568390941</v>
      </c>
      <c r="I3" s="127">
        <f>IF(SER_hh_tes_in!I3=0,"",SER_hh_tes_in!I3/SER_hh_fec_in!I3)</f>
        <v>1.2837348707734175</v>
      </c>
      <c r="J3" s="127">
        <f>IF(SER_hh_tes_in!J3=0,"",SER_hh_tes_in!J3/SER_hh_fec_in!J3)</f>
        <v>1.2192517177014037</v>
      </c>
      <c r="K3" s="127">
        <f>IF(SER_hh_tes_in!K3=0,"",SER_hh_tes_in!K3/SER_hh_fec_in!K3)</f>
        <v>1.3566215174383709</v>
      </c>
      <c r="L3" s="127">
        <f>IF(SER_hh_tes_in!L3=0,"",SER_hh_tes_in!L3/SER_hh_fec_in!L3)</f>
        <v>1.4405268623950107</v>
      </c>
      <c r="M3" s="127">
        <f>IF(SER_hh_tes_in!M3=0,"",SER_hh_tes_in!M3/SER_hh_fec_in!M3)</f>
        <v>1.5858819875027972</v>
      </c>
      <c r="N3" s="127">
        <f>IF(SER_hh_tes_in!N3=0,"",SER_hh_tes_in!N3/SER_hh_fec_in!N3)</f>
        <v>1.7981585789327157</v>
      </c>
      <c r="O3" s="127">
        <f>IF(SER_hh_tes_in!O3=0,"",SER_hh_tes_in!O3/SER_hh_fec_in!O3)</f>
        <v>1.8626581701679292</v>
      </c>
      <c r="P3" s="127">
        <f>IF(SER_hh_tes_in!P3=0,"",SER_hh_tes_in!P3/SER_hh_fec_in!P3)</f>
        <v>2.0306555074464998</v>
      </c>
      <c r="Q3" s="127">
        <f>IF(SER_hh_tes_in!Q3=0,"",SER_hh_tes_in!Q3/SER_hh_fec_in!Q3)</f>
        <v>1.6721735514348841</v>
      </c>
      <c r="R3" s="127">
        <f>IF(SER_hh_tes_in!R3=0,"",SER_hh_tes_in!R3/SER_hh_fec_in!R3)</f>
        <v>1.5214352470650641</v>
      </c>
      <c r="S3" s="127">
        <f>IF(SER_hh_tes_in!S3=0,"",SER_hh_tes_in!S3/SER_hh_fec_in!S3)</f>
        <v>1.6079916791427202</v>
      </c>
      <c r="T3" s="127">
        <f>IF(SER_hh_tes_in!T3=0,"",SER_hh_tes_in!T3/SER_hh_fec_in!T3)</f>
        <v>1.8599302823985566</v>
      </c>
      <c r="U3" s="127">
        <f>IF(SER_hh_tes_in!U3=0,"",SER_hh_tes_in!U3/SER_hh_fec_in!U3)</f>
        <v>1.6571813876753954</v>
      </c>
      <c r="V3" s="127">
        <f>IF(SER_hh_tes_in!V3=0,"",SER_hh_tes_in!V3/SER_hh_fec_in!V3)</f>
        <v>2.0112155006564292</v>
      </c>
      <c r="W3" s="127">
        <f>IF(SER_hh_tes_in!W3=0,"",SER_hh_tes_in!W3/SER_hh_fec_in!W3)</f>
        <v>1.6843845179079968</v>
      </c>
      <c r="DA3" s="162" t="s">
        <v>661</v>
      </c>
    </row>
    <row r="4" spans="1:105" ht="12.95" customHeight="1" x14ac:dyDescent="0.25">
      <c r="A4" s="130" t="s">
        <v>32</v>
      </c>
      <c r="B4" s="136"/>
      <c r="C4" s="136">
        <f>IF(SER_hh_tes_in!C4=0,"",SER_hh_tes_in!C4/SER_hh_fec_in!C4)</f>
        <v>0.66267026688902864</v>
      </c>
      <c r="D4" s="136">
        <f>IF(SER_hh_tes_in!D4=0,"",SER_hh_tes_in!D4/SER_hh_fec_in!D4)</f>
        <v>0.69804643980022774</v>
      </c>
      <c r="E4" s="136">
        <f>IF(SER_hh_tes_in!E4=0,"",SER_hh_tes_in!E4/SER_hh_fec_in!E4)</f>
        <v>0.76786420411824641</v>
      </c>
      <c r="F4" s="136">
        <f>IF(SER_hh_tes_in!F4=0,"",SER_hh_tes_in!F4/SER_hh_fec_in!F4)</f>
        <v>0.76642722501839455</v>
      </c>
      <c r="G4" s="136">
        <f>IF(SER_hh_tes_in!G4=0,"",SER_hh_tes_in!G4/SER_hh_fec_in!G4)</f>
        <v>0.7769831747475987</v>
      </c>
      <c r="H4" s="136">
        <f>IF(SER_hh_tes_in!H4=0,"",SER_hh_tes_in!H4/SER_hh_fec_in!H4)</f>
        <v>0.66783839194890537</v>
      </c>
      <c r="I4" s="136">
        <f>IF(SER_hh_tes_in!I4=0,"",SER_hh_tes_in!I4/SER_hh_fec_in!I4)</f>
        <v>0.71632931457781857</v>
      </c>
      <c r="J4" s="136">
        <f>IF(SER_hh_tes_in!J4=0,"",SER_hh_tes_in!J4/SER_hh_fec_in!J4)</f>
        <v>0.62681901817248409</v>
      </c>
      <c r="K4" s="136">
        <f>IF(SER_hh_tes_in!K4=0,"",SER_hh_tes_in!K4/SER_hh_fec_in!K4)</f>
        <v>0.72373216239104698</v>
      </c>
      <c r="L4" s="136">
        <f>IF(SER_hh_tes_in!L4=0,"",SER_hh_tes_in!L4/SER_hh_fec_in!L4)</f>
        <v>0.78528846479233194</v>
      </c>
      <c r="M4" s="136">
        <f>IF(SER_hh_tes_in!M4=0,"",SER_hh_tes_in!M4/SER_hh_fec_in!M4)</f>
        <v>1.0731372529698371</v>
      </c>
      <c r="N4" s="136">
        <f>IF(SER_hh_tes_in!N4=0,"",SER_hh_tes_in!N4/SER_hh_fec_in!N4)</f>
        <v>1.3788432745636343</v>
      </c>
      <c r="O4" s="136">
        <f>IF(SER_hh_tes_in!O4=0,"",SER_hh_tes_in!O4/SER_hh_fec_in!O4)</f>
        <v>1.9297078218571142</v>
      </c>
      <c r="P4" s="136">
        <f>IF(SER_hh_tes_in!P4=0,"",SER_hh_tes_in!P4/SER_hh_fec_in!P4)</f>
        <v>3.0109393986474391</v>
      </c>
      <c r="Q4" s="136">
        <f>IF(SER_hh_tes_in!Q4=0,"",SER_hh_tes_in!Q4/SER_hh_fec_in!Q4)</f>
        <v>1.3122606187387373</v>
      </c>
      <c r="R4" s="136">
        <f>IF(SER_hh_tes_in!R4=0,"",SER_hh_tes_in!R4/SER_hh_fec_in!R4)</f>
        <v>0.94842986946939212</v>
      </c>
      <c r="S4" s="136">
        <f>IF(SER_hh_tes_in!S4=0,"",SER_hh_tes_in!S4/SER_hh_fec_in!S4)</f>
        <v>1.1985536141690134</v>
      </c>
      <c r="T4" s="136">
        <f>IF(SER_hh_tes_in!T4=0,"",SER_hh_tes_in!T4/SER_hh_fec_in!T4)</f>
        <v>1.3906015134152163</v>
      </c>
      <c r="U4" s="136">
        <f>IF(SER_hh_tes_in!U4=0,"",SER_hh_tes_in!U4/SER_hh_fec_in!U4)</f>
        <v>1.1560533731584441</v>
      </c>
      <c r="V4" s="136">
        <f>IF(SER_hh_tes_in!V4=0,"",SER_hh_tes_in!V4/SER_hh_fec_in!V4)</f>
        <v>1.6021170608471282</v>
      </c>
      <c r="W4" s="136">
        <f>IF(SER_hh_tes_in!W4=0,"",SER_hh_tes_in!W4/SER_hh_fec_in!W4)</f>
        <v>1.152148558249416</v>
      </c>
      <c r="DA4" s="163" t="s">
        <v>662</v>
      </c>
    </row>
    <row r="5" spans="1:105" ht="12" customHeight="1" x14ac:dyDescent="0.25">
      <c r="A5" s="132" t="s">
        <v>29</v>
      </c>
      <c r="B5" s="137"/>
      <c r="C5" s="137" t="str">
        <f>IF(SER_hh_tes_in!C5=0,"",SER_hh_tes_in!C5/SER_hh_fec_in!C5)</f>
        <v/>
      </c>
      <c r="D5" s="137" t="str">
        <f>IF(SER_hh_tes_in!D5=0,"",SER_hh_tes_in!D5/SER_hh_fec_in!D5)</f>
        <v/>
      </c>
      <c r="E5" s="137" t="str">
        <f>IF(SER_hh_tes_in!E5=0,"",SER_hh_tes_in!E5/SER_hh_fec_in!E5)</f>
        <v/>
      </c>
      <c r="F5" s="137" t="str">
        <f>IF(SER_hh_tes_in!F5=0,"",SER_hh_tes_in!F5/SER_hh_fec_in!F5)</f>
        <v/>
      </c>
      <c r="G5" s="137" t="str">
        <f>IF(SER_hh_tes_in!G5=0,"",SER_hh_tes_in!G5/SER_hh_fec_in!G5)</f>
        <v/>
      </c>
      <c r="H5" s="137" t="str">
        <f>IF(SER_hh_tes_in!H5=0,"",SER_hh_tes_in!H5/SER_hh_fec_in!H5)</f>
        <v/>
      </c>
      <c r="I5" s="137" t="str">
        <f>IF(SER_hh_tes_in!I5=0,"",SER_hh_tes_in!I5/SER_hh_fec_in!I5)</f>
        <v/>
      </c>
      <c r="J5" s="137" t="str">
        <f>IF(SER_hh_tes_in!J5=0,"",SER_hh_tes_in!J5/SER_hh_fec_in!J5)</f>
        <v/>
      </c>
      <c r="K5" s="137" t="str">
        <f>IF(SER_hh_tes_in!K5=0,"",SER_hh_tes_in!K5/SER_hh_fec_in!K5)</f>
        <v/>
      </c>
      <c r="L5" s="137" t="str">
        <f>IF(SER_hh_tes_in!L5=0,"",SER_hh_tes_in!L5/SER_hh_fec_in!L5)</f>
        <v/>
      </c>
      <c r="M5" s="137" t="str">
        <f>IF(SER_hh_tes_in!M5=0,"",SER_hh_tes_in!M5/SER_hh_fec_in!M5)</f>
        <v/>
      </c>
      <c r="N5" s="137" t="str">
        <f>IF(SER_hh_tes_in!N5=0,"",SER_hh_tes_in!N5/SER_hh_fec_in!N5)</f>
        <v/>
      </c>
      <c r="O5" s="137" t="str">
        <f>IF(SER_hh_tes_in!O5=0,"",SER_hh_tes_in!O5/SER_hh_fec_in!O5)</f>
        <v/>
      </c>
      <c r="P5" s="137" t="str">
        <f>IF(SER_hh_tes_in!P5=0,"",SER_hh_tes_in!P5/SER_hh_fec_in!P5)</f>
        <v/>
      </c>
      <c r="Q5" s="137" t="str">
        <f>IF(SER_hh_tes_in!Q5=0,"",SER_hh_tes_in!Q5/SER_hh_fec_in!Q5)</f>
        <v/>
      </c>
      <c r="R5" s="137" t="str">
        <f>IF(SER_hh_tes_in!R5=0,"",SER_hh_tes_in!R5/SER_hh_fec_in!R5)</f>
        <v/>
      </c>
      <c r="S5" s="137" t="str">
        <f>IF(SER_hh_tes_in!S5=0,"",SER_hh_tes_in!S5/SER_hh_fec_in!S5)</f>
        <v/>
      </c>
      <c r="T5" s="137" t="str">
        <f>IF(SER_hh_tes_in!T5=0,"",SER_hh_tes_in!T5/SER_hh_fec_in!T5)</f>
        <v/>
      </c>
      <c r="U5" s="137" t="str">
        <f>IF(SER_hh_tes_in!U5=0,"",SER_hh_tes_in!U5/SER_hh_fec_in!U5)</f>
        <v/>
      </c>
      <c r="V5" s="137" t="str">
        <f>IF(SER_hh_tes_in!V5=0,"",SER_hh_tes_in!V5/SER_hh_fec_in!V5)</f>
        <v/>
      </c>
      <c r="W5" s="137" t="str">
        <f>IF(SER_hh_tes_in!W5=0,"",SER_hh_tes_in!W5/SER_hh_fec_in!W5)</f>
        <v/>
      </c>
      <c r="DA5" s="164" t="s">
        <v>663</v>
      </c>
    </row>
    <row r="6" spans="1:105" ht="12" customHeight="1" x14ac:dyDescent="0.25">
      <c r="A6" s="132" t="s">
        <v>52</v>
      </c>
      <c r="B6" s="137"/>
      <c r="C6" s="137" t="str">
        <f>IF(SER_hh_tes_in!C6=0,"",SER_hh_tes_in!C6/SER_hh_fec_in!C6)</f>
        <v/>
      </c>
      <c r="D6" s="137" t="str">
        <f>IF(SER_hh_tes_in!D6=0,"",SER_hh_tes_in!D6/SER_hh_fec_in!D6)</f>
        <v/>
      </c>
      <c r="E6" s="137" t="str">
        <f>IF(SER_hh_tes_in!E6=0,"",SER_hh_tes_in!E6/SER_hh_fec_in!E6)</f>
        <v/>
      </c>
      <c r="F6" s="137" t="str">
        <f>IF(SER_hh_tes_in!F6=0,"",SER_hh_tes_in!F6/SER_hh_fec_in!F6)</f>
        <v/>
      </c>
      <c r="G6" s="137" t="str">
        <f>IF(SER_hh_tes_in!G6=0,"",SER_hh_tes_in!G6/SER_hh_fec_in!G6)</f>
        <v/>
      </c>
      <c r="H6" s="137" t="str">
        <f>IF(SER_hh_tes_in!H6=0,"",SER_hh_tes_in!H6/SER_hh_fec_in!H6)</f>
        <v/>
      </c>
      <c r="I6" s="137" t="str">
        <f>IF(SER_hh_tes_in!I6=0,"",SER_hh_tes_in!I6/SER_hh_fec_in!I6)</f>
        <v/>
      </c>
      <c r="J6" s="137" t="str">
        <f>IF(SER_hh_tes_in!J6=0,"",SER_hh_tes_in!J6/SER_hh_fec_in!J6)</f>
        <v/>
      </c>
      <c r="K6" s="137" t="str">
        <f>IF(SER_hh_tes_in!K6=0,"",SER_hh_tes_in!K6/SER_hh_fec_in!K6)</f>
        <v/>
      </c>
      <c r="L6" s="137" t="str">
        <f>IF(SER_hh_tes_in!L6=0,"",SER_hh_tes_in!L6/SER_hh_fec_in!L6)</f>
        <v/>
      </c>
      <c r="M6" s="137" t="str">
        <f>IF(SER_hh_tes_in!M6=0,"",SER_hh_tes_in!M6/SER_hh_fec_in!M6)</f>
        <v/>
      </c>
      <c r="N6" s="137" t="str">
        <f>IF(SER_hh_tes_in!N6=0,"",SER_hh_tes_in!N6/SER_hh_fec_in!N6)</f>
        <v/>
      </c>
      <c r="O6" s="137" t="str">
        <f>IF(SER_hh_tes_in!O6=0,"",SER_hh_tes_in!O6/SER_hh_fec_in!O6)</f>
        <v/>
      </c>
      <c r="P6" s="137" t="str">
        <f>IF(SER_hh_tes_in!P6=0,"",SER_hh_tes_in!P6/SER_hh_fec_in!P6)</f>
        <v/>
      </c>
      <c r="Q6" s="137" t="str">
        <f>IF(SER_hh_tes_in!Q6=0,"",SER_hh_tes_in!Q6/SER_hh_fec_in!Q6)</f>
        <v/>
      </c>
      <c r="R6" s="137" t="str">
        <f>IF(SER_hh_tes_in!R6=0,"",SER_hh_tes_in!R6/SER_hh_fec_in!R6)</f>
        <v/>
      </c>
      <c r="S6" s="137" t="str">
        <f>IF(SER_hh_tes_in!S6=0,"",SER_hh_tes_in!S6/SER_hh_fec_in!S6)</f>
        <v/>
      </c>
      <c r="T6" s="137" t="str">
        <f>IF(SER_hh_tes_in!T6=0,"",SER_hh_tes_in!T6/SER_hh_fec_in!T6)</f>
        <v/>
      </c>
      <c r="U6" s="137" t="str">
        <f>IF(SER_hh_tes_in!U6=0,"",SER_hh_tes_in!U6/SER_hh_fec_in!U6)</f>
        <v/>
      </c>
      <c r="V6" s="137" t="str">
        <f>IF(SER_hh_tes_in!V6=0,"",SER_hh_tes_in!V6/SER_hh_fec_in!V6)</f>
        <v/>
      </c>
      <c r="W6" s="137" t="str">
        <f>IF(SER_hh_tes_in!W6=0,"",SER_hh_tes_in!W6/SER_hh_fec_in!W6)</f>
        <v/>
      </c>
      <c r="DA6" s="164" t="s">
        <v>664</v>
      </c>
    </row>
    <row r="7" spans="1:105" ht="12" customHeight="1" x14ac:dyDescent="0.25">
      <c r="A7" s="132" t="s">
        <v>168</v>
      </c>
      <c r="B7" s="137"/>
      <c r="C7" s="137" t="str">
        <f>IF(SER_hh_tes_in!C7=0,"",SER_hh_tes_in!C7/SER_hh_fec_in!C7)</f>
        <v/>
      </c>
      <c r="D7" s="137" t="str">
        <f>IF(SER_hh_tes_in!D7=0,"",SER_hh_tes_in!D7/SER_hh_fec_in!D7)</f>
        <v/>
      </c>
      <c r="E7" s="137" t="str">
        <f>IF(SER_hh_tes_in!E7=0,"",SER_hh_tes_in!E7/SER_hh_fec_in!E7)</f>
        <v/>
      </c>
      <c r="F7" s="137" t="str">
        <f>IF(SER_hh_tes_in!F7=0,"",SER_hh_tes_in!F7/SER_hh_fec_in!F7)</f>
        <v/>
      </c>
      <c r="G7" s="137" t="str">
        <f>IF(SER_hh_tes_in!G7=0,"",SER_hh_tes_in!G7/SER_hh_fec_in!G7)</f>
        <v/>
      </c>
      <c r="H7" s="137" t="str">
        <f>IF(SER_hh_tes_in!H7=0,"",SER_hh_tes_in!H7/SER_hh_fec_in!H7)</f>
        <v/>
      </c>
      <c r="I7" s="137" t="str">
        <f>IF(SER_hh_tes_in!I7=0,"",SER_hh_tes_in!I7/SER_hh_fec_in!I7)</f>
        <v/>
      </c>
      <c r="J7" s="137">
        <f>IF(SER_hh_tes_in!J7=0,"",SER_hh_tes_in!J7/SER_hh_fec_in!J7)</f>
        <v>0.4908194598476141</v>
      </c>
      <c r="K7" s="137">
        <f>IF(SER_hh_tes_in!K7=0,"",SER_hh_tes_in!K7/SER_hh_fec_in!K7)</f>
        <v>0.49868845037342169</v>
      </c>
      <c r="L7" s="137">
        <f>IF(SER_hh_tes_in!L7=0,"",SER_hh_tes_in!L7/SER_hh_fec_in!L7)</f>
        <v>0.50716291377566891</v>
      </c>
      <c r="M7" s="137">
        <f>IF(SER_hh_tes_in!M7=0,"",SER_hh_tes_in!M7/SER_hh_fec_in!M7)</f>
        <v>0.52074756429508728</v>
      </c>
      <c r="N7" s="137">
        <f>IF(SER_hh_tes_in!N7=0,"",SER_hh_tes_in!N7/SER_hh_fec_in!N7)</f>
        <v>0.54075588529849095</v>
      </c>
      <c r="O7" s="137">
        <f>IF(SER_hh_tes_in!O7=0,"",SER_hh_tes_in!O7/SER_hh_fec_in!O7)</f>
        <v>0.56793121236242905</v>
      </c>
      <c r="P7" s="137" t="str">
        <f>IF(SER_hh_tes_in!P7=0,"",SER_hh_tes_in!P7/SER_hh_fec_in!P7)</f>
        <v/>
      </c>
      <c r="Q7" s="137" t="str">
        <f>IF(SER_hh_tes_in!Q7=0,"",SER_hh_tes_in!Q7/SER_hh_fec_in!Q7)</f>
        <v/>
      </c>
      <c r="R7" s="137" t="str">
        <f>IF(SER_hh_tes_in!R7=0,"",SER_hh_tes_in!R7/SER_hh_fec_in!R7)</f>
        <v/>
      </c>
      <c r="S7" s="137" t="str">
        <f>IF(SER_hh_tes_in!S7=0,"",SER_hh_tes_in!S7/SER_hh_fec_in!S7)</f>
        <v/>
      </c>
      <c r="T7" s="137">
        <f>IF(SER_hh_tes_in!T7=0,"",SER_hh_tes_in!T7/SER_hh_fec_in!T7)</f>
        <v>0.65310985322738557</v>
      </c>
      <c r="U7" s="137">
        <f>IF(SER_hh_tes_in!U7=0,"",SER_hh_tes_in!U7/SER_hh_fec_in!U7)</f>
        <v>0.65825880084415289</v>
      </c>
      <c r="V7" s="137">
        <f>IF(SER_hh_tes_in!V7=0,"",SER_hh_tes_in!V7/SER_hh_fec_in!V7)</f>
        <v>0.66272604528332824</v>
      </c>
      <c r="W7" s="137">
        <f>IF(SER_hh_tes_in!W7=0,"",SER_hh_tes_in!W7/SER_hh_fec_in!W7)</f>
        <v>0.66561305661732606</v>
      </c>
      <c r="DA7" s="164" t="s">
        <v>665</v>
      </c>
    </row>
    <row r="8" spans="1:105" ht="12" customHeight="1" x14ac:dyDescent="0.25">
      <c r="A8" s="132" t="s">
        <v>73</v>
      </c>
      <c r="B8" s="137"/>
      <c r="C8" s="137" t="str">
        <f>IF(SER_hh_tes_in!C8=0,"",SER_hh_tes_in!C8/SER_hh_fec_in!C8)</f>
        <v/>
      </c>
      <c r="D8" s="137" t="str">
        <f>IF(SER_hh_tes_in!D8=0,"",SER_hh_tes_in!D8/SER_hh_fec_in!D8)</f>
        <v/>
      </c>
      <c r="E8" s="137" t="str">
        <f>IF(SER_hh_tes_in!E8=0,"",SER_hh_tes_in!E8/SER_hh_fec_in!E8)</f>
        <v/>
      </c>
      <c r="F8" s="137" t="str">
        <f>IF(SER_hh_tes_in!F8=0,"",SER_hh_tes_in!F8/SER_hh_fec_in!F8)</f>
        <v/>
      </c>
      <c r="G8" s="137" t="str">
        <f>IF(SER_hh_tes_in!G8=0,"",SER_hh_tes_in!G8/SER_hh_fec_in!G8)</f>
        <v/>
      </c>
      <c r="H8" s="137" t="str">
        <f>IF(SER_hh_tes_in!H8=0,"",SER_hh_tes_in!H8/SER_hh_fec_in!H8)</f>
        <v/>
      </c>
      <c r="I8" s="137" t="str">
        <f>IF(SER_hh_tes_in!I8=0,"",SER_hh_tes_in!I8/SER_hh_fec_in!I8)</f>
        <v/>
      </c>
      <c r="J8" s="137" t="str">
        <f>IF(SER_hh_tes_in!J8=0,"",SER_hh_tes_in!J8/SER_hh_fec_in!J8)</f>
        <v/>
      </c>
      <c r="K8" s="137" t="str">
        <f>IF(SER_hh_tes_in!K8=0,"",SER_hh_tes_in!K8/SER_hh_fec_in!K8)</f>
        <v/>
      </c>
      <c r="L8" s="137" t="str">
        <f>IF(SER_hh_tes_in!L8=0,"",SER_hh_tes_in!L8/SER_hh_fec_in!L8)</f>
        <v/>
      </c>
      <c r="M8" s="137" t="str">
        <f>IF(SER_hh_tes_in!M8=0,"",SER_hh_tes_in!M8/SER_hh_fec_in!M8)</f>
        <v/>
      </c>
      <c r="N8" s="137" t="str">
        <f>IF(SER_hh_tes_in!N8=0,"",SER_hh_tes_in!N8/SER_hh_fec_in!N8)</f>
        <v/>
      </c>
      <c r="O8" s="137" t="str">
        <f>IF(SER_hh_tes_in!O8=0,"",SER_hh_tes_in!O8/SER_hh_fec_in!O8)</f>
        <v/>
      </c>
      <c r="P8" s="137" t="str">
        <f>IF(SER_hh_tes_in!P8=0,"",SER_hh_tes_in!P8/SER_hh_fec_in!P8)</f>
        <v/>
      </c>
      <c r="Q8" s="137" t="str">
        <f>IF(SER_hh_tes_in!Q8=0,"",SER_hh_tes_in!Q8/SER_hh_fec_in!Q8)</f>
        <v/>
      </c>
      <c r="R8" s="137" t="str">
        <f>IF(SER_hh_tes_in!R8=0,"",SER_hh_tes_in!R8/SER_hh_fec_in!R8)</f>
        <v/>
      </c>
      <c r="S8" s="137" t="str">
        <f>IF(SER_hh_tes_in!S8=0,"",SER_hh_tes_in!S8/SER_hh_fec_in!S8)</f>
        <v/>
      </c>
      <c r="T8" s="137" t="str">
        <f>IF(SER_hh_tes_in!T8=0,"",SER_hh_tes_in!T8/SER_hh_fec_in!T8)</f>
        <v/>
      </c>
      <c r="U8" s="137" t="str">
        <f>IF(SER_hh_tes_in!U8=0,"",SER_hh_tes_in!U8/SER_hh_fec_in!U8)</f>
        <v/>
      </c>
      <c r="V8" s="137" t="str">
        <f>IF(SER_hh_tes_in!V8=0,"",SER_hh_tes_in!V8/SER_hh_fec_in!V8)</f>
        <v/>
      </c>
      <c r="W8" s="137" t="str">
        <f>IF(SER_hh_tes_in!W8=0,"",SER_hh_tes_in!W8/SER_hh_fec_in!W8)</f>
        <v/>
      </c>
      <c r="DA8" s="164" t="s">
        <v>666</v>
      </c>
    </row>
    <row r="9" spans="1:105" ht="12" customHeight="1" x14ac:dyDescent="0.25">
      <c r="A9" s="132" t="s">
        <v>78</v>
      </c>
      <c r="B9" s="137"/>
      <c r="C9" s="137" t="str">
        <f>IF(SER_hh_tes_in!C9=0,"",SER_hh_tes_in!C9/SER_hh_fec_in!C9)</f>
        <v/>
      </c>
      <c r="D9" s="137" t="str">
        <f>IF(SER_hh_tes_in!D9=0,"",SER_hh_tes_in!D9/SER_hh_fec_in!D9)</f>
        <v/>
      </c>
      <c r="E9" s="137" t="str">
        <f>IF(SER_hh_tes_in!E9=0,"",SER_hh_tes_in!E9/SER_hh_fec_in!E9)</f>
        <v/>
      </c>
      <c r="F9" s="137" t="str">
        <f>IF(SER_hh_tes_in!F9=0,"",SER_hh_tes_in!F9/SER_hh_fec_in!F9)</f>
        <v/>
      </c>
      <c r="G9" s="137" t="str">
        <f>IF(SER_hh_tes_in!G9=0,"",SER_hh_tes_in!G9/SER_hh_fec_in!G9)</f>
        <v/>
      </c>
      <c r="H9" s="137" t="str">
        <f>IF(SER_hh_tes_in!H9=0,"",SER_hh_tes_in!H9/SER_hh_fec_in!H9)</f>
        <v/>
      </c>
      <c r="I9" s="137" t="str">
        <f>IF(SER_hh_tes_in!I9=0,"",SER_hh_tes_in!I9/SER_hh_fec_in!I9)</f>
        <v/>
      </c>
      <c r="J9" s="137" t="str">
        <f>IF(SER_hh_tes_in!J9=0,"",SER_hh_tes_in!J9/SER_hh_fec_in!J9)</f>
        <v/>
      </c>
      <c r="K9" s="137">
        <f>IF(SER_hh_tes_in!K9=0,"",SER_hh_tes_in!K9/SER_hh_fec_in!K9)</f>
        <v>0.81454688796843255</v>
      </c>
      <c r="L9" s="137">
        <f>IF(SER_hh_tes_in!L9=0,"",SER_hh_tes_in!L9/SER_hh_fec_in!L9)</f>
        <v>0.82122353143774496</v>
      </c>
      <c r="M9" s="137">
        <f>IF(SER_hh_tes_in!M9=0,"",SER_hh_tes_in!M9/SER_hh_fec_in!M9)</f>
        <v>0.82975790560370388</v>
      </c>
      <c r="N9" s="137">
        <f>IF(SER_hh_tes_in!N9=0,"",SER_hh_tes_in!N9/SER_hh_fec_in!N9)</f>
        <v>0.84070936463237622</v>
      </c>
      <c r="O9" s="137" t="str">
        <f>IF(SER_hh_tes_in!O9=0,"",SER_hh_tes_in!O9/SER_hh_fec_in!O9)</f>
        <v/>
      </c>
      <c r="P9" s="137">
        <f>IF(SER_hh_tes_in!P9=0,"",SER_hh_tes_in!P9/SER_hh_fec_in!P9)</f>
        <v>0.86960764305830685</v>
      </c>
      <c r="Q9" s="137">
        <f>IF(SER_hh_tes_in!Q9=0,"",SER_hh_tes_in!Q9/SER_hh_fec_in!Q9)</f>
        <v>0.88250174418288585</v>
      </c>
      <c r="R9" s="137">
        <f>IF(SER_hh_tes_in!R9=0,"",SER_hh_tes_in!R9/SER_hh_fec_in!R9)</f>
        <v>0.88983037970530132</v>
      </c>
      <c r="S9" s="137">
        <f>IF(SER_hh_tes_in!S9=0,"",SER_hh_tes_in!S9/SER_hh_fec_in!S9)</f>
        <v>0.89548767179914401</v>
      </c>
      <c r="T9" s="137">
        <f>IF(SER_hh_tes_in!T9=0,"",SER_hh_tes_in!T9/SER_hh_fec_in!T9)</f>
        <v>0.89999590332562618</v>
      </c>
      <c r="U9" s="137">
        <f>IF(SER_hh_tes_in!U9=0,"",SER_hh_tes_in!U9/SER_hh_fec_in!U9)</f>
        <v>0.90374963320253254</v>
      </c>
      <c r="V9" s="137">
        <f>IF(SER_hh_tes_in!V9=0,"",SER_hh_tes_in!V9/SER_hh_fec_in!V9)</f>
        <v>0.90700836401362739</v>
      </c>
      <c r="W9" s="137">
        <f>IF(SER_hh_tes_in!W9=0,"",SER_hh_tes_in!W9/SER_hh_fec_in!W9)</f>
        <v>0.9092628625512702</v>
      </c>
      <c r="DA9" s="164" t="s">
        <v>667</v>
      </c>
    </row>
    <row r="10" spans="1:105" ht="12" customHeight="1" x14ac:dyDescent="0.25">
      <c r="A10" s="132" t="s">
        <v>128</v>
      </c>
      <c r="B10" s="137"/>
      <c r="C10" s="137" t="str">
        <f>IF(SER_hh_tes_in!C10=0,"",SER_hh_tes_in!C10/SER_hh_fec_in!C10)</f>
        <v/>
      </c>
      <c r="D10" s="137" t="str">
        <f>IF(SER_hh_tes_in!D10=0,"",SER_hh_tes_in!D10/SER_hh_fec_in!D10)</f>
        <v/>
      </c>
      <c r="E10" s="137" t="str">
        <f>IF(SER_hh_tes_in!E10=0,"",SER_hh_tes_in!E10/SER_hh_fec_in!E10)</f>
        <v/>
      </c>
      <c r="F10" s="137" t="str">
        <f>IF(SER_hh_tes_in!F10=0,"",SER_hh_tes_in!F10/SER_hh_fec_in!F10)</f>
        <v/>
      </c>
      <c r="G10" s="137" t="str">
        <f>IF(SER_hh_tes_in!G10=0,"",SER_hh_tes_in!G10/SER_hh_fec_in!G10)</f>
        <v/>
      </c>
      <c r="H10" s="137" t="str">
        <f>IF(SER_hh_tes_in!H10=0,"",SER_hh_tes_in!H10/SER_hh_fec_in!H10)</f>
        <v/>
      </c>
      <c r="I10" s="137">
        <f>IF(SER_hh_tes_in!I10=0,"",SER_hh_tes_in!I10/SER_hh_fec_in!I10)</f>
        <v>0.4716234986033907</v>
      </c>
      <c r="J10" s="137">
        <f>IF(SER_hh_tes_in!J10=0,"",SER_hh_tes_in!J10/SER_hh_fec_in!J10)</f>
        <v>0.48044497045565576</v>
      </c>
      <c r="K10" s="137" t="str">
        <f>IF(SER_hh_tes_in!K10=0,"",SER_hh_tes_in!K10/SER_hh_fec_in!K10)</f>
        <v/>
      </c>
      <c r="L10" s="137">
        <f>IF(SER_hh_tes_in!L10=0,"",SER_hh_tes_in!L10/SER_hh_fec_in!L10)</f>
        <v>0.49798768150286854</v>
      </c>
      <c r="M10" s="137">
        <f>IF(SER_hh_tes_in!M10=0,"",SER_hh_tes_in!M10/SER_hh_fec_in!M10)</f>
        <v>0.50604039167627568</v>
      </c>
      <c r="N10" s="137">
        <f>IF(SER_hh_tes_in!N10=0,"",SER_hh_tes_in!N10/SER_hh_fec_in!N10)</f>
        <v>0.51306055629157765</v>
      </c>
      <c r="O10" s="137">
        <f>IF(SER_hh_tes_in!O10=0,"",SER_hh_tes_in!O10/SER_hh_fec_in!O10)</f>
        <v>0.51886346387456561</v>
      </c>
      <c r="P10" s="137">
        <f>IF(SER_hh_tes_in!P10=0,"",SER_hh_tes_in!P10/SER_hh_fec_in!P10)</f>
        <v>0.52394627892910595</v>
      </c>
      <c r="Q10" s="137">
        <f>IF(SER_hh_tes_in!Q10=0,"",SER_hh_tes_in!Q10/SER_hh_fec_in!Q10)</f>
        <v>0.52999748188393681</v>
      </c>
      <c r="R10" s="137">
        <f>IF(SER_hh_tes_in!R10=0,"",SER_hh_tes_in!R10/SER_hh_fec_in!R10)</f>
        <v>0.53891978955995246</v>
      </c>
      <c r="S10" s="137" t="str">
        <f>IF(SER_hh_tes_in!S10=0,"",SER_hh_tes_in!S10/SER_hh_fec_in!S10)</f>
        <v/>
      </c>
      <c r="T10" s="137" t="str">
        <f>IF(SER_hh_tes_in!T10=0,"",SER_hh_tes_in!T10/SER_hh_fec_in!T10)</f>
        <v/>
      </c>
      <c r="U10" s="137" t="str">
        <f>IF(SER_hh_tes_in!U10=0,"",SER_hh_tes_in!U10/SER_hh_fec_in!U10)</f>
        <v/>
      </c>
      <c r="V10" s="137">
        <f>IF(SER_hh_tes_in!V10=0,"",SER_hh_tes_in!V10/SER_hh_fec_in!V10)</f>
        <v>0.57598246593629532</v>
      </c>
      <c r="W10" s="137">
        <f>IF(SER_hh_tes_in!W10=0,"",SER_hh_tes_in!W10/SER_hh_fec_in!W10)</f>
        <v>0.58222313802686787</v>
      </c>
      <c r="DA10" s="164" t="s">
        <v>668</v>
      </c>
    </row>
    <row r="11" spans="1:105" ht="12" customHeight="1" x14ac:dyDescent="0.25">
      <c r="A11" s="132" t="s">
        <v>25</v>
      </c>
      <c r="B11" s="137"/>
      <c r="C11" s="137" t="str">
        <f>IF(SER_hh_tes_in!C11=0,"",SER_hh_tes_in!C11/SER_hh_fec_in!C11)</f>
        <v/>
      </c>
      <c r="D11" s="137" t="str">
        <f>IF(SER_hh_tes_in!D11=0,"",SER_hh_tes_in!D11/SER_hh_fec_in!D11)</f>
        <v/>
      </c>
      <c r="E11" s="137" t="str">
        <f>IF(SER_hh_tes_in!E11=0,"",SER_hh_tes_in!E11/SER_hh_fec_in!E11)</f>
        <v/>
      </c>
      <c r="F11" s="137" t="str">
        <f>IF(SER_hh_tes_in!F11=0,"",SER_hh_tes_in!F11/SER_hh_fec_in!F11)</f>
        <v/>
      </c>
      <c r="G11" s="137" t="str">
        <f>IF(SER_hh_tes_in!G11=0,"",SER_hh_tes_in!G11/SER_hh_fec_in!G11)</f>
        <v/>
      </c>
      <c r="H11" s="137" t="str">
        <f>IF(SER_hh_tes_in!H11=0,"",SER_hh_tes_in!H11/SER_hh_fec_in!H11)</f>
        <v/>
      </c>
      <c r="I11" s="137" t="str">
        <f>IF(SER_hh_tes_in!I11=0,"",SER_hh_tes_in!I11/SER_hh_fec_in!I11)</f>
        <v/>
      </c>
      <c r="J11" s="137" t="str">
        <f>IF(SER_hh_tes_in!J11=0,"",SER_hh_tes_in!J11/SER_hh_fec_in!J11)</f>
        <v/>
      </c>
      <c r="K11" s="137" t="str">
        <f>IF(SER_hh_tes_in!K11=0,"",SER_hh_tes_in!K11/SER_hh_fec_in!K11)</f>
        <v/>
      </c>
      <c r="L11" s="137" t="str">
        <f>IF(SER_hh_tes_in!L11=0,"",SER_hh_tes_in!L11/SER_hh_fec_in!L11)</f>
        <v/>
      </c>
      <c r="M11" s="137" t="str">
        <f>IF(SER_hh_tes_in!M11=0,"",SER_hh_tes_in!M11/SER_hh_fec_in!M11)</f>
        <v/>
      </c>
      <c r="N11" s="137" t="str">
        <f>IF(SER_hh_tes_in!N11=0,"",SER_hh_tes_in!N11/SER_hh_fec_in!N11)</f>
        <v/>
      </c>
      <c r="O11" s="137" t="str">
        <f>IF(SER_hh_tes_in!O11=0,"",SER_hh_tes_in!O11/SER_hh_fec_in!O11)</f>
        <v/>
      </c>
      <c r="P11" s="137" t="str">
        <f>IF(SER_hh_tes_in!P11=0,"",SER_hh_tes_in!P11/SER_hh_fec_in!P11)</f>
        <v/>
      </c>
      <c r="Q11" s="137" t="str">
        <f>IF(SER_hh_tes_in!Q11=0,"",SER_hh_tes_in!Q11/SER_hh_fec_in!Q11)</f>
        <v/>
      </c>
      <c r="R11" s="137" t="str">
        <f>IF(SER_hh_tes_in!R11=0,"",SER_hh_tes_in!R11/SER_hh_fec_in!R11)</f>
        <v/>
      </c>
      <c r="S11" s="137" t="str">
        <f>IF(SER_hh_tes_in!S11=0,"",SER_hh_tes_in!S11/SER_hh_fec_in!S11)</f>
        <v/>
      </c>
      <c r="T11" s="137" t="str">
        <f>IF(SER_hh_tes_in!T11=0,"",SER_hh_tes_in!T11/SER_hh_fec_in!T11)</f>
        <v/>
      </c>
      <c r="U11" s="137" t="str">
        <f>IF(SER_hh_tes_in!U11=0,"",SER_hh_tes_in!U11/SER_hh_fec_in!U11)</f>
        <v/>
      </c>
      <c r="V11" s="137" t="str">
        <f>IF(SER_hh_tes_in!V11=0,"",SER_hh_tes_in!V11/SER_hh_fec_in!V11)</f>
        <v/>
      </c>
      <c r="W11" s="137" t="str">
        <f>IF(SER_hh_tes_in!W11=0,"",SER_hh_tes_in!W11/SER_hh_fec_in!W11)</f>
        <v/>
      </c>
      <c r="DA11" s="164" t="s">
        <v>669</v>
      </c>
    </row>
    <row r="12" spans="1:105" ht="12" customHeight="1" x14ac:dyDescent="0.25">
      <c r="A12" s="132" t="s">
        <v>169</v>
      </c>
      <c r="B12" s="137"/>
      <c r="C12" s="137" t="str">
        <f>IF(SER_hh_tes_in!C12=0,"",SER_hh_tes_in!C12/SER_hh_fec_in!C12)</f>
        <v/>
      </c>
      <c r="D12" s="137" t="str">
        <f>IF(SER_hh_tes_in!D12=0,"",SER_hh_tes_in!D12/SER_hh_fec_in!D12)</f>
        <v/>
      </c>
      <c r="E12" s="137" t="str">
        <f>IF(SER_hh_tes_in!E12=0,"",SER_hh_tes_in!E12/SER_hh_fec_in!E12)</f>
        <v/>
      </c>
      <c r="F12" s="137" t="str">
        <f>IF(SER_hh_tes_in!F12=0,"",SER_hh_tes_in!F12/SER_hh_fec_in!F12)</f>
        <v/>
      </c>
      <c r="G12" s="137" t="str">
        <f>IF(SER_hh_tes_in!G12=0,"",SER_hh_tes_in!G12/SER_hh_fec_in!G12)</f>
        <v/>
      </c>
      <c r="H12" s="137" t="str">
        <f>IF(SER_hh_tes_in!H12=0,"",SER_hh_tes_in!H12/SER_hh_fec_in!H12)</f>
        <v/>
      </c>
      <c r="I12" s="137" t="str">
        <f>IF(SER_hh_tes_in!I12=0,"",SER_hh_tes_in!I12/SER_hh_fec_in!I12)</f>
        <v/>
      </c>
      <c r="J12" s="137" t="str">
        <f>IF(SER_hh_tes_in!J12=0,"",SER_hh_tes_in!J12/SER_hh_fec_in!J12)</f>
        <v/>
      </c>
      <c r="K12" s="137" t="str">
        <f>IF(SER_hh_tes_in!K12=0,"",SER_hh_tes_in!K12/SER_hh_fec_in!K12)</f>
        <v/>
      </c>
      <c r="L12" s="137" t="str">
        <f>IF(SER_hh_tes_in!L12=0,"",SER_hh_tes_in!L12/SER_hh_fec_in!L12)</f>
        <v/>
      </c>
      <c r="M12" s="137" t="str">
        <f>IF(SER_hh_tes_in!M12=0,"",SER_hh_tes_in!M12/SER_hh_fec_in!M12)</f>
        <v/>
      </c>
      <c r="N12" s="137" t="str">
        <f>IF(SER_hh_tes_in!N12=0,"",SER_hh_tes_in!N12/SER_hh_fec_in!N12)</f>
        <v/>
      </c>
      <c r="O12" s="137" t="str">
        <f>IF(SER_hh_tes_in!O12=0,"",SER_hh_tes_in!O12/SER_hh_fec_in!O12)</f>
        <v/>
      </c>
      <c r="P12" s="137" t="str">
        <f>IF(SER_hh_tes_in!P12=0,"",SER_hh_tes_in!P12/SER_hh_fec_in!P12)</f>
        <v/>
      </c>
      <c r="Q12" s="137" t="str">
        <f>IF(SER_hh_tes_in!Q12=0,"",SER_hh_tes_in!Q12/SER_hh_fec_in!Q12)</f>
        <v/>
      </c>
      <c r="R12" s="137" t="str">
        <f>IF(SER_hh_tes_in!R12=0,"",SER_hh_tes_in!R12/SER_hh_fec_in!R12)</f>
        <v/>
      </c>
      <c r="S12" s="137" t="str">
        <f>IF(SER_hh_tes_in!S12=0,"",SER_hh_tes_in!S12/SER_hh_fec_in!S12)</f>
        <v/>
      </c>
      <c r="T12" s="137" t="str">
        <f>IF(SER_hh_tes_in!T12=0,"",SER_hh_tes_in!T12/SER_hh_fec_in!T12)</f>
        <v/>
      </c>
      <c r="U12" s="137" t="str">
        <f>IF(SER_hh_tes_in!U12=0,"",SER_hh_tes_in!U12/SER_hh_fec_in!U12)</f>
        <v/>
      </c>
      <c r="V12" s="137" t="str">
        <f>IF(SER_hh_tes_in!V12=0,"",SER_hh_tes_in!V12/SER_hh_fec_in!V12)</f>
        <v/>
      </c>
      <c r="W12" s="137" t="str">
        <f>IF(SER_hh_tes_in!W12=0,"",SER_hh_tes_in!W12/SER_hh_fec_in!W12)</f>
        <v/>
      </c>
      <c r="DA12" s="164" t="s">
        <v>670</v>
      </c>
    </row>
    <row r="13" spans="1:105" ht="12" customHeight="1" x14ac:dyDescent="0.25">
      <c r="A13" s="132" t="s">
        <v>77</v>
      </c>
      <c r="B13" s="137"/>
      <c r="C13" s="137">
        <f>IF(SER_hh_tes_in!C13=0,"",SER_hh_tes_in!C13/SER_hh_fec_in!C13)</f>
        <v>1.4987761551373449</v>
      </c>
      <c r="D13" s="137">
        <f>IF(SER_hh_tes_in!D13=0,"",SER_hh_tes_in!D13/SER_hh_fec_in!D13)</f>
        <v>1.6103692885288212</v>
      </c>
      <c r="E13" s="137">
        <f>IF(SER_hh_tes_in!E13=0,"",SER_hh_tes_in!E13/SER_hh_fec_in!E13)</f>
        <v>1.7251584678599812</v>
      </c>
      <c r="F13" s="137">
        <f>IF(SER_hh_tes_in!F13=0,"",SER_hh_tes_in!F13/SER_hh_fec_in!F13)</f>
        <v>1.8426665320541578</v>
      </c>
      <c r="G13" s="137">
        <f>IF(SER_hh_tes_in!G13=0,"",SER_hh_tes_in!G13/SER_hh_fec_in!G13)</f>
        <v>1.9632899012518759</v>
      </c>
      <c r="H13" s="137">
        <f>IF(SER_hh_tes_in!H13=0,"",SER_hh_tes_in!H13/SER_hh_fec_in!H13)</f>
        <v>2.0869537749788862</v>
      </c>
      <c r="I13" s="137">
        <f>IF(SER_hh_tes_in!I13=0,"",SER_hh_tes_in!I13/SER_hh_fec_in!I13)</f>
        <v>2.2137284543026725</v>
      </c>
      <c r="J13" s="137">
        <f>IF(SER_hh_tes_in!J13=0,"",SER_hh_tes_in!J13/SER_hh_fec_in!J13)</f>
        <v>2.3439629119522563</v>
      </c>
      <c r="K13" s="137">
        <f>IF(SER_hh_tes_in!K13=0,"",SER_hh_tes_in!K13/SER_hh_fec_in!K13)</f>
        <v>2.4779154144587618</v>
      </c>
      <c r="L13" s="137">
        <f>IF(SER_hh_tes_in!L13=0,"",SER_hh_tes_in!L13/SER_hh_fec_in!L13)</f>
        <v>2.6155854104707856</v>
      </c>
      <c r="M13" s="137">
        <f>IF(SER_hh_tes_in!M13=0,"",SER_hh_tes_in!M13/SER_hh_fec_in!M13)</f>
        <v>2.766964417795549</v>
      </c>
      <c r="N13" s="137">
        <f>IF(SER_hh_tes_in!N13=0,"",SER_hh_tes_in!N13/SER_hh_fec_in!N13)</f>
        <v>2.9345905976839179</v>
      </c>
      <c r="O13" s="137">
        <f>IF(SER_hh_tes_in!O13=0,"",SER_hh_tes_in!O13/SER_hh_fec_in!O13)</f>
        <v>3.1167701517490976</v>
      </c>
      <c r="P13" s="137">
        <f>IF(SER_hh_tes_in!P13=0,"",SER_hh_tes_in!P13/SER_hh_fec_in!P13)</f>
        <v>3.2996328814893685</v>
      </c>
      <c r="Q13" s="137">
        <f>IF(SER_hh_tes_in!Q13=0,"",SER_hh_tes_in!Q13/SER_hh_fec_in!Q13)</f>
        <v>3.4495322853269554</v>
      </c>
      <c r="R13" s="137">
        <f>IF(SER_hh_tes_in!R13=0,"",SER_hh_tes_in!R13/SER_hh_fec_in!R13)</f>
        <v>3.5093636213687498</v>
      </c>
      <c r="S13" s="137">
        <f>IF(SER_hh_tes_in!S13=0,"",SER_hh_tes_in!S13/SER_hh_fec_in!S13)</f>
        <v>3.5472345087774211</v>
      </c>
      <c r="T13" s="137">
        <f>IF(SER_hh_tes_in!T13=0,"",SER_hh_tes_in!T13/SER_hh_fec_in!T13)</f>
        <v>3.5715236070227636</v>
      </c>
      <c r="U13" s="137">
        <f>IF(SER_hh_tes_in!U13=0,"",SER_hh_tes_in!U13/SER_hh_fec_in!U13)</f>
        <v>3.5908543978309533</v>
      </c>
      <c r="V13" s="137">
        <f>IF(SER_hh_tes_in!V13=0,"",SER_hh_tes_in!V13/SER_hh_fec_in!V13)</f>
        <v>3.6141890958548273</v>
      </c>
      <c r="W13" s="137">
        <f>IF(SER_hh_tes_in!W13=0,"",SER_hh_tes_in!W13/SER_hh_fec_in!W13)</f>
        <v>3.640865428022436</v>
      </c>
      <c r="DA13" s="164" t="s">
        <v>671</v>
      </c>
    </row>
    <row r="14" spans="1:105" ht="12" customHeight="1" x14ac:dyDescent="0.25">
      <c r="A14" s="60" t="s">
        <v>76</v>
      </c>
      <c r="B14" s="138"/>
      <c r="C14" s="138">
        <f>IF(SER_hh_tes_in!C14=0,"",SER_hh_tes_in!C14/SER_hh_fec_in!C14)</f>
        <v>0.60743000987629014</v>
      </c>
      <c r="D14" s="138">
        <f>IF(SER_hh_tes_in!D14=0,"",SER_hh_tes_in!D14/SER_hh_fec_in!D14)</f>
        <v>0.61175212685404412</v>
      </c>
      <c r="E14" s="138">
        <f>IF(SER_hh_tes_in!E14=0,"",SER_hh_tes_in!E14/SER_hh_fec_in!E14)</f>
        <v>0.61618513039099976</v>
      </c>
      <c r="F14" s="138">
        <f>IF(SER_hh_tes_in!F14=0,"",SER_hh_tes_in!F14/SER_hh_fec_in!F14)</f>
        <v>0.62063311059940973</v>
      </c>
      <c r="G14" s="138">
        <f>IF(SER_hh_tes_in!G14=0,"",SER_hh_tes_in!G14/SER_hh_fec_in!G14)</f>
        <v>0.62518314172520617</v>
      </c>
      <c r="H14" s="138">
        <f>IF(SER_hh_tes_in!H14=0,"",SER_hh_tes_in!H14/SER_hh_fec_in!H14)</f>
        <v>0.62982450519153155</v>
      </c>
      <c r="I14" s="138">
        <f>IF(SER_hh_tes_in!I14=0,"",SER_hh_tes_in!I14/SER_hh_fec_in!I14)</f>
        <v>0.63457856717303873</v>
      </c>
      <c r="J14" s="138">
        <f>IF(SER_hh_tes_in!J14=0,"",SER_hh_tes_in!J14/SER_hh_fec_in!J14)</f>
        <v>0.63953300467202745</v>
      </c>
      <c r="K14" s="138">
        <f>IF(SER_hh_tes_in!K14=0,"",SER_hh_tes_in!K14/SER_hh_fec_in!K14)</f>
        <v>0.64476210990017391</v>
      </c>
      <c r="L14" s="138">
        <f>IF(SER_hh_tes_in!L14=0,"",SER_hh_tes_in!L14/SER_hh_fec_in!L14)</f>
        <v>0.65028523327695831</v>
      </c>
      <c r="M14" s="138" t="str">
        <f>IF(SER_hh_tes_in!M14=0,"",SER_hh_tes_in!M14/SER_hh_fec_in!M14)</f>
        <v/>
      </c>
      <c r="N14" s="138" t="str">
        <f>IF(SER_hh_tes_in!N14=0,"",SER_hh_tes_in!N14/SER_hh_fec_in!N14)</f>
        <v/>
      </c>
      <c r="O14" s="138" t="str">
        <f>IF(SER_hh_tes_in!O14=0,"",SER_hh_tes_in!O14/SER_hh_fec_in!O14)</f>
        <v/>
      </c>
      <c r="P14" s="138" t="str">
        <f>IF(SER_hh_tes_in!P14=0,"",SER_hh_tes_in!P14/SER_hh_fec_in!P14)</f>
        <v/>
      </c>
      <c r="Q14" s="138">
        <f>IF(SER_hh_tes_in!Q14=0,"",SER_hh_tes_in!Q14/SER_hh_fec_in!Q14)</f>
        <v>0.71054693083055509</v>
      </c>
      <c r="R14" s="138">
        <f>IF(SER_hh_tes_in!R14=0,"",SER_hh_tes_in!R14/SER_hh_fec_in!R14)</f>
        <v>0.72761132203242607</v>
      </c>
      <c r="S14" s="138">
        <f>IF(SER_hh_tes_in!S14=0,"",SER_hh_tes_in!S14/SER_hh_fec_in!S14)</f>
        <v>0.7474830972937514</v>
      </c>
      <c r="T14" s="138">
        <f>IF(SER_hh_tes_in!T14=0,"",SER_hh_tes_in!T14/SER_hh_fec_in!T14)</f>
        <v>0.76758996130781587</v>
      </c>
      <c r="U14" s="138">
        <f>IF(SER_hh_tes_in!U14=0,"",SER_hh_tes_in!U14/SER_hh_fec_in!U14)</f>
        <v>0.78536704290700243</v>
      </c>
      <c r="V14" s="138">
        <f>IF(SER_hh_tes_in!V14=0,"",SER_hh_tes_in!V14/SER_hh_fec_in!V14)</f>
        <v>0.79824210784592586</v>
      </c>
      <c r="W14" s="138">
        <f>IF(SER_hh_tes_in!W14=0,"",SER_hh_tes_in!W14/SER_hh_fec_in!W14)</f>
        <v>0.80470998072433741</v>
      </c>
      <c r="DA14" s="165" t="s">
        <v>672</v>
      </c>
    </row>
    <row r="15" spans="1:105" ht="12" customHeight="1" x14ac:dyDescent="0.25">
      <c r="A15" s="134" t="s">
        <v>80</v>
      </c>
      <c r="B15" s="139"/>
      <c r="C15" s="139" t="str">
        <f>IF(SER_hh_tes_in!C15=0,"",SER_hh_tes_in!C15/SER_hh_fec_in!C15)</f>
        <v/>
      </c>
      <c r="D15" s="139" t="str">
        <f>IF(SER_hh_tes_in!D15=0,"",SER_hh_tes_in!D15/SER_hh_fec_in!D15)</f>
        <v/>
      </c>
      <c r="E15" s="139" t="str">
        <f>IF(SER_hh_tes_in!E15=0,"",SER_hh_tes_in!E15/SER_hh_fec_in!E15)</f>
        <v/>
      </c>
      <c r="F15" s="139" t="str">
        <f>IF(SER_hh_tes_in!F15=0,"",SER_hh_tes_in!F15/SER_hh_fec_in!F15)</f>
        <v/>
      </c>
      <c r="G15" s="139" t="str">
        <f>IF(SER_hh_tes_in!G15=0,"",SER_hh_tes_in!G15/SER_hh_fec_in!G15)</f>
        <v/>
      </c>
      <c r="H15" s="139" t="str">
        <f>IF(SER_hh_tes_in!H15=0,"",SER_hh_tes_in!H15/SER_hh_fec_in!H15)</f>
        <v/>
      </c>
      <c r="I15" s="139">
        <f>IF(SER_hh_tes_in!I15=0,"",SER_hh_tes_in!I15/SER_hh_fec_in!I15)</f>
        <v>1</v>
      </c>
      <c r="J15" s="139">
        <f>IF(SER_hh_tes_in!J15=0,"",SER_hh_tes_in!J15/SER_hh_fec_in!J15)</f>
        <v>1</v>
      </c>
      <c r="K15" s="139">
        <f>IF(SER_hh_tes_in!K15=0,"",SER_hh_tes_in!K15/SER_hh_fec_in!K15)</f>
        <v>1</v>
      </c>
      <c r="L15" s="139">
        <f>IF(SER_hh_tes_in!L15=0,"",SER_hh_tes_in!L15/SER_hh_fec_in!L15)</f>
        <v>1</v>
      </c>
      <c r="M15" s="139">
        <f>IF(SER_hh_tes_in!M15=0,"",SER_hh_tes_in!M15/SER_hh_fec_in!M15)</f>
        <v>1</v>
      </c>
      <c r="N15" s="139">
        <f>IF(SER_hh_tes_in!N15=0,"",SER_hh_tes_in!N15/SER_hh_fec_in!N15)</f>
        <v>1</v>
      </c>
      <c r="O15" s="139">
        <f>IF(SER_hh_tes_in!O15=0,"",SER_hh_tes_in!O15/SER_hh_fec_in!O15)</f>
        <v>1</v>
      </c>
      <c r="P15" s="139">
        <f>IF(SER_hh_tes_in!P15=0,"",SER_hh_tes_in!P15/SER_hh_fec_in!P15)</f>
        <v>1</v>
      </c>
      <c r="Q15" s="139">
        <f>IF(SER_hh_tes_in!Q15=0,"",SER_hh_tes_in!Q15/SER_hh_fec_in!Q15)</f>
        <v>1</v>
      </c>
      <c r="R15" s="139">
        <f>IF(SER_hh_tes_in!R15=0,"",SER_hh_tes_in!R15/SER_hh_fec_in!R15)</f>
        <v>1</v>
      </c>
      <c r="S15" s="139">
        <f>IF(SER_hh_tes_in!S15=0,"",SER_hh_tes_in!S15/SER_hh_fec_in!S15)</f>
        <v>1</v>
      </c>
      <c r="T15" s="139">
        <f>IF(SER_hh_tes_in!T15=0,"",SER_hh_tes_in!T15/SER_hh_fec_in!T15)</f>
        <v>1</v>
      </c>
      <c r="U15" s="139">
        <f>IF(SER_hh_tes_in!U15=0,"",SER_hh_tes_in!U15/SER_hh_fec_in!U15)</f>
        <v>1</v>
      </c>
      <c r="V15" s="139">
        <f>IF(SER_hh_tes_in!V15=0,"",SER_hh_tes_in!V15/SER_hh_fec_in!V15)</f>
        <v>1</v>
      </c>
      <c r="W15" s="139">
        <f>IF(SER_hh_tes_in!W15=0,"",SER_hh_tes_in!W15/SER_hh_fec_in!W15)</f>
        <v>1</v>
      </c>
      <c r="DA15" s="166" t="s">
        <v>673</v>
      </c>
    </row>
    <row r="16" spans="1:105" ht="12.95" customHeight="1" x14ac:dyDescent="0.25">
      <c r="A16" s="130" t="s">
        <v>74</v>
      </c>
      <c r="B16" s="136"/>
      <c r="C16" s="136">
        <f>IF(SER_hh_tes_in!C16=0,"",SER_hh_tes_in!C16/SER_hh_fec_in!C16)</f>
        <v>2.4277532884680171</v>
      </c>
      <c r="D16" s="136">
        <f>IF(SER_hh_tes_in!D16=0,"",SER_hh_tes_in!D16/SER_hh_fec_in!D16)</f>
        <v>2.512882991393294</v>
      </c>
      <c r="E16" s="136">
        <f>IF(SER_hh_tes_in!E16=0,"",SER_hh_tes_in!E16/SER_hh_fec_in!E16)</f>
        <v>2.5989115467538744</v>
      </c>
      <c r="F16" s="136">
        <f>IF(SER_hh_tes_in!F16=0,"",SER_hh_tes_in!F16/SER_hh_fec_in!F16)</f>
        <v>2.6850324943119288</v>
      </c>
      <c r="G16" s="136">
        <f>IF(SER_hh_tes_in!G16=0,"",SER_hh_tes_in!G16/SER_hh_fec_in!G16)</f>
        <v>2.7719718039957773</v>
      </c>
      <c r="H16" s="136">
        <f>IF(SER_hh_tes_in!H16=0,"",SER_hh_tes_in!H16/SER_hh_fec_in!H16)</f>
        <v>2.8596359084197518</v>
      </c>
      <c r="I16" s="136">
        <f>IF(SER_hh_tes_in!I16=0,"",SER_hh_tes_in!I16/SER_hh_fec_in!I16)</f>
        <v>2.9481987827621365</v>
      </c>
      <c r="J16" s="136">
        <f>IF(SER_hh_tes_in!J16=0,"",SER_hh_tes_in!J16/SER_hh_fec_in!J16)</f>
        <v>3.0383840850684916</v>
      </c>
      <c r="K16" s="136">
        <f>IF(SER_hh_tes_in!K16=0,"",SER_hh_tes_in!K16/SER_hh_fec_in!K16)</f>
        <v>3.1308002824774128</v>
      </c>
      <c r="L16" s="136">
        <f>IF(SER_hh_tes_in!L16=0,"",SER_hh_tes_in!L16/SER_hh_fec_in!L16)</f>
        <v>3.2255978149259614</v>
      </c>
      <c r="M16" s="136">
        <f>IF(SER_hh_tes_in!M16=0,"",SER_hh_tes_in!M16/SER_hh_fec_in!M16)</f>
        <v>3.3388245347765309</v>
      </c>
      <c r="N16" s="136">
        <f>IF(SER_hh_tes_in!N16=0,"",SER_hh_tes_in!N16/SER_hh_fec_in!N16)</f>
        <v>3.4757322628768978</v>
      </c>
      <c r="O16" s="136">
        <f>IF(SER_hh_tes_in!O16=0,"",SER_hh_tes_in!O16/SER_hh_fec_in!O16)</f>
        <v>3.6392244568876255</v>
      </c>
      <c r="P16" s="136">
        <f>IF(SER_hh_tes_in!P16=0,"",SER_hh_tes_in!P16/SER_hh_fec_in!P16)</f>
        <v>3.8165282207999027</v>
      </c>
      <c r="Q16" s="136">
        <f>IF(SER_hh_tes_in!Q16=0,"",SER_hh_tes_in!Q16/SER_hh_fec_in!Q16)</f>
        <v>3.9689001652711124</v>
      </c>
      <c r="R16" s="136">
        <f>IF(SER_hh_tes_in!R16=0,"",SER_hh_tes_in!R16/SER_hh_fec_in!R16)</f>
        <v>4.0644919565958118</v>
      </c>
      <c r="S16" s="136">
        <f>IF(SER_hh_tes_in!S16=0,"",SER_hh_tes_in!S16/SER_hh_fec_in!S16)</f>
        <v>4.1405783289903937</v>
      </c>
      <c r="T16" s="136">
        <f>IF(SER_hh_tes_in!T16=0,"",SER_hh_tes_in!T16/SER_hh_fec_in!T16)</f>
        <v>4.2041513895173548</v>
      </c>
      <c r="U16" s="136">
        <f>IF(SER_hh_tes_in!U16=0,"",SER_hh_tes_in!U16/SER_hh_fec_in!U16)</f>
        <v>4.2620265052558972</v>
      </c>
      <c r="V16" s="136">
        <f>IF(SER_hh_tes_in!V16=0,"",SER_hh_tes_in!V16/SER_hh_fec_in!V16)</f>
        <v>4.3210365168584204</v>
      </c>
      <c r="W16" s="136">
        <f>IF(SER_hh_tes_in!W16=0,"",SER_hh_tes_in!W16/SER_hh_fec_in!W16)</f>
        <v>4.3788081425024057</v>
      </c>
      <c r="DA16" s="163" t="s">
        <v>674</v>
      </c>
    </row>
    <row r="17" spans="1:105" ht="12.95" customHeight="1" x14ac:dyDescent="0.25">
      <c r="A17" s="132" t="s">
        <v>73</v>
      </c>
      <c r="B17" s="137"/>
      <c r="C17" s="137" t="str">
        <f>IF(SER_hh_tes_in!C17=0,"",SER_hh_tes_in!C17/SER_hh_fec_in!C17)</f>
        <v/>
      </c>
      <c r="D17" s="137" t="str">
        <f>IF(SER_hh_tes_in!D17=0,"",SER_hh_tes_in!D17/SER_hh_fec_in!D17)</f>
        <v/>
      </c>
      <c r="E17" s="137" t="str">
        <f>IF(SER_hh_tes_in!E17=0,"",SER_hh_tes_in!E17/SER_hh_fec_in!E17)</f>
        <v/>
      </c>
      <c r="F17" s="137" t="str">
        <f>IF(SER_hh_tes_in!F17=0,"",SER_hh_tes_in!F17/SER_hh_fec_in!F17)</f>
        <v/>
      </c>
      <c r="G17" s="137" t="str">
        <f>IF(SER_hh_tes_in!G17=0,"",SER_hh_tes_in!G17/SER_hh_fec_in!G17)</f>
        <v/>
      </c>
      <c r="H17" s="137" t="str">
        <f>IF(SER_hh_tes_in!H17=0,"",SER_hh_tes_in!H17/SER_hh_fec_in!H17)</f>
        <v/>
      </c>
      <c r="I17" s="137" t="str">
        <f>IF(SER_hh_tes_in!I17=0,"",SER_hh_tes_in!I17/SER_hh_fec_in!I17)</f>
        <v/>
      </c>
      <c r="J17" s="137" t="str">
        <f>IF(SER_hh_tes_in!J17=0,"",SER_hh_tes_in!J17/SER_hh_fec_in!J17)</f>
        <v/>
      </c>
      <c r="K17" s="137" t="str">
        <f>IF(SER_hh_tes_in!K17=0,"",SER_hh_tes_in!K17/SER_hh_fec_in!K17)</f>
        <v/>
      </c>
      <c r="L17" s="137" t="str">
        <f>IF(SER_hh_tes_in!L17=0,"",SER_hh_tes_in!L17/SER_hh_fec_in!L17)</f>
        <v/>
      </c>
      <c r="M17" s="137" t="str">
        <f>IF(SER_hh_tes_in!M17=0,"",SER_hh_tes_in!M17/SER_hh_fec_in!M17)</f>
        <v/>
      </c>
      <c r="N17" s="137" t="str">
        <f>IF(SER_hh_tes_in!N17=0,"",SER_hh_tes_in!N17/SER_hh_fec_in!N17)</f>
        <v/>
      </c>
      <c r="O17" s="137" t="str">
        <f>IF(SER_hh_tes_in!O17=0,"",SER_hh_tes_in!O17/SER_hh_fec_in!O17)</f>
        <v/>
      </c>
      <c r="P17" s="137" t="str">
        <f>IF(SER_hh_tes_in!P17=0,"",SER_hh_tes_in!P17/SER_hh_fec_in!P17)</f>
        <v/>
      </c>
      <c r="Q17" s="137" t="str">
        <f>IF(SER_hh_tes_in!Q17=0,"",SER_hh_tes_in!Q17/SER_hh_fec_in!Q17)</f>
        <v/>
      </c>
      <c r="R17" s="137" t="str">
        <f>IF(SER_hh_tes_in!R17=0,"",SER_hh_tes_in!R17/SER_hh_fec_in!R17)</f>
        <v/>
      </c>
      <c r="S17" s="137" t="str">
        <f>IF(SER_hh_tes_in!S17=0,"",SER_hh_tes_in!S17/SER_hh_fec_in!S17)</f>
        <v/>
      </c>
      <c r="T17" s="137" t="str">
        <f>IF(SER_hh_tes_in!T17=0,"",SER_hh_tes_in!T17/SER_hh_fec_in!T17)</f>
        <v/>
      </c>
      <c r="U17" s="137" t="str">
        <f>IF(SER_hh_tes_in!U17=0,"",SER_hh_tes_in!U17/SER_hh_fec_in!U17)</f>
        <v/>
      </c>
      <c r="V17" s="137" t="str">
        <f>IF(SER_hh_tes_in!V17=0,"",SER_hh_tes_in!V17/SER_hh_fec_in!V17)</f>
        <v/>
      </c>
      <c r="W17" s="137" t="str">
        <f>IF(SER_hh_tes_in!W17=0,"",SER_hh_tes_in!W17/SER_hh_fec_in!W17)</f>
        <v/>
      </c>
      <c r="DA17" s="164" t="s">
        <v>675</v>
      </c>
    </row>
    <row r="18" spans="1:105" ht="12" customHeight="1" x14ac:dyDescent="0.25">
      <c r="A18" s="132" t="s">
        <v>72</v>
      </c>
      <c r="B18" s="137"/>
      <c r="C18" s="137">
        <f>IF(SER_hh_tes_in!C18=0,"",SER_hh_tes_in!C18/SER_hh_fec_in!C18)</f>
        <v>2.4277532884680171</v>
      </c>
      <c r="D18" s="137">
        <f>IF(SER_hh_tes_in!D18=0,"",SER_hh_tes_in!D18/SER_hh_fec_in!D18)</f>
        <v>2.512882991393294</v>
      </c>
      <c r="E18" s="137">
        <f>IF(SER_hh_tes_in!E18=0,"",SER_hh_tes_in!E18/SER_hh_fec_in!E18)</f>
        <v>2.5989115467538744</v>
      </c>
      <c r="F18" s="137">
        <f>IF(SER_hh_tes_in!F18=0,"",SER_hh_tes_in!F18/SER_hh_fec_in!F18)</f>
        <v>2.6850324943119288</v>
      </c>
      <c r="G18" s="137">
        <f>IF(SER_hh_tes_in!G18=0,"",SER_hh_tes_in!G18/SER_hh_fec_in!G18)</f>
        <v>2.7719718039957773</v>
      </c>
      <c r="H18" s="137">
        <f>IF(SER_hh_tes_in!H18=0,"",SER_hh_tes_in!H18/SER_hh_fec_in!H18)</f>
        <v>2.8596359084197518</v>
      </c>
      <c r="I18" s="137">
        <f>IF(SER_hh_tes_in!I18=0,"",SER_hh_tes_in!I18/SER_hh_fec_in!I18)</f>
        <v>2.9481987827621365</v>
      </c>
      <c r="J18" s="137">
        <f>IF(SER_hh_tes_in!J18=0,"",SER_hh_tes_in!J18/SER_hh_fec_in!J18)</f>
        <v>3.0383840850684916</v>
      </c>
      <c r="K18" s="137">
        <f>IF(SER_hh_tes_in!K18=0,"",SER_hh_tes_in!K18/SER_hh_fec_in!K18)</f>
        <v>3.1308002824774128</v>
      </c>
      <c r="L18" s="137">
        <f>IF(SER_hh_tes_in!L18=0,"",SER_hh_tes_in!L18/SER_hh_fec_in!L18)</f>
        <v>3.2255978149259614</v>
      </c>
      <c r="M18" s="137">
        <f>IF(SER_hh_tes_in!M18=0,"",SER_hh_tes_in!M18/SER_hh_fec_in!M18)</f>
        <v>3.3388245347765309</v>
      </c>
      <c r="N18" s="137">
        <f>IF(SER_hh_tes_in!N18=0,"",SER_hh_tes_in!N18/SER_hh_fec_in!N18)</f>
        <v>3.4757322628768978</v>
      </c>
      <c r="O18" s="137">
        <f>IF(SER_hh_tes_in!O18=0,"",SER_hh_tes_in!O18/SER_hh_fec_in!O18)</f>
        <v>3.6392244568876255</v>
      </c>
      <c r="P18" s="137">
        <f>IF(SER_hh_tes_in!P18=0,"",SER_hh_tes_in!P18/SER_hh_fec_in!P18)</f>
        <v>3.8165282207999027</v>
      </c>
      <c r="Q18" s="137">
        <f>IF(SER_hh_tes_in!Q18=0,"",SER_hh_tes_in!Q18/SER_hh_fec_in!Q18)</f>
        <v>3.9689001652711124</v>
      </c>
      <c r="R18" s="137">
        <f>IF(SER_hh_tes_in!R18=0,"",SER_hh_tes_in!R18/SER_hh_fec_in!R18)</f>
        <v>4.0644919565958118</v>
      </c>
      <c r="S18" s="137">
        <f>IF(SER_hh_tes_in!S18=0,"",SER_hh_tes_in!S18/SER_hh_fec_in!S18)</f>
        <v>4.1405783289903937</v>
      </c>
      <c r="T18" s="137">
        <f>IF(SER_hh_tes_in!T18=0,"",SER_hh_tes_in!T18/SER_hh_fec_in!T18)</f>
        <v>4.2041513895173548</v>
      </c>
      <c r="U18" s="137">
        <f>IF(SER_hh_tes_in!U18=0,"",SER_hh_tes_in!U18/SER_hh_fec_in!U18)</f>
        <v>4.2620265052558972</v>
      </c>
      <c r="V18" s="137">
        <f>IF(SER_hh_tes_in!V18=0,"",SER_hh_tes_in!V18/SER_hh_fec_in!V18)</f>
        <v>4.3210365168584204</v>
      </c>
      <c r="W18" s="137">
        <f>IF(SER_hh_tes_in!W18=0,"",SER_hh_tes_in!W18/SER_hh_fec_in!W18)</f>
        <v>4.3788081425024057</v>
      </c>
      <c r="DA18" s="164" t="s">
        <v>676</v>
      </c>
    </row>
    <row r="19" spans="1:105" ht="12.95" customHeight="1" x14ac:dyDescent="0.25">
      <c r="A19" s="130" t="s">
        <v>35</v>
      </c>
      <c r="B19" s="136"/>
      <c r="C19" s="136">
        <f>IF(SER_hh_tes_in!C19=0,"",SER_hh_tes_in!C19/SER_hh_fec_in!C19)</f>
        <v>0.70987977285567527</v>
      </c>
      <c r="D19" s="136">
        <f>IF(SER_hh_tes_in!D19=0,"",SER_hh_tes_in!D19/SER_hh_fec_in!D19)</f>
        <v>0.85700043525997716</v>
      </c>
      <c r="E19" s="136">
        <f>IF(SER_hh_tes_in!E19=0,"",SER_hh_tes_in!E19/SER_hh_fec_in!E19)</f>
        <v>0.82066829012383158</v>
      </c>
      <c r="F19" s="136">
        <f>IF(SER_hh_tes_in!F19=0,"",SER_hh_tes_in!F19/SER_hh_fec_in!F19)</f>
        <v>0.82648333395886975</v>
      </c>
      <c r="G19" s="136">
        <f>IF(SER_hh_tes_in!G19=0,"",SER_hh_tes_in!G19/SER_hh_fec_in!G19)</f>
        <v>0.80396141098612395</v>
      </c>
      <c r="H19" s="136">
        <f>IF(SER_hh_tes_in!H19=0,"",SER_hh_tes_in!H19/SER_hh_fec_in!H19)</f>
        <v>0.79230084313090909</v>
      </c>
      <c r="I19" s="136">
        <f>IF(SER_hh_tes_in!I19=0,"",SER_hh_tes_in!I19/SER_hh_fec_in!I19)</f>
        <v>0.77516759621482567</v>
      </c>
      <c r="J19" s="136">
        <f>IF(SER_hh_tes_in!J19=0,"",SER_hh_tes_in!J19/SER_hh_fec_in!J19)</f>
        <v>0.77358496319962522</v>
      </c>
      <c r="K19" s="136">
        <f>IF(SER_hh_tes_in!K19=0,"",SER_hh_tes_in!K19/SER_hh_fec_in!K19)</f>
        <v>0.93125056830283004</v>
      </c>
      <c r="L19" s="136">
        <f>IF(SER_hh_tes_in!L19=0,"",SER_hh_tes_in!L19/SER_hh_fec_in!L19)</f>
        <v>0.93516662861659194</v>
      </c>
      <c r="M19" s="136">
        <f>IF(SER_hh_tes_in!M19=0,"",SER_hh_tes_in!M19/SER_hh_fec_in!M19)</f>
        <v>0.96387436710317476</v>
      </c>
      <c r="N19" s="136">
        <f>IF(SER_hh_tes_in!N19=0,"",SER_hh_tes_in!N19/SER_hh_fec_in!N19)</f>
        <v>0.82820947706269465</v>
      </c>
      <c r="O19" s="136">
        <f>IF(SER_hh_tes_in!O19=0,"",SER_hh_tes_in!O19/SER_hh_fec_in!O19)</f>
        <v>0.81365702197778178</v>
      </c>
      <c r="P19" s="136">
        <f>IF(SER_hh_tes_in!P19=0,"",SER_hh_tes_in!P19/SER_hh_fec_in!P19)</f>
        <v>0.98066914075338718</v>
      </c>
      <c r="Q19" s="136">
        <f>IF(SER_hh_tes_in!Q19=0,"",SER_hh_tes_in!Q19/SER_hh_fec_in!Q19)</f>
        <v>0.98285887767431235</v>
      </c>
      <c r="R19" s="136">
        <f>IF(SER_hh_tes_in!R19=0,"",SER_hh_tes_in!R19/SER_hh_fec_in!R19)</f>
        <v>0.97760848134682921</v>
      </c>
      <c r="S19" s="136">
        <f>IF(SER_hh_tes_in!S19=0,"",SER_hh_tes_in!S19/SER_hh_fec_in!S19)</f>
        <v>0.96436653764174718</v>
      </c>
      <c r="T19" s="136">
        <f>IF(SER_hh_tes_in!T19=0,"",SER_hh_tes_in!T19/SER_hh_fec_in!T19)</f>
        <v>0.9495855925320591</v>
      </c>
      <c r="U19" s="136">
        <f>IF(SER_hh_tes_in!U19=0,"",SER_hh_tes_in!U19/SER_hh_fec_in!U19)</f>
        <v>0.93941702737959509</v>
      </c>
      <c r="V19" s="136">
        <f>IF(SER_hh_tes_in!V19=0,"",SER_hh_tes_in!V19/SER_hh_fec_in!V19)</f>
        <v>0.96917995284603098</v>
      </c>
      <c r="W19" s="136">
        <f>IF(SER_hh_tes_in!W19=0,"",SER_hh_tes_in!W19/SER_hh_fec_in!W19)</f>
        <v>0.93662389326048112</v>
      </c>
      <c r="DA19" s="163" t="s">
        <v>677</v>
      </c>
    </row>
    <row r="20" spans="1:105" ht="12" customHeight="1" x14ac:dyDescent="0.25">
      <c r="A20" s="132" t="s">
        <v>29</v>
      </c>
      <c r="B20" s="137"/>
      <c r="C20" s="137" t="str">
        <f>IF(SER_hh_tes_in!C20=0,"",SER_hh_tes_in!C20/SER_hh_fec_in!C20)</f>
        <v/>
      </c>
      <c r="D20" s="137" t="str">
        <f>IF(SER_hh_tes_in!D20=0,"",SER_hh_tes_in!D20/SER_hh_fec_in!D20)</f>
        <v/>
      </c>
      <c r="E20" s="137" t="str">
        <f>IF(SER_hh_tes_in!E20=0,"",SER_hh_tes_in!E20/SER_hh_fec_in!E20)</f>
        <v/>
      </c>
      <c r="F20" s="137" t="str">
        <f>IF(SER_hh_tes_in!F20=0,"",SER_hh_tes_in!F20/SER_hh_fec_in!F20)</f>
        <v/>
      </c>
      <c r="G20" s="137" t="str">
        <f>IF(SER_hh_tes_in!G20=0,"",SER_hh_tes_in!G20/SER_hh_fec_in!G20)</f>
        <v/>
      </c>
      <c r="H20" s="137" t="str">
        <f>IF(SER_hh_tes_in!H20=0,"",SER_hh_tes_in!H20/SER_hh_fec_in!H20)</f>
        <v/>
      </c>
      <c r="I20" s="137" t="str">
        <f>IF(SER_hh_tes_in!I20=0,"",SER_hh_tes_in!I20/SER_hh_fec_in!I20)</f>
        <v/>
      </c>
      <c r="J20" s="137" t="str">
        <f>IF(SER_hh_tes_in!J20=0,"",SER_hh_tes_in!J20/SER_hh_fec_in!J20)</f>
        <v/>
      </c>
      <c r="K20" s="137" t="str">
        <f>IF(SER_hh_tes_in!K20=0,"",SER_hh_tes_in!K20/SER_hh_fec_in!K20)</f>
        <v/>
      </c>
      <c r="L20" s="137" t="str">
        <f>IF(SER_hh_tes_in!L20=0,"",SER_hh_tes_in!L20/SER_hh_fec_in!L20)</f>
        <v/>
      </c>
      <c r="M20" s="137" t="str">
        <f>IF(SER_hh_tes_in!M20=0,"",SER_hh_tes_in!M20/SER_hh_fec_in!M20)</f>
        <v/>
      </c>
      <c r="N20" s="137" t="str">
        <f>IF(SER_hh_tes_in!N20=0,"",SER_hh_tes_in!N20/SER_hh_fec_in!N20)</f>
        <v/>
      </c>
      <c r="O20" s="137" t="str">
        <f>IF(SER_hh_tes_in!O20=0,"",SER_hh_tes_in!O20/SER_hh_fec_in!O20)</f>
        <v/>
      </c>
      <c r="P20" s="137" t="str">
        <f>IF(SER_hh_tes_in!P20=0,"",SER_hh_tes_in!P20/SER_hh_fec_in!P20)</f>
        <v/>
      </c>
      <c r="Q20" s="137" t="str">
        <f>IF(SER_hh_tes_in!Q20=0,"",SER_hh_tes_in!Q20/SER_hh_fec_in!Q20)</f>
        <v/>
      </c>
      <c r="R20" s="137" t="str">
        <f>IF(SER_hh_tes_in!R20=0,"",SER_hh_tes_in!R20/SER_hh_fec_in!R20)</f>
        <v/>
      </c>
      <c r="S20" s="137" t="str">
        <f>IF(SER_hh_tes_in!S20=0,"",SER_hh_tes_in!S20/SER_hh_fec_in!S20)</f>
        <v/>
      </c>
      <c r="T20" s="137" t="str">
        <f>IF(SER_hh_tes_in!T20=0,"",SER_hh_tes_in!T20/SER_hh_fec_in!T20)</f>
        <v/>
      </c>
      <c r="U20" s="137" t="str">
        <f>IF(SER_hh_tes_in!U20=0,"",SER_hh_tes_in!U20/SER_hh_fec_in!U20)</f>
        <v/>
      </c>
      <c r="V20" s="137" t="str">
        <f>IF(SER_hh_tes_in!V20=0,"",SER_hh_tes_in!V20/SER_hh_fec_in!V20)</f>
        <v/>
      </c>
      <c r="W20" s="137" t="str">
        <f>IF(SER_hh_tes_in!W20=0,"",SER_hh_tes_in!W20/SER_hh_fec_in!W20)</f>
        <v/>
      </c>
      <c r="DA20" s="164" t="s">
        <v>678</v>
      </c>
    </row>
    <row r="21" spans="1:105" s="2" customFormat="1" ht="12" customHeight="1" x14ac:dyDescent="0.25">
      <c r="A21" s="132" t="s">
        <v>52</v>
      </c>
      <c r="B21" s="137"/>
      <c r="C21" s="137" t="str">
        <f>IF(SER_hh_tes_in!C21=0,"",SER_hh_tes_in!C21/SER_hh_fec_in!C21)</f>
        <v/>
      </c>
      <c r="D21" s="137" t="str">
        <f>IF(SER_hh_tes_in!D21=0,"",SER_hh_tes_in!D21/SER_hh_fec_in!D21)</f>
        <v/>
      </c>
      <c r="E21" s="137" t="str">
        <f>IF(SER_hh_tes_in!E21=0,"",SER_hh_tes_in!E21/SER_hh_fec_in!E21)</f>
        <v/>
      </c>
      <c r="F21" s="137" t="str">
        <f>IF(SER_hh_tes_in!F21=0,"",SER_hh_tes_in!F21/SER_hh_fec_in!F21)</f>
        <v/>
      </c>
      <c r="G21" s="137" t="str">
        <f>IF(SER_hh_tes_in!G21=0,"",SER_hh_tes_in!G21/SER_hh_fec_in!G21)</f>
        <v/>
      </c>
      <c r="H21" s="137">
        <f>IF(SER_hh_tes_in!H21=0,"",SER_hh_tes_in!H21/SER_hh_fec_in!H21)</f>
        <v>0.64540916035680029</v>
      </c>
      <c r="I21" s="137">
        <f>IF(SER_hh_tes_in!I21=0,"",SER_hh_tes_in!I21/SER_hh_fec_in!I21)</f>
        <v>0.6480724106659661</v>
      </c>
      <c r="J21" s="137">
        <f>IF(SER_hh_tes_in!J21=0,"",SER_hh_tes_in!J21/SER_hh_fec_in!J21)</f>
        <v>0.65122061688069854</v>
      </c>
      <c r="K21" s="137">
        <f>IF(SER_hh_tes_in!K21=0,"",SER_hh_tes_in!K21/SER_hh_fec_in!K21)</f>
        <v>0.65503417778525663</v>
      </c>
      <c r="L21" s="137">
        <f>IF(SER_hh_tes_in!L21=0,"",SER_hh_tes_in!L21/SER_hh_fec_in!L21)</f>
        <v>0.65956135745040534</v>
      </c>
      <c r="M21" s="137" t="str">
        <f>IF(SER_hh_tes_in!M21=0,"",SER_hh_tes_in!M21/SER_hh_fec_in!M21)</f>
        <v/>
      </c>
      <c r="N21" s="137" t="str">
        <f>IF(SER_hh_tes_in!N21=0,"",SER_hh_tes_in!N21/SER_hh_fec_in!N21)</f>
        <v/>
      </c>
      <c r="O21" s="137" t="str">
        <f>IF(SER_hh_tes_in!O21=0,"",SER_hh_tes_in!O21/SER_hh_fec_in!O21)</f>
        <v/>
      </c>
      <c r="P21" s="137" t="str">
        <f>IF(SER_hh_tes_in!P21=0,"",SER_hh_tes_in!P21/SER_hh_fec_in!P21)</f>
        <v/>
      </c>
      <c r="Q21" s="137" t="str">
        <f>IF(SER_hh_tes_in!Q21=0,"",SER_hh_tes_in!Q21/SER_hh_fec_in!Q21)</f>
        <v/>
      </c>
      <c r="R21" s="137">
        <f>IF(SER_hh_tes_in!R21=0,"",SER_hh_tes_in!R21/SER_hh_fec_in!R21)</f>
        <v>0.78007578931627419</v>
      </c>
      <c r="S21" s="137">
        <f>IF(SER_hh_tes_in!S21=0,"",SER_hh_tes_in!S21/SER_hh_fec_in!S21)</f>
        <v>0.79688438112915794</v>
      </c>
      <c r="T21" s="137">
        <f>IF(SER_hh_tes_in!T21=0,"",SER_hh_tes_in!T21/SER_hh_fec_in!T21)</f>
        <v>0.812107256733265</v>
      </c>
      <c r="U21" s="137">
        <f>IF(SER_hh_tes_in!U21=0,"",SER_hh_tes_in!U21/SER_hh_fec_in!U21)</f>
        <v>0.8247929864033573</v>
      </c>
      <c r="V21" s="137">
        <f>IF(SER_hh_tes_in!V21=0,"",SER_hh_tes_in!V21/SER_hh_fec_in!V21)</f>
        <v>0.83399014041417441</v>
      </c>
      <c r="W21" s="137">
        <f>IF(SER_hh_tes_in!W21=0,"",SER_hh_tes_in!W21/SER_hh_fec_in!W21)</f>
        <v>0.83831637243843504</v>
      </c>
      <c r="DA21" s="164" t="s">
        <v>679</v>
      </c>
    </row>
    <row r="22" spans="1:105" ht="12" customHeight="1" x14ac:dyDescent="0.25">
      <c r="A22" s="132" t="s">
        <v>168</v>
      </c>
      <c r="B22" s="137"/>
      <c r="C22" s="137">
        <f>IF(SER_hh_tes_in!C22=0,"",SER_hh_tes_in!C22/SER_hh_fec_in!C22)</f>
        <v>0.4389036976790191</v>
      </c>
      <c r="D22" s="137">
        <f>IF(SER_hh_tes_in!D22=0,"",SER_hh_tes_in!D22/SER_hh_fec_in!D22)</f>
        <v>0.4409036426454182</v>
      </c>
      <c r="E22" s="137">
        <f>IF(SER_hh_tes_in!E22=0,"",SER_hh_tes_in!E22/SER_hh_fec_in!E22)</f>
        <v>0.44323466636077546</v>
      </c>
      <c r="F22" s="137">
        <f>IF(SER_hh_tes_in!F22=0,"",SER_hh_tes_in!F22/SER_hh_fec_in!F22)</f>
        <v>0.44561083717826333</v>
      </c>
      <c r="G22" s="137">
        <f>IF(SER_hh_tes_in!G22=0,"",SER_hh_tes_in!G22/SER_hh_fec_in!G22)</f>
        <v>0.44829191204980617</v>
      </c>
      <c r="H22" s="137">
        <f>IF(SER_hh_tes_in!H22=0,"",SER_hh_tes_in!H22/SER_hh_fec_in!H22)</f>
        <v>0.45124610003137966</v>
      </c>
      <c r="I22" s="137">
        <f>IF(SER_hh_tes_in!I22=0,"",SER_hh_tes_in!I22/SER_hh_fec_in!I22)</f>
        <v>0.45453740524352804</v>
      </c>
      <c r="J22" s="137">
        <f>IF(SER_hh_tes_in!J22=0,"",SER_hh_tes_in!J22/SER_hh_fec_in!J22)</f>
        <v>0.45842802997669929</v>
      </c>
      <c r="K22" s="137">
        <f>IF(SER_hh_tes_in!K22=0,"",SER_hh_tes_in!K22/SER_hh_fec_in!K22)</f>
        <v>0.46314091514517935</v>
      </c>
      <c r="L22" s="137">
        <f>IF(SER_hh_tes_in!L22=0,"",SER_hh_tes_in!L22/SER_hh_fec_in!L22)</f>
        <v>0.46873570658365415</v>
      </c>
      <c r="M22" s="137">
        <f>IF(SER_hh_tes_in!M22=0,"",SER_hh_tes_in!M22/SER_hh_fec_in!M22)</f>
        <v>0.4805028638417429</v>
      </c>
      <c r="N22" s="137">
        <f>IF(SER_hh_tes_in!N22=0,"",SER_hh_tes_in!N22/SER_hh_fec_in!N22)</f>
        <v>0.50012157514398237</v>
      </c>
      <c r="O22" s="137">
        <f>IF(SER_hh_tes_in!O22=0,"",SER_hh_tes_in!O22/SER_hh_fec_in!O22)</f>
        <v>0.52899358206677793</v>
      </c>
      <c r="P22" s="137">
        <f>IF(SER_hh_tes_in!P22=0,"",SER_hh_tes_in!P22/SER_hh_fec_in!P22)</f>
        <v>0.56417281746786263</v>
      </c>
      <c r="Q22" s="137">
        <f>IF(SER_hh_tes_in!Q22=0,"",SER_hh_tes_in!Q22/SER_hh_fec_in!Q22)</f>
        <v>0.59611387314952347</v>
      </c>
      <c r="R22" s="137">
        <f>IF(SER_hh_tes_in!R22=0,"",SER_hh_tes_in!R22/SER_hh_fec_in!R22)</f>
        <v>0.61767017826066073</v>
      </c>
      <c r="S22" s="137">
        <f>IF(SER_hh_tes_in!S22=0,"",SER_hh_tes_in!S22/SER_hh_fec_in!S22)</f>
        <v>0.63844261773141664</v>
      </c>
      <c r="T22" s="137">
        <f>IF(SER_hh_tes_in!T22=0,"",SER_hh_tes_in!T22/SER_hh_fec_in!T22)</f>
        <v>0.65725539310114045</v>
      </c>
      <c r="U22" s="137">
        <f>IF(SER_hh_tes_in!U22=0,"",SER_hh_tes_in!U22/SER_hh_fec_in!U22)</f>
        <v>0.67293270590924747</v>
      </c>
      <c r="V22" s="137">
        <f>IF(SER_hh_tes_in!V22=0,"",SER_hh_tes_in!V22/SER_hh_fec_in!V22)</f>
        <v>0.68429875769512494</v>
      </c>
      <c r="W22" s="137">
        <f>IF(SER_hh_tes_in!W22=0,"",SER_hh_tes_in!W22/SER_hh_fec_in!W22)</f>
        <v>0.68964521347564567</v>
      </c>
      <c r="DA22" s="164" t="s">
        <v>680</v>
      </c>
    </row>
    <row r="23" spans="1:105" ht="12" customHeight="1" x14ac:dyDescent="0.25">
      <c r="A23" s="132" t="s">
        <v>153</v>
      </c>
      <c r="B23" s="137"/>
      <c r="C23" s="137" t="str">
        <f>IF(SER_hh_tes_in!C23=0,"",SER_hh_tes_in!C23/SER_hh_fec_in!C23)</f>
        <v/>
      </c>
      <c r="D23" s="137" t="str">
        <f>IF(SER_hh_tes_in!D23=0,"",SER_hh_tes_in!D23/SER_hh_fec_in!D23)</f>
        <v/>
      </c>
      <c r="E23" s="137" t="str">
        <f>IF(SER_hh_tes_in!E23=0,"",SER_hh_tes_in!E23/SER_hh_fec_in!E23)</f>
        <v/>
      </c>
      <c r="F23" s="137" t="str">
        <f>IF(SER_hh_tes_in!F23=0,"",SER_hh_tes_in!F23/SER_hh_fec_in!F23)</f>
        <v/>
      </c>
      <c r="G23" s="137" t="str">
        <f>IF(SER_hh_tes_in!G23=0,"",SER_hh_tes_in!G23/SER_hh_fec_in!G23)</f>
        <v/>
      </c>
      <c r="H23" s="137" t="str">
        <f>IF(SER_hh_tes_in!H23=0,"",SER_hh_tes_in!H23/SER_hh_fec_in!H23)</f>
        <v/>
      </c>
      <c r="I23" s="137" t="str">
        <f>IF(SER_hh_tes_in!I23=0,"",SER_hh_tes_in!I23/SER_hh_fec_in!I23)</f>
        <v/>
      </c>
      <c r="J23" s="137" t="str">
        <f>IF(SER_hh_tes_in!J23=0,"",SER_hh_tes_in!J23/SER_hh_fec_in!J23)</f>
        <v/>
      </c>
      <c r="K23" s="137" t="str">
        <f>IF(SER_hh_tes_in!K23=0,"",SER_hh_tes_in!K23/SER_hh_fec_in!K23)</f>
        <v/>
      </c>
      <c r="L23" s="137" t="str">
        <f>IF(SER_hh_tes_in!L23=0,"",SER_hh_tes_in!L23/SER_hh_fec_in!L23)</f>
        <v/>
      </c>
      <c r="M23" s="137" t="str">
        <f>IF(SER_hh_tes_in!M23=0,"",SER_hh_tes_in!M23/SER_hh_fec_in!M23)</f>
        <v/>
      </c>
      <c r="N23" s="137" t="str">
        <f>IF(SER_hh_tes_in!N23=0,"",SER_hh_tes_in!N23/SER_hh_fec_in!N23)</f>
        <v/>
      </c>
      <c r="O23" s="137" t="str">
        <f>IF(SER_hh_tes_in!O23=0,"",SER_hh_tes_in!O23/SER_hh_fec_in!O23)</f>
        <v/>
      </c>
      <c r="P23" s="137" t="str">
        <f>IF(SER_hh_tes_in!P23=0,"",SER_hh_tes_in!P23/SER_hh_fec_in!P23)</f>
        <v/>
      </c>
      <c r="Q23" s="137" t="str">
        <f>IF(SER_hh_tes_in!Q23=0,"",SER_hh_tes_in!Q23/SER_hh_fec_in!Q23)</f>
        <v/>
      </c>
      <c r="R23" s="137" t="str">
        <f>IF(SER_hh_tes_in!R23=0,"",SER_hh_tes_in!R23/SER_hh_fec_in!R23)</f>
        <v/>
      </c>
      <c r="S23" s="137" t="str">
        <f>IF(SER_hh_tes_in!S23=0,"",SER_hh_tes_in!S23/SER_hh_fec_in!S23)</f>
        <v/>
      </c>
      <c r="T23" s="137" t="str">
        <f>IF(SER_hh_tes_in!T23=0,"",SER_hh_tes_in!T23/SER_hh_fec_in!T23)</f>
        <v/>
      </c>
      <c r="U23" s="137" t="str">
        <f>IF(SER_hh_tes_in!U23=0,"",SER_hh_tes_in!U23/SER_hh_fec_in!U23)</f>
        <v/>
      </c>
      <c r="V23" s="137" t="str">
        <f>IF(SER_hh_tes_in!V23=0,"",SER_hh_tes_in!V23/SER_hh_fec_in!V23)</f>
        <v/>
      </c>
      <c r="W23" s="137" t="str">
        <f>IF(SER_hh_tes_in!W23=0,"",SER_hh_tes_in!W23/SER_hh_fec_in!W23)</f>
        <v/>
      </c>
      <c r="DA23" s="164" t="s">
        <v>681</v>
      </c>
    </row>
    <row r="24" spans="1:105" ht="12" customHeight="1" x14ac:dyDescent="0.25">
      <c r="A24" s="132" t="s">
        <v>128</v>
      </c>
      <c r="B24" s="137"/>
      <c r="C24" s="137" t="str">
        <f>IF(SER_hh_tes_in!C24=0,"",SER_hh_tes_in!C24/SER_hh_fec_in!C24)</f>
        <v/>
      </c>
      <c r="D24" s="137" t="str">
        <f>IF(SER_hh_tes_in!D24=0,"",SER_hh_tes_in!D24/SER_hh_fec_in!D24)</f>
        <v/>
      </c>
      <c r="E24" s="137" t="str">
        <f>IF(SER_hh_tes_in!E24=0,"",SER_hh_tes_in!E24/SER_hh_fec_in!E24)</f>
        <v/>
      </c>
      <c r="F24" s="137" t="str">
        <f>IF(SER_hh_tes_in!F24=0,"",SER_hh_tes_in!F24/SER_hh_fec_in!F24)</f>
        <v/>
      </c>
      <c r="G24" s="137" t="str">
        <f>IF(SER_hh_tes_in!G24=0,"",SER_hh_tes_in!G24/SER_hh_fec_in!G24)</f>
        <v/>
      </c>
      <c r="H24" s="137" t="str">
        <f>IF(SER_hh_tes_in!H24=0,"",SER_hh_tes_in!H24/SER_hh_fec_in!H24)</f>
        <v/>
      </c>
      <c r="I24" s="137" t="str">
        <f>IF(SER_hh_tes_in!I24=0,"",SER_hh_tes_in!I24/SER_hh_fec_in!I24)</f>
        <v/>
      </c>
      <c r="J24" s="137" t="str">
        <f>IF(SER_hh_tes_in!J24=0,"",SER_hh_tes_in!J24/SER_hh_fec_in!J24)</f>
        <v/>
      </c>
      <c r="K24" s="137" t="str">
        <f>IF(SER_hh_tes_in!K24=0,"",SER_hh_tes_in!K24/SER_hh_fec_in!K24)</f>
        <v/>
      </c>
      <c r="L24" s="137" t="str">
        <f>IF(SER_hh_tes_in!L24=0,"",SER_hh_tes_in!L24/SER_hh_fec_in!L24)</f>
        <v/>
      </c>
      <c r="M24" s="137" t="str">
        <f>IF(SER_hh_tes_in!M24=0,"",SER_hh_tes_in!M24/SER_hh_fec_in!M24)</f>
        <v/>
      </c>
      <c r="N24" s="137" t="str">
        <f>IF(SER_hh_tes_in!N24=0,"",SER_hh_tes_in!N24/SER_hh_fec_in!N24)</f>
        <v/>
      </c>
      <c r="O24" s="137" t="str">
        <f>IF(SER_hh_tes_in!O24=0,"",SER_hh_tes_in!O24/SER_hh_fec_in!O24)</f>
        <v/>
      </c>
      <c r="P24" s="137" t="str">
        <f>IF(SER_hh_tes_in!P24=0,"",SER_hh_tes_in!P24/SER_hh_fec_in!P24)</f>
        <v/>
      </c>
      <c r="Q24" s="137" t="str">
        <f>IF(SER_hh_tes_in!Q24=0,"",SER_hh_tes_in!Q24/SER_hh_fec_in!Q24)</f>
        <v/>
      </c>
      <c r="R24" s="137" t="str">
        <f>IF(SER_hh_tes_in!R24=0,"",SER_hh_tes_in!R24/SER_hh_fec_in!R24)</f>
        <v/>
      </c>
      <c r="S24" s="137" t="str">
        <f>IF(SER_hh_tes_in!S24=0,"",SER_hh_tes_in!S24/SER_hh_fec_in!S24)</f>
        <v/>
      </c>
      <c r="T24" s="137" t="str">
        <f>IF(SER_hh_tes_in!T24=0,"",SER_hh_tes_in!T24/SER_hh_fec_in!T24)</f>
        <v/>
      </c>
      <c r="U24" s="137" t="str">
        <f>IF(SER_hh_tes_in!U24=0,"",SER_hh_tes_in!U24/SER_hh_fec_in!U24)</f>
        <v/>
      </c>
      <c r="V24" s="137" t="str">
        <f>IF(SER_hh_tes_in!V24=0,"",SER_hh_tes_in!V24/SER_hh_fec_in!V24)</f>
        <v/>
      </c>
      <c r="W24" s="137" t="str">
        <f>IF(SER_hh_tes_in!W24=0,"",SER_hh_tes_in!W24/SER_hh_fec_in!W24)</f>
        <v/>
      </c>
      <c r="DA24" s="164" t="s">
        <v>682</v>
      </c>
    </row>
    <row r="25" spans="1:105" ht="12" customHeight="1" x14ac:dyDescent="0.25">
      <c r="A25" s="132" t="s">
        <v>169</v>
      </c>
      <c r="B25" s="137"/>
      <c r="C25" s="137" t="str">
        <f>IF(SER_hh_tes_in!C25=0,"",SER_hh_tes_in!C25/SER_hh_fec_in!C25)</f>
        <v/>
      </c>
      <c r="D25" s="137" t="str">
        <f>IF(SER_hh_tes_in!D25=0,"",SER_hh_tes_in!D25/SER_hh_fec_in!D25)</f>
        <v/>
      </c>
      <c r="E25" s="137" t="str">
        <f>IF(SER_hh_tes_in!E25=0,"",SER_hh_tes_in!E25/SER_hh_fec_in!E25)</f>
        <v/>
      </c>
      <c r="F25" s="137" t="str">
        <f>IF(SER_hh_tes_in!F25=0,"",SER_hh_tes_in!F25/SER_hh_fec_in!F25)</f>
        <v/>
      </c>
      <c r="G25" s="137" t="str">
        <f>IF(SER_hh_tes_in!G25=0,"",SER_hh_tes_in!G25/SER_hh_fec_in!G25)</f>
        <v/>
      </c>
      <c r="H25" s="137" t="str">
        <f>IF(SER_hh_tes_in!H25=0,"",SER_hh_tes_in!H25/SER_hh_fec_in!H25)</f>
        <v/>
      </c>
      <c r="I25" s="137" t="str">
        <f>IF(SER_hh_tes_in!I25=0,"",SER_hh_tes_in!I25/SER_hh_fec_in!I25)</f>
        <v/>
      </c>
      <c r="J25" s="137" t="str">
        <f>IF(SER_hh_tes_in!J25=0,"",SER_hh_tes_in!J25/SER_hh_fec_in!J25)</f>
        <v/>
      </c>
      <c r="K25" s="137" t="str">
        <f>IF(SER_hh_tes_in!K25=0,"",SER_hh_tes_in!K25/SER_hh_fec_in!K25)</f>
        <v/>
      </c>
      <c r="L25" s="137" t="str">
        <f>IF(SER_hh_tes_in!L25=0,"",SER_hh_tes_in!L25/SER_hh_fec_in!L25)</f>
        <v/>
      </c>
      <c r="M25" s="137" t="str">
        <f>IF(SER_hh_tes_in!M25=0,"",SER_hh_tes_in!M25/SER_hh_fec_in!M25)</f>
        <v/>
      </c>
      <c r="N25" s="137" t="str">
        <f>IF(SER_hh_tes_in!N25=0,"",SER_hh_tes_in!N25/SER_hh_fec_in!N25)</f>
        <v/>
      </c>
      <c r="O25" s="137" t="str">
        <f>IF(SER_hh_tes_in!O25=0,"",SER_hh_tes_in!O25/SER_hh_fec_in!O25)</f>
        <v/>
      </c>
      <c r="P25" s="137" t="str">
        <f>IF(SER_hh_tes_in!P25=0,"",SER_hh_tes_in!P25/SER_hh_fec_in!P25)</f>
        <v/>
      </c>
      <c r="Q25" s="137" t="str">
        <f>IF(SER_hh_tes_in!Q25=0,"",SER_hh_tes_in!Q25/SER_hh_fec_in!Q25)</f>
        <v/>
      </c>
      <c r="R25" s="137" t="str">
        <f>IF(SER_hh_tes_in!R25=0,"",SER_hh_tes_in!R25/SER_hh_fec_in!R25)</f>
        <v/>
      </c>
      <c r="S25" s="137" t="str">
        <f>IF(SER_hh_tes_in!S25=0,"",SER_hh_tes_in!S25/SER_hh_fec_in!S25)</f>
        <v/>
      </c>
      <c r="T25" s="137" t="str">
        <f>IF(SER_hh_tes_in!T25=0,"",SER_hh_tes_in!T25/SER_hh_fec_in!T25)</f>
        <v/>
      </c>
      <c r="U25" s="137" t="str">
        <f>IF(SER_hh_tes_in!U25=0,"",SER_hh_tes_in!U25/SER_hh_fec_in!U25)</f>
        <v/>
      </c>
      <c r="V25" s="137" t="str">
        <f>IF(SER_hh_tes_in!V25=0,"",SER_hh_tes_in!V25/SER_hh_fec_in!V25)</f>
        <v/>
      </c>
      <c r="W25" s="137" t="str">
        <f>IF(SER_hh_tes_in!W25=0,"",SER_hh_tes_in!W25/SER_hh_fec_in!W25)</f>
        <v/>
      </c>
      <c r="DA25" s="164" t="s">
        <v>683</v>
      </c>
    </row>
    <row r="26" spans="1:105" ht="12" customHeight="1" x14ac:dyDescent="0.25">
      <c r="A26" s="132" t="s">
        <v>24</v>
      </c>
      <c r="B26" s="138"/>
      <c r="C26" s="138">
        <f>IF(SER_hh_tes_in!C26=0,"",SER_hh_tes_in!C26/SER_hh_fec_in!C26)</f>
        <v>0.54051115138979766</v>
      </c>
      <c r="D26" s="138">
        <f>IF(SER_hh_tes_in!D26=0,"",SER_hh_tes_in!D26/SER_hh_fec_in!D26)</f>
        <v>0.54322098064912472</v>
      </c>
      <c r="E26" s="138">
        <f>IF(SER_hh_tes_in!E26=0,"",SER_hh_tes_in!E26/SER_hh_fec_in!E26)</f>
        <v>0.54613923410154352</v>
      </c>
      <c r="F26" s="138">
        <f>IF(SER_hh_tes_in!F26=0,"",SER_hh_tes_in!F26/SER_hh_fec_in!F26)</f>
        <v>0.54908552004397315</v>
      </c>
      <c r="G26" s="138">
        <f>IF(SER_hh_tes_in!G26=0,"",SER_hh_tes_in!G26/SER_hh_fec_in!G26)</f>
        <v>0.55222542307696709</v>
      </c>
      <c r="H26" s="138" t="str">
        <f>IF(SER_hh_tes_in!H26=0,"",SER_hh_tes_in!H26/SER_hh_fec_in!H26)</f>
        <v/>
      </c>
      <c r="I26" s="138" t="str">
        <f>IF(SER_hh_tes_in!I26=0,"",SER_hh_tes_in!I26/SER_hh_fec_in!I26)</f>
        <v/>
      </c>
      <c r="J26" s="138">
        <f>IF(SER_hh_tes_in!J26=0,"",SER_hh_tes_in!J26/SER_hh_fec_in!J26)</f>
        <v>0.56299747692633195</v>
      </c>
      <c r="K26" s="138">
        <f>IF(SER_hh_tes_in!K26=0,"",SER_hh_tes_in!K26/SER_hh_fec_in!K26)</f>
        <v>0.56746521457722343</v>
      </c>
      <c r="L26" s="138">
        <f>IF(SER_hh_tes_in!L26=0,"",SER_hh_tes_in!L26/SER_hh_fec_in!L26)</f>
        <v>0.572530280470538</v>
      </c>
      <c r="M26" s="138">
        <f>IF(SER_hh_tes_in!M26=0,"",SER_hh_tes_in!M26/SER_hh_fec_in!M26)</f>
        <v>0.58170231850830512</v>
      </c>
      <c r="N26" s="138">
        <f>IF(SER_hh_tes_in!N26=0,"",SER_hh_tes_in!N26/SER_hh_fec_in!N26)</f>
        <v>0.59652341349143545</v>
      </c>
      <c r="O26" s="138">
        <f>IF(SER_hh_tes_in!O26=0,"",SER_hh_tes_in!O26/SER_hh_fec_in!O26)</f>
        <v>0.61897110927889909</v>
      </c>
      <c r="P26" s="138">
        <f>IF(SER_hh_tes_in!P26=0,"",SER_hh_tes_in!P26/SER_hh_fec_in!P26)</f>
        <v>0.64817267988003757</v>
      </c>
      <c r="Q26" s="138">
        <f>IF(SER_hh_tes_in!Q26=0,"",SER_hh_tes_in!Q26/SER_hh_fec_in!Q26)</f>
        <v>0.67682644366751665</v>
      </c>
      <c r="R26" s="138">
        <f>IF(SER_hh_tes_in!R26=0,"",SER_hh_tes_in!R26/SER_hh_fec_in!R26)</f>
        <v>0.69736705688911016</v>
      </c>
      <c r="S26" s="138">
        <f>IF(SER_hh_tes_in!S26=0,"",SER_hh_tes_in!S26/SER_hh_fec_in!S26)</f>
        <v>0.71770517085792618</v>
      </c>
      <c r="T26" s="138">
        <f>IF(SER_hh_tes_in!T26=0,"",SER_hh_tes_in!T26/SER_hh_fec_in!T26)</f>
        <v>0.73741433310353854</v>
      </c>
      <c r="U26" s="138">
        <f>IF(SER_hh_tes_in!U26=0,"",SER_hh_tes_in!U26/SER_hh_fec_in!U26)</f>
        <v>0.75592856211467963</v>
      </c>
      <c r="V26" s="138">
        <f>IF(SER_hh_tes_in!V26=0,"",SER_hh_tes_in!V26/SER_hh_fec_in!V26)</f>
        <v>0.772379528932013</v>
      </c>
      <c r="W26" s="138">
        <f>IF(SER_hh_tes_in!W26=0,"",SER_hh_tes_in!W26/SER_hh_fec_in!W26)</f>
        <v>0.78532962017359587</v>
      </c>
      <c r="DA26" s="165" t="s">
        <v>684</v>
      </c>
    </row>
    <row r="27" spans="1:105" ht="12" customHeight="1" x14ac:dyDescent="0.25">
      <c r="A27" s="145" t="s">
        <v>26</v>
      </c>
      <c r="B27" s="149"/>
      <c r="C27" s="149">
        <f>IF(SER_hh_tes_in!C27=0,"",SER_hh_tes_in!C27/SER_hh_fec_in!C27)</f>
        <v>1</v>
      </c>
      <c r="D27" s="149">
        <f>IF(SER_hh_tes_in!D27=0,"",SER_hh_tes_in!D27/SER_hh_fec_in!D27)</f>
        <v>1</v>
      </c>
      <c r="E27" s="149">
        <f>IF(SER_hh_tes_in!E27=0,"",SER_hh_tes_in!E27/SER_hh_fec_in!E27)</f>
        <v>1</v>
      </c>
      <c r="F27" s="149">
        <f>IF(SER_hh_tes_in!F27=0,"",SER_hh_tes_in!F27/SER_hh_fec_in!F27)</f>
        <v>1</v>
      </c>
      <c r="G27" s="149">
        <f>IF(SER_hh_tes_in!G27=0,"",SER_hh_tes_in!G27/SER_hh_fec_in!G27)</f>
        <v>1</v>
      </c>
      <c r="H27" s="149">
        <f>IF(SER_hh_tes_in!H27=0,"",SER_hh_tes_in!H27/SER_hh_fec_in!H27)</f>
        <v>1</v>
      </c>
      <c r="I27" s="149">
        <f>IF(SER_hh_tes_in!I27=0,"",SER_hh_tes_in!I27/SER_hh_fec_in!I27)</f>
        <v>1</v>
      </c>
      <c r="J27" s="149">
        <f>IF(SER_hh_tes_in!J27=0,"",SER_hh_tes_in!J27/SER_hh_fec_in!J27)</f>
        <v>1</v>
      </c>
      <c r="K27" s="149">
        <f>IF(SER_hh_tes_in!K27=0,"",SER_hh_tes_in!K27/SER_hh_fec_in!K27)</f>
        <v>1</v>
      </c>
      <c r="L27" s="149">
        <f>IF(SER_hh_tes_in!L27=0,"",SER_hh_tes_in!L27/SER_hh_fec_in!L27)</f>
        <v>1</v>
      </c>
      <c r="M27" s="149">
        <f>IF(SER_hh_tes_in!M27=0,"",SER_hh_tes_in!M27/SER_hh_fec_in!M27)</f>
        <v>1</v>
      </c>
      <c r="N27" s="149">
        <f>IF(SER_hh_tes_in!N27=0,"",SER_hh_tes_in!N27/SER_hh_fec_in!N27)</f>
        <v>1</v>
      </c>
      <c r="O27" s="149">
        <f>IF(SER_hh_tes_in!O27=0,"",SER_hh_tes_in!O27/SER_hh_fec_in!O27)</f>
        <v>1</v>
      </c>
      <c r="P27" s="149">
        <f>IF(SER_hh_tes_in!P27=0,"",SER_hh_tes_in!P27/SER_hh_fec_in!P27)</f>
        <v>1</v>
      </c>
      <c r="Q27" s="149">
        <f>IF(SER_hh_tes_in!Q27=0,"",SER_hh_tes_in!Q27/SER_hh_fec_in!Q27)</f>
        <v>1</v>
      </c>
      <c r="R27" s="149">
        <f>IF(SER_hh_tes_in!R27=0,"",SER_hh_tes_in!R27/SER_hh_fec_in!R27)</f>
        <v>1</v>
      </c>
      <c r="S27" s="149">
        <f>IF(SER_hh_tes_in!S27=0,"",SER_hh_tes_in!S27/SER_hh_fec_in!S27)</f>
        <v>1</v>
      </c>
      <c r="T27" s="149">
        <f>IF(SER_hh_tes_in!T27=0,"",SER_hh_tes_in!T27/SER_hh_fec_in!T27)</f>
        <v>1</v>
      </c>
      <c r="U27" s="149">
        <f>IF(SER_hh_tes_in!U27=0,"",SER_hh_tes_in!U27/SER_hh_fec_in!U27)</f>
        <v>1</v>
      </c>
      <c r="V27" s="149">
        <f>IF(SER_hh_tes_in!V27=0,"",SER_hh_tes_in!V27/SER_hh_fec_in!V27)</f>
        <v>1</v>
      </c>
      <c r="W27" s="149">
        <f>IF(SER_hh_tes_in!W27=0,"",SER_hh_tes_in!W27/SER_hh_fec_in!W27)</f>
        <v>1</v>
      </c>
      <c r="DA27" s="167" t="s">
        <v>685</v>
      </c>
    </row>
    <row r="28" spans="1:105" ht="12" hidden="1" customHeight="1" x14ac:dyDescent="0.25">
      <c r="A28" s="78" t="s">
        <v>26</v>
      </c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0"/>
      <c r="N28" s="150"/>
      <c r="O28" s="150"/>
      <c r="P28" s="150"/>
      <c r="Q28" s="150"/>
      <c r="R28" s="150"/>
      <c r="S28" s="150"/>
      <c r="T28" s="150"/>
      <c r="U28" s="150"/>
      <c r="V28" s="150"/>
      <c r="W28" s="150"/>
      <c r="DA28" s="168"/>
    </row>
    <row r="29" spans="1:105" ht="12.95" customHeight="1" x14ac:dyDescent="0.25">
      <c r="A29" s="130" t="s">
        <v>34</v>
      </c>
      <c r="B29" s="136"/>
      <c r="C29" s="136">
        <f>IF(SER_hh_tes_in!C29=0,"",SER_hh_tes_in!C29/SER_hh_fec_in!C29)</f>
        <v>0.75743822430651053</v>
      </c>
      <c r="D29" s="136">
        <f>IF(SER_hh_tes_in!D29=0,"",SER_hh_tes_in!D29/SER_hh_fec_in!D29)</f>
        <v>0.73869662220733945</v>
      </c>
      <c r="E29" s="136">
        <f>IF(SER_hh_tes_in!E29=0,"",SER_hh_tes_in!E29/SER_hh_fec_in!E29)</f>
        <v>0.75039417894063265</v>
      </c>
      <c r="F29" s="136">
        <f>IF(SER_hh_tes_in!F29=0,"",SER_hh_tes_in!F29/SER_hh_fec_in!F29)</f>
        <v>0.74656334262872071</v>
      </c>
      <c r="G29" s="136">
        <f>IF(SER_hh_tes_in!G29=0,"",SER_hh_tes_in!G29/SER_hh_fec_in!G29)</f>
        <v>0.73749679839839255</v>
      </c>
      <c r="H29" s="136">
        <f>IF(SER_hh_tes_in!H29=0,"",SER_hh_tes_in!H29/SER_hh_fec_in!H29)</f>
        <v>0.61304898781623984</v>
      </c>
      <c r="I29" s="136">
        <f>IF(SER_hh_tes_in!I29=0,"",SER_hh_tes_in!I29/SER_hh_fec_in!I29)</f>
        <v>0.65903748037826193</v>
      </c>
      <c r="J29" s="136">
        <f>IF(SER_hh_tes_in!J29=0,"",SER_hh_tes_in!J29/SER_hh_fec_in!J29)</f>
        <v>0.72072465394650453</v>
      </c>
      <c r="K29" s="136">
        <f>IF(SER_hh_tes_in!K29=0,"",SER_hh_tes_in!K29/SER_hh_fec_in!K29)</f>
        <v>0.76966991853867295</v>
      </c>
      <c r="L29" s="136">
        <f>IF(SER_hh_tes_in!L29=0,"",SER_hh_tes_in!L29/SER_hh_fec_in!L29)</f>
        <v>0.76796355194413779</v>
      </c>
      <c r="M29" s="136">
        <f>IF(SER_hh_tes_in!M29=0,"",SER_hh_tes_in!M29/SER_hh_fec_in!M29)</f>
        <v>0.71690211600420661</v>
      </c>
      <c r="N29" s="136">
        <f>IF(SER_hh_tes_in!N29=0,"",SER_hh_tes_in!N29/SER_hh_fec_in!N29)</f>
        <v>0.73542825809424206</v>
      </c>
      <c r="O29" s="136">
        <f>IF(SER_hh_tes_in!O29=0,"",SER_hh_tes_in!O29/SER_hh_fec_in!O29)</f>
        <v>0.74497265304261628</v>
      </c>
      <c r="P29" s="136">
        <f>IF(SER_hh_tes_in!P29=0,"",SER_hh_tes_in!P29/SER_hh_fec_in!P29)</f>
        <v>0.74715106433299994</v>
      </c>
      <c r="Q29" s="136">
        <f>IF(SER_hh_tes_in!Q29=0,"",SER_hh_tes_in!Q29/SER_hh_fec_in!Q29)</f>
        <v>0.69741806233226955</v>
      </c>
      <c r="R29" s="136">
        <f>IF(SER_hh_tes_in!R29=0,"",SER_hh_tes_in!R29/SER_hh_fec_in!R29)</f>
        <v>0.69977077186607395</v>
      </c>
      <c r="S29" s="136">
        <f>IF(SER_hh_tes_in!S29=0,"",SER_hh_tes_in!S29/SER_hh_fec_in!S29)</f>
        <v>0.65010104052426676</v>
      </c>
      <c r="T29" s="136">
        <f>IF(SER_hh_tes_in!T29=0,"",SER_hh_tes_in!T29/SER_hh_fec_in!T29)</f>
        <v>0.70007779270821924</v>
      </c>
      <c r="U29" s="136">
        <f>IF(SER_hh_tes_in!U29=0,"",SER_hh_tes_in!U29/SER_hh_fec_in!U29)</f>
        <v>0.73928039710331417</v>
      </c>
      <c r="V29" s="136">
        <f>IF(SER_hh_tes_in!V29=0,"",SER_hh_tes_in!V29/SER_hh_fec_in!V29)</f>
        <v>0.75886322910525661</v>
      </c>
      <c r="W29" s="136">
        <f>IF(SER_hh_tes_in!W29=0,"",SER_hh_tes_in!W29/SER_hh_fec_in!W29)</f>
        <v>0.83870690127127523</v>
      </c>
      <c r="DA29" s="163" t="s">
        <v>686</v>
      </c>
    </row>
    <row r="30" spans="1:105" s="2" customFormat="1" ht="12" customHeight="1" x14ac:dyDescent="0.25">
      <c r="A30" s="132" t="s">
        <v>52</v>
      </c>
      <c r="B30" s="137"/>
      <c r="C30" s="137" t="str">
        <f>IF(SER_hh_tes_in!C30=0,"",SER_hh_tes_in!C30/SER_hh_fec_in!C30)</f>
        <v/>
      </c>
      <c r="D30" s="137" t="str">
        <f>IF(SER_hh_tes_in!D30=0,"",SER_hh_tes_in!D30/SER_hh_fec_in!D30)</f>
        <v/>
      </c>
      <c r="E30" s="137" t="str">
        <f>IF(SER_hh_tes_in!E30=0,"",SER_hh_tes_in!E30/SER_hh_fec_in!E30)</f>
        <v/>
      </c>
      <c r="F30" s="137" t="str">
        <f>IF(SER_hh_tes_in!F30=0,"",SER_hh_tes_in!F30/SER_hh_fec_in!F30)</f>
        <v/>
      </c>
      <c r="G30" s="137" t="str">
        <f>IF(SER_hh_tes_in!G30=0,"",SER_hh_tes_in!G30/SER_hh_fec_in!G30)</f>
        <v/>
      </c>
      <c r="H30" s="137">
        <f>IF(SER_hh_tes_in!H30=0,"",SER_hh_tes_in!H30/SER_hh_fec_in!H30)</f>
        <v>0.6169288027753993</v>
      </c>
      <c r="I30" s="137">
        <f>IF(SER_hh_tes_in!I30=0,"",SER_hh_tes_in!I30/SER_hh_fec_in!I30)</f>
        <v>0.61707987170967082</v>
      </c>
      <c r="J30" s="137">
        <f>IF(SER_hh_tes_in!J30=0,"",SER_hh_tes_in!J30/SER_hh_fec_in!J30)</f>
        <v>0.61722685944928479</v>
      </c>
      <c r="K30" s="137" t="str">
        <f>IF(SER_hh_tes_in!K30=0,"",SER_hh_tes_in!K30/SER_hh_fec_in!K30)</f>
        <v/>
      </c>
      <c r="L30" s="137">
        <f>IF(SER_hh_tes_in!L30=0,"",SER_hh_tes_in!L30/SER_hh_fec_in!L30)</f>
        <v>0.61750363068171688</v>
      </c>
      <c r="M30" s="137">
        <f>IF(SER_hh_tes_in!M30=0,"",SER_hh_tes_in!M30/SER_hh_fec_in!M30)</f>
        <v>0.61757648458009351</v>
      </c>
      <c r="N30" s="137">
        <f>IF(SER_hh_tes_in!N30=0,"",SER_hh_tes_in!N30/SER_hh_fec_in!N30)</f>
        <v>0.61757648458009351</v>
      </c>
      <c r="O30" s="137">
        <f>IF(SER_hh_tes_in!O30=0,"",SER_hh_tes_in!O30/SER_hh_fec_in!O30)</f>
        <v>0.61757648458009351</v>
      </c>
      <c r="P30" s="137">
        <f>IF(SER_hh_tes_in!P30=0,"",SER_hh_tes_in!P30/SER_hh_fec_in!P30)</f>
        <v>0.61757648458009351</v>
      </c>
      <c r="Q30" s="137">
        <f>IF(SER_hh_tes_in!Q30=0,"",SER_hh_tes_in!Q30/SER_hh_fec_in!Q30)</f>
        <v>0.61757648458009351</v>
      </c>
      <c r="R30" s="137">
        <f>IF(SER_hh_tes_in!R30=0,"",SER_hh_tes_in!R30/SER_hh_fec_in!R30)</f>
        <v>0.61803675354298093</v>
      </c>
      <c r="S30" s="137">
        <f>IF(SER_hh_tes_in!S30=0,"",SER_hh_tes_in!S30/SER_hh_fec_in!S30)</f>
        <v>0.61878939758241336</v>
      </c>
      <c r="T30" s="137">
        <f>IF(SER_hh_tes_in!T30=0,"",SER_hh_tes_in!T30/SER_hh_fec_in!T30)</f>
        <v>0.61966748229508395</v>
      </c>
      <c r="U30" s="137">
        <f>IF(SER_hh_tes_in!U30=0,"",SER_hh_tes_in!U30/SER_hh_fec_in!U30)</f>
        <v>0.62057692717606427</v>
      </c>
      <c r="V30" s="137">
        <f>IF(SER_hh_tes_in!V30=0,"",SER_hh_tes_in!V30/SER_hh_fec_in!V30)</f>
        <v>0.62142365172042535</v>
      </c>
      <c r="W30" s="137">
        <f>IF(SER_hh_tes_in!W30=0,"",SER_hh_tes_in!W30/SER_hh_fec_in!W30)</f>
        <v>0.62220765592816674</v>
      </c>
      <c r="DA30" s="164" t="s">
        <v>687</v>
      </c>
    </row>
    <row r="31" spans="1:105" ht="12" customHeight="1" x14ac:dyDescent="0.25">
      <c r="A31" s="132" t="s">
        <v>153</v>
      </c>
      <c r="B31" s="137"/>
      <c r="C31" s="137" t="str">
        <f>IF(SER_hh_tes_in!C31=0,"",SER_hh_tes_in!C31/SER_hh_fec_in!C31)</f>
        <v/>
      </c>
      <c r="D31" s="137" t="str">
        <f>IF(SER_hh_tes_in!D31=0,"",SER_hh_tes_in!D31/SER_hh_fec_in!D31)</f>
        <v/>
      </c>
      <c r="E31" s="137" t="str">
        <f>IF(SER_hh_tes_in!E31=0,"",SER_hh_tes_in!E31/SER_hh_fec_in!E31)</f>
        <v/>
      </c>
      <c r="F31" s="137" t="str">
        <f>IF(SER_hh_tes_in!F31=0,"",SER_hh_tes_in!F31/SER_hh_fec_in!F31)</f>
        <v/>
      </c>
      <c r="G31" s="137" t="str">
        <f>IF(SER_hh_tes_in!G31=0,"",SER_hh_tes_in!G31/SER_hh_fec_in!G31)</f>
        <v/>
      </c>
      <c r="H31" s="137" t="str">
        <f>IF(SER_hh_tes_in!H31=0,"",SER_hh_tes_in!H31/SER_hh_fec_in!H31)</f>
        <v/>
      </c>
      <c r="I31" s="137" t="str">
        <f>IF(SER_hh_tes_in!I31=0,"",SER_hh_tes_in!I31/SER_hh_fec_in!I31)</f>
        <v/>
      </c>
      <c r="J31" s="137" t="str">
        <f>IF(SER_hh_tes_in!J31=0,"",SER_hh_tes_in!J31/SER_hh_fec_in!J31)</f>
        <v/>
      </c>
      <c r="K31" s="137" t="str">
        <f>IF(SER_hh_tes_in!K31=0,"",SER_hh_tes_in!K31/SER_hh_fec_in!K31)</f>
        <v/>
      </c>
      <c r="L31" s="137" t="str">
        <f>IF(SER_hh_tes_in!L31=0,"",SER_hh_tes_in!L31/SER_hh_fec_in!L31)</f>
        <v/>
      </c>
      <c r="M31" s="137" t="str">
        <f>IF(SER_hh_tes_in!M31=0,"",SER_hh_tes_in!M31/SER_hh_fec_in!M31)</f>
        <v/>
      </c>
      <c r="N31" s="137" t="str">
        <f>IF(SER_hh_tes_in!N31=0,"",SER_hh_tes_in!N31/SER_hh_fec_in!N31)</f>
        <v/>
      </c>
      <c r="O31" s="137" t="str">
        <f>IF(SER_hh_tes_in!O31=0,"",SER_hh_tes_in!O31/SER_hh_fec_in!O31)</f>
        <v/>
      </c>
      <c r="P31" s="137" t="str">
        <f>IF(SER_hh_tes_in!P31=0,"",SER_hh_tes_in!P31/SER_hh_fec_in!P31)</f>
        <v/>
      </c>
      <c r="Q31" s="137" t="str">
        <f>IF(SER_hh_tes_in!Q31=0,"",SER_hh_tes_in!Q31/SER_hh_fec_in!Q31)</f>
        <v/>
      </c>
      <c r="R31" s="137" t="str">
        <f>IF(SER_hh_tes_in!R31=0,"",SER_hh_tes_in!R31/SER_hh_fec_in!R31)</f>
        <v/>
      </c>
      <c r="S31" s="137" t="str">
        <f>IF(SER_hh_tes_in!S31=0,"",SER_hh_tes_in!S31/SER_hh_fec_in!S31)</f>
        <v/>
      </c>
      <c r="T31" s="137" t="str">
        <f>IF(SER_hh_tes_in!T31=0,"",SER_hh_tes_in!T31/SER_hh_fec_in!T31)</f>
        <v/>
      </c>
      <c r="U31" s="137" t="str">
        <f>IF(SER_hh_tes_in!U31=0,"",SER_hh_tes_in!U31/SER_hh_fec_in!U31)</f>
        <v/>
      </c>
      <c r="V31" s="137" t="str">
        <f>IF(SER_hh_tes_in!V31=0,"",SER_hh_tes_in!V31/SER_hh_fec_in!V31)</f>
        <v/>
      </c>
      <c r="W31" s="137" t="str">
        <f>IF(SER_hh_tes_in!W31=0,"",SER_hh_tes_in!W31/SER_hh_fec_in!W31)</f>
        <v/>
      </c>
      <c r="DA31" s="164" t="s">
        <v>688</v>
      </c>
    </row>
    <row r="32" spans="1:105" ht="12" customHeight="1" x14ac:dyDescent="0.25">
      <c r="A32" s="132" t="s">
        <v>128</v>
      </c>
      <c r="B32" s="137"/>
      <c r="C32" s="137">
        <f>IF(SER_hh_tes_in!C32=0,"",SER_hh_tes_in!C32/SER_hh_fec_in!C32)</f>
        <v>0.57508323022539465</v>
      </c>
      <c r="D32" s="137">
        <f>IF(SER_hh_tes_in!D32=0,"",SER_hh_tes_in!D32/SER_hh_fec_in!D32)</f>
        <v>0.57546989399411841</v>
      </c>
      <c r="E32" s="137">
        <f>IF(SER_hh_tes_in!E32=0,"",SER_hh_tes_in!E32/SER_hh_fec_in!E32)</f>
        <v>0.57585110462532685</v>
      </c>
      <c r="F32" s="137">
        <f>IF(SER_hh_tes_in!F32=0,"",SER_hh_tes_in!F32/SER_hh_fec_in!F32)</f>
        <v>0.57623157164687422</v>
      </c>
      <c r="G32" s="137">
        <f>IF(SER_hh_tes_in!G32=0,"",SER_hh_tes_in!G32/SER_hh_fec_in!G32)</f>
        <v>0.57660701664951852</v>
      </c>
      <c r="H32" s="137">
        <f>IF(SER_hh_tes_in!H32=0,"",SER_hh_tes_in!H32/SER_hh_fec_in!H32)</f>
        <v>0.57697796325608386</v>
      </c>
      <c r="I32" s="137">
        <f>IF(SER_hh_tes_in!I32=0,"",SER_hh_tes_in!I32/SER_hh_fec_in!I32)</f>
        <v>0.57734335726640784</v>
      </c>
      <c r="J32" s="137">
        <f>IF(SER_hh_tes_in!J32=0,"",SER_hh_tes_in!J32/SER_hh_fec_in!J32)</f>
        <v>0.57769887999452529</v>
      </c>
      <c r="K32" s="137">
        <f>IF(SER_hh_tes_in!K32=0,"",SER_hh_tes_in!K32/SER_hh_fec_in!K32)</f>
        <v>0.5780408594214157</v>
      </c>
      <c r="L32" s="137">
        <f>IF(SER_hh_tes_in!L32=0,"",SER_hh_tes_in!L32/SER_hh_fec_in!L32)</f>
        <v>0.5783683131314461</v>
      </c>
      <c r="M32" s="137">
        <f>IF(SER_hh_tes_in!M32=0,"",SER_hh_tes_in!M32/SER_hh_fec_in!M32)</f>
        <v>0.57854452658144462</v>
      </c>
      <c r="N32" s="137">
        <f>IF(SER_hh_tes_in!N32=0,"",SER_hh_tes_in!N32/SER_hh_fec_in!N32)</f>
        <v>0.57854452658144462</v>
      </c>
      <c r="O32" s="137">
        <f>IF(SER_hh_tes_in!O32=0,"",SER_hh_tes_in!O32/SER_hh_fec_in!O32)</f>
        <v>0.57854452658144462</v>
      </c>
      <c r="P32" s="137">
        <f>IF(SER_hh_tes_in!P32=0,"",SER_hh_tes_in!P32/SER_hh_fec_in!P32)</f>
        <v>0.57854452658144462</v>
      </c>
      <c r="Q32" s="137">
        <f>IF(SER_hh_tes_in!Q32=0,"",SER_hh_tes_in!Q32/SER_hh_fec_in!Q32)</f>
        <v>0.57854452658144462</v>
      </c>
      <c r="R32" s="137">
        <f>IF(SER_hh_tes_in!R32=0,"",SER_hh_tes_in!R32/SER_hh_fec_in!R32)</f>
        <v>0.57965779002629614</v>
      </c>
      <c r="S32" s="137">
        <f>IF(SER_hh_tes_in!S32=0,"",SER_hh_tes_in!S32/SER_hh_fec_in!S32)</f>
        <v>0.58147822799549764</v>
      </c>
      <c r="T32" s="137">
        <f>IF(SER_hh_tes_in!T32=0,"",SER_hh_tes_in!T32/SER_hh_fec_in!T32)</f>
        <v>0.58360207229289796</v>
      </c>
      <c r="U32" s="137">
        <f>IF(SER_hh_tes_in!U32=0,"",SER_hh_tes_in!U32/SER_hh_fec_in!U32)</f>
        <v>0.58580176817234875</v>
      </c>
      <c r="V32" s="137">
        <f>IF(SER_hh_tes_in!V32=0,"",SER_hh_tes_in!V32/SER_hh_fec_in!V32)</f>
        <v>0.58784976088769936</v>
      </c>
      <c r="W32" s="137">
        <f>IF(SER_hh_tes_in!W32=0,"",SER_hh_tes_in!W32/SER_hh_fec_in!W32)</f>
        <v>0.58974605043894901</v>
      </c>
      <c r="DA32" s="164" t="s">
        <v>689</v>
      </c>
    </row>
    <row r="33" spans="1:105" ht="12" customHeight="1" x14ac:dyDescent="0.25">
      <c r="A33" s="62" t="s">
        <v>24</v>
      </c>
      <c r="B33" s="150"/>
      <c r="C33" s="150">
        <f>IF(SER_hh_tes_in!C33=0,"",SER_hh_tes_in!C33/SER_hh_fec_in!C33)</f>
        <v>0.78352551000615778</v>
      </c>
      <c r="D33" s="150">
        <f>IF(SER_hh_tes_in!D33=0,"",SER_hh_tes_in!D33/SER_hh_fec_in!D33)</f>
        <v>0.78480302126753976</v>
      </c>
      <c r="E33" s="150">
        <f>IF(SER_hh_tes_in!E33=0,"",SER_hh_tes_in!E33/SER_hh_fec_in!E33)</f>
        <v>0.78612777179891424</v>
      </c>
      <c r="F33" s="150">
        <f>IF(SER_hh_tes_in!F33=0,"",SER_hh_tes_in!F33/SER_hh_fec_in!F33)</f>
        <v>0.78745896404892413</v>
      </c>
      <c r="G33" s="150">
        <f>IF(SER_hh_tes_in!G33=0,"",SER_hh_tes_in!G33/SER_hh_fec_in!G33)</f>
        <v>0.78883366088802842</v>
      </c>
      <c r="H33" s="150" t="str">
        <f>IF(SER_hh_tes_in!H33=0,"",SER_hh_tes_in!H33/SER_hh_fec_in!H33)</f>
        <v/>
      </c>
      <c r="I33" s="150">
        <f>IF(SER_hh_tes_in!I33=0,"",SER_hh_tes_in!I33/SER_hh_fec_in!I33)</f>
        <v>0.7917090925553627</v>
      </c>
      <c r="J33" s="150">
        <f>IF(SER_hh_tes_in!J33=0,"",SER_hh_tes_in!J33/SER_hh_fec_in!J33)</f>
        <v>0.79325637145436345</v>
      </c>
      <c r="K33" s="150">
        <f>IF(SER_hh_tes_in!K33=0,"",SER_hh_tes_in!K33/SER_hh_fec_in!K33)</f>
        <v>0.79492097284183538</v>
      </c>
      <c r="L33" s="150">
        <f>IF(SER_hh_tes_in!L33=0,"",SER_hh_tes_in!L33/SER_hh_fec_in!L33)</f>
        <v>0.796711407157357</v>
      </c>
      <c r="M33" s="150">
        <f>IF(SER_hh_tes_in!M33=0,"",SER_hh_tes_in!M33/SER_hh_fec_in!M33)</f>
        <v>0.79914735082094224</v>
      </c>
      <c r="N33" s="150">
        <f>IF(SER_hh_tes_in!N33=0,"",SER_hh_tes_in!N33/SER_hh_fec_in!N33)</f>
        <v>0.80237616000183287</v>
      </c>
      <c r="O33" s="150">
        <f>IF(SER_hh_tes_in!O33=0,"",SER_hh_tes_in!O33/SER_hh_fec_in!O33)</f>
        <v>0.80675612815670483</v>
      </c>
      <c r="P33" s="150">
        <f>IF(SER_hh_tes_in!P33=0,"",SER_hh_tes_in!P33/SER_hh_fec_in!P33)</f>
        <v>0.81247543424280311</v>
      </c>
      <c r="Q33" s="150">
        <f>IF(SER_hh_tes_in!Q33=0,"",SER_hh_tes_in!Q33/SER_hh_fec_in!Q33)</f>
        <v>0.81984685778798039</v>
      </c>
      <c r="R33" s="150">
        <f>IF(SER_hh_tes_in!R33=0,"",SER_hh_tes_in!R33/SER_hh_fec_in!R33)</f>
        <v>0.82987454288595286</v>
      </c>
      <c r="S33" s="150">
        <f>IF(SER_hh_tes_in!S33=0,"",SER_hh_tes_in!S33/SER_hh_fec_in!S33)</f>
        <v>0.8423900317944274</v>
      </c>
      <c r="T33" s="150">
        <f>IF(SER_hh_tes_in!T33=0,"",SER_hh_tes_in!T33/SER_hh_fec_in!T33)</f>
        <v>0.85584621216866918</v>
      </c>
      <c r="U33" s="150">
        <f>IF(SER_hh_tes_in!U33=0,"",SER_hh_tes_in!U33/SER_hh_fec_in!U33)</f>
        <v>0.86869597166398127</v>
      </c>
      <c r="V33" s="150">
        <f>IF(SER_hh_tes_in!V33=0,"",SER_hh_tes_in!V33/SER_hh_fec_in!V33)</f>
        <v>0.87939219793565038</v>
      </c>
      <c r="W33" s="150">
        <f>IF(SER_hh_tes_in!W33=0,"",SER_hh_tes_in!W33/SER_hh_fec_in!W33)</f>
        <v>0.88739144031401163</v>
      </c>
      <c r="DA33" s="168" t="s">
        <v>690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691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84</v>
      </c>
      <c r="B3" s="126"/>
      <c r="C3" s="126">
        <f t="shared" ref="C3:Q3" si="0">SUM(C4,C16,C19,C29)</f>
        <v>7.5539421502395607E-2</v>
      </c>
      <c r="D3" s="126">
        <f t="shared" si="0"/>
        <v>1.9511061301149071E-2</v>
      </c>
      <c r="E3" s="126">
        <f t="shared" si="0"/>
        <v>4.7488991383644708E-2</v>
      </c>
      <c r="F3" s="126">
        <f t="shared" si="0"/>
        <v>6.8140965780837587E-2</v>
      </c>
      <c r="G3" s="126">
        <f t="shared" si="0"/>
        <v>6.7706735380361913E-2</v>
      </c>
      <c r="H3" s="126">
        <f t="shared" si="0"/>
        <v>3.709576739877261</v>
      </c>
      <c r="I3" s="126">
        <f t="shared" si="0"/>
        <v>2.3412204059440498</v>
      </c>
      <c r="J3" s="126">
        <f t="shared" si="0"/>
        <v>4.4477921451640938</v>
      </c>
      <c r="K3" s="126">
        <f t="shared" si="0"/>
        <v>3.3406379012922294</v>
      </c>
      <c r="L3" s="126">
        <f t="shared" si="0"/>
        <v>5.6424597855340881</v>
      </c>
      <c r="M3" s="126">
        <f t="shared" si="0"/>
        <v>3.3442642776979667</v>
      </c>
      <c r="N3" s="126">
        <f t="shared" si="0"/>
        <v>2.1823914208783473</v>
      </c>
      <c r="O3" s="126">
        <f t="shared" si="0"/>
        <v>0.23959228228145815</v>
      </c>
      <c r="P3" s="126">
        <f t="shared" si="0"/>
        <v>4.1885590541119316E-2</v>
      </c>
      <c r="Q3" s="126">
        <f t="shared" si="0"/>
        <v>0.14379048840575226</v>
      </c>
      <c r="R3" s="126">
        <f t="shared" ref="R3:W3" si="1">SUM(R4,R16,R19,R29)</f>
        <v>0.50334111361894596</v>
      </c>
      <c r="S3" s="126">
        <f t="shared" si="1"/>
        <v>1.3051768586676693</v>
      </c>
      <c r="T3" s="126">
        <f t="shared" si="1"/>
        <v>1.0597305400408121</v>
      </c>
      <c r="U3" s="126">
        <f t="shared" si="1"/>
        <v>1.4276527669535228</v>
      </c>
      <c r="V3" s="126">
        <f t="shared" si="1"/>
        <v>1.0338233608338721</v>
      </c>
      <c r="W3" s="126">
        <f t="shared" si="1"/>
        <v>0.69401329269718071</v>
      </c>
      <c r="DA3" s="155" t="s">
        <v>692</v>
      </c>
    </row>
    <row r="4" spans="1:105" ht="12.95" customHeight="1" x14ac:dyDescent="0.25">
      <c r="A4" s="130" t="s">
        <v>32</v>
      </c>
      <c r="B4" s="131"/>
      <c r="C4" s="131">
        <f t="shared" ref="C4:Q4" si="2">SUM(C5:C15)</f>
        <v>0</v>
      </c>
      <c r="D4" s="131">
        <f t="shared" si="2"/>
        <v>0</v>
      </c>
      <c r="E4" s="131">
        <f t="shared" si="2"/>
        <v>0</v>
      </c>
      <c r="F4" s="131">
        <f t="shared" si="2"/>
        <v>0</v>
      </c>
      <c r="G4" s="131">
        <f t="shared" si="2"/>
        <v>0</v>
      </c>
      <c r="H4" s="131">
        <f t="shared" si="2"/>
        <v>0</v>
      </c>
      <c r="I4" s="131">
        <f t="shared" si="2"/>
        <v>0</v>
      </c>
      <c r="J4" s="131">
        <f t="shared" si="2"/>
        <v>2.706368358450268</v>
      </c>
      <c r="K4" s="131">
        <f t="shared" si="2"/>
        <v>3.0274114501626301</v>
      </c>
      <c r="L4" s="131">
        <f t="shared" si="2"/>
        <v>5.2333696832324827</v>
      </c>
      <c r="M4" s="131">
        <f t="shared" si="2"/>
        <v>2.624404636862208</v>
      </c>
      <c r="N4" s="131">
        <f t="shared" si="2"/>
        <v>1.6660278803417654</v>
      </c>
      <c r="O4" s="131">
        <f t="shared" si="2"/>
        <v>0.18314010545775061</v>
      </c>
      <c r="P4" s="131">
        <f t="shared" si="2"/>
        <v>0</v>
      </c>
      <c r="Q4" s="131">
        <f t="shared" si="2"/>
        <v>0</v>
      </c>
      <c r="R4" s="131">
        <f t="shared" ref="R4:W4" si="3">SUM(R5:R15)</f>
        <v>0</v>
      </c>
      <c r="S4" s="131">
        <f t="shared" si="3"/>
        <v>0</v>
      </c>
      <c r="T4" s="131">
        <f t="shared" si="3"/>
        <v>0.12275914216357553</v>
      </c>
      <c r="U4" s="131">
        <f t="shared" si="3"/>
        <v>0.79828990782910636</v>
      </c>
      <c r="V4" s="131">
        <f t="shared" si="3"/>
        <v>0.64265181334457078</v>
      </c>
      <c r="W4" s="131">
        <f t="shared" si="3"/>
        <v>0.29220044645528265</v>
      </c>
      <c r="DA4" s="156" t="s">
        <v>693</v>
      </c>
    </row>
    <row r="5" spans="1:105" ht="12" customHeight="1" x14ac:dyDescent="0.25">
      <c r="A5" s="132" t="s">
        <v>29</v>
      </c>
      <c r="B5" s="133"/>
      <c r="C5" s="133">
        <v>0</v>
      </c>
      <c r="D5" s="133">
        <v>0</v>
      </c>
      <c r="E5" s="133">
        <v>0</v>
      </c>
      <c r="F5" s="133">
        <v>0</v>
      </c>
      <c r="G5" s="133">
        <v>0</v>
      </c>
      <c r="H5" s="133">
        <v>0</v>
      </c>
      <c r="I5" s="133">
        <v>0</v>
      </c>
      <c r="J5" s="133">
        <v>0</v>
      </c>
      <c r="K5" s="133">
        <v>0</v>
      </c>
      <c r="L5" s="133">
        <v>0</v>
      </c>
      <c r="M5" s="133">
        <v>0</v>
      </c>
      <c r="N5" s="133">
        <v>0</v>
      </c>
      <c r="O5" s="133">
        <v>0</v>
      </c>
      <c r="P5" s="133">
        <v>0</v>
      </c>
      <c r="Q5" s="133">
        <v>0</v>
      </c>
      <c r="R5" s="133">
        <v>0</v>
      </c>
      <c r="S5" s="133">
        <v>0</v>
      </c>
      <c r="T5" s="133">
        <v>0</v>
      </c>
      <c r="U5" s="133">
        <v>0</v>
      </c>
      <c r="V5" s="133">
        <v>0</v>
      </c>
      <c r="W5" s="133">
        <v>0</v>
      </c>
      <c r="DA5" s="157" t="s">
        <v>694</v>
      </c>
    </row>
    <row r="6" spans="1:105" ht="12" customHeight="1" x14ac:dyDescent="0.25">
      <c r="A6" s="132" t="s">
        <v>52</v>
      </c>
      <c r="B6" s="133"/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695</v>
      </c>
    </row>
    <row r="7" spans="1:105" ht="12" customHeight="1" x14ac:dyDescent="0.25">
      <c r="A7" s="132" t="s">
        <v>168</v>
      </c>
      <c r="B7" s="133"/>
      <c r="C7" s="133">
        <v>0</v>
      </c>
      <c r="D7" s="133">
        <v>0</v>
      </c>
      <c r="E7" s="133">
        <v>0</v>
      </c>
      <c r="F7" s="133">
        <v>0</v>
      </c>
      <c r="G7" s="133">
        <v>0</v>
      </c>
      <c r="H7" s="133">
        <v>0</v>
      </c>
      <c r="I7" s="133">
        <v>0</v>
      </c>
      <c r="J7" s="133">
        <v>2.706368358450268</v>
      </c>
      <c r="K7" s="133">
        <v>3.0274114501626301</v>
      </c>
      <c r="L7" s="133">
        <v>5.2333696832324827</v>
      </c>
      <c r="M7" s="133">
        <v>2.624404636862208</v>
      </c>
      <c r="N7" s="133">
        <v>1.6660278803417654</v>
      </c>
      <c r="O7" s="133">
        <v>0.18314010545775061</v>
      </c>
      <c r="P7" s="133">
        <v>0</v>
      </c>
      <c r="Q7" s="133">
        <v>0</v>
      </c>
      <c r="R7" s="133">
        <v>0</v>
      </c>
      <c r="S7" s="133">
        <v>0</v>
      </c>
      <c r="T7" s="133">
        <v>0.12275914216357553</v>
      </c>
      <c r="U7" s="133">
        <v>0.79828990782910636</v>
      </c>
      <c r="V7" s="133">
        <v>0.64265181334457078</v>
      </c>
      <c r="W7" s="133">
        <v>0.29220044645528265</v>
      </c>
      <c r="DA7" s="157" t="s">
        <v>696</v>
      </c>
    </row>
    <row r="8" spans="1:105" ht="12" customHeight="1" x14ac:dyDescent="0.25">
      <c r="A8" s="132" t="s">
        <v>73</v>
      </c>
      <c r="B8" s="133"/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0</v>
      </c>
      <c r="S8" s="133">
        <v>0</v>
      </c>
      <c r="T8" s="133">
        <v>0</v>
      </c>
      <c r="U8" s="133">
        <v>0</v>
      </c>
      <c r="V8" s="133">
        <v>0</v>
      </c>
      <c r="W8" s="133">
        <v>0</v>
      </c>
      <c r="DA8" s="157" t="s">
        <v>697</v>
      </c>
    </row>
    <row r="9" spans="1:105" ht="12" customHeight="1" x14ac:dyDescent="0.25">
      <c r="A9" s="132" t="s">
        <v>78</v>
      </c>
      <c r="B9" s="133"/>
      <c r="C9" s="133">
        <v>0</v>
      </c>
      <c r="D9" s="133">
        <v>0</v>
      </c>
      <c r="E9" s="133">
        <v>0</v>
      </c>
      <c r="F9" s="133">
        <v>0</v>
      </c>
      <c r="G9" s="133">
        <v>0</v>
      </c>
      <c r="H9" s="133">
        <v>0</v>
      </c>
      <c r="I9" s="133">
        <v>0</v>
      </c>
      <c r="J9" s="133">
        <v>0</v>
      </c>
      <c r="K9" s="133">
        <v>0</v>
      </c>
      <c r="L9" s="133">
        <v>0</v>
      </c>
      <c r="M9" s="133">
        <v>0</v>
      </c>
      <c r="N9" s="133">
        <v>0</v>
      </c>
      <c r="O9" s="133">
        <v>0</v>
      </c>
      <c r="P9" s="133">
        <v>0</v>
      </c>
      <c r="Q9" s="133">
        <v>0</v>
      </c>
      <c r="R9" s="133">
        <v>0</v>
      </c>
      <c r="S9" s="133">
        <v>0</v>
      </c>
      <c r="T9" s="133">
        <v>0</v>
      </c>
      <c r="U9" s="133">
        <v>0</v>
      </c>
      <c r="V9" s="133">
        <v>0</v>
      </c>
      <c r="W9" s="133">
        <v>0</v>
      </c>
      <c r="DA9" s="157" t="s">
        <v>698</v>
      </c>
    </row>
    <row r="10" spans="1:105" ht="12" customHeight="1" x14ac:dyDescent="0.25">
      <c r="A10" s="132" t="s">
        <v>128</v>
      </c>
      <c r="B10" s="133"/>
      <c r="C10" s="133">
        <v>0</v>
      </c>
      <c r="D10" s="133">
        <v>0</v>
      </c>
      <c r="E10" s="133">
        <v>0</v>
      </c>
      <c r="F10" s="133">
        <v>0</v>
      </c>
      <c r="G10" s="133">
        <v>0</v>
      </c>
      <c r="H10" s="133">
        <v>0</v>
      </c>
      <c r="I10" s="133">
        <v>0</v>
      </c>
      <c r="J10" s="133">
        <v>0</v>
      </c>
      <c r="K10" s="133">
        <v>0</v>
      </c>
      <c r="L10" s="133">
        <v>0</v>
      </c>
      <c r="M10" s="133">
        <v>0</v>
      </c>
      <c r="N10" s="133">
        <v>0</v>
      </c>
      <c r="O10" s="133">
        <v>0</v>
      </c>
      <c r="P10" s="133">
        <v>0</v>
      </c>
      <c r="Q10" s="133">
        <v>0</v>
      </c>
      <c r="R10" s="133">
        <v>0</v>
      </c>
      <c r="S10" s="133">
        <v>0</v>
      </c>
      <c r="T10" s="133">
        <v>0</v>
      </c>
      <c r="U10" s="133">
        <v>0</v>
      </c>
      <c r="V10" s="133">
        <v>0</v>
      </c>
      <c r="W10" s="133">
        <v>0</v>
      </c>
      <c r="DA10" s="157" t="s">
        <v>699</v>
      </c>
    </row>
    <row r="11" spans="1:105" ht="12" customHeight="1" x14ac:dyDescent="0.25">
      <c r="A11" s="132" t="s">
        <v>25</v>
      </c>
      <c r="B11" s="133"/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700</v>
      </c>
    </row>
    <row r="12" spans="1:105" ht="12" customHeight="1" x14ac:dyDescent="0.25">
      <c r="A12" s="132" t="s">
        <v>169</v>
      </c>
      <c r="B12" s="133"/>
      <c r="C12" s="133">
        <v>0</v>
      </c>
      <c r="D12" s="133">
        <v>0</v>
      </c>
      <c r="E12" s="133">
        <v>0</v>
      </c>
      <c r="F12" s="133">
        <v>0</v>
      </c>
      <c r="G12" s="133">
        <v>0</v>
      </c>
      <c r="H12" s="133">
        <v>0</v>
      </c>
      <c r="I12" s="133">
        <v>0</v>
      </c>
      <c r="J12" s="133">
        <v>0</v>
      </c>
      <c r="K12" s="133">
        <v>0</v>
      </c>
      <c r="L12" s="133">
        <v>0</v>
      </c>
      <c r="M12" s="133">
        <v>0</v>
      </c>
      <c r="N12" s="133">
        <v>0</v>
      </c>
      <c r="O12" s="133">
        <v>0</v>
      </c>
      <c r="P12" s="133">
        <v>0</v>
      </c>
      <c r="Q12" s="133">
        <v>0</v>
      </c>
      <c r="R12" s="133">
        <v>0</v>
      </c>
      <c r="S12" s="133">
        <v>0</v>
      </c>
      <c r="T12" s="133">
        <v>0</v>
      </c>
      <c r="U12" s="133">
        <v>0</v>
      </c>
      <c r="V12" s="133">
        <v>0</v>
      </c>
      <c r="W12" s="133">
        <v>0</v>
      </c>
      <c r="DA12" s="157" t="s">
        <v>701</v>
      </c>
    </row>
    <row r="13" spans="1:105" ht="12" customHeight="1" x14ac:dyDescent="0.25">
      <c r="A13" s="132" t="s">
        <v>77</v>
      </c>
      <c r="B13" s="133"/>
      <c r="C13" s="133">
        <v>0</v>
      </c>
      <c r="D13" s="133">
        <v>0</v>
      </c>
      <c r="E13" s="133">
        <v>0</v>
      </c>
      <c r="F13" s="133">
        <v>0</v>
      </c>
      <c r="G13" s="133">
        <v>0</v>
      </c>
      <c r="H13" s="133">
        <v>0</v>
      </c>
      <c r="I13" s="133">
        <v>0</v>
      </c>
      <c r="J13" s="133">
        <v>0</v>
      </c>
      <c r="K13" s="133">
        <v>0</v>
      </c>
      <c r="L13" s="133">
        <v>0</v>
      </c>
      <c r="M13" s="133">
        <v>0</v>
      </c>
      <c r="N13" s="133">
        <v>0</v>
      </c>
      <c r="O13" s="133">
        <v>0</v>
      </c>
      <c r="P13" s="133">
        <v>0</v>
      </c>
      <c r="Q13" s="133">
        <v>0</v>
      </c>
      <c r="R13" s="133">
        <v>0</v>
      </c>
      <c r="S13" s="133">
        <v>0</v>
      </c>
      <c r="T13" s="133">
        <v>0</v>
      </c>
      <c r="U13" s="133">
        <v>0</v>
      </c>
      <c r="V13" s="133">
        <v>0</v>
      </c>
      <c r="W13" s="133">
        <v>0</v>
      </c>
      <c r="DA13" s="157" t="s">
        <v>702</v>
      </c>
    </row>
    <row r="14" spans="1:105" ht="12" customHeight="1" x14ac:dyDescent="0.25">
      <c r="A14" s="60" t="s">
        <v>76</v>
      </c>
      <c r="B14" s="65"/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DA14" s="109" t="s">
        <v>703</v>
      </c>
    </row>
    <row r="15" spans="1:105" ht="12" customHeight="1" x14ac:dyDescent="0.25">
      <c r="A15" s="134" t="s">
        <v>80</v>
      </c>
      <c r="B15" s="135"/>
      <c r="C15" s="135">
        <v>0</v>
      </c>
      <c r="D15" s="135">
        <v>0</v>
      </c>
      <c r="E15" s="135">
        <v>0</v>
      </c>
      <c r="F15" s="135">
        <v>0</v>
      </c>
      <c r="G15" s="135">
        <v>0</v>
      </c>
      <c r="H15" s="135">
        <v>0</v>
      </c>
      <c r="I15" s="135">
        <v>0</v>
      </c>
      <c r="J15" s="135">
        <v>0</v>
      </c>
      <c r="K15" s="135">
        <v>0</v>
      </c>
      <c r="L15" s="135">
        <v>0</v>
      </c>
      <c r="M15" s="135">
        <v>0</v>
      </c>
      <c r="N15" s="135">
        <v>0</v>
      </c>
      <c r="O15" s="135">
        <v>0</v>
      </c>
      <c r="P15" s="135">
        <v>0</v>
      </c>
      <c r="Q15" s="135">
        <v>0</v>
      </c>
      <c r="R15" s="135">
        <v>0</v>
      </c>
      <c r="S15" s="135">
        <v>0</v>
      </c>
      <c r="T15" s="135">
        <v>0</v>
      </c>
      <c r="U15" s="135">
        <v>0</v>
      </c>
      <c r="V15" s="135">
        <v>0</v>
      </c>
      <c r="W15" s="135">
        <v>0</v>
      </c>
      <c r="DA15" s="158" t="s">
        <v>704</v>
      </c>
    </row>
    <row r="16" spans="1:105" ht="12.95" customHeight="1" x14ac:dyDescent="0.25">
      <c r="A16" s="130" t="s">
        <v>74</v>
      </c>
      <c r="B16" s="131"/>
      <c r="C16" s="131">
        <f t="shared" ref="C16:Q16" si="4">SUM(C17:C18)</f>
        <v>0</v>
      </c>
      <c r="D16" s="131">
        <f t="shared" si="4"/>
        <v>0</v>
      </c>
      <c r="E16" s="131">
        <f t="shared" si="4"/>
        <v>0</v>
      </c>
      <c r="F16" s="131">
        <f t="shared" si="4"/>
        <v>0</v>
      </c>
      <c r="G16" s="131">
        <f t="shared" si="4"/>
        <v>0</v>
      </c>
      <c r="H16" s="131">
        <f t="shared" si="4"/>
        <v>0</v>
      </c>
      <c r="I16" s="131">
        <f t="shared" si="4"/>
        <v>0</v>
      </c>
      <c r="J16" s="131">
        <f t="shared" si="4"/>
        <v>0</v>
      </c>
      <c r="K16" s="131">
        <f t="shared" si="4"/>
        <v>0</v>
      </c>
      <c r="L16" s="131">
        <f t="shared" si="4"/>
        <v>0</v>
      </c>
      <c r="M16" s="131">
        <f t="shared" si="4"/>
        <v>0</v>
      </c>
      <c r="N16" s="131">
        <f t="shared" si="4"/>
        <v>0</v>
      </c>
      <c r="O16" s="131">
        <f t="shared" si="4"/>
        <v>0</v>
      </c>
      <c r="P16" s="131">
        <f t="shared" si="4"/>
        <v>0</v>
      </c>
      <c r="Q16" s="131">
        <f t="shared" si="4"/>
        <v>0</v>
      </c>
      <c r="R16" s="131">
        <f t="shared" ref="R16:W16" si="5">SUM(R17:R18)</f>
        <v>0</v>
      </c>
      <c r="S16" s="131">
        <f t="shared" si="5"/>
        <v>0</v>
      </c>
      <c r="T16" s="131">
        <f t="shared" si="5"/>
        <v>0</v>
      </c>
      <c r="U16" s="131">
        <f t="shared" si="5"/>
        <v>0</v>
      </c>
      <c r="V16" s="131">
        <f t="shared" si="5"/>
        <v>0</v>
      </c>
      <c r="W16" s="131">
        <f t="shared" si="5"/>
        <v>0</v>
      </c>
      <c r="DA16" s="156" t="s">
        <v>705</v>
      </c>
    </row>
    <row r="17" spans="1:105" ht="12.95" customHeight="1" x14ac:dyDescent="0.25">
      <c r="A17" s="132" t="s">
        <v>73</v>
      </c>
      <c r="B17" s="133"/>
      <c r="C17" s="133">
        <v>0</v>
      </c>
      <c r="D17" s="133">
        <v>0</v>
      </c>
      <c r="E17" s="133">
        <v>0</v>
      </c>
      <c r="F17" s="133">
        <v>0</v>
      </c>
      <c r="G17" s="133">
        <v>0</v>
      </c>
      <c r="H17" s="133">
        <v>0</v>
      </c>
      <c r="I17" s="133">
        <v>0</v>
      </c>
      <c r="J17" s="133">
        <v>0</v>
      </c>
      <c r="K17" s="133">
        <v>0</v>
      </c>
      <c r="L17" s="133">
        <v>0</v>
      </c>
      <c r="M17" s="133">
        <v>0</v>
      </c>
      <c r="N17" s="133">
        <v>0</v>
      </c>
      <c r="O17" s="133">
        <v>0</v>
      </c>
      <c r="P17" s="133">
        <v>0</v>
      </c>
      <c r="Q17" s="133">
        <v>0</v>
      </c>
      <c r="R17" s="133">
        <v>0</v>
      </c>
      <c r="S17" s="133">
        <v>0</v>
      </c>
      <c r="T17" s="133">
        <v>0</v>
      </c>
      <c r="U17" s="133">
        <v>0</v>
      </c>
      <c r="V17" s="133">
        <v>0</v>
      </c>
      <c r="W17" s="133">
        <v>0</v>
      </c>
      <c r="DA17" s="157" t="s">
        <v>706</v>
      </c>
    </row>
    <row r="18" spans="1:105" ht="12" customHeight="1" x14ac:dyDescent="0.25">
      <c r="A18" s="132" t="s">
        <v>72</v>
      </c>
      <c r="B18" s="133"/>
      <c r="C18" s="133">
        <v>0</v>
      </c>
      <c r="D18" s="133">
        <v>0</v>
      </c>
      <c r="E18" s="133">
        <v>0</v>
      </c>
      <c r="F18" s="133">
        <v>0</v>
      </c>
      <c r="G18" s="133">
        <v>0</v>
      </c>
      <c r="H18" s="133">
        <v>0</v>
      </c>
      <c r="I18" s="133">
        <v>0</v>
      </c>
      <c r="J18" s="133">
        <v>0</v>
      </c>
      <c r="K18" s="133">
        <v>0</v>
      </c>
      <c r="L18" s="133">
        <v>0</v>
      </c>
      <c r="M18" s="133">
        <v>0</v>
      </c>
      <c r="N18" s="133">
        <v>0</v>
      </c>
      <c r="O18" s="133">
        <v>0</v>
      </c>
      <c r="P18" s="133">
        <v>0</v>
      </c>
      <c r="Q18" s="133">
        <v>0</v>
      </c>
      <c r="R18" s="133">
        <v>0</v>
      </c>
      <c r="S18" s="133">
        <v>0</v>
      </c>
      <c r="T18" s="133">
        <v>0</v>
      </c>
      <c r="U18" s="133">
        <v>0</v>
      </c>
      <c r="V18" s="133">
        <v>0</v>
      </c>
      <c r="W18" s="133">
        <v>0</v>
      </c>
      <c r="DA18" s="157" t="s">
        <v>707</v>
      </c>
    </row>
    <row r="19" spans="1:105" ht="12.95" customHeight="1" x14ac:dyDescent="0.25">
      <c r="A19" s="130" t="s">
        <v>35</v>
      </c>
      <c r="B19" s="131"/>
      <c r="C19" s="131">
        <f t="shared" ref="C19:Q19" si="6">SUM(C20:C27)</f>
        <v>7.5539421502395607E-2</v>
      </c>
      <c r="D19" s="131">
        <f t="shared" si="6"/>
        <v>1.9511061301149071E-2</v>
      </c>
      <c r="E19" s="131">
        <f t="shared" si="6"/>
        <v>4.7488991383644708E-2</v>
      </c>
      <c r="F19" s="131">
        <f t="shared" si="6"/>
        <v>6.8140965780837587E-2</v>
      </c>
      <c r="G19" s="131">
        <f t="shared" si="6"/>
        <v>6.7706735380361913E-2</v>
      </c>
      <c r="H19" s="131">
        <f t="shared" si="6"/>
        <v>1.2781306441966562</v>
      </c>
      <c r="I19" s="131">
        <f t="shared" si="6"/>
        <v>1.4218803938288627</v>
      </c>
      <c r="J19" s="131">
        <f t="shared" si="6"/>
        <v>1.2945957383566058</v>
      </c>
      <c r="K19" s="131">
        <f t="shared" si="6"/>
        <v>0.31322645112959935</v>
      </c>
      <c r="L19" s="131">
        <f t="shared" si="6"/>
        <v>0.3087572587029378</v>
      </c>
      <c r="M19" s="131">
        <f t="shared" si="6"/>
        <v>9.7479343802540197E-2</v>
      </c>
      <c r="N19" s="131">
        <f t="shared" si="6"/>
        <v>0.10360416505237108</v>
      </c>
      <c r="O19" s="131">
        <f t="shared" si="6"/>
        <v>1.7149093382194128E-2</v>
      </c>
      <c r="P19" s="131">
        <f t="shared" si="6"/>
        <v>1.1881979929499891E-2</v>
      </c>
      <c r="Q19" s="131">
        <f t="shared" si="6"/>
        <v>1.0750464447067596E-2</v>
      </c>
      <c r="R19" s="131">
        <f t="shared" ref="R19:W19" si="7">SUM(R20:R27)</f>
        <v>5.4367086563420874E-2</v>
      </c>
      <c r="S19" s="131">
        <f t="shared" si="7"/>
        <v>0.15841525713537108</v>
      </c>
      <c r="T19" s="131">
        <f t="shared" si="7"/>
        <v>0.26040973478825974</v>
      </c>
      <c r="U19" s="131">
        <f t="shared" si="7"/>
        <v>0.35058061735891766</v>
      </c>
      <c r="V19" s="131">
        <f t="shared" si="7"/>
        <v>0.14154354718883635</v>
      </c>
      <c r="W19" s="131">
        <f t="shared" si="7"/>
        <v>0.32831475913391617</v>
      </c>
      <c r="DA19" s="156" t="s">
        <v>708</v>
      </c>
    </row>
    <row r="20" spans="1:105" ht="12" customHeight="1" x14ac:dyDescent="0.25">
      <c r="A20" s="132" t="s">
        <v>29</v>
      </c>
      <c r="B20" s="133"/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709</v>
      </c>
    </row>
    <row r="21" spans="1:105" s="2" customFormat="1" ht="12" customHeight="1" x14ac:dyDescent="0.25">
      <c r="A21" s="132" t="s">
        <v>52</v>
      </c>
      <c r="B21" s="133"/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1.2438683261794705</v>
      </c>
      <c r="I21" s="133">
        <v>1.3604725858618074</v>
      </c>
      <c r="J21" s="133">
        <v>1.1891761525432722</v>
      </c>
      <c r="K21" s="133">
        <v>0.19951483166145337</v>
      </c>
      <c r="L21" s="133">
        <v>0.16005508642655333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1.3230068574245035E-2</v>
      </c>
      <c r="S21" s="133">
        <v>0.1167567885795926</v>
      </c>
      <c r="T21" s="133">
        <v>0.19981296078537947</v>
      </c>
      <c r="U21" s="133">
        <v>0.29559052213048664</v>
      </c>
      <c r="V21" s="133">
        <v>0.11726021961953829</v>
      </c>
      <c r="W21" s="133">
        <v>0.29600791795319831</v>
      </c>
      <c r="DA21" s="157" t="s">
        <v>710</v>
      </c>
    </row>
    <row r="22" spans="1:105" ht="12" customHeight="1" x14ac:dyDescent="0.25">
      <c r="A22" s="132" t="s">
        <v>168</v>
      </c>
      <c r="B22" s="133"/>
      <c r="C22" s="133">
        <v>7.5539421502395607E-2</v>
      </c>
      <c r="D22" s="133">
        <v>1.9511061301149071E-2</v>
      </c>
      <c r="E22" s="133">
        <v>4.7488991383644708E-2</v>
      </c>
      <c r="F22" s="133">
        <v>6.8140965780837587E-2</v>
      </c>
      <c r="G22" s="133">
        <v>6.7706735380361913E-2</v>
      </c>
      <c r="H22" s="133">
        <v>3.4262318017185801E-2</v>
      </c>
      <c r="I22" s="133">
        <v>6.1407807967055181E-2</v>
      </c>
      <c r="J22" s="133">
        <v>0.10541958581333347</v>
      </c>
      <c r="K22" s="133">
        <v>0.11371161946814595</v>
      </c>
      <c r="L22" s="133">
        <v>0.14870217227638449</v>
      </c>
      <c r="M22" s="133">
        <v>9.7479343802540197E-2</v>
      </c>
      <c r="N22" s="133">
        <v>0.10360416505237108</v>
      </c>
      <c r="O22" s="133">
        <v>1.7149093382194128E-2</v>
      </c>
      <c r="P22" s="133">
        <v>1.1881979929499891E-2</v>
      </c>
      <c r="Q22" s="133">
        <v>1.0750464447067596E-2</v>
      </c>
      <c r="R22" s="133">
        <v>4.1137017989175843E-2</v>
      </c>
      <c r="S22" s="133">
        <v>4.165846855577849E-2</v>
      </c>
      <c r="T22" s="133">
        <v>6.0596774002880271E-2</v>
      </c>
      <c r="U22" s="133">
        <v>5.4990095228430992E-2</v>
      </c>
      <c r="V22" s="133">
        <v>2.428332756929806E-2</v>
      </c>
      <c r="W22" s="133">
        <v>3.2306841180717846E-2</v>
      </c>
      <c r="DA22" s="157" t="s">
        <v>711</v>
      </c>
    </row>
    <row r="23" spans="1:105" ht="12" customHeight="1" x14ac:dyDescent="0.25">
      <c r="A23" s="132" t="s">
        <v>153</v>
      </c>
      <c r="B23" s="133"/>
      <c r="C23" s="133">
        <v>0</v>
      </c>
      <c r="D23" s="133">
        <v>0</v>
      </c>
      <c r="E23" s="133">
        <v>0</v>
      </c>
      <c r="F23" s="133">
        <v>0</v>
      </c>
      <c r="G23" s="133">
        <v>0</v>
      </c>
      <c r="H23" s="133">
        <v>0</v>
      </c>
      <c r="I23" s="133">
        <v>0</v>
      </c>
      <c r="J23" s="133">
        <v>0</v>
      </c>
      <c r="K23" s="133">
        <v>0</v>
      </c>
      <c r="L23" s="133">
        <v>0</v>
      </c>
      <c r="M23" s="133">
        <v>0</v>
      </c>
      <c r="N23" s="133">
        <v>0</v>
      </c>
      <c r="O23" s="133">
        <v>0</v>
      </c>
      <c r="P23" s="133">
        <v>0</v>
      </c>
      <c r="Q23" s="133">
        <v>0</v>
      </c>
      <c r="R23" s="133">
        <v>0</v>
      </c>
      <c r="S23" s="133">
        <v>0</v>
      </c>
      <c r="T23" s="133">
        <v>0</v>
      </c>
      <c r="U23" s="133">
        <v>0</v>
      </c>
      <c r="V23" s="133">
        <v>0</v>
      </c>
      <c r="W23" s="133">
        <v>0</v>
      </c>
      <c r="DA23" s="157" t="s">
        <v>712</v>
      </c>
    </row>
    <row r="24" spans="1:105" ht="12" customHeight="1" x14ac:dyDescent="0.25">
      <c r="A24" s="132" t="s">
        <v>128</v>
      </c>
      <c r="B24" s="133"/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713</v>
      </c>
    </row>
    <row r="25" spans="1:105" ht="12" customHeight="1" x14ac:dyDescent="0.25">
      <c r="A25" s="132" t="s">
        <v>169</v>
      </c>
      <c r="B25" s="133"/>
      <c r="C25" s="133">
        <v>0</v>
      </c>
      <c r="D25" s="133">
        <v>0</v>
      </c>
      <c r="E25" s="133">
        <v>0</v>
      </c>
      <c r="F25" s="133">
        <v>0</v>
      </c>
      <c r="G25" s="133">
        <v>0</v>
      </c>
      <c r="H25" s="133">
        <v>0</v>
      </c>
      <c r="I25" s="133">
        <v>0</v>
      </c>
      <c r="J25" s="133">
        <v>0</v>
      </c>
      <c r="K25" s="133">
        <v>0</v>
      </c>
      <c r="L25" s="133">
        <v>0</v>
      </c>
      <c r="M25" s="133">
        <v>0</v>
      </c>
      <c r="N25" s="133">
        <v>0</v>
      </c>
      <c r="O25" s="133">
        <v>0</v>
      </c>
      <c r="P25" s="133">
        <v>0</v>
      </c>
      <c r="Q25" s="133">
        <v>0</v>
      </c>
      <c r="R25" s="133">
        <v>0</v>
      </c>
      <c r="S25" s="133">
        <v>0</v>
      </c>
      <c r="T25" s="133">
        <v>0</v>
      </c>
      <c r="U25" s="133">
        <v>0</v>
      </c>
      <c r="V25" s="133">
        <v>0</v>
      </c>
      <c r="W25" s="133">
        <v>0</v>
      </c>
      <c r="DA25" s="157" t="s">
        <v>714</v>
      </c>
    </row>
    <row r="26" spans="1:105" ht="12" customHeight="1" x14ac:dyDescent="0.25">
      <c r="A26" s="132" t="s">
        <v>24</v>
      </c>
      <c r="B26" s="65"/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DA26" s="109" t="s">
        <v>715</v>
      </c>
    </row>
    <row r="27" spans="1:105" ht="12" customHeight="1" x14ac:dyDescent="0.25">
      <c r="A27" s="145" t="s">
        <v>26</v>
      </c>
      <c r="B27" s="148"/>
      <c r="C27" s="148">
        <v>0</v>
      </c>
      <c r="D27" s="148">
        <v>0</v>
      </c>
      <c r="E27" s="148">
        <v>0</v>
      </c>
      <c r="F27" s="148">
        <v>0</v>
      </c>
      <c r="G27" s="148">
        <v>0</v>
      </c>
      <c r="H27" s="148">
        <v>0</v>
      </c>
      <c r="I27" s="148">
        <v>0</v>
      </c>
      <c r="J27" s="148">
        <v>0</v>
      </c>
      <c r="K27" s="148">
        <v>0</v>
      </c>
      <c r="L27" s="148">
        <v>0</v>
      </c>
      <c r="M27" s="148">
        <v>0</v>
      </c>
      <c r="N27" s="148">
        <v>0</v>
      </c>
      <c r="O27" s="148">
        <v>0</v>
      </c>
      <c r="P27" s="148">
        <v>0</v>
      </c>
      <c r="Q27" s="148">
        <v>0</v>
      </c>
      <c r="R27" s="148">
        <v>0</v>
      </c>
      <c r="S27" s="148">
        <v>0</v>
      </c>
      <c r="T27" s="148">
        <v>0</v>
      </c>
      <c r="U27" s="148">
        <v>0</v>
      </c>
      <c r="V27" s="148">
        <v>0</v>
      </c>
      <c r="W27" s="148">
        <v>0</v>
      </c>
      <c r="DA27" s="161" t="s">
        <v>716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/>
      <c r="C29" s="131">
        <f t="shared" ref="C29:Q29" si="8">SUM(C30:C33)</f>
        <v>0</v>
      </c>
      <c r="D29" s="131">
        <f t="shared" si="8"/>
        <v>0</v>
      </c>
      <c r="E29" s="131">
        <f t="shared" si="8"/>
        <v>0</v>
      </c>
      <c r="F29" s="131">
        <f t="shared" si="8"/>
        <v>0</v>
      </c>
      <c r="G29" s="131">
        <f t="shared" si="8"/>
        <v>0</v>
      </c>
      <c r="H29" s="131">
        <f t="shared" si="8"/>
        <v>2.4314460956806045</v>
      </c>
      <c r="I29" s="131">
        <f t="shared" si="8"/>
        <v>0.9193400121151869</v>
      </c>
      <c r="J29" s="131">
        <f t="shared" si="8"/>
        <v>0.44682804835722051</v>
      </c>
      <c r="K29" s="131">
        <f t="shared" si="8"/>
        <v>0</v>
      </c>
      <c r="L29" s="131">
        <f t="shared" si="8"/>
        <v>0.10033284359866682</v>
      </c>
      <c r="M29" s="131">
        <f t="shared" si="8"/>
        <v>0.62238029703321851</v>
      </c>
      <c r="N29" s="131">
        <f t="shared" si="8"/>
        <v>0.41275937548421077</v>
      </c>
      <c r="O29" s="131">
        <f t="shared" si="8"/>
        <v>3.9303083441513426E-2</v>
      </c>
      <c r="P29" s="131">
        <f t="shared" si="8"/>
        <v>3.0003610611619429E-2</v>
      </c>
      <c r="Q29" s="131">
        <f t="shared" si="8"/>
        <v>0.13304002395868467</v>
      </c>
      <c r="R29" s="131">
        <f t="shared" ref="R29:W29" si="9">SUM(R30:R33)</f>
        <v>0.44897402705552508</v>
      </c>
      <c r="S29" s="131">
        <f t="shared" si="9"/>
        <v>1.1467616015322981</v>
      </c>
      <c r="T29" s="131">
        <f t="shared" si="9"/>
        <v>0.67656166308897681</v>
      </c>
      <c r="U29" s="131">
        <f t="shared" si="9"/>
        <v>0.27878224176549876</v>
      </c>
      <c r="V29" s="131">
        <f t="shared" si="9"/>
        <v>0.24962800030046489</v>
      </c>
      <c r="W29" s="131">
        <f t="shared" si="9"/>
        <v>7.3498087107981905E-2</v>
      </c>
      <c r="DA29" s="156" t="s">
        <v>717</v>
      </c>
    </row>
    <row r="30" spans="1:105" s="2" customFormat="1" ht="12" customHeight="1" x14ac:dyDescent="0.25">
      <c r="A30" s="132" t="s">
        <v>52</v>
      </c>
      <c r="B30" s="133"/>
      <c r="C30" s="133">
        <v>0</v>
      </c>
      <c r="D30" s="133">
        <v>0</v>
      </c>
      <c r="E30" s="133">
        <v>0</v>
      </c>
      <c r="F30" s="133">
        <v>0</v>
      </c>
      <c r="G30" s="133">
        <v>0</v>
      </c>
      <c r="H30" s="133">
        <v>2.4314460956806045</v>
      </c>
      <c r="I30" s="133">
        <v>0.9193400121151869</v>
      </c>
      <c r="J30" s="133">
        <v>0.44682804835722051</v>
      </c>
      <c r="K30" s="133">
        <v>0</v>
      </c>
      <c r="L30" s="133">
        <v>0.10033284359866682</v>
      </c>
      <c r="M30" s="133">
        <v>0.62238029703321851</v>
      </c>
      <c r="N30" s="133">
        <v>0.41275937548421077</v>
      </c>
      <c r="O30" s="133">
        <v>3.9303083441513426E-2</v>
      </c>
      <c r="P30" s="133">
        <v>3.0003610611619429E-2</v>
      </c>
      <c r="Q30" s="133">
        <v>0.13304002395868467</v>
      </c>
      <c r="R30" s="133">
        <v>0.44897402705552508</v>
      </c>
      <c r="S30" s="133">
        <v>1.1467616015322981</v>
      </c>
      <c r="T30" s="133">
        <v>0.67656166308897681</v>
      </c>
      <c r="U30" s="133">
        <v>0.27878224176549876</v>
      </c>
      <c r="V30" s="133">
        <v>0.24962800030046489</v>
      </c>
      <c r="W30" s="133">
        <v>7.3498087107981905E-2</v>
      </c>
      <c r="DA30" s="157" t="s">
        <v>718</v>
      </c>
    </row>
    <row r="31" spans="1:105" ht="12" customHeight="1" x14ac:dyDescent="0.25">
      <c r="A31" s="132" t="s">
        <v>153</v>
      </c>
      <c r="B31" s="133"/>
      <c r="C31" s="133">
        <v>0</v>
      </c>
      <c r="D31" s="133">
        <v>0</v>
      </c>
      <c r="E31" s="133">
        <v>0</v>
      </c>
      <c r="F31" s="133">
        <v>0</v>
      </c>
      <c r="G31" s="133">
        <v>0</v>
      </c>
      <c r="H31" s="133">
        <v>0</v>
      </c>
      <c r="I31" s="133">
        <v>0</v>
      </c>
      <c r="J31" s="133">
        <v>0</v>
      </c>
      <c r="K31" s="133">
        <v>0</v>
      </c>
      <c r="L31" s="133">
        <v>0</v>
      </c>
      <c r="M31" s="133">
        <v>0</v>
      </c>
      <c r="N31" s="133">
        <v>0</v>
      </c>
      <c r="O31" s="133">
        <v>0</v>
      </c>
      <c r="P31" s="133">
        <v>0</v>
      </c>
      <c r="Q31" s="133">
        <v>0</v>
      </c>
      <c r="R31" s="133">
        <v>0</v>
      </c>
      <c r="S31" s="133">
        <v>0</v>
      </c>
      <c r="T31" s="133">
        <v>0</v>
      </c>
      <c r="U31" s="133">
        <v>0</v>
      </c>
      <c r="V31" s="133">
        <v>0</v>
      </c>
      <c r="W31" s="133">
        <v>0</v>
      </c>
      <c r="DA31" s="157" t="s">
        <v>719</v>
      </c>
    </row>
    <row r="32" spans="1:105" ht="12" customHeight="1" x14ac:dyDescent="0.25">
      <c r="A32" s="132" t="s">
        <v>128</v>
      </c>
      <c r="B32" s="133"/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720</v>
      </c>
    </row>
    <row r="33" spans="1:105" ht="12" customHeight="1" x14ac:dyDescent="0.25">
      <c r="A33" s="62" t="s">
        <v>24</v>
      </c>
      <c r="B33" s="68"/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DA33" s="111" t="s">
        <v>721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722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87</v>
      </c>
      <c r="B3" s="126"/>
      <c r="C3" s="126">
        <f>IF(SER_hh_fec_in!C3=0,0,11630*1000*SER_hh_fec_in!C3/SER_hh_num_in!C3)</f>
        <v>82106.340997994572</v>
      </c>
      <c r="D3" s="126">
        <f>IF(SER_hh_fec_in!D3=0,0,11630*1000*SER_hh_fec_in!D3/SER_hh_num_in!D3)</f>
        <v>81508.735351853742</v>
      </c>
      <c r="E3" s="126">
        <f>IF(SER_hh_fec_in!E3=0,0,11630*1000*SER_hh_fec_in!E3/SER_hh_num_in!E3)</f>
        <v>79389.470113339761</v>
      </c>
      <c r="F3" s="126">
        <f>IF(SER_hh_fec_in!F3=0,0,11630*1000*SER_hh_fec_in!F3/SER_hh_num_in!F3)</f>
        <v>75862.630904658159</v>
      </c>
      <c r="G3" s="126">
        <f>IF(SER_hh_fec_in!G3=0,0,11630*1000*SER_hh_fec_in!G3/SER_hh_num_in!G3)</f>
        <v>76085.922445962467</v>
      </c>
      <c r="H3" s="126">
        <f>IF(SER_hh_fec_in!H3=0,0,11630*1000*SER_hh_fec_in!H3/SER_hh_num_in!H3)</f>
        <v>111878.17836961588</v>
      </c>
      <c r="I3" s="126">
        <f>IF(SER_hh_fec_in!I3=0,0,11630*1000*SER_hh_fec_in!I3/SER_hh_num_in!I3)</f>
        <v>99306.458989801613</v>
      </c>
      <c r="J3" s="126">
        <f>IF(SER_hh_fec_in!J3=0,0,11630*1000*SER_hh_fec_in!J3/SER_hh_num_in!J3)</f>
        <v>108386.09229140349</v>
      </c>
      <c r="K3" s="126">
        <f>IF(SER_hh_fec_in!K3=0,0,11630*1000*SER_hh_fec_in!K3/SER_hh_num_in!K3)</f>
        <v>93303.518394914776</v>
      </c>
      <c r="L3" s="126">
        <f>IF(SER_hh_fec_in!L3=0,0,11630*1000*SER_hh_fec_in!L3/SER_hh_num_in!L3)</f>
        <v>89601.457393309072</v>
      </c>
      <c r="M3" s="126">
        <f>IF(SER_hh_fec_in!M3=0,0,11630*1000*SER_hh_fec_in!M3/SER_hh_num_in!M3)</f>
        <v>71330.342762329194</v>
      </c>
      <c r="N3" s="126">
        <f>IF(SER_hh_fec_in!N3=0,0,11630*1000*SER_hh_fec_in!N3/SER_hh_num_in!N3)</f>
        <v>69162.717026403974</v>
      </c>
      <c r="O3" s="126">
        <f>IF(SER_hh_fec_in!O3=0,0,11630*1000*SER_hh_fec_in!O3/SER_hh_num_in!O3)</f>
        <v>63910.024038757634</v>
      </c>
      <c r="P3" s="126">
        <f>IF(SER_hh_fec_in!P3=0,0,11630*1000*SER_hh_fec_in!P3/SER_hh_num_in!P3)</f>
        <v>54725.781852275672</v>
      </c>
      <c r="Q3" s="126">
        <f>IF(SER_hh_fec_in!Q3=0,0,11630*1000*SER_hh_fec_in!Q3/SER_hh_num_in!Q3)</f>
        <v>68993.952829369751</v>
      </c>
      <c r="R3" s="126">
        <f>IF(SER_hh_fec_in!R3=0,0,11630*1000*SER_hh_fec_in!R3/SER_hh_num_in!R3)</f>
        <v>82316.132805640445</v>
      </c>
      <c r="S3" s="126">
        <f>IF(SER_hh_fec_in!S3=0,0,11630*1000*SER_hh_fec_in!S3/SER_hh_num_in!S3)</f>
        <v>74805.529741530714</v>
      </c>
      <c r="T3" s="126">
        <f>IF(SER_hh_fec_in!T3=0,0,11630*1000*SER_hh_fec_in!T3/SER_hh_num_in!T3)</f>
        <v>71076.096779248343</v>
      </c>
      <c r="U3" s="126">
        <f>IF(SER_hh_fec_in!U3=0,0,11630*1000*SER_hh_fec_in!U3/SER_hh_num_in!U3)</f>
        <v>72221.079570463873</v>
      </c>
      <c r="V3" s="126">
        <f>IF(SER_hh_fec_in!V3=0,0,11630*1000*SER_hh_fec_in!V3/SER_hh_num_in!V3)</f>
        <v>54115.005119179783</v>
      </c>
      <c r="W3" s="126">
        <f>IF(SER_hh_fec_in!W3=0,0,11630*1000*SER_hh_fec_in!W3/SER_hh_num_in!W3)</f>
        <v>60222.295023975392</v>
      </c>
      <c r="DA3" s="155" t="s">
        <v>723</v>
      </c>
    </row>
    <row r="4" spans="1:105" ht="12.95" customHeight="1" x14ac:dyDescent="0.25">
      <c r="A4" s="130" t="s">
        <v>32</v>
      </c>
      <c r="B4" s="131"/>
      <c r="C4" s="131">
        <f>IF(SER_hh_fec_in!C4=0,0,11630*1000*SER_hh_fec_in!C4/SER_hh_num_in!C4)</f>
        <v>20634.91476027156</v>
      </c>
      <c r="D4" s="131">
        <f>IF(SER_hh_fec_in!D4=0,0,11630*1000*SER_hh_fec_in!D4/SER_hh_num_in!D4)</f>
        <v>24266.235554918061</v>
      </c>
      <c r="E4" s="131">
        <f>IF(SER_hh_fec_in!E4=0,0,11630*1000*SER_hh_fec_in!E4/SER_hh_num_in!E4)</f>
        <v>20574.471767076575</v>
      </c>
      <c r="F4" s="131">
        <f>IF(SER_hh_fec_in!F4=0,0,11630*1000*SER_hh_fec_in!F4/SER_hh_num_in!F4)</f>
        <v>22578.181253130489</v>
      </c>
      <c r="G4" s="131">
        <f>IF(SER_hh_fec_in!G4=0,0,11630*1000*SER_hh_fec_in!G4/SER_hh_num_in!G4)</f>
        <v>24592.974725387216</v>
      </c>
      <c r="H4" s="131">
        <f>IF(SER_hh_fec_in!H4=0,0,11630*1000*SER_hh_fec_in!H4/SER_hh_num_in!H4)</f>
        <v>40668.249731933342</v>
      </c>
      <c r="I4" s="131">
        <f>IF(SER_hh_fec_in!I4=0,0,11630*1000*SER_hh_fec_in!I4/SER_hh_num_in!I4)</f>
        <v>36690.736268076434</v>
      </c>
      <c r="J4" s="131">
        <f>IF(SER_hh_fec_in!J4=0,0,11630*1000*SER_hh_fec_in!J4/SER_hh_num_in!J4)</f>
        <v>49746.296890353588</v>
      </c>
      <c r="K4" s="131">
        <f>IF(SER_hh_fec_in!K4=0,0,11630*1000*SER_hh_fec_in!K4/SER_hh_num_in!K4)</f>
        <v>42018.429524603474</v>
      </c>
      <c r="L4" s="131">
        <f>IF(SER_hh_fec_in!L4=0,0,11630*1000*SER_hh_fec_in!L4/SER_hh_num_in!L4)</f>
        <v>38286.918552325165</v>
      </c>
      <c r="M4" s="131">
        <f>IF(SER_hh_fec_in!M4=0,0,11630*1000*SER_hh_fec_in!M4/SER_hh_num_in!M4)</f>
        <v>23845.060597672706</v>
      </c>
      <c r="N4" s="131">
        <f>IF(SER_hh_fec_in!N4=0,0,11630*1000*SER_hh_fec_in!N4/SER_hh_num_in!N4)</f>
        <v>17367.36134296317</v>
      </c>
      <c r="O4" s="131">
        <f>IF(SER_hh_fec_in!O4=0,0,11630*1000*SER_hh_fec_in!O4/SER_hh_num_in!O4)</f>
        <v>16524.248864221798</v>
      </c>
      <c r="P4" s="131">
        <f>IF(SER_hh_fec_in!P4=0,0,11630*1000*SER_hh_fec_in!P4/SER_hh_num_in!P4)</f>
        <v>9633.8881807540947</v>
      </c>
      <c r="Q4" s="131">
        <f>IF(SER_hh_fec_in!Q4=0,0,11630*1000*SER_hh_fec_in!Q4/SER_hh_num_in!Q4)</f>
        <v>23186.941337664826</v>
      </c>
      <c r="R4" s="131">
        <f>IF(SER_hh_fec_in!R4=0,0,11630*1000*SER_hh_fec_in!R4/SER_hh_num_in!R4)</f>
        <v>36359.886906022279</v>
      </c>
      <c r="S4" s="131">
        <f>IF(SER_hh_fec_in!S4=0,0,11630*1000*SER_hh_fec_in!S4/SER_hh_num_in!S4)</f>
        <v>29025.18927637209</v>
      </c>
      <c r="T4" s="131">
        <f>IF(SER_hh_fec_in!T4=0,0,11630*1000*SER_hh_fec_in!T4/SER_hh_num_in!T4)</f>
        <v>23331.771851545953</v>
      </c>
      <c r="U4" s="131">
        <f>IF(SER_hh_fec_in!U4=0,0,11630*1000*SER_hh_fec_in!U4/SER_hh_num_in!U4)</f>
        <v>29896.888439711103</v>
      </c>
      <c r="V4" s="131">
        <f>IF(SER_hh_fec_in!V4=0,0,11630*1000*SER_hh_fec_in!V4/SER_hh_num_in!V4)</f>
        <v>14063.060516198599</v>
      </c>
      <c r="W4" s="131">
        <f>IF(SER_hh_fec_in!W4=0,0,11630*1000*SER_hh_fec_in!W4/SER_hh_num_in!W4)</f>
        <v>22772.501130038607</v>
      </c>
      <c r="DA4" s="156" t="s">
        <v>724</v>
      </c>
    </row>
    <row r="5" spans="1:105" ht="12" customHeight="1" x14ac:dyDescent="0.25">
      <c r="A5" s="132" t="s">
        <v>29</v>
      </c>
      <c r="B5" s="133"/>
      <c r="C5" s="133">
        <f>IF(SER_hh_fec_in!C5=0,0,11630*1000*SER_hh_fec_in!C5/SER_hh_num_in!C5)</f>
        <v>0</v>
      </c>
      <c r="D5" s="133">
        <f>IF(SER_hh_fec_in!D5=0,0,11630*1000*SER_hh_fec_in!D5/SER_hh_num_in!D5)</f>
        <v>0</v>
      </c>
      <c r="E5" s="133">
        <f>IF(SER_hh_fec_in!E5=0,0,11630*1000*SER_hh_fec_in!E5/SER_hh_num_in!E5)</f>
        <v>0</v>
      </c>
      <c r="F5" s="133">
        <f>IF(SER_hh_fec_in!F5=0,0,11630*1000*SER_hh_fec_in!F5/SER_hh_num_in!F5)</f>
        <v>0</v>
      </c>
      <c r="G5" s="133">
        <f>IF(SER_hh_fec_in!G5=0,0,11630*1000*SER_hh_fec_in!G5/SER_hh_num_in!G5)</f>
        <v>0</v>
      </c>
      <c r="H5" s="133">
        <f>IF(SER_hh_fec_in!H5=0,0,11630*1000*SER_hh_fec_in!H5/SER_hh_num_in!H5)</f>
        <v>0</v>
      </c>
      <c r="I5" s="133">
        <f>IF(SER_hh_fec_in!I5=0,0,11630*1000*SER_hh_fec_in!I5/SER_hh_num_in!I5)</f>
        <v>0</v>
      </c>
      <c r="J5" s="133">
        <f>IF(SER_hh_fec_in!J5=0,0,11630*1000*SER_hh_fec_in!J5/SER_hh_num_in!J5)</f>
        <v>0</v>
      </c>
      <c r="K5" s="133">
        <f>IF(SER_hh_fec_in!K5=0,0,11630*1000*SER_hh_fec_in!K5/SER_hh_num_in!K5)</f>
        <v>0</v>
      </c>
      <c r="L5" s="133">
        <f>IF(SER_hh_fec_in!L5=0,0,11630*1000*SER_hh_fec_in!L5/SER_hh_num_in!L5)</f>
        <v>0</v>
      </c>
      <c r="M5" s="133">
        <f>IF(SER_hh_fec_in!M5=0,0,11630*1000*SER_hh_fec_in!M5/SER_hh_num_in!M5)</f>
        <v>0</v>
      </c>
      <c r="N5" s="133">
        <f>IF(SER_hh_fec_in!N5=0,0,11630*1000*SER_hh_fec_in!N5/SER_hh_num_in!N5)</f>
        <v>0</v>
      </c>
      <c r="O5" s="133">
        <f>IF(SER_hh_fec_in!O5=0,0,11630*1000*SER_hh_fec_in!O5/SER_hh_num_in!O5)</f>
        <v>0</v>
      </c>
      <c r="P5" s="133">
        <f>IF(SER_hh_fec_in!P5=0,0,11630*1000*SER_hh_fec_in!P5/SER_hh_num_in!P5)</f>
        <v>0</v>
      </c>
      <c r="Q5" s="133">
        <f>IF(SER_hh_fec_in!Q5=0,0,11630*1000*SER_hh_fec_in!Q5/SER_hh_num_in!Q5)</f>
        <v>0</v>
      </c>
      <c r="R5" s="133">
        <f>IF(SER_hh_fec_in!R5=0,0,11630*1000*SER_hh_fec_in!R5/SER_hh_num_in!R5)</f>
        <v>0</v>
      </c>
      <c r="S5" s="133">
        <f>IF(SER_hh_fec_in!S5=0,0,11630*1000*SER_hh_fec_in!S5/SER_hh_num_in!S5)</f>
        <v>0</v>
      </c>
      <c r="T5" s="133">
        <f>IF(SER_hh_fec_in!T5=0,0,11630*1000*SER_hh_fec_in!T5/SER_hh_num_in!T5)</f>
        <v>0</v>
      </c>
      <c r="U5" s="133">
        <f>IF(SER_hh_fec_in!U5=0,0,11630*1000*SER_hh_fec_in!U5/SER_hh_num_in!U5)</f>
        <v>0</v>
      </c>
      <c r="V5" s="133">
        <f>IF(SER_hh_fec_in!V5=0,0,11630*1000*SER_hh_fec_in!V5/SER_hh_num_in!V5)</f>
        <v>0</v>
      </c>
      <c r="W5" s="133">
        <f>IF(SER_hh_fec_in!W5=0,0,11630*1000*SER_hh_fec_in!W5/SER_hh_num_in!W5)</f>
        <v>0</v>
      </c>
      <c r="DA5" s="157" t="s">
        <v>725</v>
      </c>
    </row>
    <row r="6" spans="1:105" ht="12" customHeight="1" x14ac:dyDescent="0.25">
      <c r="A6" s="132" t="s">
        <v>52</v>
      </c>
      <c r="B6" s="133"/>
      <c r="C6" s="133">
        <f>IF(SER_hh_fec_in!C6=0,0,11630*1000*SER_hh_fec_in!C6/SER_hh_num_in!C6)</f>
        <v>0</v>
      </c>
      <c r="D6" s="133">
        <f>IF(SER_hh_fec_in!D6=0,0,11630*1000*SER_hh_fec_in!D6/SER_hh_num_in!D6)</f>
        <v>0</v>
      </c>
      <c r="E6" s="133">
        <f>IF(SER_hh_fec_in!E6=0,0,11630*1000*SER_hh_fec_in!E6/SER_hh_num_in!E6)</f>
        <v>0</v>
      </c>
      <c r="F6" s="133">
        <f>IF(SER_hh_fec_in!F6=0,0,11630*1000*SER_hh_fec_in!F6/SER_hh_num_in!F6)</f>
        <v>0</v>
      </c>
      <c r="G6" s="133">
        <f>IF(SER_hh_fec_in!G6=0,0,11630*1000*SER_hh_fec_in!G6/SER_hh_num_in!G6)</f>
        <v>0</v>
      </c>
      <c r="H6" s="133">
        <f>IF(SER_hh_fec_in!H6=0,0,11630*1000*SER_hh_fec_in!H6/SER_hh_num_in!H6)</f>
        <v>0</v>
      </c>
      <c r="I6" s="133">
        <f>IF(SER_hh_fec_in!I6=0,0,11630*1000*SER_hh_fec_in!I6/SER_hh_num_in!I6)</f>
        <v>0</v>
      </c>
      <c r="J6" s="133">
        <f>IF(SER_hh_fec_in!J6=0,0,11630*1000*SER_hh_fec_in!J6/SER_hh_num_in!J6)</f>
        <v>0</v>
      </c>
      <c r="K6" s="133">
        <f>IF(SER_hh_fec_in!K6=0,0,11630*1000*SER_hh_fec_in!K6/SER_hh_num_in!K6)</f>
        <v>0</v>
      </c>
      <c r="L6" s="133">
        <f>IF(SER_hh_fec_in!L6=0,0,11630*1000*SER_hh_fec_in!L6/SER_hh_num_in!L6)</f>
        <v>0</v>
      </c>
      <c r="M6" s="133">
        <f>IF(SER_hh_fec_in!M6=0,0,11630*1000*SER_hh_fec_in!M6/SER_hh_num_in!M6)</f>
        <v>0</v>
      </c>
      <c r="N6" s="133">
        <f>IF(SER_hh_fec_in!N6=0,0,11630*1000*SER_hh_fec_in!N6/SER_hh_num_in!N6)</f>
        <v>0</v>
      </c>
      <c r="O6" s="133">
        <f>IF(SER_hh_fec_in!O6=0,0,11630*1000*SER_hh_fec_in!O6/SER_hh_num_in!O6)</f>
        <v>0</v>
      </c>
      <c r="P6" s="133">
        <f>IF(SER_hh_fec_in!P6=0,0,11630*1000*SER_hh_fec_in!P6/SER_hh_num_in!P6)</f>
        <v>0</v>
      </c>
      <c r="Q6" s="133">
        <f>IF(SER_hh_fec_in!Q6=0,0,11630*1000*SER_hh_fec_in!Q6/SER_hh_num_in!Q6)</f>
        <v>0</v>
      </c>
      <c r="R6" s="133">
        <f>IF(SER_hh_fec_in!R6=0,0,11630*1000*SER_hh_fec_in!R6/SER_hh_num_in!R6)</f>
        <v>0</v>
      </c>
      <c r="S6" s="133">
        <f>IF(SER_hh_fec_in!S6=0,0,11630*1000*SER_hh_fec_in!S6/SER_hh_num_in!S6)</f>
        <v>0</v>
      </c>
      <c r="T6" s="133">
        <f>IF(SER_hh_fec_in!T6=0,0,11630*1000*SER_hh_fec_in!T6/SER_hh_num_in!T6)</f>
        <v>0</v>
      </c>
      <c r="U6" s="133">
        <f>IF(SER_hh_fec_in!U6=0,0,11630*1000*SER_hh_fec_in!U6/SER_hh_num_in!U6)</f>
        <v>0</v>
      </c>
      <c r="V6" s="133">
        <f>IF(SER_hh_fec_in!V6=0,0,11630*1000*SER_hh_fec_in!V6/SER_hh_num_in!V6)</f>
        <v>0</v>
      </c>
      <c r="W6" s="133">
        <f>IF(SER_hh_fec_in!W6=0,0,11630*1000*SER_hh_fec_in!W6/SER_hh_num_in!W6)</f>
        <v>0</v>
      </c>
      <c r="DA6" s="157" t="s">
        <v>726</v>
      </c>
    </row>
    <row r="7" spans="1:105" ht="12" customHeight="1" x14ac:dyDescent="0.25">
      <c r="A7" s="132" t="s">
        <v>168</v>
      </c>
      <c r="B7" s="133"/>
      <c r="C7" s="133">
        <f>IF(SER_hh_fec_in!C7=0,0,11630*1000*SER_hh_fec_in!C7/SER_hh_num_in!C7)</f>
        <v>0</v>
      </c>
      <c r="D7" s="133">
        <f>IF(SER_hh_fec_in!D7=0,0,11630*1000*SER_hh_fec_in!D7/SER_hh_num_in!D7)</f>
        <v>0</v>
      </c>
      <c r="E7" s="133">
        <f>IF(SER_hh_fec_in!E7=0,0,11630*1000*SER_hh_fec_in!E7/SER_hh_num_in!E7)</f>
        <v>0</v>
      </c>
      <c r="F7" s="133">
        <f>IF(SER_hh_fec_in!F7=0,0,11630*1000*SER_hh_fec_in!F7/SER_hh_num_in!F7)</f>
        <v>0</v>
      </c>
      <c r="G7" s="133">
        <f>IF(SER_hh_fec_in!G7=0,0,11630*1000*SER_hh_fec_in!G7/SER_hh_num_in!G7)</f>
        <v>0</v>
      </c>
      <c r="H7" s="133">
        <f>IF(SER_hh_fec_in!H7=0,0,11630*1000*SER_hh_fec_in!H7/SER_hh_num_in!H7)</f>
        <v>0</v>
      </c>
      <c r="I7" s="133">
        <f>IF(SER_hh_fec_in!I7=0,0,11630*1000*SER_hh_fec_in!I7/SER_hh_num_in!I7)</f>
        <v>0</v>
      </c>
      <c r="J7" s="133">
        <f>IF(SER_hh_fec_in!J7=0,0,11630*1000*SER_hh_fec_in!J7/SER_hh_num_in!J7)</f>
        <v>67663.220951014489</v>
      </c>
      <c r="K7" s="133">
        <f>IF(SER_hh_fec_in!K7=0,0,11630*1000*SER_hh_fec_in!K7/SER_hh_num_in!K7)</f>
        <v>53909.455883297953</v>
      </c>
      <c r="L7" s="133">
        <f>IF(SER_hh_fec_in!L7=0,0,11630*1000*SER_hh_fec_in!L7/SER_hh_num_in!L7)</f>
        <v>61427.813470604699</v>
      </c>
      <c r="M7" s="133">
        <f>IF(SER_hh_fec_in!M7=0,0,11630*1000*SER_hh_fec_in!M7/SER_hh_num_in!M7)</f>
        <v>57830.530687335122</v>
      </c>
      <c r="N7" s="133">
        <f>IF(SER_hh_fec_in!N7=0,0,11630*1000*SER_hh_fec_in!N7/SER_hh_num_in!N7)</f>
        <v>47223.057211448046</v>
      </c>
      <c r="O7" s="133">
        <f>IF(SER_hh_fec_in!O7=0,0,11630*1000*SER_hh_fec_in!O7/SER_hh_num_in!O7)</f>
        <v>50807.891443047491</v>
      </c>
      <c r="P7" s="133">
        <f>IF(SER_hh_fec_in!P7=0,0,11630*1000*SER_hh_fec_in!P7/SER_hh_num_in!P7)</f>
        <v>0</v>
      </c>
      <c r="Q7" s="133">
        <f>IF(SER_hh_fec_in!Q7=0,0,11630*1000*SER_hh_fec_in!Q7/SER_hh_num_in!Q7)</f>
        <v>0</v>
      </c>
      <c r="R7" s="133">
        <f>IF(SER_hh_fec_in!R7=0,0,11630*1000*SER_hh_fec_in!R7/SER_hh_num_in!R7)</f>
        <v>0</v>
      </c>
      <c r="S7" s="133">
        <f>IF(SER_hh_fec_in!S7=0,0,11630*1000*SER_hh_fec_in!S7/SER_hh_num_in!S7)</f>
        <v>0</v>
      </c>
      <c r="T7" s="133">
        <f>IF(SER_hh_fec_in!T7=0,0,11630*1000*SER_hh_fec_in!T7/SER_hh_num_in!T7)</f>
        <v>42512.014898902649</v>
      </c>
      <c r="U7" s="133">
        <f>IF(SER_hh_fec_in!U7=0,0,11630*1000*SER_hh_fec_in!U7/SER_hh_num_in!U7)</f>
        <v>47672.831050684174</v>
      </c>
      <c r="V7" s="133">
        <f>IF(SER_hh_fec_in!V7=0,0,11630*1000*SER_hh_fec_in!V7/SER_hh_num_in!V7)</f>
        <v>34078.341109746907</v>
      </c>
      <c r="W7" s="133">
        <f>IF(SER_hh_fec_in!W7=0,0,11630*1000*SER_hh_fec_in!W7/SER_hh_num_in!W7)</f>
        <v>33430.169569780679</v>
      </c>
      <c r="DA7" s="157" t="s">
        <v>727</v>
      </c>
    </row>
    <row r="8" spans="1:105" ht="12" customHeight="1" x14ac:dyDescent="0.25">
      <c r="A8" s="132" t="s">
        <v>73</v>
      </c>
      <c r="B8" s="133"/>
      <c r="C8" s="133">
        <f>IF(SER_hh_fec_in!C8=0,0,11630*1000*SER_hh_fec_in!C8/SER_hh_num_in!C8)</f>
        <v>0</v>
      </c>
      <c r="D8" s="133">
        <f>IF(SER_hh_fec_in!D8=0,0,11630*1000*SER_hh_fec_in!D8/SER_hh_num_in!D8)</f>
        <v>0</v>
      </c>
      <c r="E8" s="133">
        <f>IF(SER_hh_fec_in!E8=0,0,11630*1000*SER_hh_fec_in!E8/SER_hh_num_in!E8)</f>
        <v>0</v>
      </c>
      <c r="F8" s="133">
        <f>IF(SER_hh_fec_in!F8=0,0,11630*1000*SER_hh_fec_in!F8/SER_hh_num_in!F8)</f>
        <v>0</v>
      </c>
      <c r="G8" s="133">
        <f>IF(SER_hh_fec_in!G8=0,0,11630*1000*SER_hh_fec_in!G8/SER_hh_num_in!G8)</f>
        <v>0</v>
      </c>
      <c r="H8" s="133">
        <f>IF(SER_hh_fec_in!H8=0,0,11630*1000*SER_hh_fec_in!H8/SER_hh_num_in!H8)</f>
        <v>0</v>
      </c>
      <c r="I8" s="133">
        <f>IF(SER_hh_fec_in!I8=0,0,11630*1000*SER_hh_fec_in!I8/SER_hh_num_in!I8)</f>
        <v>0</v>
      </c>
      <c r="J8" s="133">
        <f>IF(SER_hh_fec_in!J8=0,0,11630*1000*SER_hh_fec_in!J8/SER_hh_num_in!J8)</f>
        <v>0</v>
      </c>
      <c r="K8" s="133">
        <f>IF(SER_hh_fec_in!K8=0,0,11630*1000*SER_hh_fec_in!K8/SER_hh_num_in!K8)</f>
        <v>0</v>
      </c>
      <c r="L8" s="133">
        <f>IF(SER_hh_fec_in!L8=0,0,11630*1000*SER_hh_fec_in!L8/SER_hh_num_in!L8)</f>
        <v>0</v>
      </c>
      <c r="M8" s="133">
        <f>IF(SER_hh_fec_in!M8=0,0,11630*1000*SER_hh_fec_in!M8/SER_hh_num_in!M8)</f>
        <v>0</v>
      </c>
      <c r="N8" s="133">
        <f>IF(SER_hh_fec_in!N8=0,0,11630*1000*SER_hh_fec_in!N8/SER_hh_num_in!N8)</f>
        <v>0</v>
      </c>
      <c r="O8" s="133">
        <f>IF(SER_hh_fec_in!O8=0,0,11630*1000*SER_hh_fec_in!O8/SER_hh_num_in!O8)</f>
        <v>0</v>
      </c>
      <c r="P8" s="133">
        <f>IF(SER_hh_fec_in!P8=0,0,11630*1000*SER_hh_fec_in!P8/SER_hh_num_in!P8)</f>
        <v>0</v>
      </c>
      <c r="Q8" s="133">
        <f>IF(SER_hh_fec_in!Q8=0,0,11630*1000*SER_hh_fec_in!Q8/SER_hh_num_in!Q8)</f>
        <v>0</v>
      </c>
      <c r="R8" s="133">
        <f>IF(SER_hh_fec_in!R8=0,0,11630*1000*SER_hh_fec_in!R8/SER_hh_num_in!R8)</f>
        <v>0</v>
      </c>
      <c r="S8" s="133">
        <f>IF(SER_hh_fec_in!S8=0,0,11630*1000*SER_hh_fec_in!S8/SER_hh_num_in!S8)</f>
        <v>0</v>
      </c>
      <c r="T8" s="133">
        <f>IF(SER_hh_fec_in!T8=0,0,11630*1000*SER_hh_fec_in!T8/SER_hh_num_in!T8)</f>
        <v>0</v>
      </c>
      <c r="U8" s="133">
        <f>IF(SER_hh_fec_in!U8=0,0,11630*1000*SER_hh_fec_in!U8/SER_hh_num_in!U8)</f>
        <v>0</v>
      </c>
      <c r="V8" s="133">
        <f>IF(SER_hh_fec_in!V8=0,0,11630*1000*SER_hh_fec_in!V8/SER_hh_num_in!V8)</f>
        <v>0</v>
      </c>
      <c r="W8" s="133">
        <f>IF(SER_hh_fec_in!W8=0,0,11630*1000*SER_hh_fec_in!W8/SER_hh_num_in!W8)</f>
        <v>0</v>
      </c>
      <c r="DA8" s="157" t="s">
        <v>728</v>
      </c>
    </row>
    <row r="9" spans="1:105" ht="12" customHeight="1" x14ac:dyDescent="0.25">
      <c r="A9" s="132" t="s">
        <v>78</v>
      </c>
      <c r="B9" s="133"/>
      <c r="C9" s="133">
        <f>IF(SER_hh_fec_in!C9=0,0,11630*1000*SER_hh_fec_in!C9/SER_hh_num_in!C9)</f>
        <v>0</v>
      </c>
      <c r="D9" s="133">
        <f>IF(SER_hh_fec_in!D9=0,0,11630*1000*SER_hh_fec_in!D9/SER_hh_num_in!D9)</f>
        <v>0</v>
      </c>
      <c r="E9" s="133">
        <f>IF(SER_hh_fec_in!E9=0,0,11630*1000*SER_hh_fec_in!E9/SER_hh_num_in!E9)</f>
        <v>0</v>
      </c>
      <c r="F9" s="133">
        <f>IF(SER_hh_fec_in!F9=0,0,11630*1000*SER_hh_fec_in!F9/SER_hh_num_in!F9)</f>
        <v>0</v>
      </c>
      <c r="G9" s="133">
        <f>IF(SER_hh_fec_in!G9=0,0,11630*1000*SER_hh_fec_in!G9/SER_hh_num_in!G9)</f>
        <v>0</v>
      </c>
      <c r="H9" s="133">
        <f>IF(SER_hh_fec_in!H9=0,0,11630*1000*SER_hh_fec_in!H9/SER_hh_num_in!H9)</f>
        <v>0</v>
      </c>
      <c r="I9" s="133">
        <f>IF(SER_hh_fec_in!I9=0,0,11630*1000*SER_hh_fec_in!I9/SER_hh_num_in!I9)</f>
        <v>0</v>
      </c>
      <c r="J9" s="133">
        <f>IF(SER_hh_fec_in!J9=0,0,11630*1000*SER_hh_fec_in!J9/SER_hh_num_in!J9)</f>
        <v>0</v>
      </c>
      <c r="K9" s="133">
        <f>IF(SER_hh_fec_in!K9=0,0,11630*1000*SER_hh_fec_in!K9/SER_hh_num_in!K9)</f>
        <v>54555.368462542152</v>
      </c>
      <c r="L9" s="133">
        <f>IF(SER_hh_fec_in!L9=0,0,11630*1000*SER_hh_fec_in!L9/SER_hh_num_in!L9)</f>
        <v>44022.064187996606</v>
      </c>
      <c r="M9" s="133">
        <f>IF(SER_hh_fec_in!M9=0,0,11630*1000*SER_hh_fec_in!M9/SER_hh_num_in!M9)</f>
        <v>34852.667745921346</v>
      </c>
      <c r="N9" s="133">
        <f>IF(SER_hh_fec_in!N9=0,0,11630*1000*SER_hh_fec_in!N9/SER_hh_num_in!N9)</f>
        <v>31961.690511285626</v>
      </c>
      <c r="O9" s="133">
        <f>IF(SER_hh_fec_in!O9=0,0,11630*1000*SER_hh_fec_in!O9/SER_hh_num_in!O9)</f>
        <v>0</v>
      </c>
      <c r="P9" s="133">
        <f>IF(SER_hh_fec_in!P9=0,0,11630*1000*SER_hh_fec_in!P9/SER_hh_num_in!P9)</f>
        <v>32187.357906557874</v>
      </c>
      <c r="Q9" s="133">
        <f>IF(SER_hh_fec_in!Q9=0,0,11630*1000*SER_hh_fec_in!Q9/SER_hh_num_in!Q9)</f>
        <v>30367.601284197652</v>
      </c>
      <c r="R9" s="133">
        <f>IF(SER_hh_fec_in!R9=0,0,11630*1000*SER_hh_fec_in!R9/SER_hh_num_in!R9)</f>
        <v>31391.78390151144</v>
      </c>
      <c r="S9" s="133">
        <f>IF(SER_hh_fec_in!S9=0,0,11630*1000*SER_hh_fec_in!S9/SER_hh_num_in!S9)</f>
        <v>24056.078943265467</v>
      </c>
      <c r="T9" s="133">
        <f>IF(SER_hh_fec_in!T9=0,0,11630*1000*SER_hh_fec_in!T9/SER_hh_num_in!T9)</f>
        <v>47191.301263306283</v>
      </c>
      <c r="U9" s="133">
        <f>IF(SER_hh_fec_in!U9=0,0,11630*1000*SER_hh_fec_in!U9/SER_hh_num_in!U9)</f>
        <v>50052.583536844351</v>
      </c>
      <c r="V9" s="133">
        <f>IF(SER_hh_fec_in!V9=0,0,11630*1000*SER_hh_fec_in!V9/SER_hh_num_in!V9)</f>
        <v>17440.02645835319</v>
      </c>
      <c r="W9" s="133">
        <f>IF(SER_hh_fec_in!W9=0,0,11630*1000*SER_hh_fec_in!W9/SER_hh_num_in!W9)</f>
        <v>17915.837368928835</v>
      </c>
      <c r="DA9" s="157" t="s">
        <v>729</v>
      </c>
    </row>
    <row r="10" spans="1:105" ht="12" customHeight="1" x14ac:dyDescent="0.25">
      <c r="A10" s="132" t="s">
        <v>128</v>
      </c>
      <c r="B10" s="133"/>
      <c r="C10" s="133">
        <f>IF(SER_hh_fec_in!C10=0,0,11630*1000*SER_hh_fec_in!C10/SER_hh_num_in!C10)</f>
        <v>0</v>
      </c>
      <c r="D10" s="133">
        <f>IF(SER_hh_fec_in!D10=0,0,11630*1000*SER_hh_fec_in!D10/SER_hh_num_in!D10)</f>
        <v>0</v>
      </c>
      <c r="E10" s="133">
        <f>IF(SER_hh_fec_in!E10=0,0,11630*1000*SER_hh_fec_in!E10/SER_hh_num_in!E10)</f>
        <v>0</v>
      </c>
      <c r="F10" s="133">
        <f>IF(SER_hh_fec_in!F10=0,0,11630*1000*SER_hh_fec_in!F10/SER_hh_num_in!F10)</f>
        <v>0</v>
      </c>
      <c r="G10" s="133">
        <f>IF(SER_hh_fec_in!G10=0,0,11630*1000*SER_hh_fec_in!G10/SER_hh_num_in!G10)</f>
        <v>0</v>
      </c>
      <c r="H10" s="133">
        <f>IF(SER_hh_fec_in!H10=0,0,11630*1000*SER_hh_fec_in!H10/SER_hh_num_in!H10)</f>
        <v>0</v>
      </c>
      <c r="I10" s="133">
        <f>IF(SER_hh_fec_in!I10=0,0,11630*1000*SER_hh_fec_in!I10/SER_hh_num_in!I10)</f>
        <v>37941.103121625107</v>
      </c>
      <c r="J10" s="133">
        <f>IF(SER_hh_fec_in!J10=0,0,11630*1000*SER_hh_fec_in!J10/SER_hh_num_in!J10)</f>
        <v>96634.787964958727</v>
      </c>
      <c r="K10" s="133">
        <f>IF(SER_hh_fec_in!K10=0,0,11630*1000*SER_hh_fec_in!K10/SER_hh_num_in!K10)</f>
        <v>0</v>
      </c>
      <c r="L10" s="133">
        <f>IF(SER_hh_fec_in!L10=0,0,11630*1000*SER_hh_fec_in!L10/SER_hh_num_in!L10)</f>
        <v>30116.115524146742</v>
      </c>
      <c r="M10" s="133">
        <f>IF(SER_hh_fec_in!M10=0,0,11630*1000*SER_hh_fec_in!M10/SER_hh_num_in!M10)</f>
        <v>49729.606080972437</v>
      </c>
      <c r="N10" s="133">
        <f>IF(SER_hh_fec_in!N10=0,0,11630*1000*SER_hh_fec_in!N10/SER_hh_num_in!N10)</f>
        <v>62346.55921523225</v>
      </c>
      <c r="O10" s="133">
        <f>IF(SER_hh_fec_in!O10=0,0,11630*1000*SER_hh_fec_in!O10/SER_hh_num_in!O10)</f>
        <v>46946.415499641393</v>
      </c>
      <c r="P10" s="133">
        <f>IF(SER_hh_fec_in!P10=0,0,11630*1000*SER_hh_fec_in!P10/SER_hh_num_in!P10)</f>
        <v>36529.254968245143</v>
      </c>
      <c r="Q10" s="133">
        <f>IF(SER_hh_fec_in!Q10=0,0,11630*1000*SER_hh_fec_in!Q10/SER_hh_num_in!Q10)</f>
        <v>75331.578776457318</v>
      </c>
      <c r="R10" s="133">
        <f>IF(SER_hh_fec_in!R10=0,0,11630*1000*SER_hh_fec_in!R10/SER_hh_num_in!R10)</f>
        <v>53691.781165519249</v>
      </c>
      <c r="S10" s="133">
        <f>IF(SER_hh_fec_in!S10=0,0,11630*1000*SER_hh_fec_in!S10/SER_hh_num_in!S10)</f>
        <v>0</v>
      </c>
      <c r="T10" s="133">
        <f>IF(SER_hh_fec_in!T10=0,0,11630*1000*SER_hh_fec_in!T10/SER_hh_num_in!T10)</f>
        <v>0</v>
      </c>
      <c r="U10" s="133">
        <f>IF(SER_hh_fec_in!U10=0,0,11630*1000*SER_hh_fec_in!U10/SER_hh_num_in!U10)</f>
        <v>0</v>
      </c>
      <c r="V10" s="133">
        <f>IF(SER_hh_fec_in!V10=0,0,11630*1000*SER_hh_fec_in!V10/SER_hh_num_in!V10)</f>
        <v>26824.916961459327</v>
      </c>
      <c r="W10" s="133">
        <f>IF(SER_hh_fec_in!W10=0,0,11630*1000*SER_hh_fec_in!W10/SER_hh_num_in!W10)</f>
        <v>72385.994602198261</v>
      </c>
      <c r="DA10" s="157" t="s">
        <v>730</v>
      </c>
    </row>
    <row r="11" spans="1:105" ht="12" customHeight="1" x14ac:dyDescent="0.25">
      <c r="A11" s="132" t="s">
        <v>25</v>
      </c>
      <c r="B11" s="133"/>
      <c r="C11" s="133">
        <f>IF(SER_hh_fec_in!C11=0,0,11630*1000*SER_hh_fec_in!C11/SER_hh_num_in!C11)</f>
        <v>0</v>
      </c>
      <c r="D11" s="133">
        <f>IF(SER_hh_fec_in!D11=0,0,11630*1000*SER_hh_fec_in!D11/SER_hh_num_in!D11)</f>
        <v>0</v>
      </c>
      <c r="E11" s="133">
        <f>IF(SER_hh_fec_in!E11=0,0,11630*1000*SER_hh_fec_in!E11/SER_hh_num_in!E11)</f>
        <v>0</v>
      </c>
      <c r="F11" s="133">
        <f>IF(SER_hh_fec_in!F11=0,0,11630*1000*SER_hh_fec_in!F11/SER_hh_num_in!F11)</f>
        <v>0</v>
      </c>
      <c r="G11" s="133">
        <f>IF(SER_hh_fec_in!G11=0,0,11630*1000*SER_hh_fec_in!G11/SER_hh_num_in!G11)</f>
        <v>0</v>
      </c>
      <c r="H11" s="133">
        <f>IF(SER_hh_fec_in!H11=0,0,11630*1000*SER_hh_fec_in!H11/SER_hh_num_in!H11)</f>
        <v>0</v>
      </c>
      <c r="I11" s="133">
        <f>IF(SER_hh_fec_in!I11=0,0,11630*1000*SER_hh_fec_in!I11/SER_hh_num_in!I11)</f>
        <v>0</v>
      </c>
      <c r="J11" s="133">
        <f>IF(SER_hh_fec_in!J11=0,0,11630*1000*SER_hh_fec_in!J11/SER_hh_num_in!J11)</f>
        <v>0</v>
      </c>
      <c r="K11" s="133">
        <f>IF(SER_hh_fec_in!K11=0,0,11630*1000*SER_hh_fec_in!K11/SER_hh_num_in!K11)</f>
        <v>0</v>
      </c>
      <c r="L11" s="133">
        <f>IF(SER_hh_fec_in!L11=0,0,11630*1000*SER_hh_fec_in!L11/SER_hh_num_in!L11)</f>
        <v>0</v>
      </c>
      <c r="M11" s="133">
        <f>IF(SER_hh_fec_in!M11=0,0,11630*1000*SER_hh_fec_in!M11/SER_hh_num_in!M11)</f>
        <v>0</v>
      </c>
      <c r="N11" s="133">
        <f>IF(SER_hh_fec_in!N11=0,0,11630*1000*SER_hh_fec_in!N11/SER_hh_num_in!N11)</f>
        <v>0</v>
      </c>
      <c r="O11" s="133">
        <f>IF(SER_hh_fec_in!O11=0,0,11630*1000*SER_hh_fec_in!O11/SER_hh_num_in!O11)</f>
        <v>0</v>
      </c>
      <c r="P11" s="133">
        <f>IF(SER_hh_fec_in!P11=0,0,11630*1000*SER_hh_fec_in!P11/SER_hh_num_in!P11)</f>
        <v>0</v>
      </c>
      <c r="Q11" s="133">
        <f>IF(SER_hh_fec_in!Q11=0,0,11630*1000*SER_hh_fec_in!Q11/SER_hh_num_in!Q11)</f>
        <v>0</v>
      </c>
      <c r="R11" s="133">
        <f>IF(SER_hh_fec_in!R11=0,0,11630*1000*SER_hh_fec_in!R11/SER_hh_num_in!R11)</f>
        <v>0</v>
      </c>
      <c r="S11" s="133">
        <f>IF(SER_hh_fec_in!S11=0,0,11630*1000*SER_hh_fec_in!S11/SER_hh_num_in!S11)</f>
        <v>0</v>
      </c>
      <c r="T11" s="133">
        <f>IF(SER_hh_fec_in!T11=0,0,11630*1000*SER_hh_fec_in!T11/SER_hh_num_in!T11)</f>
        <v>0</v>
      </c>
      <c r="U11" s="133">
        <f>IF(SER_hh_fec_in!U11=0,0,11630*1000*SER_hh_fec_in!U11/SER_hh_num_in!U11)</f>
        <v>0</v>
      </c>
      <c r="V11" s="133">
        <f>IF(SER_hh_fec_in!V11=0,0,11630*1000*SER_hh_fec_in!V11/SER_hh_num_in!V11)</f>
        <v>0</v>
      </c>
      <c r="W11" s="133">
        <f>IF(SER_hh_fec_in!W11=0,0,11630*1000*SER_hh_fec_in!W11/SER_hh_num_in!W11)</f>
        <v>0</v>
      </c>
      <c r="DA11" s="157" t="s">
        <v>731</v>
      </c>
    </row>
    <row r="12" spans="1:105" ht="12" customHeight="1" x14ac:dyDescent="0.25">
      <c r="A12" s="132" t="s">
        <v>169</v>
      </c>
      <c r="B12" s="133"/>
      <c r="C12" s="133">
        <f>IF(SER_hh_fec_in!C12=0,0,11630*1000*SER_hh_fec_in!C12/SER_hh_num_in!C12)</f>
        <v>0</v>
      </c>
      <c r="D12" s="133">
        <f>IF(SER_hh_fec_in!D12=0,0,11630*1000*SER_hh_fec_in!D12/SER_hh_num_in!D12)</f>
        <v>0</v>
      </c>
      <c r="E12" s="133">
        <f>IF(SER_hh_fec_in!E12=0,0,11630*1000*SER_hh_fec_in!E12/SER_hh_num_in!E12)</f>
        <v>0</v>
      </c>
      <c r="F12" s="133">
        <f>IF(SER_hh_fec_in!F12=0,0,11630*1000*SER_hh_fec_in!F12/SER_hh_num_in!F12)</f>
        <v>0</v>
      </c>
      <c r="G12" s="133">
        <f>IF(SER_hh_fec_in!G12=0,0,11630*1000*SER_hh_fec_in!G12/SER_hh_num_in!G12)</f>
        <v>0</v>
      </c>
      <c r="H12" s="133">
        <f>IF(SER_hh_fec_in!H12=0,0,11630*1000*SER_hh_fec_in!H12/SER_hh_num_in!H12)</f>
        <v>0</v>
      </c>
      <c r="I12" s="133">
        <f>IF(SER_hh_fec_in!I12=0,0,11630*1000*SER_hh_fec_in!I12/SER_hh_num_in!I12)</f>
        <v>0</v>
      </c>
      <c r="J12" s="133">
        <f>IF(SER_hh_fec_in!J12=0,0,11630*1000*SER_hh_fec_in!J12/SER_hh_num_in!J12)</f>
        <v>0</v>
      </c>
      <c r="K12" s="133">
        <f>IF(SER_hh_fec_in!K12=0,0,11630*1000*SER_hh_fec_in!K12/SER_hh_num_in!K12)</f>
        <v>0</v>
      </c>
      <c r="L12" s="133">
        <f>IF(SER_hh_fec_in!L12=0,0,11630*1000*SER_hh_fec_in!L12/SER_hh_num_in!L12)</f>
        <v>0</v>
      </c>
      <c r="M12" s="133">
        <f>IF(SER_hh_fec_in!M12=0,0,11630*1000*SER_hh_fec_in!M12/SER_hh_num_in!M12)</f>
        <v>0</v>
      </c>
      <c r="N12" s="133">
        <f>IF(SER_hh_fec_in!N12=0,0,11630*1000*SER_hh_fec_in!N12/SER_hh_num_in!N12)</f>
        <v>0</v>
      </c>
      <c r="O12" s="133">
        <f>IF(SER_hh_fec_in!O12=0,0,11630*1000*SER_hh_fec_in!O12/SER_hh_num_in!O12)</f>
        <v>0</v>
      </c>
      <c r="P12" s="133">
        <f>IF(SER_hh_fec_in!P12=0,0,11630*1000*SER_hh_fec_in!P12/SER_hh_num_in!P12)</f>
        <v>0</v>
      </c>
      <c r="Q12" s="133">
        <f>IF(SER_hh_fec_in!Q12=0,0,11630*1000*SER_hh_fec_in!Q12/SER_hh_num_in!Q12)</f>
        <v>0</v>
      </c>
      <c r="R12" s="133">
        <f>IF(SER_hh_fec_in!R12=0,0,11630*1000*SER_hh_fec_in!R12/SER_hh_num_in!R12)</f>
        <v>0</v>
      </c>
      <c r="S12" s="133">
        <f>IF(SER_hh_fec_in!S12=0,0,11630*1000*SER_hh_fec_in!S12/SER_hh_num_in!S12)</f>
        <v>0</v>
      </c>
      <c r="T12" s="133">
        <f>IF(SER_hh_fec_in!T12=0,0,11630*1000*SER_hh_fec_in!T12/SER_hh_num_in!T12)</f>
        <v>0</v>
      </c>
      <c r="U12" s="133">
        <f>IF(SER_hh_fec_in!U12=0,0,11630*1000*SER_hh_fec_in!U12/SER_hh_num_in!U12)</f>
        <v>0</v>
      </c>
      <c r="V12" s="133">
        <f>IF(SER_hh_fec_in!V12=0,0,11630*1000*SER_hh_fec_in!V12/SER_hh_num_in!V12)</f>
        <v>0</v>
      </c>
      <c r="W12" s="133">
        <f>IF(SER_hh_fec_in!W12=0,0,11630*1000*SER_hh_fec_in!W12/SER_hh_num_in!W12)</f>
        <v>0</v>
      </c>
      <c r="DA12" s="157" t="s">
        <v>732</v>
      </c>
    </row>
    <row r="13" spans="1:105" ht="12" customHeight="1" x14ac:dyDescent="0.25">
      <c r="A13" s="132" t="s">
        <v>77</v>
      </c>
      <c r="B13" s="133"/>
      <c r="C13" s="133">
        <f>IF(SER_hh_fec_in!C13=0,0,11630*1000*SER_hh_fec_in!C13/SER_hh_num_in!C13)</f>
        <v>9229.5349679526862</v>
      </c>
      <c r="D13" s="133">
        <f>IF(SER_hh_fec_in!D13=0,0,11630*1000*SER_hh_fec_in!D13/SER_hh_num_in!D13)</f>
        <v>9406.2852230452663</v>
      </c>
      <c r="E13" s="133">
        <f>IF(SER_hh_fec_in!E13=0,0,11630*1000*SER_hh_fec_in!E13/SER_hh_num_in!E13)</f>
        <v>9089.5025407717385</v>
      </c>
      <c r="F13" s="133">
        <f>IF(SER_hh_fec_in!F13=0,0,11630*1000*SER_hh_fec_in!F13/SER_hh_num_in!F13)</f>
        <v>9690.5193746146924</v>
      </c>
      <c r="G13" s="133">
        <f>IF(SER_hh_fec_in!G13=0,0,11630*1000*SER_hh_fec_in!G13/SER_hh_num_in!G13)</f>
        <v>10861.242748862598</v>
      </c>
      <c r="H13" s="133">
        <f>IF(SER_hh_fec_in!H13=0,0,11630*1000*SER_hh_fec_in!H13/SER_hh_num_in!H13)</f>
        <v>11739.022052448408</v>
      </c>
      <c r="I13" s="133">
        <f>IF(SER_hh_fec_in!I13=0,0,11630*1000*SER_hh_fec_in!I13/SER_hh_num_in!I13)</f>
        <v>12271.027200900571</v>
      </c>
      <c r="J13" s="133">
        <f>IF(SER_hh_fec_in!J13=0,0,11630*1000*SER_hh_fec_in!J13/SER_hh_num_in!J13)</f>
        <v>11988.51291698038</v>
      </c>
      <c r="K13" s="133">
        <f>IF(SER_hh_fec_in!K13=0,0,11630*1000*SER_hh_fec_in!K13/SER_hh_num_in!K13)</f>
        <v>12380.24828143901</v>
      </c>
      <c r="L13" s="133">
        <f>IF(SER_hh_fec_in!L13=0,0,11630*1000*SER_hh_fec_in!L13/SER_hh_num_in!L13)</f>
        <v>10333.912075237342</v>
      </c>
      <c r="M13" s="133">
        <f>IF(SER_hh_fec_in!M13=0,0,11630*1000*SER_hh_fec_in!M13/SER_hh_num_in!M13)</f>
        <v>8437.4556731183111</v>
      </c>
      <c r="N13" s="133">
        <f>IF(SER_hh_fec_in!N13=0,0,11630*1000*SER_hh_fec_in!N13/SER_hh_num_in!N13)</f>
        <v>7932.1830338335512</v>
      </c>
      <c r="O13" s="133">
        <f>IF(SER_hh_fec_in!O13=0,0,11630*1000*SER_hh_fec_in!O13/SER_hh_num_in!O13)</f>
        <v>10391.553879572668</v>
      </c>
      <c r="P13" s="133">
        <f>IF(SER_hh_fec_in!P13=0,0,11630*1000*SER_hh_fec_in!P13/SER_hh_num_in!P13)</f>
        <v>8873.433434382865</v>
      </c>
      <c r="Q13" s="133">
        <f>IF(SER_hh_fec_in!Q13=0,0,11630*1000*SER_hh_fec_in!Q13/SER_hh_num_in!Q13)</f>
        <v>8920.4698115449319</v>
      </c>
      <c r="R13" s="133">
        <f>IF(SER_hh_fec_in!R13=0,0,11630*1000*SER_hh_fec_in!R13/SER_hh_num_in!R13)</f>
        <v>8314.7562789113399</v>
      </c>
      <c r="S13" s="133">
        <f>IF(SER_hh_fec_in!S13=0,0,11630*1000*SER_hh_fec_in!S13/SER_hh_num_in!S13)</f>
        <v>7985.9295287599216</v>
      </c>
      <c r="T13" s="133">
        <f>IF(SER_hh_fec_in!T13=0,0,11630*1000*SER_hh_fec_in!T13/SER_hh_num_in!T13)</f>
        <v>7661.3159119482616</v>
      </c>
      <c r="U13" s="133">
        <f>IF(SER_hh_fec_in!U13=0,0,11630*1000*SER_hh_fec_in!U13/SER_hh_num_in!U13)</f>
        <v>7409.4219562566805</v>
      </c>
      <c r="V13" s="133">
        <f>IF(SER_hh_fec_in!V13=0,0,11630*1000*SER_hh_fec_in!V13/SER_hh_num_in!V13)</f>
        <v>6190.9045662799499</v>
      </c>
      <c r="W13" s="133">
        <f>IF(SER_hh_fec_in!W13=0,0,11630*1000*SER_hh_fec_in!W13/SER_hh_num_in!W13)</f>
        <v>5418.7072885656853</v>
      </c>
      <c r="DA13" s="157" t="s">
        <v>733</v>
      </c>
    </row>
    <row r="14" spans="1:105" ht="12" customHeight="1" x14ac:dyDescent="0.25">
      <c r="A14" s="60" t="s">
        <v>76</v>
      </c>
      <c r="B14" s="65"/>
      <c r="C14" s="65">
        <f>IF(SER_hh_fec_in!C14=0,0,11630*1000*SER_hh_fec_in!C14/SER_hh_num_in!C14)</f>
        <v>22469.40733387713</v>
      </c>
      <c r="D14" s="65">
        <f>IF(SER_hh_fec_in!D14=0,0,11630*1000*SER_hh_fec_in!D14/SER_hh_num_in!D14)</f>
        <v>28529.323725360126</v>
      </c>
      <c r="E14" s="65">
        <f>IF(SER_hh_fec_in!E14=0,0,11630*1000*SER_hh_fec_in!E14/SER_hh_num_in!E14)</f>
        <v>25724.607704259506</v>
      </c>
      <c r="F14" s="65">
        <f>IF(SER_hh_fec_in!F14=0,0,11630*1000*SER_hh_fec_in!F14/SER_hh_num_in!F14)</f>
        <v>27539.738881710644</v>
      </c>
      <c r="G14" s="65">
        <f>IF(SER_hh_fec_in!G14=0,0,11630*1000*SER_hh_fec_in!G14/SER_hh_num_in!G14)</f>
        <v>29339.468465807891</v>
      </c>
      <c r="H14" s="65">
        <f>IF(SER_hh_fec_in!H14=0,0,11630*1000*SER_hh_fec_in!H14/SER_hh_num_in!H14)</f>
        <v>43542.629462361663</v>
      </c>
      <c r="I14" s="65">
        <f>IF(SER_hh_fec_in!I14=0,0,11630*1000*SER_hh_fec_in!I14/SER_hh_num_in!I14)</f>
        <v>42437.326132336137</v>
      </c>
      <c r="J14" s="65">
        <f>IF(SER_hh_fec_in!J14=0,0,11630*1000*SER_hh_fec_in!J14/SER_hh_num_in!J14)</f>
        <v>46155.208312406678</v>
      </c>
      <c r="K14" s="65">
        <f>IF(SER_hh_fec_in!K14=0,0,11630*1000*SER_hh_fec_in!K14/SER_hh_num_in!K14)</f>
        <v>48947.968314977697</v>
      </c>
      <c r="L14" s="65">
        <f>IF(SER_hh_fec_in!L14=0,0,11630*1000*SER_hh_fec_in!L14/SER_hh_num_in!L14)</f>
        <v>52480.977805769842</v>
      </c>
      <c r="M14" s="65">
        <f>IF(SER_hh_fec_in!M14=0,0,11630*1000*SER_hh_fec_in!M14/SER_hh_num_in!M14)</f>
        <v>0</v>
      </c>
      <c r="N14" s="65">
        <f>IF(SER_hh_fec_in!N14=0,0,11630*1000*SER_hh_fec_in!N14/SER_hh_num_in!N14)</f>
        <v>0</v>
      </c>
      <c r="O14" s="65">
        <f>IF(SER_hh_fec_in!O14=0,0,11630*1000*SER_hh_fec_in!O14/SER_hh_num_in!O14)</f>
        <v>0</v>
      </c>
      <c r="P14" s="65">
        <f>IF(SER_hh_fec_in!P14=0,0,11630*1000*SER_hh_fec_in!P14/SER_hh_num_in!P14)</f>
        <v>0</v>
      </c>
      <c r="Q14" s="65">
        <f>IF(SER_hh_fec_in!Q14=0,0,11630*1000*SER_hh_fec_in!Q14/SER_hh_num_in!Q14)</f>
        <v>34672.437297624056</v>
      </c>
      <c r="R14" s="65">
        <f>IF(SER_hh_fec_in!R14=0,0,11630*1000*SER_hh_fec_in!R14/SER_hh_num_in!R14)</f>
        <v>51709.304959568071</v>
      </c>
      <c r="S14" s="65">
        <f>IF(SER_hh_fec_in!S14=0,0,11630*1000*SER_hh_fec_in!S14/SER_hh_num_in!S14)</f>
        <v>60460.709622961585</v>
      </c>
      <c r="T14" s="65">
        <f>IF(SER_hh_fec_in!T14=0,0,11630*1000*SER_hh_fec_in!T14/SER_hh_num_in!T14)</f>
        <v>57761.026113977154</v>
      </c>
      <c r="U14" s="65">
        <f>IF(SER_hh_fec_in!U14=0,0,11630*1000*SER_hh_fec_in!U14/SER_hh_num_in!U14)</f>
        <v>67971.339060999861</v>
      </c>
      <c r="V14" s="65">
        <f>IF(SER_hh_fec_in!V14=0,0,11630*1000*SER_hh_fec_in!V14/SER_hh_num_in!V14)</f>
        <v>29081.801212814742</v>
      </c>
      <c r="W14" s="65">
        <f>IF(SER_hh_fec_in!W14=0,0,11630*1000*SER_hh_fec_in!W14/SER_hh_num_in!W14)</f>
        <v>46723.759062075915</v>
      </c>
      <c r="DA14" s="109" t="s">
        <v>734</v>
      </c>
    </row>
    <row r="15" spans="1:105" ht="12" customHeight="1" x14ac:dyDescent="0.25">
      <c r="A15" s="134" t="s">
        <v>80</v>
      </c>
      <c r="B15" s="135"/>
      <c r="C15" s="135">
        <f>IF(SER_hh_fec_in!C15=0,0,11630*1000*SER_hh_fec_in!C15/SER_hh_num_in!C15)</f>
        <v>0</v>
      </c>
      <c r="D15" s="135">
        <f>IF(SER_hh_fec_in!D15=0,0,11630*1000*SER_hh_fec_in!D15/SER_hh_num_in!D15)</f>
        <v>0</v>
      </c>
      <c r="E15" s="135">
        <f>IF(SER_hh_fec_in!E15=0,0,11630*1000*SER_hh_fec_in!E15/SER_hh_num_in!E15)</f>
        <v>0</v>
      </c>
      <c r="F15" s="135">
        <f>IF(SER_hh_fec_in!F15=0,0,11630*1000*SER_hh_fec_in!F15/SER_hh_num_in!F15)</f>
        <v>0</v>
      </c>
      <c r="G15" s="135">
        <f>IF(SER_hh_fec_in!G15=0,0,11630*1000*SER_hh_fec_in!G15/SER_hh_num_in!G15)</f>
        <v>0</v>
      </c>
      <c r="H15" s="135">
        <f>IF(SER_hh_fec_in!H15=0,0,11630*1000*SER_hh_fec_in!H15/SER_hh_num_in!H15)</f>
        <v>0</v>
      </c>
      <c r="I15" s="135">
        <f>IF(SER_hh_fec_in!I15=0,0,11630*1000*SER_hh_fec_in!I15/SER_hh_num_in!I15)</f>
        <v>157.74547341188349</v>
      </c>
      <c r="J15" s="135">
        <f>IF(SER_hh_fec_in!J15=0,0,11630*1000*SER_hh_fec_in!J15/SER_hh_num_in!J15)</f>
        <v>556.2670976944114</v>
      </c>
      <c r="K15" s="135">
        <f>IF(SER_hh_fec_in!K15=0,0,11630*1000*SER_hh_fec_in!K15/SER_hh_num_in!K15)</f>
        <v>483.49617015789522</v>
      </c>
      <c r="L15" s="135">
        <f>IF(SER_hh_fec_in!L15=0,0,11630*1000*SER_hh_fec_in!L15/SER_hh_num_in!L15)</f>
        <v>529.63162056789554</v>
      </c>
      <c r="M15" s="135">
        <f>IF(SER_hh_fec_in!M15=0,0,11630*1000*SER_hh_fec_in!M15/SER_hh_num_in!M15)</f>
        <v>502.95815959804924</v>
      </c>
      <c r="N15" s="135">
        <f>IF(SER_hh_fec_in!N15=0,0,11630*1000*SER_hh_fec_in!N15/SER_hh_num_in!N15)</f>
        <v>420.26431353795175</v>
      </c>
      <c r="O15" s="135">
        <f>IF(SER_hh_fec_in!O15=0,0,11630*1000*SER_hh_fec_in!O15/SER_hh_num_in!O15)</f>
        <v>459.60143716345101</v>
      </c>
      <c r="P15" s="135">
        <f>IF(SER_hh_fec_in!P15=0,0,11630*1000*SER_hh_fec_in!P15/SER_hh_num_in!P15)</f>
        <v>157.57566445780867</v>
      </c>
      <c r="Q15" s="135">
        <f>IF(SER_hh_fec_in!Q15=0,0,11630*1000*SER_hh_fec_in!Q15/SER_hh_num_in!Q15)</f>
        <v>324.50668449029064</v>
      </c>
      <c r="R15" s="135">
        <f>IF(SER_hh_fec_in!R15=0,0,11630*1000*SER_hh_fec_in!R15/SER_hh_num_in!R15)</f>
        <v>411.15655429163724</v>
      </c>
      <c r="S15" s="135">
        <f>IF(SER_hh_fec_in!S15=0,0,11630*1000*SER_hh_fec_in!S15/SER_hh_num_in!S15)</f>
        <v>345.26788550224597</v>
      </c>
      <c r="T15" s="135">
        <f>IF(SER_hh_fec_in!T15=0,0,11630*1000*SER_hh_fec_in!T15/SER_hh_num_in!T15)</f>
        <v>571.31210574354054</v>
      </c>
      <c r="U15" s="135">
        <f>IF(SER_hh_fec_in!U15=0,0,11630*1000*SER_hh_fec_in!U15/SER_hh_num_in!U15)</f>
        <v>515.34825210651263</v>
      </c>
      <c r="V15" s="135">
        <f>IF(SER_hh_fec_in!V15=0,0,11630*1000*SER_hh_fec_in!V15/SER_hh_num_in!V15)</f>
        <v>354.25491563366796</v>
      </c>
      <c r="W15" s="135">
        <f>IF(SER_hh_fec_in!W15=0,0,11630*1000*SER_hh_fec_in!W15/SER_hh_num_in!W15)</f>
        <v>347.12824472386751</v>
      </c>
      <c r="DA15" s="158" t="s">
        <v>735</v>
      </c>
    </row>
    <row r="16" spans="1:105" ht="12.95" customHeight="1" x14ac:dyDescent="0.25">
      <c r="A16" s="130" t="s">
        <v>74</v>
      </c>
      <c r="B16" s="131"/>
      <c r="C16" s="131">
        <f>IF(SER_hh_fec_in!C16=0,0,11630*1000*SER_hh_fec_in!C16/SER_hh_num_in!C16)</f>
        <v>30044.596527119396</v>
      </c>
      <c r="D16" s="131">
        <f>IF(SER_hh_fec_in!D16=0,0,11630*1000*SER_hh_fec_in!D16/SER_hh_num_in!D16)</f>
        <v>28046.848098446251</v>
      </c>
      <c r="E16" s="131">
        <f>IF(SER_hh_fec_in!E16=0,0,11630*1000*SER_hh_fec_in!E16/SER_hh_num_in!E16)</f>
        <v>29308.990790019754</v>
      </c>
      <c r="F16" s="131">
        <f>IF(SER_hh_fec_in!F16=0,0,11630*1000*SER_hh_fec_in!F16/SER_hh_num_in!F16)</f>
        <v>23520.896637698886</v>
      </c>
      <c r="G16" s="131">
        <f>IF(SER_hh_fec_in!G16=0,0,11630*1000*SER_hh_fec_in!G16/SER_hh_num_in!G16)</f>
        <v>20840.407958269945</v>
      </c>
      <c r="H16" s="131">
        <f>IF(SER_hh_fec_in!H16=0,0,11630*1000*SER_hh_fec_in!H16/SER_hh_num_in!H16)</f>
        <v>23243.803185320765</v>
      </c>
      <c r="I16" s="131">
        <f>IF(SER_hh_fec_in!I16=0,0,11630*1000*SER_hh_fec_in!I16/SER_hh_num_in!I16)</f>
        <v>25252.066749646558</v>
      </c>
      <c r="J16" s="131">
        <f>IF(SER_hh_fec_in!J16=0,0,11630*1000*SER_hh_fec_in!J16/SER_hh_num_in!J16)</f>
        <v>24947.682209554674</v>
      </c>
      <c r="K16" s="131">
        <f>IF(SER_hh_fec_in!K16=0,0,11630*1000*SER_hh_fec_in!K16/SER_hh_num_in!K16)</f>
        <v>23189.556204552697</v>
      </c>
      <c r="L16" s="131">
        <f>IF(SER_hh_fec_in!L16=0,0,11630*1000*SER_hh_fec_in!L16/SER_hh_num_in!L16)</f>
        <v>23442.604319031649</v>
      </c>
      <c r="M16" s="131">
        <f>IF(SER_hh_fec_in!M16=0,0,11630*1000*SER_hh_fec_in!M16/SER_hh_num_in!M16)</f>
        <v>19332.828986654622</v>
      </c>
      <c r="N16" s="131">
        <f>IF(SER_hh_fec_in!N16=0,0,11630*1000*SER_hh_fec_in!N16/SER_hh_num_in!N16)</f>
        <v>22298.92182556817</v>
      </c>
      <c r="O16" s="131">
        <f>IF(SER_hh_fec_in!O16=0,0,11630*1000*SER_hh_fec_in!O16/SER_hh_num_in!O16)</f>
        <v>17592.843501393752</v>
      </c>
      <c r="P16" s="131">
        <f>IF(SER_hh_fec_in!P16=0,0,11630*1000*SER_hh_fec_in!P16/SER_hh_num_in!P16)</f>
        <v>14724.179706431947</v>
      </c>
      <c r="Q16" s="131">
        <f>IF(SER_hh_fec_in!Q16=0,0,11630*1000*SER_hh_fec_in!Q16/SER_hh_num_in!Q16)</f>
        <v>15033.705053192816</v>
      </c>
      <c r="R16" s="131">
        <f>IF(SER_hh_fec_in!R16=0,0,11630*1000*SER_hh_fec_in!R16/SER_hh_num_in!R16)</f>
        <v>16361.453285032816</v>
      </c>
      <c r="S16" s="131">
        <f>IF(SER_hh_fec_in!S16=0,0,11630*1000*SER_hh_fec_in!S16/SER_hh_num_in!S16)</f>
        <v>14883.831984200009</v>
      </c>
      <c r="T16" s="131">
        <f>IF(SER_hh_fec_in!T16=0,0,11630*1000*SER_hh_fec_in!T16/SER_hh_num_in!T16)</f>
        <v>18052.804874662466</v>
      </c>
      <c r="U16" s="131">
        <f>IF(SER_hh_fec_in!U16=0,0,11630*1000*SER_hh_fec_in!U16/SER_hh_num_in!U16)</f>
        <v>14575.712911821265</v>
      </c>
      <c r="V16" s="131">
        <f>IF(SER_hh_fec_in!V16=0,0,11630*1000*SER_hh_fec_in!V16/SER_hh_num_in!V16)</f>
        <v>15056.087656548934</v>
      </c>
      <c r="W16" s="131">
        <f>IF(SER_hh_fec_in!W16=0,0,11630*1000*SER_hh_fec_in!W16/SER_hh_num_in!W16)</f>
        <v>12059.584382069839</v>
      </c>
      <c r="DA16" s="156" t="s">
        <v>736</v>
      </c>
    </row>
    <row r="17" spans="1:105" ht="12.95" customHeight="1" x14ac:dyDescent="0.25">
      <c r="A17" s="132" t="s">
        <v>73</v>
      </c>
      <c r="B17" s="133"/>
      <c r="C17" s="133">
        <f>IF(SER_hh_fec_in!C17=0,0,11630*1000*SER_hh_fec_in!C17/SER_hh_num_in!C17)</f>
        <v>0</v>
      </c>
      <c r="D17" s="133">
        <f>IF(SER_hh_fec_in!D17=0,0,11630*1000*SER_hh_fec_in!D17/SER_hh_num_in!D17)</f>
        <v>0</v>
      </c>
      <c r="E17" s="133">
        <f>IF(SER_hh_fec_in!E17=0,0,11630*1000*SER_hh_fec_in!E17/SER_hh_num_in!E17)</f>
        <v>0</v>
      </c>
      <c r="F17" s="133">
        <f>IF(SER_hh_fec_in!F17=0,0,11630*1000*SER_hh_fec_in!F17/SER_hh_num_in!F17)</f>
        <v>0</v>
      </c>
      <c r="G17" s="133">
        <f>IF(SER_hh_fec_in!G17=0,0,11630*1000*SER_hh_fec_in!G17/SER_hh_num_in!G17)</f>
        <v>0</v>
      </c>
      <c r="H17" s="133">
        <f>IF(SER_hh_fec_in!H17=0,0,11630*1000*SER_hh_fec_in!H17/SER_hh_num_in!H17)</f>
        <v>0</v>
      </c>
      <c r="I17" s="133">
        <f>IF(SER_hh_fec_in!I17=0,0,11630*1000*SER_hh_fec_in!I17/SER_hh_num_in!I17)</f>
        <v>0</v>
      </c>
      <c r="J17" s="133">
        <f>IF(SER_hh_fec_in!J17=0,0,11630*1000*SER_hh_fec_in!J17/SER_hh_num_in!J17)</f>
        <v>0</v>
      </c>
      <c r="K17" s="133">
        <f>IF(SER_hh_fec_in!K17=0,0,11630*1000*SER_hh_fec_in!K17/SER_hh_num_in!K17)</f>
        <v>0</v>
      </c>
      <c r="L17" s="133">
        <f>IF(SER_hh_fec_in!L17=0,0,11630*1000*SER_hh_fec_in!L17/SER_hh_num_in!L17)</f>
        <v>0</v>
      </c>
      <c r="M17" s="133">
        <f>IF(SER_hh_fec_in!M17=0,0,11630*1000*SER_hh_fec_in!M17/SER_hh_num_in!M17)</f>
        <v>0</v>
      </c>
      <c r="N17" s="133">
        <f>IF(SER_hh_fec_in!N17=0,0,11630*1000*SER_hh_fec_in!N17/SER_hh_num_in!N17)</f>
        <v>0</v>
      </c>
      <c r="O17" s="133">
        <f>IF(SER_hh_fec_in!O17=0,0,11630*1000*SER_hh_fec_in!O17/SER_hh_num_in!O17)</f>
        <v>0</v>
      </c>
      <c r="P17" s="133">
        <f>IF(SER_hh_fec_in!P17=0,0,11630*1000*SER_hh_fec_in!P17/SER_hh_num_in!P17)</f>
        <v>0</v>
      </c>
      <c r="Q17" s="133">
        <f>IF(SER_hh_fec_in!Q17=0,0,11630*1000*SER_hh_fec_in!Q17/SER_hh_num_in!Q17)</f>
        <v>0</v>
      </c>
      <c r="R17" s="133">
        <f>IF(SER_hh_fec_in!R17=0,0,11630*1000*SER_hh_fec_in!R17/SER_hh_num_in!R17)</f>
        <v>0</v>
      </c>
      <c r="S17" s="133">
        <f>IF(SER_hh_fec_in!S17=0,0,11630*1000*SER_hh_fec_in!S17/SER_hh_num_in!S17)</f>
        <v>0</v>
      </c>
      <c r="T17" s="133">
        <f>IF(SER_hh_fec_in!T17=0,0,11630*1000*SER_hh_fec_in!T17/SER_hh_num_in!T17)</f>
        <v>0</v>
      </c>
      <c r="U17" s="133">
        <f>IF(SER_hh_fec_in!U17=0,0,11630*1000*SER_hh_fec_in!U17/SER_hh_num_in!U17)</f>
        <v>0</v>
      </c>
      <c r="V17" s="133">
        <f>IF(SER_hh_fec_in!V17=0,0,11630*1000*SER_hh_fec_in!V17/SER_hh_num_in!V17)</f>
        <v>0</v>
      </c>
      <c r="W17" s="133">
        <f>IF(SER_hh_fec_in!W17=0,0,11630*1000*SER_hh_fec_in!W17/SER_hh_num_in!W17)</f>
        <v>0</v>
      </c>
      <c r="DA17" s="157" t="s">
        <v>737</v>
      </c>
    </row>
    <row r="18" spans="1:105" ht="12" customHeight="1" x14ac:dyDescent="0.25">
      <c r="A18" s="132" t="s">
        <v>72</v>
      </c>
      <c r="B18" s="133"/>
      <c r="C18" s="133">
        <f>IF(SER_hh_fec_in!C18=0,0,11630*1000*SER_hh_fec_in!C18/SER_hh_num_in!C18)</f>
        <v>30044.596527119396</v>
      </c>
      <c r="D18" s="133">
        <f>IF(SER_hh_fec_in!D18=0,0,11630*1000*SER_hh_fec_in!D18/SER_hh_num_in!D18)</f>
        <v>28046.848098446251</v>
      </c>
      <c r="E18" s="133">
        <f>IF(SER_hh_fec_in!E18=0,0,11630*1000*SER_hh_fec_in!E18/SER_hh_num_in!E18)</f>
        <v>29308.990790019754</v>
      </c>
      <c r="F18" s="133">
        <f>IF(SER_hh_fec_in!F18=0,0,11630*1000*SER_hh_fec_in!F18/SER_hh_num_in!F18)</f>
        <v>23520.896637698886</v>
      </c>
      <c r="G18" s="133">
        <f>IF(SER_hh_fec_in!G18=0,0,11630*1000*SER_hh_fec_in!G18/SER_hh_num_in!G18)</f>
        <v>20840.407958269945</v>
      </c>
      <c r="H18" s="133">
        <f>IF(SER_hh_fec_in!H18=0,0,11630*1000*SER_hh_fec_in!H18/SER_hh_num_in!H18)</f>
        <v>23243.803185320765</v>
      </c>
      <c r="I18" s="133">
        <f>IF(SER_hh_fec_in!I18=0,0,11630*1000*SER_hh_fec_in!I18/SER_hh_num_in!I18)</f>
        <v>25252.066749646558</v>
      </c>
      <c r="J18" s="133">
        <f>IF(SER_hh_fec_in!J18=0,0,11630*1000*SER_hh_fec_in!J18/SER_hh_num_in!J18)</f>
        <v>24947.682209554674</v>
      </c>
      <c r="K18" s="133">
        <f>IF(SER_hh_fec_in!K18=0,0,11630*1000*SER_hh_fec_in!K18/SER_hh_num_in!K18)</f>
        <v>23189.556204552697</v>
      </c>
      <c r="L18" s="133">
        <f>IF(SER_hh_fec_in!L18=0,0,11630*1000*SER_hh_fec_in!L18/SER_hh_num_in!L18)</f>
        <v>23442.604319031649</v>
      </c>
      <c r="M18" s="133">
        <f>IF(SER_hh_fec_in!M18=0,0,11630*1000*SER_hh_fec_in!M18/SER_hh_num_in!M18)</f>
        <v>19332.828986654622</v>
      </c>
      <c r="N18" s="133">
        <f>IF(SER_hh_fec_in!N18=0,0,11630*1000*SER_hh_fec_in!N18/SER_hh_num_in!N18)</f>
        <v>22298.92182556817</v>
      </c>
      <c r="O18" s="133">
        <f>IF(SER_hh_fec_in!O18=0,0,11630*1000*SER_hh_fec_in!O18/SER_hh_num_in!O18)</f>
        <v>17592.843501393752</v>
      </c>
      <c r="P18" s="133">
        <f>IF(SER_hh_fec_in!P18=0,0,11630*1000*SER_hh_fec_in!P18/SER_hh_num_in!P18)</f>
        <v>14724.179706431947</v>
      </c>
      <c r="Q18" s="133">
        <f>IF(SER_hh_fec_in!Q18=0,0,11630*1000*SER_hh_fec_in!Q18/SER_hh_num_in!Q18)</f>
        <v>15033.705053192816</v>
      </c>
      <c r="R18" s="133">
        <f>IF(SER_hh_fec_in!R18=0,0,11630*1000*SER_hh_fec_in!R18/SER_hh_num_in!R18)</f>
        <v>16361.453285032816</v>
      </c>
      <c r="S18" s="133">
        <f>IF(SER_hh_fec_in!S18=0,0,11630*1000*SER_hh_fec_in!S18/SER_hh_num_in!S18)</f>
        <v>14883.831984200009</v>
      </c>
      <c r="T18" s="133">
        <f>IF(SER_hh_fec_in!T18=0,0,11630*1000*SER_hh_fec_in!T18/SER_hh_num_in!T18)</f>
        <v>18052.804874662466</v>
      </c>
      <c r="U18" s="133">
        <f>IF(SER_hh_fec_in!U18=0,0,11630*1000*SER_hh_fec_in!U18/SER_hh_num_in!U18)</f>
        <v>14575.712911821265</v>
      </c>
      <c r="V18" s="133">
        <f>IF(SER_hh_fec_in!V18=0,0,11630*1000*SER_hh_fec_in!V18/SER_hh_num_in!V18)</f>
        <v>15056.087656548934</v>
      </c>
      <c r="W18" s="133">
        <f>IF(SER_hh_fec_in!W18=0,0,11630*1000*SER_hh_fec_in!W18/SER_hh_num_in!W18)</f>
        <v>12059.584382069839</v>
      </c>
      <c r="DA18" s="157" t="s">
        <v>738</v>
      </c>
    </row>
    <row r="19" spans="1:105" ht="12.95" customHeight="1" x14ac:dyDescent="0.25">
      <c r="A19" s="130" t="s">
        <v>35</v>
      </c>
      <c r="B19" s="131"/>
      <c r="C19" s="131">
        <f>IF(SER_hh_fec_in!C19=0,0,11630*1000*SER_hh_fec_in!C19/SER_hh_num_in!C19)</f>
        <v>16381.039729510585</v>
      </c>
      <c r="D19" s="131">
        <f>IF(SER_hh_fec_in!D19=0,0,11630*1000*SER_hh_fec_in!D19/SER_hh_num_in!D19)</f>
        <v>13530.202091900168</v>
      </c>
      <c r="E19" s="131">
        <f>IF(SER_hh_fec_in!E19=0,0,11630*1000*SER_hh_fec_in!E19/SER_hh_num_in!E19)</f>
        <v>14088.866092983922</v>
      </c>
      <c r="F19" s="131">
        <f>IF(SER_hh_fec_in!F19=0,0,11630*1000*SER_hh_fec_in!F19/SER_hh_num_in!F19)</f>
        <v>13946.739904068583</v>
      </c>
      <c r="G19" s="131">
        <f>IF(SER_hh_fec_in!G19=0,0,11630*1000*SER_hh_fec_in!G19/SER_hh_num_in!G19)</f>
        <v>14360.667474343969</v>
      </c>
      <c r="H19" s="131">
        <f>IF(SER_hh_fec_in!H19=0,0,11630*1000*SER_hh_fec_in!H19/SER_hh_num_in!H19)</f>
        <v>21568.894120837424</v>
      </c>
      <c r="I19" s="131">
        <f>IF(SER_hh_fec_in!I19=0,0,11630*1000*SER_hh_fec_in!I19/SER_hh_num_in!I19)</f>
        <v>18327.306207738653</v>
      </c>
      <c r="J19" s="131">
        <f>IF(SER_hh_fec_in!J19=0,0,11630*1000*SER_hh_fec_in!J19/SER_hh_num_in!J19)</f>
        <v>16735.18436958249</v>
      </c>
      <c r="K19" s="131">
        <f>IF(SER_hh_fec_in!K19=0,0,11630*1000*SER_hh_fec_in!K19/SER_hh_num_in!K19)</f>
        <v>12014.535131961828</v>
      </c>
      <c r="L19" s="131">
        <f>IF(SER_hh_fec_in!L19=0,0,11630*1000*SER_hh_fec_in!L19/SER_hh_num_in!L19)</f>
        <v>11877.698246153999</v>
      </c>
      <c r="M19" s="131">
        <f>IF(SER_hh_fec_in!M19=0,0,11630*1000*SER_hh_fec_in!M19/SER_hh_num_in!M19)</f>
        <v>11341.379076914754</v>
      </c>
      <c r="N19" s="131">
        <f>IF(SER_hh_fec_in!N19=0,0,11630*1000*SER_hh_fec_in!N19/SER_hh_num_in!N19)</f>
        <v>13160.751751857108</v>
      </c>
      <c r="O19" s="131">
        <f>IF(SER_hh_fec_in!O19=0,0,11630*1000*SER_hh_fec_in!O19/SER_hh_num_in!O19)</f>
        <v>13632.366074083824</v>
      </c>
      <c r="P19" s="131">
        <f>IF(SER_hh_fec_in!P19=0,0,11630*1000*SER_hh_fec_in!P19/SER_hh_num_in!P19)</f>
        <v>13864.62107588962</v>
      </c>
      <c r="Q19" s="131">
        <f>IF(SER_hh_fec_in!Q19=0,0,11630*1000*SER_hh_fec_in!Q19/SER_hh_num_in!Q19)</f>
        <v>13359.753478377728</v>
      </c>
      <c r="R19" s="131">
        <f>IF(SER_hh_fec_in!R19=0,0,11630*1000*SER_hh_fec_in!R19/SER_hh_num_in!R19)</f>
        <v>12753.117352762658</v>
      </c>
      <c r="S19" s="131">
        <f>IF(SER_hh_fec_in!S19=0,0,11630*1000*SER_hh_fec_in!S19/SER_hh_num_in!S19)</f>
        <v>12043.636433762385</v>
      </c>
      <c r="T19" s="131">
        <f>IF(SER_hh_fec_in!T19=0,0,11630*1000*SER_hh_fec_in!T19/SER_hh_num_in!T19)</f>
        <v>12297.367015302088</v>
      </c>
      <c r="U19" s="131">
        <f>IF(SER_hh_fec_in!U19=0,0,11630*1000*SER_hh_fec_in!U19/SER_hh_num_in!U19)</f>
        <v>12416.764342484756</v>
      </c>
      <c r="V19" s="131">
        <f>IF(SER_hh_fec_in!V19=0,0,11630*1000*SER_hh_fec_in!V19/SER_hh_num_in!V19)</f>
        <v>10840.443931064892</v>
      </c>
      <c r="W19" s="131">
        <f>IF(SER_hh_fec_in!W19=0,0,11630*1000*SER_hh_fec_in!W19/SER_hh_num_in!W19)</f>
        <v>11220.185327560377</v>
      </c>
      <c r="DA19" s="156" t="s">
        <v>739</v>
      </c>
    </row>
    <row r="20" spans="1:105" ht="12" customHeight="1" x14ac:dyDescent="0.25">
      <c r="A20" s="132" t="s">
        <v>29</v>
      </c>
      <c r="B20" s="133"/>
      <c r="C20" s="133">
        <f>IF(SER_hh_fec_in!C20=0,0,11630*1000*SER_hh_fec_in!C20/SER_hh_num_in!C20)</f>
        <v>0</v>
      </c>
      <c r="D20" s="133">
        <f>IF(SER_hh_fec_in!D20=0,0,11630*1000*SER_hh_fec_in!D20/SER_hh_num_in!D20)</f>
        <v>0</v>
      </c>
      <c r="E20" s="133">
        <f>IF(SER_hh_fec_in!E20=0,0,11630*1000*SER_hh_fec_in!E20/SER_hh_num_in!E20)</f>
        <v>0</v>
      </c>
      <c r="F20" s="133">
        <f>IF(SER_hh_fec_in!F20=0,0,11630*1000*SER_hh_fec_in!F20/SER_hh_num_in!F20)</f>
        <v>0</v>
      </c>
      <c r="G20" s="133">
        <f>IF(SER_hh_fec_in!G20=0,0,11630*1000*SER_hh_fec_in!G20/SER_hh_num_in!G20)</f>
        <v>0</v>
      </c>
      <c r="H20" s="133">
        <f>IF(SER_hh_fec_in!H20=0,0,11630*1000*SER_hh_fec_in!H20/SER_hh_num_in!H20)</f>
        <v>0</v>
      </c>
      <c r="I20" s="133">
        <f>IF(SER_hh_fec_in!I20=0,0,11630*1000*SER_hh_fec_in!I20/SER_hh_num_in!I20)</f>
        <v>0</v>
      </c>
      <c r="J20" s="133">
        <f>IF(SER_hh_fec_in!J20=0,0,11630*1000*SER_hh_fec_in!J20/SER_hh_num_in!J20)</f>
        <v>0</v>
      </c>
      <c r="K20" s="133">
        <f>IF(SER_hh_fec_in!K20=0,0,11630*1000*SER_hh_fec_in!K20/SER_hh_num_in!K20)</f>
        <v>0</v>
      </c>
      <c r="L20" s="133">
        <f>IF(SER_hh_fec_in!L20=0,0,11630*1000*SER_hh_fec_in!L20/SER_hh_num_in!L20)</f>
        <v>0</v>
      </c>
      <c r="M20" s="133">
        <f>IF(SER_hh_fec_in!M20=0,0,11630*1000*SER_hh_fec_in!M20/SER_hh_num_in!M20)</f>
        <v>0</v>
      </c>
      <c r="N20" s="133">
        <f>IF(SER_hh_fec_in!N20=0,0,11630*1000*SER_hh_fec_in!N20/SER_hh_num_in!N20)</f>
        <v>0</v>
      </c>
      <c r="O20" s="133">
        <f>IF(SER_hh_fec_in!O20=0,0,11630*1000*SER_hh_fec_in!O20/SER_hh_num_in!O20)</f>
        <v>0</v>
      </c>
      <c r="P20" s="133">
        <f>IF(SER_hh_fec_in!P20=0,0,11630*1000*SER_hh_fec_in!P20/SER_hh_num_in!P20)</f>
        <v>0</v>
      </c>
      <c r="Q20" s="133">
        <f>IF(SER_hh_fec_in!Q20=0,0,11630*1000*SER_hh_fec_in!Q20/SER_hh_num_in!Q20)</f>
        <v>0</v>
      </c>
      <c r="R20" s="133">
        <f>IF(SER_hh_fec_in!R20=0,0,11630*1000*SER_hh_fec_in!R20/SER_hh_num_in!R20)</f>
        <v>0</v>
      </c>
      <c r="S20" s="133">
        <f>IF(SER_hh_fec_in!S20=0,0,11630*1000*SER_hh_fec_in!S20/SER_hh_num_in!S20)</f>
        <v>0</v>
      </c>
      <c r="T20" s="133">
        <f>IF(SER_hh_fec_in!T20=0,0,11630*1000*SER_hh_fec_in!T20/SER_hh_num_in!T20)</f>
        <v>0</v>
      </c>
      <c r="U20" s="133">
        <f>IF(SER_hh_fec_in!U20=0,0,11630*1000*SER_hh_fec_in!U20/SER_hh_num_in!U20)</f>
        <v>0</v>
      </c>
      <c r="V20" s="133">
        <f>IF(SER_hh_fec_in!V20=0,0,11630*1000*SER_hh_fec_in!V20/SER_hh_num_in!V20)</f>
        <v>0</v>
      </c>
      <c r="W20" s="133">
        <f>IF(SER_hh_fec_in!W20=0,0,11630*1000*SER_hh_fec_in!W20/SER_hh_num_in!W20)</f>
        <v>0</v>
      </c>
      <c r="DA20" s="157" t="s">
        <v>740</v>
      </c>
    </row>
    <row r="21" spans="1:105" s="2" customFormat="1" ht="12" customHeight="1" x14ac:dyDescent="0.25">
      <c r="A21" s="132" t="s">
        <v>52</v>
      </c>
      <c r="B21" s="133"/>
      <c r="C21" s="133">
        <f>IF(SER_hh_fec_in!C21=0,0,11630*1000*SER_hh_fec_in!C21/SER_hh_num_in!C21)</f>
        <v>0</v>
      </c>
      <c r="D21" s="133">
        <f>IF(SER_hh_fec_in!D21=0,0,11630*1000*SER_hh_fec_in!D21/SER_hh_num_in!D21)</f>
        <v>0</v>
      </c>
      <c r="E21" s="133">
        <f>IF(SER_hh_fec_in!E21=0,0,11630*1000*SER_hh_fec_in!E21/SER_hh_num_in!E21)</f>
        <v>0</v>
      </c>
      <c r="F21" s="133">
        <f>IF(SER_hh_fec_in!F21=0,0,11630*1000*SER_hh_fec_in!F21/SER_hh_num_in!F21)</f>
        <v>0</v>
      </c>
      <c r="G21" s="133">
        <f>IF(SER_hh_fec_in!G21=0,0,11630*1000*SER_hh_fec_in!G21/SER_hh_num_in!G21)</f>
        <v>0</v>
      </c>
      <c r="H21" s="133">
        <f>IF(SER_hh_fec_in!H21=0,0,11630*1000*SER_hh_fec_in!H21/SER_hh_num_in!H21)</f>
        <v>12338.201620297572</v>
      </c>
      <c r="I21" s="133">
        <f>IF(SER_hh_fec_in!I21=0,0,11630*1000*SER_hh_fec_in!I21/SER_hh_num_in!I21)</f>
        <v>11468.694665492025</v>
      </c>
      <c r="J21" s="133">
        <f>IF(SER_hh_fec_in!J21=0,0,11630*1000*SER_hh_fec_in!J21/SER_hh_num_in!J21)</f>
        <v>10971.065633758546</v>
      </c>
      <c r="K21" s="133">
        <f>IF(SER_hh_fec_in!K21=0,0,11630*1000*SER_hh_fec_in!K21/SER_hh_num_in!K21)</f>
        <v>14952.06748944631</v>
      </c>
      <c r="L21" s="133">
        <f>IF(SER_hh_fec_in!L21=0,0,11630*1000*SER_hh_fec_in!L21/SER_hh_num_in!L21)</f>
        <v>19474.437352095407</v>
      </c>
      <c r="M21" s="133">
        <f>IF(SER_hh_fec_in!M21=0,0,11630*1000*SER_hh_fec_in!M21/SER_hh_num_in!M21)</f>
        <v>0</v>
      </c>
      <c r="N21" s="133">
        <f>IF(SER_hh_fec_in!N21=0,0,11630*1000*SER_hh_fec_in!N21/SER_hh_num_in!N21)</f>
        <v>0</v>
      </c>
      <c r="O21" s="133">
        <f>IF(SER_hh_fec_in!O21=0,0,11630*1000*SER_hh_fec_in!O21/SER_hh_num_in!O21)</f>
        <v>0</v>
      </c>
      <c r="P21" s="133">
        <f>IF(SER_hh_fec_in!P21=0,0,11630*1000*SER_hh_fec_in!P21/SER_hh_num_in!P21)</f>
        <v>0</v>
      </c>
      <c r="Q21" s="133">
        <f>IF(SER_hh_fec_in!Q21=0,0,11630*1000*SER_hh_fec_in!Q21/SER_hh_num_in!Q21)</f>
        <v>0</v>
      </c>
      <c r="R21" s="133">
        <f>IF(SER_hh_fec_in!R21=0,0,11630*1000*SER_hh_fec_in!R21/SER_hh_num_in!R21)</f>
        <v>10690.047734306774</v>
      </c>
      <c r="S21" s="133">
        <f>IF(SER_hh_fec_in!S21=0,0,11630*1000*SER_hh_fec_in!S21/SER_hh_num_in!S21)</f>
        <v>8955.6238243750904</v>
      </c>
      <c r="T21" s="133">
        <f>IF(SER_hh_fec_in!T21=0,0,11630*1000*SER_hh_fec_in!T21/SER_hh_num_in!T21)</f>
        <v>12273.076291890335</v>
      </c>
      <c r="U21" s="133">
        <f>IF(SER_hh_fec_in!U21=0,0,11630*1000*SER_hh_fec_in!U21/SER_hh_num_in!U21)</f>
        <v>12190.30043228554</v>
      </c>
      <c r="V21" s="133">
        <f>IF(SER_hh_fec_in!V21=0,0,11630*1000*SER_hh_fec_in!V21/SER_hh_num_in!V21)</f>
        <v>8282.3511821918564</v>
      </c>
      <c r="W21" s="133">
        <f>IF(SER_hh_fec_in!W21=0,0,11630*1000*SER_hh_fec_in!W21/SER_hh_num_in!W21)</f>
        <v>10600.393950634709</v>
      </c>
      <c r="DA21" s="157" t="s">
        <v>741</v>
      </c>
    </row>
    <row r="22" spans="1:105" ht="12" customHeight="1" x14ac:dyDescent="0.25">
      <c r="A22" s="132" t="s">
        <v>168</v>
      </c>
      <c r="B22" s="133"/>
      <c r="C22" s="133">
        <f>IF(SER_hh_fec_in!C22=0,0,11630*1000*SER_hh_fec_in!C22/SER_hh_num_in!C22)</f>
        <v>25287.527559034475</v>
      </c>
      <c r="D22" s="133">
        <f>IF(SER_hh_fec_in!D22=0,0,11630*1000*SER_hh_fec_in!D22/SER_hh_num_in!D22)</f>
        <v>8223.1097019906883</v>
      </c>
      <c r="E22" s="133">
        <f>IF(SER_hh_fec_in!E22=0,0,11630*1000*SER_hh_fec_in!E22/SER_hh_num_in!E22)</f>
        <v>18023.575818448957</v>
      </c>
      <c r="F22" s="133">
        <f>IF(SER_hh_fec_in!F22=0,0,11630*1000*SER_hh_fec_in!F22/SER_hh_num_in!F22)</f>
        <v>20172.071732178887</v>
      </c>
      <c r="G22" s="133">
        <f>IF(SER_hh_fec_in!G22=0,0,11630*1000*SER_hh_fec_in!G22/SER_hh_num_in!G22)</f>
        <v>18568.051386486542</v>
      </c>
      <c r="H22" s="133">
        <f>IF(SER_hh_fec_in!H22=0,0,11630*1000*SER_hh_fec_in!H22/SER_hh_num_in!H22)</f>
        <v>24174.010842666958</v>
      </c>
      <c r="I22" s="133">
        <f>IF(SER_hh_fec_in!I22=0,0,11630*1000*SER_hh_fec_in!I22/SER_hh_num_in!I22)</f>
        <v>11662.105323165346</v>
      </c>
      <c r="J22" s="133">
        <f>IF(SER_hh_fec_in!J22=0,0,11630*1000*SER_hh_fec_in!J22/SER_hh_num_in!J22)</f>
        <v>13084.765159285318</v>
      </c>
      <c r="K22" s="133">
        <f>IF(SER_hh_fec_in!K22=0,0,11630*1000*SER_hh_fec_in!K22/SER_hh_num_in!K22)</f>
        <v>19951.612117621182</v>
      </c>
      <c r="L22" s="133">
        <f>IF(SER_hh_fec_in!L22=0,0,11630*1000*SER_hh_fec_in!L22/SER_hh_num_in!L22)</f>
        <v>25730.404540055235</v>
      </c>
      <c r="M22" s="133">
        <f>IF(SER_hh_fec_in!M22=0,0,11630*1000*SER_hh_fec_in!M22/SER_hh_num_in!M22)</f>
        <v>22336.057445070182</v>
      </c>
      <c r="N22" s="133">
        <f>IF(SER_hh_fec_in!N22=0,0,11630*1000*SER_hh_fec_in!N22/SER_hh_num_in!N22)</f>
        <v>24862.354408872405</v>
      </c>
      <c r="O22" s="133">
        <f>IF(SER_hh_fec_in!O22=0,0,11630*1000*SER_hh_fec_in!O22/SER_hh_num_in!O22)</f>
        <v>23050.192373639384</v>
      </c>
      <c r="P22" s="133">
        <f>IF(SER_hh_fec_in!P22=0,0,11630*1000*SER_hh_fec_in!P22/SER_hh_num_in!P22)</f>
        <v>17503.63237098348</v>
      </c>
      <c r="Q22" s="133">
        <f>IF(SER_hh_fec_in!Q22=0,0,11630*1000*SER_hh_fec_in!Q22/SER_hh_num_in!Q22)</f>
        <v>9930.5652840119947</v>
      </c>
      <c r="R22" s="133">
        <f>IF(SER_hh_fec_in!R22=0,0,11630*1000*SER_hh_fec_in!R22/SER_hh_num_in!R22)</f>
        <v>12140.487236961872</v>
      </c>
      <c r="S22" s="133">
        <f>IF(SER_hh_fec_in!S22=0,0,11630*1000*SER_hh_fec_in!S22/SER_hh_num_in!S22)</f>
        <v>10061.321259456463</v>
      </c>
      <c r="T22" s="133">
        <f>IF(SER_hh_fec_in!T22=0,0,11630*1000*SER_hh_fec_in!T22/SER_hh_num_in!T22)</f>
        <v>14725.440392971706</v>
      </c>
      <c r="U22" s="133">
        <f>IF(SER_hh_fec_in!U22=0,0,11630*1000*SER_hh_fec_in!U22/SER_hh_num_in!U22)</f>
        <v>13801.9662791791</v>
      </c>
      <c r="V22" s="133">
        <f>IF(SER_hh_fec_in!V22=0,0,11630*1000*SER_hh_fec_in!V22/SER_hh_num_in!V22)</f>
        <v>9405.678094160201</v>
      </c>
      <c r="W22" s="133">
        <f>IF(SER_hh_fec_in!W22=0,0,11630*1000*SER_hh_fec_in!W22/SER_hh_num_in!W22)</f>
        <v>13589.936508890922</v>
      </c>
      <c r="DA22" s="157" t="s">
        <v>742</v>
      </c>
    </row>
    <row r="23" spans="1:105" ht="12" customHeight="1" x14ac:dyDescent="0.25">
      <c r="A23" s="132" t="s">
        <v>153</v>
      </c>
      <c r="B23" s="133"/>
      <c r="C23" s="133">
        <f>IF(SER_hh_fec_in!C23=0,0,11630*1000*SER_hh_fec_in!C23/SER_hh_num_in!C23)</f>
        <v>0</v>
      </c>
      <c r="D23" s="133">
        <f>IF(SER_hh_fec_in!D23=0,0,11630*1000*SER_hh_fec_in!D23/SER_hh_num_in!D23)</f>
        <v>0</v>
      </c>
      <c r="E23" s="133">
        <f>IF(SER_hh_fec_in!E23=0,0,11630*1000*SER_hh_fec_in!E23/SER_hh_num_in!E23)</f>
        <v>0</v>
      </c>
      <c r="F23" s="133">
        <f>IF(SER_hh_fec_in!F23=0,0,11630*1000*SER_hh_fec_in!F23/SER_hh_num_in!F23)</f>
        <v>0</v>
      </c>
      <c r="G23" s="133">
        <f>IF(SER_hh_fec_in!G23=0,0,11630*1000*SER_hh_fec_in!G23/SER_hh_num_in!G23)</f>
        <v>0</v>
      </c>
      <c r="H23" s="133">
        <f>IF(SER_hh_fec_in!H23=0,0,11630*1000*SER_hh_fec_in!H23/SER_hh_num_in!H23)</f>
        <v>0</v>
      </c>
      <c r="I23" s="133">
        <f>IF(SER_hh_fec_in!I23=0,0,11630*1000*SER_hh_fec_in!I23/SER_hh_num_in!I23)</f>
        <v>0</v>
      </c>
      <c r="J23" s="133">
        <f>IF(SER_hh_fec_in!J23=0,0,11630*1000*SER_hh_fec_in!J23/SER_hh_num_in!J23)</f>
        <v>0</v>
      </c>
      <c r="K23" s="133">
        <f>IF(SER_hh_fec_in!K23=0,0,11630*1000*SER_hh_fec_in!K23/SER_hh_num_in!K23)</f>
        <v>0</v>
      </c>
      <c r="L23" s="133">
        <f>IF(SER_hh_fec_in!L23=0,0,11630*1000*SER_hh_fec_in!L23/SER_hh_num_in!L23)</f>
        <v>0</v>
      </c>
      <c r="M23" s="133">
        <f>IF(SER_hh_fec_in!M23=0,0,11630*1000*SER_hh_fec_in!M23/SER_hh_num_in!M23)</f>
        <v>0</v>
      </c>
      <c r="N23" s="133">
        <f>IF(SER_hh_fec_in!N23=0,0,11630*1000*SER_hh_fec_in!N23/SER_hh_num_in!N23)</f>
        <v>0</v>
      </c>
      <c r="O23" s="133">
        <f>IF(SER_hh_fec_in!O23=0,0,11630*1000*SER_hh_fec_in!O23/SER_hh_num_in!O23)</f>
        <v>0</v>
      </c>
      <c r="P23" s="133">
        <f>IF(SER_hh_fec_in!P23=0,0,11630*1000*SER_hh_fec_in!P23/SER_hh_num_in!P23)</f>
        <v>0</v>
      </c>
      <c r="Q23" s="133">
        <f>IF(SER_hh_fec_in!Q23=0,0,11630*1000*SER_hh_fec_in!Q23/SER_hh_num_in!Q23)</f>
        <v>0</v>
      </c>
      <c r="R23" s="133">
        <f>IF(SER_hh_fec_in!R23=0,0,11630*1000*SER_hh_fec_in!R23/SER_hh_num_in!R23)</f>
        <v>0</v>
      </c>
      <c r="S23" s="133">
        <f>IF(SER_hh_fec_in!S23=0,0,11630*1000*SER_hh_fec_in!S23/SER_hh_num_in!S23)</f>
        <v>0</v>
      </c>
      <c r="T23" s="133">
        <f>IF(SER_hh_fec_in!T23=0,0,11630*1000*SER_hh_fec_in!T23/SER_hh_num_in!T23)</f>
        <v>0</v>
      </c>
      <c r="U23" s="133">
        <f>IF(SER_hh_fec_in!U23=0,0,11630*1000*SER_hh_fec_in!U23/SER_hh_num_in!U23)</f>
        <v>0</v>
      </c>
      <c r="V23" s="133">
        <f>IF(SER_hh_fec_in!V23=0,0,11630*1000*SER_hh_fec_in!V23/SER_hh_num_in!V23)</f>
        <v>0</v>
      </c>
      <c r="W23" s="133">
        <f>IF(SER_hh_fec_in!W23=0,0,11630*1000*SER_hh_fec_in!W23/SER_hh_num_in!W23)</f>
        <v>0</v>
      </c>
      <c r="DA23" s="157" t="s">
        <v>743</v>
      </c>
    </row>
    <row r="24" spans="1:105" ht="12" customHeight="1" x14ac:dyDescent="0.25">
      <c r="A24" s="132" t="s">
        <v>128</v>
      </c>
      <c r="B24" s="133"/>
      <c r="C24" s="133">
        <f>IF(SER_hh_fec_in!C24=0,0,11630*1000*SER_hh_fec_in!C24/SER_hh_num_in!C24)</f>
        <v>0</v>
      </c>
      <c r="D24" s="133">
        <f>IF(SER_hh_fec_in!D24=0,0,11630*1000*SER_hh_fec_in!D24/SER_hh_num_in!D24)</f>
        <v>0</v>
      </c>
      <c r="E24" s="133">
        <f>IF(SER_hh_fec_in!E24=0,0,11630*1000*SER_hh_fec_in!E24/SER_hh_num_in!E24)</f>
        <v>0</v>
      </c>
      <c r="F24" s="133">
        <f>IF(SER_hh_fec_in!F24=0,0,11630*1000*SER_hh_fec_in!F24/SER_hh_num_in!F24)</f>
        <v>0</v>
      </c>
      <c r="G24" s="133">
        <f>IF(SER_hh_fec_in!G24=0,0,11630*1000*SER_hh_fec_in!G24/SER_hh_num_in!G24)</f>
        <v>0</v>
      </c>
      <c r="H24" s="133">
        <f>IF(SER_hh_fec_in!H24=0,0,11630*1000*SER_hh_fec_in!H24/SER_hh_num_in!H24)</f>
        <v>0</v>
      </c>
      <c r="I24" s="133">
        <f>IF(SER_hh_fec_in!I24=0,0,11630*1000*SER_hh_fec_in!I24/SER_hh_num_in!I24)</f>
        <v>0</v>
      </c>
      <c r="J24" s="133">
        <f>IF(SER_hh_fec_in!J24=0,0,11630*1000*SER_hh_fec_in!J24/SER_hh_num_in!J24)</f>
        <v>0</v>
      </c>
      <c r="K24" s="133">
        <f>IF(SER_hh_fec_in!K24=0,0,11630*1000*SER_hh_fec_in!K24/SER_hh_num_in!K24)</f>
        <v>0</v>
      </c>
      <c r="L24" s="133">
        <f>IF(SER_hh_fec_in!L24=0,0,11630*1000*SER_hh_fec_in!L24/SER_hh_num_in!L24)</f>
        <v>0</v>
      </c>
      <c r="M24" s="133">
        <f>IF(SER_hh_fec_in!M24=0,0,11630*1000*SER_hh_fec_in!M24/SER_hh_num_in!M24)</f>
        <v>0</v>
      </c>
      <c r="N24" s="133">
        <f>IF(SER_hh_fec_in!N24=0,0,11630*1000*SER_hh_fec_in!N24/SER_hh_num_in!N24)</f>
        <v>0</v>
      </c>
      <c r="O24" s="133">
        <f>IF(SER_hh_fec_in!O24=0,0,11630*1000*SER_hh_fec_in!O24/SER_hh_num_in!O24)</f>
        <v>0</v>
      </c>
      <c r="P24" s="133">
        <f>IF(SER_hh_fec_in!P24=0,0,11630*1000*SER_hh_fec_in!P24/SER_hh_num_in!P24)</f>
        <v>0</v>
      </c>
      <c r="Q24" s="133">
        <f>IF(SER_hh_fec_in!Q24=0,0,11630*1000*SER_hh_fec_in!Q24/SER_hh_num_in!Q24)</f>
        <v>0</v>
      </c>
      <c r="R24" s="133">
        <f>IF(SER_hh_fec_in!R24=0,0,11630*1000*SER_hh_fec_in!R24/SER_hh_num_in!R24)</f>
        <v>0</v>
      </c>
      <c r="S24" s="133">
        <f>IF(SER_hh_fec_in!S24=0,0,11630*1000*SER_hh_fec_in!S24/SER_hh_num_in!S24)</f>
        <v>0</v>
      </c>
      <c r="T24" s="133">
        <f>IF(SER_hh_fec_in!T24=0,0,11630*1000*SER_hh_fec_in!T24/SER_hh_num_in!T24)</f>
        <v>0</v>
      </c>
      <c r="U24" s="133">
        <f>IF(SER_hh_fec_in!U24=0,0,11630*1000*SER_hh_fec_in!U24/SER_hh_num_in!U24)</f>
        <v>0</v>
      </c>
      <c r="V24" s="133">
        <f>IF(SER_hh_fec_in!V24=0,0,11630*1000*SER_hh_fec_in!V24/SER_hh_num_in!V24)</f>
        <v>0</v>
      </c>
      <c r="W24" s="133">
        <f>IF(SER_hh_fec_in!W24=0,0,11630*1000*SER_hh_fec_in!W24/SER_hh_num_in!W24)</f>
        <v>0</v>
      </c>
      <c r="DA24" s="157" t="s">
        <v>744</v>
      </c>
    </row>
    <row r="25" spans="1:105" ht="12" customHeight="1" x14ac:dyDescent="0.25">
      <c r="A25" s="132" t="s">
        <v>169</v>
      </c>
      <c r="B25" s="133"/>
      <c r="C25" s="133">
        <f>IF(SER_hh_fec_in!C25=0,0,11630*1000*SER_hh_fec_in!C25/SER_hh_num_in!C25)</f>
        <v>0</v>
      </c>
      <c r="D25" s="133">
        <f>IF(SER_hh_fec_in!D25=0,0,11630*1000*SER_hh_fec_in!D25/SER_hh_num_in!D25)</f>
        <v>0</v>
      </c>
      <c r="E25" s="133">
        <f>IF(SER_hh_fec_in!E25=0,0,11630*1000*SER_hh_fec_in!E25/SER_hh_num_in!E25)</f>
        <v>0</v>
      </c>
      <c r="F25" s="133">
        <f>IF(SER_hh_fec_in!F25=0,0,11630*1000*SER_hh_fec_in!F25/SER_hh_num_in!F25)</f>
        <v>0</v>
      </c>
      <c r="G25" s="133">
        <f>IF(SER_hh_fec_in!G25=0,0,11630*1000*SER_hh_fec_in!G25/SER_hh_num_in!G25)</f>
        <v>0</v>
      </c>
      <c r="H25" s="133">
        <f>IF(SER_hh_fec_in!H25=0,0,11630*1000*SER_hh_fec_in!H25/SER_hh_num_in!H25)</f>
        <v>0</v>
      </c>
      <c r="I25" s="133">
        <f>IF(SER_hh_fec_in!I25=0,0,11630*1000*SER_hh_fec_in!I25/SER_hh_num_in!I25)</f>
        <v>0</v>
      </c>
      <c r="J25" s="133">
        <f>IF(SER_hh_fec_in!J25=0,0,11630*1000*SER_hh_fec_in!J25/SER_hh_num_in!J25)</f>
        <v>0</v>
      </c>
      <c r="K25" s="133">
        <f>IF(SER_hh_fec_in!K25=0,0,11630*1000*SER_hh_fec_in!K25/SER_hh_num_in!K25)</f>
        <v>0</v>
      </c>
      <c r="L25" s="133">
        <f>IF(SER_hh_fec_in!L25=0,0,11630*1000*SER_hh_fec_in!L25/SER_hh_num_in!L25)</f>
        <v>0</v>
      </c>
      <c r="M25" s="133">
        <f>IF(SER_hh_fec_in!M25=0,0,11630*1000*SER_hh_fec_in!M25/SER_hh_num_in!M25)</f>
        <v>0</v>
      </c>
      <c r="N25" s="133">
        <f>IF(SER_hh_fec_in!N25=0,0,11630*1000*SER_hh_fec_in!N25/SER_hh_num_in!N25)</f>
        <v>0</v>
      </c>
      <c r="O25" s="133">
        <f>IF(SER_hh_fec_in!O25=0,0,11630*1000*SER_hh_fec_in!O25/SER_hh_num_in!O25)</f>
        <v>0</v>
      </c>
      <c r="P25" s="133">
        <f>IF(SER_hh_fec_in!P25=0,0,11630*1000*SER_hh_fec_in!P25/SER_hh_num_in!P25)</f>
        <v>0</v>
      </c>
      <c r="Q25" s="133">
        <f>IF(SER_hh_fec_in!Q25=0,0,11630*1000*SER_hh_fec_in!Q25/SER_hh_num_in!Q25)</f>
        <v>0</v>
      </c>
      <c r="R25" s="133">
        <f>IF(SER_hh_fec_in!R25=0,0,11630*1000*SER_hh_fec_in!R25/SER_hh_num_in!R25)</f>
        <v>0</v>
      </c>
      <c r="S25" s="133">
        <f>IF(SER_hh_fec_in!S25=0,0,11630*1000*SER_hh_fec_in!S25/SER_hh_num_in!S25)</f>
        <v>0</v>
      </c>
      <c r="T25" s="133">
        <f>IF(SER_hh_fec_in!T25=0,0,11630*1000*SER_hh_fec_in!T25/SER_hh_num_in!T25)</f>
        <v>0</v>
      </c>
      <c r="U25" s="133">
        <f>IF(SER_hh_fec_in!U25=0,0,11630*1000*SER_hh_fec_in!U25/SER_hh_num_in!U25)</f>
        <v>0</v>
      </c>
      <c r="V25" s="133">
        <f>IF(SER_hh_fec_in!V25=0,0,11630*1000*SER_hh_fec_in!V25/SER_hh_num_in!V25)</f>
        <v>0</v>
      </c>
      <c r="W25" s="133">
        <f>IF(SER_hh_fec_in!W25=0,0,11630*1000*SER_hh_fec_in!W25/SER_hh_num_in!W25)</f>
        <v>0</v>
      </c>
      <c r="DA25" s="157" t="s">
        <v>745</v>
      </c>
    </row>
    <row r="26" spans="1:105" ht="12" customHeight="1" x14ac:dyDescent="0.25">
      <c r="A26" s="132" t="s">
        <v>24</v>
      </c>
      <c r="B26" s="65"/>
      <c r="C26" s="65">
        <f>IF(SER_hh_fec_in!C26=0,0,11630*1000*SER_hh_fec_in!C26/SER_hh_num_in!C26)</f>
        <v>9738.2780075012033</v>
      </c>
      <c r="D26" s="65">
        <f>IF(SER_hh_fec_in!D26=0,0,11630*1000*SER_hh_fec_in!D26/SER_hh_num_in!D26)</f>
        <v>4059.4651662500851</v>
      </c>
      <c r="E26" s="65">
        <f>IF(SER_hh_fec_in!E26=0,0,11630*1000*SER_hh_fec_in!E26/SER_hh_num_in!E26)</f>
        <v>5086.3822795090055</v>
      </c>
      <c r="F26" s="65">
        <f>IF(SER_hh_fec_in!F26=0,0,11630*1000*SER_hh_fec_in!F26/SER_hh_num_in!F26)</f>
        <v>4802.1064463075118</v>
      </c>
      <c r="G26" s="65">
        <f>IF(SER_hh_fec_in!G26=0,0,11630*1000*SER_hh_fec_in!G26/SER_hh_num_in!G26)</f>
        <v>5785.7205432513529</v>
      </c>
      <c r="H26" s="65">
        <f>IF(SER_hh_fec_in!H26=0,0,11630*1000*SER_hh_fec_in!H26/SER_hh_num_in!H26)</f>
        <v>0</v>
      </c>
      <c r="I26" s="65">
        <f>IF(SER_hh_fec_in!I26=0,0,11630*1000*SER_hh_fec_in!I26/SER_hh_num_in!I26)</f>
        <v>0</v>
      </c>
      <c r="J26" s="65">
        <f>IF(SER_hh_fec_in!J26=0,0,11630*1000*SER_hh_fec_in!J26/SER_hh_num_in!J26)</f>
        <v>169.39111853768253</v>
      </c>
      <c r="K26" s="65">
        <f>IF(SER_hh_fec_in!K26=0,0,11630*1000*SER_hh_fec_in!K26/SER_hh_num_in!K26)</f>
        <v>177.86257061690208</v>
      </c>
      <c r="L26" s="65">
        <f>IF(SER_hh_fec_in!L26=0,0,11630*1000*SER_hh_fec_in!L26/SER_hh_num_in!L26)</f>
        <v>163.04722683271712</v>
      </c>
      <c r="M26" s="65">
        <f>IF(SER_hh_fec_in!M26=0,0,11630*1000*SER_hh_fec_in!M26/SER_hh_num_in!M26)</f>
        <v>168.77431737583336</v>
      </c>
      <c r="N26" s="65">
        <f>IF(SER_hh_fec_in!N26=0,0,11630*1000*SER_hh_fec_in!N26/SER_hh_num_in!N26)</f>
        <v>4902.141799882952</v>
      </c>
      <c r="O26" s="65">
        <f>IF(SER_hh_fec_in!O26=0,0,11630*1000*SER_hh_fec_in!O26/SER_hh_num_in!O26)</f>
        <v>6005.7300536866169</v>
      </c>
      <c r="P26" s="65">
        <f>IF(SER_hh_fec_in!P26=0,0,11630*1000*SER_hh_fec_in!P26/SER_hh_num_in!P26)</f>
        <v>126.18251626627706</v>
      </c>
      <c r="Q26" s="65">
        <f>IF(SER_hh_fec_in!Q26=0,0,11630*1000*SER_hh_fec_in!Q26/SER_hh_num_in!Q26)</f>
        <v>123.10350130204773</v>
      </c>
      <c r="R26" s="65">
        <f>IF(SER_hh_fec_in!R26=0,0,11630*1000*SER_hh_fec_in!R26/SER_hh_num_in!R26)</f>
        <v>123.27138592064388</v>
      </c>
      <c r="S26" s="65">
        <f>IF(SER_hh_fec_in!S26=0,0,11630*1000*SER_hh_fec_in!S26/SER_hh_num_in!S26)</f>
        <v>121.14826025525728</v>
      </c>
      <c r="T26" s="65">
        <f>IF(SER_hh_fec_in!T26=0,0,11630*1000*SER_hh_fec_in!T26/SER_hh_num_in!T26)</f>
        <v>117.19626640537213</v>
      </c>
      <c r="U26" s="65">
        <f>IF(SER_hh_fec_in!U26=0,0,11630*1000*SER_hh_fec_in!U26/SER_hh_num_in!U26)</f>
        <v>106.67481263598751</v>
      </c>
      <c r="V26" s="65">
        <f>IF(SER_hh_fec_in!V26=0,0,11630*1000*SER_hh_fec_in!V26/SER_hh_num_in!V26)</f>
        <v>106.32937826545491</v>
      </c>
      <c r="W26" s="65">
        <f>IF(SER_hh_fec_in!W26=0,0,11630*1000*SER_hh_fec_in!W26/SER_hh_num_in!W26)</f>
        <v>105.38708530686839</v>
      </c>
      <c r="DA26" s="109" t="s">
        <v>746</v>
      </c>
    </row>
    <row r="27" spans="1:105" ht="12" customHeight="1" x14ac:dyDescent="0.25">
      <c r="A27" s="145" t="s">
        <v>86</v>
      </c>
      <c r="B27" s="148"/>
      <c r="C27" s="146">
        <f>IF(SER_hh_fec_in!C27=0,0,11630*1000*SER_hh_fec_in!C27/SER_hh_num_in!C19)</f>
        <v>6198.0254487936372</v>
      </c>
      <c r="D27" s="146">
        <f>IF(SER_hh_fec_in!D27=0,0,11630*1000*SER_hh_fec_in!D27/SER_hh_num_in!D19)</f>
        <v>9348.5026491728495</v>
      </c>
      <c r="E27" s="146">
        <f>IF(SER_hh_fec_in!E27=0,0,11630*1000*SER_hh_fec_in!E27/SER_hh_num_in!E19)</f>
        <v>8637.3421558042919</v>
      </c>
      <c r="F27" s="146">
        <f>IF(SER_hh_fec_in!F27=0,0,11630*1000*SER_hh_fec_in!F27/SER_hh_num_in!F19)</f>
        <v>8710.6048696673388</v>
      </c>
      <c r="G27" s="146">
        <f>IF(SER_hh_fec_in!G27=0,0,11630*1000*SER_hh_fec_in!G27/SER_hh_num_in!G19)</f>
        <v>8199.9228174924101</v>
      </c>
      <c r="H27" s="146">
        <f>IF(SER_hh_fec_in!H27=0,0,11630*1000*SER_hh_fec_in!H27/SER_hh_num_in!H19)</f>
        <v>9091.1376098208475</v>
      </c>
      <c r="I27" s="146">
        <f>IF(SER_hh_fec_in!I27=0,0,11630*1000*SER_hh_fec_in!I27/SER_hh_num_in!I19)</f>
        <v>6851.5889554313371</v>
      </c>
      <c r="J27" s="146">
        <f>IF(SER_hh_fec_in!J27=0,0,11630*1000*SER_hh_fec_in!J27/SER_hh_num_in!J19)</f>
        <v>6278.2379785999474</v>
      </c>
      <c r="K27" s="146">
        <f>IF(SER_hh_fec_in!K27=0,0,11630*1000*SER_hh_fec_in!K27/SER_hh_num_in!K19)</f>
        <v>9997.615135209955</v>
      </c>
      <c r="L27" s="146">
        <f>IF(SER_hh_fec_in!L27=0,0,11630*1000*SER_hh_fec_in!L27/SER_hh_num_in!L19)</f>
        <v>10065.251377506716</v>
      </c>
      <c r="M27" s="146">
        <f>IF(SER_hh_fec_in!M27=0,0,11630*1000*SER_hh_fec_in!M27/SER_hh_num_in!M19)</f>
        <v>10520.792944765428</v>
      </c>
      <c r="N27" s="146">
        <f>IF(SER_hh_fec_in!N27=0,0,11630*1000*SER_hh_fec_in!N27/SER_hh_num_in!N19)</f>
        <v>7718.0872473575146</v>
      </c>
      <c r="O27" s="146">
        <f>IF(SER_hh_fec_in!O27=0,0,11630*1000*SER_hh_fec_in!O27/SER_hh_num_in!O19)</f>
        <v>7125.4748526647209</v>
      </c>
      <c r="P27" s="146">
        <f>IF(SER_hh_fec_in!P27=0,0,11630*1000*SER_hh_fec_in!P27/SER_hh_num_in!P19)</f>
        <v>13226.061020850209</v>
      </c>
      <c r="Q27" s="146">
        <f>IF(SER_hh_fec_in!Q27=0,0,11630*1000*SER_hh_fec_in!Q27/SER_hh_num_in!Q19)</f>
        <v>12769.33031610648</v>
      </c>
      <c r="R27" s="146">
        <f>IF(SER_hh_fec_in!R27=0,0,11630*1000*SER_hh_fec_in!R27/SER_hh_num_in!R19)</f>
        <v>11895.469610595348</v>
      </c>
      <c r="S27" s="146">
        <f>IF(SER_hh_fec_in!S27=0,0,11630*1000*SER_hh_fec_in!S27/SER_hh_num_in!S19)</f>
        <v>10282.457873213683</v>
      </c>
      <c r="T27" s="146">
        <f>IF(SER_hh_fec_in!T27=0,0,11630*1000*SER_hh_fec_in!T27/SER_hh_num_in!T19)</f>
        <v>9493.354145215917</v>
      </c>
      <c r="U27" s="146">
        <f>IF(SER_hh_fec_in!U27=0,0,11630*1000*SER_hh_fec_in!U27/SER_hh_num_in!U19)</f>
        <v>8596.4859346974645</v>
      </c>
      <c r="V27" s="146">
        <f>IF(SER_hh_fec_in!V27=0,0,11630*1000*SER_hh_fec_in!V27/SER_hh_num_in!V19)</f>
        <v>9087.5394437958694</v>
      </c>
      <c r="W27" s="146">
        <f>IF(SER_hh_fec_in!W27=0,0,11630*1000*SER_hh_fec_in!W27/SER_hh_num_in!W19)</f>
        <v>7159.1448501718842</v>
      </c>
      <c r="DA27" s="159" t="s">
        <v>747</v>
      </c>
    </row>
    <row r="28" spans="1:105" ht="12" customHeight="1" x14ac:dyDescent="0.25">
      <c r="A28" s="78" t="s">
        <v>85</v>
      </c>
      <c r="B28" s="68"/>
      <c r="C28" s="147">
        <f>IF(SER_hh_fec_in!C27=0,0,11630*1000*SER_hh_fec_in!C27/SER_hh_num_in!C27)</f>
        <v>10136.597987895364</v>
      </c>
      <c r="D28" s="147">
        <f>IF(SER_hh_fec_in!D27=0,0,11630*1000*SER_hh_fec_in!D27/SER_hh_num_in!D27)</f>
        <v>9348.5026491728495</v>
      </c>
      <c r="E28" s="147">
        <f>IF(SER_hh_fec_in!E27=0,0,11630*1000*SER_hh_fec_in!E27/SER_hh_num_in!E27)</f>
        <v>8746.4197621677449</v>
      </c>
      <c r="F28" s="147">
        <f>IF(SER_hh_fec_in!F27=0,0,11630*1000*SER_hh_fec_in!F27/SER_hh_num_in!F27)</f>
        <v>8846.0746340597925</v>
      </c>
      <c r="G28" s="147">
        <f>IF(SER_hh_fec_in!G27=0,0,11630*1000*SER_hh_fec_in!G27/SER_hh_num_in!G27)</f>
        <v>8287.0600824726389</v>
      </c>
      <c r="H28" s="147">
        <f>IF(SER_hh_fec_in!H27=0,0,11630*1000*SER_hh_fec_in!H27/SER_hh_num_in!H27)</f>
        <v>9180.7749921011746</v>
      </c>
      <c r="I28" s="147">
        <f>IF(SER_hh_fec_in!I27=0,0,11630*1000*SER_hh_fec_in!I27/SER_hh_num_in!I27)</f>
        <v>6851.5889554313362</v>
      </c>
      <c r="J28" s="147">
        <f>IF(SER_hh_fec_in!J27=0,0,11630*1000*SER_hh_fec_in!J27/SER_hh_num_in!J27)</f>
        <v>6278.2379785999492</v>
      </c>
      <c r="K28" s="147">
        <f>IF(SER_hh_fec_in!K27=0,0,11630*1000*SER_hh_fec_in!K27/SER_hh_num_in!K27)</f>
        <v>10570.221388220592</v>
      </c>
      <c r="L28" s="147">
        <f>IF(SER_hh_fec_in!L27=0,0,11630*1000*SER_hh_fec_in!L27/SER_hh_num_in!L27)</f>
        <v>10841.591721945888</v>
      </c>
      <c r="M28" s="147">
        <f>IF(SER_hh_fec_in!M27=0,0,11630*1000*SER_hh_fec_in!M27/SER_hh_num_in!M27)</f>
        <v>10751.072556541274</v>
      </c>
      <c r="N28" s="147">
        <f>IF(SER_hh_fec_in!N27=0,0,11630*1000*SER_hh_fec_in!N27/SER_hh_num_in!N27)</f>
        <v>11601.160901389185</v>
      </c>
      <c r="O28" s="147">
        <f>IF(SER_hh_fec_in!O27=0,0,11630*1000*SER_hh_fec_in!O27/SER_hh_num_in!O27)</f>
        <v>13459.177541918953</v>
      </c>
      <c r="P28" s="147">
        <f>IF(SER_hh_fec_in!P27=0,0,11630*1000*SER_hh_fec_in!P27/SER_hh_num_in!P27)</f>
        <v>13484.144082007519</v>
      </c>
      <c r="Q28" s="147">
        <f>IF(SER_hh_fec_in!Q27=0,0,11630*1000*SER_hh_fec_in!Q27/SER_hh_num_in!Q27)</f>
        <v>12769.330316106481</v>
      </c>
      <c r="R28" s="147">
        <f>IF(SER_hh_fec_in!R27=0,0,11630*1000*SER_hh_fec_in!R27/SER_hh_num_in!R27)</f>
        <v>12063.35486361955</v>
      </c>
      <c r="S28" s="147">
        <f>IF(SER_hh_fec_in!S27=0,0,11630*1000*SER_hh_fec_in!S27/SER_hh_num_in!S27)</f>
        <v>10282.457873213683</v>
      </c>
      <c r="T28" s="147">
        <f>IF(SER_hh_fec_in!T27=0,0,11630*1000*SER_hh_fec_in!T27/SER_hh_num_in!T27)</f>
        <v>10854.829860965998</v>
      </c>
      <c r="U28" s="147">
        <f>IF(SER_hh_fec_in!U27=0,0,11630*1000*SER_hh_fec_in!U27/SER_hh_num_in!U27)</f>
        <v>10341.531395914342</v>
      </c>
      <c r="V28" s="147">
        <f>IF(SER_hh_fec_in!V27=0,0,11630*1000*SER_hh_fec_in!V27/SER_hh_num_in!V27)</f>
        <v>9341.1850675502101</v>
      </c>
      <c r="W28" s="147">
        <f>IF(SER_hh_fec_in!W27=0,0,11630*1000*SER_hh_fec_in!W27/SER_hh_num_in!W27)</f>
        <v>8937.647856257583</v>
      </c>
      <c r="DA28" s="160"/>
    </row>
    <row r="29" spans="1:105" ht="12.95" customHeight="1" x14ac:dyDescent="0.25">
      <c r="A29" s="130" t="s">
        <v>34</v>
      </c>
      <c r="B29" s="131"/>
      <c r="C29" s="131">
        <f>IF(SER_hh_fec_in!C29=0,0,11630*1000*SER_hh_fec_in!C29/SER_hh_num_in!C29)</f>
        <v>15045.789981093034</v>
      </c>
      <c r="D29" s="131">
        <f>IF(SER_hh_fec_in!D29=0,0,11630*1000*SER_hh_fec_in!D29/SER_hh_num_in!D29)</f>
        <v>15665.44960658926</v>
      </c>
      <c r="E29" s="131">
        <f>IF(SER_hh_fec_in!E29=0,0,11630*1000*SER_hh_fec_in!E29/SER_hh_num_in!E29)</f>
        <v>15417.141463259515</v>
      </c>
      <c r="F29" s="131">
        <f>IF(SER_hh_fec_in!F29=0,0,11630*1000*SER_hh_fec_in!F29/SER_hh_num_in!F29)</f>
        <v>15816.813109760209</v>
      </c>
      <c r="G29" s="131">
        <f>IF(SER_hh_fec_in!G29=0,0,11630*1000*SER_hh_fec_in!G29/SER_hh_num_in!G29)</f>
        <v>16291.872287961338</v>
      </c>
      <c r="H29" s="131">
        <f>IF(SER_hh_fec_in!H29=0,0,11630*1000*SER_hh_fec_in!H29/SER_hh_num_in!H29)</f>
        <v>26397.23133152433</v>
      </c>
      <c r="I29" s="131">
        <f>IF(SER_hh_fec_in!I29=0,0,11630*1000*SER_hh_fec_in!I29/SER_hh_num_in!I29)</f>
        <v>19036.349764339961</v>
      </c>
      <c r="J29" s="131">
        <f>IF(SER_hh_fec_in!J29=0,0,11630*1000*SER_hh_fec_in!J29/SER_hh_num_in!J29)</f>
        <v>16956.928821912712</v>
      </c>
      <c r="K29" s="131">
        <f>IF(SER_hh_fec_in!K29=0,0,11630*1000*SER_hh_fec_in!K29/SER_hh_num_in!K29)</f>
        <v>16080.997533796786</v>
      </c>
      <c r="L29" s="131">
        <f>IF(SER_hh_fec_in!L29=0,0,11630*1000*SER_hh_fec_in!L29/SER_hh_num_in!L29)</f>
        <v>15994.236275798256</v>
      </c>
      <c r="M29" s="131">
        <f>IF(SER_hh_fec_in!M29=0,0,11630*1000*SER_hh_fec_in!M29/SER_hh_num_in!M29)</f>
        <v>16811.074101087124</v>
      </c>
      <c r="N29" s="131">
        <f>IF(SER_hh_fec_in!N29=0,0,11630*1000*SER_hh_fec_in!N29/SER_hh_num_in!N29)</f>
        <v>16335.682106015514</v>
      </c>
      <c r="O29" s="131">
        <f>IF(SER_hh_fec_in!O29=0,0,11630*1000*SER_hh_fec_in!O29/SER_hh_num_in!O29)</f>
        <v>16160.565599058251</v>
      </c>
      <c r="P29" s="131">
        <f>IF(SER_hh_fec_in!P29=0,0,11630*1000*SER_hh_fec_in!P29/SER_hh_num_in!P29)</f>
        <v>16503.092889200008</v>
      </c>
      <c r="Q29" s="131">
        <f>IF(SER_hh_fec_in!Q29=0,0,11630*1000*SER_hh_fec_in!Q29/SER_hh_num_in!Q29)</f>
        <v>17413.552960134399</v>
      </c>
      <c r="R29" s="131">
        <f>IF(SER_hh_fec_in!R29=0,0,11630*1000*SER_hh_fec_in!R29/SER_hh_num_in!R29)</f>
        <v>16841.6752618227</v>
      </c>
      <c r="S29" s="131">
        <f>IF(SER_hh_fec_in!S29=0,0,11630*1000*SER_hh_fec_in!S29/SER_hh_num_in!S29)</f>
        <v>18852.872047196237</v>
      </c>
      <c r="T29" s="131">
        <f>IF(SER_hh_fec_in!T29=0,0,11630*1000*SER_hh_fec_in!T29/SER_hh_num_in!T29)</f>
        <v>17394.15303773784</v>
      </c>
      <c r="U29" s="131">
        <f>IF(SER_hh_fec_in!U29=0,0,11630*1000*SER_hh_fec_in!U29/SER_hh_num_in!U29)</f>
        <v>15331.713876446762</v>
      </c>
      <c r="V29" s="131">
        <f>IF(SER_hh_fec_in!V29=0,0,11630*1000*SER_hh_fec_in!V29/SER_hh_num_in!V29)</f>
        <v>14155.413015367365</v>
      </c>
      <c r="W29" s="131">
        <f>IF(SER_hh_fec_in!W29=0,0,11630*1000*SER_hh_fec_in!W29/SER_hh_num_in!W29)</f>
        <v>14170.024184306561</v>
      </c>
      <c r="DA29" s="156" t="s">
        <v>748</v>
      </c>
    </row>
    <row r="30" spans="1:105" s="2" customFormat="1" ht="12" customHeight="1" x14ac:dyDescent="0.25">
      <c r="A30" s="132" t="s">
        <v>52</v>
      </c>
      <c r="B30" s="133"/>
      <c r="C30" s="133">
        <f>IF(SER_hh_fec_in!C30=0,0,11630*1000*SER_hh_fec_in!C30/SER_hh_num_in!C30)</f>
        <v>0</v>
      </c>
      <c r="D30" s="133">
        <f>IF(SER_hh_fec_in!D30=0,0,11630*1000*SER_hh_fec_in!D30/SER_hh_num_in!D30)</f>
        <v>0</v>
      </c>
      <c r="E30" s="133">
        <f>IF(SER_hh_fec_in!E30=0,0,11630*1000*SER_hh_fec_in!E30/SER_hh_num_in!E30)</f>
        <v>0</v>
      </c>
      <c r="F30" s="133">
        <f>IF(SER_hh_fec_in!F30=0,0,11630*1000*SER_hh_fec_in!F30/SER_hh_num_in!F30)</f>
        <v>0</v>
      </c>
      <c r="G30" s="133">
        <f>IF(SER_hh_fec_in!G30=0,0,11630*1000*SER_hh_fec_in!G30/SER_hh_num_in!G30)</f>
        <v>0</v>
      </c>
      <c r="H30" s="133">
        <f>IF(SER_hh_fec_in!H30=0,0,11630*1000*SER_hh_fec_in!H30/SER_hh_num_in!H30)</f>
        <v>27548.01929114759</v>
      </c>
      <c r="I30" s="133">
        <f>IF(SER_hh_fec_in!I30=0,0,11630*1000*SER_hh_fec_in!I30/SER_hh_num_in!I30)</f>
        <v>21061.306371005499</v>
      </c>
      <c r="J30" s="133">
        <f>IF(SER_hh_fec_in!J30=0,0,11630*1000*SER_hh_fec_in!J30/SER_hh_num_in!J30)</f>
        <v>21972.80051733142</v>
      </c>
      <c r="K30" s="133">
        <f>IF(SER_hh_fec_in!K30=0,0,11630*1000*SER_hh_fec_in!K30/SER_hh_num_in!K30)</f>
        <v>0</v>
      </c>
      <c r="L30" s="133">
        <f>IF(SER_hh_fec_in!L30=0,0,11630*1000*SER_hh_fec_in!L30/SER_hh_num_in!L30)</f>
        <v>17155.330313326347</v>
      </c>
      <c r="M30" s="133">
        <f>IF(SER_hh_fec_in!M30=0,0,11630*1000*SER_hh_fec_in!M30/SER_hh_num_in!M30)</f>
        <v>20562.742137868736</v>
      </c>
      <c r="N30" s="133">
        <f>IF(SER_hh_fec_in!N30=0,0,11630*1000*SER_hh_fec_in!N30/SER_hh_num_in!N30)</f>
        <v>21231.265245474577</v>
      </c>
      <c r="O30" s="133">
        <f>IF(SER_hh_fec_in!O30=0,0,11630*1000*SER_hh_fec_in!O30/SER_hh_num_in!O30)</f>
        <v>19745.47199131544</v>
      </c>
      <c r="P30" s="133">
        <f>IF(SER_hh_fec_in!P30=0,0,11630*1000*SER_hh_fec_in!P30/SER_hh_num_in!P30)</f>
        <v>17278.748352274324</v>
      </c>
      <c r="Q30" s="133">
        <f>IF(SER_hh_fec_in!Q30=0,0,11630*1000*SER_hh_fec_in!Q30/SER_hh_num_in!Q30)</f>
        <v>19744.172339923265</v>
      </c>
      <c r="R30" s="133">
        <f>IF(SER_hh_fec_in!R30=0,0,11630*1000*SER_hh_fec_in!R30/SER_hh_num_in!R30)</f>
        <v>17588.46209127457</v>
      </c>
      <c r="S30" s="133">
        <f>IF(SER_hh_fec_in!S30=0,0,11630*1000*SER_hh_fec_in!S30/SER_hh_num_in!S30)</f>
        <v>20276.396451644308</v>
      </c>
      <c r="T30" s="133">
        <f>IF(SER_hh_fec_in!T30=0,0,11630*1000*SER_hh_fec_in!T30/SER_hh_num_in!T30)</f>
        <v>21045.269136677336</v>
      </c>
      <c r="U30" s="133">
        <f>IF(SER_hh_fec_in!U30=0,0,11630*1000*SER_hh_fec_in!U30/SER_hh_num_in!U30)</f>
        <v>26641.130219110473</v>
      </c>
      <c r="V30" s="133">
        <f>IF(SER_hh_fec_in!V30=0,0,11630*1000*SER_hh_fec_in!V30/SER_hh_num_in!V30)</f>
        <v>18631.805670898764</v>
      </c>
      <c r="W30" s="133">
        <f>IF(SER_hh_fec_in!W30=0,0,11630*1000*SER_hh_fec_in!W30/SER_hh_num_in!W30)</f>
        <v>16352.908804202954</v>
      </c>
      <c r="DA30" s="157" t="s">
        <v>749</v>
      </c>
    </row>
    <row r="31" spans="1:105" ht="12" customHeight="1" x14ac:dyDescent="0.25">
      <c r="A31" s="132" t="s">
        <v>153</v>
      </c>
      <c r="B31" s="133"/>
      <c r="C31" s="133">
        <f>IF(SER_hh_fec_in!C31=0,0,11630*1000*SER_hh_fec_in!C31/SER_hh_num_in!C31)</f>
        <v>0</v>
      </c>
      <c r="D31" s="133">
        <f>IF(SER_hh_fec_in!D31=0,0,11630*1000*SER_hh_fec_in!D31/SER_hh_num_in!D31)</f>
        <v>0</v>
      </c>
      <c r="E31" s="133">
        <f>IF(SER_hh_fec_in!E31=0,0,11630*1000*SER_hh_fec_in!E31/SER_hh_num_in!E31)</f>
        <v>0</v>
      </c>
      <c r="F31" s="133">
        <f>IF(SER_hh_fec_in!F31=0,0,11630*1000*SER_hh_fec_in!F31/SER_hh_num_in!F31)</f>
        <v>0</v>
      </c>
      <c r="G31" s="133">
        <f>IF(SER_hh_fec_in!G31=0,0,11630*1000*SER_hh_fec_in!G31/SER_hh_num_in!G31)</f>
        <v>0</v>
      </c>
      <c r="H31" s="133">
        <f>IF(SER_hh_fec_in!H31=0,0,11630*1000*SER_hh_fec_in!H31/SER_hh_num_in!H31)</f>
        <v>0</v>
      </c>
      <c r="I31" s="133">
        <f>IF(SER_hh_fec_in!I31=0,0,11630*1000*SER_hh_fec_in!I31/SER_hh_num_in!I31)</f>
        <v>0</v>
      </c>
      <c r="J31" s="133">
        <f>IF(SER_hh_fec_in!J31=0,0,11630*1000*SER_hh_fec_in!J31/SER_hh_num_in!J31)</f>
        <v>0</v>
      </c>
      <c r="K31" s="133">
        <f>IF(SER_hh_fec_in!K31=0,0,11630*1000*SER_hh_fec_in!K31/SER_hh_num_in!K31)</f>
        <v>0</v>
      </c>
      <c r="L31" s="133">
        <f>IF(SER_hh_fec_in!L31=0,0,11630*1000*SER_hh_fec_in!L31/SER_hh_num_in!L31)</f>
        <v>0</v>
      </c>
      <c r="M31" s="133">
        <f>IF(SER_hh_fec_in!M31=0,0,11630*1000*SER_hh_fec_in!M31/SER_hh_num_in!M31)</f>
        <v>0</v>
      </c>
      <c r="N31" s="133">
        <f>IF(SER_hh_fec_in!N31=0,0,11630*1000*SER_hh_fec_in!N31/SER_hh_num_in!N31)</f>
        <v>0</v>
      </c>
      <c r="O31" s="133">
        <f>IF(SER_hh_fec_in!O31=0,0,11630*1000*SER_hh_fec_in!O31/SER_hh_num_in!O31)</f>
        <v>0</v>
      </c>
      <c r="P31" s="133">
        <f>IF(SER_hh_fec_in!P31=0,0,11630*1000*SER_hh_fec_in!P31/SER_hh_num_in!P31)</f>
        <v>0</v>
      </c>
      <c r="Q31" s="133">
        <f>IF(SER_hh_fec_in!Q31=0,0,11630*1000*SER_hh_fec_in!Q31/SER_hh_num_in!Q31)</f>
        <v>0</v>
      </c>
      <c r="R31" s="133">
        <f>IF(SER_hh_fec_in!R31=0,0,11630*1000*SER_hh_fec_in!R31/SER_hh_num_in!R31)</f>
        <v>0</v>
      </c>
      <c r="S31" s="133">
        <f>IF(SER_hh_fec_in!S31=0,0,11630*1000*SER_hh_fec_in!S31/SER_hh_num_in!S31)</f>
        <v>0</v>
      </c>
      <c r="T31" s="133">
        <f>IF(SER_hh_fec_in!T31=0,0,11630*1000*SER_hh_fec_in!T31/SER_hh_num_in!T31)</f>
        <v>0</v>
      </c>
      <c r="U31" s="133">
        <f>IF(SER_hh_fec_in!U31=0,0,11630*1000*SER_hh_fec_in!U31/SER_hh_num_in!U31)</f>
        <v>0</v>
      </c>
      <c r="V31" s="133">
        <f>IF(SER_hh_fec_in!V31=0,0,11630*1000*SER_hh_fec_in!V31/SER_hh_num_in!V31)</f>
        <v>0</v>
      </c>
      <c r="W31" s="133">
        <f>IF(SER_hh_fec_in!W31=0,0,11630*1000*SER_hh_fec_in!W31/SER_hh_num_in!W31)</f>
        <v>0</v>
      </c>
      <c r="DA31" s="157" t="s">
        <v>750</v>
      </c>
    </row>
    <row r="32" spans="1:105" ht="12" customHeight="1" x14ac:dyDescent="0.25">
      <c r="A32" s="132" t="s">
        <v>128</v>
      </c>
      <c r="B32" s="133"/>
      <c r="C32" s="133">
        <f>IF(SER_hh_fec_in!C32=0,0,11630*1000*SER_hh_fec_in!C32/SER_hh_num_in!C32)</f>
        <v>18123.266261771645</v>
      </c>
      <c r="D32" s="133">
        <f>IF(SER_hh_fec_in!D32=0,0,11630*1000*SER_hh_fec_in!D32/SER_hh_num_in!D32)</f>
        <v>21495.390566187227</v>
      </c>
      <c r="E32" s="133">
        <f>IF(SER_hh_fec_in!E32=0,0,11630*1000*SER_hh_fec_in!E32/SER_hh_num_in!E32)</f>
        <v>19131.974417989641</v>
      </c>
      <c r="F32" s="133">
        <f>IF(SER_hh_fec_in!F32=0,0,11630*1000*SER_hh_fec_in!F32/SER_hh_num_in!F32)</f>
        <v>19992.44121679672</v>
      </c>
      <c r="G32" s="133">
        <f>IF(SER_hh_fec_in!G32=0,0,11630*1000*SER_hh_fec_in!G32/SER_hh_num_in!G32)</f>
        <v>21454.615917575353</v>
      </c>
      <c r="H32" s="133">
        <f>IF(SER_hh_fec_in!H32=0,0,11630*1000*SER_hh_fec_in!H32/SER_hh_num_in!H32)</f>
        <v>19013.027550022642</v>
      </c>
      <c r="I32" s="133">
        <f>IF(SER_hh_fec_in!I32=0,0,11630*1000*SER_hh_fec_in!I32/SER_hh_num_in!I32)</f>
        <v>23036.301302864631</v>
      </c>
      <c r="J32" s="133">
        <f>IF(SER_hh_fec_in!J32=0,0,11630*1000*SER_hh_fec_in!J32/SER_hh_num_in!J32)</f>
        <v>21806.545914663919</v>
      </c>
      <c r="K32" s="133">
        <f>IF(SER_hh_fec_in!K32=0,0,11630*1000*SER_hh_fec_in!K32/SER_hh_num_in!K32)</f>
        <v>20926.19175002454</v>
      </c>
      <c r="L32" s="133">
        <f>IF(SER_hh_fec_in!L32=0,0,11630*1000*SER_hh_fec_in!L32/SER_hh_num_in!L32)</f>
        <v>20862.090948581121</v>
      </c>
      <c r="M32" s="133">
        <f>IF(SER_hh_fec_in!M32=0,0,11630*1000*SER_hh_fec_in!M32/SER_hh_num_in!M32)</f>
        <v>20821.034337618326</v>
      </c>
      <c r="N32" s="133">
        <f>IF(SER_hh_fec_in!N32=0,0,11630*1000*SER_hh_fec_in!N32/SER_hh_num_in!N32)</f>
        <v>20842.484812245588</v>
      </c>
      <c r="O32" s="133">
        <f>IF(SER_hh_fec_in!O32=0,0,11630*1000*SER_hh_fec_in!O32/SER_hh_num_in!O32)</f>
        <v>20945.908813684382</v>
      </c>
      <c r="P32" s="133">
        <f>IF(SER_hh_fec_in!P32=0,0,11630*1000*SER_hh_fec_in!P32/SER_hh_num_in!P32)</f>
        <v>21129.475512881985</v>
      </c>
      <c r="Q32" s="133">
        <f>IF(SER_hh_fec_in!Q32=0,0,11630*1000*SER_hh_fec_in!Q32/SER_hh_num_in!Q32)</f>
        <v>20734.417711146849</v>
      </c>
      <c r="R32" s="133">
        <f>IF(SER_hh_fec_in!R32=0,0,11630*1000*SER_hh_fec_in!R32/SER_hh_num_in!R32)</f>
        <v>20695.194519144734</v>
      </c>
      <c r="S32" s="133">
        <f>IF(SER_hh_fec_in!S32=0,0,11630*1000*SER_hh_fec_in!S32/SER_hh_num_in!S32)</f>
        <v>20245.589933321382</v>
      </c>
      <c r="T32" s="133">
        <f>IF(SER_hh_fec_in!T32=0,0,11630*1000*SER_hh_fec_in!T32/SER_hh_num_in!T32)</f>
        <v>19267.984066311801</v>
      </c>
      <c r="U32" s="133">
        <f>IF(SER_hh_fec_in!U32=0,0,11630*1000*SER_hh_fec_in!U32/SER_hh_num_in!U32)</f>
        <v>22007.545292900581</v>
      </c>
      <c r="V32" s="133">
        <f>IF(SER_hh_fec_in!V32=0,0,11630*1000*SER_hh_fec_in!V32/SER_hh_num_in!V32)</f>
        <v>20737.475769584857</v>
      </c>
      <c r="W32" s="133">
        <f>IF(SER_hh_fec_in!W32=0,0,11630*1000*SER_hh_fec_in!W32/SER_hh_num_in!W32)</f>
        <v>13861.19357467263</v>
      </c>
      <c r="DA32" s="157" t="s">
        <v>751</v>
      </c>
    </row>
    <row r="33" spans="1:105" ht="12" customHeight="1" x14ac:dyDescent="0.25">
      <c r="A33" s="62" t="s">
        <v>24</v>
      </c>
      <c r="B33" s="68"/>
      <c r="C33" s="68">
        <f>IF(SER_hh_fec_in!C33=0,0,11630*1000*SER_hh_fec_in!C33/SER_hh_num_in!C33)</f>
        <v>14688.960651848793</v>
      </c>
      <c r="D33" s="68">
        <f>IF(SER_hh_fec_in!D33=0,0,11630*1000*SER_hh_fec_in!D33/SER_hh_num_in!D33)</f>
        <v>14550.711195028738</v>
      </c>
      <c r="E33" s="68">
        <f>IF(SER_hh_fec_in!E33=0,0,11630*1000*SER_hh_fec_in!E33/SER_hh_num_in!E33)</f>
        <v>14827.717399918996</v>
      </c>
      <c r="F33" s="68">
        <f>IF(SER_hh_fec_in!F33=0,0,11630*1000*SER_hh_fec_in!F33/SER_hh_num_in!F33)</f>
        <v>15061.535874345123</v>
      </c>
      <c r="G33" s="68">
        <f>IF(SER_hh_fec_in!G33=0,0,11630*1000*SER_hh_fec_in!G33/SER_hh_num_in!G33)</f>
        <v>15130.146055908168</v>
      </c>
      <c r="H33" s="68">
        <f>IF(SER_hh_fec_in!H33=0,0,11630*1000*SER_hh_fec_in!H33/SER_hh_num_in!H33)</f>
        <v>0</v>
      </c>
      <c r="I33" s="68">
        <f>IF(SER_hh_fec_in!I33=0,0,11630*1000*SER_hh_fec_in!I33/SER_hh_num_in!I33)</f>
        <v>14747.132357198332</v>
      </c>
      <c r="J33" s="68">
        <f>IF(SER_hh_fec_in!J33=0,0,11630*1000*SER_hh_fec_in!J33/SER_hh_num_in!J33)</f>
        <v>14926.692910325035</v>
      </c>
      <c r="K33" s="68">
        <f>IF(SER_hh_fec_in!K33=0,0,11630*1000*SER_hh_fec_in!K33/SER_hh_num_in!K33)</f>
        <v>15604.895535908317</v>
      </c>
      <c r="L33" s="68">
        <f>IF(SER_hh_fec_in!L33=0,0,11630*1000*SER_hh_fec_in!L33/SER_hh_num_in!L33)</f>
        <v>15522.072666767468</v>
      </c>
      <c r="M33" s="68">
        <f>IF(SER_hh_fec_in!M33=0,0,11630*1000*SER_hh_fec_in!M33/SER_hh_num_in!M33)</f>
        <v>14785.447599077024</v>
      </c>
      <c r="N33" s="68">
        <f>IF(SER_hh_fec_in!N33=0,0,11630*1000*SER_hh_fec_in!N33/SER_hh_num_in!N33)</f>
        <v>14689.326061032061</v>
      </c>
      <c r="O33" s="68">
        <f>IF(SER_hh_fec_in!O33=0,0,11630*1000*SER_hh_fec_in!O33/SER_hh_num_in!O33)</f>
        <v>14882.490327580235</v>
      </c>
      <c r="P33" s="68">
        <f>IF(SER_hh_fec_in!P33=0,0,11630*1000*SER_hh_fec_in!P33/SER_hh_num_in!P33)</f>
        <v>15444.119003906755</v>
      </c>
      <c r="Q33" s="68">
        <f>IF(SER_hh_fec_in!Q33=0,0,11630*1000*SER_hh_fec_in!Q33/SER_hh_num_in!Q33)</f>
        <v>14824.584493635502</v>
      </c>
      <c r="R33" s="68">
        <f>IF(SER_hh_fec_in!R33=0,0,11630*1000*SER_hh_fec_in!R33/SER_hh_num_in!R33)</f>
        <v>15055.887363594466</v>
      </c>
      <c r="S33" s="68">
        <f>IF(SER_hh_fec_in!S33=0,0,11630*1000*SER_hh_fec_in!S33/SER_hh_num_in!S33)</f>
        <v>14032.308043600997</v>
      </c>
      <c r="T33" s="68">
        <f>IF(SER_hh_fec_in!T33=0,0,11630*1000*SER_hh_fec_in!T33/SER_hh_num_in!T33)</f>
        <v>13916.406100860708</v>
      </c>
      <c r="U33" s="68">
        <f>IF(SER_hh_fec_in!U33=0,0,11630*1000*SER_hh_fec_in!U33/SER_hh_num_in!U33)</f>
        <v>11538.91173207145</v>
      </c>
      <c r="V33" s="68">
        <f>IF(SER_hh_fec_in!V33=0,0,11630*1000*SER_hh_fec_in!V33/SER_hh_num_in!V33)</f>
        <v>11621.023825413364</v>
      </c>
      <c r="W33" s="68">
        <f>IF(SER_hh_fec_in!W33=0,0,11630*1000*SER_hh_fec_in!W33/SER_hh_num_in!W33)</f>
        <v>14065.437168323084</v>
      </c>
      <c r="DA33" s="111" t="s">
        <v>752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753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88</v>
      </c>
      <c r="B3" s="126"/>
      <c r="C3" s="126">
        <f>IF(SER_hh_tes_in!C3=0,0,11630*1000*SER_hh_tes_in!C3/SER_hh_num_in!C3)</f>
        <v>109639.83769972295</v>
      </c>
      <c r="D3" s="126">
        <f>IF(SER_hh_tes_in!D3=0,0,11630*1000*SER_hh_tes_in!D3/SER_hh_num_in!D3)</f>
        <v>110584.81067690188</v>
      </c>
      <c r="E3" s="126">
        <f>IF(SER_hh_tes_in!E3=0,0,11630*1000*SER_hh_tes_in!E3/SER_hh_num_in!E3)</f>
        <v>115101.09383271182</v>
      </c>
      <c r="F3" s="126">
        <f>IF(SER_hh_tes_in!F3=0,0,11630*1000*SER_hh_tes_in!F3/SER_hh_num_in!F3)</f>
        <v>103793.90553010101</v>
      </c>
      <c r="G3" s="126">
        <f>IF(SER_hh_tes_in!G3=0,0,11630*1000*SER_hh_tes_in!G3/SER_hh_num_in!G3)</f>
        <v>100437.97696037541</v>
      </c>
      <c r="H3" s="126">
        <f>IF(SER_hh_tes_in!H3=0,0,11630*1000*SER_hh_tes_in!H3/SER_hh_num_in!H3)</f>
        <v>126900.48168761846</v>
      </c>
      <c r="I3" s="126">
        <f>IF(SER_hh_tes_in!I3=0,0,11630*1000*SER_hh_tes_in!I3/SER_hh_num_in!I3)</f>
        <v>127483.16429823865</v>
      </c>
      <c r="J3" s="126">
        <f>IF(SER_hh_tes_in!J3=0,0,11630*1000*SER_hh_tes_in!J3/SER_hh_num_in!J3)</f>
        <v>132149.92920123658</v>
      </c>
      <c r="K3" s="126">
        <f>IF(SER_hh_tes_in!K3=0,0,11630*1000*SER_hh_tes_in!K3/SER_hh_num_in!K3)</f>
        <v>126577.56070724824</v>
      </c>
      <c r="L3" s="126">
        <f>IF(SER_hh_tes_in!L3=0,0,11630*1000*SER_hh_tes_in!L3/SER_hh_num_in!L3)</f>
        <v>129073.30628480375</v>
      </c>
      <c r="M3" s="126">
        <f>IF(SER_hh_tes_in!M3=0,0,11630*1000*SER_hh_tes_in!M3/SER_hh_num_in!M3)</f>
        <v>113121.5057491784</v>
      </c>
      <c r="N3" s="126">
        <f>IF(SER_hh_tes_in!N3=0,0,11630*1000*SER_hh_tes_in!N3/SER_hh_num_in!N3)</f>
        <v>124365.53296332411</v>
      </c>
      <c r="O3" s="126">
        <f>IF(SER_hh_tes_in!O3=0,0,11630*1000*SER_hh_tes_in!O3/SER_hh_num_in!O3)</f>
        <v>119042.52843142065</v>
      </c>
      <c r="P3" s="126">
        <f>IF(SER_hh_tes_in!P3=0,0,11630*1000*SER_hh_tes_in!P3/SER_hh_num_in!P3)</f>
        <v>111129.21031763927</v>
      </c>
      <c r="Q3" s="126">
        <f>IF(SER_hh_tes_in!Q3=0,0,11630*1000*SER_hh_tes_in!Q3/SER_hh_num_in!Q3)</f>
        <v>115369.86313021809</v>
      </c>
      <c r="R3" s="126">
        <f>IF(SER_hh_tes_in!R3=0,0,11630*1000*SER_hh_tes_in!R3/SER_hh_num_in!R3)</f>
        <v>125238.6658525902</v>
      </c>
      <c r="S3" s="126">
        <f>IF(SER_hh_tes_in!S3=0,0,11630*1000*SER_hh_tes_in!S3/SER_hh_num_in!S3)</f>
        <v>120286.66937824468</v>
      </c>
      <c r="T3" s="126">
        <f>IF(SER_hh_tes_in!T3=0,0,11630*1000*SER_hh_tes_in!T3/SER_hh_num_in!T3)</f>
        <v>132196.58475441451</v>
      </c>
      <c r="U3" s="126">
        <f>IF(SER_hh_tes_in!U3=0,0,11630*1000*SER_hh_tes_in!U3/SER_hh_num_in!U3)</f>
        <v>119683.42886199646</v>
      </c>
      <c r="V3" s="126">
        <f>IF(SER_hh_tes_in!V3=0,0,11630*1000*SER_hh_tes_in!V3/SER_hh_num_in!V3)</f>
        <v>108836.93711379642</v>
      </c>
      <c r="W3" s="126">
        <f>IF(SER_hh_tes_in!W3=0,0,11630*1000*SER_hh_tes_in!W3/SER_hh_num_in!W3)</f>
        <v>101437.50137127194</v>
      </c>
      <c r="DA3" s="155" t="s">
        <v>754</v>
      </c>
    </row>
    <row r="4" spans="1:105" ht="12.95" customHeight="1" x14ac:dyDescent="0.25">
      <c r="A4" s="130" t="s">
        <v>32</v>
      </c>
      <c r="B4" s="131"/>
      <c r="C4" s="131">
        <f>IF(SER_hh_tes_in!C4=0,0,11630*1000*SER_hh_tes_in!C4/SER_hh_num_in!C4)</f>
        <v>13674.14447142151</v>
      </c>
      <c r="D4" s="131">
        <f>IF(SER_hh_tes_in!D4=0,0,11630*1000*SER_hh_tes_in!D4/SER_hh_num_in!D4)</f>
        <v>16938.959336464257</v>
      </c>
      <c r="E4" s="131">
        <f>IF(SER_hh_tes_in!E4=0,0,11630*1000*SER_hh_tes_in!E4/SER_hh_num_in!E4)</f>
        <v>15798.400388579583</v>
      </c>
      <c r="F4" s="131">
        <f>IF(SER_hh_tes_in!F4=0,0,11630*1000*SER_hh_tes_in!F4/SER_hh_num_in!F4)</f>
        <v>17304.532803799138</v>
      </c>
      <c r="G4" s="131">
        <f>IF(SER_hh_tes_in!G4=0,0,11630*1000*SER_hh_tes_in!G4/SER_hh_num_in!G4)</f>
        <v>19108.327578618813</v>
      </c>
      <c r="H4" s="131">
        <f>IF(SER_hh_tes_in!H4=0,0,11630*1000*SER_hh_tes_in!H4/SER_hh_num_in!H4)</f>
        <v>27159.81850435086</v>
      </c>
      <c r="I4" s="131">
        <f>IF(SER_hh_tes_in!I4=0,0,11630*1000*SER_hh_tes_in!I4/SER_hh_num_in!I4)</f>
        <v>26282.6499622667</v>
      </c>
      <c r="J4" s="131">
        <f>IF(SER_hh_tes_in!J4=0,0,11630*1000*SER_hh_tes_in!J4/SER_hh_num_in!J4)</f>
        <v>31181.924974528334</v>
      </c>
      <c r="K4" s="131">
        <f>IF(SER_hh_tes_in!K4=0,0,11630*1000*SER_hh_tes_in!K4/SER_hh_num_in!K4)</f>
        <v>30410.088860117081</v>
      </c>
      <c r="L4" s="131">
        <f>IF(SER_hh_tes_in!L4=0,0,11630*1000*SER_hh_tes_in!L4/SER_hh_num_in!L4)</f>
        <v>30066.275491584482</v>
      </c>
      <c r="M4" s="131">
        <f>IF(SER_hh_tes_in!M4=0,0,11630*1000*SER_hh_tes_in!M4/SER_hh_num_in!M4)</f>
        <v>25589.022826685788</v>
      </c>
      <c r="N4" s="131">
        <f>IF(SER_hh_tes_in!N4=0,0,11630*1000*SER_hh_tes_in!N4/SER_hh_num_in!N4)</f>
        <v>23946.869384661211</v>
      </c>
      <c r="O4" s="131">
        <f>IF(SER_hh_tes_in!O4=0,0,11630*1000*SER_hh_tes_in!O4/SER_hh_num_in!O4)</f>
        <v>31886.972283602339</v>
      </c>
      <c r="P4" s="131">
        <f>IF(SER_hh_tes_in!P4=0,0,11630*1000*SER_hh_tes_in!P4/SER_hh_num_in!P4)</f>
        <v>29007.053485596411</v>
      </c>
      <c r="Q4" s="131">
        <f>IF(SER_hh_tes_in!Q4=0,0,11630*1000*SER_hh_tes_in!Q4/SER_hh_num_in!Q4)</f>
        <v>30427.309986422846</v>
      </c>
      <c r="R4" s="131">
        <f>IF(SER_hh_tes_in!R4=0,0,11630*1000*SER_hh_tes_in!R4/SER_hh_num_in!R4)</f>
        <v>34484.802792200571</v>
      </c>
      <c r="S4" s="131">
        <f>IF(SER_hh_tes_in!S4=0,0,11630*1000*SER_hh_tes_in!S4/SER_hh_num_in!S4)</f>
        <v>34788.245509135457</v>
      </c>
      <c r="T4" s="131">
        <f>IF(SER_hh_tes_in!T4=0,0,11630*1000*SER_hh_tes_in!T4/SER_hh_num_in!T4)</f>
        <v>32445.197247418342</v>
      </c>
      <c r="U4" s="131">
        <f>IF(SER_hh_tes_in!U4=0,0,11630*1000*SER_hh_tes_in!U4/SER_hh_num_in!U4)</f>
        <v>34562.398727669715</v>
      </c>
      <c r="V4" s="131">
        <f>IF(SER_hh_tes_in!V4=0,0,11630*1000*SER_hh_tes_in!V4/SER_hh_num_in!V4)</f>
        <v>22530.669180727393</v>
      </c>
      <c r="W4" s="131">
        <f>IF(SER_hh_tes_in!W4=0,0,11630*1000*SER_hh_tes_in!W4/SER_hh_num_in!W4)</f>
        <v>26237.304344707183</v>
      </c>
      <c r="DA4" s="156" t="s">
        <v>755</v>
      </c>
    </row>
    <row r="5" spans="1:105" ht="12" customHeight="1" x14ac:dyDescent="0.25">
      <c r="A5" s="132" t="s">
        <v>29</v>
      </c>
      <c r="B5" s="133"/>
      <c r="C5" s="133">
        <f>IF(SER_hh_tes_in!C5=0,0,11630*1000*SER_hh_tes_in!C5/SER_hh_num_in!C5)</f>
        <v>0</v>
      </c>
      <c r="D5" s="133">
        <f>IF(SER_hh_tes_in!D5=0,0,11630*1000*SER_hh_tes_in!D5/SER_hh_num_in!D5)</f>
        <v>0</v>
      </c>
      <c r="E5" s="133">
        <f>IF(SER_hh_tes_in!E5=0,0,11630*1000*SER_hh_tes_in!E5/SER_hh_num_in!E5)</f>
        <v>0</v>
      </c>
      <c r="F5" s="133">
        <f>IF(SER_hh_tes_in!F5=0,0,11630*1000*SER_hh_tes_in!F5/SER_hh_num_in!F5)</f>
        <v>0</v>
      </c>
      <c r="G5" s="133">
        <f>IF(SER_hh_tes_in!G5=0,0,11630*1000*SER_hh_tes_in!G5/SER_hh_num_in!G5)</f>
        <v>0</v>
      </c>
      <c r="H5" s="133">
        <f>IF(SER_hh_tes_in!H5=0,0,11630*1000*SER_hh_tes_in!H5/SER_hh_num_in!H5)</f>
        <v>0</v>
      </c>
      <c r="I5" s="133">
        <f>IF(SER_hh_tes_in!I5=0,0,11630*1000*SER_hh_tes_in!I5/SER_hh_num_in!I5)</f>
        <v>0</v>
      </c>
      <c r="J5" s="133">
        <f>IF(SER_hh_tes_in!J5=0,0,11630*1000*SER_hh_tes_in!J5/SER_hh_num_in!J5)</f>
        <v>0</v>
      </c>
      <c r="K5" s="133">
        <f>IF(SER_hh_tes_in!K5=0,0,11630*1000*SER_hh_tes_in!K5/SER_hh_num_in!K5)</f>
        <v>0</v>
      </c>
      <c r="L5" s="133">
        <f>IF(SER_hh_tes_in!L5=0,0,11630*1000*SER_hh_tes_in!L5/SER_hh_num_in!L5)</f>
        <v>0</v>
      </c>
      <c r="M5" s="133">
        <f>IF(SER_hh_tes_in!M5=0,0,11630*1000*SER_hh_tes_in!M5/SER_hh_num_in!M5)</f>
        <v>0</v>
      </c>
      <c r="N5" s="133">
        <f>IF(SER_hh_tes_in!N5=0,0,11630*1000*SER_hh_tes_in!N5/SER_hh_num_in!N5)</f>
        <v>0</v>
      </c>
      <c r="O5" s="133">
        <f>IF(SER_hh_tes_in!O5=0,0,11630*1000*SER_hh_tes_in!O5/SER_hh_num_in!O5)</f>
        <v>0</v>
      </c>
      <c r="P5" s="133">
        <f>IF(SER_hh_tes_in!P5=0,0,11630*1000*SER_hh_tes_in!P5/SER_hh_num_in!P5)</f>
        <v>0</v>
      </c>
      <c r="Q5" s="133">
        <f>IF(SER_hh_tes_in!Q5=0,0,11630*1000*SER_hh_tes_in!Q5/SER_hh_num_in!Q5)</f>
        <v>0</v>
      </c>
      <c r="R5" s="133">
        <f>IF(SER_hh_tes_in!R5=0,0,11630*1000*SER_hh_tes_in!R5/SER_hh_num_in!R5)</f>
        <v>0</v>
      </c>
      <c r="S5" s="133">
        <f>IF(SER_hh_tes_in!S5=0,0,11630*1000*SER_hh_tes_in!S5/SER_hh_num_in!S5)</f>
        <v>0</v>
      </c>
      <c r="T5" s="133">
        <f>IF(SER_hh_tes_in!T5=0,0,11630*1000*SER_hh_tes_in!T5/SER_hh_num_in!T5)</f>
        <v>0</v>
      </c>
      <c r="U5" s="133">
        <f>IF(SER_hh_tes_in!U5=0,0,11630*1000*SER_hh_tes_in!U5/SER_hh_num_in!U5)</f>
        <v>0</v>
      </c>
      <c r="V5" s="133">
        <f>IF(SER_hh_tes_in!V5=0,0,11630*1000*SER_hh_tes_in!V5/SER_hh_num_in!V5)</f>
        <v>0</v>
      </c>
      <c r="W5" s="133">
        <f>IF(SER_hh_tes_in!W5=0,0,11630*1000*SER_hh_tes_in!W5/SER_hh_num_in!W5)</f>
        <v>0</v>
      </c>
      <c r="DA5" s="157" t="s">
        <v>756</v>
      </c>
    </row>
    <row r="6" spans="1:105" ht="12" customHeight="1" x14ac:dyDescent="0.25">
      <c r="A6" s="132" t="s">
        <v>52</v>
      </c>
      <c r="B6" s="133"/>
      <c r="C6" s="133">
        <f>IF(SER_hh_tes_in!C6=0,0,11630*1000*SER_hh_tes_in!C6/SER_hh_num_in!C6)</f>
        <v>0</v>
      </c>
      <c r="D6" s="133">
        <f>IF(SER_hh_tes_in!D6=0,0,11630*1000*SER_hh_tes_in!D6/SER_hh_num_in!D6)</f>
        <v>0</v>
      </c>
      <c r="E6" s="133">
        <f>IF(SER_hh_tes_in!E6=0,0,11630*1000*SER_hh_tes_in!E6/SER_hh_num_in!E6)</f>
        <v>0</v>
      </c>
      <c r="F6" s="133">
        <f>IF(SER_hh_tes_in!F6=0,0,11630*1000*SER_hh_tes_in!F6/SER_hh_num_in!F6)</f>
        <v>0</v>
      </c>
      <c r="G6" s="133">
        <f>IF(SER_hh_tes_in!G6=0,0,11630*1000*SER_hh_tes_in!G6/SER_hh_num_in!G6)</f>
        <v>0</v>
      </c>
      <c r="H6" s="133">
        <f>IF(SER_hh_tes_in!H6=0,0,11630*1000*SER_hh_tes_in!H6/SER_hh_num_in!H6)</f>
        <v>0</v>
      </c>
      <c r="I6" s="133">
        <f>IF(SER_hh_tes_in!I6=0,0,11630*1000*SER_hh_tes_in!I6/SER_hh_num_in!I6)</f>
        <v>0</v>
      </c>
      <c r="J6" s="133">
        <f>IF(SER_hh_tes_in!J6=0,0,11630*1000*SER_hh_tes_in!J6/SER_hh_num_in!J6)</f>
        <v>0</v>
      </c>
      <c r="K6" s="133">
        <f>IF(SER_hh_tes_in!K6=0,0,11630*1000*SER_hh_tes_in!K6/SER_hh_num_in!K6)</f>
        <v>0</v>
      </c>
      <c r="L6" s="133">
        <f>IF(SER_hh_tes_in!L6=0,0,11630*1000*SER_hh_tes_in!L6/SER_hh_num_in!L6)</f>
        <v>0</v>
      </c>
      <c r="M6" s="133">
        <f>IF(SER_hh_tes_in!M6=0,0,11630*1000*SER_hh_tes_in!M6/SER_hh_num_in!M6)</f>
        <v>0</v>
      </c>
      <c r="N6" s="133">
        <f>IF(SER_hh_tes_in!N6=0,0,11630*1000*SER_hh_tes_in!N6/SER_hh_num_in!N6)</f>
        <v>0</v>
      </c>
      <c r="O6" s="133">
        <f>IF(SER_hh_tes_in!O6=0,0,11630*1000*SER_hh_tes_in!O6/SER_hh_num_in!O6)</f>
        <v>0</v>
      </c>
      <c r="P6" s="133">
        <f>IF(SER_hh_tes_in!P6=0,0,11630*1000*SER_hh_tes_in!P6/SER_hh_num_in!P6)</f>
        <v>0</v>
      </c>
      <c r="Q6" s="133">
        <f>IF(SER_hh_tes_in!Q6=0,0,11630*1000*SER_hh_tes_in!Q6/SER_hh_num_in!Q6)</f>
        <v>0</v>
      </c>
      <c r="R6" s="133">
        <f>IF(SER_hh_tes_in!R6=0,0,11630*1000*SER_hh_tes_in!R6/SER_hh_num_in!R6)</f>
        <v>0</v>
      </c>
      <c r="S6" s="133">
        <f>IF(SER_hh_tes_in!S6=0,0,11630*1000*SER_hh_tes_in!S6/SER_hh_num_in!S6)</f>
        <v>0</v>
      </c>
      <c r="T6" s="133">
        <f>IF(SER_hh_tes_in!T6=0,0,11630*1000*SER_hh_tes_in!T6/SER_hh_num_in!T6)</f>
        <v>0</v>
      </c>
      <c r="U6" s="133">
        <f>IF(SER_hh_tes_in!U6=0,0,11630*1000*SER_hh_tes_in!U6/SER_hh_num_in!U6)</f>
        <v>0</v>
      </c>
      <c r="V6" s="133">
        <f>IF(SER_hh_tes_in!V6=0,0,11630*1000*SER_hh_tes_in!V6/SER_hh_num_in!V6)</f>
        <v>0</v>
      </c>
      <c r="W6" s="133">
        <f>IF(SER_hh_tes_in!W6=0,0,11630*1000*SER_hh_tes_in!W6/SER_hh_num_in!W6)</f>
        <v>0</v>
      </c>
      <c r="DA6" s="157" t="s">
        <v>757</v>
      </c>
    </row>
    <row r="7" spans="1:105" ht="12" customHeight="1" x14ac:dyDescent="0.25">
      <c r="A7" s="132" t="s">
        <v>168</v>
      </c>
      <c r="B7" s="133"/>
      <c r="C7" s="133">
        <f>IF(SER_hh_tes_in!C7=0,0,11630*1000*SER_hh_tes_in!C7/SER_hh_num_in!C7)</f>
        <v>0</v>
      </c>
      <c r="D7" s="133">
        <f>IF(SER_hh_tes_in!D7=0,0,11630*1000*SER_hh_tes_in!D7/SER_hh_num_in!D7)</f>
        <v>0</v>
      </c>
      <c r="E7" s="133">
        <f>IF(SER_hh_tes_in!E7=0,0,11630*1000*SER_hh_tes_in!E7/SER_hh_num_in!E7)</f>
        <v>0</v>
      </c>
      <c r="F7" s="133">
        <f>IF(SER_hh_tes_in!F7=0,0,11630*1000*SER_hh_tes_in!F7/SER_hh_num_in!F7)</f>
        <v>0</v>
      </c>
      <c r="G7" s="133">
        <f>IF(SER_hh_tes_in!G7=0,0,11630*1000*SER_hh_tes_in!G7/SER_hh_num_in!G7)</f>
        <v>0</v>
      </c>
      <c r="H7" s="133">
        <f>IF(SER_hh_tes_in!H7=0,0,11630*1000*SER_hh_tes_in!H7/SER_hh_num_in!H7)</f>
        <v>0</v>
      </c>
      <c r="I7" s="133">
        <f>IF(SER_hh_tes_in!I7=0,0,11630*1000*SER_hh_tes_in!I7/SER_hh_num_in!I7)</f>
        <v>0</v>
      </c>
      <c r="J7" s="133">
        <f>IF(SER_hh_tes_in!J7=0,0,11630*1000*SER_hh_tes_in!J7/SER_hh_num_in!J7)</f>
        <v>33210.425558726696</v>
      </c>
      <c r="K7" s="133">
        <f>IF(SER_hh_tes_in!K7=0,0,11630*1000*SER_hh_tes_in!K7/SER_hh_num_in!K7)</f>
        <v>26884.023014916198</v>
      </c>
      <c r="L7" s="133">
        <f>IF(SER_hh_tes_in!L7=0,0,11630*1000*SER_hh_tes_in!L7/SER_hh_num_in!L7)</f>
        <v>31153.908866620164</v>
      </c>
      <c r="M7" s="133">
        <f>IF(SER_hh_tes_in!M7=0,0,11630*1000*SER_hh_tes_in!M7/SER_hh_num_in!M7)</f>
        <v>30115.107997322059</v>
      </c>
      <c r="N7" s="133">
        <f>IF(SER_hh_tes_in!N7=0,0,11630*1000*SER_hh_tes_in!N7/SER_hh_num_in!N7)</f>
        <v>25536.146108877871</v>
      </c>
      <c r="O7" s="133">
        <f>IF(SER_hh_tes_in!O7=0,0,11630*1000*SER_hh_tes_in!O7/SER_hh_num_in!O7)</f>
        <v>28855.387384828649</v>
      </c>
      <c r="P7" s="133">
        <f>IF(SER_hh_tes_in!P7=0,0,11630*1000*SER_hh_tes_in!P7/SER_hh_num_in!P7)</f>
        <v>0</v>
      </c>
      <c r="Q7" s="133">
        <f>IF(SER_hh_tes_in!Q7=0,0,11630*1000*SER_hh_tes_in!Q7/SER_hh_num_in!Q7)</f>
        <v>0</v>
      </c>
      <c r="R7" s="133">
        <f>IF(SER_hh_tes_in!R7=0,0,11630*1000*SER_hh_tes_in!R7/SER_hh_num_in!R7)</f>
        <v>0</v>
      </c>
      <c r="S7" s="133">
        <f>IF(SER_hh_tes_in!S7=0,0,11630*1000*SER_hh_tes_in!S7/SER_hh_num_in!S7)</f>
        <v>0</v>
      </c>
      <c r="T7" s="133">
        <f>IF(SER_hh_tes_in!T7=0,0,11630*1000*SER_hh_tes_in!T7/SER_hh_num_in!T7)</f>
        <v>27765.015811022742</v>
      </c>
      <c r="U7" s="133">
        <f>IF(SER_hh_tes_in!U7=0,0,11630*1000*SER_hh_tes_in!U7/SER_hh_num_in!U7)</f>
        <v>31381.060600269258</v>
      </c>
      <c r="V7" s="133">
        <f>IF(SER_hh_tes_in!V7=0,0,11630*1000*SER_hh_tes_in!V7/SER_hh_num_in!V7)</f>
        <v>22584.604233478836</v>
      </c>
      <c r="W7" s="133">
        <f>IF(SER_hh_tes_in!W7=0,0,11630*1000*SER_hh_tes_in!W7/SER_hh_num_in!W7)</f>
        <v>22251.557350577241</v>
      </c>
      <c r="DA7" s="157" t="s">
        <v>758</v>
      </c>
    </row>
    <row r="8" spans="1:105" ht="12" customHeight="1" x14ac:dyDescent="0.25">
      <c r="A8" s="132" t="s">
        <v>73</v>
      </c>
      <c r="B8" s="133"/>
      <c r="C8" s="133">
        <f>IF(SER_hh_tes_in!C8=0,0,11630*1000*SER_hh_tes_in!C8/SER_hh_num_in!C8)</f>
        <v>0</v>
      </c>
      <c r="D8" s="133">
        <f>IF(SER_hh_tes_in!D8=0,0,11630*1000*SER_hh_tes_in!D8/SER_hh_num_in!D8)</f>
        <v>0</v>
      </c>
      <c r="E8" s="133">
        <f>IF(SER_hh_tes_in!E8=0,0,11630*1000*SER_hh_tes_in!E8/SER_hh_num_in!E8)</f>
        <v>0</v>
      </c>
      <c r="F8" s="133">
        <f>IF(SER_hh_tes_in!F8=0,0,11630*1000*SER_hh_tes_in!F8/SER_hh_num_in!F8)</f>
        <v>0</v>
      </c>
      <c r="G8" s="133">
        <f>IF(SER_hh_tes_in!G8=0,0,11630*1000*SER_hh_tes_in!G8/SER_hh_num_in!G8)</f>
        <v>0</v>
      </c>
      <c r="H8" s="133">
        <f>IF(SER_hh_tes_in!H8=0,0,11630*1000*SER_hh_tes_in!H8/SER_hh_num_in!H8)</f>
        <v>0</v>
      </c>
      <c r="I8" s="133">
        <f>IF(SER_hh_tes_in!I8=0,0,11630*1000*SER_hh_tes_in!I8/SER_hh_num_in!I8)</f>
        <v>0</v>
      </c>
      <c r="J8" s="133">
        <f>IF(SER_hh_tes_in!J8=0,0,11630*1000*SER_hh_tes_in!J8/SER_hh_num_in!J8)</f>
        <v>0</v>
      </c>
      <c r="K8" s="133">
        <f>IF(SER_hh_tes_in!K8=0,0,11630*1000*SER_hh_tes_in!K8/SER_hh_num_in!K8)</f>
        <v>0</v>
      </c>
      <c r="L8" s="133">
        <f>IF(SER_hh_tes_in!L8=0,0,11630*1000*SER_hh_tes_in!L8/SER_hh_num_in!L8)</f>
        <v>0</v>
      </c>
      <c r="M8" s="133">
        <f>IF(SER_hh_tes_in!M8=0,0,11630*1000*SER_hh_tes_in!M8/SER_hh_num_in!M8)</f>
        <v>0</v>
      </c>
      <c r="N8" s="133">
        <f>IF(SER_hh_tes_in!N8=0,0,11630*1000*SER_hh_tes_in!N8/SER_hh_num_in!N8)</f>
        <v>0</v>
      </c>
      <c r="O8" s="133">
        <f>IF(SER_hh_tes_in!O8=0,0,11630*1000*SER_hh_tes_in!O8/SER_hh_num_in!O8)</f>
        <v>0</v>
      </c>
      <c r="P8" s="133">
        <f>IF(SER_hh_tes_in!P8=0,0,11630*1000*SER_hh_tes_in!P8/SER_hh_num_in!P8)</f>
        <v>0</v>
      </c>
      <c r="Q8" s="133">
        <f>IF(SER_hh_tes_in!Q8=0,0,11630*1000*SER_hh_tes_in!Q8/SER_hh_num_in!Q8)</f>
        <v>0</v>
      </c>
      <c r="R8" s="133">
        <f>IF(SER_hh_tes_in!R8=0,0,11630*1000*SER_hh_tes_in!R8/SER_hh_num_in!R8)</f>
        <v>0</v>
      </c>
      <c r="S8" s="133">
        <f>IF(SER_hh_tes_in!S8=0,0,11630*1000*SER_hh_tes_in!S8/SER_hh_num_in!S8)</f>
        <v>0</v>
      </c>
      <c r="T8" s="133">
        <f>IF(SER_hh_tes_in!T8=0,0,11630*1000*SER_hh_tes_in!T8/SER_hh_num_in!T8)</f>
        <v>0</v>
      </c>
      <c r="U8" s="133">
        <f>IF(SER_hh_tes_in!U8=0,0,11630*1000*SER_hh_tes_in!U8/SER_hh_num_in!U8)</f>
        <v>0</v>
      </c>
      <c r="V8" s="133">
        <f>IF(SER_hh_tes_in!V8=0,0,11630*1000*SER_hh_tes_in!V8/SER_hh_num_in!V8)</f>
        <v>0</v>
      </c>
      <c r="W8" s="133">
        <f>IF(SER_hh_tes_in!W8=0,0,11630*1000*SER_hh_tes_in!W8/SER_hh_num_in!W8)</f>
        <v>0</v>
      </c>
      <c r="DA8" s="157" t="s">
        <v>759</v>
      </c>
    </row>
    <row r="9" spans="1:105" ht="12" customHeight="1" x14ac:dyDescent="0.25">
      <c r="A9" s="132" t="s">
        <v>78</v>
      </c>
      <c r="B9" s="133"/>
      <c r="C9" s="133">
        <f>IF(SER_hh_tes_in!C9=0,0,11630*1000*SER_hh_tes_in!C9/SER_hh_num_in!C9)</f>
        <v>0</v>
      </c>
      <c r="D9" s="133">
        <f>IF(SER_hh_tes_in!D9=0,0,11630*1000*SER_hh_tes_in!D9/SER_hh_num_in!D9)</f>
        <v>0</v>
      </c>
      <c r="E9" s="133">
        <f>IF(SER_hh_tes_in!E9=0,0,11630*1000*SER_hh_tes_in!E9/SER_hh_num_in!E9)</f>
        <v>0</v>
      </c>
      <c r="F9" s="133">
        <f>IF(SER_hh_tes_in!F9=0,0,11630*1000*SER_hh_tes_in!F9/SER_hh_num_in!F9)</f>
        <v>0</v>
      </c>
      <c r="G9" s="133">
        <f>IF(SER_hh_tes_in!G9=0,0,11630*1000*SER_hh_tes_in!G9/SER_hh_num_in!G9)</f>
        <v>0</v>
      </c>
      <c r="H9" s="133">
        <f>IF(SER_hh_tes_in!H9=0,0,11630*1000*SER_hh_tes_in!H9/SER_hh_num_in!H9)</f>
        <v>0</v>
      </c>
      <c r="I9" s="133">
        <f>IF(SER_hh_tes_in!I9=0,0,11630*1000*SER_hh_tes_in!I9/SER_hh_num_in!I9)</f>
        <v>0</v>
      </c>
      <c r="J9" s="133">
        <f>IF(SER_hh_tes_in!J9=0,0,11630*1000*SER_hh_tes_in!J9/SER_hh_num_in!J9)</f>
        <v>0</v>
      </c>
      <c r="K9" s="133">
        <f>IF(SER_hh_tes_in!K9=0,0,11630*1000*SER_hh_tes_in!K9/SER_hh_num_in!K9)</f>
        <v>44437.905603134881</v>
      </c>
      <c r="L9" s="133">
        <f>IF(SER_hh_tes_in!L9=0,0,11630*1000*SER_hh_tes_in!L9/SER_hh_num_in!L9)</f>
        <v>36151.95501364566</v>
      </c>
      <c r="M9" s="133">
        <f>IF(SER_hh_tes_in!M9=0,0,11630*1000*SER_hh_tes_in!M9/SER_hh_num_in!M9)</f>
        <v>28919.276593557464</v>
      </c>
      <c r="N9" s="133">
        <f>IF(SER_hh_tes_in!N9=0,0,11630*1000*SER_hh_tes_in!N9/SER_hh_num_in!N9)</f>
        <v>26870.492522319586</v>
      </c>
      <c r="O9" s="133">
        <f>IF(SER_hh_tes_in!O9=0,0,11630*1000*SER_hh_tes_in!O9/SER_hh_num_in!O9)</f>
        <v>0</v>
      </c>
      <c r="P9" s="133">
        <f>IF(SER_hh_tes_in!P9=0,0,11630*1000*SER_hh_tes_in!P9/SER_hh_num_in!P9)</f>
        <v>27990.372445395948</v>
      </c>
      <c r="Q9" s="133">
        <f>IF(SER_hh_tes_in!Q9=0,0,11630*1000*SER_hh_tes_in!Q9/SER_hh_num_in!Q9)</f>
        <v>26799.461099954871</v>
      </c>
      <c r="R9" s="133">
        <f>IF(SER_hh_tes_in!R9=0,0,11630*1000*SER_hh_tes_in!R9/SER_hh_num_in!R9)</f>
        <v>27933.36298870869</v>
      </c>
      <c r="S9" s="133">
        <f>IF(SER_hh_tes_in!S9=0,0,11630*1000*SER_hh_tes_in!S9/SER_hh_num_in!S9)</f>
        <v>21541.922125521203</v>
      </c>
      <c r="T9" s="133">
        <f>IF(SER_hh_tes_in!T9=0,0,11630*1000*SER_hh_tes_in!T9/SER_hh_num_in!T9)</f>
        <v>42471.977809581098</v>
      </c>
      <c r="U9" s="133">
        <f>IF(SER_hh_tes_in!U9=0,0,11630*1000*SER_hh_tes_in!U9/SER_hh_num_in!U9)</f>
        <v>45235.004012262201</v>
      </c>
      <c r="V9" s="133">
        <f>IF(SER_hh_tes_in!V9=0,0,11630*1000*SER_hh_tes_in!V9/SER_hh_num_in!V9)</f>
        <v>15818.249866345303</v>
      </c>
      <c r="W9" s="133">
        <f>IF(SER_hh_tes_in!W9=0,0,11630*1000*SER_hh_tes_in!W9/SER_hh_num_in!W9)</f>
        <v>16290.205571075252</v>
      </c>
      <c r="DA9" s="157" t="s">
        <v>760</v>
      </c>
    </row>
    <row r="10" spans="1:105" ht="12" customHeight="1" x14ac:dyDescent="0.25">
      <c r="A10" s="132" t="s">
        <v>128</v>
      </c>
      <c r="B10" s="133"/>
      <c r="C10" s="133">
        <f>IF(SER_hh_tes_in!C10=0,0,11630*1000*SER_hh_tes_in!C10/SER_hh_num_in!C10)</f>
        <v>0</v>
      </c>
      <c r="D10" s="133">
        <f>IF(SER_hh_tes_in!D10=0,0,11630*1000*SER_hh_tes_in!D10/SER_hh_num_in!D10)</f>
        <v>0</v>
      </c>
      <c r="E10" s="133">
        <f>IF(SER_hh_tes_in!E10=0,0,11630*1000*SER_hh_tes_in!E10/SER_hh_num_in!E10)</f>
        <v>0</v>
      </c>
      <c r="F10" s="133">
        <f>IF(SER_hh_tes_in!F10=0,0,11630*1000*SER_hh_tes_in!F10/SER_hh_num_in!F10)</f>
        <v>0</v>
      </c>
      <c r="G10" s="133">
        <f>IF(SER_hh_tes_in!G10=0,0,11630*1000*SER_hh_tes_in!G10/SER_hh_num_in!G10)</f>
        <v>0</v>
      </c>
      <c r="H10" s="133">
        <f>IF(SER_hh_tes_in!H10=0,0,11630*1000*SER_hh_tes_in!H10/SER_hh_num_in!H10)</f>
        <v>0</v>
      </c>
      <c r="I10" s="133">
        <f>IF(SER_hh_tes_in!I10=0,0,11630*1000*SER_hh_tes_in!I10/SER_hh_num_in!I10)</f>
        <v>17893.91579509286</v>
      </c>
      <c r="J10" s="133">
        <f>IF(SER_hh_tes_in!J10=0,0,11630*1000*SER_hh_tes_in!J10/SER_hh_num_in!J10)</f>
        <v>46427.697848813157</v>
      </c>
      <c r="K10" s="133">
        <f>IF(SER_hh_tes_in!K10=0,0,11630*1000*SER_hh_tes_in!K10/SER_hh_num_in!K10)</f>
        <v>0</v>
      </c>
      <c r="L10" s="133">
        <f>IF(SER_hh_tes_in!L10=0,0,11630*1000*SER_hh_tes_in!L10/SER_hh_num_in!L10)</f>
        <v>14997.454545742381</v>
      </c>
      <c r="M10" s="133">
        <f>IF(SER_hh_tes_in!M10=0,0,11630*1000*SER_hh_tes_in!M10/SER_hh_num_in!M10)</f>
        <v>25165.189339122193</v>
      </c>
      <c r="N10" s="133">
        <f>IF(SER_hh_tes_in!N10=0,0,11630*1000*SER_hh_tes_in!N10/SER_hh_num_in!N10)</f>
        <v>31987.560353832843</v>
      </c>
      <c r="O10" s="133">
        <f>IF(SER_hh_tes_in!O10=0,0,11630*1000*SER_hh_tes_in!O10/SER_hh_num_in!O10)</f>
        <v>24358.779762638525</v>
      </c>
      <c r="P10" s="133">
        <f>IF(SER_hh_tes_in!P10=0,0,11630*1000*SER_hh_tes_in!P10/SER_hh_num_in!P10)</f>
        <v>19139.367212664598</v>
      </c>
      <c r="Q10" s="133">
        <f>IF(SER_hh_tes_in!Q10=0,0,11630*1000*SER_hh_tes_in!Q10/SER_hh_num_in!Q10)</f>
        <v>39925.547057863798</v>
      </c>
      <c r="R10" s="133">
        <f>IF(SER_hh_tes_in!R10=0,0,11630*1000*SER_hh_tes_in!R10/SER_hh_num_in!R10)</f>
        <v>28935.563406820653</v>
      </c>
      <c r="S10" s="133">
        <f>IF(SER_hh_tes_in!S10=0,0,11630*1000*SER_hh_tes_in!S10/SER_hh_num_in!S10)</f>
        <v>0</v>
      </c>
      <c r="T10" s="133">
        <f>IF(SER_hh_tes_in!T10=0,0,11630*1000*SER_hh_tes_in!T10/SER_hh_num_in!T10)</f>
        <v>0</v>
      </c>
      <c r="U10" s="133">
        <f>IF(SER_hh_tes_in!U10=0,0,11630*1000*SER_hh_tes_in!U10/SER_hh_num_in!U10)</f>
        <v>0</v>
      </c>
      <c r="V10" s="133">
        <f>IF(SER_hh_tes_in!V10=0,0,11630*1000*SER_hh_tes_in!V10/SER_hh_num_in!V10)</f>
        <v>15450.681819997697</v>
      </c>
      <c r="W10" s="133">
        <f>IF(SER_hh_tes_in!W10=0,0,11630*1000*SER_hh_tes_in!W10/SER_hh_num_in!W10)</f>
        <v>42144.800926487791</v>
      </c>
      <c r="DA10" s="157" t="s">
        <v>761</v>
      </c>
    </row>
    <row r="11" spans="1:105" ht="12" customHeight="1" x14ac:dyDescent="0.25">
      <c r="A11" s="132" t="s">
        <v>25</v>
      </c>
      <c r="B11" s="133"/>
      <c r="C11" s="133">
        <f>IF(SER_hh_tes_in!C11=0,0,11630*1000*SER_hh_tes_in!C11/SER_hh_num_in!C11)</f>
        <v>0</v>
      </c>
      <c r="D11" s="133">
        <f>IF(SER_hh_tes_in!D11=0,0,11630*1000*SER_hh_tes_in!D11/SER_hh_num_in!D11)</f>
        <v>0</v>
      </c>
      <c r="E11" s="133">
        <f>IF(SER_hh_tes_in!E11=0,0,11630*1000*SER_hh_tes_in!E11/SER_hh_num_in!E11)</f>
        <v>0</v>
      </c>
      <c r="F11" s="133">
        <f>IF(SER_hh_tes_in!F11=0,0,11630*1000*SER_hh_tes_in!F11/SER_hh_num_in!F11)</f>
        <v>0</v>
      </c>
      <c r="G11" s="133">
        <f>IF(SER_hh_tes_in!G11=0,0,11630*1000*SER_hh_tes_in!G11/SER_hh_num_in!G11)</f>
        <v>0</v>
      </c>
      <c r="H11" s="133">
        <f>IF(SER_hh_tes_in!H11=0,0,11630*1000*SER_hh_tes_in!H11/SER_hh_num_in!H11)</f>
        <v>0</v>
      </c>
      <c r="I11" s="133">
        <f>IF(SER_hh_tes_in!I11=0,0,11630*1000*SER_hh_tes_in!I11/SER_hh_num_in!I11)</f>
        <v>0</v>
      </c>
      <c r="J11" s="133">
        <f>IF(SER_hh_tes_in!J11=0,0,11630*1000*SER_hh_tes_in!J11/SER_hh_num_in!J11)</f>
        <v>0</v>
      </c>
      <c r="K11" s="133">
        <f>IF(SER_hh_tes_in!K11=0,0,11630*1000*SER_hh_tes_in!K11/SER_hh_num_in!K11)</f>
        <v>0</v>
      </c>
      <c r="L11" s="133">
        <f>IF(SER_hh_tes_in!L11=0,0,11630*1000*SER_hh_tes_in!L11/SER_hh_num_in!L11)</f>
        <v>0</v>
      </c>
      <c r="M11" s="133">
        <f>IF(SER_hh_tes_in!M11=0,0,11630*1000*SER_hh_tes_in!M11/SER_hh_num_in!M11)</f>
        <v>0</v>
      </c>
      <c r="N11" s="133">
        <f>IF(SER_hh_tes_in!N11=0,0,11630*1000*SER_hh_tes_in!N11/SER_hh_num_in!N11)</f>
        <v>0</v>
      </c>
      <c r="O11" s="133">
        <f>IF(SER_hh_tes_in!O11=0,0,11630*1000*SER_hh_tes_in!O11/SER_hh_num_in!O11)</f>
        <v>0</v>
      </c>
      <c r="P11" s="133">
        <f>IF(SER_hh_tes_in!P11=0,0,11630*1000*SER_hh_tes_in!P11/SER_hh_num_in!P11)</f>
        <v>0</v>
      </c>
      <c r="Q11" s="133">
        <f>IF(SER_hh_tes_in!Q11=0,0,11630*1000*SER_hh_tes_in!Q11/SER_hh_num_in!Q11)</f>
        <v>0</v>
      </c>
      <c r="R11" s="133">
        <f>IF(SER_hh_tes_in!R11=0,0,11630*1000*SER_hh_tes_in!R11/SER_hh_num_in!R11)</f>
        <v>0</v>
      </c>
      <c r="S11" s="133">
        <f>IF(SER_hh_tes_in!S11=0,0,11630*1000*SER_hh_tes_in!S11/SER_hh_num_in!S11)</f>
        <v>0</v>
      </c>
      <c r="T11" s="133">
        <f>IF(SER_hh_tes_in!T11=0,0,11630*1000*SER_hh_tes_in!T11/SER_hh_num_in!T11)</f>
        <v>0</v>
      </c>
      <c r="U11" s="133">
        <f>IF(SER_hh_tes_in!U11=0,0,11630*1000*SER_hh_tes_in!U11/SER_hh_num_in!U11)</f>
        <v>0</v>
      </c>
      <c r="V11" s="133">
        <f>IF(SER_hh_tes_in!V11=0,0,11630*1000*SER_hh_tes_in!V11/SER_hh_num_in!V11)</f>
        <v>0</v>
      </c>
      <c r="W11" s="133">
        <f>IF(SER_hh_tes_in!W11=0,0,11630*1000*SER_hh_tes_in!W11/SER_hh_num_in!W11)</f>
        <v>0</v>
      </c>
      <c r="DA11" s="157" t="s">
        <v>762</v>
      </c>
    </row>
    <row r="12" spans="1:105" ht="12" customHeight="1" x14ac:dyDescent="0.25">
      <c r="A12" s="132" t="s">
        <v>169</v>
      </c>
      <c r="B12" s="133"/>
      <c r="C12" s="133">
        <f>IF(SER_hh_tes_in!C12=0,0,11630*1000*SER_hh_tes_in!C12/SER_hh_num_in!C12)</f>
        <v>0</v>
      </c>
      <c r="D12" s="133">
        <f>IF(SER_hh_tes_in!D12=0,0,11630*1000*SER_hh_tes_in!D12/SER_hh_num_in!D12)</f>
        <v>0</v>
      </c>
      <c r="E12" s="133">
        <f>IF(SER_hh_tes_in!E12=0,0,11630*1000*SER_hh_tes_in!E12/SER_hh_num_in!E12)</f>
        <v>0</v>
      </c>
      <c r="F12" s="133">
        <f>IF(SER_hh_tes_in!F12=0,0,11630*1000*SER_hh_tes_in!F12/SER_hh_num_in!F12)</f>
        <v>0</v>
      </c>
      <c r="G12" s="133">
        <f>IF(SER_hh_tes_in!G12=0,0,11630*1000*SER_hh_tes_in!G12/SER_hh_num_in!G12)</f>
        <v>0</v>
      </c>
      <c r="H12" s="133">
        <f>IF(SER_hh_tes_in!H12=0,0,11630*1000*SER_hh_tes_in!H12/SER_hh_num_in!H12)</f>
        <v>0</v>
      </c>
      <c r="I12" s="133">
        <f>IF(SER_hh_tes_in!I12=0,0,11630*1000*SER_hh_tes_in!I12/SER_hh_num_in!I12)</f>
        <v>0</v>
      </c>
      <c r="J12" s="133">
        <f>IF(SER_hh_tes_in!J12=0,0,11630*1000*SER_hh_tes_in!J12/SER_hh_num_in!J12)</f>
        <v>0</v>
      </c>
      <c r="K12" s="133">
        <f>IF(SER_hh_tes_in!K12=0,0,11630*1000*SER_hh_tes_in!K12/SER_hh_num_in!K12)</f>
        <v>0</v>
      </c>
      <c r="L12" s="133">
        <f>IF(SER_hh_tes_in!L12=0,0,11630*1000*SER_hh_tes_in!L12/SER_hh_num_in!L12)</f>
        <v>0</v>
      </c>
      <c r="M12" s="133">
        <f>IF(SER_hh_tes_in!M12=0,0,11630*1000*SER_hh_tes_in!M12/SER_hh_num_in!M12)</f>
        <v>0</v>
      </c>
      <c r="N12" s="133">
        <f>IF(SER_hh_tes_in!N12=0,0,11630*1000*SER_hh_tes_in!N12/SER_hh_num_in!N12)</f>
        <v>0</v>
      </c>
      <c r="O12" s="133">
        <f>IF(SER_hh_tes_in!O12=0,0,11630*1000*SER_hh_tes_in!O12/SER_hh_num_in!O12)</f>
        <v>0</v>
      </c>
      <c r="P12" s="133">
        <f>IF(SER_hh_tes_in!P12=0,0,11630*1000*SER_hh_tes_in!P12/SER_hh_num_in!P12)</f>
        <v>0</v>
      </c>
      <c r="Q12" s="133">
        <f>IF(SER_hh_tes_in!Q12=0,0,11630*1000*SER_hh_tes_in!Q12/SER_hh_num_in!Q12)</f>
        <v>0</v>
      </c>
      <c r="R12" s="133">
        <f>IF(SER_hh_tes_in!R12=0,0,11630*1000*SER_hh_tes_in!R12/SER_hh_num_in!R12)</f>
        <v>0</v>
      </c>
      <c r="S12" s="133">
        <f>IF(SER_hh_tes_in!S12=0,0,11630*1000*SER_hh_tes_in!S12/SER_hh_num_in!S12)</f>
        <v>0</v>
      </c>
      <c r="T12" s="133">
        <f>IF(SER_hh_tes_in!T12=0,0,11630*1000*SER_hh_tes_in!T12/SER_hh_num_in!T12)</f>
        <v>0</v>
      </c>
      <c r="U12" s="133">
        <f>IF(SER_hh_tes_in!U12=0,0,11630*1000*SER_hh_tes_in!U12/SER_hh_num_in!U12)</f>
        <v>0</v>
      </c>
      <c r="V12" s="133">
        <f>IF(SER_hh_tes_in!V12=0,0,11630*1000*SER_hh_tes_in!V12/SER_hh_num_in!V12)</f>
        <v>0</v>
      </c>
      <c r="W12" s="133">
        <f>IF(SER_hh_tes_in!W12=0,0,11630*1000*SER_hh_tes_in!W12/SER_hh_num_in!W12)</f>
        <v>0</v>
      </c>
      <c r="DA12" s="157" t="s">
        <v>763</v>
      </c>
    </row>
    <row r="13" spans="1:105" ht="12" customHeight="1" x14ac:dyDescent="0.25">
      <c r="A13" s="132" t="s">
        <v>77</v>
      </c>
      <c r="B13" s="133"/>
      <c r="C13" s="133">
        <f>IF(SER_hh_tes_in!C13=0,0,11630*1000*SER_hh_tes_in!C13/SER_hh_num_in!C13)</f>
        <v>13833.006932973803</v>
      </c>
      <c r="D13" s="133">
        <f>IF(SER_hh_tes_in!D13=0,0,11630*1000*SER_hh_tes_in!D13/SER_hh_num_in!D13)</f>
        <v>15147.59284233457</v>
      </c>
      <c r="E13" s="133">
        <f>IF(SER_hh_tes_in!E13=0,0,11630*1000*SER_hh_tes_in!E13/SER_hh_num_in!E13)</f>
        <v>15680.832276847179</v>
      </c>
      <c r="F13" s="133">
        <f>IF(SER_hh_tes_in!F13=0,0,11630*1000*SER_hh_tes_in!F13/SER_hh_num_in!F13)</f>
        <v>17856.395729824882</v>
      </c>
      <c r="G13" s="133">
        <f>IF(SER_hh_tes_in!G13=0,0,11630*1000*SER_hh_tes_in!G13/SER_hh_num_in!G13)</f>
        <v>21323.768203887103</v>
      </c>
      <c r="H13" s="133">
        <f>IF(SER_hh_tes_in!H13=0,0,11630*1000*SER_hh_tes_in!H13/SER_hh_num_in!H13)</f>
        <v>24498.796386917598</v>
      </c>
      <c r="I13" s="133">
        <f>IF(SER_hh_tes_in!I13=0,0,11630*1000*SER_hh_tes_in!I13/SER_hh_num_in!I13)</f>
        <v>27164.722078155668</v>
      </c>
      <c r="J13" s="133">
        <f>IF(SER_hh_tes_in!J13=0,0,11630*1000*SER_hh_tes_in!J13/SER_hh_num_in!J13)</f>
        <v>28100.62964686257</v>
      </c>
      <c r="K13" s="133">
        <f>IF(SER_hh_tes_in!K13=0,0,11630*1000*SER_hh_tes_in!K13/SER_hh_num_in!K13)</f>
        <v>30677.208051404315</v>
      </c>
      <c r="L13" s="133">
        <f>IF(SER_hh_tes_in!L13=0,0,11630*1000*SER_hh_tes_in!L13/SER_hh_num_in!L13)</f>
        <v>27029.229657078675</v>
      </c>
      <c r="M13" s="133">
        <f>IF(SER_hh_tes_in!M13=0,0,11630*1000*SER_hh_tes_in!M13/SER_hh_num_in!M13)</f>
        <v>23346.139624245559</v>
      </c>
      <c r="N13" s="133">
        <f>IF(SER_hh_tes_in!N13=0,0,11630*1000*SER_hh_tes_in!N13/SER_hh_num_in!N13)</f>
        <v>23277.709750195838</v>
      </c>
      <c r="O13" s="133">
        <f>IF(SER_hh_tes_in!O13=0,0,11630*1000*SER_hh_tes_in!O13/SER_hh_num_in!O13)</f>
        <v>32388.084962144629</v>
      </c>
      <c r="P13" s="133">
        <f>IF(SER_hh_tes_in!P13=0,0,11630*1000*SER_hh_tes_in!P13/SER_hh_num_in!P13)</f>
        <v>29279.072731796838</v>
      </c>
      <c r="Q13" s="133">
        <f>IF(SER_hh_tes_in!Q13=0,0,11630*1000*SER_hh_tes_in!Q13/SER_hh_num_in!Q13)</f>
        <v>30771.448615208708</v>
      </c>
      <c r="R13" s="133">
        <f>IF(SER_hh_tes_in!R13=0,0,11630*1000*SER_hh_tes_in!R13/SER_hh_num_in!R13)</f>
        <v>29179.503205758851</v>
      </c>
      <c r="S13" s="133">
        <f>IF(SER_hh_tes_in!S13=0,0,11630*1000*SER_hh_tes_in!S13/SER_hh_num_in!S13)</f>
        <v>28327.964809081801</v>
      </c>
      <c r="T13" s="133">
        <f>IF(SER_hh_tes_in!T13=0,0,11630*1000*SER_hh_tes_in!T13/SER_hh_num_in!T13)</f>
        <v>27362.570640382353</v>
      </c>
      <c r="U13" s="133">
        <f>IF(SER_hh_tes_in!U13=0,0,11630*1000*SER_hh_tes_in!U13/SER_hh_num_in!U13)</f>
        <v>26606.155417009526</v>
      </c>
      <c r="V13" s="133">
        <f>IF(SER_hh_tes_in!V13=0,0,11630*1000*SER_hh_tes_in!V13/SER_hh_num_in!V13)</f>
        <v>22375.099776926858</v>
      </c>
      <c r="W13" s="133">
        <f>IF(SER_hh_tes_in!W13=0,0,11630*1000*SER_hh_tes_in!W13/SER_hh_num_in!W13)</f>
        <v>19728.784031511997</v>
      </c>
      <c r="DA13" s="157" t="s">
        <v>764</v>
      </c>
    </row>
    <row r="14" spans="1:105" ht="12" customHeight="1" x14ac:dyDescent="0.25">
      <c r="A14" s="60" t="s">
        <v>76</v>
      </c>
      <c r="B14" s="65"/>
      <c r="C14" s="65">
        <f>IF(SER_hh_tes_in!C14=0,0,11630*1000*SER_hh_tes_in!C14/SER_hh_num_in!C14)</f>
        <v>13648.592318731371</v>
      </c>
      <c r="D14" s="65">
        <f>IF(SER_hh_tes_in!D14=0,0,11630*1000*SER_hh_tes_in!D14/SER_hh_num_in!D14)</f>
        <v>17452.874466696598</v>
      </c>
      <c r="E14" s="65">
        <f>IF(SER_hh_tes_in!E14=0,0,11630*1000*SER_hh_tes_in!E14/SER_hh_num_in!E14)</f>
        <v>15851.12075250646</v>
      </c>
      <c r="F14" s="65">
        <f>IF(SER_hh_tes_in!F14=0,0,11630*1000*SER_hh_tes_in!F14/SER_hh_num_in!F14)</f>
        <v>17092.073807251589</v>
      </c>
      <c r="G14" s="65">
        <f>IF(SER_hh_tes_in!G14=0,0,11630*1000*SER_hh_tes_in!G14/SER_hh_num_in!G14)</f>
        <v>18342.541072001393</v>
      </c>
      <c r="H14" s="65">
        <f>IF(SER_hh_tes_in!H14=0,0,11630*1000*SER_hh_tes_in!H14/SER_hh_num_in!H14)</f>
        <v>27424.215055870132</v>
      </c>
      <c r="I14" s="65">
        <f>IF(SER_hh_tes_in!I14=0,0,11630*1000*SER_hh_tes_in!I14/SER_hh_num_in!I14)</f>
        <v>26929.817611712821</v>
      </c>
      <c r="J14" s="65">
        <f>IF(SER_hh_tes_in!J14=0,0,11630*1000*SER_hh_tes_in!J14/SER_hh_num_in!J14)</f>
        <v>29517.779053296781</v>
      </c>
      <c r="K14" s="65">
        <f>IF(SER_hh_tes_in!K14=0,0,11630*1000*SER_hh_tes_in!K14/SER_hh_num_in!K14)</f>
        <v>31559.79532609188</v>
      </c>
      <c r="L14" s="65">
        <f>IF(SER_hh_tes_in!L14=0,0,11630*1000*SER_hh_tes_in!L14/SER_hh_num_in!L14)</f>
        <v>34127.604895027915</v>
      </c>
      <c r="M14" s="65">
        <f>IF(SER_hh_tes_in!M14=0,0,11630*1000*SER_hh_tes_in!M14/SER_hh_num_in!M14)</f>
        <v>0</v>
      </c>
      <c r="N14" s="65">
        <f>IF(SER_hh_tes_in!N14=0,0,11630*1000*SER_hh_tes_in!N14/SER_hh_num_in!N14)</f>
        <v>0</v>
      </c>
      <c r="O14" s="65">
        <f>IF(SER_hh_tes_in!O14=0,0,11630*1000*SER_hh_tes_in!O14/SER_hh_num_in!O14)</f>
        <v>0</v>
      </c>
      <c r="P14" s="65">
        <f>IF(SER_hh_tes_in!P14=0,0,11630*1000*SER_hh_tes_in!P14/SER_hh_num_in!P14)</f>
        <v>0</v>
      </c>
      <c r="Q14" s="65">
        <f>IF(SER_hh_tes_in!Q14=0,0,11630*1000*SER_hh_tes_in!Q14/SER_hh_num_in!Q14)</f>
        <v>24636.393906241639</v>
      </c>
      <c r="R14" s="65">
        <f>IF(SER_hh_tes_in!R14=0,0,11630*1000*SER_hh_tes_in!R14/SER_hh_num_in!R14)</f>
        <v>37624.27574300921</v>
      </c>
      <c r="S14" s="65">
        <f>IF(SER_hh_tes_in!S14=0,0,11630*1000*SER_hh_tes_in!S14/SER_hh_num_in!S14)</f>
        <v>45193.358493549451</v>
      </c>
      <c r="T14" s="65">
        <f>IF(SER_hh_tes_in!T14=0,0,11630*1000*SER_hh_tes_in!T14/SER_hh_num_in!T14)</f>
        <v>44336.783799927471</v>
      </c>
      <c r="U14" s="65">
        <f>IF(SER_hh_tes_in!U14=0,0,11630*1000*SER_hh_tes_in!U14/SER_hh_num_in!U14)</f>
        <v>53382.44956076669</v>
      </c>
      <c r="V14" s="65">
        <f>IF(SER_hh_tes_in!V14=0,0,11630*1000*SER_hh_tes_in!V14/SER_hh_num_in!V14)</f>
        <v>23214.318300073443</v>
      </c>
      <c r="W14" s="65">
        <f>IF(SER_hh_tes_in!W14=0,0,11630*1000*SER_hh_tes_in!W14/SER_hh_num_in!W14)</f>
        <v>37599.075254211704</v>
      </c>
      <c r="DA14" s="109" t="s">
        <v>765</v>
      </c>
    </row>
    <row r="15" spans="1:105" ht="12" customHeight="1" x14ac:dyDescent="0.25">
      <c r="A15" s="134" t="s">
        <v>80</v>
      </c>
      <c r="B15" s="135"/>
      <c r="C15" s="135">
        <f>IF(SER_hh_tes_in!C15=0,0,11630*1000*SER_hh_tes_in!C15/SER_hh_num_in!C15)</f>
        <v>0</v>
      </c>
      <c r="D15" s="135">
        <f>IF(SER_hh_tes_in!D15=0,0,11630*1000*SER_hh_tes_in!D15/SER_hh_num_in!D15)</f>
        <v>0</v>
      </c>
      <c r="E15" s="135">
        <f>IF(SER_hh_tes_in!E15=0,0,11630*1000*SER_hh_tes_in!E15/SER_hh_num_in!E15)</f>
        <v>0</v>
      </c>
      <c r="F15" s="135">
        <f>IF(SER_hh_tes_in!F15=0,0,11630*1000*SER_hh_tes_in!F15/SER_hh_num_in!F15)</f>
        <v>0</v>
      </c>
      <c r="G15" s="135">
        <f>IF(SER_hh_tes_in!G15=0,0,11630*1000*SER_hh_tes_in!G15/SER_hh_num_in!G15)</f>
        <v>0</v>
      </c>
      <c r="H15" s="135">
        <f>IF(SER_hh_tes_in!H15=0,0,11630*1000*SER_hh_tes_in!H15/SER_hh_num_in!H15)</f>
        <v>0</v>
      </c>
      <c r="I15" s="135">
        <f>IF(SER_hh_tes_in!I15=0,0,11630*1000*SER_hh_tes_in!I15/SER_hh_num_in!I15)</f>
        <v>157.74547341188349</v>
      </c>
      <c r="J15" s="135">
        <f>IF(SER_hh_tes_in!J15=0,0,11630*1000*SER_hh_tes_in!J15/SER_hh_num_in!J15)</f>
        <v>556.2670976944114</v>
      </c>
      <c r="K15" s="135">
        <f>IF(SER_hh_tes_in!K15=0,0,11630*1000*SER_hh_tes_in!K15/SER_hh_num_in!K15)</f>
        <v>483.49617015789522</v>
      </c>
      <c r="L15" s="135">
        <f>IF(SER_hh_tes_in!L15=0,0,11630*1000*SER_hh_tes_in!L15/SER_hh_num_in!L15)</f>
        <v>529.63162056789554</v>
      </c>
      <c r="M15" s="135">
        <f>IF(SER_hh_tes_in!M15=0,0,11630*1000*SER_hh_tes_in!M15/SER_hh_num_in!M15)</f>
        <v>502.95815959804924</v>
      </c>
      <c r="N15" s="135">
        <f>IF(SER_hh_tes_in!N15=0,0,11630*1000*SER_hh_tes_in!N15/SER_hh_num_in!N15)</f>
        <v>420.26431353795175</v>
      </c>
      <c r="O15" s="135">
        <f>IF(SER_hh_tes_in!O15=0,0,11630*1000*SER_hh_tes_in!O15/SER_hh_num_in!O15)</f>
        <v>459.60143716345101</v>
      </c>
      <c r="P15" s="135">
        <f>IF(SER_hh_tes_in!P15=0,0,11630*1000*SER_hh_tes_in!P15/SER_hh_num_in!P15)</f>
        <v>157.57566445780867</v>
      </c>
      <c r="Q15" s="135">
        <f>IF(SER_hh_tes_in!Q15=0,0,11630*1000*SER_hh_tes_in!Q15/SER_hh_num_in!Q15)</f>
        <v>324.50668449029064</v>
      </c>
      <c r="R15" s="135">
        <f>IF(SER_hh_tes_in!R15=0,0,11630*1000*SER_hh_tes_in!R15/SER_hh_num_in!R15)</f>
        <v>411.15655429163724</v>
      </c>
      <c r="S15" s="135">
        <f>IF(SER_hh_tes_in!S15=0,0,11630*1000*SER_hh_tes_in!S15/SER_hh_num_in!S15)</f>
        <v>345.26788550224597</v>
      </c>
      <c r="T15" s="135">
        <f>IF(SER_hh_tes_in!T15=0,0,11630*1000*SER_hh_tes_in!T15/SER_hh_num_in!T15)</f>
        <v>571.31210574354054</v>
      </c>
      <c r="U15" s="135">
        <f>IF(SER_hh_tes_in!U15=0,0,11630*1000*SER_hh_tes_in!U15/SER_hh_num_in!U15)</f>
        <v>515.34825210651263</v>
      </c>
      <c r="V15" s="135">
        <f>IF(SER_hh_tes_in!V15=0,0,11630*1000*SER_hh_tes_in!V15/SER_hh_num_in!V15)</f>
        <v>354.25491563366796</v>
      </c>
      <c r="W15" s="135">
        <f>IF(SER_hh_tes_in!W15=0,0,11630*1000*SER_hh_tes_in!W15/SER_hh_num_in!W15)</f>
        <v>347.12824472386751</v>
      </c>
      <c r="DA15" s="158" t="s">
        <v>766</v>
      </c>
    </row>
    <row r="16" spans="1:105" ht="12.95" customHeight="1" x14ac:dyDescent="0.25">
      <c r="A16" s="130" t="s">
        <v>74</v>
      </c>
      <c r="B16" s="131"/>
      <c r="C16" s="131">
        <f>IF(SER_hh_tes_in!C16=0,0,11630*1000*SER_hh_tes_in!C16/SER_hh_num_in!C16)</f>
        <v>72940.868019408881</v>
      </c>
      <c r="D16" s="131">
        <f>IF(SER_hh_tes_in!D16=0,0,11630*1000*SER_hh_tes_in!D16/SER_hh_num_in!D16)</f>
        <v>70478.447548776938</v>
      </c>
      <c r="E16" s="131">
        <f>IF(SER_hh_tes_in!E16=0,0,11630*1000*SER_hh_tes_in!E16/SER_hh_num_in!E16)</f>
        <v>76171.474587885299</v>
      </c>
      <c r="F16" s="131">
        <f>IF(SER_hh_tes_in!F16=0,0,11630*1000*SER_hh_tes_in!F16/SER_hh_num_in!F16)</f>
        <v>63154.371767573706</v>
      </c>
      <c r="G16" s="131">
        <f>IF(SER_hh_tes_in!G16=0,0,11630*1000*SER_hh_tes_in!G16/SER_hh_num_in!G16)</f>
        <v>57769.023244093492</v>
      </c>
      <c r="H16" s="131">
        <f>IF(SER_hh_tes_in!H16=0,0,11630*1000*SER_hh_tes_in!H16/SER_hh_num_in!H16)</f>
        <v>66468.814236984676</v>
      </c>
      <c r="I16" s="131">
        <f>IF(SER_hh_tes_in!I16=0,0,11630*1000*SER_hh_tes_in!I16/SER_hh_num_in!I16)</f>
        <v>74448.112453536189</v>
      </c>
      <c r="J16" s="131">
        <f>IF(SER_hh_tes_in!J16=0,0,11630*1000*SER_hh_tes_in!J16/SER_hh_num_in!J16)</f>
        <v>75800.640584857261</v>
      </c>
      <c r="K16" s="131">
        <f>IF(SER_hh_tes_in!K16=0,0,11630*1000*SER_hh_tes_in!K16/SER_hh_num_in!K16)</f>
        <v>72601.869115739435</v>
      </c>
      <c r="L16" s="131">
        <f>IF(SER_hh_tes_in!L16=0,0,11630*1000*SER_hh_tes_in!L16/SER_hh_num_in!L16)</f>
        <v>75616.413267642391</v>
      </c>
      <c r="M16" s="131">
        <f>IF(SER_hh_tes_in!M16=0,0,11630*1000*SER_hh_tes_in!M16/SER_hh_num_in!M16)</f>
        <v>64548.92374728134</v>
      </c>
      <c r="N16" s="131">
        <f>IF(SER_hh_tes_in!N16=0,0,11630*1000*SER_hh_tes_in!N16/SER_hh_num_in!N16)</f>
        <v>77505.082016497108</v>
      </c>
      <c r="O16" s="131">
        <f>IF(SER_hh_tes_in!O16=0,0,11630*1000*SER_hh_tes_in!O16/SER_hh_num_in!O16)</f>
        <v>64024.306336468668</v>
      </c>
      <c r="P16" s="131">
        <f>IF(SER_hh_tes_in!P16=0,0,11630*1000*SER_hh_tes_in!P16/SER_hh_num_in!P16)</f>
        <v>56195.247377726744</v>
      </c>
      <c r="Q16" s="131">
        <f>IF(SER_hh_tes_in!Q16=0,0,11630*1000*SER_hh_tes_in!Q16/SER_hh_num_in!Q16)</f>
        <v>59667.274470254131</v>
      </c>
      <c r="R16" s="131">
        <f>IF(SER_hh_tes_in!R16=0,0,11630*1000*SER_hh_tes_in!R16/SER_hh_num_in!R16)</f>
        <v>66500.995275234003</v>
      </c>
      <c r="S16" s="131">
        <f>IF(SER_hh_tes_in!S16=0,0,11630*1000*SER_hh_tes_in!S16/SER_hh_num_in!S16)</f>
        <v>61627.67216611265</v>
      </c>
      <c r="T16" s="131">
        <f>IF(SER_hh_tes_in!T16=0,0,11630*1000*SER_hh_tes_in!T16/SER_hh_num_in!T16)</f>
        <v>75896.724698497885</v>
      </c>
      <c r="U16" s="131">
        <f>IF(SER_hh_tes_in!U16=0,0,11630*1000*SER_hh_tes_in!U16/SER_hh_num_in!U16)</f>
        <v>62122.074763182849</v>
      </c>
      <c r="V16" s="131">
        <f>IF(SER_hh_tes_in!V16=0,0,11630*1000*SER_hh_tes_in!V16/SER_hh_num_in!V16)</f>
        <v>65057.904564969263</v>
      </c>
      <c r="W16" s="131">
        <f>IF(SER_hh_tes_in!W16=0,0,11630*1000*SER_hh_tes_in!W16/SER_hh_num_in!W16)</f>
        <v>52806.606287402261</v>
      </c>
      <c r="DA16" s="156" t="s">
        <v>767</v>
      </c>
    </row>
    <row r="17" spans="1:105" ht="12.95" customHeight="1" x14ac:dyDescent="0.25">
      <c r="A17" s="132" t="s">
        <v>73</v>
      </c>
      <c r="B17" s="133"/>
      <c r="C17" s="133">
        <f>IF(SER_hh_tes_in!C17=0,0,11630*1000*SER_hh_tes_in!C17/SER_hh_num_in!C17)</f>
        <v>0</v>
      </c>
      <c r="D17" s="133">
        <f>IF(SER_hh_tes_in!D17=0,0,11630*1000*SER_hh_tes_in!D17/SER_hh_num_in!D17)</f>
        <v>0</v>
      </c>
      <c r="E17" s="133">
        <f>IF(SER_hh_tes_in!E17=0,0,11630*1000*SER_hh_tes_in!E17/SER_hh_num_in!E17)</f>
        <v>0</v>
      </c>
      <c r="F17" s="133">
        <f>IF(SER_hh_tes_in!F17=0,0,11630*1000*SER_hh_tes_in!F17/SER_hh_num_in!F17)</f>
        <v>0</v>
      </c>
      <c r="G17" s="133">
        <f>IF(SER_hh_tes_in!G17=0,0,11630*1000*SER_hh_tes_in!G17/SER_hh_num_in!G17)</f>
        <v>0</v>
      </c>
      <c r="H17" s="133">
        <f>IF(SER_hh_tes_in!H17=0,0,11630*1000*SER_hh_tes_in!H17/SER_hh_num_in!H17)</f>
        <v>0</v>
      </c>
      <c r="I17" s="133">
        <f>IF(SER_hh_tes_in!I17=0,0,11630*1000*SER_hh_tes_in!I17/SER_hh_num_in!I17)</f>
        <v>0</v>
      </c>
      <c r="J17" s="133">
        <f>IF(SER_hh_tes_in!J17=0,0,11630*1000*SER_hh_tes_in!J17/SER_hh_num_in!J17)</f>
        <v>0</v>
      </c>
      <c r="K17" s="133">
        <f>IF(SER_hh_tes_in!K17=0,0,11630*1000*SER_hh_tes_in!K17/SER_hh_num_in!K17)</f>
        <v>0</v>
      </c>
      <c r="L17" s="133">
        <f>IF(SER_hh_tes_in!L17=0,0,11630*1000*SER_hh_tes_in!L17/SER_hh_num_in!L17)</f>
        <v>0</v>
      </c>
      <c r="M17" s="133">
        <f>IF(SER_hh_tes_in!M17=0,0,11630*1000*SER_hh_tes_in!M17/SER_hh_num_in!M17)</f>
        <v>0</v>
      </c>
      <c r="N17" s="133">
        <f>IF(SER_hh_tes_in!N17=0,0,11630*1000*SER_hh_tes_in!N17/SER_hh_num_in!N17)</f>
        <v>0</v>
      </c>
      <c r="O17" s="133">
        <f>IF(SER_hh_tes_in!O17=0,0,11630*1000*SER_hh_tes_in!O17/SER_hh_num_in!O17)</f>
        <v>0</v>
      </c>
      <c r="P17" s="133">
        <f>IF(SER_hh_tes_in!P17=0,0,11630*1000*SER_hh_tes_in!P17/SER_hh_num_in!P17)</f>
        <v>0</v>
      </c>
      <c r="Q17" s="133">
        <f>IF(SER_hh_tes_in!Q17=0,0,11630*1000*SER_hh_tes_in!Q17/SER_hh_num_in!Q17)</f>
        <v>0</v>
      </c>
      <c r="R17" s="133">
        <f>IF(SER_hh_tes_in!R17=0,0,11630*1000*SER_hh_tes_in!R17/SER_hh_num_in!R17)</f>
        <v>0</v>
      </c>
      <c r="S17" s="133">
        <f>IF(SER_hh_tes_in!S17=0,0,11630*1000*SER_hh_tes_in!S17/SER_hh_num_in!S17)</f>
        <v>0</v>
      </c>
      <c r="T17" s="133">
        <f>IF(SER_hh_tes_in!T17=0,0,11630*1000*SER_hh_tes_in!T17/SER_hh_num_in!T17)</f>
        <v>0</v>
      </c>
      <c r="U17" s="133">
        <f>IF(SER_hh_tes_in!U17=0,0,11630*1000*SER_hh_tes_in!U17/SER_hh_num_in!U17)</f>
        <v>0</v>
      </c>
      <c r="V17" s="133">
        <f>IF(SER_hh_tes_in!V17=0,0,11630*1000*SER_hh_tes_in!V17/SER_hh_num_in!V17)</f>
        <v>0</v>
      </c>
      <c r="W17" s="133">
        <f>IF(SER_hh_tes_in!W17=0,0,11630*1000*SER_hh_tes_in!W17/SER_hh_num_in!W17)</f>
        <v>0</v>
      </c>
      <c r="DA17" s="157" t="s">
        <v>768</v>
      </c>
    </row>
    <row r="18" spans="1:105" ht="12" customHeight="1" x14ac:dyDescent="0.25">
      <c r="A18" s="132" t="s">
        <v>72</v>
      </c>
      <c r="B18" s="133"/>
      <c r="C18" s="133">
        <f>IF(SER_hh_tes_in!C18=0,0,11630*1000*SER_hh_tes_in!C18/SER_hh_num_in!C18)</f>
        <v>72940.868019408881</v>
      </c>
      <c r="D18" s="133">
        <f>IF(SER_hh_tes_in!D18=0,0,11630*1000*SER_hh_tes_in!D18/SER_hh_num_in!D18)</f>
        <v>70478.447548776938</v>
      </c>
      <c r="E18" s="133">
        <f>IF(SER_hh_tes_in!E18=0,0,11630*1000*SER_hh_tes_in!E18/SER_hh_num_in!E18)</f>
        <v>76171.474587885299</v>
      </c>
      <c r="F18" s="133">
        <f>IF(SER_hh_tes_in!F18=0,0,11630*1000*SER_hh_tes_in!F18/SER_hh_num_in!F18)</f>
        <v>63154.371767573706</v>
      </c>
      <c r="G18" s="133">
        <f>IF(SER_hh_tes_in!G18=0,0,11630*1000*SER_hh_tes_in!G18/SER_hh_num_in!G18)</f>
        <v>57769.023244093492</v>
      </c>
      <c r="H18" s="133">
        <f>IF(SER_hh_tes_in!H18=0,0,11630*1000*SER_hh_tes_in!H18/SER_hh_num_in!H18)</f>
        <v>66468.814236984676</v>
      </c>
      <c r="I18" s="133">
        <f>IF(SER_hh_tes_in!I18=0,0,11630*1000*SER_hh_tes_in!I18/SER_hh_num_in!I18)</f>
        <v>74448.112453536189</v>
      </c>
      <c r="J18" s="133">
        <f>IF(SER_hh_tes_in!J18=0,0,11630*1000*SER_hh_tes_in!J18/SER_hh_num_in!J18)</f>
        <v>75800.640584857261</v>
      </c>
      <c r="K18" s="133">
        <f>IF(SER_hh_tes_in!K18=0,0,11630*1000*SER_hh_tes_in!K18/SER_hh_num_in!K18)</f>
        <v>72601.869115739435</v>
      </c>
      <c r="L18" s="133">
        <f>IF(SER_hh_tes_in!L18=0,0,11630*1000*SER_hh_tes_in!L18/SER_hh_num_in!L18)</f>
        <v>75616.413267642391</v>
      </c>
      <c r="M18" s="133">
        <f>IF(SER_hh_tes_in!M18=0,0,11630*1000*SER_hh_tes_in!M18/SER_hh_num_in!M18)</f>
        <v>64548.92374728134</v>
      </c>
      <c r="N18" s="133">
        <f>IF(SER_hh_tes_in!N18=0,0,11630*1000*SER_hh_tes_in!N18/SER_hh_num_in!N18)</f>
        <v>77505.082016497108</v>
      </c>
      <c r="O18" s="133">
        <f>IF(SER_hh_tes_in!O18=0,0,11630*1000*SER_hh_tes_in!O18/SER_hh_num_in!O18)</f>
        <v>64024.306336468668</v>
      </c>
      <c r="P18" s="133">
        <f>IF(SER_hh_tes_in!P18=0,0,11630*1000*SER_hh_tes_in!P18/SER_hh_num_in!P18)</f>
        <v>56195.247377726744</v>
      </c>
      <c r="Q18" s="133">
        <f>IF(SER_hh_tes_in!Q18=0,0,11630*1000*SER_hh_tes_in!Q18/SER_hh_num_in!Q18)</f>
        <v>59667.274470254131</v>
      </c>
      <c r="R18" s="133">
        <f>IF(SER_hh_tes_in!R18=0,0,11630*1000*SER_hh_tes_in!R18/SER_hh_num_in!R18)</f>
        <v>66500.995275234003</v>
      </c>
      <c r="S18" s="133">
        <f>IF(SER_hh_tes_in!S18=0,0,11630*1000*SER_hh_tes_in!S18/SER_hh_num_in!S18)</f>
        <v>61627.67216611265</v>
      </c>
      <c r="T18" s="133">
        <f>IF(SER_hh_tes_in!T18=0,0,11630*1000*SER_hh_tes_in!T18/SER_hh_num_in!T18)</f>
        <v>75896.724698497885</v>
      </c>
      <c r="U18" s="133">
        <f>IF(SER_hh_tes_in!U18=0,0,11630*1000*SER_hh_tes_in!U18/SER_hh_num_in!U18)</f>
        <v>62122.074763182849</v>
      </c>
      <c r="V18" s="133">
        <f>IF(SER_hh_tes_in!V18=0,0,11630*1000*SER_hh_tes_in!V18/SER_hh_num_in!V18)</f>
        <v>65057.904564969263</v>
      </c>
      <c r="W18" s="133">
        <f>IF(SER_hh_tes_in!W18=0,0,11630*1000*SER_hh_tes_in!W18/SER_hh_num_in!W18)</f>
        <v>52806.606287402261</v>
      </c>
      <c r="DA18" s="157" t="s">
        <v>769</v>
      </c>
    </row>
    <row r="19" spans="1:105" ht="12.95" customHeight="1" x14ac:dyDescent="0.25">
      <c r="A19" s="130" t="s">
        <v>35</v>
      </c>
      <c r="B19" s="131"/>
      <c r="C19" s="131">
        <f>IF(SER_hh_tes_in!C19=0,0,11630*1000*SER_hh_tes_in!C19/SER_hh_num_in!C19)</f>
        <v>11628.568762324767</v>
      </c>
      <c r="D19" s="131">
        <f>IF(SER_hh_tes_in!D19=0,0,11630*1000*SER_hh_tes_in!D19/SER_hh_num_in!D19)</f>
        <v>11595.389081913898</v>
      </c>
      <c r="E19" s="131">
        <f>IF(SER_hh_tes_in!E19=0,0,11630*1000*SER_hh_tes_in!E19/SER_hh_num_in!E19)</f>
        <v>11562.285646312745</v>
      </c>
      <c r="F19" s="131">
        <f>IF(SER_hh_tes_in!F19=0,0,11630*1000*SER_hh_tes_in!F19/SER_hh_num_in!F19)</f>
        <v>11526.74809377181</v>
      </c>
      <c r="G19" s="131">
        <f>IF(SER_hh_tes_in!G19=0,0,11630*1000*SER_hh_tes_in!G19/SER_hh_num_in!G19)</f>
        <v>11545.422485376113</v>
      </c>
      <c r="H19" s="131">
        <f>IF(SER_hh_tes_in!H19=0,0,11630*1000*SER_hh_tes_in!H19/SER_hh_num_in!H19)</f>
        <v>17089.052997340794</v>
      </c>
      <c r="I19" s="131">
        <f>IF(SER_hh_tes_in!I19=0,0,11630*1000*SER_hh_tes_in!I19/SER_hh_num_in!I19)</f>
        <v>14206.733898145827</v>
      </c>
      <c r="J19" s="131">
        <f>IF(SER_hh_tes_in!J19=0,0,11630*1000*SER_hh_tes_in!J19/SER_hh_num_in!J19)</f>
        <v>12946.086984682412</v>
      </c>
      <c r="K19" s="131">
        <f>IF(SER_hh_tes_in!K19=0,0,11630*1000*SER_hh_tes_in!K19/SER_hh_num_in!K19)</f>
        <v>11188.54266953377</v>
      </c>
      <c r="L19" s="131">
        <f>IF(SER_hh_tes_in!L19=0,0,11630*1000*SER_hh_tes_in!L19/SER_hh_num_in!L19)</f>
        <v>11107.627024581041</v>
      </c>
      <c r="M19" s="131">
        <f>IF(SER_hh_tes_in!M19=0,0,11630*1000*SER_hh_tes_in!M19/SER_hh_num_in!M19)</f>
        <v>10931.664579838398</v>
      </c>
      <c r="N19" s="131">
        <f>IF(SER_hh_tes_in!N19=0,0,11630*1000*SER_hh_tes_in!N19/SER_hh_num_in!N19)</f>
        <v>10899.859326157519</v>
      </c>
      <c r="O19" s="131">
        <f>IF(SER_hh_tes_in!O19=0,0,11630*1000*SER_hh_tes_in!O19/SER_hh_num_in!O19)</f>
        <v>11092.070382349992</v>
      </c>
      <c r="P19" s="131">
        <f>IF(SER_hh_tes_in!P19=0,0,11630*1000*SER_hh_tes_in!P19/SER_hh_num_in!P19)</f>
        <v>13596.606037363976</v>
      </c>
      <c r="Q19" s="131">
        <f>IF(SER_hh_tes_in!Q19=0,0,11630*1000*SER_hh_tes_in!Q19/SER_hh_num_in!Q19)</f>
        <v>13130.752309763824</v>
      </c>
      <c r="R19" s="131">
        <f>IF(SER_hh_tes_in!R19=0,0,11630*1000*SER_hh_tes_in!R19/SER_hh_num_in!R19)</f>
        <v>12467.555687672198</v>
      </c>
      <c r="S19" s="131">
        <f>IF(SER_hh_tes_in!S19=0,0,11630*1000*SER_hh_tes_in!S19/SER_hh_num_in!S19)</f>
        <v>11614.479968243431</v>
      </c>
      <c r="T19" s="131">
        <f>IF(SER_hh_tes_in!T19=0,0,11630*1000*SER_hh_tes_in!T19/SER_hh_num_in!T19)</f>
        <v>11677.402543809834</v>
      </c>
      <c r="U19" s="131">
        <f>IF(SER_hh_tes_in!U19=0,0,11630*1000*SER_hh_tes_in!U19/SER_hh_num_in!U19)</f>
        <v>11664.519848289981</v>
      </c>
      <c r="V19" s="131">
        <f>IF(SER_hh_tes_in!V19=0,0,11630*1000*SER_hh_tes_in!V19/SER_hh_num_in!V19)</f>
        <v>10506.340937939514</v>
      </c>
      <c r="W19" s="131">
        <f>IF(SER_hh_tes_in!W19=0,0,11630*1000*SER_hh_tes_in!W19/SER_hh_num_in!W19)</f>
        <v>10509.093664603728</v>
      </c>
      <c r="DA19" s="156" t="s">
        <v>770</v>
      </c>
    </row>
    <row r="20" spans="1:105" ht="12" customHeight="1" x14ac:dyDescent="0.25">
      <c r="A20" s="132" t="s">
        <v>29</v>
      </c>
      <c r="B20" s="133"/>
      <c r="C20" s="133">
        <f>IF(SER_hh_tes_in!C20=0,0,11630*1000*SER_hh_tes_in!C20/SER_hh_num_in!C20)</f>
        <v>0</v>
      </c>
      <c r="D20" s="133">
        <f>IF(SER_hh_tes_in!D20=0,0,11630*1000*SER_hh_tes_in!D20/SER_hh_num_in!D20)</f>
        <v>0</v>
      </c>
      <c r="E20" s="133">
        <f>IF(SER_hh_tes_in!E20=0,0,11630*1000*SER_hh_tes_in!E20/SER_hh_num_in!E20)</f>
        <v>0</v>
      </c>
      <c r="F20" s="133">
        <f>IF(SER_hh_tes_in!F20=0,0,11630*1000*SER_hh_tes_in!F20/SER_hh_num_in!F20)</f>
        <v>0</v>
      </c>
      <c r="G20" s="133">
        <f>IF(SER_hh_tes_in!G20=0,0,11630*1000*SER_hh_tes_in!G20/SER_hh_num_in!G20)</f>
        <v>0</v>
      </c>
      <c r="H20" s="133">
        <f>IF(SER_hh_tes_in!H20=0,0,11630*1000*SER_hh_tes_in!H20/SER_hh_num_in!H20)</f>
        <v>0</v>
      </c>
      <c r="I20" s="133">
        <f>IF(SER_hh_tes_in!I20=0,0,11630*1000*SER_hh_tes_in!I20/SER_hh_num_in!I20)</f>
        <v>0</v>
      </c>
      <c r="J20" s="133">
        <f>IF(SER_hh_tes_in!J20=0,0,11630*1000*SER_hh_tes_in!J20/SER_hh_num_in!J20)</f>
        <v>0</v>
      </c>
      <c r="K20" s="133">
        <f>IF(SER_hh_tes_in!K20=0,0,11630*1000*SER_hh_tes_in!K20/SER_hh_num_in!K20)</f>
        <v>0</v>
      </c>
      <c r="L20" s="133">
        <f>IF(SER_hh_tes_in!L20=0,0,11630*1000*SER_hh_tes_in!L20/SER_hh_num_in!L20)</f>
        <v>0</v>
      </c>
      <c r="M20" s="133">
        <f>IF(SER_hh_tes_in!M20=0,0,11630*1000*SER_hh_tes_in!M20/SER_hh_num_in!M20)</f>
        <v>0</v>
      </c>
      <c r="N20" s="133">
        <f>IF(SER_hh_tes_in!N20=0,0,11630*1000*SER_hh_tes_in!N20/SER_hh_num_in!N20)</f>
        <v>0</v>
      </c>
      <c r="O20" s="133">
        <f>IF(SER_hh_tes_in!O20=0,0,11630*1000*SER_hh_tes_in!O20/SER_hh_num_in!O20)</f>
        <v>0</v>
      </c>
      <c r="P20" s="133">
        <f>IF(SER_hh_tes_in!P20=0,0,11630*1000*SER_hh_tes_in!P20/SER_hh_num_in!P20)</f>
        <v>0</v>
      </c>
      <c r="Q20" s="133">
        <f>IF(SER_hh_tes_in!Q20=0,0,11630*1000*SER_hh_tes_in!Q20/SER_hh_num_in!Q20)</f>
        <v>0</v>
      </c>
      <c r="R20" s="133">
        <f>IF(SER_hh_tes_in!R20=0,0,11630*1000*SER_hh_tes_in!R20/SER_hh_num_in!R20)</f>
        <v>0</v>
      </c>
      <c r="S20" s="133">
        <f>IF(SER_hh_tes_in!S20=0,0,11630*1000*SER_hh_tes_in!S20/SER_hh_num_in!S20)</f>
        <v>0</v>
      </c>
      <c r="T20" s="133">
        <f>IF(SER_hh_tes_in!T20=0,0,11630*1000*SER_hh_tes_in!T20/SER_hh_num_in!T20)</f>
        <v>0</v>
      </c>
      <c r="U20" s="133">
        <f>IF(SER_hh_tes_in!U20=0,0,11630*1000*SER_hh_tes_in!U20/SER_hh_num_in!U20)</f>
        <v>0</v>
      </c>
      <c r="V20" s="133">
        <f>IF(SER_hh_tes_in!V20=0,0,11630*1000*SER_hh_tes_in!V20/SER_hh_num_in!V20)</f>
        <v>0</v>
      </c>
      <c r="W20" s="133">
        <f>IF(SER_hh_tes_in!W20=0,0,11630*1000*SER_hh_tes_in!W20/SER_hh_num_in!W20)</f>
        <v>0</v>
      </c>
      <c r="DA20" s="157" t="s">
        <v>771</v>
      </c>
    </row>
    <row r="21" spans="1:105" s="2" customFormat="1" ht="12" customHeight="1" x14ac:dyDescent="0.25">
      <c r="A21" s="132" t="s">
        <v>52</v>
      </c>
      <c r="B21" s="133"/>
      <c r="C21" s="133">
        <f>IF(SER_hh_tes_in!C21=0,0,11630*1000*SER_hh_tes_in!C21/SER_hh_num_in!C21)</f>
        <v>0</v>
      </c>
      <c r="D21" s="133">
        <f>IF(SER_hh_tes_in!D21=0,0,11630*1000*SER_hh_tes_in!D21/SER_hh_num_in!D21)</f>
        <v>0</v>
      </c>
      <c r="E21" s="133">
        <f>IF(SER_hh_tes_in!E21=0,0,11630*1000*SER_hh_tes_in!E21/SER_hh_num_in!E21)</f>
        <v>0</v>
      </c>
      <c r="F21" s="133">
        <f>IF(SER_hh_tes_in!F21=0,0,11630*1000*SER_hh_tes_in!F21/SER_hh_num_in!F21)</f>
        <v>0</v>
      </c>
      <c r="G21" s="133">
        <f>IF(SER_hh_tes_in!G21=0,0,11630*1000*SER_hh_tes_in!G21/SER_hh_num_in!G21)</f>
        <v>0</v>
      </c>
      <c r="H21" s="133">
        <f>IF(SER_hh_tes_in!H21=0,0,11630*1000*SER_hh_tes_in!H21/SER_hh_num_in!H21)</f>
        <v>7963.1883480691677</v>
      </c>
      <c r="I21" s="133">
        <f>IF(SER_hh_tes_in!I21=0,0,11630*1000*SER_hh_tes_in!I21/SER_hh_num_in!I21)</f>
        <v>7432.5445990573216</v>
      </c>
      <c r="J21" s="133">
        <f>IF(SER_hh_tes_in!J21=0,0,11630*1000*SER_hh_tes_in!J21/SER_hh_num_in!J21)</f>
        <v>7144.5841298548721</v>
      </c>
      <c r="K21" s="133">
        <f>IF(SER_hh_tes_in!K21=0,0,11630*1000*SER_hh_tes_in!K21/SER_hh_num_in!K21)</f>
        <v>9794.1152341391298</v>
      </c>
      <c r="L21" s="133">
        <f>IF(SER_hh_tes_in!L21=0,0,11630*1000*SER_hh_tes_in!L21/SER_hh_num_in!L21)</f>
        <v>12844.586335530925</v>
      </c>
      <c r="M21" s="133">
        <f>IF(SER_hh_tes_in!M21=0,0,11630*1000*SER_hh_tes_in!M21/SER_hh_num_in!M21)</f>
        <v>0</v>
      </c>
      <c r="N21" s="133">
        <f>IF(SER_hh_tes_in!N21=0,0,11630*1000*SER_hh_tes_in!N21/SER_hh_num_in!N21)</f>
        <v>0</v>
      </c>
      <c r="O21" s="133">
        <f>IF(SER_hh_tes_in!O21=0,0,11630*1000*SER_hh_tes_in!O21/SER_hh_num_in!O21)</f>
        <v>0</v>
      </c>
      <c r="P21" s="133">
        <f>IF(SER_hh_tes_in!P21=0,0,11630*1000*SER_hh_tes_in!P21/SER_hh_num_in!P21)</f>
        <v>0</v>
      </c>
      <c r="Q21" s="133">
        <f>IF(SER_hh_tes_in!Q21=0,0,11630*1000*SER_hh_tes_in!Q21/SER_hh_num_in!Q21)</f>
        <v>0</v>
      </c>
      <c r="R21" s="133">
        <f>IF(SER_hh_tes_in!R21=0,0,11630*1000*SER_hh_tes_in!R21/SER_hh_num_in!R21)</f>
        <v>8339.047424168004</v>
      </c>
      <c r="S21" s="133">
        <f>IF(SER_hh_tes_in!S21=0,0,11630*1000*SER_hh_tes_in!S21/SER_hh_num_in!S21)</f>
        <v>7136.5967489126879</v>
      </c>
      <c r="T21" s="133">
        <f>IF(SER_hh_tes_in!T21=0,0,11630*1000*SER_hh_tes_in!T21/SER_hh_num_in!T21)</f>
        <v>9967.0543190851331</v>
      </c>
      <c r="U21" s="133">
        <f>IF(SER_hh_tes_in!U21=0,0,11630*1000*SER_hh_tes_in!U21/SER_hh_num_in!U21)</f>
        <v>10054.474298698928</v>
      </c>
      <c r="V21" s="133">
        <f>IF(SER_hh_tes_in!V21=0,0,11630*1000*SER_hh_tes_in!V21/SER_hh_num_in!V21)</f>
        <v>6907.3992253956903</v>
      </c>
      <c r="W21" s="133">
        <f>IF(SER_hh_tes_in!W21=0,0,11630*1000*SER_hh_tes_in!W21/SER_hh_num_in!W21)</f>
        <v>8886.4838031144209</v>
      </c>
      <c r="DA21" s="157" t="s">
        <v>772</v>
      </c>
    </row>
    <row r="22" spans="1:105" ht="12" customHeight="1" x14ac:dyDescent="0.25">
      <c r="A22" s="132" t="s">
        <v>168</v>
      </c>
      <c r="B22" s="133"/>
      <c r="C22" s="133">
        <f>IF(SER_hh_tes_in!C22=0,0,11630*1000*SER_hh_tes_in!C22/SER_hh_num_in!C22)</f>
        <v>11098.789350820332</v>
      </c>
      <c r="D22" s="133">
        <f>IF(SER_hh_tes_in!D22=0,0,11630*1000*SER_hh_tes_in!D22/SER_hh_num_in!D22)</f>
        <v>3625.5990214805743</v>
      </c>
      <c r="E22" s="133">
        <f>IF(SER_hh_tes_in!E22=0,0,11630*1000*SER_hh_tes_in!E22/SER_hh_num_in!E22)</f>
        <v>7988.673614518365</v>
      </c>
      <c r="F22" s="133">
        <f>IF(SER_hh_tes_in!F22=0,0,11630*1000*SER_hh_tes_in!F22/SER_hh_num_in!F22)</f>
        <v>8988.8937721962157</v>
      </c>
      <c r="G22" s="133">
        <f>IF(SER_hh_tes_in!G22=0,0,11630*1000*SER_hh_tes_in!G22/SER_hh_num_in!G22)</f>
        <v>8323.9072590871056</v>
      </c>
      <c r="H22" s="133">
        <f>IF(SER_hh_tes_in!H22=0,0,11630*1000*SER_hh_tes_in!H22/SER_hh_num_in!H22)</f>
        <v>10908.42811486975</v>
      </c>
      <c r="I22" s="133">
        <f>IF(SER_hh_tes_in!I22=0,0,11630*1000*SER_hh_tes_in!I22/SER_hh_num_in!I22)</f>
        <v>5300.8630932683118</v>
      </c>
      <c r="J22" s="133">
        <f>IF(SER_hh_tes_in!J22=0,0,11630*1000*SER_hh_tes_in!J22/SER_hh_num_in!J22)</f>
        <v>5998.4231146789198</v>
      </c>
      <c r="K22" s="133">
        <f>IF(SER_hh_tes_in!K22=0,0,11630*1000*SER_hh_tes_in!K22/SER_hh_num_in!K22)</f>
        <v>9240.4078947767248</v>
      </c>
      <c r="L22" s="133">
        <f>IF(SER_hh_tes_in!L22=0,0,11630*1000*SER_hh_tes_in!L22/SER_hh_num_in!L22)</f>
        <v>12060.759352766052</v>
      </c>
      <c r="M22" s="133">
        <f>IF(SER_hh_tes_in!M22=0,0,11630*1000*SER_hh_tes_in!M22/SER_hh_num_in!M22)</f>
        <v>10732.539569289906</v>
      </c>
      <c r="N22" s="133">
        <f>IF(SER_hh_tes_in!N22=0,0,11630*1000*SER_hh_tes_in!N22/SER_hh_num_in!N22)</f>
        <v>12434.199848753202</v>
      </c>
      <c r="O22" s="133">
        <f>IF(SER_hh_tes_in!O22=0,0,11630*1000*SER_hh_tes_in!O22/SER_hh_num_in!O22)</f>
        <v>12193.403831059824</v>
      </c>
      <c r="P22" s="133">
        <f>IF(SER_hh_tes_in!P22=0,0,11630*1000*SER_hh_tes_in!P22/SER_hh_num_in!P22)</f>
        <v>9875.0735906594327</v>
      </c>
      <c r="Q22" s="133">
        <f>IF(SER_hh_tes_in!Q22=0,0,11630*1000*SER_hh_tes_in!Q22/SER_hh_num_in!Q22)</f>
        <v>5919.7477340165879</v>
      </c>
      <c r="R22" s="133">
        <f>IF(SER_hh_tes_in!R22=0,0,11630*1000*SER_hh_tes_in!R22/SER_hh_num_in!R22)</f>
        <v>7498.816915825515</v>
      </c>
      <c r="S22" s="133">
        <f>IF(SER_hh_tes_in!S22=0,0,11630*1000*SER_hh_tes_in!S22/SER_hh_num_in!S22)</f>
        <v>6423.5762827241388</v>
      </c>
      <c r="T22" s="133">
        <f>IF(SER_hh_tes_in!T22=0,0,11630*1000*SER_hh_tes_in!T22/SER_hh_num_in!T22)</f>
        <v>9678.3751140700315</v>
      </c>
      <c r="U22" s="133">
        <f>IF(SER_hh_tes_in!U22=0,0,11630*1000*SER_hh_tes_in!U22/SER_hh_num_in!U22)</f>
        <v>9287.7945151161784</v>
      </c>
      <c r="V22" s="133">
        <f>IF(SER_hh_tes_in!V22=0,0,11630*1000*SER_hh_tes_in!V22/SER_hh_num_in!V22)</f>
        <v>6436.2938351140774</v>
      </c>
      <c r="W22" s="133">
        <f>IF(SER_hh_tes_in!W22=0,0,11630*1000*SER_hh_tes_in!W22/SER_hh_num_in!W22)</f>
        <v>9372.2346647945524</v>
      </c>
      <c r="DA22" s="157" t="s">
        <v>773</v>
      </c>
    </row>
    <row r="23" spans="1:105" ht="12" customHeight="1" x14ac:dyDescent="0.25">
      <c r="A23" s="132" t="s">
        <v>153</v>
      </c>
      <c r="B23" s="133"/>
      <c r="C23" s="133">
        <f>IF(SER_hh_tes_in!C23=0,0,11630*1000*SER_hh_tes_in!C23/SER_hh_num_in!C23)</f>
        <v>0</v>
      </c>
      <c r="D23" s="133">
        <f>IF(SER_hh_tes_in!D23=0,0,11630*1000*SER_hh_tes_in!D23/SER_hh_num_in!D23)</f>
        <v>0</v>
      </c>
      <c r="E23" s="133">
        <f>IF(SER_hh_tes_in!E23=0,0,11630*1000*SER_hh_tes_in!E23/SER_hh_num_in!E23)</f>
        <v>0</v>
      </c>
      <c r="F23" s="133">
        <f>IF(SER_hh_tes_in!F23=0,0,11630*1000*SER_hh_tes_in!F23/SER_hh_num_in!F23)</f>
        <v>0</v>
      </c>
      <c r="G23" s="133">
        <f>IF(SER_hh_tes_in!G23=0,0,11630*1000*SER_hh_tes_in!G23/SER_hh_num_in!G23)</f>
        <v>0</v>
      </c>
      <c r="H23" s="133">
        <f>IF(SER_hh_tes_in!H23=0,0,11630*1000*SER_hh_tes_in!H23/SER_hh_num_in!H23)</f>
        <v>0</v>
      </c>
      <c r="I23" s="133">
        <f>IF(SER_hh_tes_in!I23=0,0,11630*1000*SER_hh_tes_in!I23/SER_hh_num_in!I23)</f>
        <v>0</v>
      </c>
      <c r="J23" s="133">
        <f>IF(SER_hh_tes_in!J23=0,0,11630*1000*SER_hh_tes_in!J23/SER_hh_num_in!J23)</f>
        <v>0</v>
      </c>
      <c r="K23" s="133">
        <f>IF(SER_hh_tes_in!K23=0,0,11630*1000*SER_hh_tes_in!K23/SER_hh_num_in!K23)</f>
        <v>0</v>
      </c>
      <c r="L23" s="133">
        <f>IF(SER_hh_tes_in!L23=0,0,11630*1000*SER_hh_tes_in!L23/SER_hh_num_in!L23)</f>
        <v>0</v>
      </c>
      <c r="M23" s="133">
        <f>IF(SER_hh_tes_in!M23=0,0,11630*1000*SER_hh_tes_in!M23/SER_hh_num_in!M23)</f>
        <v>0</v>
      </c>
      <c r="N23" s="133">
        <f>IF(SER_hh_tes_in!N23=0,0,11630*1000*SER_hh_tes_in!N23/SER_hh_num_in!N23)</f>
        <v>0</v>
      </c>
      <c r="O23" s="133">
        <f>IF(SER_hh_tes_in!O23=0,0,11630*1000*SER_hh_tes_in!O23/SER_hh_num_in!O23)</f>
        <v>0</v>
      </c>
      <c r="P23" s="133">
        <f>IF(SER_hh_tes_in!P23=0,0,11630*1000*SER_hh_tes_in!P23/SER_hh_num_in!P23)</f>
        <v>0</v>
      </c>
      <c r="Q23" s="133">
        <f>IF(SER_hh_tes_in!Q23=0,0,11630*1000*SER_hh_tes_in!Q23/SER_hh_num_in!Q23)</f>
        <v>0</v>
      </c>
      <c r="R23" s="133">
        <f>IF(SER_hh_tes_in!R23=0,0,11630*1000*SER_hh_tes_in!R23/SER_hh_num_in!R23)</f>
        <v>0</v>
      </c>
      <c r="S23" s="133">
        <f>IF(SER_hh_tes_in!S23=0,0,11630*1000*SER_hh_tes_in!S23/SER_hh_num_in!S23)</f>
        <v>0</v>
      </c>
      <c r="T23" s="133">
        <f>IF(SER_hh_tes_in!T23=0,0,11630*1000*SER_hh_tes_in!T23/SER_hh_num_in!T23)</f>
        <v>0</v>
      </c>
      <c r="U23" s="133">
        <f>IF(SER_hh_tes_in!U23=0,0,11630*1000*SER_hh_tes_in!U23/SER_hh_num_in!U23)</f>
        <v>0</v>
      </c>
      <c r="V23" s="133">
        <f>IF(SER_hh_tes_in!V23=0,0,11630*1000*SER_hh_tes_in!V23/SER_hh_num_in!V23)</f>
        <v>0</v>
      </c>
      <c r="W23" s="133">
        <f>IF(SER_hh_tes_in!W23=0,0,11630*1000*SER_hh_tes_in!W23/SER_hh_num_in!W23)</f>
        <v>0</v>
      </c>
      <c r="DA23" s="157" t="s">
        <v>774</v>
      </c>
    </row>
    <row r="24" spans="1:105" ht="12" customHeight="1" x14ac:dyDescent="0.25">
      <c r="A24" s="132" t="s">
        <v>128</v>
      </c>
      <c r="B24" s="133"/>
      <c r="C24" s="133">
        <f>IF(SER_hh_tes_in!C24=0,0,11630*1000*SER_hh_tes_in!C24/SER_hh_num_in!C24)</f>
        <v>0</v>
      </c>
      <c r="D24" s="133">
        <f>IF(SER_hh_tes_in!D24=0,0,11630*1000*SER_hh_tes_in!D24/SER_hh_num_in!D24)</f>
        <v>0</v>
      </c>
      <c r="E24" s="133">
        <f>IF(SER_hh_tes_in!E24=0,0,11630*1000*SER_hh_tes_in!E24/SER_hh_num_in!E24)</f>
        <v>0</v>
      </c>
      <c r="F24" s="133">
        <f>IF(SER_hh_tes_in!F24=0,0,11630*1000*SER_hh_tes_in!F24/SER_hh_num_in!F24)</f>
        <v>0</v>
      </c>
      <c r="G24" s="133">
        <f>IF(SER_hh_tes_in!G24=0,0,11630*1000*SER_hh_tes_in!G24/SER_hh_num_in!G24)</f>
        <v>0</v>
      </c>
      <c r="H24" s="133">
        <f>IF(SER_hh_tes_in!H24=0,0,11630*1000*SER_hh_tes_in!H24/SER_hh_num_in!H24)</f>
        <v>0</v>
      </c>
      <c r="I24" s="133">
        <f>IF(SER_hh_tes_in!I24=0,0,11630*1000*SER_hh_tes_in!I24/SER_hh_num_in!I24)</f>
        <v>0</v>
      </c>
      <c r="J24" s="133">
        <f>IF(SER_hh_tes_in!J24=0,0,11630*1000*SER_hh_tes_in!J24/SER_hh_num_in!J24)</f>
        <v>0</v>
      </c>
      <c r="K24" s="133">
        <f>IF(SER_hh_tes_in!K24=0,0,11630*1000*SER_hh_tes_in!K24/SER_hh_num_in!K24)</f>
        <v>0</v>
      </c>
      <c r="L24" s="133">
        <f>IF(SER_hh_tes_in!L24=0,0,11630*1000*SER_hh_tes_in!L24/SER_hh_num_in!L24)</f>
        <v>0</v>
      </c>
      <c r="M24" s="133">
        <f>IF(SER_hh_tes_in!M24=0,0,11630*1000*SER_hh_tes_in!M24/SER_hh_num_in!M24)</f>
        <v>0</v>
      </c>
      <c r="N24" s="133">
        <f>IF(SER_hh_tes_in!N24=0,0,11630*1000*SER_hh_tes_in!N24/SER_hh_num_in!N24)</f>
        <v>0</v>
      </c>
      <c r="O24" s="133">
        <f>IF(SER_hh_tes_in!O24=0,0,11630*1000*SER_hh_tes_in!O24/SER_hh_num_in!O24)</f>
        <v>0</v>
      </c>
      <c r="P24" s="133">
        <f>IF(SER_hh_tes_in!P24=0,0,11630*1000*SER_hh_tes_in!P24/SER_hh_num_in!P24)</f>
        <v>0</v>
      </c>
      <c r="Q24" s="133">
        <f>IF(SER_hh_tes_in!Q24=0,0,11630*1000*SER_hh_tes_in!Q24/SER_hh_num_in!Q24)</f>
        <v>0</v>
      </c>
      <c r="R24" s="133">
        <f>IF(SER_hh_tes_in!R24=0,0,11630*1000*SER_hh_tes_in!R24/SER_hh_num_in!R24)</f>
        <v>0</v>
      </c>
      <c r="S24" s="133">
        <f>IF(SER_hh_tes_in!S24=0,0,11630*1000*SER_hh_tes_in!S24/SER_hh_num_in!S24)</f>
        <v>0</v>
      </c>
      <c r="T24" s="133">
        <f>IF(SER_hh_tes_in!T24=0,0,11630*1000*SER_hh_tes_in!T24/SER_hh_num_in!T24)</f>
        <v>0</v>
      </c>
      <c r="U24" s="133">
        <f>IF(SER_hh_tes_in!U24=0,0,11630*1000*SER_hh_tes_in!U24/SER_hh_num_in!U24)</f>
        <v>0</v>
      </c>
      <c r="V24" s="133">
        <f>IF(SER_hh_tes_in!V24=0,0,11630*1000*SER_hh_tes_in!V24/SER_hh_num_in!V24)</f>
        <v>0</v>
      </c>
      <c r="W24" s="133">
        <f>IF(SER_hh_tes_in!W24=0,0,11630*1000*SER_hh_tes_in!W24/SER_hh_num_in!W24)</f>
        <v>0</v>
      </c>
      <c r="DA24" s="157" t="s">
        <v>775</v>
      </c>
    </row>
    <row r="25" spans="1:105" ht="12" customHeight="1" x14ac:dyDescent="0.25">
      <c r="A25" s="132" t="s">
        <v>169</v>
      </c>
      <c r="B25" s="133"/>
      <c r="C25" s="133">
        <f>IF(SER_hh_tes_in!C25=0,0,11630*1000*SER_hh_tes_in!C25/SER_hh_num_in!C25)</f>
        <v>0</v>
      </c>
      <c r="D25" s="133">
        <f>IF(SER_hh_tes_in!D25=0,0,11630*1000*SER_hh_tes_in!D25/SER_hh_num_in!D25)</f>
        <v>0</v>
      </c>
      <c r="E25" s="133">
        <f>IF(SER_hh_tes_in!E25=0,0,11630*1000*SER_hh_tes_in!E25/SER_hh_num_in!E25)</f>
        <v>0</v>
      </c>
      <c r="F25" s="133">
        <f>IF(SER_hh_tes_in!F25=0,0,11630*1000*SER_hh_tes_in!F25/SER_hh_num_in!F25)</f>
        <v>0</v>
      </c>
      <c r="G25" s="133">
        <f>IF(SER_hh_tes_in!G25=0,0,11630*1000*SER_hh_tes_in!G25/SER_hh_num_in!G25)</f>
        <v>0</v>
      </c>
      <c r="H25" s="133">
        <f>IF(SER_hh_tes_in!H25=0,0,11630*1000*SER_hh_tes_in!H25/SER_hh_num_in!H25)</f>
        <v>0</v>
      </c>
      <c r="I25" s="133">
        <f>IF(SER_hh_tes_in!I25=0,0,11630*1000*SER_hh_tes_in!I25/SER_hh_num_in!I25)</f>
        <v>0</v>
      </c>
      <c r="J25" s="133">
        <f>IF(SER_hh_tes_in!J25=0,0,11630*1000*SER_hh_tes_in!J25/SER_hh_num_in!J25)</f>
        <v>0</v>
      </c>
      <c r="K25" s="133">
        <f>IF(SER_hh_tes_in!K25=0,0,11630*1000*SER_hh_tes_in!K25/SER_hh_num_in!K25)</f>
        <v>0</v>
      </c>
      <c r="L25" s="133">
        <f>IF(SER_hh_tes_in!L25=0,0,11630*1000*SER_hh_tes_in!L25/SER_hh_num_in!L25)</f>
        <v>0</v>
      </c>
      <c r="M25" s="133">
        <f>IF(SER_hh_tes_in!M25=0,0,11630*1000*SER_hh_tes_in!M25/SER_hh_num_in!M25)</f>
        <v>0</v>
      </c>
      <c r="N25" s="133">
        <f>IF(SER_hh_tes_in!N25=0,0,11630*1000*SER_hh_tes_in!N25/SER_hh_num_in!N25)</f>
        <v>0</v>
      </c>
      <c r="O25" s="133">
        <f>IF(SER_hh_tes_in!O25=0,0,11630*1000*SER_hh_tes_in!O25/SER_hh_num_in!O25)</f>
        <v>0</v>
      </c>
      <c r="P25" s="133">
        <f>IF(SER_hh_tes_in!P25=0,0,11630*1000*SER_hh_tes_in!P25/SER_hh_num_in!P25)</f>
        <v>0</v>
      </c>
      <c r="Q25" s="133">
        <f>IF(SER_hh_tes_in!Q25=0,0,11630*1000*SER_hh_tes_in!Q25/SER_hh_num_in!Q25)</f>
        <v>0</v>
      </c>
      <c r="R25" s="133">
        <f>IF(SER_hh_tes_in!R25=0,0,11630*1000*SER_hh_tes_in!R25/SER_hh_num_in!R25)</f>
        <v>0</v>
      </c>
      <c r="S25" s="133">
        <f>IF(SER_hh_tes_in!S25=0,0,11630*1000*SER_hh_tes_in!S25/SER_hh_num_in!S25)</f>
        <v>0</v>
      </c>
      <c r="T25" s="133">
        <f>IF(SER_hh_tes_in!T25=0,0,11630*1000*SER_hh_tes_in!T25/SER_hh_num_in!T25)</f>
        <v>0</v>
      </c>
      <c r="U25" s="133">
        <f>IF(SER_hh_tes_in!U25=0,0,11630*1000*SER_hh_tes_in!U25/SER_hh_num_in!U25)</f>
        <v>0</v>
      </c>
      <c r="V25" s="133">
        <f>IF(SER_hh_tes_in!V25=0,0,11630*1000*SER_hh_tes_in!V25/SER_hh_num_in!V25)</f>
        <v>0</v>
      </c>
      <c r="W25" s="133">
        <f>IF(SER_hh_tes_in!W25=0,0,11630*1000*SER_hh_tes_in!W25/SER_hh_num_in!W25)</f>
        <v>0</v>
      </c>
      <c r="DA25" s="157" t="s">
        <v>776</v>
      </c>
    </row>
    <row r="26" spans="1:105" ht="12" customHeight="1" x14ac:dyDescent="0.25">
      <c r="A26" s="132" t="s">
        <v>24</v>
      </c>
      <c r="B26" s="65"/>
      <c r="C26" s="65">
        <f>IF(SER_hh_tes_in!C26=0,0,11630*1000*SER_hh_tes_in!C26/SER_hh_num_in!C26)</f>
        <v>5263.64785838842</v>
      </c>
      <c r="D26" s="65">
        <f>IF(SER_hh_tes_in!D26=0,0,11630*1000*SER_hh_tes_in!D26/SER_hh_num_in!D26)</f>
        <v>2205.1866485213332</v>
      </c>
      <c r="E26" s="65">
        <f>IF(SER_hh_tes_in!E26=0,0,11630*1000*SER_hh_tes_in!E26/SER_hh_num_in!E26)</f>
        <v>2777.8729224787107</v>
      </c>
      <c r="F26" s="65">
        <f>IF(SER_hh_tes_in!F26=0,0,11630*1000*SER_hh_tes_in!F26/SER_hh_num_in!F26)</f>
        <v>2636.7671153772762</v>
      </c>
      <c r="G26" s="65">
        <f>IF(SER_hh_tes_in!G26=0,0,11630*1000*SER_hh_tes_in!G26/SER_hh_num_in!G26)</f>
        <v>3195.0219748020786</v>
      </c>
      <c r="H26" s="65">
        <f>IF(SER_hh_tes_in!H26=0,0,11630*1000*SER_hh_tes_in!H26/SER_hh_num_in!H26)</f>
        <v>0</v>
      </c>
      <c r="I26" s="65">
        <f>IF(SER_hh_tes_in!I26=0,0,11630*1000*SER_hh_tes_in!I26/SER_hh_num_in!I26)</f>
        <v>0</v>
      </c>
      <c r="J26" s="65">
        <f>IF(SER_hh_tes_in!J26=0,0,11630*1000*SER_hh_tes_in!J26/SER_hh_num_in!J26)</f>
        <v>95.366772350444464</v>
      </c>
      <c r="K26" s="65">
        <f>IF(SER_hh_tes_in!K26=0,0,11630*1000*SER_hh_tes_in!K26/SER_hh_num_in!K26)</f>
        <v>100.93082180037688</v>
      </c>
      <c r="L26" s="65">
        <f>IF(SER_hh_tes_in!L26=0,0,11630*1000*SER_hh_tes_in!L26/SER_hh_num_in!L26)</f>
        <v>93.349474508478963</v>
      </c>
      <c r="M26" s="65">
        <f>IF(SER_hh_tes_in!M26=0,0,11630*1000*SER_hh_tes_in!M26/SER_hh_num_in!M26)</f>
        <v>98.176411722178784</v>
      </c>
      <c r="N26" s="65">
        <f>IF(SER_hh_tes_in!N26=0,0,11630*1000*SER_hh_tes_in!N26/SER_hh_num_in!N26)</f>
        <v>2924.2423598852279</v>
      </c>
      <c r="O26" s="65">
        <f>IF(SER_hh_tes_in!O26=0,0,11630*1000*SER_hh_tes_in!O26/SER_hh_num_in!O26)</f>
        <v>3717.373393360027</v>
      </c>
      <c r="P26" s="65">
        <f>IF(SER_hh_tes_in!P26=0,0,11630*1000*SER_hh_tes_in!P26/SER_hh_num_in!P26)</f>
        <v>81.788059722319247</v>
      </c>
      <c r="Q26" s="65">
        <f>IF(SER_hh_tes_in!Q26=0,0,11630*1000*SER_hh_tes_in!Q26/SER_hh_num_in!Q26)</f>
        <v>83.319704989284489</v>
      </c>
      <c r="R26" s="65">
        <f>IF(SER_hh_tes_in!R26=0,0,11630*1000*SER_hh_tes_in!R26/SER_hh_num_in!R26)</f>
        <v>85.965403598121128</v>
      </c>
      <c r="S26" s="65">
        <f>IF(SER_hh_tes_in!S26=0,0,11630*1000*SER_hh_tes_in!S26/SER_hh_num_in!S26)</f>
        <v>86.948732825639937</v>
      </c>
      <c r="T26" s="65">
        <f>IF(SER_hh_tes_in!T26=0,0,11630*1000*SER_hh_tes_in!T26/SER_hh_num_in!T26)</f>
        <v>86.422206633542118</v>
      </c>
      <c r="U26" s="65">
        <f>IF(SER_hh_tes_in!U26=0,0,11630*1000*SER_hh_tes_in!U26/SER_hh_num_in!U26)</f>
        <v>80.638537729774896</v>
      </c>
      <c r="V26" s="65">
        <f>IF(SER_hh_tes_in!V26=0,0,11630*1000*SER_hh_tes_in!V26/SER_hh_num_in!V26)</f>
        <v>82.12663509630589</v>
      </c>
      <c r="W26" s="65">
        <f>IF(SER_hh_tes_in!W26=0,0,11630*1000*SER_hh_tes_in!W26/SER_hh_num_in!W26)</f>
        <v>82.763599675245288</v>
      </c>
      <c r="DA26" s="109" t="s">
        <v>777</v>
      </c>
    </row>
    <row r="27" spans="1:105" ht="12" customHeight="1" x14ac:dyDescent="0.25">
      <c r="A27" s="145" t="s">
        <v>86</v>
      </c>
      <c r="B27" s="148"/>
      <c r="C27" s="146">
        <f>IF(SER_hh_tes_in!C27=0,0,11630*1000*SER_hh_tes_in!C27/SER_hh_num_in!C19)</f>
        <v>6198.0254487936372</v>
      </c>
      <c r="D27" s="146">
        <f>IF(SER_hh_tes_in!D27=0,0,11630*1000*SER_hh_tes_in!D27/SER_hh_num_in!D19)</f>
        <v>9348.5026491728495</v>
      </c>
      <c r="E27" s="146">
        <f>IF(SER_hh_tes_in!E27=0,0,11630*1000*SER_hh_tes_in!E27/SER_hh_num_in!E19)</f>
        <v>8637.3421558042919</v>
      </c>
      <c r="F27" s="146">
        <f>IF(SER_hh_tes_in!F27=0,0,11630*1000*SER_hh_tes_in!F27/SER_hh_num_in!F19)</f>
        <v>8710.6048696673388</v>
      </c>
      <c r="G27" s="146">
        <f>IF(SER_hh_tes_in!G27=0,0,11630*1000*SER_hh_tes_in!G27/SER_hh_num_in!G19)</f>
        <v>8199.9228174924101</v>
      </c>
      <c r="H27" s="146">
        <f>IF(SER_hh_tes_in!H27=0,0,11630*1000*SER_hh_tes_in!H27/SER_hh_num_in!H19)</f>
        <v>9091.1376098208475</v>
      </c>
      <c r="I27" s="146">
        <f>IF(SER_hh_tes_in!I27=0,0,11630*1000*SER_hh_tes_in!I27/SER_hh_num_in!I19)</f>
        <v>6851.5889554313371</v>
      </c>
      <c r="J27" s="146">
        <f>IF(SER_hh_tes_in!J27=0,0,11630*1000*SER_hh_tes_in!J27/SER_hh_num_in!J19)</f>
        <v>6278.2379785999474</v>
      </c>
      <c r="K27" s="146">
        <f>IF(SER_hh_tes_in!K27=0,0,11630*1000*SER_hh_tes_in!K27/SER_hh_num_in!K19)</f>
        <v>9997.615135209955</v>
      </c>
      <c r="L27" s="146">
        <f>IF(SER_hh_tes_in!L27=0,0,11630*1000*SER_hh_tes_in!L27/SER_hh_num_in!L19)</f>
        <v>10065.251377506716</v>
      </c>
      <c r="M27" s="146">
        <f>IF(SER_hh_tes_in!M27=0,0,11630*1000*SER_hh_tes_in!M27/SER_hh_num_in!M19)</f>
        <v>10520.792944765428</v>
      </c>
      <c r="N27" s="146">
        <f>IF(SER_hh_tes_in!N27=0,0,11630*1000*SER_hh_tes_in!N27/SER_hh_num_in!N19)</f>
        <v>7718.0872473575146</v>
      </c>
      <c r="O27" s="146">
        <f>IF(SER_hh_tes_in!O27=0,0,11630*1000*SER_hh_tes_in!O27/SER_hh_num_in!O19)</f>
        <v>7125.4748526647209</v>
      </c>
      <c r="P27" s="146">
        <f>IF(SER_hh_tes_in!P27=0,0,11630*1000*SER_hh_tes_in!P27/SER_hh_num_in!P19)</f>
        <v>13226.061020850209</v>
      </c>
      <c r="Q27" s="146">
        <f>IF(SER_hh_tes_in!Q27=0,0,11630*1000*SER_hh_tes_in!Q27/SER_hh_num_in!Q19)</f>
        <v>12769.33031610648</v>
      </c>
      <c r="R27" s="146">
        <f>IF(SER_hh_tes_in!R27=0,0,11630*1000*SER_hh_tes_in!R27/SER_hh_num_in!R19)</f>
        <v>11895.469610595348</v>
      </c>
      <c r="S27" s="146">
        <f>IF(SER_hh_tes_in!S27=0,0,11630*1000*SER_hh_tes_in!S27/SER_hh_num_in!S19)</f>
        <v>10282.457873213683</v>
      </c>
      <c r="T27" s="146">
        <f>IF(SER_hh_tes_in!T27=0,0,11630*1000*SER_hh_tes_in!T27/SER_hh_num_in!T19)</f>
        <v>9493.354145215917</v>
      </c>
      <c r="U27" s="146">
        <f>IF(SER_hh_tes_in!U27=0,0,11630*1000*SER_hh_tes_in!U27/SER_hh_num_in!U19)</f>
        <v>8596.4859346974645</v>
      </c>
      <c r="V27" s="146">
        <f>IF(SER_hh_tes_in!V27=0,0,11630*1000*SER_hh_tes_in!V27/SER_hh_num_in!V19)</f>
        <v>9087.5394437958694</v>
      </c>
      <c r="W27" s="146">
        <f>IF(SER_hh_tes_in!W27=0,0,11630*1000*SER_hh_tes_in!W27/SER_hh_num_in!W19)</f>
        <v>7159.1448501718842</v>
      </c>
      <c r="DA27" s="159" t="s">
        <v>778</v>
      </c>
    </row>
    <row r="28" spans="1:105" ht="12" customHeight="1" x14ac:dyDescent="0.25">
      <c r="A28" s="78" t="s">
        <v>85</v>
      </c>
      <c r="B28" s="68"/>
      <c r="C28" s="147">
        <f>IF(SER_hh_tes_in!C27=0,0,11630*1000*SER_hh_tes_in!C27/SER_hh_num_in!C27)</f>
        <v>10136.597987895364</v>
      </c>
      <c r="D28" s="147">
        <f>IF(SER_hh_tes_in!D27=0,0,11630*1000*SER_hh_tes_in!D27/SER_hh_num_in!D27)</f>
        <v>9348.5026491728495</v>
      </c>
      <c r="E28" s="147">
        <f>IF(SER_hh_tes_in!E27=0,0,11630*1000*SER_hh_tes_in!E27/SER_hh_num_in!E27)</f>
        <v>8746.4197621677449</v>
      </c>
      <c r="F28" s="147">
        <f>IF(SER_hh_tes_in!F27=0,0,11630*1000*SER_hh_tes_in!F27/SER_hh_num_in!F27)</f>
        <v>8846.0746340597925</v>
      </c>
      <c r="G28" s="147">
        <f>IF(SER_hh_tes_in!G27=0,0,11630*1000*SER_hh_tes_in!G27/SER_hh_num_in!G27)</f>
        <v>8287.0600824726389</v>
      </c>
      <c r="H28" s="147">
        <f>IF(SER_hh_tes_in!H27=0,0,11630*1000*SER_hh_tes_in!H27/SER_hh_num_in!H27)</f>
        <v>9180.7749921011746</v>
      </c>
      <c r="I28" s="147">
        <f>IF(SER_hh_tes_in!I27=0,0,11630*1000*SER_hh_tes_in!I27/SER_hh_num_in!I27)</f>
        <v>6851.5889554313362</v>
      </c>
      <c r="J28" s="147">
        <f>IF(SER_hh_tes_in!J27=0,0,11630*1000*SER_hh_tes_in!J27/SER_hh_num_in!J27)</f>
        <v>6278.2379785999492</v>
      </c>
      <c r="K28" s="147">
        <f>IF(SER_hh_tes_in!K27=0,0,11630*1000*SER_hh_tes_in!K27/SER_hh_num_in!K27)</f>
        <v>10570.221388220592</v>
      </c>
      <c r="L28" s="147">
        <f>IF(SER_hh_tes_in!L27=0,0,11630*1000*SER_hh_tes_in!L27/SER_hh_num_in!L27)</f>
        <v>10841.591721945888</v>
      </c>
      <c r="M28" s="147">
        <f>IF(SER_hh_tes_in!M27=0,0,11630*1000*SER_hh_tes_in!M27/SER_hh_num_in!M27)</f>
        <v>10751.072556541274</v>
      </c>
      <c r="N28" s="147">
        <f>IF(SER_hh_tes_in!N27=0,0,11630*1000*SER_hh_tes_in!N27/SER_hh_num_in!N27)</f>
        <v>11601.160901389185</v>
      </c>
      <c r="O28" s="147">
        <f>IF(SER_hh_tes_in!O27=0,0,11630*1000*SER_hh_tes_in!O27/SER_hh_num_in!O27)</f>
        <v>13459.177541918953</v>
      </c>
      <c r="P28" s="147">
        <f>IF(SER_hh_tes_in!P27=0,0,11630*1000*SER_hh_tes_in!P27/SER_hh_num_in!P27)</f>
        <v>13484.144082007519</v>
      </c>
      <c r="Q28" s="147">
        <f>IF(SER_hh_tes_in!Q27=0,0,11630*1000*SER_hh_tes_in!Q27/SER_hh_num_in!Q27)</f>
        <v>12769.330316106481</v>
      </c>
      <c r="R28" s="147">
        <f>IF(SER_hh_tes_in!R27=0,0,11630*1000*SER_hh_tes_in!R27/SER_hh_num_in!R27)</f>
        <v>12063.35486361955</v>
      </c>
      <c r="S28" s="147">
        <f>IF(SER_hh_tes_in!S27=0,0,11630*1000*SER_hh_tes_in!S27/SER_hh_num_in!S27)</f>
        <v>10282.457873213683</v>
      </c>
      <c r="T28" s="147">
        <f>IF(SER_hh_tes_in!T27=0,0,11630*1000*SER_hh_tes_in!T27/SER_hh_num_in!T27)</f>
        <v>10854.829860965998</v>
      </c>
      <c r="U28" s="147">
        <f>IF(SER_hh_tes_in!U27=0,0,11630*1000*SER_hh_tes_in!U27/SER_hh_num_in!U27)</f>
        <v>10341.531395914342</v>
      </c>
      <c r="V28" s="147">
        <f>IF(SER_hh_tes_in!V27=0,0,11630*1000*SER_hh_tes_in!V27/SER_hh_num_in!V27)</f>
        <v>9341.1850675502101</v>
      </c>
      <c r="W28" s="147">
        <f>IF(SER_hh_tes_in!W27=0,0,11630*1000*SER_hh_tes_in!W27/SER_hh_num_in!W27)</f>
        <v>8937.647856257583</v>
      </c>
      <c r="DA28" s="160"/>
    </row>
    <row r="29" spans="1:105" ht="12.95" customHeight="1" x14ac:dyDescent="0.25">
      <c r="A29" s="130" t="s">
        <v>34</v>
      </c>
      <c r="B29" s="131"/>
      <c r="C29" s="131">
        <f>IF(SER_hh_tes_in!C29=0,0,11630*1000*SER_hh_tes_in!C29/SER_hh_num_in!C29)</f>
        <v>11396.256446567795</v>
      </c>
      <c r="D29" s="131">
        <f>IF(SER_hh_tes_in!D29=0,0,11630*1000*SER_hh_tes_in!D29/SER_hh_num_in!D29)</f>
        <v>11572.01470974678</v>
      </c>
      <c r="E29" s="131">
        <f>IF(SER_hh_tes_in!E29=0,0,11630*1000*SER_hh_tes_in!E29/SER_hh_num_in!E29)</f>
        <v>11568.93320993421</v>
      </c>
      <c r="F29" s="131">
        <f>IF(SER_hh_tes_in!F29=0,0,11630*1000*SER_hh_tes_in!F29/SER_hh_num_in!F29)</f>
        <v>11808.252864956352</v>
      </c>
      <c r="G29" s="131">
        <f>IF(SER_hh_tes_in!G29=0,0,11630*1000*SER_hh_tes_in!G29/SER_hh_num_in!G29)</f>
        <v>12015.203652286982</v>
      </c>
      <c r="H29" s="131">
        <f>IF(SER_hh_tes_in!H29=0,0,11630*1000*SER_hh_tes_in!H29/SER_hh_num_in!H29)</f>
        <v>16182.795948942123</v>
      </c>
      <c r="I29" s="131">
        <f>IF(SER_hh_tes_in!I29=0,0,11630*1000*SER_hh_tes_in!I29/SER_hh_num_in!I29)</f>
        <v>12545.667984289928</v>
      </c>
      <c r="J29" s="131">
        <f>IF(SER_hh_tes_in!J29=0,0,11630*1000*SER_hh_tes_in!J29/SER_hh_num_in!J29)</f>
        <v>12221.276657168546</v>
      </c>
      <c r="K29" s="131">
        <f>IF(SER_hh_tes_in!K29=0,0,11630*1000*SER_hh_tes_in!K29/SER_hh_num_in!K29)</f>
        <v>12377.060061857972</v>
      </c>
      <c r="L29" s="131">
        <f>IF(SER_hh_tes_in!L29=0,0,11630*1000*SER_hh_tes_in!L29/SER_hh_num_in!L29)</f>
        <v>12282.990500995806</v>
      </c>
      <c r="M29" s="131">
        <f>IF(SER_hh_tes_in!M29=0,0,11630*1000*SER_hh_tes_in!M29/SER_hh_num_in!M29)</f>
        <v>12051.894595372876</v>
      </c>
      <c r="N29" s="131">
        <f>IF(SER_hh_tes_in!N29=0,0,11630*1000*SER_hh_tes_in!N29/SER_hh_num_in!N29)</f>
        <v>12013.722236008271</v>
      </c>
      <c r="O29" s="131">
        <f>IF(SER_hh_tes_in!O29=0,0,11630*1000*SER_hh_tes_in!O29/SER_hh_num_in!O29)</f>
        <v>12039.179428999663</v>
      </c>
      <c r="P29" s="131">
        <f>IF(SER_hh_tes_in!P29=0,0,11630*1000*SER_hh_tes_in!P29/SER_hh_num_in!P29)</f>
        <v>12330.303416952151</v>
      </c>
      <c r="Q29" s="131">
        <f>IF(SER_hh_tes_in!Q29=0,0,11630*1000*SER_hh_tes_in!Q29/SER_hh_num_in!Q29)</f>
        <v>12144.52636377729</v>
      </c>
      <c r="R29" s="131">
        <f>IF(SER_hh_tes_in!R29=0,0,11630*1000*SER_hh_tes_in!R29/SER_hh_num_in!R29)</f>
        <v>11785.312097483433</v>
      </c>
      <c r="S29" s="131">
        <f>IF(SER_hh_tes_in!S29=0,0,11630*1000*SER_hh_tes_in!S29/SER_hh_num_in!S29)</f>
        <v>12256.271734753136</v>
      </c>
      <c r="T29" s="131">
        <f>IF(SER_hh_tes_in!T29=0,0,11630*1000*SER_hh_tes_in!T29/SER_hh_num_in!T29)</f>
        <v>12177.260264688473</v>
      </c>
      <c r="U29" s="131">
        <f>IF(SER_hh_tes_in!U29=0,0,11630*1000*SER_hh_tes_in!U29/SER_hh_num_in!U29)</f>
        <v>11334.435522853953</v>
      </c>
      <c r="V29" s="131">
        <f>IF(SER_hh_tes_in!V29=0,0,11630*1000*SER_hh_tes_in!V29/SER_hh_num_in!V29)</f>
        <v>10742.022430160257</v>
      </c>
      <c r="W29" s="131">
        <f>IF(SER_hh_tes_in!W29=0,0,11630*1000*SER_hh_tes_in!W29/SER_hh_num_in!W29)</f>
        <v>11884.497074558787</v>
      </c>
      <c r="DA29" s="156" t="s">
        <v>779</v>
      </c>
    </row>
    <row r="30" spans="1:105" s="2" customFormat="1" ht="12" customHeight="1" x14ac:dyDescent="0.25">
      <c r="A30" s="132" t="s">
        <v>52</v>
      </c>
      <c r="B30" s="133"/>
      <c r="C30" s="133">
        <f>IF(SER_hh_tes_in!C30=0,0,11630*1000*SER_hh_tes_in!C30/SER_hh_num_in!C30)</f>
        <v>0</v>
      </c>
      <c r="D30" s="133">
        <f>IF(SER_hh_tes_in!D30=0,0,11630*1000*SER_hh_tes_in!D30/SER_hh_num_in!D30)</f>
        <v>0</v>
      </c>
      <c r="E30" s="133">
        <f>IF(SER_hh_tes_in!E30=0,0,11630*1000*SER_hh_tes_in!E30/SER_hh_num_in!E30)</f>
        <v>0</v>
      </c>
      <c r="F30" s="133">
        <f>IF(SER_hh_tes_in!F30=0,0,11630*1000*SER_hh_tes_in!F30/SER_hh_num_in!F30)</f>
        <v>0</v>
      </c>
      <c r="G30" s="133">
        <f>IF(SER_hh_tes_in!G30=0,0,11630*1000*SER_hh_tes_in!G30/SER_hh_num_in!G30)</f>
        <v>0</v>
      </c>
      <c r="H30" s="133">
        <f>IF(SER_hh_tes_in!H30=0,0,11630*1000*SER_hh_tes_in!H30/SER_hh_num_in!H30)</f>
        <v>16995.166560121288</v>
      </c>
      <c r="I30" s="133">
        <f>IF(SER_hh_tes_in!I30=0,0,11630*1000*SER_hh_tes_in!I30/SER_hh_num_in!I30)</f>
        <v>12996.508233458146</v>
      </c>
      <c r="J30" s="133">
        <f>IF(SER_hh_tes_in!J30=0,0,11630*1000*SER_hh_tes_in!J30/SER_hh_num_in!J30)</f>
        <v>13562.202656618096</v>
      </c>
      <c r="K30" s="133">
        <f>IF(SER_hh_tes_in!K30=0,0,11630*1000*SER_hh_tes_in!K30/SER_hh_num_in!K30)</f>
        <v>0</v>
      </c>
      <c r="L30" s="133">
        <f>IF(SER_hh_tes_in!L30=0,0,11630*1000*SER_hh_tes_in!L30/SER_hh_num_in!L30)</f>
        <v>10593.478754023135</v>
      </c>
      <c r="M30" s="133">
        <f>IF(SER_hh_tes_in!M30=0,0,11630*1000*SER_hh_tes_in!M30/SER_hh_num_in!M30)</f>
        <v>12699.066002831931</v>
      </c>
      <c r="N30" s="133">
        <f>IF(SER_hh_tes_in!N30=0,0,11630*1000*SER_hh_tes_in!N30/SER_hh_num_in!N30)</f>
        <v>13111.930153487705</v>
      </c>
      <c r="O30" s="133">
        <f>IF(SER_hh_tes_in!O30=0,0,11630*1000*SER_hh_tes_in!O30/SER_hh_num_in!O30)</f>
        <v>12194.339178771286</v>
      </c>
      <c r="P30" s="133">
        <f>IF(SER_hh_tes_in!P30=0,0,11630*1000*SER_hh_tes_in!P30/SER_hh_num_in!P30)</f>
        <v>10670.948665341661</v>
      </c>
      <c r="Q30" s="133">
        <f>IF(SER_hh_tes_in!Q30=0,0,11630*1000*SER_hh_tes_in!Q30/SER_hh_num_in!Q30)</f>
        <v>12193.536544633327</v>
      </c>
      <c r="R30" s="133">
        <f>IF(SER_hh_tes_in!R30=0,0,11630*1000*SER_hh_tes_in!R30/SER_hh_num_in!R30)</f>
        <v>10870.316010705126</v>
      </c>
      <c r="S30" s="133">
        <f>IF(SER_hh_tes_in!S30=0,0,11630*1000*SER_hh_tes_in!S30/SER_hh_num_in!S30)</f>
        <v>12546.819145455165</v>
      </c>
      <c r="T30" s="133">
        <f>IF(SER_hh_tes_in!T30=0,0,11630*1000*SER_hh_tes_in!T30/SER_hh_num_in!T30)</f>
        <v>13041.068940147279</v>
      </c>
      <c r="U30" s="133">
        <f>IF(SER_hh_tes_in!U30=0,0,11630*1000*SER_hh_tes_in!U30/SER_hh_num_in!U30)</f>
        <v>16532.870727872963</v>
      </c>
      <c r="V30" s="133">
        <f>IF(SER_hh_tes_in!V30=0,0,11630*1000*SER_hh_tes_in!V30/SER_hh_num_in!V30)</f>
        <v>11578.24471815524</v>
      </c>
      <c r="W30" s="133">
        <f>IF(SER_hh_tes_in!W30=0,0,11630*1000*SER_hh_tes_in!W30/SER_hh_num_in!W30)</f>
        <v>10174.9050546702</v>
      </c>
      <c r="DA30" s="157" t="s">
        <v>780</v>
      </c>
    </row>
    <row r="31" spans="1:105" ht="12" customHeight="1" x14ac:dyDescent="0.25">
      <c r="A31" s="132" t="s">
        <v>153</v>
      </c>
      <c r="B31" s="133"/>
      <c r="C31" s="133">
        <f>IF(SER_hh_tes_in!C31=0,0,11630*1000*SER_hh_tes_in!C31/SER_hh_num_in!C31)</f>
        <v>0</v>
      </c>
      <c r="D31" s="133">
        <f>IF(SER_hh_tes_in!D31=0,0,11630*1000*SER_hh_tes_in!D31/SER_hh_num_in!D31)</f>
        <v>0</v>
      </c>
      <c r="E31" s="133">
        <f>IF(SER_hh_tes_in!E31=0,0,11630*1000*SER_hh_tes_in!E31/SER_hh_num_in!E31)</f>
        <v>0</v>
      </c>
      <c r="F31" s="133">
        <f>IF(SER_hh_tes_in!F31=0,0,11630*1000*SER_hh_tes_in!F31/SER_hh_num_in!F31)</f>
        <v>0</v>
      </c>
      <c r="G31" s="133">
        <f>IF(SER_hh_tes_in!G31=0,0,11630*1000*SER_hh_tes_in!G31/SER_hh_num_in!G31)</f>
        <v>0</v>
      </c>
      <c r="H31" s="133">
        <f>IF(SER_hh_tes_in!H31=0,0,11630*1000*SER_hh_tes_in!H31/SER_hh_num_in!H31)</f>
        <v>0</v>
      </c>
      <c r="I31" s="133">
        <f>IF(SER_hh_tes_in!I31=0,0,11630*1000*SER_hh_tes_in!I31/SER_hh_num_in!I31)</f>
        <v>0</v>
      </c>
      <c r="J31" s="133">
        <f>IF(SER_hh_tes_in!J31=0,0,11630*1000*SER_hh_tes_in!J31/SER_hh_num_in!J31)</f>
        <v>0</v>
      </c>
      <c r="K31" s="133">
        <f>IF(SER_hh_tes_in!K31=0,0,11630*1000*SER_hh_tes_in!K31/SER_hh_num_in!K31)</f>
        <v>0</v>
      </c>
      <c r="L31" s="133">
        <f>IF(SER_hh_tes_in!L31=0,0,11630*1000*SER_hh_tes_in!L31/SER_hh_num_in!L31)</f>
        <v>0</v>
      </c>
      <c r="M31" s="133">
        <f>IF(SER_hh_tes_in!M31=0,0,11630*1000*SER_hh_tes_in!M31/SER_hh_num_in!M31)</f>
        <v>0</v>
      </c>
      <c r="N31" s="133">
        <f>IF(SER_hh_tes_in!N31=0,0,11630*1000*SER_hh_tes_in!N31/SER_hh_num_in!N31)</f>
        <v>0</v>
      </c>
      <c r="O31" s="133">
        <f>IF(SER_hh_tes_in!O31=0,0,11630*1000*SER_hh_tes_in!O31/SER_hh_num_in!O31)</f>
        <v>0</v>
      </c>
      <c r="P31" s="133">
        <f>IF(SER_hh_tes_in!P31=0,0,11630*1000*SER_hh_tes_in!P31/SER_hh_num_in!P31)</f>
        <v>0</v>
      </c>
      <c r="Q31" s="133">
        <f>IF(SER_hh_tes_in!Q31=0,0,11630*1000*SER_hh_tes_in!Q31/SER_hh_num_in!Q31)</f>
        <v>0</v>
      </c>
      <c r="R31" s="133">
        <f>IF(SER_hh_tes_in!R31=0,0,11630*1000*SER_hh_tes_in!R31/SER_hh_num_in!R31)</f>
        <v>0</v>
      </c>
      <c r="S31" s="133">
        <f>IF(SER_hh_tes_in!S31=0,0,11630*1000*SER_hh_tes_in!S31/SER_hh_num_in!S31)</f>
        <v>0</v>
      </c>
      <c r="T31" s="133">
        <f>IF(SER_hh_tes_in!T31=0,0,11630*1000*SER_hh_tes_in!T31/SER_hh_num_in!T31)</f>
        <v>0</v>
      </c>
      <c r="U31" s="133">
        <f>IF(SER_hh_tes_in!U31=0,0,11630*1000*SER_hh_tes_in!U31/SER_hh_num_in!U31)</f>
        <v>0</v>
      </c>
      <c r="V31" s="133">
        <f>IF(SER_hh_tes_in!V31=0,0,11630*1000*SER_hh_tes_in!V31/SER_hh_num_in!V31)</f>
        <v>0</v>
      </c>
      <c r="W31" s="133">
        <f>IF(SER_hh_tes_in!W31=0,0,11630*1000*SER_hh_tes_in!W31/SER_hh_num_in!W31)</f>
        <v>0</v>
      </c>
      <c r="DA31" s="157" t="s">
        <v>781</v>
      </c>
    </row>
    <row r="32" spans="1:105" ht="12" customHeight="1" x14ac:dyDescent="0.25">
      <c r="A32" s="132" t="s">
        <v>128</v>
      </c>
      <c r="B32" s="133"/>
      <c r="C32" s="133">
        <f>IF(SER_hh_tes_in!C32=0,0,11630*1000*SER_hh_tes_in!C32/SER_hh_num_in!C32)</f>
        <v>10422.386504054552</v>
      </c>
      <c r="D32" s="133">
        <f>IF(SER_hh_tes_in!D32=0,0,11630*1000*SER_hh_tes_in!D32/SER_hh_num_in!D32)</f>
        <v>12369.950130485935</v>
      </c>
      <c r="E32" s="133">
        <f>IF(SER_hh_tes_in!E32=0,0,11630*1000*SER_hh_tes_in!E32/SER_hh_num_in!E32)</f>
        <v>11017.168602262829</v>
      </c>
      <c r="F32" s="133">
        <f>IF(SER_hh_tes_in!F32=0,0,11630*1000*SER_hh_tes_in!F32/SER_hh_num_in!F32)</f>
        <v>11520.275823412519</v>
      </c>
      <c r="G32" s="133">
        <f>IF(SER_hh_tes_in!G32=0,0,11630*1000*SER_hh_tes_in!G32/SER_hh_num_in!G32)</f>
        <v>12370.882077594397</v>
      </c>
      <c r="H32" s="133">
        <f>IF(SER_hh_tes_in!H32=0,0,11630*1000*SER_hh_tes_in!H32/SER_hh_num_in!H32)</f>
        <v>10970.097911143876</v>
      </c>
      <c r="I32" s="133">
        <f>IF(SER_hh_tes_in!I32=0,0,11630*1000*SER_hh_tes_in!I32/SER_hh_num_in!I32)</f>
        <v>13299.855533196391</v>
      </c>
      <c r="J32" s="133">
        <f>IF(SER_hh_tes_in!J32=0,0,11630*1000*SER_hh_tes_in!J32/SER_hh_num_in!J32)</f>
        <v>12597.617151450537</v>
      </c>
      <c r="K32" s="133">
        <f>IF(SER_hh_tes_in!K32=0,0,11630*1000*SER_hh_tes_in!K32/SER_hh_num_in!K32)</f>
        <v>12096.193863601524</v>
      </c>
      <c r="L32" s="133">
        <f>IF(SER_hh_tes_in!L32=0,0,11630*1000*SER_hh_tes_in!L32/SER_hh_num_in!L32)</f>
        <v>12065.972350325672</v>
      </c>
      <c r="M32" s="133">
        <f>IF(SER_hh_tes_in!M32=0,0,11630*1000*SER_hh_tes_in!M32/SER_hh_num_in!M32)</f>
        <v>12045.895453793397</v>
      </c>
      <c r="N32" s="133">
        <f>IF(SER_hh_tes_in!N32=0,0,11630*1000*SER_hh_tes_in!N32/SER_hh_num_in!N32)</f>
        <v>12058.305508481571</v>
      </c>
      <c r="O32" s="133">
        <f>IF(SER_hh_tes_in!O32=0,0,11630*1000*SER_hh_tes_in!O32/SER_hh_num_in!O32)</f>
        <v>12118.14089843114</v>
      </c>
      <c r="P32" s="133">
        <f>IF(SER_hh_tes_in!P32=0,0,11630*1000*SER_hh_tes_in!P32/SER_hh_num_in!P32)</f>
        <v>12224.342407514534</v>
      </c>
      <c r="Q32" s="133">
        <f>IF(SER_hh_tes_in!Q32=0,0,11630*1000*SER_hh_tes_in!Q32/SER_hh_num_in!Q32)</f>
        <v>11995.783878637374</v>
      </c>
      <c r="R32" s="133">
        <f>IF(SER_hh_tes_in!R32=0,0,11630*1000*SER_hh_tes_in!R32/SER_hh_num_in!R32)</f>
        <v>11996.130719131752</v>
      </c>
      <c r="S32" s="133">
        <f>IF(SER_hh_tes_in!S32=0,0,11630*1000*SER_hh_tes_in!S32/SER_hh_num_in!S32)</f>
        <v>11772.369759151205</v>
      </c>
      <c r="T32" s="133">
        <f>IF(SER_hh_tes_in!T32=0,0,11630*1000*SER_hh_tes_in!T32/SER_hh_num_in!T32)</f>
        <v>11244.835430006106</v>
      </c>
      <c r="U32" s="133">
        <f>IF(SER_hh_tes_in!U32=0,0,11630*1000*SER_hh_tes_in!U32/SER_hh_num_in!U32)</f>
        <v>12892.058945714212</v>
      </c>
      <c r="V32" s="133">
        <f>IF(SER_hh_tes_in!V32=0,0,11630*1000*SER_hh_tes_in!V32/SER_hh_num_in!V32)</f>
        <v>12190.520172564915</v>
      </c>
      <c r="W32" s="133">
        <f>IF(SER_hh_tes_in!W32=0,0,11630*1000*SER_hh_tes_in!W32/SER_hh_num_in!W32)</f>
        <v>8174.5841650329212</v>
      </c>
      <c r="DA32" s="157" t="s">
        <v>782</v>
      </c>
    </row>
    <row r="33" spans="1:105" ht="12" customHeight="1" x14ac:dyDescent="0.25">
      <c r="A33" s="62" t="s">
        <v>24</v>
      </c>
      <c r="B33" s="68"/>
      <c r="C33" s="68">
        <f>IF(SER_hh_tes_in!C33=0,0,11630*1000*SER_hh_tes_in!C33/SER_hh_num_in!C33)</f>
        <v>11509.175386200208</v>
      </c>
      <c r="D33" s="68">
        <f>IF(SER_hh_tes_in!D33=0,0,11630*1000*SER_hh_tes_in!D33/SER_hh_num_in!D33)</f>
        <v>11419.44210744997</v>
      </c>
      <c r="E33" s="68">
        <f>IF(SER_hh_tes_in!E33=0,0,11630*1000*SER_hh_tes_in!E33/SER_hh_num_in!E33)</f>
        <v>11656.480440462312</v>
      </c>
      <c r="F33" s="68">
        <f>IF(SER_hh_tes_in!F33=0,0,11630*1000*SER_hh_tes_in!F33/SER_hh_num_in!F33)</f>
        <v>11860.341436597517</v>
      </c>
      <c r="G33" s="68">
        <f>IF(SER_hh_tes_in!G33=0,0,11630*1000*SER_hh_tes_in!G33/SER_hh_num_in!G33)</f>
        <v>11935.168503052604</v>
      </c>
      <c r="H33" s="68">
        <f>IF(SER_hh_tes_in!H33=0,0,11630*1000*SER_hh_tes_in!H33/SER_hh_num_in!H33)</f>
        <v>0</v>
      </c>
      <c r="I33" s="68">
        <f>IF(SER_hh_tes_in!I33=0,0,11630*1000*SER_hh_tes_in!I33/SER_hh_num_in!I33)</f>
        <v>11675.438776311319</v>
      </c>
      <c r="J33" s="68">
        <f>IF(SER_hh_tes_in!J33=0,0,11630*1000*SER_hh_tes_in!J33/SER_hh_num_in!J33)</f>
        <v>11840.69425585801</v>
      </c>
      <c r="K33" s="68">
        <f>IF(SER_hh_tes_in!K33=0,0,11630*1000*SER_hh_tes_in!K33/SER_hh_num_in!K33)</f>
        <v>12404.658740499453</v>
      </c>
      <c r="L33" s="68">
        <f>IF(SER_hh_tes_in!L33=0,0,11630*1000*SER_hh_tes_in!L33/SER_hh_num_in!L33)</f>
        <v>12366.612356339057</v>
      </c>
      <c r="M33" s="68">
        <f>IF(SER_hh_tes_in!M33=0,0,11630*1000*SER_hh_tes_in!M33/SER_hh_num_in!M33)</f>
        <v>11815.751279504264</v>
      </c>
      <c r="N33" s="68">
        <f>IF(SER_hh_tes_in!N33=0,0,11630*1000*SER_hh_tes_in!N33/SER_hh_num_in!N33)</f>
        <v>11786.365037865753</v>
      </c>
      <c r="O33" s="68">
        <f>IF(SER_hh_tes_in!O33=0,0,11630*1000*SER_hh_tes_in!O33/SER_hh_num_in!O33)</f>
        <v>12006.540274008241</v>
      </c>
      <c r="P33" s="68">
        <f>IF(SER_hh_tes_in!P33=0,0,11630*1000*SER_hh_tes_in!P33/SER_hh_num_in!P33)</f>
        <v>12547.967294196669</v>
      </c>
      <c r="Q33" s="68">
        <f>IF(SER_hh_tes_in!Q33=0,0,11630*1000*SER_hh_tes_in!Q33/SER_hh_num_in!Q33)</f>
        <v>12153.889015119486</v>
      </c>
      <c r="R33" s="68">
        <f>IF(SER_hh_tes_in!R33=0,0,11630*1000*SER_hh_tes_in!R33/SER_hh_num_in!R33)</f>
        <v>12494.497643605349</v>
      </c>
      <c r="S33" s="68">
        <f>IF(SER_hh_tes_in!S33=0,0,11630*1000*SER_hh_tes_in!S33/SER_hh_num_in!S33)</f>
        <v>11820.676418998244</v>
      </c>
      <c r="T33" s="68">
        <f>IF(SER_hh_tes_in!T33=0,0,11630*1000*SER_hh_tes_in!T33/SER_hh_num_in!T33)</f>
        <v>11910.303448422594</v>
      </c>
      <c r="U33" s="68">
        <f>IF(SER_hh_tes_in!U33=0,0,11630*1000*SER_hh_tes_in!U33/SER_hh_num_in!U33)</f>
        <v>10023.806139036722</v>
      </c>
      <c r="V33" s="68">
        <f>IF(SER_hh_tes_in!V33=0,0,11630*1000*SER_hh_tes_in!V33/SER_hh_num_in!V33)</f>
        <v>10219.437684092818</v>
      </c>
      <c r="W33" s="68">
        <f>IF(SER_hh_tes_in!W33=0,0,11630*1000*SER_hh_tes_in!W33/SER_hh_num_in!W33)</f>
        <v>12481.548547444456</v>
      </c>
      <c r="DA33" s="111" t="s">
        <v>783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784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89</v>
      </c>
      <c r="B3" s="126"/>
      <c r="C3" s="126">
        <f>IF(SER_hh_emi_in!C3=0,0,1000000*SER_hh_emi_in!C3/SER_hh_num_in!C3)</f>
        <v>192.93907703053017</v>
      </c>
      <c r="D3" s="126">
        <f>IF(SER_hh_emi_in!D3=0,0,1000000*SER_hh_emi_in!D3/SER_hh_num_in!D3)</f>
        <v>64.398559626453178</v>
      </c>
      <c r="E3" s="126">
        <f>IF(SER_hh_emi_in!E3=0,0,1000000*SER_hh_emi_in!E3/SER_hh_num_in!E3)</f>
        <v>135.70097692069876</v>
      </c>
      <c r="F3" s="126">
        <f>IF(SER_hh_emi_in!F3=0,0,1000000*SER_hh_emi_in!F3/SER_hh_num_in!F3)</f>
        <v>151.95558332073426</v>
      </c>
      <c r="G3" s="126">
        <f>IF(SER_hh_emi_in!G3=0,0,1000000*SER_hh_emi_in!G3/SER_hh_num_in!G3)</f>
        <v>145.60239594365996</v>
      </c>
      <c r="H3" s="126">
        <f>IF(SER_hh_emi_in!H3=0,0,1000000*SER_hh_emi_in!H3/SER_hh_num_in!H3)</f>
        <v>8260.0470388105205</v>
      </c>
      <c r="I3" s="126">
        <f>IF(SER_hh_emi_in!I3=0,0,1000000*SER_hh_emi_in!I3/SER_hh_num_in!I3)</f>
        <v>4320.5204785876022</v>
      </c>
      <c r="J3" s="126">
        <f>IF(SER_hh_emi_in!J3=0,0,1000000*SER_hh_emi_in!J3/SER_hh_num_in!J3)</f>
        <v>8254.491047663123</v>
      </c>
      <c r="K3" s="126">
        <f>IF(SER_hh_emi_in!K3=0,0,1000000*SER_hh_emi_in!K3/SER_hh_num_in!K3)</f>
        <v>4764.4370580783516</v>
      </c>
      <c r="L3" s="126">
        <f>IF(SER_hh_emi_in!L3=0,0,1000000*SER_hh_emi_in!L3/SER_hh_num_in!L3)</f>
        <v>7435.5963839852393</v>
      </c>
      <c r="M3" s="126">
        <f>IF(SER_hh_emi_in!M3=0,0,1000000*SER_hh_emi_in!M3/SER_hh_num_in!M3)</f>
        <v>6015.4129143865111</v>
      </c>
      <c r="N3" s="126">
        <f>IF(SER_hh_emi_in!N3=0,0,1000000*SER_hh_emi_in!N3/SER_hh_num_in!N3)</f>
        <v>3803.6161882789252</v>
      </c>
      <c r="O3" s="126">
        <f>IF(SER_hh_emi_in!O3=0,0,1000000*SER_hh_emi_in!O3/SER_hh_num_in!O3)</f>
        <v>2535.7221960717593</v>
      </c>
      <c r="P3" s="126">
        <f>IF(SER_hh_emi_in!P3=0,0,1000000*SER_hh_emi_in!P3/SER_hh_num_in!P3)</f>
        <v>486.50736697878529</v>
      </c>
      <c r="Q3" s="126">
        <f>IF(SER_hh_emi_in!Q3=0,0,1000000*SER_hh_emi_in!Q3/SER_hh_num_in!Q3)</f>
        <v>1695.453191288638</v>
      </c>
      <c r="R3" s="126">
        <f>IF(SER_hh_emi_in!R3=0,0,1000000*SER_hh_emi_in!R3/SER_hh_num_in!R3)</f>
        <v>1763.6025692317346</v>
      </c>
      <c r="S3" s="126">
        <f>IF(SER_hh_emi_in!S3=0,0,1000000*SER_hh_emi_in!S3/SER_hh_num_in!S3)</f>
        <v>3201.2571527401233</v>
      </c>
      <c r="T3" s="126">
        <f>IF(SER_hh_emi_in!T3=0,0,1000000*SER_hh_emi_in!T3/SER_hh_num_in!T3)</f>
        <v>2596.2802135248758</v>
      </c>
      <c r="U3" s="126">
        <f>IF(SER_hh_emi_in!U3=0,0,1000000*SER_hh_emi_in!U3/SER_hh_num_in!U3)</f>
        <v>3547.8123776760494</v>
      </c>
      <c r="V3" s="126">
        <f>IF(SER_hh_emi_in!V3=0,0,1000000*SER_hh_emi_in!V3/SER_hh_num_in!V3)</f>
        <v>2833.4118780075523</v>
      </c>
      <c r="W3" s="126">
        <f>IF(SER_hh_emi_in!W3=0,0,1000000*SER_hh_emi_in!W3/SER_hh_num_in!W3)</f>
        <v>1944.9223087512587</v>
      </c>
      <c r="DA3" s="155" t="s">
        <v>785</v>
      </c>
    </row>
    <row r="4" spans="1:105" ht="12.95" customHeight="1" x14ac:dyDescent="0.25">
      <c r="A4" s="130" t="s">
        <v>32</v>
      </c>
      <c r="B4" s="131"/>
      <c r="C4" s="131">
        <f>IF(SER_hh_emi_in!C4=0,0,1000000*SER_hh_emi_in!C4/SER_hh_num_in!C4)</f>
        <v>0</v>
      </c>
      <c r="D4" s="131">
        <f>IF(SER_hh_emi_in!D4=0,0,1000000*SER_hh_emi_in!D4/SER_hh_num_in!D4)</f>
        <v>0</v>
      </c>
      <c r="E4" s="131">
        <f>IF(SER_hh_emi_in!E4=0,0,1000000*SER_hh_emi_in!E4/SER_hh_num_in!E4)</f>
        <v>0</v>
      </c>
      <c r="F4" s="131">
        <f>IF(SER_hh_emi_in!F4=0,0,1000000*SER_hh_emi_in!F4/SER_hh_num_in!F4)</f>
        <v>0</v>
      </c>
      <c r="G4" s="131">
        <f>IF(SER_hh_emi_in!G4=0,0,1000000*SER_hh_emi_in!G4/SER_hh_num_in!G4)</f>
        <v>0</v>
      </c>
      <c r="H4" s="131">
        <f>IF(SER_hh_emi_in!H4=0,0,1000000*SER_hh_emi_in!H4/SER_hh_num_in!H4)</f>
        <v>0</v>
      </c>
      <c r="I4" s="131">
        <f>IF(SER_hh_emi_in!I4=0,0,1000000*SER_hh_emi_in!I4/SER_hh_num_in!I4)</f>
        <v>0</v>
      </c>
      <c r="J4" s="131">
        <f>IF(SER_hh_emi_in!J4=0,0,1000000*SER_hh_emi_in!J4/SER_hh_num_in!J4)</f>
        <v>5022.6477895995049</v>
      </c>
      <c r="K4" s="131">
        <f>IF(SER_hh_emi_in!K4=0,0,1000000*SER_hh_emi_in!K4/SER_hh_num_in!K4)</f>
        <v>4317.7116854317201</v>
      </c>
      <c r="L4" s="131">
        <f>IF(SER_hh_emi_in!L4=0,0,1000000*SER_hh_emi_in!L4/SER_hh_num_in!L4)</f>
        <v>6896.500138550492</v>
      </c>
      <c r="M4" s="131">
        <f>IF(SER_hh_emi_in!M4=0,0,1000000*SER_hh_emi_in!M4/SER_hh_num_in!M4)</f>
        <v>4720.5831340649029</v>
      </c>
      <c r="N4" s="131">
        <f>IF(SER_hh_emi_in!N4=0,0,1000000*SER_hh_emi_in!N4/SER_hh_num_in!N4)</f>
        <v>2903.6636394224538</v>
      </c>
      <c r="O4" s="131">
        <f>IF(SER_hh_emi_in!O4=0,0,1000000*SER_hh_emi_in!O4/SER_hh_num_in!O4)</f>
        <v>1938.2612243519661</v>
      </c>
      <c r="P4" s="131">
        <f>IF(SER_hh_emi_in!P4=0,0,1000000*SER_hh_emi_in!P4/SER_hh_num_in!P4)</f>
        <v>0</v>
      </c>
      <c r="Q4" s="131">
        <f>IF(SER_hh_emi_in!Q4=0,0,1000000*SER_hh_emi_in!Q4/SER_hh_num_in!Q4)</f>
        <v>0</v>
      </c>
      <c r="R4" s="131">
        <f>IF(SER_hh_emi_in!R4=0,0,1000000*SER_hh_emi_in!R4/SER_hh_num_in!R4)</f>
        <v>0</v>
      </c>
      <c r="S4" s="131">
        <f>IF(SER_hh_emi_in!S4=0,0,1000000*SER_hh_emi_in!S4/SER_hh_num_in!S4)</f>
        <v>0</v>
      </c>
      <c r="T4" s="131">
        <f>IF(SER_hh_emi_in!T4=0,0,1000000*SER_hh_emi_in!T4/SER_hh_num_in!T4)</f>
        <v>300.75299313003103</v>
      </c>
      <c r="U4" s="131">
        <f>IF(SER_hh_emi_in!U4=0,0,1000000*SER_hh_emi_in!U4/SER_hh_num_in!U4)</f>
        <v>1983.8036821891844</v>
      </c>
      <c r="V4" s="131">
        <f>IF(SER_hh_emi_in!V4=0,0,1000000*SER_hh_emi_in!V4/SER_hh_num_in!V4)</f>
        <v>1761.3234043046587</v>
      </c>
      <c r="W4" s="131">
        <f>IF(SER_hh_emi_in!W4=0,0,1000000*SER_hh_emi_in!W4/SER_hh_num_in!W4)</f>
        <v>818.8707232527413</v>
      </c>
      <c r="DA4" s="156" t="s">
        <v>786</v>
      </c>
    </row>
    <row r="5" spans="1:105" ht="12" customHeight="1" x14ac:dyDescent="0.25">
      <c r="A5" s="132" t="s">
        <v>29</v>
      </c>
      <c r="B5" s="133"/>
      <c r="C5" s="133">
        <f>IF(SER_hh_emi_in!C5=0,0,1000000*SER_hh_emi_in!C5/SER_hh_num_in!C5)</f>
        <v>0</v>
      </c>
      <c r="D5" s="133">
        <f>IF(SER_hh_emi_in!D5=0,0,1000000*SER_hh_emi_in!D5/SER_hh_num_in!D5)</f>
        <v>0</v>
      </c>
      <c r="E5" s="133">
        <f>IF(SER_hh_emi_in!E5=0,0,1000000*SER_hh_emi_in!E5/SER_hh_num_in!E5)</f>
        <v>0</v>
      </c>
      <c r="F5" s="133">
        <f>IF(SER_hh_emi_in!F5=0,0,1000000*SER_hh_emi_in!F5/SER_hh_num_in!F5)</f>
        <v>0</v>
      </c>
      <c r="G5" s="133">
        <f>IF(SER_hh_emi_in!G5=0,0,1000000*SER_hh_emi_in!G5/SER_hh_num_in!G5)</f>
        <v>0</v>
      </c>
      <c r="H5" s="133">
        <f>IF(SER_hh_emi_in!H5=0,0,1000000*SER_hh_emi_in!H5/SER_hh_num_in!H5)</f>
        <v>0</v>
      </c>
      <c r="I5" s="133">
        <f>IF(SER_hh_emi_in!I5=0,0,1000000*SER_hh_emi_in!I5/SER_hh_num_in!I5)</f>
        <v>0</v>
      </c>
      <c r="J5" s="133">
        <f>IF(SER_hh_emi_in!J5=0,0,1000000*SER_hh_emi_in!J5/SER_hh_num_in!J5)</f>
        <v>0</v>
      </c>
      <c r="K5" s="133">
        <f>IF(SER_hh_emi_in!K5=0,0,1000000*SER_hh_emi_in!K5/SER_hh_num_in!K5)</f>
        <v>0</v>
      </c>
      <c r="L5" s="133">
        <f>IF(SER_hh_emi_in!L5=0,0,1000000*SER_hh_emi_in!L5/SER_hh_num_in!L5)</f>
        <v>0</v>
      </c>
      <c r="M5" s="133">
        <f>IF(SER_hh_emi_in!M5=0,0,1000000*SER_hh_emi_in!M5/SER_hh_num_in!M5)</f>
        <v>0</v>
      </c>
      <c r="N5" s="133">
        <f>IF(SER_hh_emi_in!N5=0,0,1000000*SER_hh_emi_in!N5/SER_hh_num_in!N5)</f>
        <v>0</v>
      </c>
      <c r="O5" s="133">
        <f>IF(SER_hh_emi_in!O5=0,0,1000000*SER_hh_emi_in!O5/SER_hh_num_in!O5)</f>
        <v>0</v>
      </c>
      <c r="P5" s="133">
        <f>IF(SER_hh_emi_in!P5=0,0,1000000*SER_hh_emi_in!P5/SER_hh_num_in!P5)</f>
        <v>0</v>
      </c>
      <c r="Q5" s="133">
        <f>IF(SER_hh_emi_in!Q5=0,0,1000000*SER_hh_emi_in!Q5/SER_hh_num_in!Q5)</f>
        <v>0</v>
      </c>
      <c r="R5" s="133">
        <f>IF(SER_hh_emi_in!R5=0,0,1000000*SER_hh_emi_in!R5/SER_hh_num_in!R5)</f>
        <v>0</v>
      </c>
      <c r="S5" s="133">
        <f>IF(SER_hh_emi_in!S5=0,0,1000000*SER_hh_emi_in!S5/SER_hh_num_in!S5)</f>
        <v>0</v>
      </c>
      <c r="T5" s="133">
        <f>IF(SER_hh_emi_in!T5=0,0,1000000*SER_hh_emi_in!T5/SER_hh_num_in!T5)</f>
        <v>0</v>
      </c>
      <c r="U5" s="133">
        <f>IF(SER_hh_emi_in!U5=0,0,1000000*SER_hh_emi_in!U5/SER_hh_num_in!U5)</f>
        <v>0</v>
      </c>
      <c r="V5" s="133">
        <f>IF(SER_hh_emi_in!V5=0,0,1000000*SER_hh_emi_in!V5/SER_hh_num_in!V5)</f>
        <v>0</v>
      </c>
      <c r="W5" s="133">
        <f>IF(SER_hh_emi_in!W5=0,0,1000000*SER_hh_emi_in!W5/SER_hh_num_in!W5)</f>
        <v>0</v>
      </c>
      <c r="DA5" s="157" t="s">
        <v>787</v>
      </c>
    </row>
    <row r="6" spans="1:105" ht="12" customHeight="1" x14ac:dyDescent="0.25">
      <c r="A6" s="132" t="s">
        <v>52</v>
      </c>
      <c r="B6" s="133"/>
      <c r="C6" s="133">
        <f>IF(SER_hh_emi_in!C6=0,0,1000000*SER_hh_emi_in!C6/SER_hh_num_in!C6)</f>
        <v>0</v>
      </c>
      <c r="D6" s="133">
        <f>IF(SER_hh_emi_in!D6=0,0,1000000*SER_hh_emi_in!D6/SER_hh_num_in!D6)</f>
        <v>0</v>
      </c>
      <c r="E6" s="133">
        <f>IF(SER_hh_emi_in!E6=0,0,1000000*SER_hh_emi_in!E6/SER_hh_num_in!E6)</f>
        <v>0</v>
      </c>
      <c r="F6" s="133">
        <f>IF(SER_hh_emi_in!F6=0,0,1000000*SER_hh_emi_in!F6/SER_hh_num_in!F6)</f>
        <v>0</v>
      </c>
      <c r="G6" s="133">
        <f>IF(SER_hh_emi_in!G6=0,0,1000000*SER_hh_emi_in!G6/SER_hh_num_in!G6)</f>
        <v>0</v>
      </c>
      <c r="H6" s="133">
        <f>IF(SER_hh_emi_in!H6=0,0,1000000*SER_hh_emi_in!H6/SER_hh_num_in!H6)</f>
        <v>0</v>
      </c>
      <c r="I6" s="133">
        <f>IF(SER_hh_emi_in!I6=0,0,1000000*SER_hh_emi_in!I6/SER_hh_num_in!I6)</f>
        <v>0</v>
      </c>
      <c r="J6" s="133">
        <f>IF(SER_hh_emi_in!J6=0,0,1000000*SER_hh_emi_in!J6/SER_hh_num_in!J6)</f>
        <v>0</v>
      </c>
      <c r="K6" s="133">
        <f>IF(SER_hh_emi_in!K6=0,0,1000000*SER_hh_emi_in!K6/SER_hh_num_in!K6)</f>
        <v>0</v>
      </c>
      <c r="L6" s="133">
        <f>IF(SER_hh_emi_in!L6=0,0,1000000*SER_hh_emi_in!L6/SER_hh_num_in!L6)</f>
        <v>0</v>
      </c>
      <c r="M6" s="133">
        <f>IF(SER_hh_emi_in!M6=0,0,1000000*SER_hh_emi_in!M6/SER_hh_num_in!M6)</f>
        <v>0</v>
      </c>
      <c r="N6" s="133">
        <f>IF(SER_hh_emi_in!N6=0,0,1000000*SER_hh_emi_in!N6/SER_hh_num_in!N6)</f>
        <v>0</v>
      </c>
      <c r="O6" s="133">
        <f>IF(SER_hh_emi_in!O6=0,0,1000000*SER_hh_emi_in!O6/SER_hh_num_in!O6)</f>
        <v>0</v>
      </c>
      <c r="P6" s="133">
        <f>IF(SER_hh_emi_in!P6=0,0,1000000*SER_hh_emi_in!P6/SER_hh_num_in!P6)</f>
        <v>0</v>
      </c>
      <c r="Q6" s="133">
        <f>IF(SER_hh_emi_in!Q6=0,0,1000000*SER_hh_emi_in!Q6/SER_hh_num_in!Q6)</f>
        <v>0</v>
      </c>
      <c r="R6" s="133">
        <f>IF(SER_hh_emi_in!R6=0,0,1000000*SER_hh_emi_in!R6/SER_hh_num_in!R6)</f>
        <v>0</v>
      </c>
      <c r="S6" s="133">
        <f>IF(SER_hh_emi_in!S6=0,0,1000000*SER_hh_emi_in!S6/SER_hh_num_in!S6)</f>
        <v>0</v>
      </c>
      <c r="T6" s="133">
        <f>IF(SER_hh_emi_in!T6=0,0,1000000*SER_hh_emi_in!T6/SER_hh_num_in!T6)</f>
        <v>0</v>
      </c>
      <c r="U6" s="133">
        <f>IF(SER_hh_emi_in!U6=0,0,1000000*SER_hh_emi_in!U6/SER_hh_num_in!U6)</f>
        <v>0</v>
      </c>
      <c r="V6" s="133">
        <f>IF(SER_hh_emi_in!V6=0,0,1000000*SER_hh_emi_in!V6/SER_hh_num_in!V6)</f>
        <v>0</v>
      </c>
      <c r="W6" s="133">
        <f>IF(SER_hh_emi_in!W6=0,0,1000000*SER_hh_emi_in!W6/SER_hh_num_in!W6)</f>
        <v>0</v>
      </c>
      <c r="DA6" s="157" t="s">
        <v>788</v>
      </c>
    </row>
    <row r="7" spans="1:105" ht="12" customHeight="1" x14ac:dyDescent="0.25">
      <c r="A7" s="132" t="s">
        <v>168</v>
      </c>
      <c r="B7" s="133"/>
      <c r="C7" s="133">
        <f>IF(SER_hh_emi_in!C7=0,0,1000000*SER_hh_emi_in!C7/SER_hh_num_in!C7)</f>
        <v>0</v>
      </c>
      <c r="D7" s="133">
        <f>IF(SER_hh_emi_in!D7=0,0,1000000*SER_hh_emi_in!D7/SER_hh_num_in!D7)</f>
        <v>0</v>
      </c>
      <c r="E7" s="133">
        <f>IF(SER_hh_emi_in!E7=0,0,1000000*SER_hh_emi_in!E7/SER_hh_num_in!E7)</f>
        <v>0</v>
      </c>
      <c r="F7" s="133">
        <f>IF(SER_hh_emi_in!F7=0,0,1000000*SER_hh_emi_in!F7/SER_hh_num_in!F7)</f>
        <v>0</v>
      </c>
      <c r="G7" s="133">
        <f>IF(SER_hh_emi_in!G7=0,0,1000000*SER_hh_emi_in!G7/SER_hh_num_in!G7)</f>
        <v>0</v>
      </c>
      <c r="H7" s="133">
        <f>IF(SER_hh_emi_in!H7=0,0,1000000*SER_hh_emi_in!H7/SER_hh_num_in!H7)</f>
        <v>0</v>
      </c>
      <c r="I7" s="133">
        <f>IF(SER_hh_emi_in!I7=0,0,1000000*SER_hh_emi_in!I7/SER_hh_num_in!I7)</f>
        <v>0</v>
      </c>
      <c r="J7" s="133">
        <f>IF(SER_hh_emi_in!J7=0,0,1000000*SER_hh_emi_in!J7/SER_hh_num_in!J7)</f>
        <v>18093.425920866022</v>
      </c>
      <c r="K7" s="133">
        <f>IF(SER_hh_emi_in!K7=0,0,1000000*SER_hh_emi_in!K7/SER_hh_num_in!K7)</f>
        <v>14409.771276056514</v>
      </c>
      <c r="L7" s="133">
        <f>IF(SER_hh_emi_in!L7=0,0,1000000*SER_hh_emi_in!L7/SER_hh_num_in!L7)</f>
        <v>16414.961643583702</v>
      </c>
      <c r="M7" s="133">
        <f>IF(SER_hh_emi_in!M7=0,0,1000000*SER_hh_emi_in!M7/SER_hh_num_in!M7)</f>
        <v>15438.970976237108</v>
      </c>
      <c r="N7" s="133">
        <f>IF(SER_hh_emi_in!N7=0,0,1000000*SER_hh_emi_in!N7/SER_hh_num_in!N7)</f>
        <v>12664.97465501007</v>
      </c>
      <c r="O7" s="133">
        <f>IF(SER_hh_emi_in!O7=0,0,1000000*SER_hh_emi_in!O7/SER_hh_num_in!O7)</f>
        <v>13606.064442194087</v>
      </c>
      <c r="P7" s="133">
        <f>IF(SER_hh_emi_in!P7=0,0,1000000*SER_hh_emi_in!P7/SER_hh_num_in!P7)</f>
        <v>0</v>
      </c>
      <c r="Q7" s="133">
        <f>IF(SER_hh_emi_in!Q7=0,0,1000000*SER_hh_emi_in!Q7/SER_hh_num_in!Q7)</f>
        <v>0</v>
      </c>
      <c r="R7" s="133">
        <f>IF(SER_hh_emi_in!R7=0,0,1000000*SER_hh_emi_in!R7/SER_hh_num_in!R7)</f>
        <v>0</v>
      </c>
      <c r="S7" s="133">
        <f>IF(SER_hh_emi_in!S7=0,0,1000000*SER_hh_emi_in!S7/SER_hh_num_in!S7)</f>
        <v>0</v>
      </c>
      <c r="T7" s="133">
        <f>IF(SER_hh_emi_in!T7=0,0,1000000*SER_hh_emi_in!T7/SER_hh_num_in!T7)</f>
        <v>11334.435323742633</v>
      </c>
      <c r="U7" s="133">
        <f>IF(SER_hh_emi_in!U7=0,0,1000000*SER_hh_emi_in!U7/SER_hh_num_in!U7)</f>
        <v>12719.473465756198</v>
      </c>
      <c r="V7" s="133">
        <f>IF(SER_hh_emi_in!V7=0,0,1000000*SER_hh_emi_in!V7/SER_hh_num_in!V7)</f>
        <v>8970.3151647766208</v>
      </c>
      <c r="W7" s="133">
        <f>IF(SER_hh_emi_in!W7=0,0,1000000*SER_hh_emi_in!W7/SER_hh_num_in!W7)</f>
        <v>8828.6358823162736</v>
      </c>
      <c r="DA7" s="157" t="s">
        <v>789</v>
      </c>
    </row>
    <row r="8" spans="1:105" ht="12" customHeight="1" x14ac:dyDescent="0.25">
      <c r="A8" s="132" t="s">
        <v>73</v>
      </c>
      <c r="B8" s="133"/>
      <c r="C8" s="133">
        <f>IF(SER_hh_emi_in!C8=0,0,1000000*SER_hh_emi_in!C8/SER_hh_num_in!C8)</f>
        <v>0</v>
      </c>
      <c r="D8" s="133">
        <f>IF(SER_hh_emi_in!D8=0,0,1000000*SER_hh_emi_in!D8/SER_hh_num_in!D8)</f>
        <v>0</v>
      </c>
      <c r="E8" s="133">
        <f>IF(SER_hh_emi_in!E8=0,0,1000000*SER_hh_emi_in!E8/SER_hh_num_in!E8)</f>
        <v>0</v>
      </c>
      <c r="F8" s="133">
        <f>IF(SER_hh_emi_in!F8=0,0,1000000*SER_hh_emi_in!F8/SER_hh_num_in!F8)</f>
        <v>0</v>
      </c>
      <c r="G8" s="133">
        <f>IF(SER_hh_emi_in!G8=0,0,1000000*SER_hh_emi_in!G8/SER_hh_num_in!G8)</f>
        <v>0</v>
      </c>
      <c r="H8" s="133">
        <f>IF(SER_hh_emi_in!H8=0,0,1000000*SER_hh_emi_in!H8/SER_hh_num_in!H8)</f>
        <v>0</v>
      </c>
      <c r="I8" s="133">
        <f>IF(SER_hh_emi_in!I8=0,0,1000000*SER_hh_emi_in!I8/SER_hh_num_in!I8)</f>
        <v>0</v>
      </c>
      <c r="J8" s="133">
        <f>IF(SER_hh_emi_in!J8=0,0,1000000*SER_hh_emi_in!J8/SER_hh_num_in!J8)</f>
        <v>0</v>
      </c>
      <c r="K8" s="133">
        <f>IF(SER_hh_emi_in!K8=0,0,1000000*SER_hh_emi_in!K8/SER_hh_num_in!K8)</f>
        <v>0</v>
      </c>
      <c r="L8" s="133">
        <f>IF(SER_hh_emi_in!L8=0,0,1000000*SER_hh_emi_in!L8/SER_hh_num_in!L8)</f>
        <v>0</v>
      </c>
      <c r="M8" s="133">
        <f>IF(SER_hh_emi_in!M8=0,0,1000000*SER_hh_emi_in!M8/SER_hh_num_in!M8)</f>
        <v>0</v>
      </c>
      <c r="N8" s="133">
        <f>IF(SER_hh_emi_in!N8=0,0,1000000*SER_hh_emi_in!N8/SER_hh_num_in!N8)</f>
        <v>0</v>
      </c>
      <c r="O8" s="133">
        <f>IF(SER_hh_emi_in!O8=0,0,1000000*SER_hh_emi_in!O8/SER_hh_num_in!O8)</f>
        <v>0</v>
      </c>
      <c r="P8" s="133">
        <f>IF(SER_hh_emi_in!P8=0,0,1000000*SER_hh_emi_in!P8/SER_hh_num_in!P8)</f>
        <v>0</v>
      </c>
      <c r="Q8" s="133">
        <f>IF(SER_hh_emi_in!Q8=0,0,1000000*SER_hh_emi_in!Q8/SER_hh_num_in!Q8)</f>
        <v>0</v>
      </c>
      <c r="R8" s="133">
        <f>IF(SER_hh_emi_in!R8=0,0,1000000*SER_hh_emi_in!R8/SER_hh_num_in!R8)</f>
        <v>0</v>
      </c>
      <c r="S8" s="133">
        <f>IF(SER_hh_emi_in!S8=0,0,1000000*SER_hh_emi_in!S8/SER_hh_num_in!S8)</f>
        <v>0</v>
      </c>
      <c r="T8" s="133">
        <f>IF(SER_hh_emi_in!T8=0,0,1000000*SER_hh_emi_in!T8/SER_hh_num_in!T8)</f>
        <v>0</v>
      </c>
      <c r="U8" s="133">
        <f>IF(SER_hh_emi_in!U8=0,0,1000000*SER_hh_emi_in!U8/SER_hh_num_in!U8)</f>
        <v>0</v>
      </c>
      <c r="V8" s="133">
        <f>IF(SER_hh_emi_in!V8=0,0,1000000*SER_hh_emi_in!V8/SER_hh_num_in!V8)</f>
        <v>0</v>
      </c>
      <c r="W8" s="133">
        <f>IF(SER_hh_emi_in!W8=0,0,1000000*SER_hh_emi_in!W8/SER_hh_num_in!W8)</f>
        <v>0</v>
      </c>
      <c r="DA8" s="157" t="s">
        <v>790</v>
      </c>
    </row>
    <row r="9" spans="1:105" ht="12" customHeight="1" x14ac:dyDescent="0.25">
      <c r="A9" s="132" t="s">
        <v>78</v>
      </c>
      <c r="B9" s="133"/>
      <c r="C9" s="133">
        <f>IF(SER_hh_emi_in!C9=0,0,1000000*SER_hh_emi_in!C9/SER_hh_num_in!C9)</f>
        <v>0</v>
      </c>
      <c r="D9" s="133">
        <f>IF(SER_hh_emi_in!D9=0,0,1000000*SER_hh_emi_in!D9/SER_hh_num_in!D9)</f>
        <v>0</v>
      </c>
      <c r="E9" s="133">
        <f>IF(SER_hh_emi_in!E9=0,0,1000000*SER_hh_emi_in!E9/SER_hh_num_in!E9)</f>
        <v>0</v>
      </c>
      <c r="F9" s="133">
        <f>IF(SER_hh_emi_in!F9=0,0,1000000*SER_hh_emi_in!F9/SER_hh_num_in!F9)</f>
        <v>0</v>
      </c>
      <c r="G9" s="133">
        <f>IF(SER_hh_emi_in!G9=0,0,1000000*SER_hh_emi_in!G9/SER_hh_num_in!G9)</f>
        <v>0</v>
      </c>
      <c r="H9" s="133">
        <f>IF(SER_hh_emi_in!H9=0,0,1000000*SER_hh_emi_in!H9/SER_hh_num_in!H9)</f>
        <v>0</v>
      </c>
      <c r="I9" s="133">
        <f>IF(SER_hh_emi_in!I9=0,0,1000000*SER_hh_emi_in!I9/SER_hh_num_in!I9)</f>
        <v>0</v>
      </c>
      <c r="J9" s="133">
        <f>IF(SER_hh_emi_in!J9=0,0,1000000*SER_hh_emi_in!J9/SER_hh_num_in!J9)</f>
        <v>0</v>
      </c>
      <c r="K9" s="133">
        <f>IF(SER_hh_emi_in!K9=0,0,1000000*SER_hh_emi_in!K9/SER_hh_num_in!K9)</f>
        <v>0</v>
      </c>
      <c r="L9" s="133">
        <f>IF(SER_hh_emi_in!L9=0,0,1000000*SER_hh_emi_in!L9/SER_hh_num_in!L9)</f>
        <v>0</v>
      </c>
      <c r="M9" s="133">
        <f>IF(SER_hh_emi_in!M9=0,0,1000000*SER_hh_emi_in!M9/SER_hh_num_in!M9)</f>
        <v>0</v>
      </c>
      <c r="N9" s="133">
        <f>IF(SER_hh_emi_in!N9=0,0,1000000*SER_hh_emi_in!N9/SER_hh_num_in!N9)</f>
        <v>0</v>
      </c>
      <c r="O9" s="133">
        <f>IF(SER_hh_emi_in!O9=0,0,1000000*SER_hh_emi_in!O9/SER_hh_num_in!O9)</f>
        <v>0</v>
      </c>
      <c r="P9" s="133">
        <f>IF(SER_hh_emi_in!P9=0,0,1000000*SER_hh_emi_in!P9/SER_hh_num_in!P9)</f>
        <v>0</v>
      </c>
      <c r="Q9" s="133">
        <f>IF(SER_hh_emi_in!Q9=0,0,1000000*SER_hh_emi_in!Q9/SER_hh_num_in!Q9)</f>
        <v>0</v>
      </c>
      <c r="R9" s="133">
        <f>IF(SER_hh_emi_in!R9=0,0,1000000*SER_hh_emi_in!R9/SER_hh_num_in!R9)</f>
        <v>0</v>
      </c>
      <c r="S9" s="133">
        <f>IF(SER_hh_emi_in!S9=0,0,1000000*SER_hh_emi_in!S9/SER_hh_num_in!S9)</f>
        <v>0</v>
      </c>
      <c r="T9" s="133">
        <f>IF(SER_hh_emi_in!T9=0,0,1000000*SER_hh_emi_in!T9/SER_hh_num_in!T9)</f>
        <v>0</v>
      </c>
      <c r="U9" s="133">
        <f>IF(SER_hh_emi_in!U9=0,0,1000000*SER_hh_emi_in!U9/SER_hh_num_in!U9)</f>
        <v>0</v>
      </c>
      <c r="V9" s="133">
        <f>IF(SER_hh_emi_in!V9=0,0,1000000*SER_hh_emi_in!V9/SER_hh_num_in!V9)</f>
        <v>0</v>
      </c>
      <c r="W9" s="133">
        <f>IF(SER_hh_emi_in!W9=0,0,1000000*SER_hh_emi_in!W9/SER_hh_num_in!W9)</f>
        <v>0</v>
      </c>
      <c r="DA9" s="157" t="s">
        <v>791</v>
      </c>
    </row>
    <row r="10" spans="1:105" ht="12" customHeight="1" x14ac:dyDescent="0.25">
      <c r="A10" s="132" t="s">
        <v>128</v>
      </c>
      <c r="B10" s="133"/>
      <c r="C10" s="133">
        <f>IF(SER_hh_emi_in!C10=0,0,1000000*SER_hh_emi_in!C10/SER_hh_num_in!C10)</f>
        <v>0</v>
      </c>
      <c r="D10" s="133">
        <f>IF(SER_hh_emi_in!D10=0,0,1000000*SER_hh_emi_in!D10/SER_hh_num_in!D10)</f>
        <v>0</v>
      </c>
      <c r="E10" s="133">
        <f>IF(SER_hh_emi_in!E10=0,0,1000000*SER_hh_emi_in!E10/SER_hh_num_in!E10)</f>
        <v>0</v>
      </c>
      <c r="F10" s="133">
        <f>IF(SER_hh_emi_in!F10=0,0,1000000*SER_hh_emi_in!F10/SER_hh_num_in!F10)</f>
        <v>0</v>
      </c>
      <c r="G10" s="133">
        <f>IF(SER_hh_emi_in!G10=0,0,1000000*SER_hh_emi_in!G10/SER_hh_num_in!G10)</f>
        <v>0</v>
      </c>
      <c r="H10" s="133">
        <f>IF(SER_hh_emi_in!H10=0,0,1000000*SER_hh_emi_in!H10/SER_hh_num_in!H10)</f>
        <v>0</v>
      </c>
      <c r="I10" s="133">
        <f>IF(SER_hh_emi_in!I10=0,0,1000000*SER_hh_emi_in!I10/SER_hh_num_in!I10)</f>
        <v>0</v>
      </c>
      <c r="J10" s="133">
        <f>IF(SER_hh_emi_in!J10=0,0,1000000*SER_hh_emi_in!J10/SER_hh_num_in!J10)</f>
        <v>0</v>
      </c>
      <c r="K10" s="133">
        <f>IF(SER_hh_emi_in!K10=0,0,1000000*SER_hh_emi_in!K10/SER_hh_num_in!K10)</f>
        <v>0</v>
      </c>
      <c r="L10" s="133">
        <f>IF(SER_hh_emi_in!L10=0,0,1000000*SER_hh_emi_in!L10/SER_hh_num_in!L10)</f>
        <v>0</v>
      </c>
      <c r="M10" s="133">
        <f>IF(SER_hh_emi_in!M10=0,0,1000000*SER_hh_emi_in!M10/SER_hh_num_in!M10)</f>
        <v>0</v>
      </c>
      <c r="N10" s="133">
        <f>IF(SER_hh_emi_in!N10=0,0,1000000*SER_hh_emi_in!N10/SER_hh_num_in!N10)</f>
        <v>0</v>
      </c>
      <c r="O10" s="133">
        <f>IF(SER_hh_emi_in!O10=0,0,1000000*SER_hh_emi_in!O10/SER_hh_num_in!O10)</f>
        <v>0</v>
      </c>
      <c r="P10" s="133">
        <f>IF(SER_hh_emi_in!P10=0,0,1000000*SER_hh_emi_in!P10/SER_hh_num_in!P10)</f>
        <v>0</v>
      </c>
      <c r="Q10" s="133">
        <f>IF(SER_hh_emi_in!Q10=0,0,1000000*SER_hh_emi_in!Q10/SER_hh_num_in!Q10)</f>
        <v>0</v>
      </c>
      <c r="R10" s="133">
        <f>IF(SER_hh_emi_in!R10=0,0,1000000*SER_hh_emi_in!R10/SER_hh_num_in!R10)</f>
        <v>0</v>
      </c>
      <c r="S10" s="133">
        <f>IF(SER_hh_emi_in!S10=0,0,1000000*SER_hh_emi_in!S10/SER_hh_num_in!S10)</f>
        <v>0</v>
      </c>
      <c r="T10" s="133">
        <f>IF(SER_hh_emi_in!T10=0,0,1000000*SER_hh_emi_in!T10/SER_hh_num_in!T10)</f>
        <v>0</v>
      </c>
      <c r="U10" s="133">
        <f>IF(SER_hh_emi_in!U10=0,0,1000000*SER_hh_emi_in!U10/SER_hh_num_in!U10)</f>
        <v>0</v>
      </c>
      <c r="V10" s="133">
        <f>IF(SER_hh_emi_in!V10=0,0,1000000*SER_hh_emi_in!V10/SER_hh_num_in!V10)</f>
        <v>0</v>
      </c>
      <c r="W10" s="133">
        <f>IF(SER_hh_emi_in!W10=0,0,1000000*SER_hh_emi_in!W10/SER_hh_num_in!W10)</f>
        <v>0</v>
      </c>
      <c r="DA10" s="157" t="s">
        <v>792</v>
      </c>
    </row>
    <row r="11" spans="1:105" ht="12" customHeight="1" x14ac:dyDescent="0.25">
      <c r="A11" s="132" t="s">
        <v>25</v>
      </c>
      <c r="B11" s="133"/>
      <c r="C11" s="133">
        <f>IF(SER_hh_emi_in!C11=0,0,1000000*SER_hh_emi_in!C11/SER_hh_num_in!C11)</f>
        <v>0</v>
      </c>
      <c r="D11" s="133">
        <f>IF(SER_hh_emi_in!D11=0,0,1000000*SER_hh_emi_in!D11/SER_hh_num_in!D11)</f>
        <v>0</v>
      </c>
      <c r="E11" s="133">
        <f>IF(SER_hh_emi_in!E11=0,0,1000000*SER_hh_emi_in!E11/SER_hh_num_in!E11)</f>
        <v>0</v>
      </c>
      <c r="F11" s="133">
        <f>IF(SER_hh_emi_in!F11=0,0,1000000*SER_hh_emi_in!F11/SER_hh_num_in!F11)</f>
        <v>0</v>
      </c>
      <c r="G11" s="133">
        <f>IF(SER_hh_emi_in!G11=0,0,1000000*SER_hh_emi_in!G11/SER_hh_num_in!G11)</f>
        <v>0</v>
      </c>
      <c r="H11" s="133">
        <f>IF(SER_hh_emi_in!H11=0,0,1000000*SER_hh_emi_in!H11/SER_hh_num_in!H11)</f>
        <v>0</v>
      </c>
      <c r="I11" s="133">
        <f>IF(SER_hh_emi_in!I11=0,0,1000000*SER_hh_emi_in!I11/SER_hh_num_in!I11)</f>
        <v>0</v>
      </c>
      <c r="J11" s="133">
        <f>IF(SER_hh_emi_in!J11=0,0,1000000*SER_hh_emi_in!J11/SER_hh_num_in!J11)</f>
        <v>0</v>
      </c>
      <c r="K11" s="133">
        <f>IF(SER_hh_emi_in!K11=0,0,1000000*SER_hh_emi_in!K11/SER_hh_num_in!K11)</f>
        <v>0</v>
      </c>
      <c r="L11" s="133">
        <f>IF(SER_hh_emi_in!L11=0,0,1000000*SER_hh_emi_in!L11/SER_hh_num_in!L11)</f>
        <v>0</v>
      </c>
      <c r="M11" s="133">
        <f>IF(SER_hh_emi_in!M11=0,0,1000000*SER_hh_emi_in!M11/SER_hh_num_in!M11)</f>
        <v>0</v>
      </c>
      <c r="N11" s="133">
        <f>IF(SER_hh_emi_in!N11=0,0,1000000*SER_hh_emi_in!N11/SER_hh_num_in!N11)</f>
        <v>0</v>
      </c>
      <c r="O11" s="133">
        <f>IF(SER_hh_emi_in!O11=0,0,1000000*SER_hh_emi_in!O11/SER_hh_num_in!O11)</f>
        <v>0</v>
      </c>
      <c r="P11" s="133">
        <f>IF(SER_hh_emi_in!P11=0,0,1000000*SER_hh_emi_in!P11/SER_hh_num_in!P11)</f>
        <v>0</v>
      </c>
      <c r="Q11" s="133">
        <f>IF(SER_hh_emi_in!Q11=0,0,1000000*SER_hh_emi_in!Q11/SER_hh_num_in!Q11)</f>
        <v>0</v>
      </c>
      <c r="R11" s="133">
        <f>IF(SER_hh_emi_in!R11=0,0,1000000*SER_hh_emi_in!R11/SER_hh_num_in!R11)</f>
        <v>0</v>
      </c>
      <c r="S11" s="133">
        <f>IF(SER_hh_emi_in!S11=0,0,1000000*SER_hh_emi_in!S11/SER_hh_num_in!S11)</f>
        <v>0</v>
      </c>
      <c r="T11" s="133">
        <f>IF(SER_hh_emi_in!T11=0,0,1000000*SER_hh_emi_in!T11/SER_hh_num_in!T11)</f>
        <v>0</v>
      </c>
      <c r="U11" s="133">
        <f>IF(SER_hh_emi_in!U11=0,0,1000000*SER_hh_emi_in!U11/SER_hh_num_in!U11)</f>
        <v>0</v>
      </c>
      <c r="V11" s="133">
        <f>IF(SER_hh_emi_in!V11=0,0,1000000*SER_hh_emi_in!V11/SER_hh_num_in!V11)</f>
        <v>0</v>
      </c>
      <c r="W11" s="133">
        <f>IF(SER_hh_emi_in!W11=0,0,1000000*SER_hh_emi_in!W11/SER_hh_num_in!W11)</f>
        <v>0</v>
      </c>
      <c r="DA11" s="157" t="s">
        <v>793</v>
      </c>
    </row>
    <row r="12" spans="1:105" ht="12" customHeight="1" x14ac:dyDescent="0.25">
      <c r="A12" s="132" t="s">
        <v>169</v>
      </c>
      <c r="B12" s="133"/>
      <c r="C12" s="133">
        <f>IF(SER_hh_emi_in!C12=0,0,1000000*SER_hh_emi_in!C12/SER_hh_num_in!C12)</f>
        <v>0</v>
      </c>
      <c r="D12" s="133">
        <f>IF(SER_hh_emi_in!D12=0,0,1000000*SER_hh_emi_in!D12/SER_hh_num_in!D12)</f>
        <v>0</v>
      </c>
      <c r="E12" s="133">
        <f>IF(SER_hh_emi_in!E12=0,0,1000000*SER_hh_emi_in!E12/SER_hh_num_in!E12)</f>
        <v>0</v>
      </c>
      <c r="F12" s="133">
        <f>IF(SER_hh_emi_in!F12=0,0,1000000*SER_hh_emi_in!F12/SER_hh_num_in!F12)</f>
        <v>0</v>
      </c>
      <c r="G12" s="133">
        <f>IF(SER_hh_emi_in!G12=0,0,1000000*SER_hh_emi_in!G12/SER_hh_num_in!G12)</f>
        <v>0</v>
      </c>
      <c r="H12" s="133">
        <f>IF(SER_hh_emi_in!H12=0,0,1000000*SER_hh_emi_in!H12/SER_hh_num_in!H12)</f>
        <v>0</v>
      </c>
      <c r="I12" s="133">
        <f>IF(SER_hh_emi_in!I12=0,0,1000000*SER_hh_emi_in!I12/SER_hh_num_in!I12)</f>
        <v>0</v>
      </c>
      <c r="J12" s="133">
        <f>IF(SER_hh_emi_in!J12=0,0,1000000*SER_hh_emi_in!J12/SER_hh_num_in!J12)</f>
        <v>0</v>
      </c>
      <c r="K12" s="133">
        <f>IF(SER_hh_emi_in!K12=0,0,1000000*SER_hh_emi_in!K12/SER_hh_num_in!K12)</f>
        <v>0</v>
      </c>
      <c r="L12" s="133">
        <f>IF(SER_hh_emi_in!L12=0,0,1000000*SER_hh_emi_in!L12/SER_hh_num_in!L12)</f>
        <v>0</v>
      </c>
      <c r="M12" s="133">
        <f>IF(SER_hh_emi_in!M12=0,0,1000000*SER_hh_emi_in!M12/SER_hh_num_in!M12)</f>
        <v>0</v>
      </c>
      <c r="N12" s="133">
        <f>IF(SER_hh_emi_in!N12=0,0,1000000*SER_hh_emi_in!N12/SER_hh_num_in!N12)</f>
        <v>0</v>
      </c>
      <c r="O12" s="133">
        <f>IF(SER_hh_emi_in!O12=0,0,1000000*SER_hh_emi_in!O12/SER_hh_num_in!O12)</f>
        <v>0</v>
      </c>
      <c r="P12" s="133">
        <f>IF(SER_hh_emi_in!P12=0,0,1000000*SER_hh_emi_in!P12/SER_hh_num_in!P12)</f>
        <v>0</v>
      </c>
      <c r="Q12" s="133">
        <f>IF(SER_hh_emi_in!Q12=0,0,1000000*SER_hh_emi_in!Q12/SER_hh_num_in!Q12)</f>
        <v>0</v>
      </c>
      <c r="R12" s="133">
        <f>IF(SER_hh_emi_in!R12=0,0,1000000*SER_hh_emi_in!R12/SER_hh_num_in!R12)</f>
        <v>0</v>
      </c>
      <c r="S12" s="133">
        <f>IF(SER_hh_emi_in!S12=0,0,1000000*SER_hh_emi_in!S12/SER_hh_num_in!S12)</f>
        <v>0</v>
      </c>
      <c r="T12" s="133">
        <f>IF(SER_hh_emi_in!T12=0,0,1000000*SER_hh_emi_in!T12/SER_hh_num_in!T12)</f>
        <v>0</v>
      </c>
      <c r="U12" s="133">
        <f>IF(SER_hh_emi_in!U12=0,0,1000000*SER_hh_emi_in!U12/SER_hh_num_in!U12)</f>
        <v>0</v>
      </c>
      <c r="V12" s="133">
        <f>IF(SER_hh_emi_in!V12=0,0,1000000*SER_hh_emi_in!V12/SER_hh_num_in!V12)</f>
        <v>0</v>
      </c>
      <c r="W12" s="133">
        <f>IF(SER_hh_emi_in!W12=0,0,1000000*SER_hh_emi_in!W12/SER_hh_num_in!W12)</f>
        <v>0</v>
      </c>
      <c r="DA12" s="157" t="s">
        <v>794</v>
      </c>
    </row>
    <row r="13" spans="1:105" ht="12" customHeight="1" x14ac:dyDescent="0.25">
      <c r="A13" s="132" t="s">
        <v>77</v>
      </c>
      <c r="B13" s="133"/>
      <c r="C13" s="133">
        <f>IF(SER_hh_emi_in!C13=0,0,1000000*SER_hh_emi_in!C13/SER_hh_num_in!C13)</f>
        <v>0</v>
      </c>
      <c r="D13" s="133">
        <f>IF(SER_hh_emi_in!D13=0,0,1000000*SER_hh_emi_in!D13/SER_hh_num_in!D13)</f>
        <v>0</v>
      </c>
      <c r="E13" s="133">
        <f>IF(SER_hh_emi_in!E13=0,0,1000000*SER_hh_emi_in!E13/SER_hh_num_in!E13)</f>
        <v>0</v>
      </c>
      <c r="F13" s="133">
        <f>IF(SER_hh_emi_in!F13=0,0,1000000*SER_hh_emi_in!F13/SER_hh_num_in!F13)</f>
        <v>0</v>
      </c>
      <c r="G13" s="133">
        <f>IF(SER_hh_emi_in!G13=0,0,1000000*SER_hh_emi_in!G13/SER_hh_num_in!G13)</f>
        <v>0</v>
      </c>
      <c r="H13" s="133">
        <f>IF(SER_hh_emi_in!H13=0,0,1000000*SER_hh_emi_in!H13/SER_hh_num_in!H13)</f>
        <v>0</v>
      </c>
      <c r="I13" s="133">
        <f>IF(SER_hh_emi_in!I13=0,0,1000000*SER_hh_emi_in!I13/SER_hh_num_in!I13)</f>
        <v>0</v>
      </c>
      <c r="J13" s="133">
        <f>IF(SER_hh_emi_in!J13=0,0,1000000*SER_hh_emi_in!J13/SER_hh_num_in!J13)</f>
        <v>0</v>
      </c>
      <c r="K13" s="133">
        <f>IF(SER_hh_emi_in!K13=0,0,1000000*SER_hh_emi_in!K13/SER_hh_num_in!K13)</f>
        <v>0</v>
      </c>
      <c r="L13" s="133">
        <f>IF(SER_hh_emi_in!L13=0,0,1000000*SER_hh_emi_in!L13/SER_hh_num_in!L13)</f>
        <v>0</v>
      </c>
      <c r="M13" s="133">
        <f>IF(SER_hh_emi_in!M13=0,0,1000000*SER_hh_emi_in!M13/SER_hh_num_in!M13)</f>
        <v>0</v>
      </c>
      <c r="N13" s="133">
        <f>IF(SER_hh_emi_in!N13=0,0,1000000*SER_hh_emi_in!N13/SER_hh_num_in!N13)</f>
        <v>0</v>
      </c>
      <c r="O13" s="133">
        <f>IF(SER_hh_emi_in!O13=0,0,1000000*SER_hh_emi_in!O13/SER_hh_num_in!O13)</f>
        <v>0</v>
      </c>
      <c r="P13" s="133">
        <f>IF(SER_hh_emi_in!P13=0,0,1000000*SER_hh_emi_in!P13/SER_hh_num_in!P13)</f>
        <v>0</v>
      </c>
      <c r="Q13" s="133">
        <f>IF(SER_hh_emi_in!Q13=0,0,1000000*SER_hh_emi_in!Q13/SER_hh_num_in!Q13)</f>
        <v>0</v>
      </c>
      <c r="R13" s="133">
        <f>IF(SER_hh_emi_in!R13=0,0,1000000*SER_hh_emi_in!R13/SER_hh_num_in!R13)</f>
        <v>0</v>
      </c>
      <c r="S13" s="133">
        <f>IF(SER_hh_emi_in!S13=0,0,1000000*SER_hh_emi_in!S13/SER_hh_num_in!S13)</f>
        <v>0</v>
      </c>
      <c r="T13" s="133">
        <f>IF(SER_hh_emi_in!T13=0,0,1000000*SER_hh_emi_in!T13/SER_hh_num_in!T13)</f>
        <v>0</v>
      </c>
      <c r="U13" s="133">
        <f>IF(SER_hh_emi_in!U13=0,0,1000000*SER_hh_emi_in!U13/SER_hh_num_in!U13)</f>
        <v>0</v>
      </c>
      <c r="V13" s="133">
        <f>IF(SER_hh_emi_in!V13=0,0,1000000*SER_hh_emi_in!V13/SER_hh_num_in!V13)</f>
        <v>0</v>
      </c>
      <c r="W13" s="133">
        <f>IF(SER_hh_emi_in!W13=0,0,1000000*SER_hh_emi_in!W13/SER_hh_num_in!W13)</f>
        <v>0</v>
      </c>
      <c r="DA13" s="157" t="s">
        <v>795</v>
      </c>
    </row>
    <row r="14" spans="1:105" ht="12" customHeight="1" x14ac:dyDescent="0.25">
      <c r="A14" s="60" t="s">
        <v>76</v>
      </c>
      <c r="B14" s="65"/>
      <c r="C14" s="65">
        <f>IF(SER_hh_emi_in!C14=0,0,1000000*SER_hh_emi_in!C14/SER_hh_num_in!C14)</f>
        <v>0</v>
      </c>
      <c r="D14" s="65">
        <f>IF(SER_hh_emi_in!D14=0,0,1000000*SER_hh_emi_in!D14/SER_hh_num_in!D14)</f>
        <v>0</v>
      </c>
      <c r="E14" s="65">
        <f>IF(SER_hh_emi_in!E14=0,0,1000000*SER_hh_emi_in!E14/SER_hh_num_in!E14)</f>
        <v>0</v>
      </c>
      <c r="F14" s="65">
        <f>IF(SER_hh_emi_in!F14=0,0,1000000*SER_hh_emi_in!F14/SER_hh_num_in!F14)</f>
        <v>0</v>
      </c>
      <c r="G14" s="65">
        <f>IF(SER_hh_emi_in!G14=0,0,1000000*SER_hh_emi_in!G14/SER_hh_num_in!G14)</f>
        <v>0</v>
      </c>
      <c r="H14" s="65">
        <f>IF(SER_hh_emi_in!H14=0,0,1000000*SER_hh_emi_in!H14/SER_hh_num_in!H14)</f>
        <v>0</v>
      </c>
      <c r="I14" s="65">
        <f>IF(SER_hh_emi_in!I14=0,0,1000000*SER_hh_emi_in!I14/SER_hh_num_in!I14)</f>
        <v>0</v>
      </c>
      <c r="J14" s="65">
        <f>IF(SER_hh_emi_in!J14=0,0,1000000*SER_hh_emi_in!J14/SER_hh_num_in!J14)</f>
        <v>0</v>
      </c>
      <c r="K14" s="65">
        <f>IF(SER_hh_emi_in!K14=0,0,1000000*SER_hh_emi_in!K14/SER_hh_num_in!K14)</f>
        <v>0</v>
      </c>
      <c r="L14" s="65">
        <f>IF(SER_hh_emi_in!L14=0,0,1000000*SER_hh_emi_in!L14/SER_hh_num_in!L14)</f>
        <v>0</v>
      </c>
      <c r="M14" s="65">
        <f>IF(SER_hh_emi_in!M14=0,0,1000000*SER_hh_emi_in!M14/SER_hh_num_in!M14)</f>
        <v>0</v>
      </c>
      <c r="N14" s="65">
        <f>IF(SER_hh_emi_in!N14=0,0,1000000*SER_hh_emi_in!N14/SER_hh_num_in!N14)</f>
        <v>0</v>
      </c>
      <c r="O14" s="65">
        <f>IF(SER_hh_emi_in!O14=0,0,1000000*SER_hh_emi_in!O14/SER_hh_num_in!O14)</f>
        <v>0</v>
      </c>
      <c r="P14" s="65">
        <f>IF(SER_hh_emi_in!P14=0,0,1000000*SER_hh_emi_in!P14/SER_hh_num_in!P14)</f>
        <v>0</v>
      </c>
      <c r="Q14" s="65">
        <f>IF(SER_hh_emi_in!Q14=0,0,1000000*SER_hh_emi_in!Q14/SER_hh_num_in!Q14)</f>
        <v>0</v>
      </c>
      <c r="R14" s="65">
        <f>IF(SER_hh_emi_in!R14=0,0,1000000*SER_hh_emi_in!R14/SER_hh_num_in!R14)</f>
        <v>0</v>
      </c>
      <c r="S14" s="65">
        <f>IF(SER_hh_emi_in!S14=0,0,1000000*SER_hh_emi_in!S14/SER_hh_num_in!S14)</f>
        <v>0</v>
      </c>
      <c r="T14" s="65">
        <f>IF(SER_hh_emi_in!T14=0,0,1000000*SER_hh_emi_in!T14/SER_hh_num_in!T14)</f>
        <v>0</v>
      </c>
      <c r="U14" s="65">
        <f>IF(SER_hh_emi_in!U14=0,0,1000000*SER_hh_emi_in!U14/SER_hh_num_in!U14)</f>
        <v>0</v>
      </c>
      <c r="V14" s="65">
        <f>IF(SER_hh_emi_in!V14=0,0,1000000*SER_hh_emi_in!V14/SER_hh_num_in!V14)</f>
        <v>0</v>
      </c>
      <c r="W14" s="65">
        <f>IF(SER_hh_emi_in!W14=0,0,1000000*SER_hh_emi_in!W14/SER_hh_num_in!W14)</f>
        <v>0</v>
      </c>
      <c r="DA14" s="109" t="s">
        <v>796</v>
      </c>
    </row>
    <row r="15" spans="1:105" ht="12" customHeight="1" x14ac:dyDescent="0.25">
      <c r="A15" s="134" t="s">
        <v>80</v>
      </c>
      <c r="B15" s="135"/>
      <c r="C15" s="135">
        <f>IF(SER_hh_emi_in!C15=0,0,1000000*SER_hh_emi_in!C15/SER_hh_num_in!C15)</f>
        <v>0</v>
      </c>
      <c r="D15" s="135">
        <f>IF(SER_hh_emi_in!D15=0,0,1000000*SER_hh_emi_in!D15/SER_hh_num_in!D15)</f>
        <v>0</v>
      </c>
      <c r="E15" s="135">
        <f>IF(SER_hh_emi_in!E15=0,0,1000000*SER_hh_emi_in!E15/SER_hh_num_in!E15)</f>
        <v>0</v>
      </c>
      <c r="F15" s="135">
        <f>IF(SER_hh_emi_in!F15=0,0,1000000*SER_hh_emi_in!F15/SER_hh_num_in!F15)</f>
        <v>0</v>
      </c>
      <c r="G15" s="135">
        <f>IF(SER_hh_emi_in!G15=0,0,1000000*SER_hh_emi_in!G15/SER_hh_num_in!G15)</f>
        <v>0</v>
      </c>
      <c r="H15" s="135">
        <f>IF(SER_hh_emi_in!H15=0,0,1000000*SER_hh_emi_in!H15/SER_hh_num_in!H15)</f>
        <v>0</v>
      </c>
      <c r="I15" s="135">
        <f>IF(SER_hh_emi_in!I15=0,0,1000000*SER_hh_emi_in!I15/SER_hh_num_in!I15)</f>
        <v>0</v>
      </c>
      <c r="J15" s="135">
        <f>IF(SER_hh_emi_in!J15=0,0,1000000*SER_hh_emi_in!J15/SER_hh_num_in!J15)</f>
        <v>0</v>
      </c>
      <c r="K15" s="135">
        <f>IF(SER_hh_emi_in!K15=0,0,1000000*SER_hh_emi_in!K15/SER_hh_num_in!K15)</f>
        <v>0</v>
      </c>
      <c r="L15" s="135">
        <f>IF(SER_hh_emi_in!L15=0,0,1000000*SER_hh_emi_in!L15/SER_hh_num_in!L15)</f>
        <v>0</v>
      </c>
      <c r="M15" s="135">
        <f>IF(SER_hh_emi_in!M15=0,0,1000000*SER_hh_emi_in!M15/SER_hh_num_in!M15)</f>
        <v>0</v>
      </c>
      <c r="N15" s="135">
        <f>IF(SER_hh_emi_in!N15=0,0,1000000*SER_hh_emi_in!N15/SER_hh_num_in!N15)</f>
        <v>0</v>
      </c>
      <c r="O15" s="135">
        <f>IF(SER_hh_emi_in!O15=0,0,1000000*SER_hh_emi_in!O15/SER_hh_num_in!O15)</f>
        <v>0</v>
      </c>
      <c r="P15" s="135">
        <f>IF(SER_hh_emi_in!P15=0,0,1000000*SER_hh_emi_in!P15/SER_hh_num_in!P15)</f>
        <v>0</v>
      </c>
      <c r="Q15" s="135">
        <f>IF(SER_hh_emi_in!Q15=0,0,1000000*SER_hh_emi_in!Q15/SER_hh_num_in!Q15)</f>
        <v>0</v>
      </c>
      <c r="R15" s="135">
        <f>IF(SER_hh_emi_in!R15=0,0,1000000*SER_hh_emi_in!R15/SER_hh_num_in!R15)</f>
        <v>0</v>
      </c>
      <c r="S15" s="135">
        <f>IF(SER_hh_emi_in!S15=0,0,1000000*SER_hh_emi_in!S15/SER_hh_num_in!S15)</f>
        <v>0</v>
      </c>
      <c r="T15" s="135">
        <f>IF(SER_hh_emi_in!T15=0,0,1000000*SER_hh_emi_in!T15/SER_hh_num_in!T15)</f>
        <v>0</v>
      </c>
      <c r="U15" s="135">
        <f>IF(SER_hh_emi_in!U15=0,0,1000000*SER_hh_emi_in!U15/SER_hh_num_in!U15)</f>
        <v>0</v>
      </c>
      <c r="V15" s="135">
        <f>IF(SER_hh_emi_in!V15=0,0,1000000*SER_hh_emi_in!V15/SER_hh_num_in!V15)</f>
        <v>0</v>
      </c>
      <c r="W15" s="135">
        <f>IF(SER_hh_emi_in!W15=0,0,1000000*SER_hh_emi_in!W15/SER_hh_num_in!W15)</f>
        <v>0</v>
      </c>
      <c r="DA15" s="158" t="s">
        <v>797</v>
      </c>
    </row>
    <row r="16" spans="1:105" ht="12.95" customHeight="1" x14ac:dyDescent="0.25">
      <c r="A16" s="130" t="s">
        <v>74</v>
      </c>
      <c r="B16" s="131"/>
      <c r="C16" s="131">
        <f>IF(SER_hh_emi_in!C16=0,0,1000000*SER_hh_emi_in!C16/SER_hh_num_in!C16)</f>
        <v>0</v>
      </c>
      <c r="D16" s="131">
        <f>IF(SER_hh_emi_in!D16=0,0,1000000*SER_hh_emi_in!D16/SER_hh_num_in!D16)</f>
        <v>0</v>
      </c>
      <c r="E16" s="131">
        <f>IF(SER_hh_emi_in!E16=0,0,1000000*SER_hh_emi_in!E16/SER_hh_num_in!E16)</f>
        <v>0</v>
      </c>
      <c r="F16" s="131">
        <f>IF(SER_hh_emi_in!F16=0,0,1000000*SER_hh_emi_in!F16/SER_hh_num_in!F16)</f>
        <v>0</v>
      </c>
      <c r="G16" s="131">
        <f>IF(SER_hh_emi_in!G16=0,0,1000000*SER_hh_emi_in!G16/SER_hh_num_in!G16)</f>
        <v>0</v>
      </c>
      <c r="H16" s="131">
        <f>IF(SER_hh_emi_in!H16=0,0,1000000*SER_hh_emi_in!H16/SER_hh_num_in!H16)</f>
        <v>0</v>
      </c>
      <c r="I16" s="131">
        <f>IF(SER_hh_emi_in!I16=0,0,1000000*SER_hh_emi_in!I16/SER_hh_num_in!I16)</f>
        <v>0</v>
      </c>
      <c r="J16" s="131">
        <f>IF(SER_hh_emi_in!J16=0,0,1000000*SER_hh_emi_in!J16/SER_hh_num_in!J16)</f>
        <v>0</v>
      </c>
      <c r="K16" s="131">
        <f>IF(SER_hh_emi_in!K16=0,0,1000000*SER_hh_emi_in!K16/SER_hh_num_in!K16)</f>
        <v>0</v>
      </c>
      <c r="L16" s="131">
        <f>IF(SER_hh_emi_in!L16=0,0,1000000*SER_hh_emi_in!L16/SER_hh_num_in!L16)</f>
        <v>0</v>
      </c>
      <c r="M16" s="131">
        <f>IF(SER_hh_emi_in!M16=0,0,1000000*SER_hh_emi_in!M16/SER_hh_num_in!M16)</f>
        <v>0</v>
      </c>
      <c r="N16" s="131">
        <f>IF(SER_hh_emi_in!N16=0,0,1000000*SER_hh_emi_in!N16/SER_hh_num_in!N16)</f>
        <v>0</v>
      </c>
      <c r="O16" s="131">
        <f>IF(SER_hh_emi_in!O16=0,0,1000000*SER_hh_emi_in!O16/SER_hh_num_in!O16)</f>
        <v>0</v>
      </c>
      <c r="P16" s="131">
        <f>IF(SER_hh_emi_in!P16=0,0,1000000*SER_hh_emi_in!P16/SER_hh_num_in!P16)</f>
        <v>0</v>
      </c>
      <c r="Q16" s="131">
        <f>IF(SER_hh_emi_in!Q16=0,0,1000000*SER_hh_emi_in!Q16/SER_hh_num_in!Q16)</f>
        <v>0</v>
      </c>
      <c r="R16" s="131">
        <f>IF(SER_hh_emi_in!R16=0,0,1000000*SER_hh_emi_in!R16/SER_hh_num_in!R16)</f>
        <v>0</v>
      </c>
      <c r="S16" s="131">
        <f>IF(SER_hh_emi_in!S16=0,0,1000000*SER_hh_emi_in!S16/SER_hh_num_in!S16)</f>
        <v>0</v>
      </c>
      <c r="T16" s="131">
        <f>IF(SER_hh_emi_in!T16=0,0,1000000*SER_hh_emi_in!T16/SER_hh_num_in!T16)</f>
        <v>0</v>
      </c>
      <c r="U16" s="131">
        <f>IF(SER_hh_emi_in!U16=0,0,1000000*SER_hh_emi_in!U16/SER_hh_num_in!U16)</f>
        <v>0</v>
      </c>
      <c r="V16" s="131">
        <f>IF(SER_hh_emi_in!V16=0,0,1000000*SER_hh_emi_in!V16/SER_hh_num_in!V16)</f>
        <v>0</v>
      </c>
      <c r="W16" s="131">
        <f>IF(SER_hh_emi_in!W16=0,0,1000000*SER_hh_emi_in!W16/SER_hh_num_in!W16)</f>
        <v>0</v>
      </c>
      <c r="DA16" s="156" t="s">
        <v>798</v>
      </c>
    </row>
    <row r="17" spans="1:105" ht="12.95" customHeight="1" x14ac:dyDescent="0.25">
      <c r="A17" s="132" t="s">
        <v>73</v>
      </c>
      <c r="B17" s="133"/>
      <c r="C17" s="133">
        <f>IF(SER_hh_emi_in!C17=0,0,1000000*SER_hh_emi_in!C17/SER_hh_num_in!C17)</f>
        <v>0</v>
      </c>
      <c r="D17" s="133">
        <f>IF(SER_hh_emi_in!D17=0,0,1000000*SER_hh_emi_in!D17/SER_hh_num_in!D17)</f>
        <v>0</v>
      </c>
      <c r="E17" s="133">
        <f>IF(SER_hh_emi_in!E17=0,0,1000000*SER_hh_emi_in!E17/SER_hh_num_in!E17)</f>
        <v>0</v>
      </c>
      <c r="F17" s="133">
        <f>IF(SER_hh_emi_in!F17=0,0,1000000*SER_hh_emi_in!F17/SER_hh_num_in!F17)</f>
        <v>0</v>
      </c>
      <c r="G17" s="133">
        <f>IF(SER_hh_emi_in!G17=0,0,1000000*SER_hh_emi_in!G17/SER_hh_num_in!G17)</f>
        <v>0</v>
      </c>
      <c r="H17" s="133">
        <f>IF(SER_hh_emi_in!H17=0,0,1000000*SER_hh_emi_in!H17/SER_hh_num_in!H17)</f>
        <v>0</v>
      </c>
      <c r="I17" s="133">
        <f>IF(SER_hh_emi_in!I17=0,0,1000000*SER_hh_emi_in!I17/SER_hh_num_in!I17)</f>
        <v>0</v>
      </c>
      <c r="J17" s="133">
        <f>IF(SER_hh_emi_in!J17=0,0,1000000*SER_hh_emi_in!J17/SER_hh_num_in!J17)</f>
        <v>0</v>
      </c>
      <c r="K17" s="133">
        <f>IF(SER_hh_emi_in!K17=0,0,1000000*SER_hh_emi_in!K17/SER_hh_num_in!K17)</f>
        <v>0</v>
      </c>
      <c r="L17" s="133">
        <f>IF(SER_hh_emi_in!L17=0,0,1000000*SER_hh_emi_in!L17/SER_hh_num_in!L17)</f>
        <v>0</v>
      </c>
      <c r="M17" s="133">
        <f>IF(SER_hh_emi_in!M17=0,0,1000000*SER_hh_emi_in!M17/SER_hh_num_in!M17)</f>
        <v>0</v>
      </c>
      <c r="N17" s="133">
        <f>IF(SER_hh_emi_in!N17=0,0,1000000*SER_hh_emi_in!N17/SER_hh_num_in!N17)</f>
        <v>0</v>
      </c>
      <c r="O17" s="133">
        <f>IF(SER_hh_emi_in!O17=0,0,1000000*SER_hh_emi_in!O17/SER_hh_num_in!O17)</f>
        <v>0</v>
      </c>
      <c r="P17" s="133">
        <f>IF(SER_hh_emi_in!P17=0,0,1000000*SER_hh_emi_in!P17/SER_hh_num_in!P17)</f>
        <v>0</v>
      </c>
      <c r="Q17" s="133">
        <f>IF(SER_hh_emi_in!Q17=0,0,1000000*SER_hh_emi_in!Q17/SER_hh_num_in!Q17)</f>
        <v>0</v>
      </c>
      <c r="R17" s="133">
        <f>IF(SER_hh_emi_in!R17=0,0,1000000*SER_hh_emi_in!R17/SER_hh_num_in!R17)</f>
        <v>0</v>
      </c>
      <c r="S17" s="133">
        <f>IF(SER_hh_emi_in!S17=0,0,1000000*SER_hh_emi_in!S17/SER_hh_num_in!S17)</f>
        <v>0</v>
      </c>
      <c r="T17" s="133">
        <f>IF(SER_hh_emi_in!T17=0,0,1000000*SER_hh_emi_in!T17/SER_hh_num_in!T17)</f>
        <v>0</v>
      </c>
      <c r="U17" s="133">
        <f>IF(SER_hh_emi_in!U17=0,0,1000000*SER_hh_emi_in!U17/SER_hh_num_in!U17)</f>
        <v>0</v>
      </c>
      <c r="V17" s="133">
        <f>IF(SER_hh_emi_in!V17=0,0,1000000*SER_hh_emi_in!V17/SER_hh_num_in!V17)</f>
        <v>0</v>
      </c>
      <c r="W17" s="133">
        <f>IF(SER_hh_emi_in!W17=0,0,1000000*SER_hh_emi_in!W17/SER_hh_num_in!W17)</f>
        <v>0</v>
      </c>
      <c r="DA17" s="157" t="s">
        <v>799</v>
      </c>
    </row>
    <row r="18" spans="1:105" ht="12" customHeight="1" x14ac:dyDescent="0.25">
      <c r="A18" s="132" t="s">
        <v>72</v>
      </c>
      <c r="B18" s="133"/>
      <c r="C18" s="133">
        <f>IF(SER_hh_emi_in!C18=0,0,1000000*SER_hh_emi_in!C18/SER_hh_num_in!C18)</f>
        <v>0</v>
      </c>
      <c r="D18" s="133">
        <f>IF(SER_hh_emi_in!D18=0,0,1000000*SER_hh_emi_in!D18/SER_hh_num_in!D18)</f>
        <v>0</v>
      </c>
      <c r="E18" s="133">
        <f>IF(SER_hh_emi_in!E18=0,0,1000000*SER_hh_emi_in!E18/SER_hh_num_in!E18)</f>
        <v>0</v>
      </c>
      <c r="F18" s="133">
        <f>IF(SER_hh_emi_in!F18=0,0,1000000*SER_hh_emi_in!F18/SER_hh_num_in!F18)</f>
        <v>0</v>
      </c>
      <c r="G18" s="133">
        <f>IF(SER_hh_emi_in!G18=0,0,1000000*SER_hh_emi_in!G18/SER_hh_num_in!G18)</f>
        <v>0</v>
      </c>
      <c r="H18" s="133">
        <f>IF(SER_hh_emi_in!H18=0,0,1000000*SER_hh_emi_in!H18/SER_hh_num_in!H18)</f>
        <v>0</v>
      </c>
      <c r="I18" s="133">
        <f>IF(SER_hh_emi_in!I18=0,0,1000000*SER_hh_emi_in!I18/SER_hh_num_in!I18)</f>
        <v>0</v>
      </c>
      <c r="J18" s="133">
        <f>IF(SER_hh_emi_in!J18=0,0,1000000*SER_hh_emi_in!J18/SER_hh_num_in!J18)</f>
        <v>0</v>
      </c>
      <c r="K18" s="133">
        <f>IF(SER_hh_emi_in!K18=0,0,1000000*SER_hh_emi_in!K18/SER_hh_num_in!K18)</f>
        <v>0</v>
      </c>
      <c r="L18" s="133">
        <f>IF(SER_hh_emi_in!L18=0,0,1000000*SER_hh_emi_in!L18/SER_hh_num_in!L18)</f>
        <v>0</v>
      </c>
      <c r="M18" s="133">
        <f>IF(SER_hh_emi_in!M18=0,0,1000000*SER_hh_emi_in!M18/SER_hh_num_in!M18)</f>
        <v>0</v>
      </c>
      <c r="N18" s="133">
        <f>IF(SER_hh_emi_in!N18=0,0,1000000*SER_hh_emi_in!N18/SER_hh_num_in!N18)</f>
        <v>0</v>
      </c>
      <c r="O18" s="133">
        <f>IF(SER_hh_emi_in!O18=0,0,1000000*SER_hh_emi_in!O18/SER_hh_num_in!O18)</f>
        <v>0</v>
      </c>
      <c r="P18" s="133">
        <f>IF(SER_hh_emi_in!P18=0,0,1000000*SER_hh_emi_in!P18/SER_hh_num_in!P18)</f>
        <v>0</v>
      </c>
      <c r="Q18" s="133">
        <f>IF(SER_hh_emi_in!Q18=0,0,1000000*SER_hh_emi_in!Q18/SER_hh_num_in!Q18)</f>
        <v>0</v>
      </c>
      <c r="R18" s="133">
        <f>IF(SER_hh_emi_in!R18=0,0,1000000*SER_hh_emi_in!R18/SER_hh_num_in!R18)</f>
        <v>0</v>
      </c>
      <c r="S18" s="133">
        <f>IF(SER_hh_emi_in!S18=0,0,1000000*SER_hh_emi_in!S18/SER_hh_num_in!S18)</f>
        <v>0</v>
      </c>
      <c r="T18" s="133">
        <f>IF(SER_hh_emi_in!T18=0,0,1000000*SER_hh_emi_in!T18/SER_hh_num_in!T18)</f>
        <v>0</v>
      </c>
      <c r="U18" s="133">
        <f>IF(SER_hh_emi_in!U18=0,0,1000000*SER_hh_emi_in!U18/SER_hh_num_in!U18)</f>
        <v>0</v>
      </c>
      <c r="V18" s="133">
        <f>IF(SER_hh_emi_in!V18=0,0,1000000*SER_hh_emi_in!V18/SER_hh_num_in!V18)</f>
        <v>0</v>
      </c>
      <c r="W18" s="133">
        <f>IF(SER_hh_emi_in!W18=0,0,1000000*SER_hh_emi_in!W18/SER_hh_num_in!W18)</f>
        <v>0</v>
      </c>
      <c r="DA18" s="157" t="s">
        <v>800</v>
      </c>
    </row>
    <row r="19" spans="1:105" ht="12.95" customHeight="1" x14ac:dyDescent="0.25">
      <c r="A19" s="130" t="s">
        <v>35</v>
      </c>
      <c r="B19" s="131"/>
      <c r="C19" s="131">
        <f>IF(SER_hh_emi_in!C19=0,0,1000000*SER_hh_emi_in!C19/SER_hh_num_in!C19)</f>
        <v>192.93907703053023</v>
      </c>
      <c r="D19" s="131">
        <f>IF(SER_hh_emi_in!D19=0,0,1000000*SER_hh_emi_in!D19/SER_hh_num_in!D19)</f>
        <v>64.398559626453178</v>
      </c>
      <c r="E19" s="131">
        <f>IF(SER_hh_emi_in!E19=0,0,1000000*SER_hh_emi_in!E19/SER_hh_num_in!E19)</f>
        <v>135.70097692069876</v>
      </c>
      <c r="F19" s="131">
        <f>IF(SER_hh_emi_in!F19=0,0,1000000*SER_hh_emi_in!F19/SER_hh_num_in!F19)</f>
        <v>151.95558332073426</v>
      </c>
      <c r="G19" s="131">
        <f>IF(SER_hh_emi_in!G19=0,0,1000000*SER_hh_emi_in!G19/SER_hh_num_in!G19)</f>
        <v>145.60239594365996</v>
      </c>
      <c r="H19" s="131">
        <f>IF(SER_hh_emi_in!H19=0,0,1000000*SER_hh_emi_in!H19/SER_hh_num_in!H19)</f>
        <v>2845.99025255881</v>
      </c>
      <c r="I19" s="131">
        <f>IF(SER_hh_emi_in!I19=0,0,1000000*SER_hh_emi_in!I19/SER_hh_num_in!I19)</f>
        <v>2623.957720530228</v>
      </c>
      <c r="J19" s="131">
        <f>IF(SER_hh_emi_in!J19=0,0,1000000*SER_hh_emi_in!J19/SER_hh_num_in!J19)</f>
        <v>2402.5917992202358</v>
      </c>
      <c r="K19" s="131">
        <f>IF(SER_hh_emi_in!K19=0,0,1000000*SER_hh_emi_in!K19/SER_hh_num_in!K19)</f>
        <v>446.72537264663123</v>
      </c>
      <c r="L19" s="131">
        <f>IF(SER_hh_emi_in!L19=0,0,1000000*SER_hh_emi_in!L19/SER_hh_num_in!L19)</f>
        <v>406.87828422395222</v>
      </c>
      <c r="M19" s="131">
        <f>IF(SER_hh_emi_in!M19=0,0,1000000*SER_hh_emi_in!M19/SER_hh_num_in!M19)</f>
        <v>175.33856624493748</v>
      </c>
      <c r="N19" s="131">
        <f>IF(SER_hh_emi_in!N19=0,0,1000000*SER_hh_emi_in!N19/SER_hh_num_in!N19)</f>
        <v>180.56819486933219</v>
      </c>
      <c r="O19" s="131">
        <f>IF(SER_hh_emi_in!O19=0,0,1000000*SER_hh_emi_in!O19/SER_hh_num_in!O19)</f>
        <v>181.49723487609293</v>
      </c>
      <c r="P19" s="131">
        <f>IF(SER_hh_emi_in!P19=0,0,1000000*SER_hh_emi_in!P19/SER_hh_num_in!P19)</f>
        <v>138.01096499572682</v>
      </c>
      <c r="Q19" s="131">
        <f>IF(SER_hh_emi_in!Q19=0,0,1000000*SER_hh_emi_in!Q19/SER_hh_num_in!Q19)</f>
        <v>126.76018738584828</v>
      </c>
      <c r="R19" s="131">
        <f>IF(SER_hh_emi_in!R19=0,0,1000000*SER_hh_emi_in!R19/SER_hh_num_in!R19)</f>
        <v>190.49096318700592</v>
      </c>
      <c r="S19" s="131">
        <f>IF(SER_hh_emi_in!S19=0,0,1000000*SER_hh_emi_in!S19/SER_hh_num_in!S19)</f>
        <v>388.55115430521124</v>
      </c>
      <c r="T19" s="131">
        <f>IF(SER_hh_emi_in!T19=0,0,1000000*SER_hh_emi_in!T19/SER_hh_num_in!T19)</f>
        <v>637.98920224945266</v>
      </c>
      <c r="U19" s="131">
        <f>IF(SER_hh_emi_in!U19=0,0,1000000*SER_hh_emi_in!U19/SER_hh_num_in!U19)</f>
        <v>871.21622458198976</v>
      </c>
      <c r="V19" s="131">
        <f>IF(SER_hh_emi_in!V19=0,0,1000000*SER_hh_emi_in!V19/SER_hh_num_in!V19)</f>
        <v>387.93006915290385</v>
      </c>
      <c r="W19" s="131">
        <f>IF(SER_hh_emi_in!W19=0,0,1000000*SER_hh_emi_in!W19/SER_hh_num_in!W19)</f>
        <v>920.07848560109221</v>
      </c>
      <c r="DA19" s="156" t="s">
        <v>801</v>
      </c>
    </row>
    <row r="20" spans="1:105" ht="12" customHeight="1" x14ac:dyDescent="0.25">
      <c r="A20" s="132" t="s">
        <v>29</v>
      </c>
      <c r="B20" s="133"/>
      <c r="C20" s="133">
        <f>IF(SER_hh_emi_in!C20=0,0,1000000*SER_hh_emi_in!C20/SER_hh_num_in!C20)</f>
        <v>0</v>
      </c>
      <c r="D20" s="133">
        <f>IF(SER_hh_emi_in!D20=0,0,1000000*SER_hh_emi_in!D20/SER_hh_num_in!D20)</f>
        <v>0</v>
      </c>
      <c r="E20" s="133">
        <f>IF(SER_hh_emi_in!E20=0,0,1000000*SER_hh_emi_in!E20/SER_hh_num_in!E20)</f>
        <v>0</v>
      </c>
      <c r="F20" s="133">
        <f>IF(SER_hh_emi_in!F20=0,0,1000000*SER_hh_emi_in!F20/SER_hh_num_in!F20)</f>
        <v>0</v>
      </c>
      <c r="G20" s="133">
        <f>IF(SER_hh_emi_in!G20=0,0,1000000*SER_hh_emi_in!G20/SER_hh_num_in!G20)</f>
        <v>0</v>
      </c>
      <c r="H20" s="133">
        <f>IF(SER_hh_emi_in!H20=0,0,1000000*SER_hh_emi_in!H20/SER_hh_num_in!H20)</f>
        <v>0</v>
      </c>
      <c r="I20" s="133">
        <f>IF(SER_hh_emi_in!I20=0,0,1000000*SER_hh_emi_in!I20/SER_hh_num_in!I20)</f>
        <v>0</v>
      </c>
      <c r="J20" s="133">
        <f>IF(SER_hh_emi_in!J20=0,0,1000000*SER_hh_emi_in!J20/SER_hh_num_in!J20)</f>
        <v>0</v>
      </c>
      <c r="K20" s="133">
        <f>IF(SER_hh_emi_in!K20=0,0,1000000*SER_hh_emi_in!K20/SER_hh_num_in!K20)</f>
        <v>0</v>
      </c>
      <c r="L20" s="133">
        <f>IF(SER_hh_emi_in!L20=0,0,1000000*SER_hh_emi_in!L20/SER_hh_num_in!L20)</f>
        <v>0</v>
      </c>
      <c r="M20" s="133">
        <f>IF(SER_hh_emi_in!M20=0,0,1000000*SER_hh_emi_in!M20/SER_hh_num_in!M20)</f>
        <v>0</v>
      </c>
      <c r="N20" s="133">
        <f>IF(SER_hh_emi_in!N20=0,0,1000000*SER_hh_emi_in!N20/SER_hh_num_in!N20)</f>
        <v>0</v>
      </c>
      <c r="O20" s="133">
        <f>IF(SER_hh_emi_in!O20=0,0,1000000*SER_hh_emi_in!O20/SER_hh_num_in!O20)</f>
        <v>0</v>
      </c>
      <c r="P20" s="133">
        <f>IF(SER_hh_emi_in!P20=0,0,1000000*SER_hh_emi_in!P20/SER_hh_num_in!P20)</f>
        <v>0</v>
      </c>
      <c r="Q20" s="133">
        <f>IF(SER_hh_emi_in!Q20=0,0,1000000*SER_hh_emi_in!Q20/SER_hh_num_in!Q20)</f>
        <v>0</v>
      </c>
      <c r="R20" s="133">
        <f>IF(SER_hh_emi_in!R20=0,0,1000000*SER_hh_emi_in!R20/SER_hh_num_in!R20)</f>
        <v>0</v>
      </c>
      <c r="S20" s="133">
        <f>IF(SER_hh_emi_in!S20=0,0,1000000*SER_hh_emi_in!S20/SER_hh_num_in!S20)</f>
        <v>0</v>
      </c>
      <c r="T20" s="133">
        <f>IF(SER_hh_emi_in!T20=0,0,1000000*SER_hh_emi_in!T20/SER_hh_num_in!T20)</f>
        <v>0</v>
      </c>
      <c r="U20" s="133">
        <f>IF(SER_hh_emi_in!U20=0,0,1000000*SER_hh_emi_in!U20/SER_hh_num_in!U20)</f>
        <v>0</v>
      </c>
      <c r="V20" s="133">
        <f>IF(SER_hh_emi_in!V20=0,0,1000000*SER_hh_emi_in!V20/SER_hh_num_in!V20)</f>
        <v>0</v>
      </c>
      <c r="W20" s="133">
        <f>IF(SER_hh_emi_in!W20=0,0,1000000*SER_hh_emi_in!W20/SER_hh_num_in!W20)</f>
        <v>0</v>
      </c>
      <c r="DA20" s="157" t="s">
        <v>802</v>
      </c>
    </row>
    <row r="21" spans="1:105" s="2" customFormat="1" ht="12" customHeight="1" x14ac:dyDescent="0.25">
      <c r="A21" s="132" t="s">
        <v>52</v>
      </c>
      <c r="B21" s="133"/>
      <c r="C21" s="133">
        <f>IF(SER_hh_emi_in!C21=0,0,1000000*SER_hh_emi_in!C21/SER_hh_num_in!C21)</f>
        <v>0</v>
      </c>
      <c r="D21" s="133">
        <f>IF(SER_hh_emi_in!D21=0,0,1000000*SER_hh_emi_in!D21/SER_hh_num_in!D21)</f>
        <v>0</v>
      </c>
      <c r="E21" s="133">
        <f>IF(SER_hh_emi_in!E21=0,0,1000000*SER_hh_emi_in!E21/SER_hh_num_in!E21)</f>
        <v>0</v>
      </c>
      <c r="F21" s="133">
        <f>IF(SER_hh_emi_in!F21=0,0,1000000*SER_hh_emi_in!F21/SER_hh_num_in!F21)</f>
        <v>0</v>
      </c>
      <c r="G21" s="133">
        <f>IF(SER_hh_emi_in!G21=0,0,1000000*SER_hh_emi_in!G21/SER_hh_num_in!G21)</f>
        <v>0</v>
      </c>
      <c r="H21" s="133">
        <f>IF(SER_hh_emi_in!H21=0,0,1000000*SER_hh_emi_in!H21/SER_hh_num_in!H21)</f>
        <v>2802.7458800667969</v>
      </c>
      <c r="I21" s="133">
        <f>IF(SER_hh_emi_in!I21=0,0,1000000*SER_hh_emi_in!I21/SER_hh_num_in!I21)</f>
        <v>2605.2286802131689</v>
      </c>
      <c r="J21" s="133">
        <f>IF(SER_hh_emi_in!J21=0,0,1000000*SER_hh_emi_in!J21/SER_hh_num_in!J21)</f>
        <v>2492.1872693645919</v>
      </c>
      <c r="K21" s="133">
        <f>IF(SER_hh_emi_in!K21=0,0,1000000*SER_hh_emi_in!K21/SER_hh_num_in!K21)</f>
        <v>3396.5116509026234</v>
      </c>
      <c r="L21" s="133">
        <f>IF(SER_hh_emi_in!L21=0,0,1000000*SER_hh_emi_in!L21/SER_hh_num_in!L21)</f>
        <v>4423.8131889019933</v>
      </c>
      <c r="M21" s="133">
        <f>IF(SER_hh_emi_in!M21=0,0,1000000*SER_hh_emi_in!M21/SER_hh_num_in!M21)</f>
        <v>0</v>
      </c>
      <c r="N21" s="133">
        <f>IF(SER_hh_emi_in!N21=0,0,1000000*SER_hh_emi_in!N21/SER_hh_num_in!N21)</f>
        <v>0</v>
      </c>
      <c r="O21" s="133">
        <f>IF(SER_hh_emi_in!O21=0,0,1000000*SER_hh_emi_in!O21/SER_hh_num_in!O21)</f>
        <v>0</v>
      </c>
      <c r="P21" s="133">
        <f>IF(SER_hh_emi_in!P21=0,0,1000000*SER_hh_emi_in!P21/SER_hh_num_in!P21)</f>
        <v>0</v>
      </c>
      <c r="Q21" s="133">
        <f>IF(SER_hh_emi_in!Q21=0,0,1000000*SER_hh_emi_in!Q21/SER_hh_num_in!Q21)</f>
        <v>0</v>
      </c>
      <c r="R21" s="133">
        <f>IF(SER_hh_emi_in!R21=0,0,1000000*SER_hh_emi_in!R21/SER_hh_num_in!R21)</f>
        <v>2428.3512433251271</v>
      </c>
      <c r="S21" s="133">
        <f>IF(SER_hh_emi_in!S21=0,0,1000000*SER_hh_emi_in!S21/SER_hh_num_in!S21)</f>
        <v>2034.3595079450461</v>
      </c>
      <c r="T21" s="133">
        <f>IF(SER_hh_emi_in!T21=0,0,1000000*SER_hh_emi_in!T21/SER_hh_num_in!T21)</f>
        <v>2787.9520104658091</v>
      </c>
      <c r="U21" s="133">
        <f>IF(SER_hh_emi_in!U21=0,0,1000000*SER_hh_emi_in!U21/SER_hh_num_in!U21)</f>
        <v>2769.1486461979839</v>
      </c>
      <c r="V21" s="133">
        <f>IF(SER_hh_emi_in!V21=0,0,1000000*SER_hh_emi_in!V21/SER_hh_num_in!V21)</f>
        <v>1881.4188945467024</v>
      </c>
      <c r="W21" s="133">
        <f>IF(SER_hh_emi_in!W21=0,0,1000000*SER_hh_emi_in!W21/SER_hh_num_in!W21)</f>
        <v>2407.985489826181</v>
      </c>
      <c r="DA21" s="157" t="s">
        <v>803</v>
      </c>
    </row>
    <row r="22" spans="1:105" ht="12" customHeight="1" x14ac:dyDescent="0.25">
      <c r="A22" s="132" t="s">
        <v>168</v>
      </c>
      <c r="B22" s="133"/>
      <c r="C22" s="133">
        <f>IF(SER_hh_emi_in!C22=0,0,1000000*SER_hh_emi_in!C22/SER_hh_num_in!C22)</f>
        <v>6745.7008516480373</v>
      </c>
      <c r="D22" s="133">
        <f>IF(SER_hh_emi_in!D22=0,0,1000000*SER_hh_emi_in!D22/SER_hh_num_in!D22)</f>
        <v>2193.5967441030361</v>
      </c>
      <c r="E22" s="133">
        <f>IF(SER_hh_emi_in!E22=0,0,1000000*SER_hh_emi_in!E22/SER_hh_num_in!E22)</f>
        <v>4807.9690853294442</v>
      </c>
      <c r="F22" s="133">
        <f>IF(SER_hh_emi_in!F22=0,0,1000000*SER_hh_emi_in!F22/SER_hh_num_in!F22)</f>
        <v>5381.1018552760415</v>
      </c>
      <c r="G22" s="133">
        <f>IF(SER_hh_emi_in!G22=0,0,1000000*SER_hh_emi_in!G22/SER_hh_num_in!G22)</f>
        <v>4962.7155402162825</v>
      </c>
      <c r="H22" s="133">
        <f>IF(SER_hh_emi_in!H22=0,0,1000000*SER_hh_emi_in!H22/SER_hh_num_in!H22)</f>
        <v>6470.3503625720596</v>
      </c>
      <c r="I22" s="133">
        <f>IF(SER_hh_emi_in!I22=0,0,1000000*SER_hh_emi_in!I22/SER_hh_num_in!I22)</f>
        <v>3121.0494312538544</v>
      </c>
      <c r="J22" s="133">
        <f>IF(SER_hh_emi_in!J22=0,0,1000000*SER_hh_emi_in!J22/SER_hh_num_in!J22)</f>
        <v>3498.920473692111</v>
      </c>
      <c r="K22" s="133">
        <f>IF(SER_hh_emi_in!K22=0,0,1000000*SER_hh_emi_in!K22/SER_hh_num_in!K22)</f>
        <v>5332.9821734036541</v>
      </c>
      <c r="L22" s="133">
        <f>IF(SER_hh_emi_in!L22=0,0,1000000*SER_hh_emi_in!L22/SER_hh_num_in!L22)</f>
        <v>6875.7714093309542</v>
      </c>
      <c r="M22" s="133">
        <f>IF(SER_hh_emi_in!M22=0,0,1000000*SER_hh_emi_in!M22/SER_hh_num_in!M22)</f>
        <v>5963.0395661149369</v>
      </c>
      <c r="N22" s="133">
        <f>IF(SER_hh_emi_in!N22=0,0,1000000*SER_hh_emi_in!N22/SER_hh_num_in!N22)</f>
        <v>6667.9522048375948</v>
      </c>
      <c r="O22" s="133">
        <f>IF(SER_hh_emi_in!O22=0,0,1000000*SER_hh_emi_in!O22/SER_hh_num_in!O22)</f>
        <v>6172.7104576315569</v>
      </c>
      <c r="P22" s="133">
        <f>IF(SER_hh_emi_in!P22=0,0,1000000*SER_hh_emi_in!P22/SER_hh_num_in!P22)</f>
        <v>4680.6864901942154</v>
      </c>
      <c r="Q22" s="133">
        <f>IF(SER_hh_emi_in!Q22=0,0,1000000*SER_hh_emi_in!Q22/SER_hh_num_in!Q22)</f>
        <v>2660.2683284874574</v>
      </c>
      <c r="R22" s="133">
        <f>IF(SER_hh_emi_in!R22=0,0,1000000*SER_hh_emi_in!R22/SER_hh_num_in!R22)</f>
        <v>3251.7805649966499</v>
      </c>
      <c r="S22" s="133">
        <f>IF(SER_hh_emi_in!S22=0,0,1000000*SER_hh_emi_in!S22/SER_hh_num_in!S22)</f>
        <v>2562.1199957166527</v>
      </c>
      <c r="T22" s="133">
        <f>IF(SER_hh_emi_in!T22=0,0,1000000*SER_hh_emi_in!T22/SER_hh_num_in!T22)</f>
        <v>3926.0560136864601</v>
      </c>
      <c r="U22" s="133">
        <f>IF(SER_hh_emi_in!U22=0,0,1000000*SER_hh_emi_in!U22/SER_hh_num_in!U22)</f>
        <v>3682.4694484084121</v>
      </c>
      <c r="V22" s="133">
        <f>IF(SER_hh_emi_in!V22=0,0,1000000*SER_hh_emi_in!V22/SER_hh_num_in!V22)</f>
        <v>2475.8217124283938</v>
      </c>
      <c r="W22" s="133">
        <f>IF(SER_hh_emi_in!W22=0,0,1000000*SER_hh_emi_in!W22/SER_hh_num_in!W22)</f>
        <v>3588.9916995590484</v>
      </c>
      <c r="DA22" s="157" t="s">
        <v>804</v>
      </c>
    </row>
    <row r="23" spans="1:105" ht="12" customHeight="1" x14ac:dyDescent="0.25">
      <c r="A23" s="132" t="s">
        <v>153</v>
      </c>
      <c r="B23" s="133"/>
      <c r="C23" s="133">
        <f>IF(SER_hh_emi_in!C23=0,0,1000000*SER_hh_emi_in!C23/SER_hh_num_in!C23)</f>
        <v>0</v>
      </c>
      <c r="D23" s="133">
        <f>IF(SER_hh_emi_in!D23=0,0,1000000*SER_hh_emi_in!D23/SER_hh_num_in!D23)</f>
        <v>0</v>
      </c>
      <c r="E23" s="133">
        <f>IF(SER_hh_emi_in!E23=0,0,1000000*SER_hh_emi_in!E23/SER_hh_num_in!E23)</f>
        <v>0</v>
      </c>
      <c r="F23" s="133">
        <f>IF(SER_hh_emi_in!F23=0,0,1000000*SER_hh_emi_in!F23/SER_hh_num_in!F23)</f>
        <v>0</v>
      </c>
      <c r="G23" s="133">
        <f>IF(SER_hh_emi_in!G23=0,0,1000000*SER_hh_emi_in!G23/SER_hh_num_in!G23)</f>
        <v>0</v>
      </c>
      <c r="H23" s="133">
        <f>IF(SER_hh_emi_in!H23=0,0,1000000*SER_hh_emi_in!H23/SER_hh_num_in!H23)</f>
        <v>0</v>
      </c>
      <c r="I23" s="133">
        <f>IF(SER_hh_emi_in!I23=0,0,1000000*SER_hh_emi_in!I23/SER_hh_num_in!I23)</f>
        <v>0</v>
      </c>
      <c r="J23" s="133">
        <f>IF(SER_hh_emi_in!J23=0,0,1000000*SER_hh_emi_in!J23/SER_hh_num_in!J23)</f>
        <v>0</v>
      </c>
      <c r="K23" s="133">
        <f>IF(SER_hh_emi_in!K23=0,0,1000000*SER_hh_emi_in!K23/SER_hh_num_in!K23)</f>
        <v>0</v>
      </c>
      <c r="L23" s="133">
        <f>IF(SER_hh_emi_in!L23=0,0,1000000*SER_hh_emi_in!L23/SER_hh_num_in!L23)</f>
        <v>0</v>
      </c>
      <c r="M23" s="133">
        <f>IF(SER_hh_emi_in!M23=0,0,1000000*SER_hh_emi_in!M23/SER_hh_num_in!M23)</f>
        <v>0</v>
      </c>
      <c r="N23" s="133">
        <f>IF(SER_hh_emi_in!N23=0,0,1000000*SER_hh_emi_in!N23/SER_hh_num_in!N23)</f>
        <v>0</v>
      </c>
      <c r="O23" s="133">
        <f>IF(SER_hh_emi_in!O23=0,0,1000000*SER_hh_emi_in!O23/SER_hh_num_in!O23)</f>
        <v>0</v>
      </c>
      <c r="P23" s="133">
        <f>IF(SER_hh_emi_in!P23=0,0,1000000*SER_hh_emi_in!P23/SER_hh_num_in!P23)</f>
        <v>0</v>
      </c>
      <c r="Q23" s="133">
        <f>IF(SER_hh_emi_in!Q23=0,0,1000000*SER_hh_emi_in!Q23/SER_hh_num_in!Q23)</f>
        <v>0</v>
      </c>
      <c r="R23" s="133">
        <f>IF(SER_hh_emi_in!R23=0,0,1000000*SER_hh_emi_in!R23/SER_hh_num_in!R23)</f>
        <v>0</v>
      </c>
      <c r="S23" s="133">
        <f>IF(SER_hh_emi_in!S23=0,0,1000000*SER_hh_emi_in!S23/SER_hh_num_in!S23)</f>
        <v>0</v>
      </c>
      <c r="T23" s="133">
        <f>IF(SER_hh_emi_in!T23=0,0,1000000*SER_hh_emi_in!T23/SER_hh_num_in!T23)</f>
        <v>0</v>
      </c>
      <c r="U23" s="133">
        <f>IF(SER_hh_emi_in!U23=0,0,1000000*SER_hh_emi_in!U23/SER_hh_num_in!U23)</f>
        <v>0</v>
      </c>
      <c r="V23" s="133">
        <f>IF(SER_hh_emi_in!V23=0,0,1000000*SER_hh_emi_in!V23/SER_hh_num_in!V23)</f>
        <v>0</v>
      </c>
      <c r="W23" s="133">
        <f>IF(SER_hh_emi_in!W23=0,0,1000000*SER_hh_emi_in!W23/SER_hh_num_in!W23)</f>
        <v>0</v>
      </c>
      <c r="DA23" s="157" t="s">
        <v>805</v>
      </c>
    </row>
    <row r="24" spans="1:105" ht="12" customHeight="1" x14ac:dyDescent="0.25">
      <c r="A24" s="132" t="s">
        <v>128</v>
      </c>
      <c r="B24" s="133"/>
      <c r="C24" s="133">
        <f>IF(SER_hh_emi_in!C24=0,0,1000000*SER_hh_emi_in!C24/SER_hh_num_in!C24)</f>
        <v>0</v>
      </c>
      <c r="D24" s="133">
        <f>IF(SER_hh_emi_in!D24=0,0,1000000*SER_hh_emi_in!D24/SER_hh_num_in!D24)</f>
        <v>0</v>
      </c>
      <c r="E24" s="133">
        <f>IF(SER_hh_emi_in!E24=0,0,1000000*SER_hh_emi_in!E24/SER_hh_num_in!E24)</f>
        <v>0</v>
      </c>
      <c r="F24" s="133">
        <f>IF(SER_hh_emi_in!F24=0,0,1000000*SER_hh_emi_in!F24/SER_hh_num_in!F24)</f>
        <v>0</v>
      </c>
      <c r="G24" s="133">
        <f>IF(SER_hh_emi_in!G24=0,0,1000000*SER_hh_emi_in!G24/SER_hh_num_in!G24)</f>
        <v>0</v>
      </c>
      <c r="H24" s="133">
        <f>IF(SER_hh_emi_in!H24=0,0,1000000*SER_hh_emi_in!H24/SER_hh_num_in!H24)</f>
        <v>0</v>
      </c>
      <c r="I24" s="133">
        <f>IF(SER_hh_emi_in!I24=0,0,1000000*SER_hh_emi_in!I24/SER_hh_num_in!I24)</f>
        <v>0</v>
      </c>
      <c r="J24" s="133">
        <f>IF(SER_hh_emi_in!J24=0,0,1000000*SER_hh_emi_in!J24/SER_hh_num_in!J24)</f>
        <v>0</v>
      </c>
      <c r="K24" s="133">
        <f>IF(SER_hh_emi_in!K24=0,0,1000000*SER_hh_emi_in!K24/SER_hh_num_in!K24)</f>
        <v>0</v>
      </c>
      <c r="L24" s="133">
        <f>IF(SER_hh_emi_in!L24=0,0,1000000*SER_hh_emi_in!L24/SER_hh_num_in!L24)</f>
        <v>0</v>
      </c>
      <c r="M24" s="133">
        <f>IF(SER_hh_emi_in!M24=0,0,1000000*SER_hh_emi_in!M24/SER_hh_num_in!M24)</f>
        <v>0</v>
      </c>
      <c r="N24" s="133">
        <f>IF(SER_hh_emi_in!N24=0,0,1000000*SER_hh_emi_in!N24/SER_hh_num_in!N24)</f>
        <v>0</v>
      </c>
      <c r="O24" s="133">
        <f>IF(SER_hh_emi_in!O24=0,0,1000000*SER_hh_emi_in!O24/SER_hh_num_in!O24)</f>
        <v>0</v>
      </c>
      <c r="P24" s="133">
        <f>IF(SER_hh_emi_in!P24=0,0,1000000*SER_hh_emi_in!P24/SER_hh_num_in!P24)</f>
        <v>0</v>
      </c>
      <c r="Q24" s="133">
        <f>IF(SER_hh_emi_in!Q24=0,0,1000000*SER_hh_emi_in!Q24/SER_hh_num_in!Q24)</f>
        <v>0</v>
      </c>
      <c r="R24" s="133">
        <f>IF(SER_hh_emi_in!R24=0,0,1000000*SER_hh_emi_in!R24/SER_hh_num_in!R24)</f>
        <v>0</v>
      </c>
      <c r="S24" s="133">
        <f>IF(SER_hh_emi_in!S24=0,0,1000000*SER_hh_emi_in!S24/SER_hh_num_in!S24)</f>
        <v>0</v>
      </c>
      <c r="T24" s="133">
        <f>IF(SER_hh_emi_in!T24=0,0,1000000*SER_hh_emi_in!T24/SER_hh_num_in!T24)</f>
        <v>0</v>
      </c>
      <c r="U24" s="133">
        <f>IF(SER_hh_emi_in!U24=0,0,1000000*SER_hh_emi_in!U24/SER_hh_num_in!U24)</f>
        <v>0</v>
      </c>
      <c r="V24" s="133">
        <f>IF(SER_hh_emi_in!V24=0,0,1000000*SER_hh_emi_in!V24/SER_hh_num_in!V24)</f>
        <v>0</v>
      </c>
      <c r="W24" s="133">
        <f>IF(SER_hh_emi_in!W24=0,0,1000000*SER_hh_emi_in!W24/SER_hh_num_in!W24)</f>
        <v>0</v>
      </c>
      <c r="DA24" s="157" t="s">
        <v>806</v>
      </c>
    </row>
    <row r="25" spans="1:105" ht="12" customHeight="1" x14ac:dyDescent="0.25">
      <c r="A25" s="132" t="s">
        <v>169</v>
      </c>
      <c r="B25" s="133"/>
      <c r="C25" s="133">
        <f>IF(SER_hh_emi_in!C25=0,0,1000000*SER_hh_emi_in!C25/SER_hh_num_in!C25)</f>
        <v>0</v>
      </c>
      <c r="D25" s="133">
        <f>IF(SER_hh_emi_in!D25=0,0,1000000*SER_hh_emi_in!D25/SER_hh_num_in!D25)</f>
        <v>0</v>
      </c>
      <c r="E25" s="133">
        <f>IF(SER_hh_emi_in!E25=0,0,1000000*SER_hh_emi_in!E25/SER_hh_num_in!E25)</f>
        <v>0</v>
      </c>
      <c r="F25" s="133">
        <f>IF(SER_hh_emi_in!F25=0,0,1000000*SER_hh_emi_in!F25/SER_hh_num_in!F25)</f>
        <v>0</v>
      </c>
      <c r="G25" s="133">
        <f>IF(SER_hh_emi_in!G25=0,0,1000000*SER_hh_emi_in!G25/SER_hh_num_in!G25)</f>
        <v>0</v>
      </c>
      <c r="H25" s="133">
        <f>IF(SER_hh_emi_in!H25=0,0,1000000*SER_hh_emi_in!H25/SER_hh_num_in!H25)</f>
        <v>0</v>
      </c>
      <c r="I25" s="133">
        <f>IF(SER_hh_emi_in!I25=0,0,1000000*SER_hh_emi_in!I25/SER_hh_num_in!I25)</f>
        <v>0</v>
      </c>
      <c r="J25" s="133">
        <f>IF(SER_hh_emi_in!J25=0,0,1000000*SER_hh_emi_in!J25/SER_hh_num_in!J25)</f>
        <v>0</v>
      </c>
      <c r="K25" s="133">
        <f>IF(SER_hh_emi_in!K25=0,0,1000000*SER_hh_emi_in!K25/SER_hh_num_in!K25)</f>
        <v>0</v>
      </c>
      <c r="L25" s="133">
        <f>IF(SER_hh_emi_in!L25=0,0,1000000*SER_hh_emi_in!L25/SER_hh_num_in!L25)</f>
        <v>0</v>
      </c>
      <c r="M25" s="133">
        <f>IF(SER_hh_emi_in!M25=0,0,1000000*SER_hh_emi_in!M25/SER_hh_num_in!M25)</f>
        <v>0</v>
      </c>
      <c r="N25" s="133">
        <f>IF(SER_hh_emi_in!N25=0,0,1000000*SER_hh_emi_in!N25/SER_hh_num_in!N25)</f>
        <v>0</v>
      </c>
      <c r="O25" s="133">
        <f>IF(SER_hh_emi_in!O25=0,0,1000000*SER_hh_emi_in!O25/SER_hh_num_in!O25)</f>
        <v>0</v>
      </c>
      <c r="P25" s="133">
        <f>IF(SER_hh_emi_in!P25=0,0,1000000*SER_hh_emi_in!P25/SER_hh_num_in!P25)</f>
        <v>0</v>
      </c>
      <c r="Q25" s="133">
        <f>IF(SER_hh_emi_in!Q25=0,0,1000000*SER_hh_emi_in!Q25/SER_hh_num_in!Q25)</f>
        <v>0</v>
      </c>
      <c r="R25" s="133">
        <f>IF(SER_hh_emi_in!R25=0,0,1000000*SER_hh_emi_in!R25/SER_hh_num_in!R25)</f>
        <v>0</v>
      </c>
      <c r="S25" s="133">
        <f>IF(SER_hh_emi_in!S25=0,0,1000000*SER_hh_emi_in!S25/SER_hh_num_in!S25)</f>
        <v>0</v>
      </c>
      <c r="T25" s="133">
        <f>IF(SER_hh_emi_in!T25=0,0,1000000*SER_hh_emi_in!T25/SER_hh_num_in!T25)</f>
        <v>0</v>
      </c>
      <c r="U25" s="133">
        <f>IF(SER_hh_emi_in!U25=0,0,1000000*SER_hh_emi_in!U25/SER_hh_num_in!U25)</f>
        <v>0</v>
      </c>
      <c r="V25" s="133">
        <f>IF(SER_hh_emi_in!V25=0,0,1000000*SER_hh_emi_in!V25/SER_hh_num_in!V25)</f>
        <v>0</v>
      </c>
      <c r="W25" s="133">
        <f>IF(SER_hh_emi_in!W25=0,0,1000000*SER_hh_emi_in!W25/SER_hh_num_in!W25)</f>
        <v>0</v>
      </c>
      <c r="DA25" s="157" t="s">
        <v>807</v>
      </c>
    </row>
    <row r="26" spans="1:105" ht="12" customHeight="1" x14ac:dyDescent="0.25">
      <c r="A26" s="132" t="s">
        <v>24</v>
      </c>
      <c r="B26" s="65"/>
      <c r="C26" s="65">
        <f>IF(SER_hh_emi_in!C26=0,0,1000000*SER_hh_emi_in!C26/SER_hh_num_in!C26)</f>
        <v>0</v>
      </c>
      <c r="D26" s="65">
        <f>IF(SER_hh_emi_in!D26=0,0,1000000*SER_hh_emi_in!D26/SER_hh_num_in!D26)</f>
        <v>0</v>
      </c>
      <c r="E26" s="65">
        <f>IF(SER_hh_emi_in!E26=0,0,1000000*SER_hh_emi_in!E26/SER_hh_num_in!E26)</f>
        <v>0</v>
      </c>
      <c r="F26" s="65">
        <f>IF(SER_hh_emi_in!F26=0,0,1000000*SER_hh_emi_in!F26/SER_hh_num_in!F26)</f>
        <v>0</v>
      </c>
      <c r="G26" s="65">
        <f>IF(SER_hh_emi_in!G26=0,0,1000000*SER_hh_emi_in!G26/SER_hh_num_in!G26)</f>
        <v>0</v>
      </c>
      <c r="H26" s="65">
        <f>IF(SER_hh_emi_in!H26=0,0,1000000*SER_hh_emi_in!H26/SER_hh_num_in!H26)</f>
        <v>0</v>
      </c>
      <c r="I26" s="65">
        <f>IF(SER_hh_emi_in!I26=0,0,1000000*SER_hh_emi_in!I26/SER_hh_num_in!I26)</f>
        <v>0</v>
      </c>
      <c r="J26" s="65">
        <f>IF(SER_hh_emi_in!J26=0,0,1000000*SER_hh_emi_in!J26/SER_hh_num_in!J26)</f>
        <v>0</v>
      </c>
      <c r="K26" s="65">
        <f>IF(SER_hh_emi_in!K26=0,0,1000000*SER_hh_emi_in!K26/SER_hh_num_in!K26)</f>
        <v>0</v>
      </c>
      <c r="L26" s="65">
        <f>IF(SER_hh_emi_in!L26=0,0,1000000*SER_hh_emi_in!L26/SER_hh_num_in!L26)</f>
        <v>0</v>
      </c>
      <c r="M26" s="65">
        <f>IF(SER_hh_emi_in!M26=0,0,1000000*SER_hh_emi_in!M26/SER_hh_num_in!M26)</f>
        <v>0</v>
      </c>
      <c r="N26" s="65">
        <f>IF(SER_hh_emi_in!N26=0,0,1000000*SER_hh_emi_in!N26/SER_hh_num_in!N26)</f>
        <v>0</v>
      </c>
      <c r="O26" s="65">
        <f>IF(SER_hh_emi_in!O26=0,0,1000000*SER_hh_emi_in!O26/SER_hh_num_in!O26)</f>
        <v>0</v>
      </c>
      <c r="P26" s="65">
        <f>IF(SER_hh_emi_in!P26=0,0,1000000*SER_hh_emi_in!P26/SER_hh_num_in!P26)</f>
        <v>0</v>
      </c>
      <c r="Q26" s="65">
        <f>IF(SER_hh_emi_in!Q26=0,0,1000000*SER_hh_emi_in!Q26/SER_hh_num_in!Q26)</f>
        <v>0</v>
      </c>
      <c r="R26" s="65">
        <f>IF(SER_hh_emi_in!R26=0,0,1000000*SER_hh_emi_in!R26/SER_hh_num_in!R26)</f>
        <v>0</v>
      </c>
      <c r="S26" s="65">
        <f>IF(SER_hh_emi_in!S26=0,0,1000000*SER_hh_emi_in!S26/SER_hh_num_in!S26)</f>
        <v>0</v>
      </c>
      <c r="T26" s="65">
        <f>IF(SER_hh_emi_in!T26=0,0,1000000*SER_hh_emi_in!T26/SER_hh_num_in!T26)</f>
        <v>0</v>
      </c>
      <c r="U26" s="65">
        <f>IF(SER_hh_emi_in!U26=0,0,1000000*SER_hh_emi_in!U26/SER_hh_num_in!U26)</f>
        <v>0</v>
      </c>
      <c r="V26" s="65">
        <f>IF(SER_hh_emi_in!V26=0,0,1000000*SER_hh_emi_in!V26/SER_hh_num_in!V26)</f>
        <v>0</v>
      </c>
      <c r="W26" s="65">
        <f>IF(SER_hh_emi_in!W26=0,0,1000000*SER_hh_emi_in!W26/SER_hh_num_in!W26)</f>
        <v>0</v>
      </c>
      <c r="DA26" s="109" t="s">
        <v>808</v>
      </c>
    </row>
    <row r="27" spans="1:105" ht="12" customHeight="1" x14ac:dyDescent="0.25">
      <c r="A27" s="145" t="s">
        <v>86</v>
      </c>
      <c r="B27" s="148"/>
      <c r="C27" s="146">
        <f>IF(SER_hh_emi_in!C27=0,0,1000000*SER_hh_emi_in!C27/SER_hh_num_in!C19)</f>
        <v>0</v>
      </c>
      <c r="D27" s="146">
        <f>IF(SER_hh_emi_in!D27=0,0,1000000*SER_hh_emi_in!D27/SER_hh_num_in!D19)</f>
        <v>0</v>
      </c>
      <c r="E27" s="146">
        <f>IF(SER_hh_emi_in!E27=0,0,1000000*SER_hh_emi_in!E27/SER_hh_num_in!E19)</f>
        <v>0</v>
      </c>
      <c r="F27" s="146">
        <f>IF(SER_hh_emi_in!F27=0,0,1000000*SER_hh_emi_in!F27/SER_hh_num_in!F19)</f>
        <v>0</v>
      </c>
      <c r="G27" s="146">
        <f>IF(SER_hh_emi_in!G27=0,0,1000000*SER_hh_emi_in!G27/SER_hh_num_in!G19)</f>
        <v>0</v>
      </c>
      <c r="H27" s="146">
        <f>IF(SER_hh_emi_in!H27=0,0,1000000*SER_hh_emi_in!H27/SER_hh_num_in!H19)</f>
        <v>0</v>
      </c>
      <c r="I27" s="146">
        <f>IF(SER_hh_emi_in!I27=0,0,1000000*SER_hh_emi_in!I27/SER_hh_num_in!I19)</f>
        <v>0</v>
      </c>
      <c r="J27" s="146">
        <f>IF(SER_hh_emi_in!J27=0,0,1000000*SER_hh_emi_in!J27/SER_hh_num_in!J19)</f>
        <v>0</v>
      </c>
      <c r="K27" s="146">
        <f>IF(SER_hh_emi_in!K27=0,0,1000000*SER_hh_emi_in!K27/SER_hh_num_in!K19)</f>
        <v>0</v>
      </c>
      <c r="L27" s="146">
        <f>IF(SER_hh_emi_in!L27=0,0,1000000*SER_hh_emi_in!L27/SER_hh_num_in!L19)</f>
        <v>0</v>
      </c>
      <c r="M27" s="146">
        <f>IF(SER_hh_emi_in!M27=0,0,1000000*SER_hh_emi_in!M27/SER_hh_num_in!M19)</f>
        <v>0</v>
      </c>
      <c r="N27" s="146">
        <f>IF(SER_hh_emi_in!N27=0,0,1000000*SER_hh_emi_in!N27/SER_hh_num_in!N19)</f>
        <v>0</v>
      </c>
      <c r="O27" s="146">
        <f>IF(SER_hh_emi_in!O27=0,0,1000000*SER_hh_emi_in!O27/SER_hh_num_in!O19)</f>
        <v>0</v>
      </c>
      <c r="P27" s="146">
        <f>IF(SER_hh_emi_in!P27=0,0,1000000*SER_hh_emi_in!P27/SER_hh_num_in!P19)</f>
        <v>0</v>
      </c>
      <c r="Q27" s="146">
        <f>IF(SER_hh_emi_in!Q27=0,0,1000000*SER_hh_emi_in!Q27/SER_hh_num_in!Q19)</f>
        <v>0</v>
      </c>
      <c r="R27" s="146">
        <f>IF(SER_hh_emi_in!R27=0,0,1000000*SER_hh_emi_in!R27/SER_hh_num_in!R19)</f>
        <v>0</v>
      </c>
      <c r="S27" s="146">
        <f>IF(SER_hh_emi_in!S27=0,0,1000000*SER_hh_emi_in!S27/SER_hh_num_in!S19)</f>
        <v>0</v>
      </c>
      <c r="T27" s="146">
        <f>IF(SER_hh_emi_in!T27=0,0,1000000*SER_hh_emi_in!T27/SER_hh_num_in!T19)</f>
        <v>0</v>
      </c>
      <c r="U27" s="146">
        <f>IF(SER_hh_emi_in!U27=0,0,1000000*SER_hh_emi_in!U27/SER_hh_num_in!U19)</f>
        <v>0</v>
      </c>
      <c r="V27" s="146">
        <f>IF(SER_hh_emi_in!V27=0,0,1000000*SER_hh_emi_in!V27/SER_hh_num_in!V19)</f>
        <v>0</v>
      </c>
      <c r="W27" s="146">
        <f>IF(SER_hh_emi_in!W27=0,0,1000000*SER_hh_emi_in!W27/SER_hh_num_in!W19)</f>
        <v>0</v>
      </c>
      <c r="DA27" s="159" t="s">
        <v>809</v>
      </c>
    </row>
    <row r="28" spans="1:105" ht="12" customHeight="1" x14ac:dyDescent="0.25">
      <c r="A28" s="78" t="s">
        <v>85</v>
      </c>
      <c r="B28" s="68"/>
      <c r="C28" s="147">
        <f>IF(SER_hh_emi_in!C27=0,0,1000000*SER_hh_emi_in!C27/SER_hh_num_in!C27)</f>
        <v>0</v>
      </c>
      <c r="D28" s="147">
        <f>IF(SER_hh_emi_in!D27=0,0,1000000*SER_hh_emi_in!D27/SER_hh_num_in!D27)</f>
        <v>0</v>
      </c>
      <c r="E28" s="147">
        <f>IF(SER_hh_emi_in!E27=0,0,1000000*SER_hh_emi_in!E27/SER_hh_num_in!E27)</f>
        <v>0</v>
      </c>
      <c r="F28" s="147">
        <f>IF(SER_hh_emi_in!F27=0,0,1000000*SER_hh_emi_in!F27/SER_hh_num_in!F27)</f>
        <v>0</v>
      </c>
      <c r="G28" s="147">
        <f>IF(SER_hh_emi_in!G27=0,0,1000000*SER_hh_emi_in!G27/SER_hh_num_in!G27)</f>
        <v>0</v>
      </c>
      <c r="H28" s="147">
        <f>IF(SER_hh_emi_in!H27=0,0,1000000*SER_hh_emi_in!H27/SER_hh_num_in!H27)</f>
        <v>0</v>
      </c>
      <c r="I28" s="147">
        <f>IF(SER_hh_emi_in!I27=0,0,1000000*SER_hh_emi_in!I27/SER_hh_num_in!I27)</f>
        <v>0</v>
      </c>
      <c r="J28" s="147">
        <f>IF(SER_hh_emi_in!J27=0,0,1000000*SER_hh_emi_in!J27/SER_hh_num_in!J27)</f>
        <v>0</v>
      </c>
      <c r="K28" s="147">
        <f>IF(SER_hh_emi_in!K27=0,0,1000000*SER_hh_emi_in!K27/SER_hh_num_in!K27)</f>
        <v>0</v>
      </c>
      <c r="L28" s="147">
        <f>IF(SER_hh_emi_in!L27=0,0,1000000*SER_hh_emi_in!L27/SER_hh_num_in!L27)</f>
        <v>0</v>
      </c>
      <c r="M28" s="147">
        <f>IF(SER_hh_emi_in!M27=0,0,1000000*SER_hh_emi_in!M27/SER_hh_num_in!M27)</f>
        <v>0</v>
      </c>
      <c r="N28" s="147">
        <f>IF(SER_hh_emi_in!N27=0,0,1000000*SER_hh_emi_in!N27/SER_hh_num_in!N27)</f>
        <v>0</v>
      </c>
      <c r="O28" s="147">
        <f>IF(SER_hh_emi_in!O27=0,0,1000000*SER_hh_emi_in!O27/SER_hh_num_in!O27)</f>
        <v>0</v>
      </c>
      <c r="P28" s="147">
        <f>IF(SER_hh_emi_in!P27=0,0,1000000*SER_hh_emi_in!P27/SER_hh_num_in!P27)</f>
        <v>0</v>
      </c>
      <c r="Q28" s="147">
        <f>IF(SER_hh_emi_in!Q27=0,0,1000000*SER_hh_emi_in!Q27/SER_hh_num_in!Q27)</f>
        <v>0</v>
      </c>
      <c r="R28" s="147">
        <f>IF(SER_hh_emi_in!R27=0,0,1000000*SER_hh_emi_in!R27/SER_hh_num_in!R27)</f>
        <v>0</v>
      </c>
      <c r="S28" s="147">
        <f>IF(SER_hh_emi_in!S27=0,0,1000000*SER_hh_emi_in!S27/SER_hh_num_in!S27)</f>
        <v>0</v>
      </c>
      <c r="T28" s="147">
        <f>IF(SER_hh_emi_in!T27=0,0,1000000*SER_hh_emi_in!T27/SER_hh_num_in!T27)</f>
        <v>0</v>
      </c>
      <c r="U28" s="147">
        <f>IF(SER_hh_emi_in!U27=0,0,1000000*SER_hh_emi_in!U27/SER_hh_num_in!U27)</f>
        <v>0</v>
      </c>
      <c r="V28" s="147">
        <f>IF(SER_hh_emi_in!V27=0,0,1000000*SER_hh_emi_in!V27/SER_hh_num_in!V27)</f>
        <v>0</v>
      </c>
      <c r="W28" s="147">
        <f>IF(SER_hh_emi_in!W27=0,0,1000000*SER_hh_emi_in!W27/SER_hh_num_in!W27)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IF(SER_hh_emi_in!C29=0,0,1000000*SER_hh_emi_in!C29/SER_hh_num_in!C29)</f>
        <v>0</v>
      </c>
      <c r="D29" s="131">
        <f>IF(SER_hh_emi_in!D29=0,0,1000000*SER_hh_emi_in!D29/SER_hh_num_in!D29)</f>
        <v>0</v>
      </c>
      <c r="E29" s="131">
        <f>IF(SER_hh_emi_in!E29=0,0,1000000*SER_hh_emi_in!E29/SER_hh_num_in!E29)</f>
        <v>0</v>
      </c>
      <c r="F29" s="131">
        <f>IF(SER_hh_emi_in!F29=0,0,1000000*SER_hh_emi_in!F29/SER_hh_num_in!F29)</f>
        <v>0</v>
      </c>
      <c r="G29" s="131">
        <f>IF(SER_hh_emi_in!G29=0,0,1000000*SER_hh_emi_in!G29/SER_hh_num_in!G29)</f>
        <v>0</v>
      </c>
      <c r="H29" s="131">
        <f>IF(SER_hh_emi_in!H29=0,0,1000000*SER_hh_emi_in!H29/SER_hh_num_in!H29)</f>
        <v>5414.0567862517091</v>
      </c>
      <c r="I29" s="131">
        <f>IF(SER_hh_emi_in!I29=0,0,1000000*SER_hh_emi_in!I29/SER_hh_num_in!I29)</f>
        <v>1696.5627580573728</v>
      </c>
      <c r="J29" s="131">
        <f>IF(SER_hh_emi_in!J29=0,0,1000000*SER_hh_emi_in!J29/SER_hh_num_in!J29)</f>
        <v>829.25145884338224</v>
      </c>
      <c r="K29" s="131">
        <f>IF(SER_hh_emi_in!K29=0,0,1000000*SER_hh_emi_in!K29/SER_hh_num_in!K29)</f>
        <v>0</v>
      </c>
      <c r="L29" s="131">
        <f>IF(SER_hh_emi_in!L29=0,0,1000000*SER_hh_emi_in!L29/SER_hh_num_in!L29)</f>
        <v>132.21796121079262</v>
      </c>
      <c r="M29" s="131">
        <f>IF(SER_hh_emi_in!M29=0,0,1000000*SER_hh_emi_in!M29/SER_hh_num_in!M29)</f>
        <v>1119.4912140766703</v>
      </c>
      <c r="N29" s="131">
        <f>IF(SER_hh_emi_in!N29=0,0,1000000*SER_hh_emi_in!N29/SER_hh_num_in!N29)</f>
        <v>719.38435398713852</v>
      </c>
      <c r="O29" s="131">
        <f>IF(SER_hh_emi_in!O29=0,0,1000000*SER_hh_emi_in!O29/SER_hh_num_in!O29)</f>
        <v>415.96373684370025</v>
      </c>
      <c r="P29" s="131">
        <f>IF(SER_hh_emi_in!P29=0,0,1000000*SER_hh_emi_in!P29/SER_hh_num_in!P29)</f>
        <v>348.49640198305849</v>
      </c>
      <c r="Q29" s="131">
        <f>IF(SER_hh_emi_in!Q29=0,0,1000000*SER_hh_emi_in!Q29/SER_hh_num_in!Q29)</f>
        <v>1568.6930039027898</v>
      </c>
      <c r="R29" s="131">
        <f>IF(SER_hh_emi_in!R29=0,0,1000000*SER_hh_emi_in!R29/SER_hh_num_in!R29)</f>
        <v>1573.1116060447289</v>
      </c>
      <c r="S29" s="131">
        <f>IF(SER_hh_emi_in!S29=0,0,1000000*SER_hh_emi_in!S29/SER_hh_num_in!S29)</f>
        <v>2812.7059984349116</v>
      </c>
      <c r="T29" s="131">
        <f>IF(SER_hh_emi_in!T29=0,0,1000000*SER_hh_emi_in!T29/SER_hh_num_in!T29)</f>
        <v>1657.538018145392</v>
      </c>
      <c r="U29" s="131">
        <f>IF(SER_hh_emi_in!U29=0,0,1000000*SER_hh_emi_in!U29/SER_hh_num_in!U29)</f>
        <v>692.79247090487547</v>
      </c>
      <c r="V29" s="131">
        <f>IF(SER_hh_emi_in!V29=0,0,1000000*SER_hh_emi_in!V29/SER_hh_num_in!V29)</f>
        <v>684.15840454998954</v>
      </c>
      <c r="W29" s="131">
        <f>IF(SER_hh_emi_in!W29=0,0,1000000*SER_hh_emi_in!W29/SER_hh_num_in!W29)</f>
        <v>205.97309989742504</v>
      </c>
      <c r="DA29" s="156" t="s">
        <v>810</v>
      </c>
    </row>
    <row r="30" spans="1:105" s="2" customFormat="1" ht="12" customHeight="1" x14ac:dyDescent="0.25">
      <c r="A30" s="132" t="s">
        <v>52</v>
      </c>
      <c r="B30" s="133"/>
      <c r="C30" s="133">
        <f>IF(SER_hh_emi_in!C30=0,0,1000000*SER_hh_emi_in!C30/SER_hh_num_in!C30)</f>
        <v>0</v>
      </c>
      <c r="D30" s="133">
        <f>IF(SER_hh_emi_in!D30=0,0,1000000*SER_hh_emi_in!D30/SER_hh_num_in!D30)</f>
        <v>0</v>
      </c>
      <c r="E30" s="133">
        <f>IF(SER_hh_emi_in!E30=0,0,1000000*SER_hh_emi_in!E30/SER_hh_num_in!E30)</f>
        <v>0</v>
      </c>
      <c r="F30" s="133">
        <f>IF(SER_hh_emi_in!F30=0,0,1000000*SER_hh_emi_in!F30/SER_hh_num_in!F30)</f>
        <v>0</v>
      </c>
      <c r="G30" s="133">
        <f>IF(SER_hh_emi_in!G30=0,0,1000000*SER_hh_emi_in!G30/SER_hh_num_in!G30)</f>
        <v>0</v>
      </c>
      <c r="H30" s="133">
        <f>IF(SER_hh_emi_in!H30=0,0,1000000*SER_hh_emi_in!H30/SER_hh_num_in!H30)</f>
        <v>6257.8080621770878</v>
      </c>
      <c r="I30" s="133">
        <f>IF(SER_hh_emi_in!I30=0,0,1000000*SER_hh_emi_in!I30/SER_hh_num_in!I30)</f>
        <v>4784.2863552376102</v>
      </c>
      <c r="J30" s="133">
        <f>IF(SER_hh_emi_in!J30=0,0,1000000*SER_hh_emi_in!J30/SER_hh_num_in!J30)</f>
        <v>4991.3413655170061</v>
      </c>
      <c r="K30" s="133">
        <f>IF(SER_hh_emi_in!K30=0,0,1000000*SER_hh_emi_in!K30/SER_hh_num_in!K30)</f>
        <v>0</v>
      </c>
      <c r="L30" s="133">
        <f>IF(SER_hh_emi_in!L30=0,0,1000000*SER_hh_emi_in!L30/SER_hh_num_in!L30)</f>
        <v>3897.0048339752129</v>
      </c>
      <c r="M30" s="133">
        <f>IF(SER_hh_emi_in!M30=0,0,1000000*SER_hh_emi_in!M30/SER_hh_num_in!M30)</f>
        <v>4671.0325040382631</v>
      </c>
      <c r="N30" s="133">
        <f>IF(SER_hh_emi_in!N30=0,0,1000000*SER_hh_emi_in!N30/SER_hh_num_in!N30)</f>
        <v>4822.8942131620061</v>
      </c>
      <c r="O30" s="133">
        <f>IF(SER_hh_emi_in!O30=0,0,1000000*SER_hh_emi_in!O30/SER_hh_num_in!O30)</f>
        <v>4485.3814175472153</v>
      </c>
      <c r="P30" s="133">
        <f>IF(SER_hh_emi_in!P30=0,0,1000000*SER_hh_emi_in!P30/SER_hh_num_in!P30)</f>
        <v>3925.0404757026349</v>
      </c>
      <c r="Q30" s="133">
        <f>IF(SER_hh_emi_in!Q30=0,0,1000000*SER_hh_emi_in!Q30/SER_hh_num_in!Q30)</f>
        <v>4485.0861887369701</v>
      </c>
      <c r="R30" s="133">
        <f>IF(SER_hh_emi_in!R30=0,0,1000000*SER_hh_emi_in!R30/SER_hh_num_in!R30)</f>
        <v>3995.395048653932</v>
      </c>
      <c r="S30" s="133">
        <f>IF(SER_hh_emi_in!S30=0,0,1000000*SER_hh_emi_in!S30/SER_hh_num_in!S30)</f>
        <v>4605.9862179555221</v>
      </c>
      <c r="T30" s="133">
        <f>IF(SER_hh_emi_in!T30=0,0,1000000*SER_hh_emi_in!T30/SER_hh_num_in!T30)</f>
        <v>4780.6433370876239</v>
      </c>
      <c r="U30" s="133">
        <f>IF(SER_hh_emi_in!U30=0,0,1000000*SER_hh_emi_in!U30/SER_hh_num_in!U30)</f>
        <v>6051.7991405731354</v>
      </c>
      <c r="V30" s="133">
        <f>IF(SER_hh_emi_in!V30=0,0,1000000*SER_hh_emi_in!V30/SER_hh_num_in!V30)</f>
        <v>4232.4009762013638</v>
      </c>
      <c r="W30" s="133">
        <f>IF(SER_hh_emi_in!W30=0,0,1000000*SER_hh_emi_in!W30/SER_hh_num_in!W30)</f>
        <v>3714.7267639627439</v>
      </c>
      <c r="DA30" s="157" t="s">
        <v>811</v>
      </c>
    </row>
    <row r="31" spans="1:105" ht="12" customHeight="1" x14ac:dyDescent="0.25">
      <c r="A31" s="132" t="s">
        <v>153</v>
      </c>
      <c r="B31" s="133"/>
      <c r="C31" s="133">
        <f>IF(SER_hh_emi_in!C31=0,0,1000000*SER_hh_emi_in!C31/SER_hh_num_in!C31)</f>
        <v>0</v>
      </c>
      <c r="D31" s="133">
        <f>IF(SER_hh_emi_in!D31=0,0,1000000*SER_hh_emi_in!D31/SER_hh_num_in!D31)</f>
        <v>0</v>
      </c>
      <c r="E31" s="133">
        <f>IF(SER_hh_emi_in!E31=0,0,1000000*SER_hh_emi_in!E31/SER_hh_num_in!E31)</f>
        <v>0</v>
      </c>
      <c r="F31" s="133">
        <f>IF(SER_hh_emi_in!F31=0,0,1000000*SER_hh_emi_in!F31/SER_hh_num_in!F31)</f>
        <v>0</v>
      </c>
      <c r="G31" s="133">
        <f>IF(SER_hh_emi_in!G31=0,0,1000000*SER_hh_emi_in!G31/SER_hh_num_in!G31)</f>
        <v>0</v>
      </c>
      <c r="H31" s="133">
        <f>IF(SER_hh_emi_in!H31=0,0,1000000*SER_hh_emi_in!H31/SER_hh_num_in!H31)</f>
        <v>0</v>
      </c>
      <c r="I31" s="133">
        <f>IF(SER_hh_emi_in!I31=0,0,1000000*SER_hh_emi_in!I31/SER_hh_num_in!I31)</f>
        <v>0</v>
      </c>
      <c r="J31" s="133">
        <f>IF(SER_hh_emi_in!J31=0,0,1000000*SER_hh_emi_in!J31/SER_hh_num_in!J31)</f>
        <v>0</v>
      </c>
      <c r="K31" s="133">
        <f>IF(SER_hh_emi_in!K31=0,0,1000000*SER_hh_emi_in!K31/SER_hh_num_in!K31)</f>
        <v>0</v>
      </c>
      <c r="L31" s="133">
        <f>IF(SER_hh_emi_in!L31=0,0,1000000*SER_hh_emi_in!L31/SER_hh_num_in!L31)</f>
        <v>0</v>
      </c>
      <c r="M31" s="133">
        <f>IF(SER_hh_emi_in!M31=0,0,1000000*SER_hh_emi_in!M31/SER_hh_num_in!M31)</f>
        <v>0</v>
      </c>
      <c r="N31" s="133">
        <f>IF(SER_hh_emi_in!N31=0,0,1000000*SER_hh_emi_in!N31/SER_hh_num_in!N31)</f>
        <v>0</v>
      </c>
      <c r="O31" s="133">
        <f>IF(SER_hh_emi_in!O31=0,0,1000000*SER_hh_emi_in!O31/SER_hh_num_in!O31)</f>
        <v>0</v>
      </c>
      <c r="P31" s="133">
        <f>IF(SER_hh_emi_in!P31=0,0,1000000*SER_hh_emi_in!P31/SER_hh_num_in!P31)</f>
        <v>0</v>
      </c>
      <c r="Q31" s="133">
        <f>IF(SER_hh_emi_in!Q31=0,0,1000000*SER_hh_emi_in!Q31/SER_hh_num_in!Q31)</f>
        <v>0</v>
      </c>
      <c r="R31" s="133">
        <f>IF(SER_hh_emi_in!R31=0,0,1000000*SER_hh_emi_in!R31/SER_hh_num_in!R31)</f>
        <v>0</v>
      </c>
      <c r="S31" s="133">
        <f>IF(SER_hh_emi_in!S31=0,0,1000000*SER_hh_emi_in!S31/SER_hh_num_in!S31)</f>
        <v>0</v>
      </c>
      <c r="T31" s="133">
        <f>IF(SER_hh_emi_in!T31=0,0,1000000*SER_hh_emi_in!T31/SER_hh_num_in!T31)</f>
        <v>0</v>
      </c>
      <c r="U31" s="133">
        <f>IF(SER_hh_emi_in!U31=0,0,1000000*SER_hh_emi_in!U31/SER_hh_num_in!U31)</f>
        <v>0</v>
      </c>
      <c r="V31" s="133">
        <f>IF(SER_hh_emi_in!V31=0,0,1000000*SER_hh_emi_in!V31/SER_hh_num_in!V31)</f>
        <v>0</v>
      </c>
      <c r="W31" s="133">
        <f>IF(SER_hh_emi_in!W31=0,0,1000000*SER_hh_emi_in!W31/SER_hh_num_in!W31)</f>
        <v>0</v>
      </c>
      <c r="DA31" s="157" t="s">
        <v>812</v>
      </c>
    </row>
    <row r="32" spans="1:105" ht="12" customHeight="1" x14ac:dyDescent="0.25">
      <c r="A32" s="132" t="s">
        <v>128</v>
      </c>
      <c r="B32" s="133"/>
      <c r="C32" s="133">
        <f>IF(SER_hh_emi_in!C32=0,0,1000000*SER_hh_emi_in!C32/SER_hh_num_in!C32)</f>
        <v>0</v>
      </c>
      <c r="D32" s="133">
        <f>IF(SER_hh_emi_in!D32=0,0,1000000*SER_hh_emi_in!D32/SER_hh_num_in!D32)</f>
        <v>0</v>
      </c>
      <c r="E32" s="133">
        <f>IF(SER_hh_emi_in!E32=0,0,1000000*SER_hh_emi_in!E32/SER_hh_num_in!E32)</f>
        <v>0</v>
      </c>
      <c r="F32" s="133">
        <f>IF(SER_hh_emi_in!F32=0,0,1000000*SER_hh_emi_in!F32/SER_hh_num_in!F32)</f>
        <v>0</v>
      </c>
      <c r="G32" s="133">
        <f>IF(SER_hh_emi_in!G32=0,0,1000000*SER_hh_emi_in!G32/SER_hh_num_in!G32)</f>
        <v>0</v>
      </c>
      <c r="H32" s="133">
        <f>IF(SER_hh_emi_in!H32=0,0,1000000*SER_hh_emi_in!H32/SER_hh_num_in!H32)</f>
        <v>0</v>
      </c>
      <c r="I32" s="133">
        <f>IF(SER_hh_emi_in!I32=0,0,1000000*SER_hh_emi_in!I32/SER_hh_num_in!I32)</f>
        <v>0</v>
      </c>
      <c r="J32" s="133">
        <f>IF(SER_hh_emi_in!J32=0,0,1000000*SER_hh_emi_in!J32/SER_hh_num_in!J32)</f>
        <v>0</v>
      </c>
      <c r="K32" s="133">
        <f>IF(SER_hh_emi_in!K32=0,0,1000000*SER_hh_emi_in!K32/SER_hh_num_in!K32)</f>
        <v>0</v>
      </c>
      <c r="L32" s="133">
        <f>IF(SER_hh_emi_in!L32=0,0,1000000*SER_hh_emi_in!L32/SER_hh_num_in!L32)</f>
        <v>0</v>
      </c>
      <c r="M32" s="133">
        <f>IF(SER_hh_emi_in!M32=0,0,1000000*SER_hh_emi_in!M32/SER_hh_num_in!M32)</f>
        <v>0</v>
      </c>
      <c r="N32" s="133">
        <f>IF(SER_hh_emi_in!N32=0,0,1000000*SER_hh_emi_in!N32/SER_hh_num_in!N32)</f>
        <v>0</v>
      </c>
      <c r="O32" s="133">
        <f>IF(SER_hh_emi_in!O32=0,0,1000000*SER_hh_emi_in!O32/SER_hh_num_in!O32)</f>
        <v>0</v>
      </c>
      <c r="P32" s="133">
        <f>IF(SER_hh_emi_in!P32=0,0,1000000*SER_hh_emi_in!P32/SER_hh_num_in!P32)</f>
        <v>0</v>
      </c>
      <c r="Q32" s="133">
        <f>IF(SER_hh_emi_in!Q32=0,0,1000000*SER_hh_emi_in!Q32/SER_hh_num_in!Q32)</f>
        <v>0</v>
      </c>
      <c r="R32" s="133">
        <f>IF(SER_hh_emi_in!R32=0,0,1000000*SER_hh_emi_in!R32/SER_hh_num_in!R32)</f>
        <v>0</v>
      </c>
      <c r="S32" s="133">
        <f>IF(SER_hh_emi_in!S32=0,0,1000000*SER_hh_emi_in!S32/SER_hh_num_in!S32)</f>
        <v>0</v>
      </c>
      <c r="T32" s="133">
        <f>IF(SER_hh_emi_in!T32=0,0,1000000*SER_hh_emi_in!T32/SER_hh_num_in!T32)</f>
        <v>0</v>
      </c>
      <c r="U32" s="133">
        <f>IF(SER_hh_emi_in!U32=0,0,1000000*SER_hh_emi_in!U32/SER_hh_num_in!U32)</f>
        <v>0</v>
      </c>
      <c r="V32" s="133">
        <f>IF(SER_hh_emi_in!V32=0,0,1000000*SER_hh_emi_in!V32/SER_hh_num_in!V32)</f>
        <v>0</v>
      </c>
      <c r="W32" s="133">
        <f>IF(SER_hh_emi_in!W32=0,0,1000000*SER_hh_emi_in!W32/SER_hh_num_in!W32)</f>
        <v>0</v>
      </c>
      <c r="DA32" s="157" t="s">
        <v>813</v>
      </c>
    </row>
    <row r="33" spans="1:105" ht="12" customHeight="1" x14ac:dyDescent="0.25">
      <c r="A33" s="62" t="s">
        <v>24</v>
      </c>
      <c r="B33" s="68"/>
      <c r="C33" s="68">
        <f>IF(SER_hh_emi_in!C33=0,0,1000000*SER_hh_emi_in!C33/SER_hh_num_in!C33)</f>
        <v>0</v>
      </c>
      <c r="D33" s="68">
        <f>IF(SER_hh_emi_in!D33=0,0,1000000*SER_hh_emi_in!D33/SER_hh_num_in!D33)</f>
        <v>0</v>
      </c>
      <c r="E33" s="68">
        <f>IF(SER_hh_emi_in!E33=0,0,1000000*SER_hh_emi_in!E33/SER_hh_num_in!E33)</f>
        <v>0</v>
      </c>
      <c r="F33" s="68">
        <f>IF(SER_hh_emi_in!F33=0,0,1000000*SER_hh_emi_in!F33/SER_hh_num_in!F33)</f>
        <v>0</v>
      </c>
      <c r="G33" s="68">
        <f>IF(SER_hh_emi_in!G33=0,0,1000000*SER_hh_emi_in!G33/SER_hh_num_in!G33)</f>
        <v>0</v>
      </c>
      <c r="H33" s="68">
        <f>IF(SER_hh_emi_in!H33=0,0,1000000*SER_hh_emi_in!H33/SER_hh_num_in!H33)</f>
        <v>0</v>
      </c>
      <c r="I33" s="68">
        <f>IF(SER_hh_emi_in!I33=0,0,1000000*SER_hh_emi_in!I33/SER_hh_num_in!I33)</f>
        <v>0</v>
      </c>
      <c r="J33" s="68">
        <f>IF(SER_hh_emi_in!J33=0,0,1000000*SER_hh_emi_in!J33/SER_hh_num_in!J33)</f>
        <v>0</v>
      </c>
      <c r="K33" s="68">
        <f>IF(SER_hh_emi_in!K33=0,0,1000000*SER_hh_emi_in!K33/SER_hh_num_in!K33)</f>
        <v>0</v>
      </c>
      <c r="L33" s="68">
        <f>IF(SER_hh_emi_in!L33=0,0,1000000*SER_hh_emi_in!L33/SER_hh_num_in!L33)</f>
        <v>0</v>
      </c>
      <c r="M33" s="68">
        <f>IF(SER_hh_emi_in!M33=0,0,1000000*SER_hh_emi_in!M33/SER_hh_num_in!M33)</f>
        <v>0</v>
      </c>
      <c r="N33" s="68">
        <f>IF(SER_hh_emi_in!N33=0,0,1000000*SER_hh_emi_in!N33/SER_hh_num_in!N33)</f>
        <v>0</v>
      </c>
      <c r="O33" s="68">
        <f>IF(SER_hh_emi_in!O33=0,0,1000000*SER_hh_emi_in!O33/SER_hh_num_in!O33)</f>
        <v>0</v>
      </c>
      <c r="P33" s="68">
        <f>IF(SER_hh_emi_in!P33=0,0,1000000*SER_hh_emi_in!P33/SER_hh_num_in!P33)</f>
        <v>0</v>
      </c>
      <c r="Q33" s="68">
        <f>IF(SER_hh_emi_in!Q33=0,0,1000000*SER_hh_emi_in!Q33/SER_hh_num_in!Q33)</f>
        <v>0</v>
      </c>
      <c r="R33" s="68">
        <f>IF(SER_hh_emi_in!R33=0,0,1000000*SER_hh_emi_in!R33/SER_hh_num_in!R33)</f>
        <v>0</v>
      </c>
      <c r="S33" s="68">
        <f>IF(SER_hh_emi_in!S33=0,0,1000000*SER_hh_emi_in!S33/SER_hh_num_in!S33)</f>
        <v>0</v>
      </c>
      <c r="T33" s="68">
        <f>IF(SER_hh_emi_in!T33=0,0,1000000*SER_hh_emi_in!T33/SER_hh_num_in!T33)</f>
        <v>0</v>
      </c>
      <c r="U33" s="68">
        <f>IF(SER_hh_emi_in!U33=0,0,1000000*SER_hh_emi_in!U33/SER_hh_num_in!U33)</f>
        <v>0</v>
      </c>
      <c r="V33" s="68">
        <f>IF(SER_hh_emi_in!V33=0,0,1000000*SER_hh_emi_in!V33/SER_hh_num_in!V33)</f>
        <v>0</v>
      </c>
      <c r="W33" s="68">
        <f>IF(SER_hh_emi_in!W33=0,0,1000000*SER_hh_emi_in!W33/SER_hh_num_in!W33)</f>
        <v>0</v>
      </c>
      <c r="DA33" s="111" t="s">
        <v>814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815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90</v>
      </c>
      <c r="B3" s="126"/>
      <c r="C3" s="126">
        <f>IF(SER_hh_fech_in!C3=0,0,SER_hh_fech_in!C3/SER_summary!C$27)</f>
        <v>91.22926777554953</v>
      </c>
      <c r="D3" s="126">
        <f>IF(SER_hh_fech_in!D3=0,0,SER_hh_fech_in!D3/SER_summary!D$27)</f>
        <v>90.565261502059727</v>
      </c>
      <c r="E3" s="126">
        <f>IF(SER_hh_fech_in!E3=0,0,SER_hh_fech_in!E3/SER_summary!E$27)</f>
        <v>88.210522348155266</v>
      </c>
      <c r="F3" s="126">
        <f>IF(SER_hh_fech_in!F3=0,0,SER_hh_fech_in!F3/SER_summary!F$27)</f>
        <v>84.291812116286835</v>
      </c>
      <c r="G3" s="126">
        <f>IF(SER_hh_fech_in!G3=0,0,SER_hh_fech_in!G3/SER_summary!G$27)</f>
        <v>84.53991382884719</v>
      </c>
      <c r="H3" s="126">
        <f>IF(SER_hh_fech_in!H3=0,0,SER_hh_fech_in!H3/SER_summary!H$27)</f>
        <v>124.30908707735097</v>
      </c>
      <c r="I3" s="126">
        <f>IF(SER_hh_fech_in!I3=0,0,SER_hh_fech_in!I3/SER_summary!I$27)</f>
        <v>110.34050998866846</v>
      </c>
      <c r="J3" s="126">
        <f>IF(SER_hh_fech_in!J3=0,0,SER_hh_fech_in!J3/SER_summary!J$27)</f>
        <v>120.42899143489279</v>
      </c>
      <c r="K3" s="126">
        <f>IF(SER_hh_fech_in!K3=0,0,SER_hh_fech_in!K3/SER_summary!K$27)</f>
        <v>103.67057599434975</v>
      </c>
      <c r="L3" s="126">
        <f>IF(SER_hh_fech_in!L3=0,0,SER_hh_fech_in!L3/SER_summary!L$27)</f>
        <v>99.557174881454529</v>
      </c>
      <c r="M3" s="126">
        <f>IF(SER_hh_fech_in!M3=0,0,SER_hh_fech_in!M3/SER_summary!M$27)</f>
        <v>79.255936402587992</v>
      </c>
      <c r="N3" s="126">
        <f>IF(SER_hh_fech_in!N3=0,0,SER_hh_fech_in!N3/SER_summary!N$27)</f>
        <v>76.847463362671078</v>
      </c>
      <c r="O3" s="126">
        <f>IF(SER_hh_fech_in!O3=0,0,SER_hh_fech_in!O3/SER_summary!O$27)</f>
        <v>71.01113782084181</v>
      </c>
      <c r="P3" s="126">
        <f>IF(SER_hh_fech_in!P3=0,0,SER_hh_fech_in!P3/SER_summary!P$27)</f>
        <v>60.80642428030631</v>
      </c>
      <c r="Q3" s="126">
        <f>IF(SER_hh_fech_in!Q3=0,0,SER_hh_fech_in!Q3/SER_summary!Q$27)</f>
        <v>76.659947588188601</v>
      </c>
      <c r="R3" s="126">
        <f>IF(SER_hh_fech_in!R3=0,0,SER_hh_fech_in!R3/SER_summary!R$27)</f>
        <v>91.462369784044938</v>
      </c>
      <c r="S3" s="126">
        <f>IF(SER_hh_fech_in!S3=0,0,SER_hh_fech_in!S3/SER_summary!S$27)</f>
        <v>83.117255268367487</v>
      </c>
      <c r="T3" s="126">
        <f>IF(SER_hh_fech_in!T3=0,0,SER_hh_fech_in!T3/SER_summary!T$27)</f>
        <v>78.973440865831478</v>
      </c>
      <c r="U3" s="126">
        <f>IF(SER_hh_fech_in!U3=0,0,SER_hh_fech_in!U3/SER_summary!U$27)</f>
        <v>80.245643967182076</v>
      </c>
      <c r="V3" s="126">
        <f>IF(SER_hh_fech_in!V3=0,0,SER_hh_fech_in!V3/SER_summary!V$27)</f>
        <v>60.127783465755321</v>
      </c>
      <c r="W3" s="126">
        <f>IF(SER_hh_fech_in!W3=0,0,SER_hh_fech_in!W3/SER_summary!W$27)</f>
        <v>66.913661137750424</v>
      </c>
      <c r="DA3" s="155" t="s">
        <v>816</v>
      </c>
    </row>
    <row r="4" spans="1:105" ht="12.95" customHeight="1" x14ac:dyDescent="0.25">
      <c r="A4" s="130" t="s">
        <v>32</v>
      </c>
      <c r="B4" s="131"/>
      <c r="C4" s="131">
        <f>IF(SER_hh_fech_in!C4=0,0,SER_hh_fech_in!C4/SER_summary!C$27)</f>
        <v>22.927683066968402</v>
      </c>
      <c r="D4" s="131">
        <f>IF(SER_hh_fech_in!D4=0,0,SER_hh_fech_in!D4/SER_summary!D$27)</f>
        <v>26.962483949908961</v>
      </c>
      <c r="E4" s="131">
        <f>IF(SER_hh_fech_in!E4=0,0,SER_hh_fech_in!E4/SER_summary!E$27)</f>
        <v>22.860524185640632</v>
      </c>
      <c r="F4" s="131">
        <f>IF(SER_hh_fech_in!F4=0,0,SER_hh_fech_in!F4/SER_summary!F$27)</f>
        <v>25.086868059033876</v>
      </c>
      <c r="G4" s="131">
        <f>IF(SER_hh_fech_in!G4=0,0,SER_hh_fech_in!G4/SER_summary!G$27)</f>
        <v>27.32552747265246</v>
      </c>
      <c r="H4" s="131">
        <f>IF(SER_hh_fech_in!H4=0,0,SER_hh_fech_in!H4/SER_summary!H$27)</f>
        <v>45.186944146592595</v>
      </c>
      <c r="I4" s="131">
        <f>IF(SER_hh_fech_in!I4=0,0,SER_hh_fech_in!I4/SER_summary!I$27)</f>
        <v>40.767484742307147</v>
      </c>
      <c r="J4" s="131">
        <f>IF(SER_hh_fech_in!J4=0,0,SER_hh_fech_in!J4/SER_summary!J$27)</f>
        <v>55.273663211504001</v>
      </c>
      <c r="K4" s="131">
        <f>IF(SER_hh_fech_in!K4=0,0,SER_hh_fech_in!K4/SER_summary!K$27)</f>
        <v>46.687143916226084</v>
      </c>
      <c r="L4" s="131">
        <f>IF(SER_hh_fech_in!L4=0,0,SER_hh_fech_in!L4/SER_summary!L$27)</f>
        <v>42.541020613694627</v>
      </c>
      <c r="M4" s="131">
        <f>IF(SER_hh_fech_in!M4=0,0,SER_hh_fech_in!M4/SER_summary!M$27)</f>
        <v>26.494511775191896</v>
      </c>
      <c r="N4" s="131">
        <f>IF(SER_hh_fech_in!N4=0,0,SER_hh_fech_in!N4/SER_summary!N$27)</f>
        <v>19.297068158847964</v>
      </c>
      <c r="O4" s="131">
        <f>IF(SER_hh_fech_in!O4=0,0,SER_hh_fech_in!O4/SER_summary!O$27)</f>
        <v>18.360276515801999</v>
      </c>
      <c r="P4" s="131">
        <f>IF(SER_hh_fech_in!P4=0,0,SER_hh_fech_in!P4/SER_summary!P$27)</f>
        <v>10.704320200837884</v>
      </c>
      <c r="Q4" s="131">
        <f>IF(SER_hh_fech_in!Q4=0,0,SER_hh_fech_in!Q4/SER_summary!Q$27)</f>
        <v>25.763268152960915</v>
      </c>
      <c r="R4" s="131">
        <f>IF(SER_hh_fech_in!R4=0,0,SER_hh_fech_in!R4/SER_summary!R$27)</f>
        <v>40.399874340024752</v>
      </c>
      <c r="S4" s="131">
        <f>IF(SER_hh_fech_in!S4=0,0,SER_hh_fech_in!S4/SER_summary!S$27)</f>
        <v>32.25021030708011</v>
      </c>
      <c r="T4" s="131">
        <f>IF(SER_hh_fech_in!T4=0,0,SER_hh_fech_in!T4/SER_summary!T$27)</f>
        <v>25.924190946162167</v>
      </c>
      <c r="U4" s="131">
        <f>IF(SER_hh_fech_in!U4=0,0,SER_hh_fech_in!U4/SER_summary!U$27)</f>
        <v>33.218764933012338</v>
      </c>
      <c r="V4" s="131">
        <f>IF(SER_hh_fech_in!V4=0,0,SER_hh_fech_in!V4/SER_summary!V$27)</f>
        <v>15.625622795776223</v>
      </c>
      <c r="W4" s="131">
        <f>IF(SER_hh_fech_in!W4=0,0,SER_hh_fech_in!W4/SER_summary!W$27)</f>
        <v>25.302779033376225</v>
      </c>
      <c r="DA4" s="156" t="s">
        <v>817</v>
      </c>
    </row>
    <row r="5" spans="1:105" ht="12" customHeight="1" x14ac:dyDescent="0.25">
      <c r="A5" s="132" t="s">
        <v>29</v>
      </c>
      <c r="B5" s="133"/>
      <c r="C5" s="133">
        <f>IF(SER_hh_fech_in!C5=0,0,SER_hh_fech_in!C5/SER_summary!C$27)</f>
        <v>0</v>
      </c>
      <c r="D5" s="133">
        <f>IF(SER_hh_fech_in!D5=0,0,SER_hh_fech_in!D5/SER_summary!D$27)</f>
        <v>0</v>
      </c>
      <c r="E5" s="133">
        <f>IF(SER_hh_fech_in!E5=0,0,SER_hh_fech_in!E5/SER_summary!E$27)</f>
        <v>0</v>
      </c>
      <c r="F5" s="133">
        <f>IF(SER_hh_fech_in!F5=0,0,SER_hh_fech_in!F5/SER_summary!F$27)</f>
        <v>0</v>
      </c>
      <c r="G5" s="133">
        <f>IF(SER_hh_fech_in!G5=0,0,SER_hh_fech_in!G5/SER_summary!G$27)</f>
        <v>0</v>
      </c>
      <c r="H5" s="133">
        <f>IF(SER_hh_fech_in!H5=0,0,SER_hh_fech_in!H5/SER_summary!H$27)</f>
        <v>0</v>
      </c>
      <c r="I5" s="133">
        <f>IF(SER_hh_fech_in!I5=0,0,SER_hh_fech_in!I5/SER_summary!I$27)</f>
        <v>0</v>
      </c>
      <c r="J5" s="133">
        <f>IF(SER_hh_fech_in!J5=0,0,SER_hh_fech_in!J5/SER_summary!J$27)</f>
        <v>0</v>
      </c>
      <c r="K5" s="133">
        <f>IF(SER_hh_fech_in!K5=0,0,SER_hh_fech_in!K5/SER_summary!K$27)</f>
        <v>0</v>
      </c>
      <c r="L5" s="133">
        <f>IF(SER_hh_fech_in!L5=0,0,SER_hh_fech_in!L5/SER_summary!L$27)</f>
        <v>0</v>
      </c>
      <c r="M5" s="133">
        <f>IF(SER_hh_fech_in!M5=0,0,SER_hh_fech_in!M5/SER_summary!M$27)</f>
        <v>0</v>
      </c>
      <c r="N5" s="133">
        <f>IF(SER_hh_fech_in!N5=0,0,SER_hh_fech_in!N5/SER_summary!N$27)</f>
        <v>0</v>
      </c>
      <c r="O5" s="133">
        <f>IF(SER_hh_fech_in!O5=0,0,SER_hh_fech_in!O5/SER_summary!O$27)</f>
        <v>0</v>
      </c>
      <c r="P5" s="133">
        <f>IF(SER_hh_fech_in!P5=0,0,SER_hh_fech_in!P5/SER_summary!P$27)</f>
        <v>0</v>
      </c>
      <c r="Q5" s="133">
        <f>IF(SER_hh_fech_in!Q5=0,0,SER_hh_fech_in!Q5/SER_summary!Q$27)</f>
        <v>0</v>
      </c>
      <c r="R5" s="133">
        <f>IF(SER_hh_fech_in!R5=0,0,SER_hh_fech_in!R5/SER_summary!R$27)</f>
        <v>0</v>
      </c>
      <c r="S5" s="133">
        <f>IF(SER_hh_fech_in!S5=0,0,SER_hh_fech_in!S5/SER_summary!S$27)</f>
        <v>0</v>
      </c>
      <c r="T5" s="133">
        <f>IF(SER_hh_fech_in!T5=0,0,SER_hh_fech_in!T5/SER_summary!T$27)</f>
        <v>0</v>
      </c>
      <c r="U5" s="133">
        <f>IF(SER_hh_fech_in!U5=0,0,SER_hh_fech_in!U5/SER_summary!U$27)</f>
        <v>0</v>
      </c>
      <c r="V5" s="133">
        <f>IF(SER_hh_fech_in!V5=0,0,SER_hh_fech_in!V5/SER_summary!V$27)</f>
        <v>0</v>
      </c>
      <c r="W5" s="133">
        <f>IF(SER_hh_fech_in!W5=0,0,SER_hh_fech_in!W5/SER_summary!W$27)</f>
        <v>0</v>
      </c>
      <c r="DA5" s="157" t="s">
        <v>818</v>
      </c>
    </row>
    <row r="6" spans="1:105" ht="12" customHeight="1" x14ac:dyDescent="0.25">
      <c r="A6" s="132" t="s">
        <v>52</v>
      </c>
      <c r="B6" s="133"/>
      <c r="C6" s="133">
        <f>IF(SER_hh_fech_in!C6=0,0,SER_hh_fech_in!C6/SER_summary!C$27)</f>
        <v>0</v>
      </c>
      <c r="D6" s="133">
        <f>IF(SER_hh_fech_in!D6=0,0,SER_hh_fech_in!D6/SER_summary!D$27)</f>
        <v>0</v>
      </c>
      <c r="E6" s="133">
        <f>IF(SER_hh_fech_in!E6=0,0,SER_hh_fech_in!E6/SER_summary!E$27)</f>
        <v>0</v>
      </c>
      <c r="F6" s="133">
        <f>IF(SER_hh_fech_in!F6=0,0,SER_hh_fech_in!F6/SER_summary!F$27)</f>
        <v>0</v>
      </c>
      <c r="G6" s="133">
        <f>IF(SER_hh_fech_in!G6=0,0,SER_hh_fech_in!G6/SER_summary!G$27)</f>
        <v>0</v>
      </c>
      <c r="H6" s="133">
        <f>IF(SER_hh_fech_in!H6=0,0,SER_hh_fech_in!H6/SER_summary!H$27)</f>
        <v>0</v>
      </c>
      <c r="I6" s="133">
        <f>IF(SER_hh_fech_in!I6=0,0,SER_hh_fech_in!I6/SER_summary!I$27)</f>
        <v>0</v>
      </c>
      <c r="J6" s="133">
        <f>IF(SER_hh_fech_in!J6=0,0,SER_hh_fech_in!J6/SER_summary!J$27)</f>
        <v>0</v>
      </c>
      <c r="K6" s="133">
        <f>IF(SER_hh_fech_in!K6=0,0,SER_hh_fech_in!K6/SER_summary!K$27)</f>
        <v>0</v>
      </c>
      <c r="L6" s="133">
        <f>IF(SER_hh_fech_in!L6=0,0,SER_hh_fech_in!L6/SER_summary!L$27)</f>
        <v>0</v>
      </c>
      <c r="M6" s="133">
        <f>IF(SER_hh_fech_in!M6=0,0,SER_hh_fech_in!M6/SER_summary!M$27)</f>
        <v>0</v>
      </c>
      <c r="N6" s="133">
        <f>IF(SER_hh_fech_in!N6=0,0,SER_hh_fech_in!N6/SER_summary!N$27)</f>
        <v>0</v>
      </c>
      <c r="O6" s="133">
        <f>IF(SER_hh_fech_in!O6=0,0,SER_hh_fech_in!O6/SER_summary!O$27)</f>
        <v>0</v>
      </c>
      <c r="P6" s="133">
        <f>IF(SER_hh_fech_in!P6=0,0,SER_hh_fech_in!P6/SER_summary!P$27)</f>
        <v>0</v>
      </c>
      <c r="Q6" s="133">
        <f>IF(SER_hh_fech_in!Q6=0,0,SER_hh_fech_in!Q6/SER_summary!Q$27)</f>
        <v>0</v>
      </c>
      <c r="R6" s="133">
        <f>IF(SER_hh_fech_in!R6=0,0,SER_hh_fech_in!R6/SER_summary!R$27)</f>
        <v>0</v>
      </c>
      <c r="S6" s="133">
        <f>IF(SER_hh_fech_in!S6=0,0,SER_hh_fech_in!S6/SER_summary!S$27)</f>
        <v>0</v>
      </c>
      <c r="T6" s="133">
        <f>IF(SER_hh_fech_in!T6=0,0,SER_hh_fech_in!T6/SER_summary!T$27)</f>
        <v>0</v>
      </c>
      <c r="U6" s="133">
        <f>IF(SER_hh_fech_in!U6=0,0,SER_hh_fech_in!U6/SER_summary!U$27)</f>
        <v>0</v>
      </c>
      <c r="V6" s="133">
        <f>IF(SER_hh_fech_in!V6=0,0,SER_hh_fech_in!V6/SER_summary!V$27)</f>
        <v>0</v>
      </c>
      <c r="W6" s="133">
        <f>IF(SER_hh_fech_in!W6=0,0,SER_hh_fech_in!W6/SER_summary!W$27)</f>
        <v>0</v>
      </c>
      <c r="DA6" s="157" t="s">
        <v>819</v>
      </c>
    </row>
    <row r="7" spans="1:105" ht="12" customHeight="1" x14ac:dyDescent="0.25">
      <c r="A7" s="132" t="s">
        <v>168</v>
      </c>
      <c r="B7" s="133"/>
      <c r="C7" s="133">
        <f>IF(SER_hh_fech_in!C7=0,0,SER_hh_fech_in!C7/SER_summary!C$27)</f>
        <v>0</v>
      </c>
      <c r="D7" s="133">
        <f>IF(SER_hh_fech_in!D7=0,0,SER_hh_fech_in!D7/SER_summary!D$27)</f>
        <v>0</v>
      </c>
      <c r="E7" s="133">
        <f>IF(SER_hh_fech_in!E7=0,0,SER_hh_fech_in!E7/SER_summary!E$27)</f>
        <v>0</v>
      </c>
      <c r="F7" s="133">
        <f>IF(SER_hh_fech_in!F7=0,0,SER_hh_fech_in!F7/SER_summary!F$27)</f>
        <v>0</v>
      </c>
      <c r="G7" s="133">
        <f>IF(SER_hh_fech_in!G7=0,0,SER_hh_fech_in!G7/SER_summary!G$27)</f>
        <v>0</v>
      </c>
      <c r="H7" s="133">
        <f>IF(SER_hh_fech_in!H7=0,0,SER_hh_fech_in!H7/SER_summary!H$27)</f>
        <v>0</v>
      </c>
      <c r="I7" s="133">
        <f>IF(SER_hh_fech_in!I7=0,0,SER_hh_fech_in!I7/SER_summary!I$27)</f>
        <v>0</v>
      </c>
      <c r="J7" s="133">
        <f>IF(SER_hh_fech_in!J7=0,0,SER_hh_fech_in!J7/SER_summary!J$27)</f>
        <v>75.181356612238346</v>
      </c>
      <c r="K7" s="133">
        <f>IF(SER_hh_fech_in!K7=0,0,SER_hh_fech_in!K7/SER_summary!K$27)</f>
        <v>59.899395425886617</v>
      </c>
      <c r="L7" s="133">
        <f>IF(SER_hh_fech_in!L7=0,0,SER_hh_fech_in!L7/SER_summary!L$27)</f>
        <v>68.253126078449668</v>
      </c>
      <c r="M7" s="133">
        <f>IF(SER_hh_fech_in!M7=0,0,SER_hh_fech_in!M7/SER_summary!M$27)</f>
        <v>64.25614520815013</v>
      </c>
      <c r="N7" s="133">
        <f>IF(SER_hh_fech_in!N7=0,0,SER_hh_fech_in!N7/SER_summary!N$27)</f>
        <v>52.470063568275599</v>
      </c>
      <c r="O7" s="133">
        <f>IF(SER_hh_fech_in!O7=0,0,SER_hh_fech_in!O7/SER_summary!O$27)</f>
        <v>56.453212714497212</v>
      </c>
      <c r="P7" s="133">
        <f>IF(SER_hh_fech_in!P7=0,0,SER_hh_fech_in!P7/SER_summary!P$27)</f>
        <v>0</v>
      </c>
      <c r="Q7" s="133">
        <f>IF(SER_hh_fech_in!Q7=0,0,SER_hh_fech_in!Q7/SER_summary!Q$27)</f>
        <v>0</v>
      </c>
      <c r="R7" s="133">
        <f>IF(SER_hh_fech_in!R7=0,0,SER_hh_fech_in!R7/SER_summary!R$27)</f>
        <v>0</v>
      </c>
      <c r="S7" s="133">
        <f>IF(SER_hh_fech_in!S7=0,0,SER_hh_fech_in!S7/SER_summary!S$27)</f>
        <v>0</v>
      </c>
      <c r="T7" s="133">
        <f>IF(SER_hh_fech_in!T7=0,0,SER_hh_fech_in!T7/SER_summary!T$27)</f>
        <v>47.235572109891827</v>
      </c>
      <c r="U7" s="133">
        <f>IF(SER_hh_fech_in!U7=0,0,SER_hh_fech_in!U7/SER_summary!U$27)</f>
        <v>52.969812278537972</v>
      </c>
      <c r="V7" s="133">
        <f>IF(SER_hh_fech_in!V7=0,0,SER_hh_fech_in!V7/SER_summary!V$27)</f>
        <v>37.864823455274347</v>
      </c>
      <c r="W7" s="133">
        <f>IF(SER_hh_fech_in!W7=0,0,SER_hh_fech_in!W7/SER_summary!W$27)</f>
        <v>37.144632855311862</v>
      </c>
      <c r="DA7" s="157" t="s">
        <v>820</v>
      </c>
    </row>
    <row r="8" spans="1:105" ht="12" customHeight="1" x14ac:dyDescent="0.25">
      <c r="A8" s="132" t="s">
        <v>73</v>
      </c>
      <c r="B8" s="133"/>
      <c r="C8" s="133">
        <f>IF(SER_hh_fech_in!C8=0,0,SER_hh_fech_in!C8/SER_summary!C$27)</f>
        <v>0</v>
      </c>
      <c r="D8" s="133">
        <f>IF(SER_hh_fech_in!D8=0,0,SER_hh_fech_in!D8/SER_summary!D$27)</f>
        <v>0</v>
      </c>
      <c r="E8" s="133">
        <f>IF(SER_hh_fech_in!E8=0,0,SER_hh_fech_in!E8/SER_summary!E$27)</f>
        <v>0</v>
      </c>
      <c r="F8" s="133">
        <f>IF(SER_hh_fech_in!F8=0,0,SER_hh_fech_in!F8/SER_summary!F$27)</f>
        <v>0</v>
      </c>
      <c r="G8" s="133">
        <f>IF(SER_hh_fech_in!G8=0,0,SER_hh_fech_in!G8/SER_summary!G$27)</f>
        <v>0</v>
      </c>
      <c r="H8" s="133">
        <f>IF(SER_hh_fech_in!H8=0,0,SER_hh_fech_in!H8/SER_summary!H$27)</f>
        <v>0</v>
      </c>
      <c r="I8" s="133">
        <f>IF(SER_hh_fech_in!I8=0,0,SER_hh_fech_in!I8/SER_summary!I$27)</f>
        <v>0</v>
      </c>
      <c r="J8" s="133">
        <f>IF(SER_hh_fech_in!J8=0,0,SER_hh_fech_in!J8/SER_summary!J$27)</f>
        <v>0</v>
      </c>
      <c r="K8" s="133">
        <f>IF(SER_hh_fech_in!K8=0,0,SER_hh_fech_in!K8/SER_summary!K$27)</f>
        <v>0</v>
      </c>
      <c r="L8" s="133">
        <f>IF(SER_hh_fech_in!L8=0,0,SER_hh_fech_in!L8/SER_summary!L$27)</f>
        <v>0</v>
      </c>
      <c r="M8" s="133">
        <f>IF(SER_hh_fech_in!M8=0,0,SER_hh_fech_in!M8/SER_summary!M$27)</f>
        <v>0</v>
      </c>
      <c r="N8" s="133">
        <f>IF(SER_hh_fech_in!N8=0,0,SER_hh_fech_in!N8/SER_summary!N$27)</f>
        <v>0</v>
      </c>
      <c r="O8" s="133">
        <f>IF(SER_hh_fech_in!O8=0,0,SER_hh_fech_in!O8/SER_summary!O$27)</f>
        <v>0</v>
      </c>
      <c r="P8" s="133">
        <f>IF(SER_hh_fech_in!P8=0,0,SER_hh_fech_in!P8/SER_summary!P$27)</f>
        <v>0</v>
      </c>
      <c r="Q8" s="133">
        <f>IF(SER_hh_fech_in!Q8=0,0,SER_hh_fech_in!Q8/SER_summary!Q$27)</f>
        <v>0</v>
      </c>
      <c r="R8" s="133">
        <f>IF(SER_hh_fech_in!R8=0,0,SER_hh_fech_in!R8/SER_summary!R$27)</f>
        <v>0</v>
      </c>
      <c r="S8" s="133">
        <f>IF(SER_hh_fech_in!S8=0,0,SER_hh_fech_in!S8/SER_summary!S$27)</f>
        <v>0</v>
      </c>
      <c r="T8" s="133">
        <f>IF(SER_hh_fech_in!T8=0,0,SER_hh_fech_in!T8/SER_summary!T$27)</f>
        <v>0</v>
      </c>
      <c r="U8" s="133">
        <f>IF(SER_hh_fech_in!U8=0,0,SER_hh_fech_in!U8/SER_summary!U$27)</f>
        <v>0</v>
      </c>
      <c r="V8" s="133">
        <f>IF(SER_hh_fech_in!V8=0,0,SER_hh_fech_in!V8/SER_summary!V$27)</f>
        <v>0</v>
      </c>
      <c r="W8" s="133">
        <f>IF(SER_hh_fech_in!W8=0,0,SER_hh_fech_in!W8/SER_summary!W$27)</f>
        <v>0</v>
      </c>
      <c r="DA8" s="157" t="s">
        <v>821</v>
      </c>
    </row>
    <row r="9" spans="1:105" ht="12" customHeight="1" x14ac:dyDescent="0.25">
      <c r="A9" s="132" t="s">
        <v>78</v>
      </c>
      <c r="B9" s="133"/>
      <c r="C9" s="133">
        <f>IF(SER_hh_fech_in!C9=0,0,SER_hh_fech_in!C9/SER_summary!C$27)</f>
        <v>0</v>
      </c>
      <c r="D9" s="133">
        <f>IF(SER_hh_fech_in!D9=0,0,SER_hh_fech_in!D9/SER_summary!D$27)</f>
        <v>0</v>
      </c>
      <c r="E9" s="133">
        <f>IF(SER_hh_fech_in!E9=0,0,SER_hh_fech_in!E9/SER_summary!E$27)</f>
        <v>0</v>
      </c>
      <c r="F9" s="133">
        <f>IF(SER_hh_fech_in!F9=0,0,SER_hh_fech_in!F9/SER_summary!F$27)</f>
        <v>0</v>
      </c>
      <c r="G9" s="133">
        <f>IF(SER_hh_fech_in!G9=0,0,SER_hh_fech_in!G9/SER_summary!G$27)</f>
        <v>0</v>
      </c>
      <c r="H9" s="133">
        <f>IF(SER_hh_fech_in!H9=0,0,SER_hh_fech_in!H9/SER_summary!H$27)</f>
        <v>0</v>
      </c>
      <c r="I9" s="133">
        <f>IF(SER_hh_fech_in!I9=0,0,SER_hh_fech_in!I9/SER_summary!I$27)</f>
        <v>0</v>
      </c>
      <c r="J9" s="133">
        <f>IF(SER_hh_fech_in!J9=0,0,SER_hh_fech_in!J9/SER_summary!J$27)</f>
        <v>0</v>
      </c>
      <c r="K9" s="133">
        <f>IF(SER_hh_fech_in!K9=0,0,SER_hh_fech_in!K9/SER_summary!K$27)</f>
        <v>60.617076069491283</v>
      </c>
      <c r="L9" s="133">
        <f>IF(SER_hh_fech_in!L9=0,0,SER_hh_fech_in!L9/SER_summary!L$27)</f>
        <v>48.913404653329565</v>
      </c>
      <c r="M9" s="133">
        <f>IF(SER_hh_fech_in!M9=0,0,SER_hh_fech_in!M9/SER_summary!M$27)</f>
        <v>38.725186384357052</v>
      </c>
      <c r="N9" s="133">
        <f>IF(SER_hh_fech_in!N9=0,0,SER_hh_fech_in!N9/SER_summary!N$27)</f>
        <v>35.512989456984023</v>
      </c>
      <c r="O9" s="133">
        <f>IF(SER_hh_fech_in!O9=0,0,SER_hh_fech_in!O9/SER_summary!O$27)</f>
        <v>0</v>
      </c>
      <c r="P9" s="133">
        <f>IF(SER_hh_fech_in!P9=0,0,SER_hh_fech_in!P9/SER_summary!P$27)</f>
        <v>35.76373100728653</v>
      </c>
      <c r="Q9" s="133">
        <f>IF(SER_hh_fech_in!Q9=0,0,SER_hh_fech_in!Q9/SER_summary!Q$27)</f>
        <v>33.741779204664056</v>
      </c>
      <c r="R9" s="133">
        <f>IF(SER_hh_fech_in!R9=0,0,SER_hh_fech_in!R9/SER_summary!R$27)</f>
        <v>34.879759890568266</v>
      </c>
      <c r="S9" s="133">
        <f>IF(SER_hh_fech_in!S9=0,0,SER_hh_fech_in!S9/SER_summary!S$27)</f>
        <v>26.728976603628304</v>
      </c>
      <c r="T9" s="133">
        <f>IF(SER_hh_fech_in!T9=0,0,SER_hh_fech_in!T9/SER_summary!T$27)</f>
        <v>52.434779181451418</v>
      </c>
      <c r="U9" s="133">
        <f>IF(SER_hh_fech_in!U9=0,0,SER_hh_fech_in!U9/SER_summary!U$27)</f>
        <v>55.613981707604836</v>
      </c>
      <c r="V9" s="133">
        <f>IF(SER_hh_fech_in!V9=0,0,SER_hh_fech_in!V9/SER_summary!V$27)</f>
        <v>19.377807175947993</v>
      </c>
      <c r="W9" s="133">
        <f>IF(SER_hh_fech_in!W9=0,0,SER_hh_fech_in!W9/SER_summary!W$27)</f>
        <v>19.906485965476481</v>
      </c>
      <c r="DA9" s="157" t="s">
        <v>822</v>
      </c>
    </row>
    <row r="10" spans="1:105" ht="12" customHeight="1" x14ac:dyDescent="0.25">
      <c r="A10" s="132" t="s">
        <v>128</v>
      </c>
      <c r="B10" s="133"/>
      <c r="C10" s="133">
        <f>IF(SER_hh_fech_in!C10=0,0,SER_hh_fech_in!C10/SER_summary!C$27)</f>
        <v>0</v>
      </c>
      <c r="D10" s="133">
        <f>IF(SER_hh_fech_in!D10=0,0,SER_hh_fech_in!D10/SER_summary!D$27)</f>
        <v>0</v>
      </c>
      <c r="E10" s="133">
        <f>IF(SER_hh_fech_in!E10=0,0,SER_hh_fech_in!E10/SER_summary!E$27)</f>
        <v>0</v>
      </c>
      <c r="F10" s="133">
        <f>IF(SER_hh_fech_in!F10=0,0,SER_hh_fech_in!F10/SER_summary!F$27)</f>
        <v>0</v>
      </c>
      <c r="G10" s="133">
        <f>IF(SER_hh_fech_in!G10=0,0,SER_hh_fech_in!G10/SER_summary!G$27)</f>
        <v>0</v>
      </c>
      <c r="H10" s="133">
        <f>IF(SER_hh_fech_in!H10=0,0,SER_hh_fech_in!H10/SER_summary!H$27)</f>
        <v>0</v>
      </c>
      <c r="I10" s="133">
        <f>IF(SER_hh_fech_in!I10=0,0,SER_hh_fech_in!I10/SER_summary!I$27)</f>
        <v>42.156781246250119</v>
      </c>
      <c r="J10" s="133">
        <f>IF(SER_hh_fech_in!J10=0,0,SER_hh_fech_in!J10/SER_summary!J$27)</f>
        <v>107.37198662773194</v>
      </c>
      <c r="K10" s="133">
        <f>IF(SER_hh_fech_in!K10=0,0,SER_hh_fech_in!K10/SER_summary!K$27)</f>
        <v>0</v>
      </c>
      <c r="L10" s="133">
        <f>IF(SER_hh_fech_in!L10=0,0,SER_hh_fech_in!L10/SER_summary!L$27)</f>
        <v>33.46235058238527</v>
      </c>
      <c r="M10" s="133">
        <f>IF(SER_hh_fech_in!M10=0,0,SER_hh_fech_in!M10/SER_summary!M$27)</f>
        <v>55.255117867747153</v>
      </c>
      <c r="N10" s="133">
        <f>IF(SER_hh_fech_in!N10=0,0,SER_hh_fech_in!N10/SER_summary!N$27)</f>
        <v>69.273954683591384</v>
      </c>
      <c r="O10" s="133">
        <f>IF(SER_hh_fech_in!O10=0,0,SER_hh_fech_in!O10/SER_summary!O$27)</f>
        <v>52.162683888490434</v>
      </c>
      <c r="P10" s="133">
        <f>IF(SER_hh_fech_in!P10=0,0,SER_hh_fech_in!P10/SER_summary!P$27)</f>
        <v>40.588061075827945</v>
      </c>
      <c r="Q10" s="133">
        <f>IF(SER_hh_fech_in!Q10=0,0,SER_hh_fech_in!Q10/SER_summary!Q$27)</f>
        <v>83.701754196063675</v>
      </c>
      <c r="R10" s="133">
        <f>IF(SER_hh_fech_in!R10=0,0,SER_hh_fech_in!R10/SER_summary!R$27)</f>
        <v>59.657534628354718</v>
      </c>
      <c r="S10" s="133">
        <f>IF(SER_hh_fech_in!S10=0,0,SER_hh_fech_in!S10/SER_summary!S$27)</f>
        <v>0</v>
      </c>
      <c r="T10" s="133">
        <f>IF(SER_hh_fech_in!T10=0,0,SER_hh_fech_in!T10/SER_summary!T$27)</f>
        <v>0</v>
      </c>
      <c r="U10" s="133">
        <f>IF(SER_hh_fech_in!U10=0,0,SER_hh_fech_in!U10/SER_summary!U$27)</f>
        <v>0</v>
      </c>
      <c r="V10" s="133">
        <f>IF(SER_hh_fech_in!V10=0,0,SER_hh_fech_in!V10/SER_summary!V$27)</f>
        <v>29.805463290510367</v>
      </c>
      <c r="W10" s="133">
        <f>IF(SER_hh_fech_in!W10=0,0,SER_hh_fech_in!W10/SER_summary!W$27)</f>
        <v>80.428882891331398</v>
      </c>
      <c r="DA10" s="157" t="s">
        <v>823</v>
      </c>
    </row>
    <row r="11" spans="1:105" ht="12" customHeight="1" x14ac:dyDescent="0.25">
      <c r="A11" s="132" t="s">
        <v>25</v>
      </c>
      <c r="B11" s="133"/>
      <c r="C11" s="133">
        <f>IF(SER_hh_fech_in!C11=0,0,SER_hh_fech_in!C11/SER_summary!C$27)</f>
        <v>0</v>
      </c>
      <c r="D11" s="133">
        <f>IF(SER_hh_fech_in!D11=0,0,SER_hh_fech_in!D11/SER_summary!D$27)</f>
        <v>0</v>
      </c>
      <c r="E11" s="133">
        <f>IF(SER_hh_fech_in!E11=0,0,SER_hh_fech_in!E11/SER_summary!E$27)</f>
        <v>0</v>
      </c>
      <c r="F11" s="133">
        <f>IF(SER_hh_fech_in!F11=0,0,SER_hh_fech_in!F11/SER_summary!F$27)</f>
        <v>0</v>
      </c>
      <c r="G11" s="133">
        <f>IF(SER_hh_fech_in!G11=0,0,SER_hh_fech_in!G11/SER_summary!G$27)</f>
        <v>0</v>
      </c>
      <c r="H11" s="133">
        <f>IF(SER_hh_fech_in!H11=0,0,SER_hh_fech_in!H11/SER_summary!H$27)</f>
        <v>0</v>
      </c>
      <c r="I11" s="133">
        <f>IF(SER_hh_fech_in!I11=0,0,SER_hh_fech_in!I11/SER_summary!I$27)</f>
        <v>0</v>
      </c>
      <c r="J11" s="133">
        <f>IF(SER_hh_fech_in!J11=0,0,SER_hh_fech_in!J11/SER_summary!J$27)</f>
        <v>0</v>
      </c>
      <c r="K11" s="133">
        <f>IF(SER_hh_fech_in!K11=0,0,SER_hh_fech_in!K11/SER_summary!K$27)</f>
        <v>0</v>
      </c>
      <c r="L11" s="133">
        <f>IF(SER_hh_fech_in!L11=0,0,SER_hh_fech_in!L11/SER_summary!L$27)</f>
        <v>0</v>
      </c>
      <c r="M11" s="133">
        <f>IF(SER_hh_fech_in!M11=0,0,SER_hh_fech_in!M11/SER_summary!M$27)</f>
        <v>0</v>
      </c>
      <c r="N11" s="133">
        <f>IF(SER_hh_fech_in!N11=0,0,SER_hh_fech_in!N11/SER_summary!N$27)</f>
        <v>0</v>
      </c>
      <c r="O11" s="133">
        <f>IF(SER_hh_fech_in!O11=0,0,SER_hh_fech_in!O11/SER_summary!O$27)</f>
        <v>0</v>
      </c>
      <c r="P11" s="133">
        <f>IF(SER_hh_fech_in!P11=0,0,SER_hh_fech_in!P11/SER_summary!P$27)</f>
        <v>0</v>
      </c>
      <c r="Q11" s="133">
        <f>IF(SER_hh_fech_in!Q11=0,0,SER_hh_fech_in!Q11/SER_summary!Q$27)</f>
        <v>0</v>
      </c>
      <c r="R11" s="133">
        <f>IF(SER_hh_fech_in!R11=0,0,SER_hh_fech_in!R11/SER_summary!R$27)</f>
        <v>0</v>
      </c>
      <c r="S11" s="133">
        <f>IF(SER_hh_fech_in!S11=0,0,SER_hh_fech_in!S11/SER_summary!S$27)</f>
        <v>0</v>
      </c>
      <c r="T11" s="133">
        <f>IF(SER_hh_fech_in!T11=0,0,SER_hh_fech_in!T11/SER_summary!T$27)</f>
        <v>0</v>
      </c>
      <c r="U11" s="133">
        <f>IF(SER_hh_fech_in!U11=0,0,SER_hh_fech_in!U11/SER_summary!U$27)</f>
        <v>0</v>
      </c>
      <c r="V11" s="133">
        <f>IF(SER_hh_fech_in!V11=0,0,SER_hh_fech_in!V11/SER_summary!V$27)</f>
        <v>0</v>
      </c>
      <c r="W11" s="133">
        <f>IF(SER_hh_fech_in!W11=0,0,SER_hh_fech_in!W11/SER_summary!W$27)</f>
        <v>0</v>
      </c>
      <c r="DA11" s="157" t="s">
        <v>824</v>
      </c>
    </row>
    <row r="12" spans="1:105" ht="12" customHeight="1" x14ac:dyDescent="0.25">
      <c r="A12" s="132" t="s">
        <v>169</v>
      </c>
      <c r="B12" s="133"/>
      <c r="C12" s="133">
        <f>IF(SER_hh_fech_in!C12=0,0,SER_hh_fech_in!C12/SER_summary!C$27)</f>
        <v>0</v>
      </c>
      <c r="D12" s="133">
        <f>IF(SER_hh_fech_in!D12=0,0,SER_hh_fech_in!D12/SER_summary!D$27)</f>
        <v>0</v>
      </c>
      <c r="E12" s="133">
        <f>IF(SER_hh_fech_in!E12=0,0,SER_hh_fech_in!E12/SER_summary!E$27)</f>
        <v>0</v>
      </c>
      <c r="F12" s="133">
        <f>IF(SER_hh_fech_in!F12=0,0,SER_hh_fech_in!F12/SER_summary!F$27)</f>
        <v>0</v>
      </c>
      <c r="G12" s="133">
        <f>IF(SER_hh_fech_in!G12=0,0,SER_hh_fech_in!G12/SER_summary!G$27)</f>
        <v>0</v>
      </c>
      <c r="H12" s="133">
        <f>IF(SER_hh_fech_in!H12=0,0,SER_hh_fech_in!H12/SER_summary!H$27)</f>
        <v>0</v>
      </c>
      <c r="I12" s="133">
        <f>IF(SER_hh_fech_in!I12=0,0,SER_hh_fech_in!I12/SER_summary!I$27)</f>
        <v>0</v>
      </c>
      <c r="J12" s="133">
        <f>IF(SER_hh_fech_in!J12=0,0,SER_hh_fech_in!J12/SER_summary!J$27)</f>
        <v>0</v>
      </c>
      <c r="K12" s="133">
        <f>IF(SER_hh_fech_in!K12=0,0,SER_hh_fech_in!K12/SER_summary!K$27)</f>
        <v>0</v>
      </c>
      <c r="L12" s="133">
        <f>IF(SER_hh_fech_in!L12=0,0,SER_hh_fech_in!L12/SER_summary!L$27)</f>
        <v>0</v>
      </c>
      <c r="M12" s="133">
        <f>IF(SER_hh_fech_in!M12=0,0,SER_hh_fech_in!M12/SER_summary!M$27)</f>
        <v>0</v>
      </c>
      <c r="N12" s="133">
        <f>IF(SER_hh_fech_in!N12=0,0,SER_hh_fech_in!N12/SER_summary!N$27)</f>
        <v>0</v>
      </c>
      <c r="O12" s="133">
        <f>IF(SER_hh_fech_in!O12=0,0,SER_hh_fech_in!O12/SER_summary!O$27)</f>
        <v>0</v>
      </c>
      <c r="P12" s="133">
        <f>IF(SER_hh_fech_in!P12=0,0,SER_hh_fech_in!P12/SER_summary!P$27)</f>
        <v>0</v>
      </c>
      <c r="Q12" s="133">
        <f>IF(SER_hh_fech_in!Q12=0,0,SER_hh_fech_in!Q12/SER_summary!Q$27)</f>
        <v>0</v>
      </c>
      <c r="R12" s="133">
        <f>IF(SER_hh_fech_in!R12=0,0,SER_hh_fech_in!R12/SER_summary!R$27)</f>
        <v>0</v>
      </c>
      <c r="S12" s="133">
        <f>IF(SER_hh_fech_in!S12=0,0,SER_hh_fech_in!S12/SER_summary!S$27)</f>
        <v>0</v>
      </c>
      <c r="T12" s="133">
        <f>IF(SER_hh_fech_in!T12=0,0,SER_hh_fech_in!T12/SER_summary!T$27)</f>
        <v>0</v>
      </c>
      <c r="U12" s="133">
        <f>IF(SER_hh_fech_in!U12=0,0,SER_hh_fech_in!U12/SER_summary!U$27)</f>
        <v>0</v>
      </c>
      <c r="V12" s="133">
        <f>IF(SER_hh_fech_in!V12=0,0,SER_hh_fech_in!V12/SER_summary!V$27)</f>
        <v>0</v>
      </c>
      <c r="W12" s="133">
        <f>IF(SER_hh_fech_in!W12=0,0,SER_hh_fech_in!W12/SER_summary!W$27)</f>
        <v>0</v>
      </c>
      <c r="DA12" s="157" t="s">
        <v>825</v>
      </c>
    </row>
    <row r="13" spans="1:105" ht="12" customHeight="1" x14ac:dyDescent="0.25">
      <c r="A13" s="132" t="s">
        <v>77</v>
      </c>
      <c r="B13" s="133"/>
      <c r="C13" s="133">
        <f>IF(SER_hh_fech_in!C13=0,0,SER_hh_fech_in!C13/SER_summary!C$27)</f>
        <v>10.255038853280764</v>
      </c>
      <c r="D13" s="133">
        <f>IF(SER_hh_fech_in!D13=0,0,SER_hh_fech_in!D13/SER_summary!D$27)</f>
        <v>10.451428025605853</v>
      </c>
      <c r="E13" s="133">
        <f>IF(SER_hh_fech_in!E13=0,0,SER_hh_fech_in!E13/SER_summary!E$27)</f>
        <v>10.099447267524152</v>
      </c>
      <c r="F13" s="133">
        <f>IF(SER_hh_fech_in!F13=0,0,SER_hh_fech_in!F13/SER_summary!F$27)</f>
        <v>10.767243749571879</v>
      </c>
      <c r="G13" s="133">
        <f>IF(SER_hh_fech_in!G13=0,0,SER_hh_fech_in!G13/SER_summary!G$27)</f>
        <v>12.06804749873622</v>
      </c>
      <c r="H13" s="133">
        <f>IF(SER_hh_fech_in!H13=0,0,SER_hh_fech_in!H13/SER_summary!H$27)</f>
        <v>13.043357836053785</v>
      </c>
      <c r="I13" s="133">
        <f>IF(SER_hh_fech_in!I13=0,0,SER_hh_fech_in!I13/SER_summary!I$27)</f>
        <v>13.634474667667302</v>
      </c>
      <c r="J13" s="133">
        <f>IF(SER_hh_fech_in!J13=0,0,SER_hh_fech_in!J13/SER_summary!J$27)</f>
        <v>13.320569907755981</v>
      </c>
      <c r="K13" s="133">
        <f>IF(SER_hh_fech_in!K13=0,0,SER_hh_fech_in!K13/SER_summary!K$27)</f>
        <v>13.755831423821121</v>
      </c>
      <c r="L13" s="133">
        <f>IF(SER_hh_fech_in!L13=0,0,SER_hh_fech_in!L13/SER_summary!L$27)</f>
        <v>11.48212452804149</v>
      </c>
      <c r="M13" s="133">
        <f>IF(SER_hh_fech_in!M13=0,0,SER_hh_fech_in!M13/SER_summary!M$27)</f>
        <v>9.3749507479092351</v>
      </c>
      <c r="N13" s="133">
        <f>IF(SER_hh_fech_in!N13=0,0,SER_hh_fech_in!N13/SER_summary!N$27)</f>
        <v>8.8135367042594996</v>
      </c>
      <c r="O13" s="133">
        <f>IF(SER_hh_fech_in!O13=0,0,SER_hh_fech_in!O13/SER_summary!O$27)</f>
        <v>11.546170977302964</v>
      </c>
      <c r="P13" s="133">
        <f>IF(SER_hh_fech_in!P13=0,0,SER_hh_fech_in!P13/SER_summary!P$27)</f>
        <v>9.8593704826476287</v>
      </c>
      <c r="Q13" s="133">
        <f>IF(SER_hh_fech_in!Q13=0,0,SER_hh_fech_in!Q13/SER_summary!Q$27)</f>
        <v>9.9116331239388114</v>
      </c>
      <c r="R13" s="133">
        <f>IF(SER_hh_fech_in!R13=0,0,SER_hh_fech_in!R13/SER_summary!R$27)</f>
        <v>9.2386180876792672</v>
      </c>
      <c r="S13" s="133">
        <f>IF(SER_hh_fech_in!S13=0,0,SER_hh_fech_in!S13/SER_summary!S$27)</f>
        <v>8.8732550319554715</v>
      </c>
      <c r="T13" s="133">
        <f>IF(SER_hh_fech_in!T13=0,0,SER_hh_fech_in!T13/SER_summary!T$27)</f>
        <v>8.512573235498067</v>
      </c>
      <c r="U13" s="133">
        <f>IF(SER_hh_fech_in!U13=0,0,SER_hh_fech_in!U13/SER_summary!U$27)</f>
        <v>8.2326910625074223</v>
      </c>
      <c r="V13" s="133">
        <f>IF(SER_hh_fech_in!V13=0,0,SER_hh_fech_in!V13/SER_summary!V$27)</f>
        <v>6.8787828514221676</v>
      </c>
      <c r="W13" s="133">
        <f>IF(SER_hh_fech_in!W13=0,0,SER_hh_fech_in!W13/SER_summary!W$27)</f>
        <v>6.0207858761840942</v>
      </c>
      <c r="DA13" s="157" t="s">
        <v>826</v>
      </c>
    </row>
    <row r="14" spans="1:105" ht="12" customHeight="1" x14ac:dyDescent="0.25">
      <c r="A14" s="60" t="s">
        <v>76</v>
      </c>
      <c r="B14" s="65"/>
      <c r="C14" s="65">
        <f>IF(SER_hh_fech_in!C14=0,0,SER_hh_fech_in!C14/SER_summary!C$27)</f>
        <v>24.966008148752369</v>
      </c>
      <c r="D14" s="65">
        <f>IF(SER_hh_fech_in!D14=0,0,SER_hh_fech_in!D14/SER_summary!D$27)</f>
        <v>31.699248583733478</v>
      </c>
      <c r="E14" s="65">
        <f>IF(SER_hh_fech_in!E14=0,0,SER_hh_fech_in!E14/SER_summary!E$27)</f>
        <v>28.582897449177221</v>
      </c>
      <c r="F14" s="65">
        <f>IF(SER_hh_fech_in!F14=0,0,SER_hh_fech_in!F14/SER_summary!F$27)</f>
        <v>30.599709868567377</v>
      </c>
      <c r="G14" s="65">
        <f>IF(SER_hh_fech_in!G14=0,0,SER_hh_fech_in!G14/SER_summary!G$27)</f>
        <v>32.599409406453212</v>
      </c>
      <c r="H14" s="65">
        <f>IF(SER_hh_fech_in!H14=0,0,SER_hh_fech_in!H14/SER_summary!H$27)</f>
        <v>48.380699402624067</v>
      </c>
      <c r="I14" s="65">
        <f>IF(SER_hh_fech_in!I14=0,0,SER_hh_fech_in!I14/SER_summary!I$27)</f>
        <v>47.152584591484597</v>
      </c>
      <c r="J14" s="65">
        <f>IF(SER_hh_fech_in!J14=0,0,SER_hh_fech_in!J14/SER_summary!J$27)</f>
        <v>51.283564791562988</v>
      </c>
      <c r="K14" s="65">
        <f>IF(SER_hh_fech_in!K14=0,0,SER_hh_fech_in!K14/SER_summary!K$27)</f>
        <v>54.386631461086331</v>
      </c>
      <c r="L14" s="65">
        <f>IF(SER_hh_fech_in!L14=0,0,SER_hh_fech_in!L14/SER_summary!L$27)</f>
        <v>58.312197561966492</v>
      </c>
      <c r="M14" s="65">
        <f>IF(SER_hh_fech_in!M14=0,0,SER_hh_fech_in!M14/SER_summary!M$27)</f>
        <v>0</v>
      </c>
      <c r="N14" s="65">
        <f>IF(SER_hh_fech_in!N14=0,0,SER_hh_fech_in!N14/SER_summary!N$27)</f>
        <v>0</v>
      </c>
      <c r="O14" s="65">
        <f>IF(SER_hh_fech_in!O14=0,0,SER_hh_fech_in!O14/SER_summary!O$27)</f>
        <v>0</v>
      </c>
      <c r="P14" s="65">
        <f>IF(SER_hh_fech_in!P14=0,0,SER_hh_fech_in!P14/SER_summary!P$27)</f>
        <v>0</v>
      </c>
      <c r="Q14" s="65">
        <f>IF(SER_hh_fech_in!Q14=0,0,SER_hh_fech_in!Q14/SER_summary!Q$27)</f>
        <v>38.524930330693387</v>
      </c>
      <c r="R14" s="65">
        <f>IF(SER_hh_fech_in!R14=0,0,SER_hh_fech_in!R14/SER_summary!R$27)</f>
        <v>57.454783288408969</v>
      </c>
      <c r="S14" s="65">
        <f>IF(SER_hh_fech_in!S14=0,0,SER_hh_fech_in!S14/SER_summary!S$27)</f>
        <v>67.178566247735105</v>
      </c>
      <c r="T14" s="65">
        <f>IF(SER_hh_fech_in!T14=0,0,SER_hh_fech_in!T14/SER_summary!T$27)</f>
        <v>64.178917904419052</v>
      </c>
      <c r="U14" s="65">
        <f>IF(SER_hh_fech_in!U14=0,0,SER_hh_fech_in!U14/SER_summary!U$27)</f>
        <v>75.523710067777628</v>
      </c>
      <c r="V14" s="65">
        <f>IF(SER_hh_fech_in!V14=0,0,SER_hh_fech_in!V14/SER_summary!V$27)</f>
        <v>32.313112458683051</v>
      </c>
      <c r="W14" s="65">
        <f>IF(SER_hh_fech_in!W14=0,0,SER_hh_fech_in!W14/SER_summary!W$27)</f>
        <v>51.915287846751006</v>
      </c>
      <c r="DA14" s="109" t="s">
        <v>827</v>
      </c>
    </row>
    <row r="15" spans="1:105" ht="12" customHeight="1" x14ac:dyDescent="0.25">
      <c r="A15" s="134" t="s">
        <v>80</v>
      </c>
      <c r="B15" s="135"/>
      <c r="C15" s="135">
        <f>IF(SER_hh_fech_in!C15=0,0,SER_hh_fech_in!C15/SER_summary!C$27)</f>
        <v>0</v>
      </c>
      <c r="D15" s="135">
        <f>IF(SER_hh_fech_in!D15=0,0,SER_hh_fech_in!D15/SER_summary!D$27)</f>
        <v>0</v>
      </c>
      <c r="E15" s="135">
        <f>IF(SER_hh_fech_in!E15=0,0,SER_hh_fech_in!E15/SER_summary!E$27)</f>
        <v>0</v>
      </c>
      <c r="F15" s="135">
        <f>IF(SER_hh_fech_in!F15=0,0,SER_hh_fech_in!F15/SER_summary!F$27)</f>
        <v>0</v>
      </c>
      <c r="G15" s="135">
        <f>IF(SER_hh_fech_in!G15=0,0,SER_hh_fech_in!G15/SER_summary!G$27)</f>
        <v>0</v>
      </c>
      <c r="H15" s="135">
        <f>IF(SER_hh_fech_in!H15=0,0,SER_hh_fech_in!H15/SER_summary!H$27)</f>
        <v>0</v>
      </c>
      <c r="I15" s="135">
        <f>IF(SER_hh_fech_in!I15=0,0,SER_hh_fech_in!I15/SER_summary!I$27)</f>
        <v>0.1752727482354261</v>
      </c>
      <c r="J15" s="135">
        <f>IF(SER_hh_fech_in!J15=0,0,SER_hh_fech_in!J15/SER_summary!J$27)</f>
        <v>0.61807455299379066</v>
      </c>
      <c r="K15" s="135">
        <f>IF(SER_hh_fech_in!K15=0,0,SER_hh_fech_in!K15/SER_summary!K$27)</f>
        <v>0.53721796684210577</v>
      </c>
      <c r="L15" s="135">
        <f>IF(SER_hh_fech_in!L15=0,0,SER_hh_fech_in!L15/SER_summary!L$27)</f>
        <v>0.58847957840877285</v>
      </c>
      <c r="M15" s="135">
        <f>IF(SER_hh_fech_in!M15=0,0,SER_hh_fech_in!M15/SER_summary!M$27)</f>
        <v>0.55884239955338799</v>
      </c>
      <c r="N15" s="135">
        <f>IF(SER_hh_fech_in!N15=0,0,SER_hh_fech_in!N15/SER_summary!N$27)</f>
        <v>0.46696034837550188</v>
      </c>
      <c r="O15" s="135">
        <f>IF(SER_hh_fech_in!O15=0,0,SER_hh_fech_in!O15/SER_summary!O$27)</f>
        <v>0.51066826351494554</v>
      </c>
      <c r="P15" s="135">
        <f>IF(SER_hh_fech_in!P15=0,0,SER_hh_fech_in!P15/SER_summary!P$27)</f>
        <v>0.17508407161978742</v>
      </c>
      <c r="Q15" s="135">
        <f>IF(SER_hh_fech_in!Q15=0,0,SER_hh_fech_in!Q15/SER_summary!Q$27)</f>
        <v>0.36056298276698956</v>
      </c>
      <c r="R15" s="135">
        <f>IF(SER_hh_fech_in!R15=0,0,SER_hh_fech_in!R15/SER_summary!R$27)</f>
        <v>0.4568406158795969</v>
      </c>
      <c r="S15" s="135">
        <f>IF(SER_hh_fech_in!S15=0,0,SER_hh_fech_in!S15/SER_summary!S$27)</f>
        <v>0.3836309838913845</v>
      </c>
      <c r="T15" s="135">
        <f>IF(SER_hh_fech_in!T15=0,0,SER_hh_fech_in!T15/SER_summary!T$27)</f>
        <v>0.63479122860393389</v>
      </c>
      <c r="U15" s="135">
        <f>IF(SER_hh_fech_in!U15=0,0,SER_hh_fech_in!U15/SER_summary!U$27)</f>
        <v>0.57260916900723624</v>
      </c>
      <c r="V15" s="135">
        <f>IF(SER_hh_fech_in!V15=0,0,SER_hh_fech_in!V15/SER_summary!V$27)</f>
        <v>0.39361657292629781</v>
      </c>
      <c r="W15" s="135">
        <f>IF(SER_hh_fech_in!W15=0,0,SER_hh_fech_in!W15/SER_summary!W$27)</f>
        <v>0.38569804969318605</v>
      </c>
      <c r="DA15" s="158" t="s">
        <v>828</v>
      </c>
    </row>
    <row r="16" spans="1:105" ht="12.95" customHeight="1" x14ac:dyDescent="0.25">
      <c r="A16" s="130" t="s">
        <v>74</v>
      </c>
      <c r="B16" s="131"/>
      <c r="C16" s="131">
        <f>IF(SER_hh_fech_in!C16=0,0,SER_hh_fech_in!C16/SER_summary!C$27)</f>
        <v>33.38288503013267</v>
      </c>
      <c r="D16" s="131">
        <f>IF(SER_hh_fech_in!D16=0,0,SER_hh_fech_in!D16/SER_summary!D$27)</f>
        <v>31.163164553829173</v>
      </c>
      <c r="E16" s="131">
        <f>IF(SER_hh_fech_in!E16=0,0,SER_hh_fech_in!E16/SER_summary!E$27)</f>
        <v>32.565545322244162</v>
      </c>
      <c r="F16" s="131">
        <f>IF(SER_hh_fech_in!F16=0,0,SER_hh_fech_in!F16/SER_summary!F$27)</f>
        <v>26.134329597443205</v>
      </c>
      <c r="G16" s="131">
        <f>IF(SER_hh_fech_in!G16=0,0,SER_hh_fech_in!G16/SER_summary!G$27)</f>
        <v>23.156008842522162</v>
      </c>
      <c r="H16" s="131">
        <f>IF(SER_hh_fech_in!H16=0,0,SER_hh_fech_in!H16/SER_summary!H$27)</f>
        <v>25.826447983689736</v>
      </c>
      <c r="I16" s="131">
        <f>IF(SER_hh_fech_in!I16=0,0,SER_hh_fech_in!I16/SER_summary!I$27)</f>
        <v>28.05785194405173</v>
      </c>
      <c r="J16" s="131">
        <f>IF(SER_hh_fech_in!J16=0,0,SER_hh_fech_in!J16/SER_summary!J$27)</f>
        <v>27.7196468995052</v>
      </c>
      <c r="K16" s="131">
        <f>IF(SER_hh_fech_in!K16=0,0,SER_hh_fech_in!K16/SER_summary!K$27)</f>
        <v>25.766173560614106</v>
      </c>
      <c r="L16" s="131">
        <f>IF(SER_hh_fech_in!L16=0,0,SER_hh_fech_in!L16/SER_summary!L$27)</f>
        <v>26.047338132257387</v>
      </c>
      <c r="M16" s="131">
        <f>IF(SER_hh_fech_in!M16=0,0,SER_hh_fech_in!M16/SER_summary!M$27)</f>
        <v>21.480921096282913</v>
      </c>
      <c r="N16" s="131">
        <f>IF(SER_hh_fech_in!N16=0,0,SER_hh_fech_in!N16/SER_summary!N$27)</f>
        <v>24.776579806186852</v>
      </c>
      <c r="O16" s="131">
        <f>IF(SER_hh_fech_in!O16=0,0,SER_hh_fech_in!O16/SER_summary!O$27)</f>
        <v>19.547603890437504</v>
      </c>
      <c r="P16" s="131">
        <f>IF(SER_hh_fech_in!P16=0,0,SER_hh_fech_in!P16/SER_summary!P$27)</f>
        <v>16.360199673813277</v>
      </c>
      <c r="Q16" s="131">
        <f>IF(SER_hh_fech_in!Q16=0,0,SER_hh_fech_in!Q16/SER_summary!Q$27)</f>
        <v>16.704116725769794</v>
      </c>
      <c r="R16" s="131">
        <f>IF(SER_hh_fech_in!R16=0,0,SER_hh_fech_in!R16/SER_summary!R$27)</f>
        <v>18.179392538925352</v>
      </c>
      <c r="S16" s="131">
        <f>IF(SER_hh_fech_in!S16=0,0,SER_hh_fech_in!S16/SER_summary!S$27)</f>
        <v>16.537591093555569</v>
      </c>
      <c r="T16" s="131">
        <f>IF(SER_hh_fech_in!T16=0,0,SER_hh_fech_in!T16/SER_summary!T$27)</f>
        <v>20.058672082958292</v>
      </c>
      <c r="U16" s="131">
        <f>IF(SER_hh_fech_in!U16=0,0,SER_hh_fech_in!U16/SER_summary!U$27)</f>
        <v>16.195236568690294</v>
      </c>
      <c r="V16" s="131">
        <f>IF(SER_hh_fech_in!V16=0,0,SER_hh_fech_in!V16/SER_summary!V$27)</f>
        <v>16.728986285054372</v>
      </c>
      <c r="W16" s="131">
        <f>IF(SER_hh_fech_in!W16=0,0,SER_hh_fech_in!W16/SER_summary!W$27)</f>
        <v>13.399538202299819</v>
      </c>
      <c r="DA16" s="156" t="s">
        <v>829</v>
      </c>
    </row>
    <row r="17" spans="1:105" ht="12.95" customHeight="1" x14ac:dyDescent="0.25">
      <c r="A17" s="132" t="s">
        <v>73</v>
      </c>
      <c r="B17" s="133"/>
      <c r="C17" s="133">
        <f>IF(SER_hh_fech_in!C17=0,0,SER_hh_fech_in!C17/SER_summary!C$27)</f>
        <v>0</v>
      </c>
      <c r="D17" s="133">
        <f>IF(SER_hh_fech_in!D17=0,0,SER_hh_fech_in!D17/SER_summary!D$27)</f>
        <v>0</v>
      </c>
      <c r="E17" s="133">
        <f>IF(SER_hh_fech_in!E17=0,0,SER_hh_fech_in!E17/SER_summary!E$27)</f>
        <v>0</v>
      </c>
      <c r="F17" s="133">
        <f>IF(SER_hh_fech_in!F17=0,0,SER_hh_fech_in!F17/SER_summary!F$27)</f>
        <v>0</v>
      </c>
      <c r="G17" s="133">
        <f>IF(SER_hh_fech_in!G17=0,0,SER_hh_fech_in!G17/SER_summary!G$27)</f>
        <v>0</v>
      </c>
      <c r="H17" s="133">
        <f>IF(SER_hh_fech_in!H17=0,0,SER_hh_fech_in!H17/SER_summary!H$27)</f>
        <v>0</v>
      </c>
      <c r="I17" s="133">
        <f>IF(SER_hh_fech_in!I17=0,0,SER_hh_fech_in!I17/SER_summary!I$27)</f>
        <v>0</v>
      </c>
      <c r="J17" s="133">
        <f>IF(SER_hh_fech_in!J17=0,0,SER_hh_fech_in!J17/SER_summary!J$27)</f>
        <v>0</v>
      </c>
      <c r="K17" s="133">
        <f>IF(SER_hh_fech_in!K17=0,0,SER_hh_fech_in!K17/SER_summary!K$27)</f>
        <v>0</v>
      </c>
      <c r="L17" s="133">
        <f>IF(SER_hh_fech_in!L17=0,0,SER_hh_fech_in!L17/SER_summary!L$27)</f>
        <v>0</v>
      </c>
      <c r="M17" s="133">
        <f>IF(SER_hh_fech_in!M17=0,0,SER_hh_fech_in!M17/SER_summary!M$27)</f>
        <v>0</v>
      </c>
      <c r="N17" s="133">
        <f>IF(SER_hh_fech_in!N17=0,0,SER_hh_fech_in!N17/SER_summary!N$27)</f>
        <v>0</v>
      </c>
      <c r="O17" s="133">
        <f>IF(SER_hh_fech_in!O17=0,0,SER_hh_fech_in!O17/SER_summary!O$27)</f>
        <v>0</v>
      </c>
      <c r="P17" s="133">
        <f>IF(SER_hh_fech_in!P17=0,0,SER_hh_fech_in!P17/SER_summary!P$27)</f>
        <v>0</v>
      </c>
      <c r="Q17" s="133">
        <f>IF(SER_hh_fech_in!Q17=0,0,SER_hh_fech_in!Q17/SER_summary!Q$27)</f>
        <v>0</v>
      </c>
      <c r="R17" s="133">
        <f>IF(SER_hh_fech_in!R17=0,0,SER_hh_fech_in!R17/SER_summary!R$27)</f>
        <v>0</v>
      </c>
      <c r="S17" s="133">
        <f>IF(SER_hh_fech_in!S17=0,0,SER_hh_fech_in!S17/SER_summary!S$27)</f>
        <v>0</v>
      </c>
      <c r="T17" s="133">
        <f>IF(SER_hh_fech_in!T17=0,0,SER_hh_fech_in!T17/SER_summary!T$27)</f>
        <v>0</v>
      </c>
      <c r="U17" s="133">
        <f>IF(SER_hh_fech_in!U17=0,0,SER_hh_fech_in!U17/SER_summary!U$27)</f>
        <v>0</v>
      </c>
      <c r="V17" s="133">
        <f>IF(SER_hh_fech_in!V17=0,0,SER_hh_fech_in!V17/SER_summary!V$27)</f>
        <v>0</v>
      </c>
      <c r="W17" s="133">
        <f>IF(SER_hh_fech_in!W17=0,0,SER_hh_fech_in!W17/SER_summary!W$27)</f>
        <v>0</v>
      </c>
      <c r="DA17" s="157" t="s">
        <v>830</v>
      </c>
    </row>
    <row r="18" spans="1:105" ht="12" customHeight="1" x14ac:dyDescent="0.25">
      <c r="A18" s="132" t="s">
        <v>72</v>
      </c>
      <c r="B18" s="133"/>
      <c r="C18" s="133">
        <f>IF(SER_hh_fech_in!C18=0,0,SER_hh_fech_in!C18/SER_summary!C$27)</f>
        <v>33.38288503013267</v>
      </c>
      <c r="D18" s="133">
        <f>IF(SER_hh_fech_in!D18=0,0,SER_hh_fech_in!D18/SER_summary!D$27)</f>
        <v>31.163164553829173</v>
      </c>
      <c r="E18" s="133">
        <f>IF(SER_hh_fech_in!E18=0,0,SER_hh_fech_in!E18/SER_summary!E$27)</f>
        <v>32.565545322244162</v>
      </c>
      <c r="F18" s="133">
        <f>IF(SER_hh_fech_in!F18=0,0,SER_hh_fech_in!F18/SER_summary!F$27)</f>
        <v>26.134329597443205</v>
      </c>
      <c r="G18" s="133">
        <f>IF(SER_hh_fech_in!G18=0,0,SER_hh_fech_in!G18/SER_summary!G$27)</f>
        <v>23.156008842522162</v>
      </c>
      <c r="H18" s="133">
        <f>IF(SER_hh_fech_in!H18=0,0,SER_hh_fech_in!H18/SER_summary!H$27)</f>
        <v>25.826447983689736</v>
      </c>
      <c r="I18" s="133">
        <f>IF(SER_hh_fech_in!I18=0,0,SER_hh_fech_in!I18/SER_summary!I$27)</f>
        <v>28.05785194405173</v>
      </c>
      <c r="J18" s="133">
        <f>IF(SER_hh_fech_in!J18=0,0,SER_hh_fech_in!J18/SER_summary!J$27)</f>
        <v>27.7196468995052</v>
      </c>
      <c r="K18" s="133">
        <f>IF(SER_hh_fech_in!K18=0,0,SER_hh_fech_in!K18/SER_summary!K$27)</f>
        <v>25.766173560614106</v>
      </c>
      <c r="L18" s="133">
        <f>IF(SER_hh_fech_in!L18=0,0,SER_hh_fech_in!L18/SER_summary!L$27)</f>
        <v>26.047338132257387</v>
      </c>
      <c r="M18" s="133">
        <f>IF(SER_hh_fech_in!M18=0,0,SER_hh_fech_in!M18/SER_summary!M$27)</f>
        <v>21.480921096282913</v>
      </c>
      <c r="N18" s="133">
        <f>IF(SER_hh_fech_in!N18=0,0,SER_hh_fech_in!N18/SER_summary!N$27)</f>
        <v>24.776579806186852</v>
      </c>
      <c r="O18" s="133">
        <f>IF(SER_hh_fech_in!O18=0,0,SER_hh_fech_in!O18/SER_summary!O$27)</f>
        <v>19.547603890437504</v>
      </c>
      <c r="P18" s="133">
        <f>IF(SER_hh_fech_in!P18=0,0,SER_hh_fech_in!P18/SER_summary!P$27)</f>
        <v>16.360199673813277</v>
      </c>
      <c r="Q18" s="133">
        <f>IF(SER_hh_fech_in!Q18=0,0,SER_hh_fech_in!Q18/SER_summary!Q$27)</f>
        <v>16.704116725769794</v>
      </c>
      <c r="R18" s="133">
        <f>IF(SER_hh_fech_in!R18=0,0,SER_hh_fech_in!R18/SER_summary!R$27)</f>
        <v>18.179392538925352</v>
      </c>
      <c r="S18" s="133">
        <f>IF(SER_hh_fech_in!S18=0,0,SER_hh_fech_in!S18/SER_summary!S$27)</f>
        <v>16.537591093555569</v>
      </c>
      <c r="T18" s="133">
        <f>IF(SER_hh_fech_in!T18=0,0,SER_hh_fech_in!T18/SER_summary!T$27)</f>
        <v>20.058672082958292</v>
      </c>
      <c r="U18" s="133">
        <f>IF(SER_hh_fech_in!U18=0,0,SER_hh_fech_in!U18/SER_summary!U$27)</f>
        <v>16.195236568690294</v>
      </c>
      <c r="V18" s="133">
        <f>IF(SER_hh_fech_in!V18=0,0,SER_hh_fech_in!V18/SER_summary!V$27)</f>
        <v>16.728986285054372</v>
      </c>
      <c r="W18" s="133">
        <f>IF(SER_hh_fech_in!W18=0,0,SER_hh_fech_in!W18/SER_summary!W$27)</f>
        <v>13.399538202299819</v>
      </c>
      <c r="DA18" s="157" t="s">
        <v>831</v>
      </c>
    </row>
    <row r="19" spans="1:105" ht="12.95" customHeight="1" x14ac:dyDescent="0.25">
      <c r="A19" s="130" t="s">
        <v>35</v>
      </c>
      <c r="B19" s="131"/>
      <c r="C19" s="131">
        <f>IF(SER_hh_fech_in!C19=0,0,SER_hh_fech_in!C19/SER_summary!C$27)</f>
        <v>18.201155255011763</v>
      </c>
      <c r="D19" s="131">
        <f>IF(SER_hh_fech_in!D19=0,0,SER_hh_fech_in!D19/SER_summary!D$27)</f>
        <v>15.033557879889077</v>
      </c>
      <c r="E19" s="131">
        <f>IF(SER_hh_fech_in!E19=0,0,SER_hh_fech_in!E19/SER_summary!E$27)</f>
        <v>15.654295658871021</v>
      </c>
      <c r="F19" s="131">
        <f>IF(SER_hh_fech_in!F19=0,0,SER_hh_fech_in!F19/SER_summary!F$27)</f>
        <v>15.496377671187313</v>
      </c>
      <c r="G19" s="131">
        <f>IF(SER_hh_fech_in!G19=0,0,SER_hh_fech_in!G19/SER_summary!G$27)</f>
        <v>15.956297193715521</v>
      </c>
      <c r="H19" s="131">
        <f>IF(SER_hh_fech_in!H19=0,0,SER_hh_fech_in!H19/SER_summary!H$27)</f>
        <v>23.96543791204158</v>
      </c>
      <c r="I19" s="131">
        <f>IF(SER_hh_fech_in!I19=0,0,SER_hh_fech_in!I19/SER_summary!I$27)</f>
        <v>20.363673564154059</v>
      </c>
      <c r="J19" s="131">
        <f>IF(SER_hh_fech_in!J19=0,0,SER_hh_fech_in!J19/SER_summary!J$27)</f>
        <v>18.594649299536105</v>
      </c>
      <c r="K19" s="131">
        <f>IF(SER_hh_fech_in!K19=0,0,SER_hh_fech_in!K19/SER_summary!K$27)</f>
        <v>13.349483479957586</v>
      </c>
      <c r="L19" s="131">
        <f>IF(SER_hh_fech_in!L19=0,0,SER_hh_fech_in!L19/SER_summary!L$27)</f>
        <v>13.197442495726666</v>
      </c>
      <c r="M19" s="131">
        <f>IF(SER_hh_fech_in!M19=0,0,SER_hh_fech_in!M19/SER_summary!M$27)</f>
        <v>12.60153230768306</v>
      </c>
      <c r="N19" s="131">
        <f>IF(SER_hh_fech_in!N19=0,0,SER_hh_fech_in!N19/SER_summary!N$27)</f>
        <v>14.623057502063451</v>
      </c>
      <c r="O19" s="131">
        <f>IF(SER_hh_fech_in!O19=0,0,SER_hh_fech_in!O19/SER_summary!O$27)</f>
        <v>15.147073415648693</v>
      </c>
      <c r="P19" s="131">
        <f>IF(SER_hh_fech_in!P19=0,0,SER_hh_fech_in!P19/SER_summary!P$27)</f>
        <v>15.405134528766245</v>
      </c>
      <c r="Q19" s="131">
        <f>IF(SER_hh_fech_in!Q19=0,0,SER_hh_fech_in!Q19/SER_summary!Q$27)</f>
        <v>14.844170531530807</v>
      </c>
      <c r="R19" s="131">
        <f>IF(SER_hh_fech_in!R19=0,0,SER_hh_fech_in!R19/SER_summary!R$27)</f>
        <v>14.170130391958509</v>
      </c>
      <c r="S19" s="131">
        <f>IF(SER_hh_fech_in!S19=0,0,SER_hh_fech_in!S19/SER_summary!S$27)</f>
        <v>13.381818259735986</v>
      </c>
      <c r="T19" s="131">
        <f>IF(SER_hh_fech_in!T19=0,0,SER_hh_fech_in!T19/SER_summary!T$27)</f>
        <v>13.663741128113429</v>
      </c>
      <c r="U19" s="131">
        <f>IF(SER_hh_fech_in!U19=0,0,SER_hh_fech_in!U19/SER_summary!U$27)</f>
        <v>13.796404824983062</v>
      </c>
      <c r="V19" s="131">
        <f>IF(SER_hh_fech_in!V19=0,0,SER_hh_fech_in!V19/SER_summary!V$27)</f>
        <v>12.044937701183215</v>
      </c>
      <c r="W19" s="131">
        <f>IF(SER_hh_fech_in!W19=0,0,SER_hh_fech_in!W19/SER_summary!W$27)</f>
        <v>12.466872586178194</v>
      </c>
      <c r="DA19" s="156" t="s">
        <v>832</v>
      </c>
    </row>
    <row r="20" spans="1:105" ht="12" customHeight="1" x14ac:dyDescent="0.25">
      <c r="A20" s="132" t="s">
        <v>29</v>
      </c>
      <c r="B20" s="133"/>
      <c r="C20" s="133">
        <f>IF(SER_hh_fech_in!C20=0,0,SER_hh_fech_in!C20/SER_summary!C$27)</f>
        <v>0</v>
      </c>
      <c r="D20" s="133">
        <f>IF(SER_hh_fech_in!D20=0,0,SER_hh_fech_in!D20/SER_summary!D$27)</f>
        <v>0</v>
      </c>
      <c r="E20" s="133">
        <f>IF(SER_hh_fech_in!E20=0,0,SER_hh_fech_in!E20/SER_summary!E$27)</f>
        <v>0</v>
      </c>
      <c r="F20" s="133">
        <f>IF(SER_hh_fech_in!F20=0,0,SER_hh_fech_in!F20/SER_summary!F$27)</f>
        <v>0</v>
      </c>
      <c r="G20" s="133">
        <f>IF(SER_hh_fech_in!G20=0,0,SER_hh_fech_in!G20/SER_summary!G$27)</f>
        <v>0</v>
      </c>
      <c r="H20" s="133">
        <f>IF(SER_hh_fech_in!H20=0,0,SER_hh_fech_in!H20/SER_summary!H$27)</f>
        <v>0</v>
      </c>
      <c r="I20" s="133">
        <f>IF(SER_hh_fech_in!I20=0,0,SER_hh_fech_in!I20/SER_summary!I$27)</f>
        <v>0</v>
      </c>
      <c r="J20" s="133">
        <f>IF(SER_hh_fech_in!J20=0,0,SER_hh_fech_in!J20/SER_summary!J$27)</f>
        <v>0</v>
      </c>
      <c r="K20" s="133">
        <f>IF(SER_hh_fech_in!K20=0,0,SER_hh_fech_in!K20/SER_summary!K$27)</f>
        <v>0</v>
      </c>
      <c r="L20" s="133">
        <f>IF(SER_hh_fech_in!L20=0,0,SER_hh_fech_in!L20/SER_summary!L$27)</f>
        <v>0</v>
      </c>
      <c r="M20" s="133">
        <f>IF(SER_hh_fech_in!M20=0,0,SER_hh_fech_in!M20/SER_summary!M$27)</f>
        <v>0</v>
      </c>
      <c r="N20" s="133">
        <f>IF(SER_hh_fech_in!N20=0,0,SER_hh_fech_in!N20/SER_summary!N$27)</f>
        <v>0</v>
      </c>
      <c r="O20" s="133">
        <f>IF(SER_hh_fech_in!O20=0,0,SER_hh_fech_in!O20/SER_summary!O$27)</f>
        <v>0</v>
      </c>
      <c r="P20" s="133">
        <f>IF(SER_hh_fech_in!P20=0,0,SER_hh_fech_in!P20/SER_summary!P$27)</f>
        <v>0</v>
      </c>
      <c r="Q20" s="133">
        <f>IF(SER_hh_fech_in!Q20=0,0,SER_hh_fech_in!Q20/SER_summary!Q$27)</f>
        <v>0</v>
      </c>
      <c r="R20" s="133">
        <f>IF(SER_hh_fech_in!R20=0,0,SER_hh_fech_in!R20/SER_summary!R$27)</f>
        <v>0</v>
      </c>
      <c r="S20" s="133">
        <f>IF(SER_hh_fech_in!S20=0,0,SER_hh_fech_in!S20/SER_summary!S$27)</f>
        <v>0</v>
      </c>
      <c r="T20" s="133">
        <f>IF(SER_hh_fech_in!T20=0,0,SER_hh_fech_in!T20/SER_summary!T$27)</f>
        <v>0</v>
      </c>
      <c r="U20" s="133">
        <f>IF(SER_hh_fech_in!U20=0,0,SER_hh_fech_in!U20/SER_summary!U$27)</f>
        <v>0</v>
      </c>
      <c r="V20" s="133">
        <f>IF(SER_hh_fech_in!V20=0,0,SER_hh_fech_in!V20/SER_summary!V$27)</f>
        <v>0</v>
      </c>
      <c r="W20" s="133">
        <f>IF(SER_hh_fech_in!W20=0,0,SER_hh_fech_in!W20/SER_summary!W$27)</f>
        <v>0</v>
      </c>
      <c r="DA20" s="157" t="s">
        <v>833</v>
      </c>
    </row>
    <row r="21" spans="1:105" s="2" customFormat="1" ht="12" customHeight="1" x14ac:dyDescent="0.25">
      <c r="A21" s="132" t="s">
        <v>52</v>
      </c>
      <c r="B21" s="133"/>
      <c r="C21" s="133">
        <f>IF(SER_hh_fech_in!C21=0,0,SER_hh_fech_in!C21/SER_summary!C$27)</f>
        <v>0</v>
      </c>
      <c r="D21" s="133">
        <f>IF(SER_hh_fech_in!D21=0,0,SER_hh_fech_in!D21/SER_summary!D$27)</f>
        <v>0</v>
      </c>
      <c r="E21" s="133">
        <f>IF(SER_hh_fech_in!E21=0,0,SER_hh_fech_in!E21/SER_summary!E$27)</f>
        <v>0</v>
      </c>
      <c r="F21" s="133">
        <f>IF(SER_hh_fech_in!F21=0,0,SER_hh_fech_in!F21/SER_summary!F$27)</f>
        <v>0</v>
      </c>
      <c r="G21" s="133">
        <f>IF(SER_hh_fech_in!G21=0,0,SER_hh_fech_in!G21/SER_summary!G$27)</f>
        <v>0</v>
      </c>
      <c r="H21" s="133">
        <f>IF(SER_hh_fech_in!H21=0,0,SER_hh_fech_in!H21/SER_summary!H$27)</f>
        <v>13.709112911441744</v>
      </c>
      <c r="I21" s="133">
        <f>IF(SER_hh_fech_in!I21=0,0,SER_hh_fech_in!I21/SER_summary!I$27)</f>
        <v>12.742994072768916</v>
      </c>
      <c r="J21" s="133">
        <f>IF(SER_hh_fech_in!J21=0,0,SER_hh_fech_in!J21/SER_summary!J$27)</f>
        <v>12.190072926398388</v>
      </c>
      <c r="K21" s="133">
        <f>IF(SER_hh_fech_in!K21=0,0,SER_hh_fech_in!K21/SER_summary!K$27)</f>
        <v>16.613408321607011</v>
      </c>
      <c r="L21" s="133">
        <f>IF(SER_hh_fech_in!L21=0,0,SER_hh_fech_in!L21/SER_summary!L$27)</f>
        <v>21.638263724550452</v>
      </c>
      <c r="M21" s="133">
        <f>IF(SER_hh_fech_in!M21=0,0,SER_hh_fech_in!M21/SER_summary!M$27)</f>
        <v>0</v>
      </c>
      <c r="N21" s="133">
        <f>IF(SER_hh_fech_in!N21=0,0,SER_hh_fech_in!N21/SER_summary!N$27)</f>
        <v>0</v>
      </c>
      <c r="O21" s="133">
        <f>IF(SER_hh_fech_in!O21=0,0,SER_hh_fech_in!O21/SER_summary!O$27)</f>
        <v>0</v>
      </c>
      <c r="P21" s="133">
        <f>IF(SER_hh_fech_in!P21=0,0,SER_hh_fech_in!P21/SER_summary!P$27)</f>
        <v>0</v>
      </c>
      <c r="Q21" s="133">
        <f>IF(SER_hh_fech_in!Q21=0,0,SER_hh_fech_in!Q21/SER_summary!Q$27)</f>
        <v>0</v>
      </c>
      <c r="R21" s="133">
        <f>IF(SER_hh_fech_in!R21=0,0,SER_hh_fech_in!R21/SER_summary!R$27)</f>
        <v>11.877830815896417</v>
      </c>
      <c r="S21" s="133">
        <f>IF(SER_hh_fech_in!S21=0,0,SER_hh_fech_in!S21/SER_summary!S$27)</f>
        <v>9.9506931381945467</v>
      </c>
      <c r="T21" s="133">
        <f>IF(SER_hh_fech_in!T21=0,0,SER_hh_fech_in!T21/SER_summary!T$27)</f>
        <v>13.636751435433704</v>
      </c>
      <c r="U21" s="133">
        <f>IF(SER_hh_fech_in!U21=0,0,SER_hh_fech_in!U21/SER_summary!U$27)</f>
        <v>13.544778258095043</v>
      </c>
      <c r="V21" s="133">
        <f>IF(SER_hh_fech_in!V21=0,0,SER_hh_fech_in!V21/SER_summary!V$27)</f>
        <v>9.2026124246576195</v>
      </c>
      <c r="W21" s="133">
        <f>IF(SER_hh_fech_in!W21=0,0,SER_hh_fech_in!W21/SER_summary!W$27)</f>
        <v>11.77821550070523</v>
      </c>
      <c r="DA21" s="157" t="s">
        <v>834</v>
      </c>
    </row>
    <row r="22" spans="1:105" ht="12" customHeight="1" x14ac:dyDescent="0.25">
      <c r="A22" s="132" t="s">
        <v>168</v>
      </c>
      <c r="B22" s="133"/>
      <c r="C22" s="133">
        <f>IF(SER_hh_fech_in!C22=0,0,SER_hh_fech_in!C22/SER_summary!C$27)</f>
        <v>28.097252843371642</v>
      </c>
      <c r="D22" s="133">
        <f>IF(SER_hh_fech_in!D22=0,0,SER_hh_fech_in!D22/SER_summary!D$27)</f>
        <v>9.1367885577674333</v>
      </c>
      <c r="E22" s="133">
        <f>IF(SER_hh_fech_in!E22=0,0,SER_hh_fech_in!E22/SER_summary!E$27)</f>
        <v>20.026195353832168</v>
      </c>
      <c r="F22" s="133">
        <f>IF(SER_hh_fech_in!F22=0,0,SER_hh_fech_in!F22/SER_summary!F$27)</f>
        <v>22.413413035754317</v>
      </c>
      <c r="G22" s="133">
        <f>IF(SER_hh_fech_in!G22=0,0,SER_hh_fech_in!G22/SER_summary!G$27)</f>
        <v>20.631168207207271</v>
      </c>
      <c r="H22" s="133">
        <f>IF(SER_hh_fech_in!H22=0,0,SER_hh_fech_in!H22/SER_summary!H$27)</f>
        <v>26.860012047407729</v>
      </c>
      <c r="I22" s="133">
        <f>IF(SER_hh_fech_in!I22=0,0,SER_hh_fech_in!I22/SER_summary!I$27)</f>
        <v>12.957894803517052</v>
      </c>
      <c r="J22" s="133">
        <f>IF(SER_hh_fech_in!J22=0,0,SER_hh_fech_in!J22/SER_summary!J$27)</f>
        <v>14.538627954761468</v>
      </c>
      <c r="K22" s="133">
        <f>IF(SER_hh_fech_in!K22=0,0,SER_hh_fech_in!K22/SER_summary!K$27)</f>
        <v>22.168457908467978</v>
      </c>
      <c r="L22" s="133">
        <f>IF(SER_hh_fech_in!L22=0,0,SER_hh_fech_in!L22/SER_summary!L$27)</f>
        <v>28.589338377839152</v>
      </c>
      <c r="M22" s="133">
        <f>IF(SER_hh_fech_in!M22=0,0,SER_hh_fech_in!M22/SER_summary!M$27)</f>
        <v>24.817841605633536</v>
      </c>
      <c r="N22" s="133">
        <f>IF(SER_hh_fech_in!N22=0,0,SER_hh_fech_in!N22/SER_summary!N$27)</f>
        <v>27.624838232080446</v>
      </c>
      <c r="O22" s="133">
        <f>IF(SER_hh_fech_in!O22=0,0,SER_hh_fech_in!O22/SER_summary!O$27)</f>
        <v>25.611324859599314</v>
      </c>
      <c r="P22" s="133">
        <f>IF(SER_hh_fech_in!P22=0,0,SER_hh_fech_in!P22/SER_summary!P$27)</f>
        <v>19.448480412203867</v>
      </c>
      <c r="Q22" s="133">
        <f>IF(SER_hh_fech_in!Q22=0,0,SER_hh_fech_in!Q22/SER_summary!Q$27)</f>
        <v>11.033961426679992</v>
      </c>
      <c r="R22" s="133">
        <f>IF(SER_hh_fech_in!R22=0,0,SER_hh_fech_in!R22/SER_summary!R$27)</f>
        <v>13.489430263290968</v>
      </c>
      <c r="S22" s="133">
        <f>IF(SER_hh_fech_in!S22=0,0,SER_hh_fech_in!S22/SER_summary!S$27)</f>
        <v>11.179245843840517</v>
      </c>
      <c r="T22" s="133">
        <f>IF(SER_hh_fech_in!T22=0,0,SER_hh_fech_in!T22/SER_summary!T$27)</f>
        <v>16.361600436635229</v>
      </c>
      <c r="U22" s="133">
        <f>IF(SER_hh_fech_in!U22=0,0,SER_hh_fech_in!U22/SER_summary!U$27)</f>
        <v>15.335518087976778</v>
      </c>
      <c r="V22" s="133">
        <f>IF(SER_hh_fech_in!V22=0,0,SER_hh_fech_in!V22/SER_summary!V$27)</f>
        <v>10.450753437955781</v>
      </c>
      <c r="W22" s="133">
        <f>IF(SER_hh_fech_in!W22=0,0,SER_hh_fech_in!W22/SER_summary!W$27)</f>
        <v>15.099929454323245</v>
      </c>
      <c r="DA22" s="157" t="s">
        <v>835</v>
      </c>
    </row>
    <row r="23" spans="1:105" ht="12" customHeight="1" x14ac:dyDescent="0.25">
      <c r="A23" s="132" t="s">
        <v>153</v>
      </c>
      <c r="B23" s="133"/>
      <c r="C23" s="133">
        <f>IF(SER_hh_fech_in!C23=0,0,SER_hh_fech_in!C23/SER_summary!C$27)</f>
        <v>0</v>
      </c>
      <c r="D23" s="133">
        <f>IF(SER_hh_fech_in!D23=0,0,SER_hh_fech_in!D23/SER_summary!D$27)</f>
        <v>0</v>
      </c>
      <c r="E23" s="133">
        <f>IF(SER_hh_fech_in!E23=0,0,SER_hh_fech_in!E23/SER_summary!E$27)</f>
        <v>0</v>
      </c>
      <c r="F23" s="133">
        <f>IF(SER_hh_fech_in!F23=0,0,SER_hh_fech_in!F23/SER_summary!F$27)</f>
        <v>0</v>
      </c>
      <c r="G23" s="133">
        <f>IF(SER_hh_fech_in!G23=0,0,SER_hh_fech_in!G23/SER_summary!G$27)</f>
        <v>0</v>
      </c>
      <c r="H23" s="133">
        <f>IF(SER_hh_fech_in!H23=0,0,SER_hh_fech_in!H23/SER_summary!H$27)</f>
        <v>0</v>
      </c>
      <c r="I23" s="133">
        <f>IF(SER_hh_fech_in!I23=0,0,SER_hh_fech_in!I23/SER_summary!I$27)</f>
        <v>0</v>
      </c>
      <c r="J23" s="133">
        <f>IF(SER_hh_fech_in!J23=0,0,SER_hh_fech_in!J23/SER_summary!J$27)</f>
        <v>0</v>
      </c>
      <c r="K23" s="133">
        <f>IF(SER_hh_fech_in!K23=0,0,SER_hh_fech_in!K23/SER_summary!K$27)</f>
        <v>0</v>
      </c>
      <c r="L23" s="133">
        <f>IF(SER_hh_fech_in!L23=0,0,SER_hh_fech_in!L23/SER_summary!L$27)</f>
        <v>0</v>
      </c>
      <c r="M23" s="133">
        <f>IF(SER_hh_fech_in!M23=0,0,SER_hh_fech_in!M23/SER_summary!M$27)</f>
        <v>0</v>
      </c>
      <c r="N23" s="133">
        <f>IF(SER_hh_fech_in!N23=0,0,SER_hh_fech_in!N23/SER_summary!N$27)</f>
        <v>0</v>
      </c>
      <c r="O23" s="133">
        <f>IF(SER_hh_fech_in!O23=0,0,SER_hh_fech_in!O23/SER_summary!O$27)</f>
        <v>0</v>
      </c>
      <c r="P23" s="133">
        <f>IF(SER_hh_fech_in!P23=0,0,SER_hh_fech_in!P23/SER_summary!P$27)</f>
        <v>0</v>
      </c>
      <c r="Q23" s="133">
        <f>IF(SER_hh_fech_in!Q23=0,0,SER_hh_fech_in!Q23/SER_summary!Q$27)</f>
        <v>0</v>
      </c>
      <c r="R23" s="133">
        <f>IF(SER_hh_fech_in!R23=0,0,SER_hh_fech_in!R23/SER_summary!R$27)</f>
        <v>0</v>
      </c>
      <c r="S23" s="133">
        <f>IF(SER_hh_fech_in!S23=0,0,SER_hh_fech_in!S23/SER_summary!S$27)</f>
        <v>0</v>
      </c>
      <c r="T23" s="133">
        <f>IF(SER_hh_fech_in!T23=0,0,SER_hh_fech_in!T23/SER_summary!T$27)</f>
        <v>0</v>
      </c>
      <c r="U23" s="133">
        <f>IF(SER_hh_fech_in!U23=0,0,SER_hh_fech_in!U23/SER_summary!U$27)</f>
        <v>0</v>
      </c>
      <c r="V23" s="133">
        <f>IF(SER_hh_fech_in!V23=0,0,SER_hh_fech_in!V23/SER_summary!V$27)</f>
        <v>0</v>
      </c>
      <c r="W23" s="133">
        <f>IF(SER_hh_fech_in!W23=0,0,SER_hh_fech_in!W23/SER_summary!W$27)</f>
        <v>0</v>
      </c>
      <c r="DA23" s="157" t="s">
        <v>836</v>
      </c>
    </row>
    <row r="24" spans="1:105" ht="12" customHeight="1" x14ac:dyDescent="0.25">
      <c r="A24" s="132" t="s">
        <v>128</v>
      </c>
      <c r="B24" s="133"/>
      <c r="C24" s="133">
        <f>IF(SER_hh_fech_in!C24=0,0,SER_hh_fech_in!C24/SER_summary!C$27)</f>
        <v>0</v>
      </c>
      <c r="D24" s="133">
        <f>IF(SER_hh_fech_in!D24=0,0,SER_hh_fech_in!D24/SER_summary!D$27)</f>
        <v>0</v>
      </c>
      <c r="E24" s="133">
        <f>IF(SER_hh_fech_in!E24=0,0,SER_hh_fech_in!E24/SER_summary!E$27)</f>
        <v>0</v>
      </c>
      <c r="F24" s="133">
        <f>IF(SER_hh_fech_in!F24=0,0,SER_hh_fech_in!F24/SER_summary!F$27)</f>
        <v>0</v>
      </c>
      <c r="G24" s="133">
        <f>IF(SER_hh_fech_in!G24=0,0,SER_hh_fech_in!G24/SER_summary!G$27)</f>
        <v>0</v>
      </c>
      <c r="H24" s="133">
        <f>IF(SER_hh_fech_in!H24=0,0,SER_hh_fech_in!H24/SER_summary!H$27)</f>
        <v>0</v>
      </c>
      <c r="I24" s="133">
        <f>IF(SER_hh_fech_in!I24=0,0,SER_hh_fech_in!I24/SER_summary!I$27)</f>
        <v>0</v>
      </c>
      <c r="J24" s="133">
        <f>IF(SER_hh_fech_in!J24=0,0,SER_hh_fech_in!J24/SER_summary!J$27)</f>
        <v>0</v>
      </c>
      <c r="K24" s="133">
        <f>IF(SER_hh_fech_in!K24=0,0,SER_hh_fech_in!K24/SER_summary!K$27)</f>
        <v>0</v>
      </c>
      <c r="L24" s="133">
        <f>IF(SER_hh_fech_in!L24=0,0,SER_hh_fech_in!L24/SER_summary!L$27)</f>
        <v>0</v>
      </c>
      <c r="M24" s="133">
        <f>IF(SER_hh_fech_in!M24=0,0,SER_hh_fech_in!M24/SER_summary!M$27)</f>
        <v>0</v>
      </c>
      <c r="N24" s="133">
        <f>IF(SER_hh_fech_in!N24=0,0,SER_hh_fech_in!N24/SER_summary!N$27)</f>
        <v>0</v>
      </c>
      <c r="O24" s="133">
        <f>IF(SER_hh_fech_in!O24=0,0,SER_hh_fech_in!O24/SER_summary!O$27)</f>
        <v>0</v>
      </c>
      <c r="P24" s="133">
        <f>IF(SER_hh_fech_in!P24=0,0,SER_hh_fech_in!P24/SER_summary!P$27)</f>
        <v>0</v>
      </c>
      <c r="Q24" s="133">
        <f>IF(SER_hh_fech_in!Q24=0,0,SER_hh_fech_in!Q24/SER_summary!Q$27)</f>
        <v>0</v>
      </c>
      <c r="R24" s="133">
        <f>IF(SER_hh_fech_in!R24=0,0,SER_hh_fech_in!R24/SER_summary!R$27)</f>
        <v>0</v>
      </c>
      <c r="S24" s="133">
        <f>IF(SER_hh_fech_in!S24=0,0,SER_hh_fech_in!S24/SER_summary!S$27)</f>
        <v>0</v>
      </c>
      <c r="T24" s="133">
        <f>IF(SER_hh_fech_in!T24=0,0,SER_hh_fech_in!T24/SER_summary!T$27)</f>
        <v>0</v>
      </c>
      <c r="U24" s="133">
        <f>IF(SER_hh_fech_in!U24=0,0,SER_hh_fech_in!U24/SER_summary!U$27)</f>
        <v>0</v>
      </c>
      <c r="V24" s="133">
        <f>IF(SER_hh_fech_in!V24=0,0,SER_hh_fech_in!V24/SER_summary!V$27)</f>
        <v>0</v>
      </c>
      <c r="W24" s="133">
        <f>IF(SER_hh_fech_in!W24=0,0,SER_hh_fech_in!W24/SER_summary!W$27)</f>
        <v>0</v>
      </c>
      <c r="DA24" s="157" t="s">
        <v>837</v>
      </c>
    </row>
    <row r="25" spans="1:105" ht="12" customHeight="1" x14ac:dyDescent="0.25">
      <c r="A25" s="132" t="s">
        <v>169</v>
      </c>
      <c r="B25" s="133"/>
      <c r="C25" s="133">
        <f>IF(SER_hh_fech_in!C25=0,0,SER_hh_fech_in!C25/SER_summary!C$27)</f>
        <v>0</v>
      </c>
      <c r="D25" s="133">
        <f>IF(SER_hh_fech_in!D25=0,0,SER_hh_fech_in!D25/SER_summary!D$27)</f>
        <v>0</v>
      </c>
      <c r="E25" s="133">
        <f>IF(SER_hh_fech_in!E25=0,0,SER_hh_fech_in!E25/SER_summary!E$27)</f>
        <v>0</v>
      </c>
      <c r="F25" s="133">
        <f>IF(SER_hh_fech_in!F25=0,0,SER_hh_fech_in!F25/SER_summary!F$27)</f>
        <v>0</v>
      </c>
      <c r="G25" s="133">
        <f>IF(SER_hh_fech_in!G25=0,0,SER_hh_fech_in!G25/SER_summary!G$27)</f>
        <v>0</v>
      </c>
      <c r="H25" s="133">
        <f>IF(SER_hh_fech_in!H25=0,0,SER_hh_fech_in!H25/SER_summary!H$27)</f>
        <v>0</v>
      </c>
      <c r="I25" s="133">
        <f>IF(SER_hh_fech_in!I25=0,0,SER_hh_fech_in!I25/SER_summary!I$27)</f>
        <v>0</v>
      </c>
      <c r="J25" s="133">
        <f>IF(SER_hh_fech_in!J25=0,0,SER_hh_fech_in!J25/SER_summary!J$27)</f>
        <v>0</v>
      </c>
      <c r="K25" s="133">
        <f>IF(SER_hh_fech_in!K25=0,0,SER_hh_fech_in!K25/SER_summary!K$27)</f>
        <v>0</v>
      </c>
      <c r="L25" s="133">
        <f>IF(SER_hh_fech_in!L25=0,0,SER_hh_fech_in!L25/SER_summary!L$27)</f>
        <v>0</v>
      </c>
      <c r="M25" s="133">
        <f>IF(SER_hh_fech_in!M25=0,0,SER_hh_fech_in!M25/SER_summary!M$27)</f>
        <v>0</v>
      </c>
      <c r="N25" s="133">
        <f>IF(SER_hh_fech_in!N25=0,0,SER_hh_fech_in!N25/SER_summary!N$27)</f>
        <v>0</v>
      </c>
      <c r="O25" s="133">
        <f>IF(SER_hh_fech_in!O25=0,0,SER_hh_fech_in!O25/SER_summary!O$27)</f>
        <v>0</v>
      </c>
      <c r="P25" s="133">
        <f>IF(SER_hh_fech_in!P25=0,0,SER_hh_fech_in!P25/SER_summary!P$27)</f>
        <v>0</v>
      </c>
      <c r="Q25" s="133">
        <f>IF(SER_hh_fech_in!Q25=0,0,SER_hh_fech_in!Q25/SER_summary!Q$27)</f>
        <v>0</v>
      </c>
      <c r="R25" s="133">
        <f>IF(SER_hh_fech_in!R25=0,0,SER_hh_fech_in!R25/SER_summary!R$27)</f>
        <v>0</v>
      </c>
      <c r="S25" s="133">
        <f>IF(SER_hh_fech_in!S25=0,0,SER_hh_fech_in!S25/SER_summary!S$27)</f>
        <v>0</v>
      </c>
      <c r="T25" s="133">
        <f>IF(SER_hh_fech_in!T25=0,0,SER_hh_fech_in!T25/SER_summary!T$27)</f>
        <v>0</v>
      </c>
      <c r="U25" s="133">
        <f>IF(SER_hh_fech_in!U25=0,0,SER_hh_fech_in!U25/SER_summary!U$27)</f>
        <v>0</v>
      </c>
      <c r="V25" s="133">
        <f>IF(SER_hh_fech_in!V25=0,0,SER_hh_fech_in!V25/SER_summary!V$27)</f>
        <v>0</v>
      </c>
      <c r="W25" s="133">
        <f>IF(SER_hh_fech_in!W25=0,0,SER_hh_fech_in!W25/SER_summary!W$27)</f>
        <v>0</v>
      </c>
      <c r="DA25" s="157" t="s">
        <v>838</v>
      </c>
    </row>
    <row r="26" spans="1:105" ht="12" customHeight="1" x14ac:dyDescent="0.25">
      <c r="A26" s="132" t="s">
        <v>24</v>
      </c>
      <c r="B26" s="65"/>
      <c r="C26" s="65">
        <f>IF(SER_hh_fech_in!C26=0,0,SER_hh_fech_in!C26/SER_summary!C$27)</f>
        <v>10.82030889722356</v>
      </c>
      <c r="D26" s="65">
        <f>IF(SER_hh_fech_in!D26=0,0,SER_hh_fech_in!D26/SER_summary!D$27)</f>
        <v>4.5105168513889842</v>
      </c>
      <c r="E26" s="65">
        <f>IF(SER_hh_fech_in!E26=0,0,SER_hh_fech_in!E26/SER_summary!E$27)</f>
        <v>5.6515358661211161</v>
      </c>
      <c r="F26" s="65">
        <f>IF(SER_hh_fech_in!F26=0,0,SER_hh_fech_in!F26/SER_summary!F$27)</f>
        <v>5.3356738292305677</v>
      </c>
      <c r="G26" s="65">
        <f>IF(SER_hh_fech_in!G26=0,0,SER_hh_fech_in!G26/SER_summary!G$27)</f>
        <v>6.4285783813903921</v>
      </c>
      <c r="H26" s="65">
        <f>IF(SER_hh_fech_in!H26=0,0,SER_hh_fech_in!H26/SER_summary!H$27)</f>
        <v>0</v>
      </c>
      <c r="I26" s="65">
        <f>IF(SER_hh_fech_in!I26=0,0,SER_hh_fech_in!I26/SER_summary!I$27)</f>
        <v>0</v>
      </c>
      <c r="J26" s="65">
        <f>IF(SER_hh_fech_in!J26=0,0,SER_hh_fech_in!J26/SER_summary!J$27)</f>
        <v>0.18821235393075841</v>
      </c>
      <c r="K26" s="65">
        <f>IF(SER_hh_fech_in!K26=0,0,SER_hh_fech_in!K26/SER_summary!K$27)</f>
        <v>0.19762507846322452</v>
      </c>
      <c r="L26" s="65">
        <f>IF(SER_hh_fech_in!L26=0,0,SER_hh_fech_in!L26/SER_summary!L$27)</f>
        <v>0.18116358536968569</v>
      </c>
      <c r="M26" s="65">
        <f>IF(SER_hh_fech_in!M26=0,0,SER_hh_fech_in!M26/SER_summary!M$27)</f>
        <v>0.18752701930648152</v>
      </c>
      <c r="N26" s="65">
        <f>IF(SER_hh_fech_in!N26=0,0,SER_hh_fech_in!N26/SER_summary!N$27)</f>
        <v>5.4468242220921681</v>
      </c>
      <c r="O26" s="65">
        <f>IF(SER_hh_fech_in!O26=0,0,SER_hh_fech_in!O26/SER_summary!O$27)</f>
        <v>6.67303339298513</v>
      </c>
      <c r="P26" s="65">
        <f>IF(SER_hh_fech_in!P26=0,0,SER_hh_fech_in!P26/SER_summary!P$27)</f>
        <v>0.14020279585141898</v>
      </c>
      <c r="Q26" s="65">
        <f>IF(SER_hh_fech_in!Q26=0,0,SER_hh_fech_in!Q26/SER_summary!Q$27)</f>
        <v>0.13678166811338635</v>
      </c>
      <c r="R26" s="65">
        <f>IF(SER_hh_fech_in!R26=0,0,SER_hh_fech_in!R26/SER_summary!R$27)</f>
        <v>0.13696820657849321</v>
      </c>
      <c r="S26" s="65">
        <f>IF(SER_hh_fech_in!S26=0,0,SER_hh_fech_in!S26/SER_summary!S$27)</f>
        <v>0.13460917806139702</v>
      </c>
      <c r="T26" s="65">
        <f>IF(SER_hh_fech_in!T26=0,0,SER_hh_fech_in!T26/SER_summary!T$27)</f>
        <v>0.13021807378374678</v>
      </c>
      <c r="U26" s="65">
        <f>IF(SER_hh_fech_in!U26=0,0,SER_hh_fech_in!U26/SER_summary!U$27)</f>
        <v>0.11852756959554167</v>
      </c>
      <c r="V26" s="65">
        <f>IF(SER_hh_fech_in!V26=0,0,SER_hh_fech_in!V26/SER_summary!V$27)</f>
        <v>0.11814375362828325</v>
      </c>
      <c r="W26" s="65">
        <f>IF(SER_hh_fech_in!W26=0,0,SER_hh_fech_in!W26/SER_summary!W$27)</f>
        <v>0.11709676145207597</v>
      </c>
      <c r="DA26" s="109" t="s">
        <v>839</v>
      </c>
    </row>
    <row r="27" spans="1:105" ht="12" customHeight="1" x14ac:dyDescent="0.25">
      <c r="A27" s="145" t="s">
        <v>86</v>
      </c>
      <c r="B27" s="148"/>
      <c r="C27" s="146">
        <f>IF(SER_hh_fech_in!C27=0,0,SER_hh_fech_in!C27/SER_summary!C$27)</f>
        <v>6.8866949431040423</v>
      </c>
      <c r="D27" s="146">
        <f>IF(SER_hh_fech_in!D27=0,0,SER_hh_fech_in!D27/SER_summary!D$27)</f>
        <v>10.387225165747612</v>
      </c>
      <c r="E27" s="146">
        <f>IF(SER_hh_fech_in!E27=0,0,SER_hh_fech_in!E27/SER_summary!E$27)</f>
        <v>9.5970468397825446</v>
      </c>
      <c r="F27" s="146">
        <f>IF(SER_hh_fech_in!F27=0,0,SER_hh_fech_in!F27/SER_summary!F$27)</f>
        <v>9.6784498551859315</v>
      </c>
      <c r="G27" s="146">
        <f>IF(SER_hh_fech_in!G27=0,0,SER_hh_fech_in!G27/SER_summary!G$27)</f>
        <v>9.1110253527693441</v>
      </c>
      <c r="H27" s="146">
        <f>IF(SER_hh_fech_in!H27=0,0,SER_hh_fech_in!H27/SER_summary!H$27)</f>
        <v>10.101264010912052</v>
      </c>
      <c r="I27" s="146">
        <f>IF(SER_hh_fech_in!I27=0,0,SER_hh_fech_in!I27/SER_summary!I$27)</f>
        <v>7.6128766171459299</v>
      </c>
      <c r="J27" s="146">
        <f>IF(SER_hh_fech_in!J27=0,0,SER_hh_fech_in!J27/SER_summary!J$27)</f>
        <v>6.9758199762221658</v>
      </c>
      <c r="K27" s="146">
        <f>IF(SER_hh_fech_in!K27=0,0,SER_hh_fech_in!K27/SER_summary!K$27)</f>
        <v>11.108461261344395</v>
      </c>
      <c r="L27" s="146">
        <f>IF(SER_hh_fech_in!L27=0,0,SER_hh_fech_in!L27/SER_summary!L$27)</f>
        <v>11.183612641674129</v>
      </c>
      <c r="M27" s="146">
        <f>IF(SER_hh_fech_in!M27=0,0,SER_hh_fech_in!M27/SER_summary!M$27)</f>
        <v>11.689769938628253</v>
      </c>
      <c r="N27" s="146">
        <f>IF(SER_hh_fech_in!N27=0,0,SER_hh_fech_in!N27/SER_summary!N$27)</f>
        <v>8.5756524970639045</v>
      </c>
      <c r="O27" s="146">
        <f>IF(SER_hh_fech_in!O27=0,0,SER_hh_fech_in!O27/SER_summary!O$27)</f>
        <v>7.9171942807385784</v>
      </c>
      <c r="P27" s="146">
        <f>IF(SER_hh_fech_in!P27=0,0,SER_hh_fech_in!P27/SER_summary!P$27)</f>
        <v>14.695623356500235</v>
      </c>
      <c r="Q27" s="146">
        <f>IF(SER_hh_fech_in!Q27=0,0,SER_hh_fech_in!Q27/SER_summary!Q$27)</f>
        <v>14.188144795673864</v>
      </c>
      <c r="R27" s="146">
        <f>IF(SER_hh_fech_in!R27=0,0,SER_hh_fech_in!R27/SER_summary!R$27)</f>
        <v>13.217188456217054</v>
      </c>
      <c r="S27" s="146">
        <f>IF(SER_hh_fech_in!S27=0,0,SER_hh_fech_in!S27/SER_summary!S$27)</f>
        <v>11.42495319245965</v>
      </c>
      <c r="T27" s="146">
        <f>IF(SER_hh_fech_in!T27=0,0,SER_hh_fech_in!T27/SER_summary!T$27)</f>
        <v>10.548171272462129</v>
      </c>
      <c r="U27" s="146">
        <f>IF(SER_hh_fech_in!U27=0,0,SER_hh_fech_in!U27/SER_summary!U$27)</f>
        <v>9.5516510385527376</v>
      </c>
      <c r="V27" s="146">
        <f>IF(SER_hh_fech_in!V27=0,0,SER_hh_fech_in!V27/SER_summary!V$27)</f>
        <v>10.097266048662078</v>
      </c>
      <c r="W27" s="146">
        <f>IF(SER_hh_fech_in!W27=0,0,SER_hh_fech_in!W27/SER_summary!W$27)</f>
        <v>7.9546053890798705</v>
      </c>
      <c r="DA27" s="159" t="s">
        <v>840</v>
      </c>
    </row>
    <row r="28" spans="1:105" ht="12" customHeight="1" x14ac:dyDescent="0.25">
      <c r="A28" s="78" t="s">
        <v>85</v>
      </c>
      <c r="B28" s="68"/>
      <c r="C28" s="147">
        <f>IF(SER_hh_fech_in!C28=0,0,SER_hh_fech_in!C28/SER_summary!C$27)</f>
        <v>11.262886653217073</v>
      </c>
      <c r="D28" s="147">
        <f>IF(SER_hh_fech_in!D28=0,0,SER_hh_fech_in!D28/SER_summary!D$27)</f>
        <v>10.387225165747612</v>
      </c>
      <c r="E28" s="147">
        <f>IF(SER_hh_fech_in!E28=0,0,SER_hh_fech_in!E28/SER_summary!E$27)</f>
        <v>9.7182441801863799</v>
      </c>
      <c r="F28" s="147">
        <f>IF(SER_hh_fech_in!F28=0,0,SER_hh_fech_in!F28/SER_summary!F$27)</f>
        <v>9.8289718156219905</v>
      </c>
      <c r="G28" s="147">
        <f>IF(SER_hh_fech_in!G28=0,0,SER_hh_fech_in!G28/SER_summary!G$27)</f>
        <v>9.2078445360807102</v>
      </c>
      <c r="H28" s="147">
        <f>IF(SER_hh_fech_in!H28=0,0,SER_hh_fech_in!H28/SER_summary!H$27)</f>
        <v>10.200861102334636</v>
      </c>
      <c r="I28" s="147">
        <f>IF(SER_hh_fech_in!I28=0,0,SER_hh_fech_in!I28/SER_summary!I$27)</f>
        <v>7.612876617145929</v>
      </c>
      <c r="J28" s="147">
        <f>IF(SER_hh_fech_in!J28=0,0,SER_hh_fech_in!J28/SER_summary!J$27)</f>
        <v>6.9758199762221675</v>
      </c>
      <c r="K28" s="147">
        <f>IF(SER_hh_fech_in!K28=0,0,SER_hh_fech_in!K28/SER_summary!K$27)</f>
        <v>11.744690431356213</v>
      </c>
      <c r="L28" s="147">
        <f>IF(SER_hh_fech_in!L28=0,0,SER_hh_fech_in!L28/SER_summary!L$27)</f>
        <v>12.04621302438432</v>
      </c>
      <c r="M28" s="147">
        <f>IF(SER_hh_fech_in!M28=0,0,SER_hh_fech_in!M28/SER_summary!M$27)</f>
        <v>11.94563617393475</v>
      </c>
      <c r="N28" s="147">
        <f>IF(SER_hh_fech_in!N28=0,0,SER_hh_fech_in!N28/SER_summary!N$27)</f>
        <v>12.890178779321316</v>
      </c>
      <c r="O28" s="147">
        <f>IF(SER_hh_fech_in!O28=0,0,SER_hh_fech_in!O28/SER_summary!O$27)</f>
        <v>14.95464171324328</v>
      </c>
      <c r="P28" s="147">
        <f>IF(SER_hh_fech_in!P28=0,0,SER_hh_fech_in!P28/SER_summary!P$27)</f>
        <v>14.98238231334169</v>
      </c>
      <c r="Q28" s="147">
        <f>IF(SER_hh_fech_in!Q28=0,0,SER_hh_fech_in!Q28/SER_summary!Q$27)</f>
        <v>14.188144795673866</v>
      </c>
      <c r="R28" s="147">
        <f>IF(SER_hh_fech_in!R28=0,0,SER_hh_fech_in!R28/SER_summary!R$27)</f>
        <v>13.403727626243944</v>
      </c>
      <c r="S28" s="147">
        <f>IF(SER_hh_fech_in!S28=0,0,SER_hh_fech_in!S28/SER_summary!S$27)</f>
        <v>11.42495319245965</v>
      </c>
      <c r="T28" s="147">
        <f>IF(SER_hh_fech_in!T28=0,0,SER_hh_fech_in!T28/SER_summary!T$27)</f>
        <v>12.060922067739996</v>
      </c>
      <c r="U28" s="147">
        <f>IF(SER_hh_fech_in!U28=0,0,SER_hh_fech_in!U28/SER_summary!U$27)</f>
        <v>11.490590439904825</v>
      </c>
      <c r="V28" s="147">
        <f>IF(SER_hh_fech_in!V28=0,0,SER_hh_fech_in!V28/SER_summary!V$27)</f>
        <v>10.379094519500235</v>
      </c>
      <c r="W28" s="147">
        <f>IF(SER_hh_fech_in!W28=0,0,SER_hh_fech_in!W28/SER_summary!W$27)</f>
        <v>9.9307198402862014</v>
      </c>
      <c r="DA28" s="160"/>
    </row>
    <row r="29" spans="1:105" ht="12.95" customHeight="1" x14ac:dyDescent="0.25">
      <c r="A29" s="130" t="s">
        <v>34</v>
      </c>
      <c r="B29" s="131"/>
      <c r="C29" s="131">
        <f>IF(SER_hh_fech_in!C29=0,0,SER_hh_fech_in!C29/SER_summary!C$27)</f>
        <v>16.717544423436706</v>
      </c>
      <c r="D29" s="131">
        <f>IF(SER_hh_fech_in!D29=0,0,SER_hh_fech_in!D29/SER_summary!D$27)</f>
        <v>17.406055118432512</v>
      </c>
      <c r="E29" s="131">
        <f>IF(SER_hh_fech_in!E29=0,0,SER_hh_fech_in!E29/SER_summary!E$27)</f>
        <v>17.130157181399458</v>
      </c>
      <c r="F29" s="131">
        <f>IF(SER_hh_fech_in!F29=0,0,SER_hh_fech_in!F29/SER_summary!F$27)</f>
        <v>17.574236788622454</v>
      </c>
      <c r="G29" s="131">
        <f>IF(SER_hh_fech_in!G29=0,0,SER_hh_fech_in!G29/SER_summary!G$27)</f>
        <v>18.102080319957043</v>
      </c>
      <c r="H29" s="131">
        <f>IF(SER_hh_fech_in!H29=0,0,SER_hh_fech_in!H29/SER_summary!H$27)</f>
        <v>29.330257035027028</v>
      </c>
      <c r="I29" s="131">
        <f>IF(SER_hh_fech_in!I29=0,0,SER_hh_fech_in!I29/SER_summary!I$27)</f>
        <v>21.151499738155511</v>
      </c>
      <c r="J29" s="131">
        <f>IF(SER_hh_fech_in!J29=0,0,SER_hh_fech_in!J29/SER_summary!J$27)</f>
        <v>18.841032024347463</v>
      </c>
      <c r="K29" s="131">
        <f>IF(SER_hh_fech_in!K29=0,0,SER_hh_fech_in!K29/SER_summary!K$27)</f>
        <v>17.867775037551986</v>
      </c>
      <c r="L29" s="131">
        <f>IF(SER_hh_fech_in!L29=0,0,SER_hh_fech_in!L29/SER_summary!L$27)</f>
        <v>17.771373639775838</v>
      </c>
      <c r="M29" s="131">
        <f>IF(SER_hh_fech_in!M29=0,0,SER_hh_fech_in!M29/SER_summary!M$27)</f>
        <v>18.678971223430139</v>
      </c>
      <c r="N29" s="131">
        <f>IF(SER_hh_fech_in!N29=0,0,SER_hh_fech_in!N29/SER_summary!N$27)</f>
        <v>18.150757895572792</v>
      </c>
      <c r="O29" s="131">
        <f>IF(SER_hh_fech_in!O29=0,0,SER_hh_fech_in!O29/SER_summary!O$27)</f>
        <v>17.956183998953613</v>
      </c>
      <c r="P29" s="131">
        <f>IF(SER_hh_fech_in!P29=0,0,SER_hh_fech_in!P29/SER_summary!P$27)</f>
        <v>18.336769876888901</v>
      </c>
      <c r="Q29" s="131">
        <f>IF(SER_hh_fech_in!Q29=0,0,SER_hh_fech_in!Q29/SER_summary!Q$27)</f>
        <v>19.348392177927106</v>
      </c>
      <c r="R29" s="131">
        <f>IF(SER_hh_fech_in!R29=0,0,SER_hh_fech_in!R29/SER_summary!R$27)</f>
        <v>18.712972513136332</v>
      </c>
      <c r="S29" s="131">
        <f>IF(SER_hh_fech_in!S29=0,0,SER_hh_fech_in!S29/SER_summary!S$27)</f>
        <v>20.947635607995824</v>
      </c>
      <c r="T29" s="131">
        <f>IF(SER_hh_fech_in!T29=0,0,SER_hh_fech_in!T29/SER_summary!T$27)</f>
        <v>19.326836708597597</v>
      </c>
      <c r="U29" s="131">
        <f>IF(SER_hh_fech_in!U29=0,0,SER_hh_fech_in!U29/SER_summary!U$27)</f>
        <v>17.035237640496401</v>
      </c>
      <c r="V29" s="131">
        <f>IF(SER_hh_fech_in!V29=0,0,SER_hh_fech_in!V29/SER_summary!V$27)</f>
        <v>15.728236683741519</v>
      </c>
      <c r="W29" s="131">
        <f>IF(SER_hh_fech_in!W29=0,0,SER_hh_fech_in!W29/SER_summary!W$27)</f>
        <v>15.744471315896178</v>
      </c>
      <c r="DA29" s="156" t="s">
        <v>841</v>
      </c>
    </row>
    <row r="30" spans="1:105" s="2" customFormat="1" ht="12" customHeight="1" x14ac:dyDescent="0.25">
      <c r="A30" s="132" t="s">
        <v>52</v>
      </c>
      <c r="B30" s="133"/>
      <c r="C30" s="133">
        <f>IF(SER_hh_fech_in!C30=0,0,SER_hh_fech_in!C30/SER_summary!C$27)</f>
        <v>0</v>
      </c>
      <c r="D30" s="133">
        <f>IF(SER_hh_fech_in!D30=0,0,SER_hh_fech_in!D30/SER_summary!D$27)</f>
        <v>0</v>
      </c>
      <c r="E30" s="133">
        <f>IF(SER_hh_fech_in!E30=0,0,SER_hh_fech_in!E30/SER_summary!E$27)</f>
        <v>0</v>
      </c>
      <c r="F30" s="133">
        <f>IF(SER_hh_fech_in!F30=0,0,SER_hh_fech_in!F30/SER_summary!F$27)</f>
        <v>0</v>
      </c>
      <c r="G30" s="133">
        <f>IF(SER_hh_fech_in!G30=0,0,SER_hh_fech_in!G30/SER_summary!G$27)</f>
        <v>0</v>
      </c>
      <c r="H30" s="133">
        <f>IF(SER_hh_fech_in!H30=0,0,SER_hh_fech_in!H30/SER_summary!H$27)</f>
        <v>30.608910323497319</v>
      </c>
      <c r="I30" s="133">
        <f>IF(SER_hh_fech_in!I30=0,0,SER_hh_fech_in!I30/SER_summary!I$27)</f>
        <v>23.401451523339443</v>
      </c>
      <c r="J30" s="133">
        <f>IF(SER_hh_fech_in!J30=0,0,SER_hh_fech_in!J30/SER_summary!J$27)</f>
        <v>24.414222797034917</v>
      </c>
      <c r="K30" s="133">
        <f>IF(SER_hh_fech_in!K30=0,0,SER_hh_fech_in!K30/SER_summary!K$27)</f>
        <v>0</v>
      </c>
      <c r="L30" s="133">
        <f>IF(SER_hh_fech_in!L30=0,0,SER_hh_fech_in!L30/SER_summary!L$27)</f>
        <v>19.061478125918164</v>
      </c>
      <c r="M30" s="133">
        <f>IF(SER_hh_fech_in!M30=0,0,SER_hh_fech_in!M30/SER_summary!M$27)</f>
        <v>22.847491264298597</v>
      </c>
      <c r="N30" s="133">
        <f>IF(SER_hh_fech_in!N30=0,0,SER_hh_fech_in!N30/SER_summary!N$27)</f>
        <v>23.59029471719397</v>
      </c>
      <c r="O30" s="133">
        <f>IF(SER_hh_fech_in!O30=0,0,SER_hh_fech_in!O30/SER_summary!O$27)</f>
        <v>21.939413323683823</v>
      </c>
      <c r="P30" s="133">
        <f>IF(SER_hh_fech_in!P30=0,0,SER_hh_fech_in!P30/SER_summary!P$27)</f>
        <v>19.198609280304808</v>
      </c>
      <c r="Q30" s="133">
        <f>IF(SER_hh_fech_in!Q30=0,0,SER_hh_fech_in!Q30/SER_summary!Q$27)</f>
        <v>21.937969266581401</v>
      </c>
      <c r="R30" s="133">
        <f>IF(SER_hh_fech_in!R30=0,0,SER_hh_fech_in!R30/SER_summary!R$27)</f>
        <v>19.542735656971743</v>
      </c>
      <c r="S30" s="133">
        <f>IF(SER_hh_fech_in!S30=0,0,SER_hh_fech_in!S30/SER_summary!S$27)</f>
        <v>22.529329390715905</v>
      </c>
      <c r="T30" s="133">
        <f>IF(SER_hh_fech_in!T30=0,0,SER_hh_fech_in!T30/SER_summary!T$27)</f>
        <v>23.383632374085927</v>
      </c>
      <c r="U30" s="133">
        <f>IF(SER_hh_fech_in!U30=0,0,SER_hh_fech_in!U30/SER_summary!U$27)</f>
        <v>29.601255799011636</v>
      </c>
      <c r="V30" s="133">
        <f>IF(SER_hh_fech_in!V30=0,0,SER_hh_fech_in!V30/SER_summary!V$27)</f>
        <v>20.702006300998629</v>
      </c>
      <c r="W30" s="133">
        <f>IF(SER_hh_fech_in!W30=0,0,SER_hh_fech_in!W30/SER_summary!W$27)</f>
        <v>18.169898671336615</v>
      </c>
      <c r="DA30" s="157" t="s">
        <v>842</v>
      </c>
    </row>
    <row r="31" spans="1:105" ht="12" customHeight="1" x14ac:dyDescent="0.25">
      <c r="A31" s="132" t="s">
        <v>153</v>
      </c>
      <c r="B31" s="133"/>
      <c r="C31" s="133">
        <f>IF(SER_hh_fech_in!C31=0,0,SER_hh_fech_in!C31/SER_summary!C$27)</f>
        <v>0</v>
      </c>
      <c r="D31" s="133">
        <f>IF(SER_hh_fech_in!D31=0,0,SER_hh_fech_in!D31/SER_summary!D$27)</f>
        <v>0</v>
      </c>
      <c r="E31" s="133">
        <f>IF(SER_hh_fech_in!E31=0,0,SER_hh_fech_in!E31/SER_summary!E$27)</f>
        <v>0</v>
      </c>
      <c r="F31" s="133">
        <f>IF(SER_hh_fech_in!F31=0,0,SER_hh_fech_in!F31/SER_summary!F$27)</f>
        <v>0</v>
      </c>
      <c r="G31" s="133">
        <f>IF(SER_hh_fech_in!G31=0,0,SER_hh_fech_in!G31/SER_summary!G$27)</f>
        <v>0</v>
      </c>
      <c r="H31" s="133">
        <f>IF(SER_hh_fech_in!H31=0,0,SER_hh_fech_in!H31/SER_summary!H$27)</f>
        <v>0</v>
      </c>
      <c r="I31" s="133">
        <f>IF(SER_hh_fech_in!I31=0,0,SER_hh_fech_in!I31/SER_summary!I$27)</f>
        <v>0</v>
      </c>
      <c r="J31" s="133">
        <f>IF(SER_hh_fech_in!J31=0,0,SER_hh_fech_in!J31/SER_summary!J$27)</f>
        <v>0</v>
      </c>
      <c r="K31" s="133">
        <f>IF(SER_hh_fech_in!K31=0,0,SER_hh_fech_in!K31/SER_summary!K$27)</f>
        <v>0</v>
      </c>
      <c r="L31" s="133">
        <f>IF(SER_hh_fech_in!L31=0,0,SER_hh_fech_in!L31/SER_summary!L$27)</f>
        <v>0</v>
      </c>
      <c r="M31" s="133">
        <f>IF(SER_hh_fech_in!M31=0,0,SER_hh_fech_in!M31/SER_summary!M$27)</f>
        <v>0</v>
      </c>
      <c r="N31" s="133">
        <f>IF(SER_hh_fech_in!N31=0,0,SER_hh_fech_in!N31/SER_summary!N$27)</f>
        <v>0</v>
      </c>
      <c r="O31" s="133">
        <f>IF(SER_hh_fech_in!O31=0,0,SER_hh_fech_in!O31/SER_summary!O$27)</f>
        <v>0</v>
      </c>
      <c r="P31" s="133">
        <f>IF(SER_hh_fech_in!P31=0,0,SER_hh_fech_in!P31/SER_summary!P$27)</f>
        <v>0</v>
      </c>
      <c r="Q31" s="133">
        <f>IF(SER_hh_fech_in!Q31=0,0,SER_hh_fech_in!Q31/SER_summary!Q$27)</f>
        <v>0</v>
      </c>
      <c r="R31" s="133">
        <f>IF(SER_hh_fech_in!R31=0,0,SER_hh_fech_in!R31/SER_summary!R$27)</f>
        <v>0</v>
      </c>
      <c r="S31" s="133">
        <f>IF(SER_hh_fech_in!S31=0,0,SER_hh_fech_in!S31/SER_summary!S$27)</f>
        <v>0</v>
      </c>
      <c r="T31" s="133">
        <f>IF(SER_hh_fech_in!T31=0,0,SER_hh_fech_in!T31/SER_summary!T$27)</f>
        <v>0</v>
      </c>
      <c r="U31" s="133">
        <f>IF(SER_hh_fech_in!U31=0,0,SER_hh_fech_in!U31/SER_summary!U$27)</f>
        <v>0</v>
      </c>
      <c r="V31" s="133">
        <f>IF(SER_hh_fech_in!V31=0,0,SER_hh_fech_in!V31/SER_summary!V$27)</f>
        <v>0</v>
      </c>
      <c r="W31" s="133">
        <f>IF(SER_hh_fech_in!W31=0,0,SER_hh_fech_in!W31/SER_summary!W$27)</f>
        <v>0</v>
      </c>
      <c r="DA31" s="157" t="s">
        <v>843</v>
      </c>
    </row>
    <row r="32" spans="1:105" ht="12" customHeight="1" x14ac:dyDescent="0.25">
      <c r="A32" s="132" t="s">
        <v>128</v>
      </c>
      <c r="B32" s="133"/>
      <c r="C32" s="133">
        <f>IF(SER_hh_fech_in!C32=0,0,SER_hh_fech_in!C32/SER_summary!C$27)</f>
        <v>20.136962513079609</v>
      </c>
      <c r="D32" s="133">
        <f>IF(SER_hh_fech_in!D32=0,0,SER_hh_fech_in!D32/SER_summary!D$27)</f>
        <v>23.883767295763587</v>
      </c>
      <c r="E32" s="133">
        <f>IF(SER_hh_fech_in!E32=0,0,SER_hh_fech_in!E32/SER_summary!E$27)</f>
        <v>21.257749353321817</v>
      </c>
      <c r="F32" s="133">
        <f>IF(SER_hh_fech_in!F32=0,0,SER_hh_fech_in!F32/SER_summary!F$27)</f>
        <v>22.213823574218576</v>
      </c>
      <c r="G32" s="133">
        <f>IF(SER_hh_fech_in!G32=0,0,SER_hh_fech_in!G32/SER_summary!G$27)</f>
        <v>23.838462130639282</v>
      </c>
      <c r="H32" s="133">
        <f>IF(SER_hh_fech_in!H32=0,0,SER_hh_fech_in!H32/SER_summary!H$27)</f>
        <v>21.125586166691821</v>
      </c>
      <c r="I32" s="133">
        <f>IF(SER_hh_fech_in!I32=0,0,SER_hh_fech_in!I32/SER_summary!I$27)</f>
        <v>25.595890336516256</v>
      </c>
      <c r="J32" s="133">
        <f>IF(SER_hh_fech_in!J32=0,0,SER_hh_fech_in!J32/SER_summary!J$27)</f>
        <v>24.229495460737695</v>
      </c>
      <c r="K32" s="133">
        <f>IF(SER_hh_fech_in!K32=0,0,SER_hh_fech_in!K32/SER_summary!K$27)</f>
        <v>23.251324166693934</v>
      </c>
      <c r="L32" s="133">
        <f>IF(SER_hh_fech_in!L32=0,0,SER_hh_fech_in!L32/SER_summary!L$27)</f>
        <v>23.180101053979023</v>
      </c>
      <c r="M32" s="133">
        <f>IF(SER_hh_fech_in!M32=0,0,SER_hh_fech_in!M32/SER_summary!M$27)</f>
        <v>23.134482597353696</v>
      </c>
      <c r="N32" s="133">
        <f>IF(SER_hh_fech_in!N32=0,0,SER_hh_fech_in!N32/SER_summary!N$27)</f>
        <v>23.158316458050649</v>
      </c>
      <c r="O32" s="133">
        <f>IF(SER_hh_fech_in!O32=0,0,SER_hh_fech_in!O32/SER_summary!O$27)</f>
        <v>23.273232015204869</v>
      </c>
      <c r="P32" s="133">
        <f>IF(SER_hh_fech_in!P32=0,0,SER_hh_fech_in!P32/SER_summary!P$27)</f>
        <v>23.47719501431332</v>
      </c>
      <c r="Q32" s="133">
        <f>IF(SER_hh_fech_in!Q32=0,0,SER_hh_fech_in!Q32/SER_summary!Q$27)</f>
        <v>23.038241901274272</v>
      </c>
      <c r="R32" s="133">
        <f>IF(SER_hh_fech_in!R32=0,0,SER_hh_fech_in!R32/SER_summary!R$27)</f>
        <v>22.994660576827481</v>
      </c>
      <c r="S32" s="133">
        <f>IF(SER_hh_fech_in!S32=0,0,SER_hh_fech_in!S32/SER_summary!S$27)</f>
        <v>22.495099925912651</v>
      </c>
      <c r="T32" s="133">
        <f>IF(SER_hh_fech_in!T32=0,0,SER_hh_fech_in!T32/SER_summary!T$27)</f>
        <v>21.408871184790886</v>
      </c>
      <c r="U32" s="133">
        <f>IF(SER_hh_fech_in!U32=0,0,SER_hh_fech_in!U32/SER_summary!U$27)</f>
        <v>24.452828103222867</v>
      </c>
      <c r="V32" s="133">
        <f>IF(SER_hh_fech_in!V32=0,0,SER_hh_fech_in!V32/SER_summary!V$27)</f>
        <v>23.041639743983175</v>
      </c>
      <c r="W32" s="133">
        <f>IF(SER_hh_fech_in!W32=0,0,SER_hh_fech_in!W32/SER_summary!W$27)</f>
        <v>15.401326194080699</v>
      </c>
      <c r="DA32" s="157" t="s">
        <v>844</v>
      </c>
    </row>
    <row r="33" spans="1:105" ht="12" customHeight="1" x14ac:dyDescent="0.25">
      <c r="A33" s="62" t="s">
        <v>24</v>
      </c>
      <c r="B33" s="68"/>
      <c r="C33" s="68">
        <f>IF(SER_hh_fech_in!C33=0,0,SER_hh_fech_in!C33/SER_summary!C$27)</f>
        <v>16.321067390943107</v>
      </c>
      <c r="D33" s="68">
        <f>IF(SER_hh_fech_in!D33=0,0,SER_hh_fech_in!D33/SER_summary!D$27)</f>
        <v>16.167456883365265</v>
      </c>
      <c r="E33" s="68">
        <f>IF(SER_hh_fech_in!E33=0,0,SER_hh_fech_in!E33/SER_summary!E$27)</f>
        <v>16.475241555465548</v>
      </c>
      <c r="F33" s="68">
        <f>IF(SER_hh_fech_in!F33=0,0,SER_hh_fech_in!F33/SER_summary!F$27)</f>
        <v>16.73503986038347</v>
      </c>
      <c r="G33" s="68">
        <f>IF(SER_hh_fech_in!G33=0,0,SER_hh_fech_in!G33/SER_summary!G$27)</f>
        <v>16.811273395453519</v>
      </c>
      <c r="H33" s="68">
        <f>IF(SER_hh_fech_in!H33=0,0,SER_hh_fech_in!H33/SER_summary!H$27)</f>
        <v>0</v>
      </c>
      <c r="I33" s="68">
        <f>IF(SER_hh_fech_in!I33=0,0,SER_hh_fech_in!I33/SER_summary!I$27)</f>
        <v>16.385702619109257</v>
      </c>
      <c r="J33" s="68">
        <f>IF(SER_hh_fech_in!J33=0,0,SER_hh_fech_in!J33/SER_summary!J$27)</f>
        <v>16.5852143448056</v>
      </c>
      <c r="K33" s="68">
        <f>IF(SER_hh_fech_in!K33=0,0,SER_hh_fech_in!K33/SER_summary!K$27)</f>
        <v>17.33877281767591</v>
      </c>
      <c r="L33" s="68">
        <f>IF(SER_hh_fech_in!L33=0,0,SER_hh_fech_in!L33/SER_summary!L$27)</f>
        <v>17.246747407519408</v>
      </c>
      <c r="M33" s="68">
        <f>IF(SER_hh_fech_in!M33=0,0,SER_hh_fech_in!M33/SER_summary!M$27)</f>
        <v>16.428275110085583</v>
      </c>
      <c r="N33" s="68">
        <f>IF(SER_hh_fech_in!N33=0,0,SER_hh_fech_in!N33/SER_summary!N$27)</f>
        <v>16.321473401146733</v>
      </c>
      <c r="O33" s="68">
        <f>IF(SER_hh_fech_in!O33=0,0,SER_hh_fech_in!O33/SER_summary!O$27)</f>
        <v>16.53610036397804</v>
      </c>
      <c r="P33" s="68">
        <f>IF(SER_hh_fech_in!P33=0,0,SER_hh_fech_in!P33/SER_summary!P$27)</f>
        <v>17.160132226563064</v>
      </c>
      <c r="Q33" s="68">
        <f>IF(SER_hh_fech_in!Q33=0,0,SER_hh_fech_in!Q33/SER_summary!Q$27)</f>
        <v>16.471760548483889</v>
      </c>
      <c r="R33" s="68">
        <f>IF(SER_hh_fech_in!R33=0,0,SER_hh_fech_in!R33/SER_summary!R$27)</f>
        <v>16.728763737327185</v>
      </c>
      <c r="S33" s="68">
        <f>IF(SER_hh_fech_in!S33=0,0,SER_hh_fech_in!S33/SER_summary!S$27)</f>
        <v>15.591453381778889</v>
      </c>
      <c r="T33" s="68">
        <f>IF(SER_hh_fech_in!T33=0,0,SER_hh_fech_in!T33/SER_summary!T$27)</f>
        <v>15.462673445400785</v>
      </c>
      <c r="U33" s="68">
        <f>IF(SER_hh_fech_in!U33=0,0,SER_hh_fech_in!U33/SER_summary!U$27)</f>
        <v>12.821013035634945</v>
      </c>
      <c r="V33" s="68">
        <f>IF(SER_hh_fech_in!V33=0,0,SER_hh_fech_in!V33/SER_summary!V$27)</f>
        <v>12.91224869490374</v>
      </c>
      <c r="W33" s="68">
        <f>IF(SER_hh_fech_in!W33=0,0,SER_hh_fech_in!W33/SER_summary!W$27)</f>
        <v>15.628263520358979</v>
      </c>
      <c r="DA33" s="111" t="s">
        <v>845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846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91</v>
      </c>
      <c r="B3" s="126"/>
      <c r="C3" s="126">
        <f>IF(SER_hh_tesh_in!C3=0,0,SER_hh_tesh_in!C3/SER_summary!C$27)</f>
        <v>121.82204188858107</v>
      </c>
      <c r="D3" s="126">
        <f>IF(SER_hh_tesh_in!D3=0,0,SER_hh_tesh_in!D3/SER_summary!D$27)</f>
        <v>122.87201186322433</v>
      </c>
      <c r="E3" s="126">
        <f>IF(SER_hh_tesh_in!E3=0,0,SER_hh_tesh_in!E3/SER_summary!E$27)</f>
        <v>127.89010425856866</v>
      </c>
      <c r="F3" s="126">
        <f>IF(SER_hh_tesh_in!F3=0,0,SER_hh_tesh_in!F3/SER_summary!F$27)</f>
        <v>115.32656170011222</v>
      </c>
      <c r="G3" s="126">
        <f>IF(SER_hh_tesh_in!G3=0,0,SER_hh_tesh_in!G3/SER_summary!G$27)</f>
        <v>111.5977521781949</v>
      </c>
      <c r="H3" s="126">
        <f>IF(SER_hh_tesh_in!H3=0,0,SER_hh_tesh_in!H3/SER_summary!H$27)</f>
        <v>141.00053520846495</v>
      </c>
      <c r="I3" s="126">
        <f>IF(SER_hh_tesh_in!I3=0,0,SER_hh_tesh_in!I3/SER_summary!I$27)</f>
        <v>141.64796033137628</v>
      </c>
      <c r="J3" s="126">
        <f>IF(SER_hh_tesh_in!J3=0,0,SER_hh_tesh_in!J3/SER_summary!J$27)</f>
        <v>146.83325466804067</v>
      </c>
      <c r="K3" s="126">
        <f>IF(SER_hh_tesh_in!K3=0,0,SER_hh_tesh_in!K3/SER_summary!K$27)</f>
        <v>140.64173411916471</v>
      </c>
      <c r="L3" s="126">
        <f>IF(SER_hh_tesh_in!L3=0,0,SER_hh_tesh_in!L3/SER_summary!L$27)</f>
        <v>143.41478476089307</v>
      </c>
      <c r="M3" s="126">
        <f>IF(SER_hh_tesh_in!M3=0,0,SER_hh_tesh_in!M3/SER_summary!M$27)</f>
        <v>125.69056194353155</v>
      </c>
      <c r="N3" s="126">
        <f>IF(SER_hh_tesh_in!N3=0,0,SER_hh_tesh_in!N3/SER_summary!N$27)</f>
        <v>138.18392551480454</v>
      </c>
      <c r="O3" s="126">
        <f>IF(SER_hh_tesh_in!O3=0,0,SER_hh_tesh_in!O3/SER_summary!O$27)</f>
        <v>132.26947603491183</v>
      </c>
      <c r="P3" s="126">
        <f>IF(SER_hh_tesh_in!P3=0,0,SER_hh_tesh_in!P3/SER_summary!P$27)</f>
        <v>123.47690035293253</v>
      </c>
      <c r="Q3" s="126">
        <f>IF(SER_hh_tesh_in!Q3=0,0,SER_hh_tesh_in!Q3/SER_summary!Q$27)</f>
        <v>128.18873681135341</v>
      </c>
      <c r="R3" s="126">
        <f>IF(SER_hh_tesh_in!R3=0,0,SER_hh_tesh_in!R3/SER_summary!R$27)</f>
        <v>139.15407316954466</v>
      </c>
      <c r="S3" s="126">
        <f>IF(SER_hh_tesh_in!S3=0,0,SER_hh_tesh_in!S3/SER_summary!S$27)</f>
        <v>133.65185486471634</v>
      </c>
      <c r="T3" s="126">
        <f>IF(SER_hh_tesh_in!T3=0,0,SER_hh_tesh_in!T3/SER_summary!T$27)</f>
        <v>146.88509417157167</v>
      </c>
      <c r="U3" s="126">
        <f>IF(SER_hh_tesh_in!U3=0,0,SER_hh_tesh_in!U3/SER_summary!U$27)</f>
        <v>132.98158762444052</v>
      </c>
      <c r="V3" s="126">
        <f>IF(SER_hh_tesh_in!V3=0,0,SER_hh_tesh_in!V3/SER_summary!V$27)</f>
        <v>120.92993012644048</v>
      </c>
      <c r="W3" s="126">
        <f>IF(SER_hh_tesh_in!W3=0,0,SER_hh_tesh_in!W3/SER_summary!W$27)</f>
        <v>112.7083348569688</v>
      </c>
      <c r="DA3" s="155" t="s">
        <v>847</v>
      </c>
    </row>
    <row r="4" spans="1:105" ht="12.95" customHeight="1" x14ac:dyDescent="0.25">
      <c r="A4" s="130" t="s">
        <v>32</v>
      </c>
      <c r="B4" s="131"/>
      <c r="C4" s="131">
        <f>IF(SER_hh_tesh_in!C4=0,0,SER_hh_tesh_in!C4/SER_summary!C$27)</f>
        <v>15.193493857135014</v>
      </c>
      <c r="D4" s="131">
        <f>IF(SER_hh_tesh_in!D4=0,0,SER_hh_tesh_in!D4/SER_summary!D$27)</f>
        <v>18.821065929404732</v>
      </c>
      <c r="E4" s="131">
        <f>IF(SER_hh_tesh_in!E4=0,0,SER_hh_tesh_in!E4/SER_summary!E$27)</f>
        <v>17.553778209532865</v>
      </c>
      <c r="F4" s="131">
        <f>IF(SER_hh_tesh_in!F4=0,0,SER_hh_tesh_in!F4/SER_summary!F$27)</f>
        <v>19.227258670887931</v>
      </c>
      <c r="G4" s="131">
        <f>IF(SER_hh_tesh_in!G4=0,0,SER_hh_tesh_in!G4/SER_summary!G$27)</f>
        <v>21.231475087354237</v>
      </c>
      <c r="H4" s="131">
        <f>IF(SER_hh_tesh_in!H4=0,0,SER_hh_tesh_in!H4/SER_summary!H$27)</f>
        <v>30.177576115945396</v>
      </c>
      <c r="I4" s="131">
        <f>IF(SER_hh_tesh_in!I4=0,0,SER_hh_tesh_in!I4/SER_summary!I$27)</f>
        <v>29.202944402518554</v>
      </c>
      <c r="J4" s="131">
        <f>IF(SER_hh_tesh_in!J4=0,0,SER_hh_tesh_in!J4/SER_summary!J$27)</f>
        <v>34.646583305031491</v>
      </c>
      <c r="K4" s="131">
        <f>IF(SER_hh_tesh_in!K4=0,0,SER_hh_tesh_in!K4/SER_summary!K$27)</f>
        <v>33.788987622352309</v>
      </c>
      <c r="L4" s="131">
        <f>IF(SER_hh_tesh_in!L4=0,0,SER_hh_tesh_in!L4/SER_summary!L$27)</f>
        <v>33.406972768427202</v>
      </c>
      <c r="M4" s="131">
        <f>IF(SER_hh_tesh_in!M4=0,0,SER_hh_tesh_in!M4/SER_summary!M$27)</f>
        <v>28.432247585206433</v>
      </c>
      <c r="N4" s="131">
        <f>IF(SER_hh_tesh_in!N4=0,0,SER_hh_tesh_in!N4/SER_summary!N$27)</f>
        <v>26.607632649623564</v>
      </c>
      <c r="O4" s="131">
        <f>IF(SER_hh_tesh_in!O4=0,0,SER_hh_tesh_in!O4/SER_summary!O$27)</f>
        <v>35.429969204002596</v>
      </c>
      <c r="P4" s="131">
        <f>IF(SER_hh_tesh_in!P4=0,0,SER_hh_tesh_in!P4/SER_summary!P$27)</f>
        <v>32.230059428440462</v>
      </c>
      <c r="Q4" s="131">
        <f>IF(SER_hh_tesh_in!Q4=0,0,SER_hh_tesh_in!Q4/SER_summary!Q$27)</f>
        <v>33.808122207136492</v>
      </c>
      <c r="R4" s="131">
        <f>IF(SER_hh_tesh_in!R4=0,0,SER_hh_tesh_in!R4/SER_summary!R$27)</f>
        <v>38.31644754688952</v>
      </c>
      <c r="S4" s="131">
        <f>IF(SER_hh_tesh_in!S4=0,0,SER_hh_tesh_in!S4/SER_summary!S$27)</f>
        <v>38.653606121261632</v>
      </c>
      <c r="T4" s="131">
        <f>IF(SER_hh_tesh_in!T4=0,0,SER_hh_tesh_in!T4/SER_summary!T$27)</f>
        <v>36.050219163798154</v>
      </c>
      <c r="U4" s="131">
        <f>IF(SER_hh_tesh_in!U4=0,0,SER_hh_tesh_in!U4/SER_summary!U$27)</f>
        <v>38.402665252966351</v>
      </c>
      <c r="V4" s="131">
        <f>IF(SER_hh_tesh_in!V4=0,0,SER_hh_tesh_in!V4/SER_summary!V$27)</f>
        <v>25.034076867474884</v>
      </c>
      <c r="W4" s="131">
        <f>IF(SER_hh_tesh_in!W4=0,0,SER_hh_tesh_in!W4/SER_summary!W$27)</f>
        <v>29.152560383007977</v>
      </c>
      <c r="DA4" s="156" t="s">
        <v>848</v>
      </c>
    </row>
    <row r="5" spans="1:105" ht="12" customHeight="1" x14ac:dyDescent="0.25">
      <c r="A5" s="132" t="s">
        <v>29</v>
      </c>
      <c r="B5" s="133"/>
      <c r="C5" s="133">
        <f>IF(SER_hh_tesh_in!C5=0,0,SER_hh_tesh_in!C5/SER_summary!C$27)</f>
        <v>0</v>
      </c>
      <c r="D5" s="133">
        <f>IF(SER_hh_tesh_in!D5=0,0,SER_hh_tesh_in!D5/SER_summary!D$27)</f>
        <v>0</v>
      </c>
      <c r="E5" s="133">
        <f>IF(SER_hh_tesh_in!E5=0,0,SER_hh_tesh_in!E5/SER_summary!E$27)</f>
        <v>0</v>
      </c>
      <c r="F5" s="133">
        <f>IF(SER_hh_tesh_in!F5=0,0,SER_hh_tesh_in!F5/SER_summary!F$27)</f>
        <v>0</v>
      </c>
      <c r="G5" s="133">
        <f>IF(SER_hh_tesh_in!G5=0,0,SER_hh_tesh_in!G5/SER_summary!G$27)</f>
        <v>0</v>
      </c>
      <c r="H5" s="133">
        <f>IF(SER_hh_tesh_in!H5=0,0,SER_hh_tesh_in!H5/SER_summary!H$27)</f>
        <v>0</v>
      </c>
      <c r="I5" s="133">
        <f>IF(SER_hh_tesh_in!I5=0,0,SER_hh_tesh_in!I5/SER_summary!I$27)</f>
        <v>0</v>
      </c>
      <c r="J5" s="133">
        <f>IF(SER_hh_tesh_in!J5=0,0,SER_hh_tesh_in!J5/SER_summary!J$27)</f>
        <v>0</v>
      </c>
      <c r="K5" s="133">
        <f>IF(SER_hh_tesh_in!K5=0,0,SER_hh_tesh_in!K5/SER_summary!K$27)</f>
        <v>0</v>
      </c>
      <c r="L5" s="133">
        <f>IF(SER_hh_tesh_in!L5=0,0,SER_hh_tesh_in!L5/SER_summary!L$27)</f>
        <v>0</v>
      </c>
      <c r="M5" s="133">
        <f>IF(SER_hh_tesh_in!M5=0,0,SER_hh_tesh_in!M5/SER_summary!M$27)</f>
        <v>0</v>
      </c>
      <c r="N5" s="133">
        <f>IF(SER_hh_tesh_in!N5=0,0,SER_hh_tesh_in!N5/SER_summary!N$27)</f>
        <v>0</v>
      </c>
      <c r="O5" s="133">
        <f>IF(SER_hh_tesh_in!O5=0,0,SER_hh_tesh_in!O5/SER_summary!O$27)</f>
        <v>0</v>
      </c>
      <c r="P5" s="133">
        <f>IF(SER_hh_tesh_in!P5=0,0,SER_hh_tesh_in!P5/SER_summary!P$27)</f>
        <v>0</v>
      </c>
      <c r="Q5" s="133">
        <f>IF(SER_hh_tesh_in!Q5=0,0,SER_hh_tesh_in!Q5/SER_summary!Q$27)</f>
        <v>0</v>
      </c>
      <c r="R5" s="133">
        <f>IF(SER_hh_tesh_in!R5=0,0,SER_hh_tesh_in!R5/SER_summary!R$27)</f>
        <v>0</v>
      </c>
      <c r="S5" s="133">
        <f>IF(SER_hh_tesh_in!S5=0,0,SER_hh_tesh_in!S5/SER_summary!S$27)</f>
        <v>0</v>
      </c>
      <c r="T5" s="133">
        <f>IF(SER_hh_tesh_in!T5=0,0,SER_hh_tesh_in!T5/SER_summary!T$27)</f>
        <v>0</v>
      </c>
      <c r="U5" s="133">
        <f>IF(SER_hh_tesh_in!U5=0,0,SER_hh_tesh_in!U5/SER_summary!U$27)</f>
        <v>0</v>
      </c>
      <c r="V5" s="133">
        <f>IF(SER_hh_tesh_in!V5=0,0,SER_hh_tesh_in!V5/SER_summary!V$27)</f>
        <v>0</v>
      </c>
      <c r="W5" s="133">
        <f>IF(SER_hh_tesh_in!W5=0,0,SER_hh_tesh_in!W5/SER_summary!W$27)</f>
        <v>0</v>
      </c>
      <c r="DA5" s="157" t="s">
        <v>849</v>
      </c>
    </row>
    <row r="6" spans="1:105" ht="12" customHeight="1" x14ac:dyDescent="0.25">
      <c r="A6" s="132" t="s">
        <v>52</v>
      </c>
      <c r="B6" s="133"/>
      <c r="C6" s="133">
        <f>IF(SER_hh_tesh_in!C6=0,0,SER_hh_tesh_in!C6/SER_summary!C$27)</f>
        <v>0</v>
      </c>
      <c r="D6" s="133">
        <f>IF(SER_hh_tesh_in!D6=0,0,SER_hh_tesh_in!D6/SER_summary!D$27)</f>
        <v>0</v>
      </c>
      <c r="E6" s="133">
        <f>IF(SER_hh_tesh_in!E6=0,0,SER_hh_tesh_in!E6/SER_summary!E$27)</f>
        <v>0</v>
      </c>
      <c r="F6" s="133">
        <f>IF(SER_hh_tesh_in!F6=0,0,SER_hh_tesh_in!F6/SER_summary!F$27)</f>
        <v>0</v>
      </c>
      <c r="G6" s="133">
        <f>IF(SER_hh_tesh_in!G6=0,0,SER_hh_tesh_in!G6/SER_summary!G$27)</f>
        <v>0</v>
      </c>
      <c r="H6" s="133">
        <f>IF(SER_hh_tesh_in!H6=0,0,SER_hh_tesh_in!H6/SER_summary!H$27)</f>
        <v>0</v>
      </c>
      <c r="I6" s="133">
        <f>IF(SER_hh_tesh_in!I6=0,0,SER_hh_tesh_in!I6/SER_summary!I$27)</f>
        <v>0</v>
      </c>
      <c r="J6" s="133">
        <f>IF(SER_hh_tesh_in!J6=0,0,SER_hh_tesh_in!J6/SER_summary!J$27)</f>
        <v>0</v>
      </c>
      <c r="K6" s="133">
        <f>IF(SER_hh_tesh_in!K6=0,0,SER_hh_tesh_in!K6/SER_summary!K$27)</f>
        <v>0</v>
      </c>
      <c r="L6" s="133">
        <f>IF(SER_hh_tesh_in!L6=0,0,SER_hh_tesh_in!L6/SER_summary!L$27)</f>
        <v>0</v>
      </c>
      <c r="M6" s="133">
        <f>IF(SER_hh_tesh_in!M6=0,0,SER_hh_tesh_in!M6/SER_summary!M$27)</f>
        <v>0</v>
      </c>
      <c r="N6" s="133">
        <f>IF(SER_hh_tesh_in!N6=0,0,SER_hh_tesh_in!N6/SER_summary!N$27)</f>
        <v>0</v>
      </c>
      <c r="O6" s="133">
        <f>IF(SER_hh_tesh_in!O6=0,0,SER_hh_tesh_in!O6/SER_summary!O$27)</f>
        <v>0</v>
      </c>
      <c r="P6" s="133">
        <f>IF(SER_hh_tesh_in!P6=0,0,SER_hh_tesh_in!P6/SER_summary!P$27)</f>
        <v>0</v>
      </c>
      <c r="Q6" s="133">
        <f>IF(SER_hh_tesh_in!Q6=0,0,SER_hh_tesh_in!Q6/SER_summary!Q$27)</f>
        <v>0</v>
      </c>
      <c r="R6" s="133">
        <f>IF(SER_hh_tesh_in!R6=0,0,SER_hh_tesh_in!R6/SER_summary!R$27)</f>
        <v>0</v>
      </c>
      <c r="S6" s="133">
        <f>IF(SER_hh_tesh_in!S6=0,0,SER_hh_tesh_in!S6/SER_summary!S$27)</f>
        <v>0</v>
      </c>
      <c r="T6" s="133">
        <f>IF(SER_hh_tesh_in!T6=0,0,SER_hh_tesh_in!T6/SER_summary!T$27)</f>
        <v>0</v>
      </c>
      <c r="U6" s="133">
        <f>IF(SER_hh_tesh_in!U6=0,0,SER_hh_tesh_in!U6/SER_summary!U$27)</f>
        <v>0</v>
      </c>
      <c r="V6" s="133">
        <f>IF(SER_hh_tesh_in!V6=0,0,SER_hh_tesh_in!V6/SER_summary!V$27)</f>
        <v>0</v>
      </c>
      <c r="W6" s="133">
        <f>IF(SER_hh_tesh_in!W6=0,0,SER_hh_tesh_in!W6/SER_summary!W$27)</f>
        <v>0</v>
      </c>
      <c r="DA6" s="157" t="s">
        <v>850</v>
      </c>
    </row>
    <row r="7" spans="1:105" ht="12" customHeight="1" x14ac:dyDescent="0.25">
      <c r="A7" s="132" t="s">
        <v>168</v>
      </c>
      <c r="B7" s="133"/>
      <c r="C7" s="133">
        <f>IF(SER_hh_tesh_in!C7=0,0,SER_hh_tesh_in!C7/SER_summary!C$27)</f>
        <v>0</v>
      </c>
      <c r="D7" s="133">
        <f>IF(SER_hh_tesh_in!D7=0,0,SER_hh_tesh_in!D7/SER_summary!D$27)</f>
        <v>0</v>
      </c>
      <c r="E7" s="133">
        <f>IF(SER_hh_tesh_in!E7=0,0,SER_hh_tesh_in!E7/SER_summary!E$27)</f>
        <v>0</v>
      </c>
      <c r="F7" s="133">
        <f>IF(SER_hh_tesh_in!F7=0,0,SER_hh_tesh_in!F7/SER_summary!F$27)</f>
        <v>0</v>
      </c>
      <c r="G7" s="133">
        <f>IF(SER_hh_tesh_in!G7=0,0,SER_hh_tesh_in!G7/SER_summary!G$27)</f>
        <v>0</v>
      </c>
      <c r="H7" s="133">
        <f>IF(SER_hh_tesh_in!H7=0,0,SER_hh_tesh_in!H7/SER_summary!H$27)</f>
        <v>0</v>
      </c>
      <c r="I7" s="133">
        <f>IF(SER_hh_tesh_in!I7=0,0,SER_hh_tesh_in!I7/SER_summary!I$27)</f>
        <v>0</v>
      </c>
      <c r="J7" s="133">
        <f>IF(SER_hh_tesh_in!J7=0,0,SER_hh_tesh_in!J7/SER_summary!J$27)</f>
        <v>36.900472843029675</v>
      </c>
      <c r="K7" s="133">
        <f>IF(SER_hh_tesh_in!K7=0,0,SER_hh_tesh_in!K7/SER_summary!K$27)</f>
        <v>29.87113668324022</v>
      </c>
      <c r="L7" s="133">
        <f>IF(SER_hh_tesh_in!L7=0,0,SER_hh_tesh_in!L7/SER_summary!L$27)</f>
        <v>34.615454296244629</v>
      </c>
      <c r="M7" s="133">
        <f>IF(SER_hh_tesh_in!M7=0,0,SER_hh_tesh_in!M7/SER_summary!M$27)</f>
        <v>33.461231108135621</v>
      </c>
      <c r="N7" s="133">
        <f>IF(SER_hh_tesh_in!N7=0,0,SER_hh_tesh_in!N7/SER_summary!N$27)</f>
        <v>28.373495676530965</v>
      </c>
      <c r="O7" s="133">
        <f>IF(SER_hh_tesh_in!O7=0,0,SER_hh_tesh_in!O7/SER_summary!O$27)</f>
        <v>32.061541538698499</v>
      </c>
      <c r="P7" s="133">
        <f>IF(SER_hh_tesh_in!P7=0,0,SER_hh_tesh_in!P7/SER_summary!P$27)</f>
        <v>0</v>
      </c>
      <c r="Q7" s="133">
        <f>IF(SER_hh_tesh_in!Q7=0,0,SER_hh_tesh_in!Q7/SER_summary!Q$27)</f>
        <v>0</v>
      </c>
      <c r="R7" s="133">
        <f>IF(SER_hh_tesh_in!R7=0,0,SER_hh_tesh_in!R7/SER_summary!R$27)</f>
        <v>0</v>
      </c>
      <c r="S7" s="133">
        <f>IF(SER_hh_tesh_in!S7=0,0,SER_hh_tesh_in!S7/SER_summary!S$27)</f>
        <v>0</v>
      </c>
      <c r="T7" s="133">
        <f>IF(SER_hh_tesh_in!T7=0,0,SER_hh_tesh_in!T7/SER_summary!T$27)</f>
        <v>30.850017567803043</v>
      </c>
      <c r="U7" s="133">
        <f>IF(SER_hh_tesh_in!U7=0,0,SER_hh_tesh_in!U7/SER_summary!U$27)</f>
        <v>34.86784511141029</v>
      </c>
      <c r="V7" s="133">
        <f>IF(SER_hh_tesh_in!V7=0,0,SER_hh_tesh_in!V7/SER_summary!V$27)</f>
        <v>25.094004703865377</v>
      </c>
      <c r="W7" s="133">
        <f>IF(SER_hh_tesh_in!W7=0,0,SER_hh_tesh_in!W7/SER_summary!W$27)</f>
        <v>24.723952611752487</v>
      </c>
      <c r="DA7" s="157" t="s">
        <v>851</v>
      </c>
    </row>
    <row r="8" spans="1:105" ht="12" customHeight="1" x14ac:dyDescent="0.25">
      <c r="A8" s="132" t="s">
        <v>73</v>
      </c>
      <c r="B8" s="133"/>
      <c r="C8" s="133">
        <f>IF(SER_hh_tesh_in!C8=0,0,SER_hh_tesh_in!C8/SER_summary!C$27)</f>
        <v>0</v>
      </c>
      <c r="D8" s="133">
        <f>IF(SER_hh_tesh_in!D8=0,0,SER_hh_tesh_in!D8/SER_summary!D$27)</f>
        <v>0</v>
      </c>
      <c r="E8" s="133">
        <f>IF(SER_hh_tesh_in!E8=0,0,SER_hh_tesh_in!E8/SER_summary!E$27)</f>
        <v>0</v>
      </c>
      <c r="F8" s="133">
        <f>IF(SER_hh_tesh_in!F8=0,0,SER_hh_tesh_in!F8/SER_summary!F$27)</f>
        <v>0</v>
      </c>
      <c r="G8" s="133">
        <f>IF(SER_hh_tesh_in!G8=0,0,SER_hh_tesh_in!G8/SER_summary!G$27)</f>
        <v>0</v>
      </c>
      <c r="H8" s="133">
        <f>IF(SER_hh_tesh_in!H8=0,0,SER_hh_tesh_in!H8/SER_summary!H$27)</f>
        <v>0</v>
      </c>
      <c r="I8" s="133">
        <f>IF(SER_hh_tesh_in!I8=0,0,SER_hh_tesh_in!I8/SER_summary!I$27)</f>
        <v>0</v>
      </c>
      <c r="J8" s="133">
        <f>IF(SER_hh_tesh_in!J8=0,0,SER_hh_tesh_in!J8/SER_summary!J$27)</f>
        <v>0</v>
      </c>
      <c r="K8" s="133">
        <f>IF(SER_hh_tesh_in!K8=0,0,SER_hh_tesh_in!K8/SER_summary!K$27)</f>
        <v>0</v>
      </c>
      <c r="L8" s="133">
        <f>IF(SER_hh_tesh_in!L8=0,0,SER_hh_tesh_in!L8/SER_summary!L$27)</f>
        <v>0</v>
      </c>
      <c r="M8" s="133">
        <f>IF(SER_hh_tesh_in!M8=0,0,SER_hh_tesh_in!M8/SER_summary!M$27)</f>
        <v>0</v>
      </c>
      <c r="N8" s="133">
        <f>IF(SER_hh_tesh_in!N8=0,0,SER_hh_tesh_in!N8/SER_summary!N$27)</f>
        <v>0</v>
      </c>
      <c r="O8" s="133">
        <f>IF(SER_hh_tesh_in!O8=0,0,SER_hh_tesh_in!O8/SER_summary!O$27)</f>
        <v>0</v>
      </c>
      <c r="P8" s="133">
        <f>IF(SER_hh_tesh_in!P8=0,0,SER_hh_tesh_in!P8/SER_summary!P$27)</f>
        <v>0</v>
      </c>
      <c r="Q8" s="133">
        <f>IF(SER_hh_tesh_in!Q8=0,0,SER_hh_tesh_in!Q8/SER_summary!Q$27)</f>
        <v>0</v>
      </c>
      <c r="R8" s="133">
        <f>IF(SER_hh_tesh_in!R8=0,0,SER_hh_tesh_in!R8/SER_summary!R$27)</f>
        <v>0</v>
      </c>
      <c r="S8" s="133">
        <f>IF(SER_hh_tesh_in!S8=0,0,SER_hh_tesh_in!S8/SER_summary!S$27)</f>
        <v>0</v>
      </c>
      <c r="T8" s="133">
        <f>IF(SER_hh_tesh_in!T8=0,0,SER_hh_tesh_in!T8/SER_summary!T$27)</f>
        <v>0</v>
      </c>
      <c r="U8" s="133">
        <f>IF(SER_hh_tesh_in!U8=0,0,SER_hh_tesh_in!U8/SER_summary!U$27)</f>
        <v>0</v>
      </c>
      <c r="V8" s="133">
        <f>IF(SER_hh_tesh_in!V8=0,0,SER_hh_tesh_in!V8/SER_summary!V$27)</f>
        <v>0</v>
      </c>
      <c r="W8" s="133">
        <f>IF(SER_hh_tesh_in!W8=0,0,SER_hh_tesh_in!W8/SER_summary!W$27)</f>
        <v>0</v>
      </c>
      <c r="DA8" s="157" t="s">
        <v>852</v>
      </c>
    </row>
    <row r="9" spans="1:105" ht="12" customHeight="1" x14ac:dyDescent="0.25">
      <c r="A9" s="132" t="s">
        <v>78</v>
      </c>
      <c r="B9" s="133"/>
      <c r="C9" s="133">
        <f>IF(SER_hh_tesh_in!C9=0,0,SER_hh_tesh_in!C9/SER_summary!C$27)</f>
        <v>0</v>
      </c>
      <c r="D9" s="133">
        <f>IF(SER_hh_tesh_in!D9=0,0,SER_hh_tesh_in!D9/SER_summary!D$27)</f>
        <v>0</v>
      </c>
      <c r="E9" s="133">
        <f>IF(SER_hh_tesh_in!E9=0,0,SER_hh_tesh_in!E9/SER_summary!E$27)</f>
        <v>0</v>
      </c>
      <c r="F9" s="133">
        <f>IF(SER_hh_tesh_in!F9=0,0,SER_hh_tesh_in!F9/SER_summary!F$27)</f>
        <v>0</v>
      </c>
      <c r="G9" s="133">
        <f>IF(SER_hh_tesh_in!G9=0,0,SER_hh_tesh_in!G9/SER_summary!G$27)</f>
        <v>0</v>
      </c>
      <c r="H9" s="133">
        <f>IF(SER_hh_tesh_in!H9=0,0,SER_hh_tesh_in!H9/SER_summary!H$27)</f>
        <v>0</v>
      </c>
      <c r="I9" s="133">
        <f>IF(SER_hh_tesh_in!I9=0,0,SER_hh_tesh_in!I9/SER_summary!I$27)</f>
        <v>0</v>
      </c>
      <c r="J9" s="133">
        <f>IF(SER_hh_tesh_in!J9=0,0,SER_hh_tesh_in!J9/SER_summary!J$27)</f>
        <v>0</v>
      </c>
      <c r="K9" s="133">
        <f>IF(SER_hh_tesh_in!K9=0,0,SER_hh_tesh_in!K9/SER_summary!K$27)</f>
        <v>49.375450670149867</v>
      </c>
      <c r="L9" s="133">
        <f>IF(SER_hh_tesh_in!L9=0,0,SER_hh_tesh_in!L9/SER_summary!L$27)</f>
        <v>40.16883890405073</v>
      </c>
      <c r="M9" s="133">
        <f>IF(SER_hh_tesh_in!M9=0,0,SER_hh_tesh_in!M9/SER_summary!M$27)</f>
        <v>32.13252954839718</v>
      </c>
      <c r="N9" s="133">
        <f>IF(SER_hh_tesh_in!N9=0,0,SER_hh_tesh_in!N9/SER_summary!N$27)</f>
        <v>29.856102802577315</v>
      </c>
      <c r="O9" s="133">
        <f>IF(SER_hh_tesh_in!O9=0,0,SER_hh_tesh_in!O9/SER_summary!O$27)</f>
        <v>0</v>
      </c>
      <c r="P9" s="133">
        <f>IF(SER_hh_tesh_in!P9=0,0,SER_hh_tesh_in!P9/SER_summary!P$27)</f>
        <v>31.100413828217725</v>
      </c>
      <c r="Q9" s="133">
        <f>IF(SER_hh_tesh_in!Q9=0,0,SER_hh_tesh_in!Q9/SER_summary!Q$27)</f>
        <v>29.777178999949854</v>
      </c>
      <c r="R9" s="133">
        <f>IF(SER_hh_tesh_in!R9=0,0,SER_hh_tesh_in!R9/SER_summary!R$27)</f>
        <v>31.0370699874541</v>
      </c>
      <c r="S9" s="133">
        <f>IF(SER_hh_tesh_in!S9=0,0,SER_hh_tesh_in!S9/SER_summary!S$27)</f>
        <v>23.935469028356898</v>
      </c>
      <c r="T9" s="133">
        <f>IF(SER_hh_tesh_in!T9=0,0,SER_hh_tesh_in!T9/SER_summary!T$27)</f>
        <v>47.191086455090101</v>
      </c>
      <c r="U9" s="133">
        <f>IF(SER_hh_tesh_in!U9=0,0,SER_hh_tesh_in!U9/SER_summary!U$27)</f>
        <v>50.261115569180227</v>
      </c>
      <c r="V9" s="133">
        <f>IF(SER_hh_tesh_in!V9=0,0,SER_hh_tesh_in!V9/SER_summary!V$27)</f>
        <v>17.575833184828117</v>
      </c>
      <c r="W9" s="133">
        <f>IF(SER_hh_tesh_in!W9=0,0,SER_hh_tesh_in!W9/SER_summary!W$27)</f>
        <v>18.100228412305832</v>
      </c>
      <c r="DA9" s="157" t="s">
        <v>853</v>
      </c>
    </row>
    <row r="10" spans="1:105" ht="12" customHeight="1" x14ac:dyDescent="0.25">
      <c r="A10" s="132" t="s">
        <v>128</v>
      </c>
      <c r="B10" s="133"/>
      <c r="C10" s="133">
        <f>IF(SER_hh_tesh_in!C10=0,0,SER_hh_tesh_in!C10/SER_summary!C$27)</f>
        <v>0</v>
      </c>
      <c r="D10" s="133">
        <f>IF(SER_hh_tesh_in!D10=0,0,SER_hh_tesh_in!D10/SER_summary!D$27)</f>
        <v>0</v>
      </c>
      <c r="E10" s="133">
        <f>IF(SER_hh_tesh_in!E10=0,0,SER_hh_tesh_in!E10/SER_summary!E$27)</f>
        <v>0</v>
      </c>
      <c r="F10" s="133">
        <f>IF(SER_hh_tesh_in!F10=0,0,SER_hh_tesh_in!F10/SER_summary!F$27)</f>
        <v>0</v>
      </c>
      <c r="G10" s="133">
        <f>IF(SER_hh_tesh_in!G10=0,0,SER_hh_tesh_in!G10/SER_summary!G$27)</f>
        <v>0</v>
      </c>
      <c r="H10" s="133">
        <f>IF(SER_hh_tesh_in!H10=0,0,SER_hh_tesh_in!H10/SER_summary!H$27)</f>
        <v>0</v>
      </c>
      <c r="I10" s="133">
        <f>IF(SER_hh_tesh_in!I10=0,0,SER_hh_tesh_in!I10/SER_summary!I$27)</f>
        <v>19.882128661214288</v>
      </c>
      <c r="J10" s="133">
        <f>IF(SER_hh_tesh_in!J10=0,0,SER_hh_tesh_in!J10/SER_summary!J$27)</f>
        <v>51.586330943125745</v>
      </c>
      <c r="K10" s="133">
        <f>IF(SER_hh_tesh_in!K10=0,0,SER_hh_tesh_in!K10/SER_summary!K$27)</f>
        <v>0</v>
      </c>
      <c r="L10" s="133">
        <f>IF(SER_hh_tesh_in!L10=0,0,SER_hh_tesh_in!L10/SER_summary!L$27)</f>
        <v>16.663838384158201</v>
      </c>
      <c r="M10" s="133">
        <f>IF(SER_hh_tesh_in!M10=0,0,SER_hh_tesh_in!M10/SER_summary!M$27)</f>
        <v>27.961321487913548</v>
      </c>
      <c r="N10" s="133">
        <f>IF(SER_hh_tesh_in!N10=0,0,SER_hh_tesh_in!N10/SER_summary!N$27)</f>
        <v>35.541733726480935</v>
      </c>
      <c r="O10" s="133">
        <f>IF(SER_hh_tesh_in!O10=0,0,SER_hh_tesh_in!O10/SER_summary!O$27)</f>
        <v>27.065310847376139</v>
      </c>
      <c r="P10" s="133">
        <f>IF(SER_hh_tesh_in!P10=0,0,SER_hh_tesh_in!P10/SER_summary!P$27)</f>
        <v>21.265963569627335</v>
      </c>
      <c r="Q10" s="133">
        <f>IF(SER_hh_tesh_in!Q10=0,0,SER_hh_tesh_in!Q10/SER_summary!Q$27)</f>
        <v>44.361718953181992</v>
      </c>
      <c r="R10" s="133">
        <f>IF(SER_hh_tesh_in!R10=0,0,SER_hh_tesh_in!R10/SER_summary!R$27)</f>
        <v>32.150626007578502</v>
      </c>
      <c r="S10" s="133">
        <f>IF(SER_hh_tesh_in!S10=0,0,SER_hh_tesh_in!S10/SER_summary!S$27)</f>
        <v>0</v>
      </c>
      <c r="T10" s="133">
        <f>IF(SER_hh_tesh_in!T10=0,0,SER_hh_tesh_in!T10/SER_summary!T$27)</f>
        <v>0</v>
      </c>
      <c r="U10" s="133">
        <f>IF(SER_hh_tesh_in!U10=0,0,SER_hh_tesh_in!U10/SER_summary!U$27)</f>
        <v>0</v>
      </c>
      <c r="V10" s="133">
        <f>IF(SER_hh_tesh_in!V10=0,0,SER_hh_tesh_in!V10/SER_summary!V$27)</f>
        <v>17.167424244441889</v>
      </c>
      <c r="W10" s="133">
        <f>IF(SER_hh_tesh_in!W10=0,0,SER_hh_tesh_in!W10/SER_summary!W$27)</f>
        <v>46.827556584986425</v>
      </c>
      <c r="DA10" s="157" t="s">
        <v>854</v>
      </c>
    </row>
    <row r="11" spans="1:105" ht="12" customHeight="1" x14ac:dyDescent="0.25">
      <c r="A11" s="132" t="s">
        <v>25</v>
      </c>
      <c r="B11" s="133"/>
      <c r="C11" s="133">
        <f>IF(SER_hh_tesh_in!C11=0,0,SER_hh_tesh_in!C11/SER_summary!C$27)</f>
        <v>0</v>
      </c>
      <c r="D11" s="133">
        <f>IF(SER_hh_tesh_in!D11=0,0,SER_hh_tesh_in!D11/SER_summary!D$27)</f>
        <v>0</v>
      </c>
      <c r="E11" s="133">
        <f>IF(SER_hh_tesh_in!E11=0,0,SER_hh_tesh_in!E11/SER_summary!E$27)</f>
        <v>0</v>
      </c>
      <c r="F11" s="133">
        <f>IF(SER_hh_tesh_in!F11=0,0,SER_hh_tesh_in!F11/SER_summary!F$27)</f>
        <v>0</v>
      </c>
      <c r="G11" s="133">
        <f>IF(SER_hh_tesh_in!G11=0,0,SER_hh_tesh_in!G11/SER_summary!G$27)</f>
        <v>0</v>
      </c>
      <c r="H11" s="133">
        <f>IF(SER_hh_tesh_in!H11=0,0,SER_hh_tesh_in!H11/SER_summary!H$27)</f>
        <v>0</v>
      </c>
      <c r="I11" s="133">
        <f>IF(SER_hh_tesh_in!I11=0,0,SER_hh_tesh_in!I11/SER_summary!I$27)</f>
        <v>0</v>
      </c>
      <c r="J11" s="133">
        <f>IF(SER_hh_tesh_in!J11=0,0,SER_hh_tesh_in!J11/SER_summary!J$27)</f>
        <v>0</v>
      </c>
      <c r="K11" s="133">
        <f>IF(SER_hh_tesh_in!K11=0,0,SER_hh_tesh_in!K11/SER_summary!K$27)</f>
        <v>0</v>
      </c>
      <c r="L11" s="133">
        <f>IF(SER_hh_tesh_in!L11=0,0,SER_hh_tesh_in!L11/SER_summary!L$27)</f>
        <v>0</v>
      </c>
      <c r="M11" s="133">
        <f>IF(SER_hh_tesh_in!M11=0,0,SER_hh_tesh_in!M11/SER_summary!M$27)</f>
        <v>0</v>
      </c>
      <c r="N11" s="133">
        <f>IF(SER_hh_tesh_in!N11=0,0,SER_hh_tesh_in!N11/SER_summary!N$27)</f>
        <v>0</v>
      </c>
      <c r="O11" s="133">
        <f>IF(SER_hh_tesh_in!O11=0,0,SER_hh_tesh_in!O11/SER_summary!O$27)</f>
        <v>0</v>
      </c>
      <c r="P11" s="133">
        <f>IF(SER_hh_tesh_in!P11=0,0,SER_hh_tesh_in!P11/SER_summary!P$27)</f>
        <v>0</v>
      </c>
      <c r="Q11" s="133">
        <f>IF(SER_hh_tesh_in!Q11=0,0,SER_hh_tesh_in!Q11/SER_summary!Q$27)</f>
        <v>0</v>
      </c>
      <c r="R11" s="133">
        <f>IF(SER_hh_tesh_in!R11=0,0,SER_hh_tesh_in!R11/SER_summary!R$27)</f>
        <v>0</v>
      </c>
      <c r="S11" s="133">
        <f>IF(SER_hh_tesh_in!S11=0,0,SER_hh_tesh_in!S11/SER_summary!S$27)</f>
        <v>0</v>
      </c>
      <c r="T11" s="133">
        <f>IF(SER_hh_tesh_in!T11=0,0,SER_hh_tesh_in!T11/SER_summary!T$27)</f>
        <v>0</v>
      </c>
      <c r="U11" s="133">
        <f>IF(SER_hh_tesh_in!U11=0,0,SER_hh_tesh_in!U11/SER_summary!U$27)</f>
        <v>0</v>
      </c>
      <c r="V11" s="133">
        <f>IF(SER_hh_tesh_in!V11=0,0,SER_hh_tesh_in!V11/SER_summary!V$27)</f>
        <v>0</v>
      </c>
      <c r="W11" s="133">
        <f>IF(SER_hh_tesh_in!W11=0,0,SER_hh_tesh_in!W11/SER_summary!W$27)</f>
        <v>0</v>
      </c>
      <c r="DA11" s="157" t="s">
        <v>855</v>
      </c>
    </row>
    <row r="12" spans="1:105" ht="12" customHeight="1" x14ac:dyDescent="0.25">
      <c r="A12" s="132" t="s">
        <v>169</v>
      </c>
      <c r="B12" s="133"/>
      <c r="C12" s="133">
        <f>IF(SER_hh_tesh_in!C12=0,0,SER_hh_tesh_in!C12/SER_summary!C$27)</f>
        <v>0</v>
      </c>
      <c r="D12" s="133">
        <f>IF(SER_hh_tesh_in!D12=0,0,SER_hh_tesh_in!D12/SER_summary!D$27)</f>
        <v>0</v>
      </c>
      <c r="E12" s="133">
        <f>IF(SER_hh_tesh_in!E12=0,0,SER_hh_tesh_in!E12/SER_summary!E$27)</f>
        <v>0</v>
      </c>
      <c r="F12" s="133">
        <f>IF(SER_hh_tesh_in!F12=0,0,SER_hh_tesh_in!F12/SER_summary!F$27)</f>
        <v>0</v>
      </c>
      <c r="G12" s="133">
        <f>IF(SER_hh_tesh_in!G12=0,0,SER_hh_tesh_in!G12/SER_summary!G$27)</f>
        <v>0</v>
      </c>
      <c r="H12" s="133">
        <f>IF(SER_hh_tesh_in!H12=0,0,SER_hh_tesh_in!H12/SER_summary!H$27)</f>
        <v>0</v>
      </c>
      <c r="I12" s="133">
        <f>IF(SER_hh_tesh_in!I12=0,0,SER_hh_tesh_in!I12/SER_summary!I$27)</f>
        <v>0</v>
      </c>
      <c r="J12" s="133">
        <f>IF(SER_hh_tesh_in!J12=0,0,SER_hh_tesh_in!J12/SER_summary!J$27)</f>
        <v>0</v>
      </c>
      <c r="K12" s="133">
        <f>IF(SER_hh_tesh_in!K12=0,0,SER_hh_tesh_in!K12/SER_summary!K$27)</f>
        <v>0</v>
      </c>
      <c r="L12" s="133">
        <f>IF(SER_hh_tesh_in!L12=0,0,SER_hh_tesh_in!L12/SER_summary!L$27)</f>
        <v>0</v>
      </c>
      <c r="M12" s="133">
        <f>IF(SER_hh_tesh_in!M12=0,0,SER_hh_tesh_in!M12/SER_summary!M$27)</f>
        <v>0</v>
      </c>
      <c r="N12" s="133">
        <f>IF(SER_hh_tesh_in!N12=0,0,SER_hh_tesh_in!N12/SER_summary!N$27)</f>
        <v>0</v>
      </c>
      <c r="O12" s="133">
        <f>IF(SER_hh_tesh_in!O12=0,0,SER_hh_tesh_in!O12/SER_summary!O$27)</f>
        <v>0</v>
      </c>
      <c r="P12" s="133">
        <f>IF(SER_hh_tesh_in!P12=0,0,SER_hh_tesh_in!P12/SER_summary!P$27)</f>
        <v>0</v>
      </c>
      <c r="Q12" s="133">
        <f>IF(SER_hh_tesh_in!Q12=0,0,SER_hh_tesh_in!Q12/SER_summary!Q$27)</f>
        <v>0</v>
      </c>
      <c r="R12" s="133">
        <f>IF(SER_hh_tesh_in!R12=0,0,SER_hh_tesh_in!R12/SER_summary!R$27)</f>
        <v>0</v>
      </c>
      <c r="S12" s="133">
        <f>IF(SER_hh_tesh_in!S12=0,0,SER_hh_tesh_in!S12/SER_summary!S$27)</f>
        <v>0</v>
      </c>
      <c r="T12" s="133">
        <f>IF(SER_hh_tesh_in!T12=0,0,SER_hh_tesh_in!T12/SER_summary!T$27)</f>
        <v>0</v>
      </c>
      <c r="U12" s="133">
        <f>IF(SER_hh_tesh_in!U12=0,0,SER_hh_tesh_in!U12/SER_summary!U$27)</f>
        <v>0</v>
      </c>
      <c r="V12" s="133">
        <f>IF(SER_hh_tesh_in!V12=0,0,SER_hh_tesh_in!V12/SER_summary!V$27)</f>
        <v>0</v>
      </c>
      <c r="W12" s="133">
        <f>IF(SER_hh_tesh_in!W12=0,0,SER_hh_tesh_in!W12/SER_summary!W$27)</f>
        <v>0</v>
      </c>
      <c r="DA12" s="157" t="s">
        <v>856</v>
      </c>
    </row>
    <row r="13" spans="1:105" ht="12" customHeight="1" x14ac:dyDescent="0.25">
      <c r="A13" s="132" t="s">
        <v>77</v>
      </c>
      <c r="B13" s="133"/>
      <c r="C13" s="133">
        <f>IF(SER_hh_tesh_in!C13=0,0,SER_hh_tesh_in!C13/SER_summary!C$27)</f>
        <v>15.370007703304228</v>
      </c>
      <c r="D13" s="133">
        <f>IF(SER_hh_tesh_in!D13=0,0,SER_hh_tesh_in!D13/SER_summary!D$27)</f>
        <v>16.83065871370508</v>
      </c>
      <c r="E13" s="133">
        <f>IF(SER_hh_tesh_in!E13=0,0,SER_hh_tesh_in!E13/SER_summary!E$27)</f>
        <v>17.423146974274641</v>
      </c>
      <c r="F13" s="133">
        <f>IF(SER_hh_tesh_in!F13=0,0,SER_hh_tesh_in!F13/SER_summary!F$27)</f>
        <v>19.840439699805422</v>
      </c>
      <c r="G13" s="133">
        <f>IF(SER_hh_tesh_in!G13=0,0,SER_hh_tesh_in!G13/SER_summary!G$27)</f>
        <v>23.693075782096781</v>
      </c>
      <c r="H13" s="133">
        <f>IF(SER_hh_tesh_in!H13=0,0,SER_hh_tesh_in!H13/SER_summary!H$27)</f>
        <v>27.220884874352883</v>
      </c>
      <c r="I13" s="133">
        <f>IF(SER_hh_tesh_in!I13=0,0,SER_hh_tesh_in!I13/SER_summary!I$27)</f>
        <v>30.183024531284076</v>
      </c>
      <c r="J13" s="133">
        <f>IF(SER_hh_tesh_in!J13=0,0,SER_hh_tesh_in!J13/SER_summary!J$27)</f>
        <v>31.222921829847309</v>
      </c>
      <c r="K13" s="133">
        <f>IF(SER_hh_tesh_in!K13=0,0,SER_hh_tesh_in!K13/SER_summary!K$27)</f>
        <v>34.085786723782576</v>
      </c>
      <c r="L13" s="133">
        <f>IF(SER_hh_tesh_in!L13=0,0,SER_hh_tesh_in!L13/SER_summary!L$27)</f>
        <v>30.032477396754082</v>
      </c>
      <c r="M13" s="133">
        <f>IF(SER_hh_tesh_in!M13=0,0,SER_hh_tesh_in!M13/SER_summary!M$27)</f>
        <v>25.940155138050621</v>
      </c>
      <c r="N13" s="133">
        <f>IF(SER_hh_tesh_in!N13=0,0,SER_hh_tesh_in!N13/SER_summary!N$27)</f>
        <v>25.864121944662038</v>
      </c>
      <c r="O13" s="133">
        <f>IF(SER_hh_tesh_in!O13=0,0,SER_hh_tesh_in!O13/SER_summary!O$27)</f>
        <v>35.986761069049585</v>
      </c>
      <c r="P13" s="133">
        <f>IF(SER_hh_tesh_in!P13=0,0,SER_hh_tesh_in!P13/SER_summary!P$27)</f>
        <v>32.532303035329825</v>
      </c>
      <c r="Q13" s="133">
        <f>IF(SER_hh_tesh_in!Q13=0,0,SER_hh_tesh_in!Q13/SER_summary!Q$27)</f>
        <v>34.190498461343005</v>
      </c>
      <c r="R13" s="133">
        <f>IF(SER_hh_tesh_in!R13=0,0,SER_hh_tesh_in!R13/SER_summary!R$27)</f>
        <v>32.421670228620947</v>
      </c>
      <c r="S13" s="133">
        <f>IF(SER_hh_tesh_in!S13=0,0,SER_hh_tesh_in!S13/SER_summary!S$27)</f>
        <v>31.475516454535342</v>
      </c>
      <c r="T13" s="133">
        <f>IF(SER_hh_tesh_in!T13=0,0,SER_hh_tesh_in!T13/SER_summary!T$27)</f>
        <v>30.402856267091501</v>
      </c>
      <c r="U13" s="133">
        <f>IF(SER_hh_tesh_in!U13=0,0,SER_hh_tesh_in!U13/SER_summary!U$27)</f>
        <v>29.562394907788363</v>
      </c>
      <c r="V13" s="133">
        <f>IF(SER_hh_tesh_in!V13=0,0,SER_hh_tesh_in!V13/SER_summary!V$27)</f>
        <v>24.861221974363179</v>
      </c>
      <c r="W13" s="133">
        <f>IF(SER_hh_tesh_in!W13=0,0,SER_hh_tesh_in!W13/SER_summary!W$27)</f>
        <v>21.920871146124441</v>
      </c>
      <c r="DA13" s="157" t="s">
        <v>857</v>
      </c>
    </row>
    <row r="14" spans="1:105" ht="12" customHeight="1" x14ac:dyDescent="0.25">
      <c r="A14" s="60" t="s">
        <v>76</v>
      </c>
      <c r="B14" s="65"/>
      <c r="C14" s="65">
        <f>IF(SER_hh_tesh_in!C14=0,0,SER_hh_tesh_in!C14/SER_summary!C$27)</f>
        <v>15.165102576368191</v>
      </c>
      <c r="D14" s="65">
        <f>IF(SER_hh_tesh_in!D14=0,0,SER_hh_tesh_in!D14/SER_summary!D$27)</f>
        <v>19.392082740774001</v>
      </c>
      <c r="E14" s="65">
        <f>IF(SER_hh_tesh_in!E14=0,0,SER_hh_tesh_in!E14/SER_summary!E$27)</f>
        <v>17.612356391673838</v>
      </c>
      <c r="F14" s="65">
        <f>IF(SER_hh_tesh_in!F14=0,0,SER_hh_tesh_in!F14/SER_summary!F$27)</f>
        <v>18.991193119168429</v>
      </c>
      <c r="G14" s="65">
        <f>IF(SER_hh_tesh_in!G14=0,0,SER_hh_tesh_in!G14/SER_summary!G$27)</f>
        <v>20.38060119111266</v>
      </c>
      <c r="H14" s="65">
        <f>IF(SER_hh_tesh_in!H14=0,0,SER_hh_tesh_in!H14/SER_summary!H$27)</f>
        <v>30.471350062077921</v>
      </c>
      <c r="I14" s="65">
        <f>IF(SER_hh_tesh_in!I14=0,0,SER_hh_tesh_in!I14/SER_summary!I$27)</f>
        <v>29.922019568569802</v>
      </c>
      <c r="J14" s="65">
        <f>IF(SER_hh_tesh_in!J14=0,0,SER_hh_tesh_in!J14/SER_summary!J$27)</f>
        <v>32.797532281440873</v>
      </c>
      <c r="K14" s="65">
        <f>IF(SER_hh_tesh_in!K14=0,0,SER_hh_tesh_in!K14/SER_summary!K$27)</f>
        <v>35.066439251213197</v>
      </c>
      <c r="L14" s="65">
        <f>IF(SER_hh_tesh_in!L14=0,0,SER_hh_tesh_in!L14/SER_summary!L$27)</f>
        <v>37.919560994475461</v>
      </c>
      <c r="M14" s="65">
        <f>IF(SER_hh_tesh_in!M14=0,0,SER_hh_tesh_in!M14/SER_summary!M$27)</f>
        <v>0</v>
      </c>
      <c r="N14" s="65">
        <f>IF(SER_hh_tesh_in!N14=0,0,SER_hh_tesh_in!N14/SER_summary!N$27)</f>
        <v>0</v>
      </c>
      <c r="O14" s="65">
        <f>IF(SER_hh_tesh_in!O14=0,0,SER_hh_tesh_in!O14/SER_summary!O$27)</f>
        <v>0</v>
      </c>
      <c r="P14" s="65">
        <f>IF(SER_hh_tesh_in!P14=0,0,SER_hh_tesh_in!P14/SER_summary!P$27)</f>
        <v>0</v>
      </c>
      <c r="Q14" s="65">
        <f>IF(SER_hh_tesh_in!Q14=0,0,SER_hh_tesh_in!Q14/SER_summary!Q$27)</f>
        <v>27.373771006935151</v>
      </c>
      <c r="R14" s="65">
        <f>IF(SER_hh_tesh_in!R14=0,0,SER_hh_tesh_in!R14/SER_summary!R$27)</f>
        <v>41.80475082556579</v>
      </c>
      <c r="S14" s="65">
        <f>IF(SER_hh_tesh_in!S14=0,0,SER_hh_tesh_in!S14/SER_summary!S$27)</f>
        <v>50.214842770610517</v>
      </c>
      <c r="T14" s="65">
        <f>IF(SER_hh_tesh_in!T14=0,0,SER_hh_tesh_in!T14/SER_summary!T$27)</f>
        <v>49.263093111030514</v>
      </c>
      <c r="U14" s="65">
        <f>IF(SER_hh_tesh_in!U14=0,0,SER_hh_tesh_in!U14/SER_summary!U$27)</f>
        <v>59.313832845296325</v>
      </c>
      <c r="V14" s="65">
        <f>IF(SER_hh_tesh_in!V14=0,0,SER_hh_tesh_in!V14/SER_summary!V$27)</f>
        <v>25.793687000081604</v>
      </c>
      <c r="W14" s="65">
        <f>IF(SER_hh_tesh_in!W14=0,0,SER_hh_tesh_in!W14/SER_summary!W$27)</f>
        <v>41.776750282457442</v>
      </c>
      <c r="DA14" s="109" t="s">
        <v>858</v>
      </c>
    </row>
    <row r="15" spans="1:105" ht="12" customHeight="1" x14ac:dyDescent="0.25">
      <c r="A15" s="134" t="s">
        <v>80</v>
      </c>
      <c r="B15" s="135"/>
      <c r="C15" s="135">
        <f>IF(SER_hh_tesh_in!C15=0,0,SER_hh_tesh_in!C15/SER_summary!C$27)</f>
        <v>0</v>
      </c>
      <c r="D15" s="135">
        <f>IF(SER_hh_tesh_in!D15=0,0,SER_hh_tesh_in!D15/SER_summary!D$27)</f>
        <v>0</v>
      </c>
      <c r="E15" s="135">
        <f>IF(SER_hh_tesh_in!E15=0,0,SER_hh_tesh_in!E15/SER_summary!E$27)</f>
        <v>0</v>
      </c>
      <c r="F15" s="135">
        <f>IF(SER_hh_tesh_in!F15=0,0,SER_hh_tesh_in!F15/SER_summary!F$27)</f>
        <v>0</v>
      </c>
      <c r="G15" s="135">
        <f>IF(SER_hh_tesh_in!G15=0,0,SER_hh_tesh_in!G15/SER_summary!G$27)</f>
        <v>0</v>
      </c>
      <c r="H15" s="135">
        <f>IF(SER_hh_tesh_in!H15=0,0,SER_hh_tesh_in!H15/SER_summary!H$27)</f>
        <v>0</v>
      </c>
      <c r="I15" s="135">
        <f>IF(SER_hh_tesh_in!I15=0,0,SER_hh_tesh_in!I15/SER_summary!I$27)</f>
        <v>0.1752727482354261</v>
      </c>
      <c r="J15" s="135">
        <f>IF(SER_hh_tesh_in!J15=0,0,SER_hh_tesh_in!J15/SER_summary!J$27)</f>
        <v>0.61807455299379066</v>
      </c>
      <c r="K15" s="135">
        <f>IF(SER_hh_tesh_in!K15=0,0,SER_hh_tesh_in!K15/SER_summary!K$27)</f>
        <v>0.53721796684210577</v>
      </c>
      <c r="L15" s="135">
        <f>IF(SER_hh_tesh_in!L15=0,0,SER_hh_tesh_in!L15/SER_summary!L$27)</f>
        <v>0.58847957840877285</v>
      </c>
      <c r="M15" s="135">
        <f>IF(SER_hh_tesh_in!M15=0,0,SER_hh_tesh_in!M15/SER_summary!M$27)</f>
        <v>0.55884239955338799</v>
      </c>
      <c r="N15" s="135">
        <f>IF(SER_hh_tesh_in!N15=0,0,SER_hh_tesh_in!N15/SER_summary!N$27)</f>
        <v>0.46696034837550188</v>
      </c>
      <c r="O15" s="135">
        <f>IF(SER_hh_tesh_in!O15=0,0,SER_hh_tesh_in!O15/SER_summary!O$27)</f>
        <v>0.51066826351494554</v>
      </c>
      <c r="P15" s="135">
        <f>IF(SER_hh_tesh_in!P15=0,0,SER_hh_tesh_in!P15/SER_summary!P$27)</f>
        <v>0.17508407161978742</v>
      </c>
      <c r="Q15" s="135">
        <f>IF(SER_hh_tesh_in!Q15=0,0,SER_hh_tesh_in!Q15/SER_summary!Q$27)</f>
        <v>0.36056298276698956</v>
      </c>
      <c r="R15" s="135">
        <f>IF(SER_hh_tesh_in!R15=0,0,SER_hh_tesh_in!R15/SER_summary!R$27)</f>
        <v>0.4568406158795969</v>
      </c>
      <c r="S15" s="135">
        <f>IF(SER_hh_tesh_in!S15=0,0,SER_hh_tesh_in!S15/SER_summary!S$27)</f>
        <v>0.3836309838913845</v>
      </c>
      <c r="T15" s="135">
        <f>IF(SER_hh_tesh_in!T15=0,0,SER_hh_tesh_in!T15/SER_summary!T$27)</f>
        <v>0.63479122860393389</v>
      </c>
      <c r="U15" s="135">
        <f>IF(SER_hh_tesh_in!U15=0,0,SER_hh_tesh_in!U15/SER_summary!U$27)</f>
        <v>0.57260916900723624</v>
      </c>
      <c r="V15" s="135">
        <f>IF(SER_hh_tesh_in!V15=0,0,SER_hh_tesh_in!V15/SER_summary!V$27)</f>
        <v>0.39361657292629781</v>
      </c>
      <c r="W15" s="135">
        <f>IF(SER_hh_tesh_in!W15=0,0,SER_hh_tesh_in!W15/SER_summary!W$27)</f>
        <v>0.38569804969318605</v>
      </c>
      <c r="DA15" s="158" t="s">
        <v>859</v>
      </c>
    </row>
    <row r="16" spans="1:105" ht="12.95" customHeight="1" x14ac:dyDescent="0.25">
      <c r="A16" s="130" t="s">
        <v>74</v>
      </c>
      <c r="B16" s="131"/>
      <c r="C16" s="131">
        <f>IF(SER_hh_tesh_in!C16=0,0,SER_hh_tesh_in!C16/SER_summary!C$27)</f>
        <v>81.045408910454327</v>
      </c>
      <c r="D16" s="131">
        <f>IF(SER_hh_tesh_in!D16=0,0,SER_hh_tesh_in!D16/SER_summary!D$27)</f>
        <v>78.309386165307714</v>
      </c>
      <c r="E16" s="131">
        <f>IF(SER_hh_tesh_in!E16=0,0,SER_hh_tesh_in!E16/SER_summary!E$27)</f>
        <v>84.634971764316973</v>
      </c>
      <c r="F16" s="131">
        <f>IF(SER_hh_tesh_in!F16=0,0,SER_hh_tesh_in!F16/SER_summary!F$27)</f>
        <v>70.171524186192997</v>
      </c>
      <c r="G16" s="131">
        <f>IF(SER_hh_tesh_in!G16=0,0,SER_hh_tesh_in!G16/SER_summary!G$27)</f>
        <v>64.187803604548321</v>
      </c>
      <c r="H16" s="131">
        <f>IF(SER_hh_tesh_in!H16=0,0,SER_hh_tesh_in!H16/SER_summary!H$27)</f>
        <v>73.854238041094078</v>
      </c>
      <c r="I16" s="131">
        <f>IF(SER_hh_tesh_in!I16=0,0,SER_hh_tesh_in!I16/SER_summary!I$27)</f>
        <v>82.720124948373538</v>
      </c>
      <c r="J16" s="131">
        <f>IF(SER_hh_tesh_in!J16=0,0,SER_hh_tesh_in!J16/SER_summary!J$27)</f>
        <v>84.222933983174755</v>
      </c>
      <c r="K16" s="131">
        <f>IF(SER_hh_tesh_in!K16=0,0,SER_hh_tesh_in!K16/SER_summary!K$27)</f>
        <v>80.668743461932706</v>
      </c>
      <c r="L16" s="131">
        <f>IF(SER_hh_tesh_in!L16=0,0,SER_hh_tesh_in!L16/SER_summary!L$27)</f>
        <v>84.018236964047105</v>
      </c>
      <c r="M16" s="131">
        <f>IF(SER_hh_tesh_in!M16=0,0,SER_hh_tesh_in!M16/SER_summary!M$27)</f>
        <v>71.721026385868157</v>
      </c>
      <c r="N16" s="131">
        <f>IF(SER_hh_tesh_in!N16=0,0,SER_hh_tesh_in!N16/SER_summary!N$27)</f>
        <v>86.11675779610789</v>
      </c>
      <c r="O16" s="131">
        <f>IF(SER_hh_tesh_in!O16=0,0,SER_hh_tesh_in!O16/SER_summary!O$27)</f>
        <v>71.138118151631858</v>
      </c>
      <c r="P16" s="131">
        <f>IF(SER_hh_tesh_in!P16=0,0,SER_hh_tesh_in!P16/SER_summary!P$27)</f>
        <v>62.439163753029725</v>
      </c>
      <c r="Q16" s="131">
        <f>IF(SER_hh_tesh_in!Q16=0,0,SER_hh_tesh_in!Q16/SER_summary!Q$27)</f>
        <v>66.296971633615698</v>
      </c>
      <c r="R16" s="131">
        <f>IF(SER_hh_tesh_in!R16=0,0,SER_hh_tesh_in!R16/SER_summary!R$27)</f>
        <v>73.889994750260001</v>
      </c>
      <c r="S16" s="131">
        <f>IF(SER_hh_tesh_in!S16=0,0,SER_hh_tesh_in!S16/SER_summary!S$27)</f>
        <v>68.475191295680744</v>
      </c>
      <c r="T16" s="131">
        <f>IF(SER_hh_tesh_in!T16=0,0,SER_hh_tesh_in!T16/SER_summary!T$27)</f>
        <v>84.329694109442087</v>
      </c>
      <c r="U16" s="131">
        <f>IF(SER_hh_tesh_in!U16=0,0,SER_hh_tesh_in!U16/SER_summary!U$27)</f>
        <v>69.024527514647616</v>
      </c>
      <c r="V16" s="131">
        <f>IF(SER_hh_tesh_in!V16=0,0,SER_hh_tesh_in!V16/SER_summary!V$27)</f>
        <v>72.28656062774364</v>
      </c>
      <c r="W16" s="131">
        <f>IF(SER_hh_tesh_in!W16=0,0,SER_hh_tesh_in!W16/SER_summary!W$27)</f>
        <v>58.674006986002503</v>
      </c>
      <c r="DA16" s="156" t="s">
        <v>860</v>
      </c>
    </row>
    <row r="17" spans="1:105" ht="12.95" customHeight="1" x14ac:dyDescent="0.25">
      <c r="A17" s="132" t="s">
        <v>73</v>
      </c>
      <c r="B17" s="133"/>
      <c r="C17" s="133">
        <f>IF(SER_hh_tesh_in!C17=0,0,SER_hh_tesh_in!C17/SER_summary!C$27)</f>
        <v>0</v>
      </c>
      <c r="D17" s="133">
        <f>IF(SER_hh_tesh_in!D17=0,0,SER_hh_tesh_in!D17/SER_summary!D$27)</f>
        <v>0</v>
      </c>
      <c r="E17" s="133">
        <f>IF(SER_hh_tesh_in!E17=0,0,SER_hh_tesh_in!E17/SER_summary!E$27)</f>
        <v>0</v>
      </c>
      <c r="F17" s="133">
        <f>IF(SER_hh_tesh_in!F17=0,0,SER_hh_tesh_in!F17/SER_summary!F$27)</f>
        <v>0</v>
      </c>
      <c r="G17" s="133">
        <f>IF(SER_hh_tesh_in!G17=0,0,SER_hh_tesh_in!G17/SER_summary!G$27)</f>
        <v>0</v>
      </c>
      <c r="H17" s="133">
        <f>IF(SER_hh_tesh_in!H17=0,0,SER_hh_tesh_in!H17/SER_summary!H$27)</f>
        <v>0</v>
      </c>
      <c r="I17" s="133">
        <f>IF(SER_hh_tesh_in!I17=0,0,SER_hh_tesh_in!I17/SER_summary!I$27)</f>
        <v>0</v>
      </c>
      <c r="J17" s="133">
        <f>IF(SER_hh_tesh_in!J17=0,0,SER_hh_tesh_in!J17/SER_summary!J$27)</f>
        <v>0</v>
      </c>
      <c r="K17" s="133">
        <f>IF(SER_hh_tesh_in!K17=0,0,SER_hh_tesh_in!K17/SER_summary!K$27)</f>
        <v>0</v>
      </c>
      <c r="L17" s="133">
        <f>IF(SER_hh_tesh_in!L17=0,0,SER_hh_tesh_in!L17/SER_summary!L$27)</f>
        <v>0</v>
      </c>
      <c r="M17" s="133">
        <f>IF(SER_hh_tesh_in!M17=0,0,SER_hh_tesh_in!M17/SER_summary!M$27)</f>
        <v>0</v>
      </c>
      <c r="N17" s="133">
        <f>IF(SER_hh_tesh_in!N17=0,0,SER_hh_tesh_in!N17/SER_summary!N$27)</f>
        <v>0</v>
      </c>
      <c r="O17" s="133">
        <f>IF(SER_hh_tesh_in!O17=0,0,SER_hh_tesh_in!O17/SER_summary!O$27)</f>
        <v>0</v>
      </c>
      <c r="P17" s="133">
        <f>IF(SER_hh_tesh_in!P17=0,0,SER_hh_tesh_in!P17/SER_summary!P$27)</f>
        <v>0</v>
      </c>
      <c r="Q17" s="133">
        <f>IF(SER_hh_tesh_in!Q17=0,0,SER_hh_tesh_in!Q17/SER_summary!Q$27)</f>
        <v>0</v>
      </c>
      <c r="R17" s="133">
        <f>IF(SER_hh_tesh_in!R17=0,0,SER_hh_tesh_in!R17/SER_summary!R$27)</f>
        <v>0</v>
      </c>
      <c r="S17" s="133">
        <f>IF(SER_hh_tesh_in!S17=0,0,SER_hh_tesh_in!S17/SER_summary!S$27)</f>
        <v>0</v>
      </c>
      <c r="T17" s="133">
        <f>IF(SER_hh_tesh_in!T17=0,0,SER_hh_tesh_in!T17/SER_summary!T$27)</f>
        <v>0</v>
      </c>
      <c r="U17" s="133">
        <f>IF(SER_hh_tesh_in!U17=0,0,SER_hh_tesh_in!U17/SER_summary!U$27)</f>
        <v>0</v>
      </c>
      <c r="V17" s="133">
        <f>IF(SER_hh_tesh_in!V17=0,0,SER_hh_tesh_in!V17/SER_summary!V$27)</f>
        <v>0</v>
      </c>
      <c r="W17" s="133">
        <f>IF(SER_hh_tesh_in!W17=0,0,SER_hh_tesh_in!W17/SER_summary!W$27)</f>
        <v>0</v>
      </c>
      <c r="DA17" s="157" t="s">
        <v>861</v>
      </c>
    </row>
    <row r="18" spans="1:105" ht="12" customHeight="1" x14ac:dyDescent="0.25">
      <c r="A18" s="132" t="s">
        <v>72</v>
      </c>
      <c r="B18" s="133"/>
      <c r="C18" s="133">
        <f>IF(SER_hh_tesh_in!C18=0,0,SER_hh_tesh_in!C18/SER_summary!C$27)</f>
        <v>81.045408910454327</v>
      </c>
      <c r="D18" s="133">
        <f>IF(SER_hh_tesh_in!D18=0,0,SER_hh_tesh_in!D18/SER_summary!D$27)</f>
        <v>78.309386165307714</v>
      </c>
      <c r="E18" s="133">
        <f>IF(SER_hh_tesh_in!E18=0,0,SER_hh_tesh_in!E18/SER_summary!E$27)</f>
        <v>84.634971764316973</v>
      </c>
      <c r="F18" s="133">
        <f>IF(SER_hh_tesh_in!F18=0,0,SER_hh_tesh_in!F18/SER_summary!F$27)</f>
        <v>70.171524186192997</v>
      </c>
      <c r="G18" s="133">
        <f>IF(SER_hh_tesh_in!G18=0,0,SER_hh_tesh_in!G18/SER_summary!G$27)</f>
        <v>64.187803604548321</v>
      </c>
      <c r="H18" s="133">
        <f>IF(SER_hh_tesh_in!H18=0,0,SER_hh_tesh_in!H18/SER_summary!H$27)</f>
        <v>73.854238041094078</v>
      </c>
      <c r="I18" s="133">
        <f>IF(SER_hh_tesh_in!I18=0,0,SER_hh_tesh_in!I18/SER_summary!I$27)</f>
        <v>82.720124948373538</v>
      </c>
      <c r="J18" s="133">
        <f>IF(SER_hh_tesh_in!J18=0,0,SER_hh_tesh_in!J18/SER_summary!J$27)</f>
        <v>84.222933983174755</v>
      </c>
      <c r="K18" s="133">
        <f>IF(SER_hh_tesh_in!K18=0,0,SER_hh_tesh_in!K18/SER_summary!K$27)</f>
        <v>80.668743461932706</v>
      </c>
      <c r="L18" s="133">
        <f>IF(SER_hh_tesh_in!L18=0,0,SER_hh_tesh_in!L18/SER_summary!L$27)</f>
        <v>84.018236964047105</v>
      </c>
      <c r="M18" s="133">
        <f>IF(SER_hh_tesh_in!M18=0,0,SER_hh_tesh_in!M18/SER_summary!M$27)</f>
        <v>71.721026385868157</v>
      </c>
      <c r="N18" s="133">
        <f>IF(SER_hh_tesh_in!N18=0,0,SER_hh_tesh_in!N18/SER_summary!N$27)</f>
        <v>86.11675779610789</v>
      </c>
      <c r="O18" s="133">
        <f>IF(SER_hh_tesh_in!O18=0,0,SER_hh_tesh_in!O18/SER_summary!O$27)</f>
        <v>71.138118151631858</v>
      </c>
      <c r="P18" s="133">
        <f>IF(SER_hh_tesh_in!P18=0,0,SER_hh_tesh_in!P18/SER_summary!P$27)</f>
        <v>62.439163753029725</v>
      </c>
      <c r="Q18" s="133">
        <f>IF(SER_hh_tesh_in!Q18=0,0,SER_hh_tesh_in!Q18/SER_summary!Q$27)</f>
        <v>66.296971633615698</v>
      </c>
      <c r="R18" s="133">
        <f>IF(SER_hh_tesh_in!R18=0,0,SER_hh_tesh_in!R18/SER_summary!R$27)</f>
        <v>73.889994750260001</v>
      </c>
      <c r="S18" s="133">
        <f>IF(SER_hh_tesh_in!S18=0,0,SER_hh_tesh_in!S18/SER_summary!S$27)</f>
        <v>68.475191295680744</v>
      </c>
      <c r="T18" s="133">
        <f>IF(SER_hh_tesh_in!T18=0,0,SER_hh_tesh_in!T18/SER_summary!T$27)</f>
        <v>84.329694109442087</v>
      </c>
      <c r="U18" s="133">
        <f>IF(SER_hh_tesh_in!U18=0,0,SER_hh_tesh_in!U18/SER_summary!U$27)</f>
        <v>69.024527514647616</v>
      </c>
      <c r="V18" s="133">
        <f>IF(SER_hh_tesh_in!V18=0,0,SER_hh_tesh_in!V18/SER_summary!V$27)</f>
        <v>72.28656062774364</v>
      </c>
      <c r="W18" s="133">
        <f>IF(SER_hh_tesh_in!W18=0,0,SER_hh_tesh_in!W18/SER_summary!W$27)</f>
        <v>58.674006986002503</v>
      </c>
      <c r="DA18" s="157" t="s">
        <v>862</v>
      </c>
    </row>
    <row r="19" spans="1:105" ht="12.95" customHeight="1" x14ac:dyDescent="0.25">
      <c r="A19" s="130" t="s">
        <v>35</v>
      </c>
      <c r="B19" s="131"/>
      <c r="C19" s="131">
        <f>IF(SER_hh_tesh_in!C19=0,0,SER_hh_tesh_in!C19/SER_summary!C$27)</f>
        <v>12.920631958138632</v>
      </c>
      <c r="D19" s="131">
        <f>IF(SER_hh_tesh_in!D19=0,0,SER_hh_tesh_in!D19/SER_summary!D$27)</f>
        <v>12.883765646571</v>
      </c>
      <c r="E19" s="131">
        <f>IF(SER_hh_tesh_in!E19=0,0,SER_hh_tesh_in!E19/SER_summary!E$27)</f>
        <v>12.846984051458602</v>
      </c>
      <c r="F19" s="131">
        <f>IF(SER_hh_tesh_in!F19=0,0,SER_hh_tesh_in!F19/SER_summary!F$27)</f>
        <v>12.807497881968676</v>
      </c>
      <c r="G19" s="131">
        <f>IF(SER_hh_tesh_in!G19=0,0,SER_hh_tesh_in!G19/SER_summary!G$27)</f>
        <v>12.82824720597346</v>
      </c>
      <c r="H19" s="131">
        <f>IF(SER_hh_tesh_in!H19=0,0,SER_hh_tesh_in!H19/SER_summary!H$27)</f>
        <v>18.987836663711992</v>
      </c>
      <c r="I19" s="131">
        <f>IF(SER_hh_tesh_in!I19=0,0,SER_hh_tesh_in!I19/SER_summary!I$27)</f>
        <v>15.785259886828698</v>
      </c>
      <c r="J19" s="131">
        <f>IF(SER_hh_tesh_in!J19=0,0,SER_hh_tesh_in!J19/SER_summary!J$27)</f>
        <v>14.384541094091572</v>
      </c>
      <c r="K19" s="131">
        <f>IF(SER_hh_tesh_in!K19=0,0,SER_hh_tesh_in!K19/SER_summary!K$27)</f>
        <v>12.431714077259745</v>
      </c>
      <c r="L19" s="131">
        <f>IF(SER_hh_tesh_in!L19=0,0,SER_hh_tesh_in!L19/SER_summary!L$27)</f>
        <v>12.341807805090045</v>
      </c>
      <c r="M19" s="131">
        <f>IF(SER_hh_tesh_in!M19=0,0,SER_hh_tesh_in!M19/SER_summary!M$27)</f>
        <v>12.146293977598219</v>
      </c>
      <c r="N19" s="131">
        <f>IF(SER_hh_tesh_in!N19=0,0,SER_hh_tesh_in!N19/SER_summary!N$27)</f>
        <v>12.110954806841686</v>
      </c>
      <c r="O19" s="131">
        <f>IF(SER_hh_tesh_in!O19=0,0,SER_hh_tesh_in!O19/SER_summary!O$27)</f>
        <v>12.324522647055547</v>
      </c>
      <c r="P19" s="131">
        <f>IF(SER_hh_tesh_in!P19=0,0,SER_hh_tesh_in!P19/SER_summary!P$27)</f>
        <v>15.107340041515531</v>
      </c>
      <c r="Q19" s="131">
        <f>IF(SER_hh_tesh_in!Q19=0,0,SER_hh_tesh_in!Q19/SER_summary!Q$27)</f>
        <v>14.589724788626469</v>
      </c>
      <c r="R19" s="131">
        <f>IF(SER_hh_tesh_in!R19=0,0,SER_hh_tesh_in!R19/SER_summary!R$27)</f>
        <v>13.852839652969109</v>
      </c>
      <c r="S19" s="131">
        <f>IF(SER_hh_tesh_in!S19=0,0,SER_hh_tesh_in!S19/SER_summary!S$27)</f>
        <v>12.904977742492704</v>
      </c>
      <c r="T19" s="131">
        <f>IF(SER_hh_tesh_in!T19=0,0,SER_hh_tesh_in!T19/SER_summary!T$27)</f>
        <v>12.974891715344258</v>
      </c>
      <c r="U19" s="131">
        <f>IF(SER_hh_tesh_in!U19=0,0,SER_hh_tesh_in!U19/SER_summary!U$27)</f>
        <v>12.960577609211091</v>
      </c>
      <c r="V19" s="131">
        <f>IF(SER_hh_tesh_in!V19=0,0,SER_hh_tesh_in!V19/SER_summary!V$27)</f>
        <v>11.673712153266129</v>
      </c>
      <c r="W19" s="131">
        <f>IF(SER_hh_tesh_in!W19=0,0,SER_hh_tesh_in!W19/SER_summary!W$27)</f>
        <v>11.676770738448585</v>
      </c>
      <c r="DA19" s="156" t="s">
        <v>863</v>
      </c>
    </row>
    <row r="20" spans="1:105" ht="12" customHeight="1" x14ac:dyDescent="0.25">
      <c r="A20" s="132" t="s">
        <v>29</v>
      </c>
      <c r="B20" s="133"/>
      <c r="C20" s="133">
        <f>IF(SER_hh_tesh_in!C20=0,0,SER_hh_tesh_in!C20/SER_summary!C$27)</f>
        <v>0</v>
      </c>
      <c r="D20" s="133">
        <f>IF(SER_hh_tesh_in!D20=0,0,SER_hh_tesh_in!D20/SER_summary!D$27)</f>
        <v>0</v>
      </c>
      <c r="E20" s="133">
        <f>IF(SER_hh_tesh_in!E20=0,0,SER_hh_tesh_in!E20/SER_summary!E$27)</f>
        <v>0</v>
      </c>
      <c r="F20" s="133">
        <f>IF(SER_hh_tesh_in!F20=0,0,SER_hh_tesh_in!F20/SER_summary!F$27)</f>
        <v>0</v>
      </c>
      <c r="G20" s="133">
        <f>IF(SER_hh_tesh_in!G20=0,0,SER_hh_tesh_in!G20/SER_summary!G$27)</f>
        <v>0</v>
      </c>
      <c r="H20" s="133">
        <f>IF(SER_hh_tesh_in!H20=0,0,SER_hh_tesh_in!H20/SER_summary!H$27)</f>
        <v>0</v>
      </c>
      <c r="I20" s="133">
        <f>IF(SER_hh_tesh_in!I20=0,0,SER_hh_tesh_in!I20/SER_summary!I$27)</f>
        <v>0</v>
      </c>
      <c r="J20" s="133">
        <f>IF(SER_hh_tesh_in!J20=0,0,SER_hh_tesh_in!J20/SER_summary!J$27)</f>
        <v>0</v>
      </c>
      <c r="K20" s="133">
        <f>IF(SER_hh_tesh_in!K20=0,0,SER_hh_tesh_in!K20/SER_summary!K$27)</f>
        <v>0</v>
      </c>
      <c r="L20" s="133">
        <f>IF(SER_hh_tesh_in!L20=0,0,SER_hh_tesh_in!L20/SER_summary!L$27)</f>
        <v>0</v>
      </c>
      <c r="M20" s="133">
        <f>IF(SER_hh_tesh_in!M20=0,0,SER_hh_tesh_in!M20/SER_summary!M$27)</f>
        <v>0</v>
      </c>
      <c r="N20" s="133">
        <f>IF(SER_hh_tesh_in!N20=0,0,SER_hh_tesh_in!N20/SER_summary!N$27)</f>
        <v>0</v>
      </c>
      <c r="O20" s="133">
        <f>IF(SER_hh_tesh_in!O20=0,0,SER_hh_tesh_in!O20/SER_summary!O$27)</f>
        <v>0</v>
      </c>
      <c r="P20" s="133">
        <f>IF(SER_hh_tesh_in!P20=0,0,SER_hh_tesh_in!P20/SER_summary!P$27)</f>
        <v>0</v>
      </c>
      <c r="Q20" s="133">
        <f>IF(SER_hh_tesh_in!Q20=0,0,SER_hh_tesh_in!Q20/SER_summary!Q$27)</f>
        <v>0</v>
      </c>
      <c r="R20" s="133">
        <f>IF(SER_hh_tesh_in!R20=0,0,SER_hh_tesh_in!R20/SER_summary!R$27)</f>
        <v>0</v>
      </c>
      <c r="S20" s="133">
        <f>IF(SER_hh_tesh_in!S20=0,0,SER_hh_tesh_in!S20/SER_summary!S$27)</f>
        <v>0</v>
      </c>
      <c r="T20" s="133">
        <f>IF(SER_hh_tesh_in!T20=0,0,SER_hh_tesh_in!T20/SER_summary!T$27)</f>
        <v>0</v>
      </c>
      <c r="U20" s="133">
        <f>IF(SER_hh_tesh_in!U20=0,0,SER_hh_tesh_in!U20/SER_summary!U$27)</f>
        <v>0</v>
      </c>
      <c r="V20" s="133">
        <f>IF(SER_hh_tesh_in!V20=0,0,SER_hh_tesh_in!V20/SER_summary!V$27)</f>
        <v>0</v>
      </c>
      <c r="W20" s="133">
        <f>IF(SER_hh_tesh_in!W20=0,0,SER_hh_tesh_in!W20/SER_summary!W$27)</f>
        <v>0</v>
      </c>
      <c r="DA20" s="157" t="s">
        <v>864</v>
      </c>
    </row>
    <row r="21" spans="1:105" s="2" customFormat="1" ht="12" customHeight="1" x14ac:dyDescent="0.25">
      <c r="A21" s="132" t="s">
        <v>52</v>
      </c>
      <c r="B21" s="133"/>
      <c r="C21" s="133">
        <f>IF(SER_hh_tesh_in!C21=0,0,SER_hh_tesh_in!C21/SER_summary!C$27)</f>
        <v>0</v>
      </c>
      <c r="D21" s="133">
        <f>IF(SER_hh_tesh_in!D21=0,0,SER_hh_tesh_in!D21/SER_summary!D$27)</f>
        <v>0</v>
      </c>
      <c r="E21" s="133">
        <f>IF(SER_hh_tesh_in!E21=0,0,SER_hh_tesh_in!E21/SER_summary!E$27)</f>
        <v>0</v>
      </c>
      <c r="F21" s="133">
        <f>IF(SER_hh_tesh_in!F21=0,0,SER_hh_tesh_in!F21/SER_summary!F$27)</f>
        <v>0</v>
      </c>
      <c r="G21" s="133">
        <f>IF(SER_hh_tesh_in!G21=0,0,SER_hh_tesh_in!G21/SER_summary!G$27)</f>
        <v>0</v>
      </c>
      <c r="H21" s="133">
        <f>IF(SER_hh_tesh_in!H21=0,0,SER_hh_tesh_in!H21/SER_summary!H$27)</f>
        <v>8.8479870534101845</v>
      </c>
      <c r="I21" s="133">
        <f>IF(SER_hh_tesh_in!I21=0,0,SER_hh_tesh_in!I21/SER_summary!I$27)</f>
        <v>8.2583828878414689</v>
      </c>
      <c r="J21" s="133">
        <f>IF(SER_hh_tesh_in!J21=0,0,SER_hh_tesh_in!J21/SER_summary!J$27)</f>
        <v>7.9384268109498599</v>
      </c>
      <c r="K21" s="133">
        <f>IF(SER_hh_tesh_in!K21=0,0,SER_hh_tesh_in!K21/SER_summary!K$27)</f>
        <v>10.882350260154588</v>
      </c>
      <c r="L21" s="133">
        <f>IF(SER_hh_tesh_in!L21=0,0,SER_hh_tesh_in!L21/SER_summary!L$27)</f>
        <v>14.27176259503436</v>
      </c>
      <c r="M21" s="133">
        <f>IF(SER_hh_tesh_in!M21=0,0,SER_hh_tesh_in!M21/SER_summary!M$27)</f>
        <v>0</v>
      </c>
      <c r="N21" s="133">
        <f>IF(SER_hh_tesh_in!N21=0,0,SER_hh_tesh_in!N21/SER_summary!N$27)</f>
        <v>0</v>
      </c>
      <c r="O21" s="133">
        <f>IF(SER_hh_tesh_in!O21=0,0,SER_hh_tesh_in!O21/SER_summary!O$27)</f>
        <v>0</v>
      </c>
      <c r="P21" s="133">
        <f>IF(SER_hh_tesh_in!P21=0,0,SER_hh_tesh_in!P21/SER_summary!P$27)</f>
        <v>0</v>
      </c>
      <c r="Q21" s="133">
        <f>IF(SER_hh_tesh_in!Q21=0,0,SER_hh_tesh_in!Q21/SER_summary!Q$27)</f>
        <v>0</v>
      </c>
      <c r="R21" s="133">
        <f>IF(SER_hh_tesh_in!R21=0,0,SER_hh_tesh_in!R21/SER_summary!R$27)</f>
        <v>9.2656082490755605</v>
      </c>
      <c r="S21" s="133">
        <f>IF(SER_hh_tesh_in!S21=0,0,SER_hh_tesh_in!S21/SER_summary!S$27)</f>
        <v>7.929551943236322</v>
      </c>
      <c r="T21" s="133">
        <f>IF(SER_hh_tesh_in!T21=0,0,SER_hh_tesh_in!T21/SER_summary!T$27)</f>
        <v>11.07450479898348</v>
      </c>
      <c r="U21" s="133">
        <f>IF(SER_hh_tesh_in!U21=0,0,SER_hh_tesh_in!U21/SER_summary!U$27)</f>
        <v>11.171638109665475</v>
      </c>
      <c r="V21" s="133">
        <f>IF(SER_hh_tesh_in!V21=0,0,SER_hh_tesh_in!V21/SER_summary!V$27)</f>
        <v>7.6748880282174348</v>
      </c>
      <c r="W21" s="133">
        <f>IF(SER_hh_tesh_in!W21=0,0,SER_hh_tesh_in!W21/SER_summary!W$27)</f>
        <v>9.8738708923493554</v>
      </c>
      <c r="DA21" s="157" t="s">
        <v>865</v>
      </c>
    </row>
    <row r="22" spans="1:105" ht="12" customHeight="1" x14ac:dyDescent="0.25">
      <c r="A22" s="132" t="s">
        <v>168</v>
      </c>
      <c r="B22" s="133"/>
      <c r="C22" s="133">
        <f>IF(SER_hh_tesh_in!C22=0,0,SER_hh_tesh_in!C22/SER_summary!C$27)</f>
        <v>12.33198816757815</v>
      </c>
      <c r="D22" s="133">
        <f>IF(SER_hh_tesh_in!D22=0,0,SER_hh_tesh_in!D22/SER_summary!D$27)</f>
        <v>4.0284433572006382</v>
      </c>
      <c r="E22" s="133">
        <f>IF(SER_hh_tesh_in!E22=0,0,SER_hh_tesh_in!E22/SER_summary!E$27)</f>
        <v>8.876304016131515</v>
      </c>
      <c r="F22" s="133">
        <f>IF(SER_hh_tesh_in!F22=0,0,SER_hh_tesh_in!F22/SER_summary!F$27)</f>
        <v>9.9876597468846828</v>
      </c>
      <c r="G22" s="133">
        <f>IF(SER_hh_tesh_in!G22=0,0,SER_hh_tesh_in!G22/SER_summary!G$27)</f>
        <v>9.2487858434301167</v>
      </c>
      <c r="H22" s="133">
        <f>IF(SER_hh_tesh_in!H22=0,0,SER_hh_tesh_in!H22/SER_summary!H$27)</f>
        <v>12.12047568318861</v>
      </c>
      <c r="I22" s="133">
        <f>IF(SER_hh_tesh_in!I22=0,0,SER_hh_tesh_in!I22/SER_summary!I$27)</f>
        <v>5.889847881409235</v>
      </c>
      <c r="J22" s="133">
        <f>IF(SER_hh_tesh_in!J22=0,0,SER_hh_tesh_in!J22/SER_summary!J$27)</f>
        <v>6.6649145718654683</v>
      </c>
      <c r="K22" s="133">
        <f>IF(SER_hh_tesh_in!K22=0,0,SER_hh_tesh_in!K22/SER_summary!K$27)</f>
        <v>10.26711988308525</v>
      </c>
      <c r="L22" s="133">
        <f>IF(SER_hh_tesh_in!L22=0,0,SER_hh_tesh_in!L22/SER_summary!L$27)</f>
        <v>13.400843725295614</v>
      </c>
      <c r="M22" s="133">
        <f>IF(SER_hh_tesh_in!M22=0,0,SER_hh_tesh_in!M22/SER_summary!M$27)</f>
        <v>11.925043965877673</v>
      </c>
      <c r="N22" s="133">
        <f>IF(SER_hh_tesh_in!N22=0,0,SER_hh_tesh_in!N22/SER_summary!N$27)</f>
        <v>13.815777609725778</v>
      </c>
      <c r="O22" s="133">
        <f>IF(SER_hh_tesh_in!O22=0,0,SER_hh_tesh_in!O22/SER_summary!O$27)</f>
        <v>13.54822647895536</v>
      </c>
      <c r="P22" s="133">
        <f>IF(SER_hh_tesh_in!P22=0,0,SER_hh_tesh_in!P22/SER_summary!P$27)</f>
        <v>10.972303989621594</v>
      </c>
      <c r="Q22" s="133">
        <f>IF(SER_hh_tesh_in!Q22=0,0,SER_hh_tesh_in!Q22/SER_summary!Q$27)</f>
        <v>6.577497482240652</v>
      </c>
      <c r="R22" s="133">
        <f>IF(SER_hh_tesh_in!R22=0,0,SER_hh_tesh_in!R22/SER_summary!R$27)</f>
        <v>8.3320187953616838</v>
      </c>
      <c r="S22" s="133">
        <f>IF(SER_hh_tesh_in!S22=0,0,SER_hh_tesh_in!S22/SER_summary!S$27)</f>
        <v>7.1373069808046008</v>
      </c>
      <c r="T22" s="133">
        <f>IF(SER_hh_tesh_in!T22=0,0,SER_hh_tesh_in!T22/SER_summary!T$27)</f>
        <v>10.753750126744478</v>
      </c>
      <c r="U22" s="133">
        <f>IF(SER_hh_tesh_in!U22=0,0,SER_hh_tesh_in!U22/SER_summary!U$27)</f>
        <v>10.31977168346242</v>
      </c>
      <c r="V22" s="133">
        <f>IF(SER_hh_tesh_in!V22=0,0,SER_hh_tesh_in!V22/SER_summary!V$27)</f>
        <v>7.1514375945711981</v>
      </c>
      <c r="W22" s="133">
        <f>IF(SER_hh_tesh_in!W22=0,0,SER_hh_tesh_in!W22/SER_summary!W$27)</f>
        <v>10.413594071993947</v>
      </c>
      <c r="DA22" s="157" t="s">
        <v>866</v>
      </c>
    </row>
    <row r="23" spans="1:105" ht="12" customHeight="1" x14ac:dyDescent="0.25">
      <c r="A23" s="132" t="s">
        <v>153</v>
      </c>
      <c r="B23" s="133"/>
      <c r="C23" s="133">
        <f>IF(SER_hh_tesh_in!C23=0,0,SER_hh_tesh_in!C23/SER_summary!C$27)</f>
        <v>0</v>
      </c>
      <c r="D23" s="133">
        <f>IF(SER_hh_tesh_in!D23=0,0,SER_hh_tesh_in!D23/SER_summary!D$27)</f>
        <v>0</v>
      </c>
      <c r="E23" s="133">
        <f>IF(SER_hh_tesh_in!E23=0,0,SER_hh_tesh_in!E23/SER_summary!E$27)</f>
        <v>0</v>
      </c>
      <c r="F23" s="133">
        <f>IF(SER_hh_tesh_in!F23=0,0,SER_hh_tesh_in!F23/SER_summary!F$27)</f>
        <v>0</v>
      </c>
      <c r="G23" s="133">
        <f>IF(SER_hh_tesh_in!G23=0,0,SER_hh_tesh_in!G23/SER_summary!G$27)</f>
        <v>0</v>
      </c>
      <c r="H23" s="133">
        <f>IF(SER_hh_tesh_in!H23=0,0,SER_hh_tesh_in!H23/SER_summary!H$27)</f>
        <v>0</v>
      </c>
      <c r="I23" s="133">
        <f>IF(SER_hh_tesh_in!I23=0,0,SER_hh_tesh_in!I23/SER_summary!I$27)</f>
        <v>0</v>
      </c>
      <c r="J23" s="133">
        <f>IF(SER_hh_tesh_in!J23=0,0,SER_hh_tesh_in!J23/SER_summary!J$27)</f>
        <v>0</v>
      </c>
      <c r="K23" s="133">
        <f>IF(SER_hh_tesh_in!K23=0,0,SER_hh_tesh_in!K23/SER_summary!K$27)</f>
        <v>0</v>
      </c>
      <c r="L23" s="133">
        <f>IF(SER_hh_tesh_in!L23=0,0,SER_hh_tesh_in!L23/SER_summary!L$27)</f>
        <v>0</v>
      </c>
      <c r="M23" s="133">
        <f>IF(SER_hh_tesh_in!M23=0,0,SER_hh_tesh_in!M23/SER_summary!M$27)</f>
        <v>0</v>
      </c>
      <c r="N23" s="133">
        <f>IF(SER_hh_tesh_in!N23=0,0,SER_hh_tesh_in!N23/SER_summary!N$27)</f>
        <v>0</v>
      </c>
      <c r="O23" s="133">
        <f>IF(SER_hh_tesh_in!O23=0,0,SER_hh_tesh_in!O23/SER_summary!O$27)</f>
        <v>0</v>
      </c>
      <c r="P23" s="133">
        <f>IF(SER_hh_tesh_in!P23=0,0,SER_hh_tesh_in!P23/SER_summary!P$27)</f>
        <v>0</v>
      </c>
      <c r="Q23" s="133">
        <f>IF(SER_hh_tesh_in!Q23=0,0,SER_hh_tesh_in!Q23/SER_summary!Q$27)</f>
        <v>0</v>
      </c>
      <c r="R23" s="133">
        <f>IF(SER_hh_tesh_in!R23=0,0,SER_hh_tesh_in!R23/SER_summary!R$27)</f>
        <v>0</v>
      </c>
      <c r="S23" s="133">
        <f>IF(SER_hh_tesh_in!S23=0,0,SER_hh_tesh_in!S23/SER_summary!S$27)</f>
        <v>0</v>
      </c>
      <c r="T23" s="133">
        <f>IF(SER_hh_tesh_in!T23=0,0,SER_hh_tesh_in!T23/SER_summary!T$27)</f>
        <v>0</v>
      </c>
      <c r="U23" s="133">
        <f>IF(SER_hh_tesh_in!U23=0,0,SER_hh_tesh_in!U23/SER_summary!U$27)</f>
        <v>0</v>
      </c>
      <c r="V23" s="133">
        <f>IF(SER_hh_tesh_in!V23=0,0,SER_hh_tesh_in!V23/SER_summary!V$27)</f>
        <v>0</v>
      </c>
      <c r="W23" s="133">
        <f>IF(SER_hh_tesh_in!W23=0,0,SER_hh_tesh_in!W23/SER_summary!W$27)</f>
        <v>0</v>
      </c>
      <c r="DA23" s="157" t="s">
        <v>867</v>
      </c>
    </row>
    <row r="24" spans="1:105" ht="12" customHeight="1" x14ac:dyDescent="0.25">
      <c r="A24" s="132" t="s">
        <v>128</v>
      </c>
      <c r="B24" s="133"/>
      <c r="C24" s="133">
        <f>IF(SER_hh_tesh_in!C24=0,0,SER_hh_tesh_in!C24/SER_summary!C$27)</f>
        <v>0</v>
      </c>
      <c r="D24" s="133">
        <f>IF(SER_hh_tesh_in!D24=0,0,SER_hh_tesh_in!D24/SER_summary!D$27)</f>
        <v>0</v>
      </c>
      <c r="E24" s="133">
        <f>IF(SER_hh_tesh_in!E24=0,0,SER_hh_tesh_in!E24/SER_summary!E$27)</f>
        <v>0</v>
      </c>
      <c r="F24" s="133">
        <f>IF(SER_hh_tesh_in!F24=0,0,SER_hh_tesh_in!F24/SER_summary!F$27)</f>
        <v>0</v>
      </c>
      <c r="G24" s="133">
        <f>IF(SER_hh_tesh_in!G24=0,0,SER_hh_tesh_in!G24/SER_summary!G$27)</f>
        <v>0</v>
      </c>
      <c r="H24" s="133">
        <f>IF(SER_hh_tesh_in!H24=0,0,SER_hh_tesh_in!H24/SER_summary!H$27)</f>
        <v>0</v>
      </c>
      <c r="I24" s="133">
        <f>IF(SER_hh_tesh_in!I24=0,0,SER_hh_tesh_in!I24/SER_summary!I$27)</f>
        <v>0</v>
      </c>
      <c r="J24" s="133">
        <f>IF(SER_hh_tesh_in!J24=0,0,SER_hh_tesh_in!J24/SER_summary!J$27)</f>
        <v>0</v>
      </c>
      <c r="K24" s="133">
        <f>IF(SER_hh_tesh_in!K24=0,0,SER_hh_tesh_in!K24/SER_summary!K$27)</f>
        <v>0</v>
      </c>
      <c r="L24" s="133">
        <f>IF(SER_hh_tesh_in!L24=0,0,SER_hh_tesh_in!L24/SER_summary!L$27)</f>
        <v>0</v>
      </c>
      <c r="M24" s="133">
        <f>IF(SER_hh_tesh_in!M24=0,0,SER_hh_tesh_in!M24/SER_summary!M$27)</f>
        <v>0</v>
      </c>
      <c r="N24" s="133">
        <f>IF(SER_hh_tesh_in!N24=0,0,SER_hh_tesh_in!N24/SER_summary!N$27)</f>
        <v>0</v>
      </c>
      <c r="O24" s="133">
        <f>IF(SER_hh_tesh_in!O24=0,0,SER_hh_tesh_in!O24/SER_summary!O$27)</f>
        <v>0</v>
      </c>
      <c r="P24" s="133">
        <f>IF(SER_hh_tesh_in!P24=0,0,SER_hh_tesh_in!P24/SER_summary!P$27)</f>
        <v>0</v>
      </c>
      <c r="Q24" s="133">
        <f>IF(SER_hh_tesh_in!Q24=0,0,SER_hh_tesh_in!Q24/SER_summary!Q$27)</f>
        <v>0</v>
      </c>
      <c r="R24" s="133">
        <f>IF(SER_hh_tesh_in!R24=0,0,SER_hh_tesh_in!R24/SER_summary!R$27)</f>
        <v>0</v>
      </c>
      <c r="S24" s="133">
        <f>IF(SER_hh_tesh_in!S24=0,0,SER_hh_tesh_in!S24/SER_summary!S$27)</f>
        <v>0</v>
      </c>
      <c r="T24" s="133">
        <f>IF(SER_hh_tesh_in!T24=0,0,SER_hh_tesh_in!T24/SER_summary!T$27)</f>
        <v>0</v>
      </c>
      <c r="U24" s="133">
        <f>IF(SER_hh_tesh_in!U24=0,0,SER_hh_tesh_in!U24/SER_summary!U$27)</f>
        <v>0</v>
      </c>
      <c r="V24" s="133">
        <f>IF(SER_hh_tesh_in!V24=0,0,SER_hh_tesh_in!V24/SER_summary!V$27)</f>
        <v>0</v>
      </c>
      <c r="W24" s="133">
        <f>IF(SER_hh_tesh_in!W24=0,0,SER_hh_tesh_in!W24/SER_summary!W$27)</f>
        <v>0</v>
      </c>
      <c r="DA24" s="157" t="s">
        <v>868</v>
      </c>
    </row>
    <row r="25" spans="1:105" ht="12" customHeight="1" x14ac:dyDescent="0.25">
      <c r="A25" s="132" t="s">
        <v>169</v>
      </c>
      <c r="B25" s="133"/>
      <c r="C25" s="133">
        <f>IF(SER_hh_tesh_in!C25=0,0,SER_hh_tesh_in!C25/SER_summary!C$27)</f>
        <v>0</v>
      </c>
      <c r="D25" s="133">
        <f>IF(SER_hh_tesh_in!D25=0,0,SER_hh_tesh_in!D25/SER_summary!D$27)</f>
        <v>0</v>
      </c>
      <c r="E25" s="133">
        <f>IF(SER_hh_tesh_in!E25=0,0,SER_hh_tesh_in!E25/SER_summary!E$27)</f>
        <v>0</v>
      </c>
      <c r="F25" s="133">
        <f>IF(SER_hh_tesh_in!F25=0,0,SER_hh_tesh_in!F25/SER_summary!F$27)</f>
        <v>0</v>
      </c>
      <c r="G25" s="133">
        <f>IF(SER_hh_tesh_in!G25=0,0,SER_hh_tesh_in!G25/SER_summary!G$27)</f>
        <v>0</v>
      </c>
      <c r="H25" s="133">
        <f>IF(SER_hh_tesh_in!H25=0,0,SER_hh_tesh_in!H25/SER_summary!H$27)</f>
        <v>0</v>
      </c>
      <c r="I25" s="133">
        <f>IF(SER_hh_tesh_in!I25=0,0,SER_hh_tesh_in!I25/SER_summary!I$27)</f>
        <v>0</v>
      </c>
      <c r="J25" s="133">
        <f>IF(SER_hh_tesh_in!J25=0,0,SER_hh_tesh_in!J25/SER_summary!J$27)</f>
        <v>0</v>
      </c>
      <c r="K25" s="133">
        <f>IF(SER_hh_tesh_in!K25=0,0,SER_hh_tesh_in!K25/SER_summary!K$27)</f>
        <v>0</v>
      </c>
      <c r="L25" s="133">
        <f>IF(SER_hh_tesh_in!L25=0,0,SER_hh_tesh_in!L25/SER_summary!L$27)</f>
        <v>0</v>
      </c>
      <c r="M25" s="133">
        <f>IF(SER_hh_tesh_in!M25=0,0,SER_hh_tesh_in!M25/SER_summary!M$27)</f>
        <v>0</v>
      </c>
      <c r="N25" s="133">
        <f>IF(SER_hh_tesh_in!N25=0,0,SER_hh_tesh_in!N25/SER_summary!N$27)</f>
        <v>0</v>
      </c>
      <c r="O25" s="133">
        <f>IF(SER_hh_tesh_in!O25=0,0,SER_hh_tesh_in!O25/SER_summary!O$27)</f>
        <v>0</v>
      </c>
      <c r="P25" s="133">
        <f>IF(SER_hh_tesh_in!P25=0,0,SER_hh_tesh_in!P25/SER_summary!P$27)</f>
        <v>0</v>
      </c>
      <c r="Q25" s="133">
        <f>IF(SER_hh_tesh_in!Q25=0,0,SER_hh_tesh_in!Q25/SER_summary!Q$27)</f>
        <v>0</v>
      </c>
      <c r="R25" s="133">
        <f>IF(SER_hh_tesh_in!R25=0,0,SER_hh_tesh_in!R25/SER_summary!R$27)</f>
        <v>0</v>
      </c>
      <c r="S25" s="133">
        <f>IF(SER_hh_tesh_in!S25=0,0,SER_hh_tesh_in!S25/SER_summary!S$27)</f>
        <v>0</v>
      </c>
      <c r="T25" s="133">
        <f>IF(SER_hh_tesh_in!T25=0,0,SER_hh_tesh_in!T25/SER_summary!T$27)</f>
        <v>0</v>
      </c>
      <c r="U25" s="133">
        <f>IF(SER_hh_tesh_in!U25=0,0,SER_hh_tesh_in!U25/SER_summary!U$27)</f>
        <v>0</v>
      </c>
      <c r="V25" s="133">
        <f>IF(SER_hh_tesh_in!V25=0,0,SER_hh_tesh_in!V25/SER_summary!V$27)</f>
        <v>0</v>
      </c>
      <c r="W25" s="133">
        <f>IF(SER_hh_tesh_in!W25=0,0,SER_hh_tesh_in!W25/SER_summary!W$27)</f>
        <v>0</v>
      </c>
      <c r="DA25" s="157" t="s">
        <v>869</v>
      </c>
    </row>
    <row r="26" spans="1:105" ht="12" customHeight="1" x14ac:dyDescent="0.25">
      <c r="A26" s="132" t="s">
        <v>24</v>
      </c>
      <c r="B26" s="65"/>
      <c r="C26" s="65">
        <f>IF(SER_hh_tesh_in!C26=0,0,SER_hh_tesh_in!C26/SER_summary!C$27)</f>
        <v>5.8484976204315782</v>
      </c>
      <c r="D26" s="65">
        <f>IF(SER_hh_tesh_in!D26=0,0,SER_hh_tesh_in!D26/SER_summary!D$27)</f>
        <v>2.4502073872459262</v>
      </c>
      <c r="E26" s="65">
        <f>IF(SER_hh_tesh_in!E26=0,0,SER_hh_tesh_in!E26/SER_summary!E$27)</f>
        <v>3.0865254694207889</v>
      </c>
      <c r="F26" s="65">
        <f>IF(SER_hh_tesh_in!F26=0,0,SER_hh_tesh_in!F26/SER_summary!F$27)</f>
        <v>2.9297412393080844</v>
      </c>
      <c r="G26" s="65">
        <f>IF(SER_hh_tesh_in!G26=0,0,SER_hh_tesh_in!G26/SER_summary!G$27)</f>
        <v>3.550024416446754</v>
      </c>
      <c r="H26" s="65">
        <f>IF(SER_hh_tesh_in!H26=0,0,SER_hh_tesh_in!H26/SER_summary!H$27)</f>
        <v>0</v>
      </c>
      <c r="I26" s="65">
        <f>IF(SER_hh_tesh_in!I26=0,0,SER_hh_tesh_in!I26/SER_summary!I$27)</f>
        <v>0</v>
      </c>
      <c r="J26" s="65">
        <f>IF(SER_hh_tesh_in!J26=0,0,SER_hh_tesh_in!J26/SER_summary!J$27)</f>
        <v>0.10596308038938276</v>
      </c>
      <c r="K26" s="65">
        <f>IF(SER_hh_tesh_in!K26=0,0,SER_hh_tesh_in!K26/SER_summary!K$27)</f>
        <v>0.11214535755597431</v>
      </c>
      <c r="L26" s="65">
        <f>IF(SER_hh_tesh_in!L26=0,0,SER_hh_tesh_in!L26/SER_summary!L$27)</f>
        <v>0.1037216383427544</v>
      </c>
      <c r="M26" s="65">
        <f>IF(SER_hh_tesh_in!M26=0,0,SER_hh_tesh_in!M26/SER_summary!M$27)</f>
        <v>0.10908490191353198</v>
      </c>
      <c r="N26" s="65">
        <f>IF(SER_hh_tesh_in!N26=0,0,SER_hh_tesh_in!N26/SER_summary!N$27)</f>
        <v>3.2491581776502527</v>
      </c>
      <c r="O26" s="65">
        <f>IF(SER_hh_tesh_in!O26=0,0,SER_hh_tesh_in!O26/SER_summary!O$27)</f>
        <v>4.1304148815111414</v>
      </c>
      <c r="P26" s="65">
        <f>IF(SER_hh_tesh_in!P26=0,0,SER_hh_tesh_in!P26/SER_summary!P$27)</f>
        <v>9.0875621913688059E-2</v>
      </c>
      <c r="Q26" s="65">
        <f>IF(SER_hh_tesh_in!Q26=0,0,SER_hh_tesh_in!Q26/SER_summary!Q$27)</f>
        <v>9.2577449988093863E-2</v>
      </c>
      <c r="R26" s="65">
        <f>IF(SER_hh_tesh_in!R26=0,0,SER_hh_tesh_in!R26/SER_summary!R$27)</f>
        <v>9.551711510902347E-2</v>
      </c>
      <c r="S26" s="65">
        <f>IF(SER_hh_tesh_in!S26=0,0,SER_hh_tesh_in!S26/SER_summary!S$27)</f>
        <v>9.6609703139599948E-2</v>
      </c>
      <c r="T26" s="65">
        <f>IF(SER_hh_tesh_in!T26=0,0,SER_hh_tesh_in!T26/SER_summary!T$27)</f>
        <v>9.6024674037269012E-2</v>
      </c>
      <c r="U26" s="65">
        <f>IF(SER_hh_tesh_in!U26=0,0,SER_hh_tesh_in!U26/SER_summary!U$27)</f>
        <v>8.9598375255305437E-2</v>
      </c>
      <c r="V26" s="65">
        <f>IF(SER_hh_tesh_in!V26=0,0,SER_hh_tesh_in!V26/SER_summary!V$27)</f>
        <v>9.1251816773673222E-2</v>
      </c>
      <c r="W26" s="65">
        <f>IF(SER_hh_tesh_in!W26=0,0,SER_hh_tesh_in!W26/SER_summary!W$27)</f>
        <v>9.1959555194716977E-2</v>
      </c>
      <c r="DA26" s="109" t="s">
        <v>870</v>
      </c>
    </row>
    <row r="27" spans="1:105" ht="12" customHeight="1" x14ac:dyDescent="0.25">
      <c r="A27" s="145" t="s">
        <v>86</v>
      </c>
      <c r="B27" s="148"/>
      <c r="C27" s="146">
        <f>IF(SER_hh_tesh_in!C27=0,0,SER_hh_tesh_in!C27/SER_summary!C$27)</f>
        <v>6.8866949431040423</v>
      </c>
      <c r="D27" s="146">
        <f>IF(SER_hh_tesh_in!D27=0,0,SER_hh_tesh_in!D27/SER_summary!D$27)</f>
        <v>10.387225165747612</v>
      </c>
      <c r="E27" s="146">
        <f>IF(SER_hh_tesh_in!E27=0,0,SER_hh_tesh_in!E27/SER_summary!E$27)</f>
        <v>9.5970468397825446</v>
      </c>
      <c r="F27" s="146">
        <f>IF(SER_hh_tesh_in!F27=0,0,SER_hh_tesh_in!F27/SER_summary!F$27)</f>
        <v>9.6784498551859315</v>
      </c>
      <c r="G27" s="146">
        <f>IF(SER_hh_tesh_in!G27=0,0,SER_hh_tesh_in!G27/SER_summary!G$27)</f>
        <v>9.1110253527693441</v>
      </c>
      <c r="H27" s="146">
        <f>IF(SER_hh_tesh_in!H27=0,0,SER_hh_tesh_in!H27/SER_summary!H$27)</f>
        <v>10.101264010912052</v>
      </c>
      <c r="I27" s="146">
        <f>IF(SER_hh_tesh_in!I27=0,0,SER_hh_tesh_in!I27/SER_summary!I$27)</f>
        <v>7.6128766171459299</v>
      </c>
      <c r="J27" s="146">
        <f>IF(SER_hh_tesh_in!J27=0,0,SER_hh_tesh_in!J27/SER_summary!J$27)</f>
        <v>6.9758199762221658</v>
      </c>
      <c r="K27" s="146">
        <f>IF(SER_hh_tesh_in!K27=0,0,SER_hh_tesh_in!K27/SER_summary!K$27)</f>
        <v>11.108461261344395</v>
      </c>
      <c r="L27" s="146">
        <f>IF(SER_hh_tesh_in!L27=0,0,SER_hh_tesh_in!L27/SER_summary!L$27)</f>
        <v>11.183612641674129</v>
      </c>
      <c r="M27" s="146">
        <f>IF(SER_hh_tesh_in!M27=0,0,SER_hh_tesh_in!M27/SER_summary!M$27)</f>
        <v>11.689769938628253</v>
      </c>
      <c r="N27" s="146">
        <f>IF(SER_hh_tesh_in!N27=0,0,SER_hh_tesh_in!N27/SER_summary!N$27)</f>
        <v>8.5756524970639045</v>
      </c>
      <c r="O27" s="146">
        <f>IF(SER_hh_tesh_in!O27=0,0,SER_hh_tesh_in!O27/SER_summary!O$27)</f>
        <v>7.9171942807385784</v>
      </c>
      <c r="P27" s="146">
        <f>IF(SER_hh_tesh_in!P27=0,0,SER_hh_tesh_in!P27/SER_summary!P$27)</f>
        <v>14.695623356500235</v>
      </c>
      <c r="Q27" s="146">
        <f>IF(SER_hh_tesh_in!Q27=0,0,SER_hh_tesh_in!Q27/SER_summary!Q$27)</f>
        <v>14.188144795673864</v>
      </c>
      <c r="R27" s="146">
        <f>IF(SER_hh_tesh_in!R27=0,0,SER_hh_tesh_in!R27/SER_summary!R$27)</f>
        <v>13.217188456217054</v>
      </c>
      <c r="S27" s="146">
        <f>IF(SER_hh_tesh_in!S27=0,0,SER_hh_tesh_in!S27/SER_summary!S$27)</f>
        <v>11.42495319245965</v>
      </c>
      <c r="T27" s="146">
        <f>IF(SER_hh_tesh_in!T27=0,0,SER_hh_tesh_in!T27/SER_summary!T$27)</f>
        <v>10.548171272462129</v>
      </c>
      <c r="U27" s="146">
        <f>IF(SER_hh_tesh_in!U27=0,0,SER_hh_tesh_in!U27/SER_summary!U$27)</f>
        <v>9.5516510385527376</v>
      </c>
      <c r="V27" s="146">
        <f>IF(SER_hh_tesh_in!V27=0,0,SER_hh_tesh_in!V27/SER_summary!V$27)</f>
        <v>10.097266048662078</v>
      </c>
      <c r="W27" s="146">
        <f>IF(SER_hh_tesh_in!W27=0,0,SER_hh_tesh_in!W27/SER_summary!W$27)</f>
        <v>7.9546053890798705</v>
      </c>
      <c r="DA27" s="159" t="s">
        <v>871</v>
      </c>
    </row>
    <row r="28" spans="1:105" ht="12" customHeight="1" x14ac:dyDescent="0.25">
      <c r="A28" s="78" t="s">
        <v>85</v>
      </c>
      <c r="B28" s="68"/>
      <c r="C28" s="147">
        <f>IF(SER_hh_tesh_in!C28=0,0,SER_hh_tesh_in!C28/SER_summary!C$27)</f>
        <v>11.262886653217073</v>
      </c>
      <c r="D28" s="147">
        <f>IF(SER_hh_tesh_in!D28=0,0,SER_hh_tesh_in!D28/SER_summary!D$27)</f>
        <v>10.387225165747612</v>
      </c>
      <c r="E28" s="147">
        <f>IF(SER_hh_tesh_in!E28=0,0,SER_hh_tesh_in!E28/SER_summary!E$27)</f>
        <v>9.7182441801863799</v>
      </c>
      <c r="F28" s="147">
        <f>IF(SER_hh_tesh_in!F28=0,0,SER_hh_tesh_in!F28/SER_summary!F$27)</f>
        <v>9.8289718156219905</v>
      </c>
      <c r="G28" s="147">
        <f>IF(SER_hh_tesh_in!G28=0,0,SER_hh_tesh_in!G28/SER_summary!G$27)</f>
        <v>9.2078445360807102</v>
      </c>
      <c r="H28" s="147">
        <f>IF(SER_hh_tesh_in!H28=0,0,SER_hh_tesh_in!H28/SER_summary!H$27)</f>
        <v>10.200861102334636</v>
      </c>
      <c r="I28" s="147">
        <f>IF(SER_hh_tesh_in!I28=0,0,SER_hh_tesh_in!I28/SER_summary!I$27)</f>
        <v>7.612876617145929</v>
      </c>
      <c r="J28" s="147">
        <f>IF(SER_hh_tesh_in!J28=0,0,SER_hh_tesh_in!J28/SER_summary!J$27)</f>
        <v>6.9758199762221675</v>
      </c>
      <c r="K28" s="147">
        <f>IF(SER_hh_tesh_in!K28=0,0,SER_hh_tesh_in!K28/SER_summary!K$27)</f>
        <v>11.744690431356213</v>
      </c>
      <c r="L28" s="147">
        <f>IF(SER_hh_tesh_in!L28=0,0,SER_hh_tesh_in!L28/SER_summary!L$27)</f>
        <v>12.04621302438432</v>
      </c>
      <c r="M28" s="147">
        <f>IF(SER_hh_tesh_in!M28=0,0,SER_hh_tesh_in!M28/SER_summary!M$27)</f>
        <v>11.94563617393475</v>
      </c>
      <c r="N28" s="147">
        <f>IF(SER_hh_tesh_in!N28=0,0,SER_hh_tesh_in!N28/SER_summary!N$27)</f>
        <v>12.890178779321316</v>
      </c>
      <c r="O28" s="147">
        <f>IF(SER_hh_tesh_in!O28=0,0,SER_hh_tesh_in!O28/SER_summary!O$27)</f>
        <v>14.95464171324328</v>
      </c>
      <c r="P28" s="147">
        <f>IF(SER_hh_tesh_in!P28=0,0,SER_hh_tesh_in!P28/SER_summary!P$27)</f>
        <v>14.98238231334169</v>
      </c>
      <c r="Q28" s="147">
        <f>IF(SER_hh_tesh_in!Q28=0,0,SER_hh_tesh_in!Q28/SER_summary!Q$27)</f>
        <v>14.188144795673866</v>
      </c>
      <c r="R28" s="147">
        <f>IF(SER_hh_tesh_in!R28=0,0,SER_hh_tesh_in!R28/SER_summary!R$27)</f>
        <v>13.403727626243944</v>
      </c>
      <c r="S28" s="147">
        <f>IF(SER_hh_tesh_in!S28=0,0,SER_hh_tesh_in!S28/SER_summary!S$27)</f>
        <v>11.42495319245965</v>
      </c>
      <c r="T28" s="147">
        <f>IF(SER_hh_tesh_in!T28=0,0,SER_hh_tesh_in!T28/SER_summary!T$27)</f>
        <v>12.060922067739996</v>
      </c>
      <c r="U28" s="147">
        <f>IF(SER_hh_tesh_in!U28=0,0,SER_hh_tesh_in!U28/SER_summary!U$27)</f>
        <v>11.490590439904825</v>
      </c>
      <c r="V28" s="147">
        <f>IF(SER_hh_tesh_in!V28=0,0,SER_hh_tesh_in!V28/SER_summary!V$27)</f>
        <v>10.379094519500235</v>
      </c>
      <c r="W28" s="147">
        <f>IF(SER_hh_tesh_in!W28=0,0,SER_hh_tesh_in!W28/SER_summary!W$27)</f>
        <v>9.9307198402862014</v>
      </c>
      <c r="DA28" s="160"/>
    </row>
    <row r="29" spans="1:105" ht="12.95" customHeight="1" x14ac:dyDescent="0.25">
      <c r="A29" s="130" t="s">
        <v>34</v>
      </c>
      <c r="B29" s="131"/>
      <c r="C29" s="131">
        <f>IF(SER_hh_tesh_in!C29=0,0,SER_hh_tesh_in!C29/SER_summary!C$27)</f>
        <v>12.662507162853107</v>
      </c>
      <c r="D29" s="131">
        <f>IF(SER_hh_tesh_in!D29=0,0,SER_hh_tesh_in!D29/SER_summary!D$27)</f>
        <v>12.857794121940868</v>
      </c>
      <c r="E29" s="131">
        <f>IF(SER_hh_tesh_in!E29=0,0,SER_hh_tesh_in!E29/SER_summary!E$27)</f>
        <v>12.85437023326023</v>
      </c>
      <c r="F29" s="131">
        <f>IF(SER_hh_tesh_in!F29=0,0,SER_hh_tesh_in!F29/SER_summary!F$27)</f>
        <v>13.120280961062612</v>
      </c>
      <c r="G29" s="131">
        <f>IF(SER_hh_tesh_in!G29=0,0,SER_hh_tesh_in!G29/SER_summary!G$27)</f>
        <v>13.35022628031887</v>
      </c>
      <c r="H29" s="131">
        <f>IF(SER_hh_tesh_in!H29=0,0,SER_hh_tesh_in!H29/SER_summary!H$27)</f>
        <v>17.980884387713466</v>
      </c>
      <c r="I29" s="131">
        <f>IF(SER_hh_tesh_in!I29=0,0,SER_hh_tesh_in!I29/SER_summary!I$27)</f>
        <v>13.939631093655477</v>
      </c>
      <c r="J29" s="131">
        <f>IF(SER_hh_tesh_in!J29=0,0,SER_hh_tesh_in!J29/SER_summary!J$27)</f>
        <v>13.579196285742832</v>
      </c>
      <c r="K29" s="131">
        <f>IF(SER_hh_tesh_in!K29=0,0,SER_hh_tesh_in!K29/SER_summary!K$27)</f>
        <v>13.752288957619969</v>
      </c>
      <c r="L29" s="131">
        <f>IF(SER_hh_tesh_in!L29=0,0,SER_hh_tesh_in!L29/SER_summary!L$27)</f>
        <v>13.647767223328673</v>
      </c>
      <c r="M29" s="131">
        <f>IF(SER_hh_tesh_in!M29=0,0,SER_hh_tesh_in!M29/SER_summary!M$27)</f>
        <v>13.390993994858752</v>
      </c>
      <c r="N29" s="131">
        <f>IF(SER_hh_tesh_in!N29=0,0,SER_hh_tesh_in!N29/SER_summary!N$27)</f>
        <v>13.34858026223141</v>
      </c>
      <c r="O29" s="131">
        <f>IF(SER_hh_tesh_in!O29=0,0,SER_hh_tesh_in!O29/SER_summary!O$27)</f>
        <v>13.376866032221848</v>
      </c>
      <c r="P29" s="131">
        <f>IF(SER_hh_tesh_in!P29=0,0,SER_hh_tesh_in!P29/SER_summary!P$27)</f>
        <v>13.700337129946837</v>
      </c>
      <c r="Q29" s="131">
        <f>IF(SER_hh_tesh_in!Q29=0,0,SER_hh_tesh_in!Q29/SER_summary!Q$27)</f>
        <v>13.493918181974765</v>
      </c>
      <c r="R29" s="131">
        <f>IF(SER_hh_tesh_in!R29=0,0,SER_hh_tesh_in!R29/SER_summary!R$27)</f>
        <v>13.094791219426037</v>
      </c>
      <c r="S29" s="131">
        <f>IF(SER_hh_tesh_in!S29=0,0,SER_hh_tesh_in!S29/SER_summary!S$27)</f>
        <v>13.618079705281266</v>
      </c>
      <c r="T29" s="131">
        <f>IF(SER_hh_tesh_in!T29=0,0,SER_hh_tesh_in!T29/SER_summary!T$27)</f>
        <v>13.530289182987191</v>
      </c>
      <c r="U29" s="131">
        <f>IF(SER_hh_tesh_in!U29=0,0,SER_hh_tesh_in!U29/SER_summary!U$27)</f>
        <v>12.593817247615505</v>
      </c>
      <c r="V29" s="131">
        <f>IF(SER_hh_tesh_in!V29=0,0,SER_hh_tesh_in!V29/SER_summary!V$27)</f>
        <v>11.935580477955844</v>
      </c>
      <c r="W29" s="131">
        <f>IF(SER_hh_tesh_in!W29=0,0,SER_hh_tesh_in!W29/SER_summary!W$27)</f>
        <v>13.204996749509762</v>
      </c>
      <c r="DA29" s="156" t="s">
        <v>872</v>
      </c>
    </row>
    <row r="30" spans="1:105" s="2" customFormat="1" ht="12" customHeight="1" x14ac:dyDescent="0.25">
      <c r="A30" s="132" t="s">
        <v>52</v>
      </c>
      <c r="B30" s="133"/>
      <c r="C30" s="133">
        <f>IF(SER_hh_tesh_in!C30=0,0,SER_hh_tesh_in!C30/SER_summary!C$27)</f>
        <v>0</v>
      </c>
      <c r="D30" s="133">
        <f>IF(SER_hh_tesh_in!D30=0,0,SER_hh_tesh_in!D30/SER_summary!D$27)</f>
        <v>0</v>
      </c>
      <c r="E30" s="133">
        <f>IF(SER_hh_tesh_in!E30=0,0,SER_hh_tesh_in!E30/SER_summary!E$27)</f>
        <v>0</v>
      </c>
      <c r="F30" s="133">
        <f>IF(SER_hh_tesh_in!F30=0,0,SER_hh_tesh_in!F30/SER_summary!F$27)</f>
        <v>0</v>
      </c>
      <c r="G30" s="133">
        <f>IF(SER_hh_tesh_in!G30=0,0,SER_hh_tesh_in!G30/SER_summary!G$27)</f>
        <v>0</v>
      </c>
      <c r="H30" s="133">
        <f>IF(SER_hh_tesh_in!H30=0,0,SER_hh_tesh_in!H30/SER_summary!H$27)</f>
        <v>18.883518400134761</v>
      </c>
      <c r="I30" s="133">
        <f>IF(SER_hh_tesh_in!I30=0,0,SER_hh_tesh_in!I30/SER_summary!I$27)</f>
        <v>14.440564703842384</v>
      </c>
      <c r="J30" s="133">
        <f>IF(SER_hh_tesh_in!J30=0,0,SER_hh_tesh_in!J30/SER_summary!J$27)</f>
        <v>15.069114062909</v>
      </c>
      <c r="K30" s="133">
        <f>IF(SER_hh_tesh_in!K30=0,0,SER_hh_tesh_in!K30/SER_summary!K$27)</f>
        <v>0</v>
      </c>
      <c r="L30" s="133">
        <f>IF(SER_hh_tesh_in!L30=0,0,SER_hh_tesh_in!L30/SER_summary!L$27)</f>
        <v>11.770531948914595</v>
      </c>
      <c r="M30" s="133">
        <f>IF(SER_hh_tesh_in!M30=0,0,SER_hh_tesh_in!M30/SER_summary!M$27)</f>
        <v>14.110073336479923</v>
      </c>
      <c r="N30" s="133">
        <f>IF(SER_hh_tesh_in!N30=0,0,SER_hh_tesh_in!N30/SER_summary!N$27)</f>
        <v>14.568811281653003</v>
      </c>
      <c r="O30" s="133">
        <f>IF(SER_hh_tesh_in!O30=0,0,SER_hh_tesh_in!O30/SER_summary!O$27)</f>
        <v>13.549265754190317</v>
      </c>
      <c r="P30" s="133">
        <f>IF(SER_hh_tesh_in!P30=0,0,SER_hh_tesh_in!P30/SER_summary!P$27)</f>
        <v>11.856609628157402</v>
      </c>
      <c r="Q30" s="133">
        <f>IF(SER_hh_tesh_in!Q30=0,0,SER_hh_tesh_in!Q30/SER_summary!Q$27)</f>
        <v>13.548373938481474</v>
      </c>
      <c r="R30" s="133">
        <f>IF(SER_hh_tesh_in!R30=0,0,SER_hh_tesh_in!R30/SER_summary!R$27)</f>
        <v>12.078128900783474</v>
      </c>
      <c r="S30" s="133">
        <f>IF(SER_hh_tesh_in!S30=0,0,SER_hh_tesh_in!S30/SER_summary!S$27)</f>
        <v>13.940910161616854</v>
      </c>
      <c r="T30" s="133">
        <f>IF(SER_hh_tesh_in!T30=0,0,SER_hh_tesh_in!T30/SER_summary!T$27)</f>
        <v>14.490076600163642</v>
      </c>
      <c r="U30" s="133">
        <f>IF(SER_hh_tesh_in!U30=0,0,SER_hh_tesh_in!U30/SER_summary!U$27)</f>
        <v>18.369856364303292</v>
      </c>
      <c r="V30" s="133">
        <f>IF(SER_hh_tesh_in!V30=0,0,SER_hh_tesh_in!V30/SER_summary!V$27)</f>
        <v>12.864716353505823</v>
      </c>
      <c r="W30" s="133">
        <f>IF(SER_hh_tesh_in!W30=0,0,SER_hh_tesh_in!W30/SER_summary!W$27)</f>
        <v>11.305450060744665</v>
      </c>
      <c r="DA30" s="157" t="s">
        <v>873</v>
      </c>
    </row>
    <row r="31" spans="1:105" ht="12" customHeight="1" x14ac:dyDescent="0.25">
      <c r="A31" s="132" t="s">
        <v>153</v>
      </c>
      <c r="B31" s="133"/>
      <c r="C31" s="133">
        <f>IF(SER_hh_tesh_in!C31=0,0,SER_hh_tesh_in!C31/SER_summary!C$27)</f>
        <v>0</v>
      </c>
      <c r="D31" s="133">
        <f>IF(SER_hh_tesh_in!D31=0,0,SER_hh_tesh_in!D31/SER_summary!D$27)</f>
        <v>0</v>
      </c>
      <c r="E31" s="133">
        <f>IF(SER_hh_tesh_in!E31=0,0,SER_hh_tesh_in!E31/SER_summary!E$27)</f>
        <v>0</v>
      </c>
      <c r="F31" s="133">
        <f>IF(SER_hh_tesh_in!F31=0,0,SER_hh_tesh_in!F31/SER_summary!F$27)</f>
        <v>0</v>
      </c>
      <c r="G31" s="133">
        <f>IF(SER_hh_tesh_in!G31=0,0,SER_hh_tesh_in!G31/SER_summary!G$27)</f>
        <v>0</v>
      </c>
      <c r="H31" s="133">
        <f>IF(SER_hh_tesh_in!H31=0,0,SER_hh_tesh_in!H31/SER_summary!H$27)</f>
        <v>0</v>
      </c>
      <c r="I31" s="133">
        <f>IF(SER_hh_tesh_in!I31=0,0,SER_hh_tesh_in!I31/SER_summary!I$27)</f>
        <v>0</v>
      </c>
      <c r="J31" s="133">
        <f>IF(SER_hh_tesh_in!J31=0,0,SER_hh_tesh_in!J31/SER_summary!J$27)</f>
        <v>0</v>
      </c>
      <c r="K31" s="133">
        <f>IF(SER_hh_tesh_in!K31=0,0,SER_hh_tesh_in!K31/SER_summary!K$27)</f>
        <v>0</v>
      </c>
      <c r="L31" s="133">
        <f>IF(SER_hh_tesh_in!L31=0,0,SER_hh_tesh_in!L31/SER_summary!L$27)</f>
        <v>0</v>
      </c>
      <c r="M31" s="133">
        <f>IF(SER_hh_tesh_in!M31=0,0,SER_hh_tesh_in!M31/SER_summary!M$27)</f>
        <v>0</v>
      </c>
      <c r="N31" s="133">
        <f>IF(SER_hh_tesh_in!N31=0,0,SER_hh_tesh_in!N31/SER_summary!N$27)</f>
        <v>0</v>
      </c>
      <c r="O31" s="133">
        <f>IF(SER_hh_tesh_in!O31=0,0,SER_hh_tesh_in!O31/SER_summary!O$27)</f>
        <v>0</v>
      </c>
      <c r="P31" s="133">
        <f>IF(SER_hh_tesh_in!P31=0,0,SER_hh_tesh_in!P31/SER_summary!P$27)</f>
        <v>0</v>
      </c>
      <c r="Q31" s="133">
        <f>IF(SER_hh_tesh_in!Q31=0,0,SER_hh_tesh_in!Q31/SER_summary!Q$27)</f>
        <v>0</v>
      </c>
      <c r="R31" s="133">
        <f>IF(SER_hh_tesh_in!R31=0,0,SER_hh_tesh_in!R31/SER_summary!R$27)</f>
        <v>0</v>
      </c>
      <c r="S31" s="133">
        <f>IF(SER_hh_tesh_in!S31=0,0,SER_hh_tesh_in!S31/SER_summary!S$27)</f>
        <v>0</v>
      </c>
      <c r="T31" s="133">
        <f>IF(SER_hh_tesh_in!T31=0,0,SER_hh_tesh_in!T31/SER_summary!T$27)</f>
        <v>0</v>
      </c>
      <c r="U31" s="133">
        <f>IF(SER_hh_tesh_in!U31=0,0,SER_hh_tesh_in!U31/SER_summary!U$27)</f>
        <v>0</v>
      </c>
      <c r="V31" s="133">
        <f>IF(SER_hh_tesh_in!V31=0,0,SER_hh_tesh_in!V31/SER_summary!V$27)</f>
        <v>0</v>
      </c>
      <c r="W31" s="133">
        <f>IF(SER_hh_tesh_in!W31=0,0,SER_hh_tesh_in!W31/SER_summary!W$27)</f>
        <v>0</v>
      </c>
      <c r="DA31" s="157" t="s">
        <v>874</v>
      </c>
    </row>
    <row r="32" spans="1:105" ht="12" customHeight="1" x14ac:dyDescent="0.25">
      <c r="A32" s="132" t="s">
        <v>128</v>
      </c>
      <c r="B32" s="133"/>
      <c r="C32" s="133">
        <f>IF(SER_hh_tesh_in!C32=0,0,SER_hh_tesh_in!C32/SER_summary!C$27)</f>
        <v>11.580429448949504</v>
      </c>
      <c r="D32" s="133">
        <f>IF(SER_hh_tesh_in!D32=0,0,SER_hh_tesh_in!D32/SER_summary!D$27)</f>
        <v>13.744389033873263</v>
      </c>
      <c r="E32" s="133">
        <f>IF(SER_hh_tesh_in!E32=0,0,SER_hh_tesh_in!E32/SER_summary!E$27)</f>
        <v>12.241298446958696</v>
      </c>
      <c r="F32" s="133">
        <f>IF(SER_hh_tesh_in!F32=0,0,SER_hh_tesh_in!F32/SER_summary!F$27)</f>
        <v>12.800306470458354</v>
      </c>
      <c r="G32" s="133">
        <f>IF(SER_hh_tesh_in!G32=0,0,SER_hh_tesh_in!G32/SER_summary!G$27)</f>
        <v>13.745424530660442</v>
      </c>
      <c r="H32" s="133">
        <f>IF(SER_hh_tesh_in!H32=0,0,SER_hh_tesh_in!H32/SER_summary!H$27)</f>
        <v>12.188997679048748</v>
      </c>
      <c r="I32" s="133">
        <f>IF(SER_hh_tesh_in!I32=0,0,SER_hh_tesh_in!I32/SER_summary!I$27)</f>
        <v>14.777617259107101</v>
      </c>
      <c r="J32" s="133">
        <f>IF(SER_hh_tesh_in!J32=0,0,SER_hh_tesh_in!J32/SER_summary!J$27)</f>
        <v>13.9973523905006</v>
      </c>
      <c r="K32" s="133">
        <f>IF(SER_hh_tesh_in!K32=0,0,SER_hh_tesh_in!K32/SER_summary!K$27)</f>
        <v>13.440215404001693</v>
      </c>
      <c r="L32" s="133">
        <f>IF(SER_hh_tesh_in!L32=0,0,SER_hh_tesh_in!L32/SER_summary!L$27)</f>
        <v>13.406635944806302</v>
      </c>
      <c r="M32" s="133">
        <f>IF(SER_hh_tesh_in!M32=0,0,SER_hh_tesh_in!M32/SER_summary!M$27)</f>
        <v>13.384328281992664</v>
      </c>
      <c r="N32" s="133">
        <f>IF(SER_hh_tesh_in!N32=0,0,SER_hh_tesh_in!N32/SER_summary!N$27)</f>
        <v>13.398117231646189</v>
      </c>
      <c r="O32" s="133">
        <f>IF(SER_hh_tesh_in!O32=0,0,SER_hh_tesh_in!O32/SER_summary!O$27)</f>
        <v>13.464600998256822</v>
      </c>
      <c r="P32" s="133">
        <f>IF(SER_hh_tesh_in!P32=0,0,SER_hh_tesh_in!P32/SER_summary!P$27)</f>
        <v>13.582602675016151</v>
      </c>
      <c r="Q32" s="133">
        <f>IF(SER_hh_tesh_in!Q32=0,0,SER_hh_tesh_in!Q32/SER_summary!Q$27)</f>
        <v>13.328648754041525</v>
      </c>
      <c r="R32" s="133">
        <f>IF(SER_hh_tesh_in!R32=0,0,SER_hh_tesh_in!R32/SER_summary!R$27)</f>
        <v>13.329034132368614</v>
      </c>
      <c r="S32" s="133">
        <f>IF(SER_hh_tesh_in!S32=0,0,SER_hh_tesh_in!S32/SER_summary!S$27)</f>
        <v>13.080410843501342</v>
      </c>
      <c r="T32" s="133">
        <f>IF(SER_hh_tesh_in!T32=0,0,SER_hh_tesh_in!T32/SER_summary!T$27)</f>
        <v>12.494261588895672</v>
      </c>
      <c r="U32" s="133">
        <f>IF(SER_hh_tesh_in!U32=0,0,SER_hh_tesh_in!U32/SER_summary!U$27)</f>
        <v>14.324509939682459</v>
      </c>
      <c r="V32" s="133">
        <f>IF(SER_hh_tesh_in!V32=0,0,SER_hh_tesh_in!V32/SER_summary!V$27)</f>
        <v>13.545022413961018</v>
      </c>
      <c r="W32" s="133">
        <f>IF(SER_hh_tesh_in!W32=0,0,SER_hh_tesh_in!W32/SER_summary!W$27)</f>
        <v>9.0828712944810217</v>
      </c>
      <c r="DA32" s="157" t="s">
        <v>875</v>
      </c>
    </row>
    <row r="33" spans="1:105" ht="12" customHeight="1" x14ac:dyDescent="0.25">
      <c r="A33" s="62" t="s">
        <v>24</v>
      </c>
      <c r="B33" s="68"/>
      <c r="C33" s="68">
        <f>IF(SER_hh_tesh_in!C33=0,0,SER_hh_tesh_in!C33/SER_summary!C$27)</f>
        <v>12.787972651333567</v>
      </c>
      <c r="D33" s="68">
        <f>IF(SER_hh_tesh_in!D33=0,0,SER_hh_tesh_in!D33/SER_summary!D$27)</f>
        <v>12.688269008277747</v>
      </c>
      <c r="E33" s="68">
        <f>IF(SER_hh_tesh_in!E33=0,0,SER_hh_tesh_in!E33/SER_summary!E$27)</f>
        <v>12.95164493384701</v>
      </c>
      <c r="F33" s="68">
        <f>IF(SER_hh_tesh_in!F33=0,0,SER_hh_tesh_in!F33/SER_summary!F$27)</f>
        <v>13.178157151775016</v>
      </c>
      <c r="G33" s="68">
        <f>IF(SER_hh_tesh_in!G33=0,0,SER_hh_tesh_in!G33/SER_summary!G$27)</f>
        <v>13.261298336725115</v>
      </c>
      <c r="H33" s="68">
        <f>IF(SER_hh_tesh_in!H33=0,0,SER_hh_tesh_in!H33/SER_summary!H$27)</f>
        <v>0</v>
      </c>
      <c r="I33" s="68">
        <f>IF(SER_hh_tesh_in!I33=0,0,SER_hh_tesh_in!I33/SER_summary!I$27)</f>
        <v>12.972709751457021</v>
      </c>
      <c r="J33" s="68">
        <f>IF(SER_hh_tesh_in!J33=0,0,SER_hh_tesh_in!J33/SER_summary!J$27)</f>
        <v>13.156326950953348</v>
      </c>
      <c r="K33" s="68">
        <f>IF(SER_hh_tesh_in!K33=0,0,SER_hh_tesh_in!K33/SER_summary!K$27)</f>
        <v>13.782954156110504</v>
      </c>
      <c r="L33" s="68">
        <f>IF(SER_hh_tesh_in!L33=0,0,SER_hh_tesh_in!L33/SER_summary!L$27)</f>
        <v>13.740680395932285</v>
      </c>
      <c r="M33" s="68">
        <f>IF(SER_hh_tesh_in!M33=0,0,SER_hh_tesh_in!M33/SER_summary!M$27)</f>
        <v>13.128612532782515</v>
      </c>
      <c r="N33" s="68">
        <f>IF(SER_hh_tesh_in!N33=0,0,SER_hh_tesh_in!N33/SER_summary!N$27)</f>
        <v>13.095961153184168</v>
      </c>
      <c r="O33" s="68">
        <f>IF(SER_hh_tesh_in!O33=0,0,SER_hh_tesh_in!O33/SER_summary!O$27)</f>
        <v>13.3406003044536</v>
      </c>
      <c r="P33" s="68">
        <f>IF(SER_hh_tesh_in!P33=0,0,SER_hh_tesh_in!P33/SER_summary!P$27)</f>
        <v>13.942185882440745</v>
      </c>
      <c r="Q33" s="68">
        <f>IF(SER_hh_tesh_in!Q33=0,0,SER_hh_tesh_in!Q33/SER_summary!Q$27)</f>
        <v>13.504321127910538</v>
      </c>
      <c r="R33" s="68">
        <f>IF(SER_hh_tesh_in!R33=0,0,SER_hh_tesh_in!R33/SER_summary!R$27)</f>
        <v>13.882775159561499</v>
      </c>
      <c r="S33" s="68">
        <f>IF(SER_hh_tesh_in!S33=0,0,SER_hh_tesh_in!S33/SER_summary!S$27)</f>
        <v>13.134084909998052</v>
      </c>
      <c r="T33" s="68">
        <f>IF(SER_hh_tesh_in!T33=0,0,SER_hh_tesh_in!T33/SER_summary!T$27)</f>
        <v>13.233670498247324</v>
      </c>
      <c r="U33" s="68">
        <f>IF(SER_hh_tesh_in!U33=0,0,SER_hh_tesh_in!U33/SER_summary!U$27)</f>
        <v>11.13756237670747</v>
      </c>
      <c r="V33" s="68">
        <f>IF(SER_hh_tesh_in!V33=0,0,SER_hh_tesh_in!V33/SER_summary!V$27)</f>
        <v>11.354930760103132</v>
      </c>
      <c r="W33" s="68">
        <f>IF(SER_hh_tesh_in!W33=0,0,SER_hh_tesh_in!W33/SER_summary!W$27)</f>
        <v>13.868387274938282</v>
      </c>
      <c r="DA33" s="111" t="s">
        <v>876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877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92</v>
      </c>
      <c r="B3" s="126"/>
      <c r="C3" s="126">
        <f>IF(SER_hh_emih_in!C3=0,0,SER_hh_emih_in!C3/SER_summary!C$27)</f>
        <v>0.21437675225614466</v>
      </c>
      <c r="D3" s="126">
        <f>IF(SER_hh_emih_in!D3=0,0,SER_hh_emih_in!D3/SER_summary!D$27)</f>
        <v>7.1553955140503542E-2</v>
      </c>
      <c r="E3" s="126">
        <f>IF(SER_hh_emih_in!E3=0,0,SER_hh_emih_in!E3/SER_summary!E$27)</f>
        <v>0.1507788632452208</v>
      </c>
      <c r="F3" s="126">
        <f>IF(SER_hh_emih_in!F3=0,0,SER_hh_emih_in!F3/SER_summary!F$27)</f>
        <v>0.16883953702303806</v>
      </c>
      <c r="G3" s="126">
        <f>IF(SER_hh_emih_in!G3=0,0,SER_hh_emih_in!G3/SER_summary!G$27)</f>
        <v>0.16178043993739996</v>
      </c>
      <c r="H3" s="126">
        <f>IF(SER_hh_emih_in!H3=0,0,SER_hh_emih_in!H3/SER_summary!H$27)</f>
        <v>9.1778300431227997</v>
      </c>
      <c r="I3" s="126">
        <f>IF(SER_hh_emih_in!I3=0,0,SER_hh_emih_in!I3/SER_summary!I$27)</f>
        <v>4.8005783095417804</v>
      </c>
      <c r="J3" s="126">
        <f>IF(SER_hh_emih_in!J3=0,0,SER_hh_emih_in!J3/SER_summary!J$27)</f>
        <v>9.1716567196256946</v>
      </c>
      <c r="K3" s="126">
        <f>IF(SER_hh_emih_in!K3=0,0,SER_hh_emih_in!K3/SER_summary!K$27)</f>
        <v>5.2938189534203905</v>
      </c>
      <c r="L3" s="126">
        <f>IF(SER_hh_emih_in!L3=0,0,SER_hh_emih_in!L3/SER_summary!L$27)</f>
        <v>8.2617737599835994</v>
      </c>
      <c r="M3" s="126">
        <f>IF(SER_hh_emih_in!M3=0,0,SER_hh_emih_in!M3/SER_summary!M$27)</f>
        <v>6.6837921270961234</v>
      </c>
      <c r="N3" s="126">
        <f>IF(SER_hh_emih_in!N3=0,0,SER_hh_emih_in!N3/SER_summary!N$27)</f>
        <v>4.2262402091988056</v>
      </c>
      <c r="O3" s="126">
        <f>IF(SER_hh_emih_in!O3=0,0,SER_hh_emih_in!O3/SER_summary!O$27)</f>
        <v>2.8174691067463993</v>
      </c>
      <c r="P3" s="126">
        <f>IF(SER_hh_emih_in!P3=0,0,SER_hh_emih_in!P3/SER_summary!P$27)</f>
        <v>0.54056374108753924</v>
      </c>
      <c r="Q3" s="126">
        <f>IF(SER_hh_emih_in!Q3=0,0,SER_hh_emih_in!Q3/SER_summary!Q$27)</f>
        <v>1.8838368792095974</v>
      </c>
      <c r="R3" s="126">
        <f>IF(SER_hh_emih_in!R3=0,0,SER_hh_emih_in!R3/SER_summary!R$27)</f>
        <v>1.9595584102574828</v>
      </c>
      <c r="S3" s="126">
        <f>IF(SER_hh_emih_in!S3=0,0,SER_hh_emih_in!S3/SER_summary!S$27)</f>
        <v>3.5569523919334713</v>
      </c>
      <c r="T3" s="126">
        <f>IF(SER_hh_emih_in!T3=0,0,SER_hh_emih_in!T3/SER_summary!T$27)</f>
        <v>2.8847557928054171</v>
      </c>
      <c r="U3" s="126">
        <f>IF(SER_hh_emih_in!U3=0,0,SER_hh_emih_in!U3/SER_summary!U$27)</f>
        <v>3.9420137529733883</v>
      </c>
      <c r="V3" s="126">
        <f>IF(SER_hh_emih_in!V3=0,0,SER_hh_emih_in!V3/SER_summary!V$27)</f>
        <v>3.1482354200083917</v>
      </c>
      <c r="W3" s="126">
        <f>IF(SER_hh_emih_in!W3=0,0,SER_hh_emih_in!W3/SER_summary!W$27)</f>
        <v>2.1610247875013981</v>
      </c>
      <c r="DA3" s="155" t="s">
        <v>878</v>
      </c>
    </row>
    <row r="4" spans="1:105" ht="12.95" customHeight="1" x14ac:dyDescent="0.25">
      <c r="A4" s="130" t="s">
        <v>32</v>
      </c>
      <c r="B4" s="131"/>
      <c r="C4" s="131">
        <f>IF(SER_hh_emih_in!C4=0,0,SER_hh_emih_in!C4/SER_summary!C$27)</f>
        <v>0</v>
      </c>
      <c r="D4" s="131">
        <f>IF(SER_hh_emih_in!D4=0,0,SER_hh_emih_in!D4/SER_summary!D$27)</f>
        <v>0</v>
      </c>
      <c r="E4" s="131">
        <f>IF(SER_hh_emih_in!E4=0,0,SER_hh_emih_in!E4/SER_summary!E$27)</f>
        <v>0</v>
      </c>
      <c r="F4" s="131">
        <f>IF(SER_hh_emih_in!F4=0,0,SER_hh_emih_in!F4/SER_summary!F$27)</f>
        <v>0</v>
      </c>
      <c r="G4" s="131">
        <f>IF(SER_hh_emih_in!G4=0,0,SER_hh_emih_in!G4/SER_summary!G$27)</f>
        <v>0</v>
      </c>
      <c r="H4" s="131">
        <f>IF(SER_hh_emih_in!H4=0,0,SER_hh_emih_in!H4/SER_summary!H$27)</f>
        <v>0</v>
      </c>
      <c r="I4" s="131">
        <f>IF(SER_hh_emih_in!I4=0,0,SER_hh_emih_in!I4/SER_summary!I$27)</f>
        <v>0</v>
      </c>
      <c r="J4" s="131">
        <f>IF(SER_hh_emih_in!J4=0,0,SER_hh_emih_in!J4/SER_summary!J$27)</f>
        <v>5.5807197662216739</v>
      </c>
      <c r="K4" s="131">
        <f>IF(SER_hh_emih_in!K4=0,0,SER_hh_emih_in!K4/SER_summary!K$27)</f>
        <v>4.7974574282574665</v>
      </c>
      <c r="L4" s="131">
        <f>IF(SER_hh_emih_in!L4=0,0,SER_hh_emih_in!L4/SER_summary!L$27)</f>
        <v>7.6627779317227693</v>
      </c>
      <c r="M4" s="131">
        <f>IF(SER_hh_emih_in!M4=0,0,SER_hh_emih_in!M4/SER_summary!M$27)</f>
        <v>5.2450923711832251</v>
      </c>
      <c r="N4" s="131">
        <f>IF(SER_hh_emih_in!N4=0,0,SER_hh_emih_in!N4/SER_summary!N$27)</f>
        <v>3.226292932691615</v>
      </c>
      <c r="O4" s="131">
        <f>IF(SER_hh_emih_in!O4=0,0,SER_hh_emih_in!O4/SER_summary!O$27)</f>
        <v>2.1536235826132959</v>
      </c>
      <c r="P4" s="131">
        <f>IF(SER_hh_emih_in!P4=0,0,SER_hh_emih_in!P4/SER_summary!P$27)</f>
        <v>0</v>
      </c>
      <c r="Q4" s="131">
        <f>IF(SER_hh_emih_in!Q4=0,0,SER_hh_emih_in!Q4/SER_summary!Q$27)</f>
        <v>0</v>
      </c>
      <c r="R4" s="131">
        <f>IF(SER_hh_emih_in!R4=0,0,SER_hh_emih_in!R4/SER_summary!R$27)</f>
        <v>0</v>
      </c>
      <c r="S4" s="131">
        <f>IF(SER_hh_emih_in!S4=0,0,SER_hh_emih_in!S4/SER_summary!S$27)</f>
        <v>0</v>
      </c>
      <c r="T4" s="131">
        <f>IF(SER_hh_emih_in!T4=0,0,SER_hh_emih_in!T4/SER_summary!T$27)</f>
        <v>0.33416999236670109</v>
      </c>
      <c r="U4" s="131">
        <f>IF(SER_hh_emih_in!U4=0,0,SER_hh_emih_in!U4/SER_summary!U$27)</f>
        <v>2.204226313543538</v>
      </c>
      <c r="V4" s="131">
        <f>IF(SER_hh_emih_in!V4=0,0,SER_hh_emih_in!V4/SER_summary!V$27)</f>
        <v>1.9570260047829544</v>
      </c>
      <c r="W4" s="131">
        <f>IF(SER_hh_emih_in!W4=0,0,SER_hh_emih_in!W4/SER_summary!W$27)</f>
        <v>0.90985635916971241</v>
      </c>
      <c r="DA4" s="156" t="s">
        <v>879</v>
      </c>
    </row>
    <row r="5" spans="1:105" ht="12" customHeight="1" x14ac:dyDescent="0.25">
      <c r="A5" s="132" t="s">
        <v>29</v>
      </c>
      <c r="B5" s="133"/>
      <c r="C5" s="133">
        <f>IF(SER_hh_emih_in!C5=0,0,SER_hh_emih_in!C5/SER_summary!C$27)</f>
        <v>0</v>
      </c>
      <c r="D5" s="133">
        <f>IF(SER_hh_emih_in!D5=0,0,SER_hh_emih_in!D5/SER_summary!D$27)</f>
        <v>0</v>
      </c>
      <c r="E5" s="133">
        <f>IF(SER_hh_emih_in!E5=0,0,SER_hh_emih_in!E5/SER_summary!E$27)</f>
        <v>0</v>
      </c>
      <c r="F5" s="133">
        <f>IF(SER_hh_emih_in!F5=0,0,SER_hh_emih_in!F5/SER_summary!F$27)</f>
        <v>0</v>
      </c>
      <c r="G5" s="133">
        <f>IF(SER_hh_emih_in!G5=0,0,SER_hh_emih_in!G5/SER_summary!G$27)</f>
        <v>0</v>
      </c>
      <c r="H5" s="133">
        <f>IF(SER_hh_emih_in!H5=0,0,SER_hh_emih_in!H5/SER_summary!H$27)</f>
        <v>0</v>
      </c>
      <c r="I5" s="133">
        <f>IF(SER_hh_emih_in!I5=0,0,SER_hh_emih_in!I5/SER_summary!I$27)</f>
        <v>0</v>
      </c>
      <c r="J5" s="133">
        <f>IF(SER_hh_emih_in!J5=0,0,SER_hh_emih_in!J5/SER_summary!J$27)</f>
        <v>0</v>
      </c>
      <c r="K5" s="133">
        <f>IF(SER_hh_emih_in!K5=0,0,SER_hh_emih_in!K5/SER_summary!K$27)</f>
        <v>0</v>
      </c>
      <c r="L5" s="133">
        <f>IF(SER_hh_emih_in!L5=0,0,SER_hh_emih_in!L5/SER_summary!L$27)</f>
        <v>0</v>
      </c>
      <c r="M5" s="133">
        <f>IF(SER_hh_emih_in!M5=0,0,SER_hh_emih_in!M5/SER_summary!M$27)</f>
        <v>0</v>
      </c>
      <c r="N5" s="133">
        <f>IF(SER_hh_emih_in!N5=0,0,SER_hh_emih_in!N5/SER_summary!N$27)</f>
        <v>0</v>
      </c>
      <c r="O5" s="133">
        <f>IF(SER_hh_emih_in!O5=0,0,SER_hh_emih_in!O5/SER_summary!O$27)</f>
        <v>0</v>
      </c>
      <c r="P5" s="133">
        <f>IF(SER_hh_emih_in!P5=0,0,SER_hh_emih_in!P5/SER_summary!P$27)</f>
        <v>0</v>
      </c>
      <c r="Q5" s="133">
        <f>IF(SER_hh_emih_in!Q5=0,0,SER_hh_emih_in!Q5/SER_summary!Q$27)</f>
        <v>0</v>
      </c>
      <c r="R5" s="133">
        <f>IF(SER_hh_emih_in!R5=0,0,SER_hh_emih_in!R5/SER_summary!R$27)</f>
        <v>0</v>
      </c>
      <c r="S5" s="133">
        <f>IF(SER_hh_emih_in!S5=0,0,SER_hh_emih_in!S5/SER_summary!S$27)</f>
        <v>0</v>
      </c>
      <c r="T5" s="133">
        <f>IF(SER_hh_emih_in!T5=0,0,SER_hh_emih_in!T5/SER_summary!T$27)</f>
        <v>0</v>
      </c>
      <c r="U5" s="133">
        <f>IF(SER_hh_emih_in!U5=0,0,SER_hh_emih_in!U5/SER_summary!U$27)</f>
        <v>0</v>
      </c>
      <c r="V5" s="133">
        <f>IF(SER_hh_emih_in!V5=0,0,SER_hh_emih_in!V5/SER_summary!V$27)</f>
        <v>0</v>
      </c>
      <c r="W5" s="133">
        <f>IF(SER_hh_emih_in!W5=0,0,SER_hh_emih_in!W5/SER_summary!W$27)</f>
        <v>0</v>
      </c>
      <c r="DA5" s="157" t="s">
        <v>880</v>
      </c>
    </row>
    <row r="6" spans="1:105" ht="12" customHeight="1" x14ac:dyDescent="0.25">
      <c r="A6" s="132" t="s">
        <v>52</v>
      </c>
      <c r="B6" s="133"/>
      <c r="C6" s="133">
        <f>IF(SER_hh_emih_in!C6=0,0,SER_hh_emih_in!C6/SER_summary!C$27)</f>
        <v>0</v>
      </c>
      <c r="D6" s="133">
        <f>IF(SER_hh_emih_in!D6=0,0,SER_hh_emih_in!D6/SER_summary!D$27)</f>
        <v>0</v>
      </c>
      <c r="E6" s="133">
        <f>IF(SER_hh_emih_in!E6=0,0,SER_hh_emih_in!E6/SER_summary!E$27)</f>
        <v>0</v>
      </c>
      <c r="F6" s="133">
        <f>IF(SER_hh_emih_in!F6=0,0,SER_hh_emih_in!F6/SER_summary!F$27)</f>
        <v>0</v>
      </c>
      <c r="G6" s="133">
        <f>IF(SER_hh_emih_in!G6=0,0,SER_hh_emih_in!G6/SER_summary!G$27)</f>
        <v>0</v>
      </c>
      <c r="H6" s="133">
        <f>IF(SER_hh_emih_in!H6=0,0,SER_hh_emih_in!H6/SER_summary!H$27)</f>
        <v>0</v>
      </c>
      <c r="I6" s="133">
        <f>IF(SER_hh_emih_in!I6=0,0,SER_hh_emih_in!I6/SER_summary!I$27)</f>
        <v>0</v>
      </c>
      <c r="J6" s="133">
        <f>IF(SER_hh_emih_in!J6=0,0,SER_hh_emih_in!J6/SER_summary!J$27)</f>
        <v>0</v>
      </c>
      <c r="K6" s="133">
        <f>IF(SER_hh_emih_in!K6=0,0,SER_hh_emih_in!K6/SER_summary!K$27)</f>
        <v>0</v>
      </c>
      <c r="L6" s="133">
        <f>IF(SER_hh_emih_in!L6=0,0,SER_hh_emih_in!L6/SER_summary!L$27)</f>
        <v>0</v>
      </c>
      <c r="M6" s="133">
        <f>IF(SER_hh_emih_in!M6=0,0,SER_hh_emih_in!M6/SER_summary!M$27)</f>
        <v>0</v>
      </c>
      <c r="N6" s="133">
        <f>IF(SER_hh_emih_in!N6=0,0,SER_hh_emih_in!N6/SER_summary!N$27)</f>
        <v>0</v>
      </c>
      <c r="O6" s="133">
        <f>IF(SER_hh_emih_in!O6=0,0,SER_hh_emih_in!O6/SER_summary!O$27)</f>
        <v>0</v>
      </c>
      <c r="P6" s="133">
        <f>IF(SER_hh_emih_in!P6=0,0,SER_hh_emih_in!P6/SER_summary!P$27)</f>
        <v>0</v>
      </c>
      <c r="Q6" s="133">
        <f>IF(SER_hh_emih_in!Q6=0,0,SER_hh_emih_in!Q6/SER_summary!Q$27)</f>
        <v>0</v>
      </c>
      <c r="R6" s="133">
        <f>IF(SER_hh_emih_in!R6=0,0,SER_hh_emih_in!R6/SER_summary!R$27)</f>
        <v>0</v>
      </c>
      <c r="S6" s="133">
        <f>IF(SER_hh_emih_in!S6=0,0,SER_hh_emih_in!S6/SER_summary!S$27)</f>
        <v>0</v>
      </c>
      <c r="T6" s="133">
        <f>IF(SER_hh_emih_in!T6=0,0,SER_hh_emih_in!T6/SER_summary!T$27)</f>
        <v>0</v>
      </c>
      <c r="U6" s="133">
        <f>IF(SER_hh_emih_in!U6=0,0,SER_hh_emih_in!U6/SER_summary!U$27)</f>
        <v>0</v>
      </c>
      <c r="V6" s="133">
        <f>IF(SER_hh_emih_in!V6=0,0,SER_hh_emih_in!V6/SER_summary!V$27)</f>
        <v>0</v>
      </c>
      <c r="W6" s="133">
        <f>IF(SER_hh_emih_in!W6=0,0,SER_hh_emih_in!W6/SER_summary!W$27)</f>
        <v>0</v>
      </c>
      <c r="DA6" s="157" t="s">
        <v>881</v>
      </c>
    </row>
    <row r="7" spans="1:105" ht="12" customHeight="1" x14ac:dyDescent="0.25">
      <c r="A7" s="132" t="s">
        <v>168</v>
      </c>
      <c r="B7" s="133"/>
      <c r="C7" s="133">
        <f>IF(SER_hh_emih_in!C7=0,0,SER_hh_emih_in!C7/SER_summary!C$27)</f>
        <v>0</v>
      </c>
      <c r="D7" s="133">
        <f>IF(SER_hh_emih_in!D7=0,0,SER_hh_emih_in!D7/SER_summary!D$27)</f>
        <v>0</v>
      </c>
      <c r="E7" s="133">
        <f>IF(SER_hh_emih_in!E7=0,0,SER_hh_emih_in!E7/SER_summary!E$27)</f>
        <v>0</v>
      </c>
      <c r="F7" s="133">
        <f>IF(SER_hh_emih_in!F7=0,0,SER_hh_emih_in!F7/SER_summary!F$27)</f>
        <v>0</v>
      </c>
      <c r="G7" s="133">
        <f>IF(SER_hh_emih_in!G7=0,0,SER_hh_emih_in!G7/SER_summary!G$27)</f>
        <v>0</v>
      </c>
      <c r="H7" s="133">
        <f>IF(SER_hh_emih_in!H7=0,0,SER_hh_emih_in!H7/SER_summary!H$27)</f>
        <v>0</v>
      </c>
      <c r="I7" s="133">
        <f>IF(SER_hh_emih_in!I7=0,0,SER_hh_emih_in!I7/SER_summary!I$27)</f>
        <v>0</v>
      </c>
      <c r="J7" s="133">
        <f>IF(SER_hh_emih_in!J7=0,0,SER_hh_emih_in!J7/SER_summary!J$27)</f>
        <v>20.103806578740031</v>
      </c>
      <c r="K7" s="133">
        <f>IF(SER_hh_emih_in!K7=0,0,SER_hh_emih_in!K7/SER_summary!K$27)</f>
        <v>16.010856973396127</v>
      </c>
      <c r="L7" s="133">
        <f>IF(SER_hh_emih_in!L7=0,0,SER_hh_emih_in!L7/SER_summary!L$27)</f>
        <v>18.238846270648558</v>
      </c>
      <c r="M7" s="133">
        <f>IF(SER_hh_emih_in!M7=0,0,SER_hh_emih_in!M7/SER_summary!M$27)</f>
        <v>17.15441219581901</v>
      </c>
      <c r="N7" s="133">
        <f>IF(SER_hh_emih_in!N7=0,0,SER_hh_emih_in!N7/SER_summary!N$27)</f>
        <v>14.072194061122298</v>
      </c>
      <c r="O7" s="133">
        <f>IF(SER_hh_emih_in!O7=0,0,SER_hh_emih_in!O7/SER_summary!O$27)</f>
        <v>15.117849380215652</v>
      </c>
      <c r="P7" s="133">
        <f>IF(SER_hh_emih_in!P7=0,0,SER_hh_emih_in!P7/SER_summary!P$27)</f>
        <v>0</v>
      </c>
      <c r="Q7" s="133">
        <f>IF(SER_hh_emih_in!Q7=0,0,SER_hh_emih_in!Q7/SER_summary!Q$27)</f>
        <v>0</v>
      </c>
      <c r="R7" s="133">
        <f>IF(SER_hh_emih_in!R7=0,0,SER_hh_emih_in!R7/SER_summary!R$27)</f>
        <v>0</v>
      </c>
      <c r="S7" s="133">
        <f>IF(SER_hh_emih_in!S7=0,0,SER_hh_emih_in!S7/SER_summary!S$27)</f>
        <v>0</v>
      </c>
      <c r="T7" s="133">
        <f>IF(SER_hh_emih_in!T7=0,0,SER_hh_emih_in!T7/SER_summary!T$27)</f>
        <v>12.593817026380702</v>
      </c>
      <c r="U7" s="133">
        <f>IF(SER_hh_emih_in!U7=0,0,SER_hh_emih_in!U7/SER_summary!U$27)</f>
        <v>14.132748295284665</v>
      </c>
      <c r="V7" s="133">
        <f>IF(SER_hh_emih_in!V7=0,0,SER_hh_emih_in!V7/SER_summary!V$27)</f>
        <v>9.9670168497518024</v>
      </c>
      <c r="W7" s="133">
        <f>IF(SER_hh_emih_in!W7=0,0,SER_hh_emih_in!W7/SER_summary!W$27)</f>
        <v>9.8095954247958588</v>
      </c>
      <c r="DA7" s="157" t="s">
        <v>882</v>
      </c>
    </row>
    <row r="8" spans="1:105" ht="12" customHeight="1" x14ac:dyDescent="0.25">
      <c r="A8" s="132" t="s">
        <v>73</v>
      </c>
      <c r="B8" s="133"/>
      <c r="C8" s="133">
        <f>IF(SER_hh_emih_in!C8=0,0,SER_hh_emih_in!C8/SER_summary!C$27)</f>
        <v>0</v>
      </c>
      <c r="D8" s="133">
        <f>IF(SER_hh_emih_in!D8=0,0,SER_hh_emih_in!D8/SER_summary!D$27)</f>
        <v>0</v>
      </c>
      <c r="E8" s="133">
        <f>IF(SER_hh_emih_in!E8=0,0,SER_hh_emih_in!E8/SER_summary!E$27)</f>
        <v>0</v>
      </c>
      <c r="F8" s="133">
        <f>IF(SER_hh_emih_in!F8=0,0,SER_hh_emih_in!F8/SER_summary!F$27)</f>
        <v>0</v>
      </c>
      <c r="G8" s="133">
        <f>IF(SER_hh_emih_in!G8=0,0,SER_hh_emih_in!G8/SER_summary!G$27)</f>
        <v>0</v>
      </c>
      <c r="H8" s="133">
        <f>IF(SER_hh_emih_in!H8=0,0,SER_hh_emih_in!H8/SER_summary!H$27)</f>
        <v>0</v>
      </c>
      <c r="I8" s="133">
        <f>IF(SER_hh_emih_in!I8=0,0,SER_hh_emih_in!I8/SER_summary!I$27)</f>
        <v>0</v>
      </c>
      <c r="J8" s="133">
        <f>IF(SER_hh_emih_in!J8=0,0,SER_hh_emih_in!J8/SER_summary!J$27)</f>
        <v>0</v>
      </c>
      <c r="K8" s="133">
        <f>IF(SER_hh_emih_in!K8=0,0,SER_hh_emih_in!K8/SER_summary!K$27)</f>
        <v>0</v>
      </c>
      <c r="L8" s="133">
        <f>IF(SER_hh_emih_in!L8=0,0,SER_hh_emih_in!L8/SER_summary!L$27)</f>
        <v>0</v>
      </c>
      <c r="M8" s="133">
        <f>IF(SER_hh_emih_in!M8=0,0,SER_hh_emih_in!M8/SER_summary!M$27)</f>
        <v>0</v>
      </c>
      <c r="N8" s="133">
        <f>IF(SER_hh_emih_in!N8=0,0,SER_hh_emih_in!N8/SER_summary!N$27)</f>
        <v>0</v>
      </c>
      <c r="O8" s="133">
        <f>IF(SER_hh_emih_in!O8=0,0,SER_hh_emih_in!O8/SER_summary!O$27)</f>
        <v>0</v>
      </c>
      <c r="P8" s="133">
        <f>IF(SER_hh_emih_in!P8=0,0,SER_hh_emih_in!P8/SER_summary!P$27)</f>
        <v>0</v>
      </c>
      <c r="Q8" s="133">
        <f>IF(SER_hh_emih_in!Q8=0,0,SER_hh_emih_in!Q8/SER_summary!Q$27)</f>
        <v>0</v>
      </c>
      <c r="R8" s="133">
        <f>IF(SER_hh_emih_in!R8=0,0,SER_hh_emih_in!R8/SER_summary!R$27)</f>
        <v>0</v>
      </c>
      <c r="S8" s="133">
        <f>IF(SER_hh_emih_in!S8=0,0,SER_hh_emih_in!S8/SER_summary!S$27)</f>
        <v>0</v>
      </c>
      <c r="T8" s="133">
        <f>IF(SER_hh_emih_in!T8=0,0,SER_hh_emih_in!T8/SER_summary!T$27)</f>
        <v>0</v>
      </c>
      <c r="U8" s="133">
        <f>IF(SER_hh_emih_in!U8=0,0,SER_hh_emih_in!U8/SER_summary!U$27)</f>
        <v>0</v>
      </c>
      <c r="V8" s="133">
        <f>IF(SER_hh_emih_in!V8=0,0,SER_hh_emih_in!V8/SER_summary!V$27)</f>
        <v>0</v>
      </c>
      <c r="W8" s="133">
        <f>IF(SER_hh_emih_in!W8=0,0,SER_hh_emih_in!W8/SER_summary!W$27)</f>
        <v>0</v>
      </c>
      <c r="DA8" s="157" t="s">
        <v>883</v>
      </c>
    </row>
    <row r="9" spans="1:105" ht="12" customHeight="1" x14ac:dyDescent="0.25">
      <c r="A9" s="132" t="s">
        <v>78</v>
      </c>
      <c r="B9" s="133"/>
      <c r="C9" s="133">
        <f>IF(SER_hh_emih_in!C9=0,0,SER_hh_emih_in!C9/SER_summary!C$27)</f>
        <v>0</v>
      </c>
      <c r="D9" s="133">
        <f>IF(SER_hh_emih_in!D9=0,0,SER_hh_emih_in!D9/SER_summary!D$27)</f>
        <v>0</v>
      </c>
      <c r="E9" s="133">
        <f>IF(SER_hh_emih_in!E9=0,0,SER_hh_emih_in!E9/SER_summary!E$27)</f>
        <v>0</v>
      </c>
      <c r="F9" s="133">
        <f>IF(SER_hh_emih_in!F9=0,0,SER_hh_emih_in!F9/SER_summary!F$27)</f>
        <v>0</v>
      </c>
      <c r="G9" s="133">
        <f>IF(SER_hh_emih_in!G9=0,0,SER_hh_emih_in!G9/SER_summary!G$27)</f>
        <v>0</v>
      </c>
      <c r="H9" s="133">
        <f>IF(SER_hh_emih_in!H9=0,0,SER_hh_emih_in!H9/SER_summary!H$27)</f>
        <v>0</v>
      </c>
      <c r="I9" s="133">
        <f>IF(SER_hh_emih_in!I9=0,0,SER_hh_emih_in!I9/SER_summary!I$27)</f>
        <v>0</v>
      </c>
      <c r="J9" s="133">
        <f>IF(SER_hh_emih_in!J9=0,0,SER_hh_emih_in!J9/SER_summary!J$27)</f>
        <v>0</v>
      </c>
      <c r="K9" s="133">
        <f>IF(SER_hh_emih_in!K9=0,0,SER_hh_emih_in!K9/SER_summary!K$27)</f>
        <v>0</v>
      </c>
      <c r="L9" s="133">
        <f>IF(SER_hh_emih_in!L9=0,0,SER_hh_emih_in!L9/SER_summary!L$27)</f>
        <v>0</v>
      </c>
      <c r="M9" s="133">
        <f>IF(SER_hh_emih_in!M9=0,0,SER_hh_emih_in!M9/SER_summary!M$27)</f>
        <v>0</v>
      </c>
      <c r="N9" s="133">
        <f>IF(SER_hh_emih_in!N9=0,0,SER_hh_emih_in!N9/SER_summary!N$27)</f>
        <v>0</v>
      </c>
      <c r="O9" s="133">
        <f>IF(SER_hh_emih_in!O9=0,0,SER_hh_emih_in!O9/SER_summary!O$27)</f>
        <v>0</v>
      </c>
      <c r="P9" s="133">
        <f>IF(SER_hh_emih_in!P9=0,0,SER_hh_emih_in!P9/SER_summary!P$27)</f>
        <v>0</v>
      </c>
      <c r="Q9" s="133">
        <f>IF(SER_hh_emih_in!Q9=0,0,SER_hh_emih_in!Q9/SER_summary!Q$27)</f>
        <v>0</v>
      </c>
      <c r="R9" s="133">
        <f>IF(SER_hh_emih_in!R9=0,0,SER_hh_emih_in!R9/SER_summary!R$27)</f>
        <v>0</v>
      </c>
      <c r="S9" s="133">
        <f>IF(SER_hh_emih_in!S9=0,0,SER_hh_emih_in!S9/SER_summary!S$27)</f>
        <v>0</v>
      </c>
      <c r="T9" s="133">
        <f>IF(SER_hh_emih_in!T9=0,0,SER_hh_emih_in!T9/SER_summary!T$27)</f>
        <v>0</v>
      </c>
      <c r="U9" s="133">
        <f>IF(SER_hh_emih_in!U9=0,0,SER_hh_emih_in!U9/SER_summary!U$27)</f>
        <v>0</v>
      </c>
      <c r="V9" s="133">
        <f>IF(SER_hh_emih_in!V9=0,0,SER_hh_emih_in!V9/SER_summary!V$27)</f>
        <v>0</v>
      </c>
      <c r="W9" s="133">
        <f>IF(SER_hh_emih_in!W9=0,0,SER_hh_emih_in!W9/SER_summary!W$27)</f>
        <v>0</v>
      </c>
      <c r="DA9" s="157" t="s">
        <v>884</v>
      </c>
    </row>
    <row r="10" spans="1:105" ht="12" customHeight="1" x14ac:dyDescent="0.25">
      <c r="A10" s="132" t="s">
        <v>128</v>
      </c>
      <c r="B10" s="133"/>
      <c r="C10" s="133">
        <f>IF(SER_hh_emih_in!C10=0,0,SER_hh_emih_in!C10/SER_summary!C$27)</f>
        <v>0</v>
      </c>
      <c r="D10" s="133">
        <f>IF(SER_hh_emih_in!D10=0,0,SER_hh_emih_in!D10/SER_summary!D$27)</f>
        <v>0</v>
      </c>
      <c r="E10" s="133">
        <f>IF(SER_hh_emih_in!E10=0,0,SER_hh_emih_in!E10/SER_summary!E$27)</f>
        <v>0</v>
      </c>
      <c r="F10" s="133">
        <f>IF(SER_hh_emih_in!F10=0,0,SER_hh_emih_in!F10/SER_summary!F$27)</f>
        <v>0</v>
      </c>
      <c r="G10" s="133">
        <f>IF(SER_hh_emih_in!G10=0,0,SER_hh_emih_in!G10/SER_summary!G$27)</f>
        <v>0</v>
      </c>
      <c r="H10" s="133">
        <f>IF(SER_hh_emih_in!H10=0,0,SER_hh_emih_in!H10/SER_summary!H$27)</f>
        <v>0</v>
      </c>
      <c r="I10" s="133">
        <f>IF(SER_hh_emih_in!I10=0,0,SER_hh_emih_in!I10/SER_summary!I$27)</f>
        <v>0</v>
      </c>
      <c r="J10" s="133">
        <f>IF(SER_hh_emih_in!J10=0,0,SER_hh_emih_in!J10/SER_summary!J$27)</f>
        <v>0</v>
      </c>
      <c r="K10" s="133">
        <f>IF(SER_hh_emih_in!K10=0,0,SER_hh_emih_in!K10/SER_summary!K$27)</f>
        <v>0</v>
      </c>
      <c r="L10" s="133">
        <f>IF(SER_hh_emih_in!L10=0,0,SER_hh_emih_in!L10/SER_summary!L$27)</f>
        <v>0</v>
      </c>
      <c r="M10" s="133">
        <f>IF(SER_hh_emih_in!M10=0,0,SER_hh_emih_in!M10/SER_summary!M$27)</f>
        <v>0</v>
      </c>
      <c r="N10" s="133">
        <f>IF(SER_hh_emih_in!N10=0,0,SER_hh_emih_in!N10/SER_summary!N$27)</f>
        <v>0</v>
      </c>
      <c r="O10" s="133">
        <f>IF(SER_hh_emih_in!O10=0,0,SER_hh_emih_in!O10/SER_summary!O$27)</f>
        <v>0</v>
      </c>
      <c r="P10" s="133">
        <f>IF(SER_hh_emih_in!P10=0,0,SER_hh_emih_in!P10/SER_summary!P$27)</f>
        <v>0</v>
      </c>
      <c r="Q10" s="133">
        <f>IF(SER_hh_emih_in!Q10=0,0,SER_hh_emih_in!Q10/SER_summary!Q$27)</f>
        <v>0</v>
      </c>
      <c r="R10" s="133">
        <f>IF(SER_hh_emih_in!R10=0,0,SER_hh_emih_in!R10/SER_summary!R$27)</f>
        <v>0</v>
      </c>
      <c r="S10" s="133">
        <f>IF(SER_hh_emih_in!S10=0,0,SER_hh_emih_in!S10/SER_summary!S$27)</f>
        <v>0</v>
      </c>
      <c r="T10" s="133">
        <f>IF(SER_hh_emih_in!T10=0,0,SER_hh_emih_in!T10/SER_summary!T$27)</f>
        <v>0</v>
      </c>
      <c r="U10" s="133">
        <f>IF(SER_hh_emih_in!U10=0,0,SER_hh_emih_in!U10/SER_summary!U$27)</f>
        <v>0</v>
      </c>
      <c r="V10" s="133">
        <f>IF(SER_hh_emih_in!V10=0,0,SER_hh_emih_in!V10/SER_summary!V$27)</f>
        <v>0</v>
      </c>
      <c r="W10" s="133">
        <f>IF(SER_hh_emih_in!W10=0,0,SER_hh_emih_in!W10/SER_summary!W$27)</f>
        <v>0</v>
      </c>
      <c r="DA10" s="157" t="s">
        <v>885</v>
      </c>
    </row>
    <row r="11" spans="1:105" ht="12" customHeight="1" x14ac:dyDescent="0.25">
      <c r="A11" s="132" t="s">
        <v>25</v>
      </c>
      <c r="B11" s="133"/>
      <c r="C11" s="133">
        <f>IF(SER_hh_emih_in!C11=0,0,SER_hh_emih_in!C11/SER_summary!C$27)</f>
        <v>0</v>
      </c>
      <c r="D11" s="133">
        <f>IF(SER_hh_emih_in!D11=0,0,SER_hh_emih_in!D11/SER_summary!D$27)</f>
        <v>0</v>
      </c>
      <c r="E11" s="133">
        <f>IF(SER_hh_emih_in!E11=0,0,SER_hh_emih_in!E11/SER_summary!E$27)</f>
        <v>0</v>
      </c>
      <c r="F11" s="133">
        <f>IF(SER_hh_emih_in!F11=0,0,SER_hh_emih_in!F11/SER_summary!F$27)</f>
        <v>0</v>
      </c>
      <c r="G11" s="133">
        <f>IF(SER_hh_emih_in!G11=0,0,SER_hh_emih_in!G11/SER_summary!G$27)</f>
        <v>0</v>
      </c>
      <c r="H11" s="133">
        <f>IF(SER_hh_emih_in!H11=0,0,SER_hh_emih_in!H11/SER_summary!H$27)</f>
        <v>0</v>
      </c>
      <c r="I11" s="133">
        <f>IF(SER_hh_emih_in!I11=0,0,SER_hh_emih_in!I11/SER_summary!I$27)</f>
        <v>0</v>
      </c>
      <c r="J11" s="133">
        <f>IF(SER_hh_emih_in!J11=0,0,SER_hh_emih_in!J11/SER_summary!J$27)</f>
        <v>0</v>
      </c>
      <c r="K11" s="133">
        <f>IF(SER_hh_emih_in!K11=0,0,SER_hh_emih_in!K11/SER_summary!K$27)</f>
        <v>0</v>
      </c>
      <c r="L11" s="133">
        <f>IF(SER_hh_emih_in!L11=0,0,SER_hh_emih_in!L11/SER_summary!L$27)</f>
        <v>0</v>
      </c>
      <c r="M11" s="133">
        <f>IF(SER_hh_emih_in!M11=0,0,SER_hh_emih_in!M11/SER_summary!M$27)</f>
        <v>0</v>
      </c>
      <c r="N11" s="133">
        <f>IF(SER_hh_emih_in!N11=0,0,SER_hh_emih_in!N11/SER_summary!N$27)</f>
        <v>0</v>
      </c>
      <c r="O11" s="133">
        <f>IF(SER_hh_emih_in!O11=0,0,SER_hh_emih_in!O11/SER_summary!O$27)</f>
        <v>0</v>
      </c>
      <c r="P11" s="133">
        <f>IF(SER_hh_emih_in!P11=0,0,SER_hh_emih_in!P11/SER_summary!P$27)</f>
        <v>0</v>
      </c>
      <c r="Q11" s="133">
        <f>IF(SER_hh_emih_in!Q11=0,0,SER_hh_emih_in!Q11/SER_summary!Q$27)</f>
        <v>0</v>
      </c>
      <c r="R11" s="133">
        <f>IF(SER_hh_emih_in!R11=0,0,SER_hh_emih_in!R11/SER_summary!R$27)</f>
        <v>0</v>
      </c>
      <c r="S11" s="133">
        <f>IF(SER_hh_emih_in!S11=0,0,SER_hh_emih_in!S11/SER_summary!S$27)</f>
        <v>0</v>
      </c>
      <c r="T11" s="133">
        <f>IF(SER_hh_emih_in!T11=0,0,SER_hh_emih_in!T11/SER_summary!T$27)</f>
        <v>0</v>
      </c>
      <c r="U11" s="133">
        <f>IF(SER_hh_emih_in!U11=0,0,SER_hh_emih_in!U11/SER_summary!U$27)</f>
        <v>0</v>
      </c>
      <c r="V11" s="133">
        <f>IF(SER_hh_emih_in!V11=0,0,SER_hh_emih_in!V11/SER_summary!V$27)</f>
        <v>0</v>
      </c>
      <c r="W11" s="133">
        <f>IF(SER_hh_emih_in!W11=0,0,SER_hh_emih_in!W11/SER_summary!W$27)</f>
        <v>0</v>
      </c>
      <c r="DA11" s="157" t="s">
        <v>886</v>
      </c>
    </row>
    <row r="12" spans="1:105" ht="12" customHeight="1" x14ac:dyDescent="0.25">
      <c r="A12" s="132" t="s">
        <v>169</v>
      </c>
      <c r="B12" s="133"/>
      <c r="C12" s="133">
        <f>IF(SER_hh_emih_in!C12=0,0,SER_hh_emih_in!C12/SER_summary!C$27)</f>
        <v>0</v>
      </c>
      <c r="D12" s="133">
        <f>IF(SER_hh_emih_in!D12=0,0,SER_hh_emih_in!D12/SER_summary!D$27)</f>
        <v>0</v>
      </c>
      <c r="E12" s="133">
        <f>IF(SER_hh_emih_in!E12=0,0,SER_hh_emih_in!E12/SER_summary!E$27)</f>
        <v>0</v>
      </c>
      <c r="F12" s="133">
        <f>IF(SER_hh_emih_in!F12=0,0,SER_hh_emih_in!F12/SER_summary!F$27)</f>
        <v>0</v>
      </c>
      <c r="G12" s="133">
        <f>IF(SER_hh_emih_in!G12=0,0,SER_hh_emih_in!G12/SER_summary!G$27)</f>
        <v>0</v>
      </c>
      <c r="H12" s="133">
        <f>IF(SER_hh_emih_in!H12=0,0,SER_hh_emih_in!H12/SER_summary!H$27)</f>
        <v>0</v>
      </c>
      <c r="I12" s="133">
        <f>IF(SER_hh_emih_in!I12=0,0,SER_hh_emih_in!I12/SER_summary!I$27)</f>
        <v>0</v>
      </c>
      <c r="J12" s="133">
        <f>IF(SER_hh_emih_in!J12=0,0,SER_hh_emih_in!J12/SER_summary!J$27)</f>
        <v>0</v>
      </c>
      <c r="K12" s="133">
        <f>IF(SER_hh_emih_in!K12=0,0,SER_hh_emih_in!K12/SER_summary!K$27)</f>
        <v>0</v>
      </c>
      <c r="L12" s="133">
        <f>IF(SER_hh_emih_in!L12=0,0,SER_hh_emih_in!L12/SER_summary!L$27)</f>
        <v>0</v>
      </c>
      <c r="M12" s="133">
        <f>IF(SER_hh_emih_in!M12=0,0,SER_hh_emih_in!M12/SER_summary!M$27)</f>
        <v>0</v>
      </c>
      <c r="N12" s="133">
        <f>IF(SER_hh_emih_in!N12=0,0,SER_hh_emih_in!N12/SER_summary!N$27)</f>
        <v>0</v>
      </c>
      <c r="O12" s="133">
        <f>IF(SER_hh_emih_in!O12=0,0,SER_hh_emih_in!O12/SER_summary!O$27)</f>
        <v>0</v>
      </c>
      <c r="P12" s="133">
        <f>IF(SER_hh_emih_in!P12=0,0,SER_hh_emih_in!P12/SER_summary!P$27)</f>
        <v>0</v>
      </c>
      <c r="Q12" s="133">
        <f>IF(SER_hh_emih_in!Q12=0,0,SER_hh_emih_in!Q12/SER_summary!Q$27)</f>
        <v>0</v>
      </c>
      <c r="R12" s="133">
        <f>IF(SER_hh_emih_in!R12=0,0,SER_hh_emih_in!R12/SER_summary!R$27)</f>
        <v>0</v>
      </c>
      <c r="S12" s="133">
        <f>IF(SER_hh_emih_in!S12=0,0,SER_hh_emih_in!S12/SER_summary!S$27)</f>
        <v>0</v>
      </c>
      <c r="T12" s="133">
        <f>IF(SER_hh_emih_in!T12=0,0,SER_hh_emih_in!T12/SER_summary!T$27)</f>
        <v>0</v>
      </c>
      <c r="U12" s="133">
        <f>IF(SER_hh_emih_in!U12=0,0,SER_hh_emih_in!U12/SER_summary!U$27)</f>
        <v>0</v>
      </c>
      <c r="V12" s="133">
        <f>IF(SER_hh_emih_in!V12=0,0,SER_hh_emih_in!V12/SER_summary!V$27)</f>
        <v>0</v>
      </c>
      <c r="W12" s="133">
        <f>IF(SER_hh_emih_in!W12=0,0,SER_hh_emih_in!W12/SER_summary!W$27)</f>
        <v>0</v>
      </c>
      <c r="DA12" s="157" t="s">
        <v>887</v>
      </c>
    </row>
    <row r="13" spans="1:105" ht="12" customHeight="1" x14ac:dyDescent="0.25">
      <c r="A13" s="132" t="s">
        <v>77</v>
      </c>
      <c r="B13" s="133"/>
      <c r="C13" s="133">
        <f>IF(SER_hh_emih_in!C13=0,0,SER_hh_emih_in!C13/SER_summary!C$27)</f>
        <v>0</v>
      </c>
      <c r="D13" s="133">
        <f>IF(SER_hh_emih_in!D13=0,0,SER_hh_emih_in!D13/SER_summary!D$27)</f>
        <v>0</v>
      </c>
      <c r="E13" s="133">
        <f>IF(SER_hh_emih_in!E13=0,0,SER_hh_emih_in!E13/SER_summary!E$27)</f>
        <v>0</v>
      </c>
      <c r="F13" s="133">
        <f>IF(SER_hh_emih_in!F13=0,0,SER_hh_emih_in!F13/SER_summary!F$27)</f>
        <v>0</v>
      </c>
      <c r="G13" s="133">
        <f>IF(SER_hh_emih_in!G13=0,0,SER_hh_emih_in!G13/SER_summary!G$27)</f>
        <v>0</v>
      </c>
      <c r="H13" s="133">
        <f>IF(SER_hh_emih_in!H13=0,0,SER_hh_emih_in!H13/SER_summary!H$27)</f>
        <v>0</v>
      </c>
      <c r="I13" s="133">
        <f>IF(SER_hh_emih_in!I13=0,0,SER_hh_emih_in!I13/SER_summary!I$27)</f>
        <v>0</v>
      </c>
      <c r="J13" s="133">
        <f>IF(SER_hh_emih_in!J13=0,0,SER_hh_emih_in!J13/SER_summary!J$27)</f>
        <v>0</v>
      </c>
      <c r="K13" s="133">
        <f>IF(SER_hh_emih_in!K13=0,0,SER_hh_emih_in!K13/SER_summary!K$27)</f>
        <v>0</v>
      </c>
      <c r="L13" s="133">
        <f>IF(SER_hh_emih_in!L13=0,0,SER_hh_emih_in!L13/SER_summary!L$27)</f>
        <v>0</v>
      </c>
      <c r="M13" s="133">
        <f>IF(SER_hh_emih_in!M13=0,0,SER_hh_emih_in!M13/SER_summary!M$27)</f>
        <v>0</v>
      </c>
      <c r="N13" s="133">
        <f>IF(SER_hh_emih_in!N13=0,0,SER_hh_emih_in!N13/SER_summary!N$27)</f>
        <v>0</v>
      </c>
      <c r="O13" s="133">
        <f>IF(SER_hh_emih_in!O13=0,0,SER_hh_emih_in!O13/SER_summary!O$27)</f>
        <v>0</v>
      </c>
      <c r="P13" s="133">
        <f>IF(SER_hh_emih_in!P13=0,0,SER_hh_emih_in!P13/SER_summary!P$27)</f>
        <v>0</v>
      </c>
      <c r="Q13" s="133">
        <f>IF(SER_hh_emih_in!Q13=0,0,SER_hh_emih_in!Q13/SER_summary!Q$27)</f>
        <v>0</v>
      </c>
      <c r="R13" s="133">
        <f>IF(SER_hh_emih_in!R13=0,0,SER_hh_emih_in!R13/SER_summary!R$27)</f>
        <v>0</v>
      </c>
      <c r="S13" s="133">
        <f>IF(SER_hh_emih_in!S13=0,0,SER_hh_emih_in!S13/SER_summary!S$27)</f>
        <v>0</v>
      </c>
      <c r="T13" s="133">
        <f>IF(SER_hh_emih_in!T13=0,0,SER_hh_emih_in!T13/SER_summary!T$27)</f>
        <v>0</v>
      </c>
      <c r="U13" s="133">
        <f>IF(SER_hh_emih_in!U13=0,0,SER_hh_emih_in!U13/SER_summary!U$27)</f>
        <v>0</v>
      </c>
      <c r="V13" s="133">
        <f>IF(SER_hh_emih_in!V13=0,0,SER_hh_emih_in!V13/SER_summary!V$27)</f>
        <v>0</v>
      </c>
      <c r="W13" s="133">
        <f>IF(SER_hh_emih_in!W13=0,0,SER_hh_emih_in!W13/SER_summary!W$27)</f>
        <v>0</v>
      </c>
      <c r="DA13" s="157" t="s">
        <v>888</v>
      </c>
    </row>
    <row r="14" spans="1:105" ht="12" customHeight="1" x14ac:dyDescent="0.25">
      <c r="A14" s="60" t="s">
        <v>76</v>
      </c>
      <c r="B14" s="65"/>
      <c r="C14" s="65">
        <f>IF(SER_hh_emih_in!C14=0,0,SER_hh_emih_in!C14/SER_summary!C$27)</f>
        <v>0</v>
      </c>
      <c r="D14" s="65">
        <f>IF(SER_hh_emih_in!D14=0,0,SER_hh_emih_in!D14/SER_summary!D$27)</f>
        <v>0</v>
      </c>
      <c r="E14" s="65">
        <f>IF(SER_hh_emih_in!E14=0,0,SER_hh_emih_in!E14/SER_summary!E$27)</f>
        <v>0</v>
      </c>
      <c r="F14" s="65">
        <f>IF(SER_hh_emih_in!F14=0,0,SER_hh_emih_in!F14/SER_summary!F$27)</f>
        <v>0</v>
      </c>
      <c r="G14" s="65">
        <f>IF(SER_hh_emih_in!G14=0,0,SER_hh_emih_in!G14/SER_summary!G$27)</f>
        <v>0</v>
      </c>
      <c r="H14" s="65">
        <f>IF(SER_hh_emih_in!H14=0,0,SER_hh_emih_in!H14/SER_summary!H$27)</f>
        <v>0</v>
      </c>
      <c r="I14" s="65">
        <f>IF(SER_hh_emih_in!I14=0,0,SER_hh_emih_in!I14/SER_summary!I$27)</f>
        <v>0</v>
      </c>
      <c r="J14" s="65">
        <f>IF(SER_hh_emih_in!J14=0,0,SER_hh_emih_in!J14/SER_summary!J$27)</f>
        <v>0</v>
      </c>
      <c r="K14" s="65">
        <f>IF(SER_hh_emih_in!K14=0,0,SER_hh_emih_in!K14/SER_summary!K$27)</f>
        <v>0</v>
      </c>
      <c r="L14" s="65">
        <f>IF(SER_hh_emih_in!L14=0,0,SER_hh_emih_in!L14/SER_summary!L$27)</f>
        <v>0</v>
      </c>
      <c r="M14" s="65">
        <f>IF(SER_hh_emih_in!M14=0,0,SER_hh_emih_in!M14/SER_summary!M$27)</f>
        <v>0</v>
      </c>
      <c r="N14" s="65">
        <f>IF(SER_hh_emih_in!N14=0,0,SER_hh_emih_in!N14/SER_summary!N$27)</f>
        <v>0</v>
      </c>
      <c r="O14" s="65">
        <f>IF(SER_hh_emih_in!O14=0,0,SER_hh_emih_in!O14/SER_summary!O$27)</f>
        <v>0</v>
      </c>
      <c r="P14" s="65">
        <f>IF(SER_hh_emih_in!P14=0,0,SER_hh_emih_in!P14/SER_summary!P$27)</f>
        <v>0</v>
      </c>
      <c r="Q14" s="65">
        <f>IF(SER_hh_emih_in!Q14=0,0,SER_hh_emih_in!Q14/SER_summary!Q$27)</f>
        <v>0</v>
      </c>
      <c r="R14" s="65">
        <f>IF(SER_hh_emih_in!R14=0,0,SER_hh_emih_in!R14/SER_summary!R$27)</f>
        <v>0</v>
      </c>
      <c r="S14" s="65">
        <f>IF(SER_hh_emih_in!S14=0,0,SER_hh_emih_in!S14/SER_summary!S$27)</f>
        <v>0</v>
      </c>
      <c r="T14" s="65">
        <f>IF(SER_hh_emih_in!T14=0,0,SER_hh_emih_in!T14/SER_summary!T$27)</f>
        <v>0</v>
      </c>
      <c r="U14" s="65">
        <f>IF(SER_hh_emih_in!U14=0,0,SER_hh_emih_in!U14/SER_summary!U$27)</f>
        <v>0</v>
      </c>
      <c r="V14" s="65">
        <f>IF(SER_hh_emih_in!V14=0,0,SER_hh_emih_in!V14/SER_summary!V$27)</f>
        <v>0</v>
      </c>
      <c r="W14" s="65">
        <f>IF(SER_hh_emih_in!W14=0,0,SER_hh_emih_in!W14/SER_summary!W$27)</f>
        <v>0</v>
      </c>
      <c r="DA14" s="109" t="s">
        <v>889</v>
      </c>
    </row>
    <row r="15" spans="1:105" ht="12" customHeight="1" x14ac:dyDescent="0.25">
      <c r="A15" s="134" t="s">
        <v>80</v>
      </c>
      <c r="B15" s="135"/>
      <c r="C15" s="135">
        <f>IF(SER_hh_emih_in!C15=0,0,SER_hh_emih_in!C15/SER_summary!C$27)</f>
        <v>0</v>
      </c>
      <c r="D15" s="135">
        <f>IF(SER_hh_emih_in!D15=0,0,SER_hh_emih_in!D15/SER_summary!D$27)</f>
        <v>0</v>
      </c>
      <c r="E15" s="135">
        <f>IF(SER_hh_emih_in!E15=0,0,SER_hh_emih_in!E15/SER_summary!E$27)</f>
        <v>0</v>
      </c>
      <c r="F15" s="135">
        <f>IF(SER_hh_emih_in!F15=0,0,SER_hh_emih_in!F15/SER_summary!F$27)</f>
        <v>0</v>
      </c>
      <c r="G15" s="135">
        <f>IF(SER_hh_emih_in!G15=0,0,SER_hh_emih_in!G15/SER_summary!G$27)</f>
        <v>0</v>
      </c>
      <c r="H15" s="135">
        <f>IF(SER_hh_emih_in!H15=0,0,SER_hh_emih_in!H15/SER_summary!H$27)</f>
        <v>0</v>
      </c>
      <c r="I15" s="135">
        <f>IF(SER_hh_emih_in!I15=0,0,SER_hh_emih_in!I15/SER_summary!I$27)</f>
        <v>0</v>
      </c>
      <c r="J15" s="135">
        <f>IF(SER_hh_emih_in!J15=0,0,SER_hh_emih_in!J15/SER_summary!J$27)</f>
        <v>0</v>
      </c>
      <c r="K15" s="135">
        <f>IF(SER_hh_emih_in!K15=0,0,SER_hh_emih_in!K15/SER_summary!K$27)</f>
        <v>0</v>
      </c>
      <c r="L15" s="135">
        <f>IF(SER_hh_emih_in!L15=0,0,SER_hh_emih_in!L15/SER_summary!L$27)</f>
        <v>0</v>
      </c>
      <c r="M15" s="135">
        <f>IF(SER_hh_emih_in!M15=0,0,SER_hh_emih_in!M15/SER_summary!M$27)</f>
        <v>0</v>
      </c>
      <c r="N15" s="135">
        <f>IF(SER_hh_emih_in!N15=0,0,SER_hh_emih_in!N15/SER_summary!N$27)</f>
        <v>0</v>
      </c>
      <c r="O15" s="135">
        <f>IF(SER_hh_emih_in!O15=0,0,SER_hh_emih_in!O15/SER_summary!O$27)</f>
        <v>0</v>
      </c>
      <c r="P15" s="135">
        <f>IF(SER_hh_emih_in!P15=0,0,SER_hh_emih_in!P15/SER_summary!P$27)</f>
        <v>0</v>
      </c>
      <c r="Q15" s="135">
        <f>IF(SER_hh_emih_in!Q15=0,0,SER_hh_emih_in!Q15/SER_summary!Q$27)</f>
        <v>0</v>
      </c>
      <c r="R15" s="135">
        <f>IF(SER_hh_emih_in!R15=0,0,SER_hh_emih_in!R15/SER_summary!R$27)</f>
        <v>0</v>
      </c>
      <c r="S15" s="135">
        <f>IF(SER_hh_emih_in!S15=0,0,SER_hh_emih_in!S15/SER_summary!S$27)</f>
        <v>0</v>
      </c>
      <c r="T15" s="135">
        <f>IF(SER_hh_emih_in!T15=0,0,SER_hh_emih_in!T15/SER_summary!T$27)</f>
        <v>0</v>
      </c>
      <c r="U15" s="135">
        <f>IF(SER_hh_emih_in!U15=0,0,SER_hh_emih_in!U15/SER_summary!U$27)</f>
        <v>0</v>
      </c>
      <c r="V15" s="135">
        <f>IF(SER_hh_emih_in!V15=0,0,SER_hh_emih_in!V15/SER_summary!V$27)</f>
        <v>0</v>
      </c>
      <c r="W15" s="135">
        <f>IF(SER_hh_emih_in!W15=0,0,SER_hh_emih_in!W15/SER_summary!W$27)</f>
        <v>0</v>
      </c>
      <c r="DA15" s="158" t="s">
        <v>890</v>
      </c>
    </row>
    <row r="16" spans="1:105" ht="12.95" customHeight="1" x14ac:dyDescent="0.25">
      <c r="A16" s="130" t="s">
        <v>74</v>
      </c>
      <c r="B16" s="131"/>
      <c r="C16" s="131">
        <f>IF(SER_hh_emih_in!C16=0,0,SER_hh_emih_in!C16/SER_summary!C$27)</f>
        <v>0</v>
      </c>
      <c r="D16" s="131">
        <f>IF(SER_hh_emih_in!D16=0,0,SER_hh_emih_in!D16/SER_summary!D$27)</f>
        <v>0</v>
      </c>
      <c r="E16" s="131">
        <f>IF(SER_hh_emih_in!E16=0,0,SER_hh_emih_in!E16/SER_summary!E$27)</f>
        <v>0</v>
      </c>
      <c r="F16" s="131">
        <f>IF(SER_hh_emih_in!F16=0,0,SER_hh_emih_in!F16/SER_summary!F$27)</f>
        <v>0</v>
      </c>
      <c r="G16" s="131">
        <f>IF(SER_hh_emih_in!G16=0,0,SER_hh_emih_in!G16/SER_summary!G$27)</f>
        <v>0</v>
      </c>
      <c r="H16" s="131">
        <f>IF(SER_hh_emih_in!H16=0,0,SER_hh_emih_in!H16/SER_summary!H$27)</f>
        <v>0</v>
      </c>
      <c r="I16" s="131">
        <f>IF(SER_hh_emih_in!I16=0,0,SER_hh_emih_in!I16/SER_summary!I$27)</f>
        <v>0</v>
      </c>
      <c r="J16" s="131">
        <f>IF(SER_hh_emih_in!J16=0,0,SER_hh_emih_in!J16/SER_summary!J$27)</f>
        <v>0</v>
      </c>
      <c r="K16" s="131">
        <f>IF(SER_hh_emih_in!K16=0,0,SER_hh_emih_in!K16/SER_summary!K$27)</f>
        <v>0</v>
      </c>
      <c r="L16" s="131">
        <f>IF(SER_hh_emih_in!L16=0,0,SER_hh_emih_in!L16/SER_summary!L$27)</f>
        <v>0</v>
      </c>
      <c r="M16" s="131">
        <f>IF(SER_hh_emih_in!M16=0,0,SER_hh_emih_in!M16/SER_summary!M$27)</f>
        <v>0</v>
      </c>
      <c r="N16" s="131">
        <f>IF(SER_hh_emih_in!N16=0,0,SER_hh_emih_in!N16/SER_summary!N$27)</f>
        <v>0</v>
      </c>
      <c r="O16" s="131">
        <f>IF(SER_hh_emih_in!O16=0,0,SER_hh_emih_in!O16/SER_summary!O$27)</f>
        <v>0</v>
      </c>
      <c r="P16" s="131">
        <f>IF(SER_hh_emih_in!P16=0,0,SER_hh_emih_in!P16/SER_summary!P$27)</f>
        <v>0</v>
      </c>
      <c r="Q16" s="131">
        <f>IF(SER_hh_emih_in!Q16=0,0,SER_hh_emih_in!Q16/SER_summary!Q$27)</f>
        <v>0</v>
      </c>
      <c r="R16" s="131">
        <f>IF(SER_hh_emih_in!R16=0,0,SER_hh_emih_in!R16/SER_summary!R$27)</f>
        <v>0</v>
      </c>
      <c r="S16" s="131">
        <f>IF(SER_hh_emih_in!S16=0,0,SER_hh_emih_in!S16/SER_summary!S$27)</f>
        <v>0</v>
      </c>
      <c r="T16" s="131">
        <f>IF(SER_hh_emih_in!T16=0,0,SER_hh_emih_in!T16/SER_summary!T$27)</f>
        <v>0</v>
      </c>
      <c r="U16" s="131">
        <f>IF(SER_hh_emih_in!U16=0,0,SER_hh_emih_in!U16/SER_summary!U$27)</f>
        <v>0</v>
      </c>
      <c r="V16" s="131">
        <f>IF(SER_hh_emih_in!V16=0,0,SER_hh_emih_in!V16/SER_summary!V$27)</f>
        <v>0</v>
      </c>
      <c r="W16" s="131">
        <f>IF(SER_hh_emih_in!W16=0,0,SER_hh_emih_in!W16/SER_summary!W$27)</f>
        <v>0</v>
      </c>
      <c r="DA16" s="156" t="s">
        <v>891</v>
      </c>
    </row>
    <row r="17" spans="1:105" ht="12.95" customHeight="1" x14ac:dyDescent="0.25">
      <c r="A17" s="132" t="s">
        <v>73</v>
      </c>
      <c r="B17" s="133"/>
      <c r="C17" s="133">
        <f>IF(SER_hh_emih_in!C17=0,0,SER_hh_emih_in!C17/SER_summary!C$27)</f>
        <v>0</v>
      </c>
      <c r="D17" s="133">
        <f>IF(SER_hh_emih_in!D17=0,0,SER_hh_emih_in!D17/SER_summary!D$27)</f>
        <v>0</v>
      </c>
      <c r="E17" s="133">
        <f>IF(SER_hh_emih_in!E17=0,0,SER_hh_emih_in!E17/SER_summary!E$27)</f>
        <v>0</v>
      </c>
      <c r="F17" s="133">
        <f>IF(SER_hh_emih_in!F17=0,0,SER_hh_emih_in!F17/SER_summary!F$27)</f>
        <v>0</v>
      </c>
      <c r="G17" s="133">
        <f>IF(SER_hh_emih_in!G17=0,0,SER_hh_emih_in!G17/SER_summary!G$27)</f>
        <v>0</v>
      </c>
      <c r="H17" s="133">
        <f>IF(SER_hh_emih_in!H17=0,0,SER_hh_emih_in!H17/SER_summary!H$27)</f>
        <v>0</v>
      </c>
      <c r="I17" s="133">
        <f>IF(SER_hh_emih_in!I17=0,0,SER_hh_emih_in!I17/SER_summary!I$27)</f>
        <v>0</v>
      </c>
      <c r="J17" s="133">
        <f>IF(SER_hh_emih_in!J17=0,0,SER_hh_emih_in!J17/SER_summary!J$27)</f>
        <v>0</v>
      </c>
      <c r="K17" s="133">
        <f>IF(SER_hh_emih_in!K17=0,0,SER_hh_emih_in!K17/SER_summary!K$27)</f>
        <v>0</v>
      </c>
      <c r="L17" s="133">
        <f>IF(SER_hh_emih_in!L17=0,0,SER_hh_emih_in!L17/SER_summary!L$27)</f>
        <v>0</v>
      </c>
      <c r="M17" s="133">
        <f>IF(SER_hh_emih_in!M17=0,0,SER_hh_emih_in!M17/SER_summary!M$27)</f>
        <v>0</v>
      </c>
      <c r="N17" s="133">
        <f>IF(SER_hh_emih_in!N17=0,0,SER_hh_emih_in!N17/SER_summary!N$27)</f>
        <v>0</v>
      </c>
      <c r="O17" s="133">
        <f>IF(SER_hh_emih_in!O17=0,0,SER_hh_emih_in!O17/SER_summary!O$27)</f>
        <v>0</v>
      </c>
      <c r="P17" s="133">
        <f>IF(SER_hh_emih_in!P17=0,0,SER_hh_emih_in!P17/SER_summary!P$27)</f>
        <v>0</v>
      </c>
      <c r="Q17" s="133">
        <f>IF(SER_hh_emih_in!Q17=0,0,SER_hh_emih_in!Q17/SER_summary!Q$27)</f>
        <v>0</v>
      </c>
      <c r="R17" s="133">
        <f>IF(SER_hh_emih_in!R17=0,0,SER_hh_emih_in!R17/SER_summary!R$27)</f>
        <v>0</v>
      </c>
      <c r="S17" s="133">
        <f>IF(SER_hh_emih_in!S17=0,0,SER_hh_emih_in!S17/SER_summary!S$27)</f>
        <v>0</v>
      </c>
      <c r="T17" s="133">
        <f>IF(SER_hh_emih_in!T17=0,0,SER_hh_emih_in!T17/SER_summary!T$27)</f>
        <v>0</v>
      </c>
      <c r="U17" s="133">
        <f>IF(SER_hh_emih_in!U17=0,0,SER_hh_emih_in!U17/SER_summary!U$27)</f>
        <v>0</v>
      </c>
      <c r="V17" s="133">
        <f>IF(SER_hh_emih_in!V17=0,0,SER_hh_emih_in!V17/SER_summary!V$27)</f>
        <v>0</v>
      </c>
      <c r="W17" s="133">
        <f>IF(SER_hh_emih_in!W17=0,0,SER_hh_emih_in!W17/SER_summary!W$27)</f>
        <v>0</v>
      </c>
      <c r="DA17" s="157" t="s">
        <v>892</v>
      </c>
    </row>
    <row r="18" spans="1:105" ht="12" customHeight="1" x14ac:dyDescent="0.25">
      <c r="A18" s="132" t="s">
        <v>72</v>
      </c>
      <c r="B18" s="133"/>
      <c r="C18" s="133">
        <f>IF(SER_hh_emih_in!C18=0,0,SER_hh_emih_in!C18/SER_summary!C$27)</f>
        <v>0</v>
      </c>
      <c r="D18" s="133">
        <f>IF(SER_hh_emih_in!D18=0,0,SER_hh_emih_in!D18/SER_summary!D$27)</f>
        <v>0</v>
      </c>
      <c r="E18" s="133">
        <f>IF(SER_hh_emih_in!E18=0,0,SER_hh_emih_in!E18/SER_summary!E$27)</f>
        <v>0</v>
      </c>
      <c r="F18" s="133">
        <f>IF(SER_hh_emih_in!F18=0,0,SER_hh_emih_in!F18/SER_summary!F$27)</f>
        <v>0</v>
      </c>
      <c r="G18" s="133">
        <f>IF(SER_hh_emih_in!G18=0,0,SER_hh_emih_in!G18/SER_summary!G$27)</f>
        <v>0</v>
      </c>
      <c r="H18" s="133">
        <f>IF(SER_hh_emih_in!H18=0,0,SER_hh_emih_in!H18/SER_summary!H$27)</f>
        <v>0</v>
      </c>
      <c r="I18" s="133">
        <f>IF(SER_hh_emih_in!I18=0,0,SER_hh_emih_in!I18/SER_summary!I$27)</f>
        <v>0</v>
      </c>
      <c r="J18" s="133">
        <f>IF(SER_hh_emih_in!J18=0,0,SER_hh_emih_in!J18/SER_summary!J$27)</f>
        <v>0</v>
      </c>
      <c r="K18" s="133">
        <f>IF(SER_hh_emih_in!K18=0,0,SER_hh_emih_in!K18/SER_summary!K$27)</f>
        <v>0</v>
      </c>
      <c r="L18" s="133">
        <f>IF(SER_hh_emih_in!L18=0,0,SER_hh_emih_in!L18/SER_summary!L$27)</f>
        <v>0</v>
      </c>
      <c r="M18" s="133">
        <f>IF(SER_hh_emih_in!M18=0,0,SER_hh_emih_in!M18/SER_summary!M$27)</f>
        <v>0</v>
      </c>
      <c r="N18" s="133">
        <f>IF(SER_hh_emih_in!N18=0,0,SER_hh_emih_in!N18/SER_summary!N$27)</f>
        <v>0</v>
      </c>
      <c r="O18" s="133">
        <f>IF(SER_hh_emih_in!O18=0,0,SER_hh_emih_in!O18/SER_summary!O$27)</f>
        <v>0</v>
      </c>
      <c r="P18" s="133">
        <f>IF(SER_hh_emih_in!P18=0,0,SER_hh_emih_in!P18/SER_summary!P$27)</f>
        <v>0</v>
      </c>
      <c r="Q18" s="133">
        <f>IF(SER_hh_emih_in!Q18=0,0,SER_hh_emih_in!Q18/SER_summary!Q$27)</f>
        <v>0</v>
      </c>
      <c r="R18" s="133">
        <f>IF(SER_hh_emih_in!R18=0,0,SER_hh_emih_in!R18/SER_summary!R$27)</f>
        <v>0</v>
      </c>
      <c r="S18" s="133">
        <f>IF(SER_hh_emih_in!S18=0,0,SER_hh_emih_in!S18/SER_summary!S$27)</f>
        <v>0</v>
      </c>
      <c r="T18" s="133">
        <f>IF(SER_hh_emih_in!T18=0,0,SER_hh_emih_in!T18/SER_summary!T$27)</f>
        <v>0</v>
      </c>
      <c r="U18" s="133">
        <f>IF(SER_hh_emih_in!U18=0,0,SER_hh_emih_in!U18/SER_summary!U$27)</f>
        <v>0</v>
      </c>
      <c r="V18" s="133">
        <f>IF(SER_hh_emih_in!V18=0,0,SER_hh_emih_in!V18/SER_summary!V$27)</f>
        <v>0</v>
      </c>
      <c r="W18" s="133">
        <f>IF(SER_hh_emih_in!W18=0,0,SER_hh_emih_in!W18/SER_summary!W$27)</f>
        <v>0</v>
      </c>
      <c r="DA18" s="157" t="s">
        <v>893</v>
      </c>
    </row>
    <row r="19" spans="1:105" ht="12.95" customHeight="1" x14ac:dyDescent="0.25">
      <c r="A19" s="130" t="s">
        <v>35</v>
      </c>
      <c r="B19" s="131"/>
      <c r="C19" s="131">
        <f>IF(SER_hh_emih_in!C19=0,0,SER_hh_emih_in!C19/SER_summary!C$27)</f>
        <v>0.21437675225614472</v>
      </c>
      <c r="D19" s="131">
        <f>IF(SER_hh_emih_in!D19=0,0,SER_hh_emih_in!D19/SER_summary!D$27)</f>
        <v>7.1553955140503542E-2</v>
      </c>
      <c r="E19" s="131">
        <f>IF(SER_hh_emih_in!E19=0,0,SER_hh_emih_in!E19/SER_summary!E$27)</f>
        <v>0.1507788632452208</v>
      </c>
      <c r="F19" s="131">
        <f>IF(SER_hh_emih_in!F19=0,0,SER_hh_emih_in!F19/SER_summary!F$27)</f>
        <v>0.16883953702303806</v>
      </c>
      <c r="G19" s="131">
        <f>IF(SER_hh_emih_in!G19=0,0,SER_hh_emih_in!G19/SER_summary!G$27)</f>
        <v>0.16178043993739996</v>
      </c>
      <c r="H19" s="131">
        <f>IF(SER_hh_emih_in!H19=0,0,SER_hh_emih_in!H19/SER_summary!H$27)</f>
        <v>3.1622113917320105</v>
      </c>
      <c r="I19" s="131">
        <f>IF(SER_hh_emih_in!I19=0,0,SER_hh_emih_in!I19/SER_summary!I$27)</f>
        <v>2.9155085783669201</v>
      </c>
      <c r="J19" s="131">
        <f>IF(SER_hh_emih_in!J19=0,0,SER_hh_emih_in!J19/SER_summary!J$27)</f>
        <v>2.6695464435780405</v>
      </c>
      <c r="K19" s="131">
        <f>IF(SER_hh_emih_in!K19=0,0,SER_hh_emih_in!K19/SER_summary!K$27)</f>
        <v>0.49636152516292359</v>
      </c>
      <c r="L19" s="131">
        <f>IF(SER_hh_emih_in!L19=0,0,SER_hh_emih_in!L19/SER_summary!L$27)</f>
        <v>0.452086982471058</v>
      </c>
      <c r="M19" s="131">
        <f>IF(SER_hh_emih_in!M19=0,0,SER_hh_emih_in!M19/SER_summary!M$27)</f>
        <v>0.19482062916104165</v>
      </c>
      <c r="N19" s="131">
        <f>IF(SER_hh_emih_in!N19=0,0,SER_hh_emih_in!N19/SER_summary!N$27)</f>
        <v>0.20063132763259128</v>
      </c>
      <c r="O19" s="131">
        <f>IF(SER_hh_emih_in!O19=0,0,SER_hh_emih_in!O19/SER_summary!O$27)</f>
        <v>0.20166359430676992</v>
      </c>
      <c r="P19" s="131">
        <f>IF(SER_hh_emih_in!P19=0,0,SER_hh_emih_in!P19/SER_summary!P$27)</f>
        <v>0.1533455166619187</v>
      </c>
      <c r="Q19" s="131">
        <f>IF(SER_hh_emih_in!Q19=0,0,SER_hh_emih_in!Q19/SER_summary!Q$27)</f>
        <v>0.14084465265094251</v>
      </c>
      <c r="R19" s="131">
        <f>IF(SER_hh_emih_in!R19=0,0,SER_hh_emih_in!R19/SER_summary!R$27)</f>
        <v>0.21165662576333991</v>
      </c>
      <c r="S19" s="131">
        <f>IF(SER_hh_emih_in!S19=0,0,SER_hh_emih_in!S19/SER_summary!S$27)</f>
        <v>0.43172350478356813</v>
      </c>
      <c r="T19" s="131">
        <f>IF(SER_hh_emih_in!T19=0,0,SER_hh_emih_in!T19/SER_summary!T$27)</f>
        <v>0.70887689138828069</v>
      </c>
      <c r="U19" s="131">
        <f>IF(SER_hh_emih_in!U19=0,0,SER_hh_emih_in!U19/SER_summary!U$27)</f>
        <v>0.96801802731332198</v>
      </c>
      <c r="V19" s="131">
        <f>IF(SER_hh_emih_in!V19=0,0,SER_hh_emih_in!V19/SER_summary!V$27)</f>
        <v>0.43103341016989322</v>
      </c>
      <c r="W19" s="131">
        <f>IF(SER_hh_emih_in!W19=0,0,SER_hh_emih_in!W19/SER_summary!W$27)</f>
        <v>1.022309428445658</v>
      </c>
      <c r="DA19" s="156" t="s">
        <v>894</v>
      </c>
    </row>
    <row r="20" spans="1:105" ht="12" customHeight="1" x14ac:dyDescent="0.25">
      <c r="A20" s="132" t="s">
        <v>29</v>
      </c>
      <c r="B20" s="133"/>
      <c r="C20" s="133">
        <f>IF(SER_hh_emih_in!C20=0,0,SER_hh_emih_in!C20/SER_summary!C$27)</f>
        <v>0</v>
      </c>
      <c r="D20" s="133">
        <f>IF(SER_hh_emih_in!D20=0,0,SER_hh_emih_in!D20/SER_summary!D$27)</f>
        <v>0</v>
      </c>
      <c r="E20" s="133">
        <f>IF(SER_hh_emih_in!E20=0,0,SER_hh_emih_in!E20/SER_summary!E$27)</f>
        <v>0</v>
      </c>
      <c r="F20" s="133">
        <f>IF(SER_hh_emih_in!F20=0,0,SER_hh_emih_in!F20/SER_summary!F$27)</f>
        <v>0</v>
      </c>
      <c r="G20" s="133">
        <f>IF(SER_hh_emih_in!G20=0,0,SER_hh_emih_in!G20/SER_summary!G$27)</f>
        <v>0</v>
      </c>
      <c r="H20" s="133">
        <f>IF(SER_hh_emih_in!H20=0,0,SER_hh_emih_in!H20/SER_summary!H$27)</f>
        <v>0</v>
      </c>
      <c r="I20" s="133">
        <f>IF(SER_hh_emih_in!I20=0,0,SER_hh_emih_in!I20/SER_summary!I$27)</f>
        <v>0</v>
      </c>
      <c r="J20" s="133">
        <f>IF(SER_hh_emih_in!J20=0,0,SER_hh_emih_in!J20/SER_summary!J$27)</f>
        <v>0</v>
      </c>
      <c r="K20" s="133">
        <f>IF(SER_hh_emih_in!K20=0,0,SER_hh_emih_in!K20/SER_summary!K$27)</f>
        <v>0</v>
      </c>
      <c r="L20" s="133">
        <f>IF(SER_hh_emih_in!L20=0,0,SER_hh_emih_in!L20/SER_summary!L$27)</f>
        <v>0</v>
      </c>
      <c r="M20" s="133">
        <f>IF(SER_hh_emih_in!M20=0,0,SER_hh_emih_in!M20/SER_summary!M$27)</f>
        <v>0</v>
      </c>
      <c r="N20" s="133">
        <f>IF(SER_hh_emih_in!N20=0,0,SER_hh_emih_in!N20/SER_summary!N$27)</f>
        <v>0</v>
      </c>
      <c r="O20" s="133">
        <f>IF(SER_hh_emih_in!O20=0,0,SER_hh_emih_in!O20/SER_summary!O$27)</f>
        <v>0</v>
      </c>
      <c r="P20" s="133">
        <f>IF(SER_hh_emih_in!P20=0,0,SER_hh_emih_in!P20/SER_summary!P$27)</f>
        <v>0</v>
      </c>
      <c r="Q20" s="133">
        <f>IF(SER_hh_emih_in!Q20=0,0,SER_hh_emih_in!Q20/SER_summary!Q$27)</f>
        <v>0</v>
      </c>
      <c r="R20" s="133">
        <f>IF(SER_hh_emih_in!R20=0,0,SER_hh_emih_in!R20/SER_summary!R$27)</f>
        <v>0</v>
      </c>
      <c r="S20" s="133">
        <f>IF(SER_hh_emih_in!S20=0,0,SER_hh_emih_in!S20/SER_summary!S$27)</f>
        <v>0</v>
      </c>
      <c r="T20" s="133">
        <f>IF(SER_hh_emih_in!T20=0,0,SER_hh_emih_in!T20/SER_summary!T$27)</f>
        <v>0</v>
      </c>
      <c r="U20" s="133">
        <f>IF(SER_hh_emih_in!U20=0,0,SER_hh_emih_in!U20/SER_summary!U$27)</f>
        <v>0</v>
      </c>
      <c r="V20" s="133">
        <f>IF(SER_hh_emih_in!V20=0,0,SER_hh_emih_in!V20/SER_summary!V$27)</f>
        <v>0</v>
      </c>
      <c r="W20" s="133">
        <f>IF(SER_hh_emih_in!W20=0,0,SER_hh_emih_in!W20/SER_summary!W$27)</f>
        <v>0</v>
      </c>
      <c r="DA20" s="157" t="s">
        <v>895</v>
      </c>
    </row>
    <row r="21" spans="1:105" s="2" customFormat="1" ht="12" customHeight="1" x14ac:dyDescent="0.25">
      <c r="A21" s="132" t="s">
        <v>52</v>
      </c>
      <c r="B21" s="133"/>
      <c r="C21" s="133">
        <f>IF(SER_hh_emih_in!C21=0,0,SER_hh_emih_in!C21/SER_summary!C$27)</f>
        <v>0</v>
      </c>
      <c r="D21" s="133">
        <f>IF(SER_hh_emih_in!D21=0,0,SER_hh_emih_in!D21/SER_summary!D$27)</f>
        <v>0</v>
      </c>
      <c r="E21" s="133">
        <f>IF(SER_hh_emih_in!E21=0,0,SER_hh_emih_in!E21/SER_summary!E$27)</f>
        <v>0</v>
      </c>
      <c r="F21" s="133">
        <f>IF(SER_hh_emih_in!F21=0,0,SER_hh_emih_in!F21/SER_summary!F$27)</f>
        <v>0</v>
      </c>
      <c r="G21" s="133">
        <f>IF(SER_hh_emih_in!G21=0,0,SER_hh_emih_in!G21/SER_summary!G$27)</f>
        <v>0</v>
      </c>
      <c r="H21" s="133">
        <f>IF(SER_hh_emih_in!H21=0,0,SER_hh_emih_in!H21/SER_summary!H$27)</f>
        <v>3.1141620889631074</v>
      </c>
      <c r="I21" s="133">
        <f>IF(SER_hh_emih_in!I21=0,0,SER_hh_emih_in!I21/SER_summary!I$27)</f>
        <v>2.8946985335701876</v>
      </c>
      <c r="J21" s="133">
        <f>IF(SER_hh_emih_in!J21=0,0,SER_hh_emih_in!J21/SER_summary!J$27)</f>
        <v>2.7690969659606584</v>
      </c>
      <c r="K21" s="133">
        <f>IF(SER_hh_emih_in!K21=0,0,SER_hh_emih_in!K21/SER_summary!K$27)</f>
        <v>3.773901834336248</v>
      </c>
      <c r="L21" s="133">
        <f>IF(SER_hh_emih_in!L21=0,0,SER_hh_emih_in!L21/SER_summary!L$27)</f>
        <v>4.9153479876688815</v>
      </c>
      <c r="M21" s="133">
        <f>IF(SER_hh_emih_in!M21=0,0,SER_hh_emih_in!M21/SER_summary!M$27)</f>
        <v>0</v>
      </c>
      <c r="N21" s="133">
        <f>IF(SER_hh_emih_in!N21=0,0,SER_hh_emih_in!N21/SER_summary!N$27)</f>
        <v>0</v>
      </c>
      <c r="O21" s="133">
        <f>IF(SER_hh_emih_in!O21=0,0,SER_hh_emih_in!O21/SER_summary!O$27)</f>
        <v>0</v>
      </c>
      <c r="P21" s="133">
        <f>IF(SER_hh_emih_in!P21=0,0,SER_hh_emih_in!P21/SER_summary!P$27)</f>
        <v>0</v>
      </c>
      <c r="Q21" s="133">
        <f>IF(SER_hh_emih_in!Q21=0,0,SER_hh_emih_in!Q21/SER_summary!Q$27)</f>
        <v>0</v>
      </c>
      <c r="R21" s="133">
        <f>IF(SER_hh_emih_in!R21=0,0,SER_hh_emih_in!R21/SER_summary!R$27)</f>
        <v>2.69816804813903</v>
      </c>
      <c r="S21" s="133">
        <f>IF(SER_hh_emih_in!S21=0,0,SER_hh_emih_in!S21/SER_summary!S$27)</f>
        <v>2.260399453272274</v>
      </c>
      <c r="T21" s="133">
        <f>IF(SER_hh_emih_in!T21=0,0,SER_hh_emih_in!T21/SER_summary!T$27)</f>
        <v>3.097724456073121</v>
      </c>
      <c r="U21" s="133">
        <f>IF(SER_hh_emih_in!U21=0,0,SER_hh_emih_in!U21/SER_summary!U$27)</f>
        <v>3.0768318291088712</v>
      </c>
      <c r="V21" s="133">
        <f>IF(SER_hh_emih_in!V21=0,0,SER_hh_emih_in!V21/SER_summary!V$27)</f>
        <v>2.090465438385225</v>
      </c>
      <c r="W21" s="133">
        <f>IF(SER_hh_emih_in!W21=0,0,SER_hh_emih_in!W21/SER_summary!W$27)</f>
        <v>2.6755394331402007</v>
      </c>
      <c r="DA21" s="157" t="s">
        <v>896</v>
      </c>
    </row>
    <row r="22" spans="1:105" ht="12" customHeight="1" x14ac:dyDescent="0.25">
      <c r="A22" s="132" t="s">
        <v>168</v>
      </c>
      <c r="B22" s="133"/>
      <c r="C22" s="133">
        <f>IF(SER_hh_emih_in!C22=0,0,SER_hh_emih_in!C22/SER_summary!C$27)</f>
        <v>7.4952231684978203</v>
      </c>
      <c r="D22" s="133">
        <f>IF(SER_hh_emih_in!D22=0,0,SER_hh_emih_in!D22/SER_summary!D$27)</f>
        <v>2.4373297156700406</v>
      </c>
      <c r="E22" s="133">
        <f>IF(SER_hh_emih_in!E22=0,0,SER_hh_emih_in!E22/SER_summary!E$27)</f>
        <v>5.3421878725882701</v>
      </c>
      <c r="F22" s="133">
        <f>IF(SER_hh_emih_in!F22=0,0,SER_hh_emih_in!F22/SER_summary!F$27)</f>
        <v>5.9790020614178232</v>
      </c>
      <c r="G22" s="133">
        <f>IF(SER_hh_emih_in!G22=0,0,SER_hh_emih_in!G22/SER_summary!G$27)</f>
        <v>5.5141283780180919</v>
      </c>
      <c r="H22" s="133">
        <f>IF(SER_hh_emih_in!H22=0,0,SER_hh_emih_in!H22/SER_summary!H$27)</f>
        <v>7.189278180635621</v>
      </c>
      <c r="I22" s="133">
        <f>IF(SER_hh_emih_in!I22=0,0,SER_hh_emih_in!I22/SER_summary!I$27)</f>
        <v>3.4678327013931716</v>
      </c>
      <c r="J22" s="133">
        <f>IF(SER_hh_emih_in!J22=0,0,SER_hh_emih_in!J22/SER_summary!J$27)</f>
        <v>3.8876894152134578</v>
      </c>
      <c r="K22" s="133">
        <f>IF(SER_hh_emih_in!K22=0,0,SER_hh_emih_in!K22/SER_summary!K$27)</f>
        <v>5.9255357482262827</v>
      </c>
      <c r="L22" s="133">
        <f>IF(SER_hh_emih_in!L22=0,0,SER_hh_emih_in!L22/SER_summary!L$27)</f>
        <v>7.6397460103677268</v>
      </c>
      <c r="M22" s="133">
        <f>IF(SER_hh_emih_in!M22=0,0,SER_hh_emih_in!M22/SER_summary!M$27)</f>
        <v>6.625599517905485</v>
      </c>
      <c r="N22" s="133">
        <f>IF(SER_hh_emih_in!N22=0,0,SER_hh_emih_in!N22/SER_summary!N$27)</f>
        <v>7.4088357831528819</v>
      </c>
      <c r="O22" s="133">
        <f>IF(SER_hh_emih_in!O22=0,0,SER_hh_emih_in!O22/SER_summary!O$27)</f>
        <v>6.8585671751461748</v>
      </c>
      <c r="P22" s="133">
        <f>IF(SER_hh_emih_in!P22=0,0,SER_hh_emih_in!P22/SER_summary!P$27)</f>
        <v>5.2007627668824625</v>
      </c>
      <c r="Q22" s="133">
        <f>IF(SER_hh_emih_in!Q22=0,0,SER_hh_emih_in!Q22/SER_summary!Q$27)</f>
        <v>2.9558536983193968</v>
      </c>
      <c r="R22" s="133">
        <f>IF(SER_hh_emih_in!R22=0,0,SER_hh_emih_in!R22/SER_summary!R$27)</f>
        <v>3.6130895166629444</v>
      </c>
      <c r="S22" s="133">
        <f>IF(SER_hh_emih_in!S22=0,0,SER_hh_emih_in!S22/SER_summary!S$27)</f>
        <v>2.8467999952407261</v>
      </c>
      <c r="T22" s="133">
        <f>IF(SER_hh_emih_in!T22=0,0,SER_hh_emih_in!T22/SER_summary!T$27)</f>
        <v>4.3622844596516215</v>
      </c>
      <c r="U22" s="133">
        <f>IF(SER_hh_emih_in!U22=0,0,SER_hh_emih_in!U22/SER_summary!U$27)</f>
        <v>4.0916327204537914</v>
      </c>
      <c r="V22" s="133">
        <f>IF(SER_hh_emih_in!V22=0,0,SER_hh_emih_in!V22/SER_summary!V$27)</f>
        <v>2.7509130138093267</v>
      </c>
      <c r="W22" s="133">
        <f>IF(SER_hh_emih_in!W22=0,0,SER_hh_emih_in!W22/SER_summary!W$27)</f>
        <v>3.9877685550656086</v>
      </c>
      <c r="DA22" s="157" t="s">
        <v>897</v>
      </c>
    </row>
    <row r="23" spans="1:105" ht="12" customHeight="1" x14ac:dyDescent="0.25">
      <c r="A23" s="132" t="s">
        <v>153</v>
      </c>
      <c r="B23" s="133"/>
      <c r="C23" s="133">
        <f>IF(SER_hh_emih_in!C23=0,0,SER_hh_emih_in!C23/SER_summary!C$27)</f>
        <v>0</v>
      </c>
      <c r="D23" s="133">
        <f>IF(SER_hh_emih_in!D23=0,0,SER_hh_emih_in!D23/SER_summary!D$27)</f>
        <v>0</v>
      </c>
      <c r="E23" s="133">
        <f>IF(SER_hh_emih_in!E23=0,0,SER_hh_emih_in!E23/SER_summary!E$27)</f>
        <v>0</v>
      </c>
      <c r="F23" s="133">
        <f>IF(SER_hh_emih_in!F23=0,0,SER_hh_emih_in!F23/SER_summary!F$27)</f>
        <v>0</v>
      </c>
      <c r="G23" s="133">
        <f>IF(SER_hh_emih_in!G23=0,0,SER_hh_emih_in!G23/SER_summary!G$27)</f>
        <v>0</v>
      </c>
      <c r="H23" s="133">
        <f>IF(SER_hh_emih_in!H23=0,0,SER_hh_emih_in!H23/SER_summary!H$27)</f>
        <v>0</v>
      </c>
      <c r="I23" s="133">
        <f>IF(SER_hh_emih_in!I23=0,0,SER_hh_emih_in!I23/SER_summary!I$27)</f>
        <v>0</v>
      </c>
      <c r="J23" s="133">
        <f>IF(SER_hh_emih_in!J23=0,0,SER_hh_emih_in!J23/SER_summary!J$27)</f>
        <v>0</v>
      </c>
      <c r="K23" s="133">
        <f>IF(SER_hh_emih_in!K23=0,0,SER_hh_emih_in!K23/SER_summary!K$27)</f>
        <v>0</v>
      </c>
      <c r="L23" s="133">
        <f>IF(SER_hh_emih_in!L23=0,0,SER_hh_emih_in!L23/SER_summary!L$27)</f>
        <v>0</v>
      </c>
      <c r="M23" s="133">
        <f>IF(SER_hh_emih_in!M23=0,0,SER_hh_emih_in!M23/SER_summary!M$27)</f>
        <v>0</v>
      </c>
      <c r="N23" s="133">
        <f>IF(SER_hh_emih_in!N23=0,0,SER_hh_emih_in!N23/SER_summary!N$27)</f>
        <v>0</v>
      </c>
      <c r="O23" s="133">
        <f>IF(SER_hh_emih_in!O23=0,0,SER_hh_emih_in!O23/SER_summary!O$27)</f>
        <v>0</v>
      </c>
      <c r="P23" s="133">
        <f>IF(SER_hh_emih_in!P23=0,0,SER_hh_emih_in!P23/SER_summary!P$27)</f>
        <v>0</v>
      </c>
      <c r="Q23" s="133">
        <f>IF(SER_hh_emih_in!Q23=0,0,SER_hh_emih_in!Q23/SER_summary!Q$27)</f>
        <v>0</v>
      </c>
      <c r="R23" s="133">
        <f>IF(SER_hh_emih_in!R23=0,0,SER_hh_emih_in!R23/SER_summary!R$27)</f>
        <v>0</v>
      </c>
      <c r="S23" s="133">
        <f>IF(SER_hh_emih_in!S23=0,0,SER_hh_emih_in!S23/SER_summary!S$27)</f>
        <v>0</v>
      </c>
      <c r="T23" s="133">
        <f>IF(SER_hh_emih_in!T23=0,0,SER_hh_emih_in!T23/SER_summary!T$27)</f>
        <v>0</v>
      </c>
      <c r="U23" s="133">
        <f>IF(SER_hh_emih_in!U23=0,0,SER_hh_emih_in!U23/SER_summary!U$27)</f>
        <v>0</v>
      </c>
      <c r="V23" s="133">
        <f>IF(SER_hh_emih_in!V23=0,0,SER_hh_emih_in!V23/SER_summary!V$27)</f>
        <v>0</v>
      </c>
      <c r="W23" s="133">
        <f>IF(SER_hh_emih_in!W23=0,0,SER_hh_emih_in!W23/SER_summary!W$27)</f>
        <v>0</v>
      </c>
      <c r="DA23" s="157" t="s">
        <v>898</v>
      </c>
    </row>
    <row r="24" spans="1:105" ht="12" customHeight="1" x14ac:dyDescent="0.25">
      <c r="A24" s="132" t="s">
        <v>128</v>
      </c>
      <c r="B24" s="133"/>
      <c r="C24" s="133">
        <f>IF(SER_hh_emih_in!C24=0,0,SER_hh_emih_in!C24/SER_summary!C$27)</f>
        <v>0</v>
      </c>
      <c r="D24" s="133">
        <f>IF(SER_hh_emih_in!D24=0,0,SER_hh_emih_in!D24/SER_summary!D$27)</f>
        <v>0</v>
      </c>
      <c r="E24" s="133">
        <f>IF(SER_hh_emih_in!E24=0,0,SER_hh_emih_in!E24/SER_summary!E$27)</f>
        <v>0</v>
      </c>
      <c r="F24" s="133">
        <f>IF(SER_hh_emih_in!F24=0,0,SER_hh_emih_in!F24/SER_summary!F$27)</f>
        <v>0</v>
      </c>
      <c r="G24" s="133">
        <f>IF(SER_hh_emih_in!G24=0,0,SER_hh_emih_in!G24/SER_summary!G$27)</f>
        <v>0</v>
      </c>
      <c r="H24" s="133">
        <f>IF(SER_hh_emih_in!H24=0,0,SER_hh_emih_in!H24/SER_summary!H$27)</f>
        <v>0</v>
      </c>
      <c r="I24" s="133">
        <f>IF(SER_hh_emih_in!I24=0,0,SER_hh_emih_in!I24/SER_summary!I$27)</f>
        <v>0</v>
      </c>
      <c r="J24" s="133">
        <f>IF(SER_hh_emih_in!J24=0,0,SER_hh_emih_in!J24/SER_summary!J$27)</f>
        <v>0</v>
      </c>
      <c r="K24" s="133">
        <f>IF(SER_hh_emih_in!K24=0,0,SER_hh_emih_in!K24/SER_summary!K$27)</f>
        <v>0</v>
      </c>
      <c r="L24" s="133">
        <f>IF(SER_hh_emih_in!L24=0,0,SER_hh_emih_in!L24/SER_summary!L$27)</f>
        <v>0</v>
      </c>
      <c r="M24" s="133">
        <f>IF(SER_hh_emih_in!M24=0,0,SER_hh_emih_in!M24/SER_summary!M$27)</f>
        <v>0</v>
      </c>
      <c r="N24" s="133">
        <f>IF(SER_hh_emih_in!N24=0,0,SER_hh_emih_in!N24/SER_summary!N$27)</f>
        <v>0</v>
      </c>
      <c r="O24" s="133">
        <f>IF(SER_hh_emih_in!O24=0,0,SER_hh_emih_in!O24/SER_summary!O$27)</f>
        <v>0</v>
      </c>
      <c r="P24" s="133">
        <f>IF(SER_hh_emih_in!P24=0,0,SER_hh_emih_in!P24/SER_summary!P$27)</f>
        <v>0</v>
      </c>
      <c r="Q24" s="133">
        <f>IF(SER_hh_emih_in!Q24=0,0,SER_hh_emih_in!Q24/SER_summary!Q$27)</f>
        <v>0</v>
      </c>
      <c r="R24" s="133">
        <f>IF(SER_hh_emih_in!R24=0,0,SER_hh_emih_in!R24/SER_summary!R$27)</f>
        <v>0</v>
      </c>
      <c r="S24" s="133">
        <f>IF(SER_hh_emih_in!S24=0,0,SER_hh_emih_in!S24/SER_summary!S$27)</f>
        <v>0</v>
      </c>
      <c r="T24" s="133">
        <f>IF(SER_hh_emih_in!T24=0,0,SER_hh_emih_in!T24/SER_summary!T$27)</f>
        <v>0</v>
      </c>
      <c r="U24" s="133">
        <f>IF(SER_hh_emih_in!U24=0,0,SER_hh_emih_in!U24/SER_summary!U$27)</f>
        <v>0</v>
      </c>
      <c r="V24" s="133">
        <f>IF(SER_hh_emih_in!V24=0,0,SER_hh_emih_in!V24/SER_summary!V$27)</f>
        <v>0</v>
      </c>
      <c r="W24" s="133">
        <f>IF(SER_hh_emih_in!W24=0,0,SER_hh_emih_in!W24/SER_summary!W$27)</f>
        <v>0</v>
      </c>
      <c r="DA24" s="157" t="s">
        <v>899</v>
      </c>
    </row>
    <row r="25" spans="1:105" ht="12" customHeight="1" x14ac:dyDescent="0.25">
      <c r="A25" s="132" t="s">
        <v>169</v>
      </c>
      <c r="B25" s="133"/>
      <c r="C25" s="133">
        <f>IF(SER_hh_emih_in!C25=0,0,SER_hh_emih_in!C25/SER_summary!C$27)</f>
        <v>0</v>
      </c>
      <c r="D25" s="133">
        <f>IF(SER_hh_emih_in!D25=0,0,SER_hh_emih_in!D25/SER_summary!D$27)</f>
        <v>0</v>
      </c>
      <c r="E25" s="133">
        <f>IF(SER_hh_emih_in!E25=0,0,SER_hh_emih_in!E25/SER_summary!E$27)</f>
        <v>0</v>
      </c>
      <c r="F25" s="133">
        <f>IF(SER_hh_emih_in!F25=0,0,SER_hh_emih_in!F25/SER_summary!F$27)</f>
        <v>0</v>
      </c>
      <c r="G25" s="133">
        <f>IF(SER_hh_emih_in!G25=0,0,SER_hh_emih_in!G25/SER_summary!G$27)</f>
        <v>0</v>
      </c>
      <c r="H25" s="133">
        <f>IF(SER_hh_emih_in!H25=0,0,SER_hh_emih_in!H25/SER_summary!H$27)</f>
        <v>0</v>
      </c>
      <c r="I25" s="133">
        <f>IF(SER_hh_emih_in!I25=0,0,SER_hh_emih_in!I25/SER_summary!I$27)</f>
        <v>0</v>
      </c>
      <c r="J25" s="133">
        <f>IF(SER_hh_emih_in!J25=0,0,SER_hh_emih_in!J25/SER_summary!J$27)</f>
        <v>0</v>
      </c>
      <c r="K25" s="133">
        <f>IF(SER_hh_emih_in!K25=0,0,SER_hh_emih_in!K25/SER_summary!K$27)</f>
        <v>0</v>
      </c>
      <c r="L25" s="133">
        <f>IF(SER_hh_emih_in!L25=0,0,SER_hh_emih_in!L25/SER_summary!L$27)</f>
        <v>0</v>
      </c>
      <c r="M25" s="133">
        <f>IF(SER_hh_emih_in!M25=0,0,SER_hh_emih_in!M25/SER_summary!M$27)</f>
        <v>0</v>
      </c>
      <c r="N25" s="133">
        <f>IF(SER_hh_emih_in!N25=0,0,SER_hh_emih_in!N25/SER_summary!N$27)</f>
        <v>0</v>
      </c>
      <c r="O25" s="133">
        <f>IF(SER_hh_emih_in!O25=0,0,SER_hh_emih_in!O25/SER_summary!O$27)</f>
        <v>0</v>
      </c>
      <c r="P25" s="133">
        <f>IF(SER_hh_emih_in!P25=0,0,SER_hh_emih_in!P25/SER_summary!P$27)</f>
        <v>0</v>
      </c>
      <c r="Q25" s="133">
        <f>IF(SER_hh_emih_in!Q25=0,0,SER_hh_emih_in!Q25/SER_summary!Q$27)</f>
        <v>0</v>
      </c>
      <c r="R25" s="133">
        <f>IF(SER_hh_emih_in!R25=0,0,SER_hh_emih_in!R25/SER_summary!R$27)</f>
        <v>0</v>
      </c>
      <c r="S25" s="133">
        <f>IF(SER_hh_emih_in!S25=0,0,SER_hh_emih_in!S25/SER_summary!S$27)</f>
        <v>0</v>
      </c>
      <c r="T25" s="133">
        <f>IF(SER_hh_emih_in!T25=0,0,SER_hh_emih_in!T25/SER_summary!T$27)</f>
        <v>0</v>
      </c>
      <c r="U25" s="133">
        <f>IF(SER_hh_emih_in!U25=0,0,SER_hh_emih_in!U25/SER_summary!U$27)</f>
        <v>0</v>
      </c>
      <c r="V25" s="133">
        <f>IF(SER_hh_emih_in!V25=0,0,SER_hh_emih_in!V25/SER_summary!V$27)</f>
        <v>0</v>
      </c>
      <c r="W25" s="133">
        <f>IF(SER_hh_emih_in!W25=0,0,SER_hh_emih_in!W25/SER_summary!W$27)</f>
        <v>0</v>
      </c>
      <c r="DA25" s="157" t="s">
        <v>900</v>
      </c>
    </row>
    <row r="26" spans="1:105" ht="12" customHeight="1" x14ac:dyDescent="0.25">
      <c r="A26" s="132" t="s">
        <v>24</v>
      </c>
      <c r="B26" s="65"/>
      <c r="C26" s="65">
        <f>IF(SER_hh_emih_in!C26=0,0,SER_hh_emih_in!C26/SER_summary!C$27)</f>
        <v>0</v>
      </c>
      <c r="D26" s="65">
        <f>IF(SER_hh_emih_in!D26=0,0,SER_hh_emih_in!D26/SER_summary!D$27)</f>
        <v>0</v>
      </c>
      <c r="E26" s="65">
        <f>IF(SER_hh_emih_in!E26=0,0,SER_hh_emih_in!E26/SER_summary!E$27)</f>
        <v>0</v>
      </c>
      <c r="F26" s="65">
        <f>IF(SER_hh_emih_in!F26=0,0,SER_hh_emih_in!F26/SER_summary!F$27)</f>
        <v>0</v>
      </c>
      <c r="G26" s="65">
        <f>IF(SER_hh_emih_in!G26=0,0,SER_hh_emih_in!G26/SER_summary!G$27)</f>
        <v>0</v>
      </c>
      <c r="H26" s="65">
        <f>IF(SER_hh_emih_in!H26=0,0,SER_hh_emih_in!H26/SER_summary!H$27)</f>
        <v>0</v>
      </c>
      <c r="I26" s="65">
        <f>IF(SER_hh_emih_in!I26=0,0,SER_hh_emih_in!I26/SER_summary!I$27)</f>
        <v>0</v>
      </c>
      <c r="J26" s="65">
        <f>IF(SER_hh_emih_in!J26=0,0,SER_hh_emih_in!J26/SER_summary!J$27)</f>
        <v>0</v>
      </c>
      <c r="K26" s="65">
        <f>IF(SER_hh_emih_in!K26=0,0,SER_hh_emih_in!K26/SER_summary!K$27)</f>
        <v>0</v>
      </c>
      <c r="L26" s="65">
        <f>IF(SER_hh_emih_in!L26=0,0,SER_hh_emih_in!L26/SER_summary!L$27)</f>
        <v>0</v>
      </c>
      <c r="M26" s="65">
        <f>IF(SER_hh_emih_in!M26=0,0,SER_hh_emih_in!M26/SER_summary!M$27)</f>
        <v>0</v>
      </c>
      <c r="N26" s="65">
        <f>IF(SER_hh_emih_in!N26=0,0,SER_hh_emih_in!N26/SER_summary!N$27)</f>
        <v>0</v>
      </c>
      <c r="O26" s="65">
        <f>IF(SER_hh_emih_in!O26=0,0,SER_hh_emih_in!O26/SER_summary!O$27)</f>
        <v>0</v>
      </c>
      <c r="P26" s="65">
        <f>IF(SER_hh_emih_in!P26=0,0,SER_hh_emih_in!P26/SER_summary!P$27)</f>
        <v>0</v>
      </c>
      <c r="Q26" s="65">
        <f>IF(SER_hh_emih_in!Q26=0,0,SER_hh_emih_in!Q26/SER_summary!Q$27)</f>
        <v>0</v>
      </c>
      <c r="R26" s="65">
        <f>IF(SER_hh_emih_in!R26=0,0,SER_hh_emih_in!R26/SER_summary!R$27)</f>
        <v>0</v>
      </c>
      <c r="S26" s="65">
        <f>IF(SER_hh_emih_in!S26=0,0,SER_hh_emih_in!S26/SER_summary!S$27)</f>
        <v>0</v>
      </c>
      <c r="T26" s="65">
        <f>IF(SER_hh_emih_in!T26=0,0,SER_hh_emih_in!T26/SER_summary!T$27)</f>
        <v>0</v>
      </c>
      <c r="U26" s="65">
        <f>IF(SER_hh_emih_in!U26=0,0,SER_hh_emih_in!U26/SER_summary!U$27)</f>
        <v>0</v>
      </c>
      <c r="V26" s="65">
        <f>IF(SER_hh_emih_in!V26=0,0,SER_hh_emih_in!V26/SER_summary!V$27)</f>
        <v>0</v>
      </c>
      <c r="W26" s="65">
        <f>IF(SER_hh_emih_in!W26=0,0,SER_hh_emih_in!W26/SER_summary!W$27)</f>
        <v>0</v>
      </c>
      <c r="DA26" s="109" t="s">
        <v>901</v>
      </c>
    </row>
    <row r="27" spans="1:105" ht="12" customHeight="1" x14ac:dyDescent="0.25">
      <c r="A27" s="145" t="s">
        <v>86</v>
      </c>
      <c r="B27" s="148"/>
      <c r="C27" s="146">
        <f>IF(SER_hh_emih_in!C27=0,0,SER_hh_emih_in!C27/SER_summary!C$27)</f>
        <v>0</v>
      </c>
      <c r="D27" s="146">
        <f>IF(SER_hh_emih_in!D27=0,0,SER_hh_emih_in!D27/SER_summary!D$27)</f>
        <v>0</v>
      </c>
      <c r="E27" s="146">
        <f>IF(SER_hh_emih_in!E27=0,0,SER_hh_emih_in!E27/SER_summary!E$27)</f>
        <v>0</v>
      </c>
      <c r="F27" s="146">
        <f>IF(SER_hh_emih_in!F27=0,0,SER_hh_emih_in!F27/SER_summary!F$27)</f>
        <v>0</v>
      </c>
      <c r="G27" s="146">
        <f>IF(SER_hh_emih_in!G27=0,0,SER_hh_emih_in!G27/SER_summary!G$27)</f>
        <v>0</v>
      </c>
      <c r="H27" s="146">
        <f>IF(SER_hh_emih_in!H27=0,0,SER_hh_emih_in!H27/SER_summary!H$27)</f>
        <v>0</v>
      </c>
      <c r="I27" s="146">
        <f>IF(SER_hh_emih_in!I27=0,0,SER_hh_emih_in!I27/SER_summary!I$27)</f>
        <v>0</v>
      </c>
      <c r="J27" s="146">
        <f>IF(SER_hh_emih_in!J27=0,0,SER_hh_emih_in!J27/SER_summary!J$27)</f>
        <v>0</v>
      </c>
      <c r="K27" s="146">
        <f>IF(SER_hh_emih_in!K27=0,0,SER_hh_emih_in!K27/SER_summary!K$27)</f>
        <v>0</v>
      </c>
      <c r="L27" s="146">
        <f>IF(SER_hh_emih_in!L27=0,0,SER_hh_emih_in!L27/SER_summary!L$27)</f>
        <v>0</v>
      </c>
      <c r="M27" s="146">
        <f>IF(SER_hh_emih_in!M27=0,0,SER_hh_emih_in!M27/SER_summary!M$27)</f>
        <v>0</v>
      </c>
      <c r="N27" s="146">
        <f>IF(SER_hh_emih_in!N27=0,0,SER_hh_emih_in!N27/SER_summary!N$27)</f>
        <v>0</v>
      </c>
      <c r="O27" s="146">
        <f>IF(SER_hh_emih_in!O27=0,0,SER_hh_emih_in!O27/SER_summary!O$27)</f>
        <v>0</v>
      </c>
      <c r="P27" s="146">
        <f>IF(SER_hh_emih_in!P27=0,0,SER_hh_emih_in!P27/SER_summary!P$27)</f>
        <v>0</v>
      </c>
      <c r="Q27" s="146">
        <f>IF(SER_hh_emih_in!Q27=0,0,SER_hh_emih_in!Q27/SER_summary!Q$27)</f>
        <v>0</v>
      </c>
      <c r="R27" s="146">
        <f>IF(SER_hh_emih_in!R27=0,0,SER_hh_emih_in!R27/SER_summary!R$27)</f>
        <v>0</v>
      </c>
      <c r="S27" s="146">
        <f>IF(SER_hh_emih_in!S27=0,0,SER_hh_emih_in!S27/SER_summary!S$27)</f>
        <v>0</v>
      </c>
      <c r="T27" s="146">
        <f>IF(SER_hh_emih_in!T27=0,0,SER_hh_emih_in!T27/SER_summary!T$27)</f>
        <v>0</v>
      </c>
      <c r="U27" s="146">
        <f>IF(SER_hh_emih_in!U27=0,0,SER_hh_emih_in!U27/SER_summary!U$27)</f>
        <v>0</v>
      </c>
      <c r="V27" s="146">
        <f>IF(SER_hh_emih_in!V27=0,0,SER_hh_emih_in!V27/SER_summary!V$27)</f>
        <v>0</v>
      </c>
      <c r="W27" s="146">
        <f>IF(SER_hh_emih_in!W27=0,0,SER_hh_emih_in!W27/SER_summary!W$27)</f>
        <v>0</v>
      </c>
      <c r="DA27" s="159" t="s">
        <v>902</v>
      </c>
    </row>
    <row r="28" spans="1:105" ht="12" customHeight="1" x14ac:dyDescent="0.25">
      <c r="A28" s="78" t="s">
        <v>85</v>
      </c>
      <c r="B28" s="68"/>
      <c r="C28" s="147">
        <f>IF(SER_hh_emih_in!C28=0,0,SER_hh_emih_in!C28/SER_summary!C$27)</f>
        <v>0</v>
      </c>
      <c r="D28" s="147">
        <f>IF(SER_hh_emih_in!D28=0,0,SER_hh_emih_in!D28/SER_summary!D$27)</f>
        <v>0</v>
      </c>
      <c r="E28" s="147">
        <f>IF(SER_hh_emih_in!E28=0,0,SER_hh_emih_in!E28/SER_summary!E$27)</f>
        <v>0</v>
      </c>
      <c r="F28" s="147">
        <f>IF(SER_hh_emih_in!F28=0,0,SER_hh_emih_in!F28/SER_summary!F$27)</f>
        <v>0</v>
      </c>
      <c r="G28" s="147">
        <f>IF(SER_hh_emih_in!G28=0,0,SER_hh_emih_in!G28/SER_summary!G$27)</f>
        <v>0</v>
      </c>
      <c r="H28" s="147">
        <f>IF(SER_hh_emih_in!H28=0,0,SER_hh_emih_in!H28/SER_summary!H$27)</f>
        <v>0</v>
      </c>
      <c r="I28" s="147">
        <f>IF(SER_hh_emih_in!I28=0,0,SER_hh_emih_in!I28/SER_summary!I$27)</f>
        <v>0</v>
      </c>
      <c r="J28" s="147">
        <f>IF(SER_hh_emih_in!J28=0,0,SER_hh_emih_in!J28/SER_summary!J$27)</f>
        <v>0</v>
      </c>
      <c r="K28" s="147">
        <f>IF(SER_hh_emih_in!K28=0,0,SER_hh_emih_in!K28/SER_summary!K$27)</f>
        <v>0</v>
      </c>
      <c r="L28" s="147">
        <f>IF(SER_hh_emih_in!L28=0,0,SER_hh_emih_in!L28/SER_summary!L$27)</f>
        <v>0</v>
      </c>
      <c r="M28" s="147">
        <f>IF(SER_hh_emih_in!M28=0,0,SER_hh_emih_in!M28/SER_summary!M$27)</f>
        <v>0</v>
      </c>
      <c r="N28" s="147">
        <f>IF(SER_hh_emih_in!N28=0,0,SER_hh_emih_in!N28/SER_summary!N$27)</f>
        <v>0</v>
      </c>
      <c r="O28" s="147">
        <f>IF(SER_hh_emih_in!O28=0,0,SER_hh_emih_in!O28/SER_summary!O$27)</f>
        <v>0</v>
      </c>
      <c r="P28" s="147">
        <f>IF(SER_hh_emih_in!P28=0,0,SER_hh_emih_in!P28/SER_summary!P$27)</f>
        <v>0</v>
      </c>
      <c r="Q28" s="147">
        <f>IF(SER_hh_emih_in!Q28=0,0,SER_hh_emih_in!Q28/SER_summary!Q$27)</f>
        <v>0</v>
      </c>
      <c r="R28" s="147">
        <f>IF(SER_hh_emih_in!R28=0,0,SER_hh_emih_in!R28/SER_summary!R$27)</f>
        <v>0</v>
      </c>
      <c r="S28" s="147">
        <f>IF(SER_hh_emih_in!S28=0,0,SER_hh_emih_in!S28/SER_summary!S$27)</f>
        <v>0</v>
      </c>
      <c r="T28" s="147">
        <f>IF(SER_hh_emih_in!T28=0,0,SER_hh_emih_in!T28/SER_summary!T$27)</f>
        <v>0</v>
      </c>
      <c r="U28" s="147">
        <f>IF(SER_hh_emih_in!U28=0,0,SER_hh_emih_in!U28/SER_summary!U$27)</f>
        <v>0</v>
      </c>
      <c r="V28" s="147">
        <f>IF(SER_hh_emih_in!V28=0,0,SER_hh_emih_in!V28/SER_summary!V$27)</f>
        <v>0</v>
      </c>
      <c r="W28" s="147">
        <f>IF(SER_hh_emih_in!W28=0,0,SER_hh_emih_in!W28/SER_summary!W$27)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IF(SER_hh_emih_in!C29=0,0,SER_hh_emih_in!C29/SER_summary!C$27)</f>
        <v>0</v>
      </c>
      <c r="D29" s="131">
        <f>IF(SER_hh_emih_in!D29=0,0,SER_hh_emih_in!D29/SER_summary!D$27)</f>
        <v>0</v>
      </c>
      <c r="E29" s="131">
        <f>IF(SER_hh_emih_in!E29=0,0,SER_hh_emih_in!E29/SER_summary!E$27)</f>
        <v>0</v>
      </c>
      <c r="F29" s="131">
        <f>IF(SER_hh_emih_in!F29=0,0,SER_hh_emih_in!F29/SER_summary!F$27)</f>
        <v>0</v>
      </c>
      <c r="G29" s="131">
        <f>IF(SER_hh_emih_in!G29=0,0,SER_hh_emih_in!G29/SER_summary!G$27)</f>
        <v>0</v>
      </c>
      <c r="H29" s="131">
        <f>IF(SER_hh_emih_in!H29=0,0,SER_hh_emih_in!H29/SER_summary!H$27)</f>
        <v>6.0156186513907874</v>
      </c>
      <c r="I29" s="131">
        <f>IF(SER_hh_emih_in!I29=0,0,SER_hh_emih_in!I29/SER_summary!I$27)</f>
        <v>1.8850697311748585</v>
      </c>
      <c r="J29" s="131">
        <f>IF(SER_hh_emih_in!J29=0,0,SER_hh_emih_in!J29/SER_summary!J$27)</f>
        <v>0.92139050982598047</v>
      </c>
      <c r="K29" s="131">
        <f>IF(SER_hh_emih_in!K29=0,0,SER_hh_emih_in!K29/SER_summary!K$27)</f>
        <v>0</v>
      </c>
      <c r="L29" s="131">
        <f>IF(SER_hh_emih_in!L29=0,0,SER_hh_emih_in!L29/SER_summary!L$27)</f>
        <v>0.14690884578976959</v>
      </c>
      <c r="M29" s="131">
        <f>IF(SER_hh_emih_in!M29=0,0,SER_hh_emih_in!M29/SER_summary!M$27)</f>
        <v>1.2438791267518559</v>
      </c>
      <c r="N29" s="131">
        <f>IF(SER_hh_emih_in!N29=0,0,SER_hh_emih_in!N29/SER_summary!N$27)</f>
        <v>0.79931594887459823</v>
      </c>
      <c r="O29" s="131">
        <f>IF(SER_hh_emih_in!O29=0,0,SER_hh_emih_in!O29/SER_summary!O$27)</f>
        <v>0.4621819298263336</v>
      </c>
      <c r="P29" s="131">
        <f>IF(SER_hh_emih_in!P29=0,0,SER_hh_emih_in!P29/SER_summary!P$27)</f>
        <v>0.38721822442562059</v>
      </c>
      <c r="Q29" s="131">
        <f>IF(SER_hh_emih_in!Q29=0,0,SER_hh_emih_in!Q29/SER_summary!Q$27)</f>
        <v>1.742992226558655</v>
      </c>
      <c r="R29" s="131">
        <f>IF(SER_hh_emih_in!R29=0,0,SER_hh_emih_in!R29/SER_summary!R$27)</f>
        <v>1.7479017844941431</v>
      </c>
      <c r="S29" s="131">
        <f>IF(SER_hh_emih_in!S29=0,0,SER_hh_emih_in!S29/SER_summary!S$27)</f>
        <v>3.1252288871499028</v>
      </c>
      <c r="T29" s="131">
        <f>IF(SER_hh_emih_in!T29=0,0,SER_hh_emih_in!T29/SER_summary!T$27)</f>
        <v>1.8417089090504353</v>
      </c>
      <c r="U29" s="131">
        <f>IF(SER_hh_emih_in!U29=0,0,SER_hh_emih_in!U29/SER_summary!U$27)</f>
        <v>0.76976941211652827</v>
      </c>
      <c r="V29" s="131">
        <f>IF(SER_hh_emih_in!V29=0,0,SER_hh_emih_in!V29/SER_summary!V$27)</f>
        <v>0.76017600505554406</v>
      </c>
      <c r="W29" s="131">
        <f>IF(SER_hh_emih_in!W29=0,0,SER_hh_emih_in!W29/SER_summary!W$27)</f>
        <v>0.22885899988602779</v>
      </c>
      <c r="DA29" s="156" t="s">
        <v>903</v>
      </c>
    </row>
    <row r="30" spans="1:105" s="2" customFormat="1" ht="12" customHeight="1" x14ac:dyDescent="0.25">
      <c r="A30" s="132" t="s">
        <v>52</v>
      </c>
      <c r="B30" s="133"/>
      <c r="C30" s="133">
        <f>IF(SER_hh_emih_in!C30=0,0,SER_hh_emih_in!C30/SER_summary!C$27)</f>
        <v>0</v>
      </c>
      <c r="D30" s="133">
        <f>IF(SER_hh_emih_in!D30=0,0,SER_hh_emih_in!D30/SER_summary!D$27)</f>
        <v>0</v>
      </c>
      <c r="E30" s="133">
        <f>IF(SER_hh_emih_in!E30=0,0,SER_hh_emih_in!E30/SER_summary!E$27)</f>
        <v>0</v>
      </c>
      <c r="F30" s="133">
        <f>IF(SER_hh_emih_in!F30=0,0,SER_hh_emih_in!F30/SER_summary!F$27)</f>
        <v>0</v>
      </c>
      <c r="G30" s="133">
        <f>IF(SER_hh_emih_in!G30=0,0,SER_hh_emih_in!G30/SER_summary!G$27)</f>
        <v>0</v>
      </c>
      <c r="H30" s="133">
        <f>IF(SER_hh_emih_in!H30=0,0,SER_hh_emih_in!H30/SER_summary!H$27)</f>
        <v>6.9531200690856521</v>
      </c>
      <c r="I30" s="133">
        <f>IF(SER_hh_emih_in!I30=0,0,SER_hh_emih_in!I30/SER_summary!I$27)</f>
        <v>5.3158737280417894</v>
      </c>
      <c r="J30" s="133">
        <f>IF(SER_hh_emih_in!J30=0,0,SER_hh_emih_in!J30/SER_summary!J$27)</f>
        <v>5.5459348505744526</v>
      </c>
      <c r="K30" s="133">
        <f>IF(SER_hh_emih_in!K30=0,0,SER_hh_emih_in!K30/SER_summary!K$27)</f>
        <v>0</v>
      </c>
      <c r="L30" s="133">
        <f>IF(SER_hh_emih_in!L30=0,0,SER_hh_emih_in!L30/SER_summary!L$27)</f>
        <v>4.33000537108357</v>
      </c>
      <c r="M30" s="133">
        <f>IF(SER_hh_emih_in!M30=0,0,SER_hh_emih_in!M30/SER_summary!M$27)</f>
        <v>5.1900361155980699</v>
      </c>
      <c r="N30" s="133">
        <f>IF(SER_hh_emih_in!N30=0,0,SER_hh_emih_in!N30/SER_summary!N$27)</f>
        <v>5.3587713479577834</v>
      </c>
      <c r="O30" s="133">
        <f>IF(SER_hh_emih_in!O30=0,0,SER_hh_emih_in!O30/SER_summary!O$27)</f>
        <v>4.9837571306080166</v>
      </c>
      <c r="P30" s="133">
        <f>IF(SER_hh_emih_in!P30=0,0,SER_hh_emih_in!P30/SER_summary!P$27)</f>
        <v>4.3611560841140395</v>
      </c>
      <c r="Q30" s="133">
        <f>IF(SER_hh_emih_in!Q30=0,0,SER_hh_emih_in!Q30/SER_summary!Q$27)</f>
        <v>4.9834290985966332</v>
      </c>
      <c r="R30" s="133">
        <f>IF(SER_hh_emih_in!R30=0,0,SER_hh_emih_in!R30/SER_summary!R$27)</f>
        <v>4.4393278318377023</v>
      </c>
      <c r="S30" s="133">
        <f>IF(SER_hh_emih_in!S30=0,0,SER_hh_emih_in!S30/SER_summary!S$27)</f>
        <v>5.1177624643950255</v>
      </c>
      <c r="T30" s="133">
        <f>IF(SER_hh_emih_in!T30=0,0,SER_hh_emih_in!T30/SER_summary!T$27)</f>
        <v>5.3118259300973589</v>
      </c>
      <c r="U30" s="133">
        <f>IF(SER_hh_emih_in!U30=0,0,SER_hh_emih_in!U30/SER_summary!U$27)</f>
        <v>6.7242212673034842</v>
      </c>
      <c r="V30" s="133">
        <f>IF(SER_hh_emih_in!V30=0,0,SER_hh_emih_in!V30/SER_summary!V$27)</f>
        <v>4.7026677513348494</v>
      </c>
      <c r="W30" s="133">
        <f>IF(SER_hh_emih_in!W30=0,0,SER_hh_emih_in!W30/SER_summary!W$27)</f>
        <v>4.1274741821808263</v>
      </c>
      <c r="DA30" s="157" t="s">
        <v>904</v>
      </c>
    </row>
    <row r="31" spans="1:105" ht="12" customHeight="1" x14ac:dyDescent="0.25">
      <c r="A31" s="132" t="s">
        <v>153</v>
      </c>
      <c r="B31" s="133"/>
      <c r="C31" s="133">
        <f>IF(SER_hh_emih_in!C31=0,0,SER_hh_emih_in!C31/SER_summary!C$27)</f>
        <v>0</v>
      </c>
      <c r="D31" s="133">
        <f>IF(SER_hh_emih_in!D31=0,0,SER_hh_emih_in!D31/SER_summary!D$27)</f>
        <v>0</v>
      </c>
      <c r="E31" s="133">
        <f>IF(SER_hh_emih_in!E31=0,0,SER_hh_emih_in!E31/SER_summary!E$27)</f>
        <v>0</v>
      </c>
      <c r="F31" s="133">
        <f>IF(SER_hh_emih_in!F31=0,0,SER_hh_emih_in!F31/SER_summary!F$27)</f>
        <v>0</v>
      </c>
      <c r="G31" s="133">
        <f>IF(SER_hh_emih_in!G31=0,0,SER_hh_emih_in!G31/SER_summary!G$27)</f>
        <v>0</v>
      </c>
      <c r="H31" s="133">
        <f>IF(SER_hh_emih_in!H31=0,0,SER_hh_emih_in!H31/SER_summary!H$27)</f>
        <v>0</v>
      </c>
      <c r="I31" s="133">
        <f>IF(SER_hh_emih_in!I31=0,0,SER_hh_emih_in!I31/SER_summary!I$27)</f>
        <v>0</v>
      </c>
      <c r="J31" s="133">
        <f>IF(SER_hh_emih_in!J31=0,0,SER_hh_emih_in!J31/SER_summary!J$27)</f>
        <v>0</v>
      </c>
      <c r="K31" s="133">
        <f>IF(SER_hh_emih_in!K31=0,0,SER_hh_emih_in!K31/SER_summary!K$27)</f>
        <v>0</v>
      </c>
      <c r="L31" s="133">
        <f>IF(SER_hh_emih_in!L31=0,0,SER_hh_emih_in!L31/SER_summary!L$27)</f>
        <v>0</v>
      </c>
      <c r="M31" s="133">
        <f>IF(SER_hh_emih_in!M31=0,0,SER_hh_emih_in!M31/SER_summary!M$27)</f>
        <v>0</v>
      </c>
      <c r="N31" s="133">
        <f>IF(SER_hh_emih_in!N31=0,0,SER_hh_emih_in!N31/SER_summary!N$27)</f>
        <v>0</v>
      </c>
      <c r="O31" s="133">
        <f>IF(SER_hh_emih_in!O31=0,0,SER_hh_emih_in!O31/SER_summary!O$27)</f>
        <v>0</v>
      </c>
      <c r="P31" s="133">
        <f>IF(SER_hh_emih_in!P31=0,0,SER_hh_emih_in!P31/SER_summary!P$27)</f>
        <v>0</v>
      </c>
      <c r="Q31" s="133">
        <f>IF(SER_hh_emih_in!Q31=0,0,SER_hh_emih_in!Q31/SER_summary!Q$27)</f>
        <v>0</v>
      </c>
      <c r="R31" s="133">
        <f>IF(SER_hh_emih_in!R31=0,0,SER_hh_emih_in!R31/SER_summary!R$27)</f>
        <v>0</v>
      </c>
      <c r="S31" s="133">
        <f>IF(SER_hh_emih_in!S31=0,0,SER_hh_emih_in!S31/SER_summary!S$27)</f>
        <v>0</v>
      </c>
      <c r="T31" s="133">
        <f>IF(SER_hh_emih_in!T31=0,0,SER_hh_emih_in!T31/SER_summary!T$27)</f>
        <v>0</v>
      </c>
      <c r="U31" s="133">
        <f>IF(SER_hh_emih_in!U31=0,0,SER_hh_emih_in!U31/SER_summary!U$27)</f>
        <v>0</v>
      </c>
      <c r="V31" s="133">
        <f>IF(SER_hh_emih_in!V31=0,0,SER_hh_emih_in!V31/SER_summary!V$27)</f>
        <v>0</v>
      </c>
      <c r="W31" s="133">
        <f>IF(SER_hh_emih_in!W31=0,0,SER_hh_emih_in!W31/SER_summary!W$27)</f>
        <v>0</v>
      </c>
      <c r="DA31" s="157" t="s">
        <v>905</v>
      </c>
    </row>
    <row r="32" spans="1:105" ht="12" customHeight="1" x14ac:dyDescent="0.25">
      <c r="A32" s="132" t="s">
        <v>128</v>
      </c>
      <c r="B32" s="133"/>
      <c r="C32" s="133">
        <f>IF(SER_hh_emih_in!C32=0,0,SER_hh_emih_in!C32/SER_summary!C$27)</f>
        <v>0</v>
      </c>
      <c r="D32" s="133">
        <f>IF(SER_hh_emih_in!D32=0,0,SER_hh_emih_in!D32/SER_summary!D$27)</f>
        <v>0</v>
      </c>
      <c r="E32" s="133">
        <f>IF(SER_hh_emih_in!E32=0,0,SER_hh_emih_in!E32/SER_summary!E$27)</f>
        <v>0</v>
      </c>
      <c r="F32" s="133">
        <f>IF(SER_hh_emih_in!F32=0,0,SER_hh_emih_in!F32/SER_summary!F$27)</f>
        <v>0</v>
      </c>
      <c r="G32" s="133">
        <f>IF(SER_hh_emih_in!G32=0,0,SER_hh_emih_in!G32/SER_summary!G$27)</f>
        <v>0</v>
      </c>
      <c r="H32" s="133">
        <f>IF(SER_hh_emih_in!H32=0,0,SER_hh_emih_in!H32/SER_summary!H$27)</f>
        <v>0</v>
      </c>
      <c r="I32" s="133">
        <f>IF(SER_hh_emih_in!I32=0,0,SER_hh_emih_in!I32/SER_summary!I$27)</f>
        <v>0</v>
      </c>
      <c r="J32" s="133">
        <f>IF(SER_hh_emih_in!J32=0,0,SER_hh_emih_in!J32/SER_summary!J$27)</f>
        <v>0</v>
      </c>
      <c r="K32" s="133">
        <f>IF(SER_hh_emih_in!K32=0,0,SER_hh_emih_in!K32/SER_summary!K$27)</f>
        <v>0</v>
      </c>
      <c r="L32" s="133">
        <f>IF(SER_hh_emih_in!L32=0,0,SER_hh_emih_in!L32/SER_summary!L$27)</f>
        <v>0</v>
      </c>
      <c r="M32" s="133">
        <f>IF(SER_hh_emih_in!M32=0,0,SER_hh_emih_in!M32/SER_summary!M$27)</f>
        <v>0</v>
      </c>
      <c r="N32" s="133">
        <f>IF(SER_hh_emih_in!N32=0,0,SER_hh_emih_in!N32/SER_summary!N$27)</f>
        <v>0</v>
      </c>
      <c r="O32" s="133">
        <f>IF(SER_hh_emih_in!O32=0,0,SER_hh_emih_in!O32/SER_summary!O$27)</f>
        <v>0</v>
      </c>
      <c r="P32" s="133">
        <f>IF(SER_hh_emih_in!P32=0,0,SER_hh_emih_in!P32/SER_summary!P$27)</f>
        <v>0</v>
      </c>
      <c r="Q32" s="133">
        <f>IF(SER_hh_emih_in!Q32=0,0,SER_hh_emih_in!Q32/SER_summary!Q$27)</f>
        <v>0</v>
      </c>
      <c r="R32" s="133">
        <f>IF(SER_hh_emih_in!R32=0,0,SER_hh_emih_in!R32/SER_summary!R$27)</f>
        <v>0</v>
      </c>
      <c r="S32" s="133">
        <f>IF(SER_hh_emih_in!S32=0,0,SER_hh_emih_in!S32/SER_summary!S$27)</f>
        <v>0</v>
      </c>
      <c r="T32" s="133">
        <f>IF(SER_hh_emih_in!T32=0,0,SER_hh_emih_in!T32/SER_summary!T$27)</f>
        <v>0</v>
      </c>
      <c r="U32" s="133">
        <f>IF(SER_hh_emih_in!U32=0,0,SER_hh_emih_in!U32/SER_summary!U$27)</f>
        <v>0</v>
      </c>
      <c r="V32" s="133">
        <f>IF(SER_hh_emih_in!V32=0,0,SER_hh_emih_in!V32/SER_summary!V$27)</f>
        <v>0</v>
      </c>
      <c r="W32" s="133">
        <f>IF(SER_hh_emih_in!W32=0,0,SER_hh_emih_in!W32/SER_summary!W$27)</f>
        <v>0</v>
      </c>
      <c r="DA32" s="157" t="s">
        <v>906</v>
      </c>
    </row>
    <row r="33" spans="1:105" ht="12" customHeight="1" x14ac:dyDescent="0.25">
      <c r="A33" s="62" t="s">
        <v>24</v>
      </c>
      <c r="B33" s="68"/>
      <c r="C33" s="68">
        <f>IF(SER_hh_emih_in!C33=0,0,SER_hh_emih_in!C33/SER_summary!C$27)</f>
        <v>0</v>
      </c>
      <c r="D33" s="68">
        <f>IF(SER_hh_emih_in!D33=0,0,SER_hh_emih_in!D33/SER_summary!D$27)</f>
        <v>0</v>
      </c>
      <c r="E33" s="68">
        <f>IF(SER_hh_emih_in!E33=0,0,SER_hh_emih_in!E33/SER_summary!E$27)</f>
        <v>0</v>
      </c>
      <c r="F33" s="68">
        <f>IF(SER_hh_emih_in!F33=0,0,SER_hh_emih_in!F33/SER_summary!F$27)</f>
        <v>0</v>
      </c>
      <c r="G33" s="68">
        <f>IF(SER_hh_emih_in!G33=0,0,SER_hh_emih_in!G33/SER_summary!G$27)</f>
        <v>0</v>
      </c>
      <c r="H33" s="68">
        <f>IF(SER_hh_emih_in!H33=0,0,SER_hh_emih_in!H33/SER_summary!H$27)</f>
        <v>0</v>
      </c>
      <c r="I33" s="68">
        <f>IF(SER_hh_emih_in!I33=0,0,SER_hh_emih_in!I33/SER_summary!I$27)</f>
        <v>0</v>
      </c>
      <c r="J33" s="68">
        <f>IF(SER_hh_emih_in!J33=0,0,SER_hh_emih_in!J33/SER_summary!J$27)</f>
        <v>0</v>
      </c>
      <c r="K33" s="68">
        <f>IF(SER_hh_emih_in!K33=0,0,SER_hh_emih_in!K33/SER_summary!K$27)</f>
        <v>0</v>
      </c>
      <c r="L33" s="68">
        <f>IF(SER_hh_emih_in!L33=0,0,SER_hh_emih_in!L33/SER_summary!L$27)</f>
        <v>0</v>
      </c>
      <c r="M33" s="68">
        <f>IF(SER_hh_emih_in!M33=0,0,SER_hh_emih_in!M33/SER_summary!M$27)</f>
        <v>0</v>
      </c>
      <c r="N33" s="68">
        <f>IF(SER_hh_emih_in!N33=0,0,SER_hh_emih_in!N33/SER_summary!N$27)</f>
        <v>0</v>
      </c>
      <c r="O33" s="68">
        <f>IF(SER_hh_emih_in!O33=0,0,SER_hh_emih_in!O33/SER_summary!O$27)</f>
        <v>0</v>
      </c>
      <c r="P33" s="68">
        <f>IF(SER_hh_emih_in!P33=0,0,SER_hh_emih_in!P33/SER_summary!P$27)</f>
        <v>0</v>
      </c>
      <c r="Q33" s="68">
        <f>IF(SER_hh_emih_in!Q33=0,0,SER_hh_emih_in!Q33/SER_summary!Q$27)</f>
        <v>0</v>
      </c>
      <c r="R33" s="68">
        <f>IF(SER_hh_emih_in!R33=0,0,SER_hh_emih_in!R33/SER_summary!R$27)</f>
        <v>0</v>
      </c>
      <c r="S33" s="68">
        <f>IF(SER_hh_emih_in!S33=0,0,SER_hh_emih_in!S33/SER_summary!S$27)</f>
        <v>0</v>
      </c>
      <c r="T33" s="68">
        <f>IF(SER_hh_emih_in!T33=0,0,SER_hh_emih_in!T33/SER_summary!T$27)</f>
        <v>0</v>
      </c>
      <c r="U33" s="68">
        <f>IF(SER_hh_emih_in!U33=0,0,SER_hh_emih_in!U33/SER_summary!U$27)</f>
        <v>0</v>
      </c>
      <c r="V33" s="68">
        <f>IF(SER_hh_emih_in!V33=0,0,SER_hh_emih_in!V33/SER_summary!V$27)</f>
        <v>0</v>
      </c>
      <c r="W33" s="68">
        <f>IF(SER_hh_emih_in!W33=0,0,SER_hh_emih_in!W33/SER_summary!W$27)</f>
        <v>0</v>
      </c>
      <c r="DA33" s="111" t="s">
        <v>907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59999389629810485"/>
    <pageSetUpPr fitToPage="1"/>
  </sheetPr>
  <dimension ref="A1:DA7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79" t="s">
        <v>81</v>
      </c>
      <c r="B3" s="180">
        <f t="shared" ref="B3" si="0">SUM(B4:B9)</f>
        <v>55.724257270729019</v>
      </c>
      <c r="C3" s="180">
        <f t="shared" ref="C3:W3" si="1">SUM(C4:C9)</f>
        <v>57.736091771361387</v>
      </c>
      <c r="D3" s="180">
        <f t="shared" si="1"/>
        <v>59.800762610291969</v>
      </c>
      <c r="E3" s="180">
        <f t="shared" si="1"/>
        <v>61.682384403472589</v>
      </c>
      <c r="F3" s="180">
        <f t="shared" si="1"/>
        <v>63.968343603033361</v>
      </c>
      <c r="G3" s="180">
        <f t="shared" si="1"/>
        <v>65.923193855851338</v>
      </c>
      <c r="H3" s="180">
        <f t="shared" si="1"/>
        <v>67.628610425734337</v>
      </c>
      <c r="I3" s="180">
        <f t="shared" si="1"/>
        <v>69.675929811842025</v>
      </c>
      <c r="J3" s="180">
        <f t="shared" si="1"/>
        <v>71.885361887886233</v>
      </c>
      <c r="K3" s="180">
        <f t="shared" si="1"/>
        <v>74.169626540959086</v>
      </c>
      <c r="L3" s="180">
        <f t="shared" si="1"/>
        <v>76.45925643379428</v>
      </c>
      <c r="M3" s="180">
        <f t="shared" si="1"/>
        <v>78.213896532654672</v>
      </c>
      <c r="N3" s="180">
        <f t="shared" si="1"/>
        <v>80.063871618358149</v>
      </c>
      <c r="O3" s="180">
        <f t="shared" si="1"/>
        <v>80.545113891110503</v>
      </c>
      <c r="P3" s="180">
        <f t="shared" si="1"/>
        <v>80.600590089734453</v>
      </c>
      <c r="Q3" s="180">
        <f t="shared" si="1"/>
        <v>80.989318020210064</v>
      </c>
      <c r="R3" s="180">
        <f t="shared" si="1"/>
        <v>81.769682438324054</v>
      </c>
      <c r="S3" s="180">
        <f t="shared" si="1"/>
        <v>81.82709229441565</v>
      </c>
      <c r="T3" s="180">
        <f t="shared" si="1"/>
        <v>80.400299101050564</v>
      </c>
      <c r="U3" s="180">
        <f t="shared" si="1"/>
        <v>78.82205341160153</v>
      </c>
      <c r="V3" s="180">
        <f t="shared" si="1"/>
        <v>69.859644962983694</v>
      </c>
      <c r="W3" s="180">
        <f t="shared" si="1"/>
        <v>72.418858456881907</v>
      </c>
      <c r="DA3" s="189" t="s">
        <v>217</v>
      </c>
    </row>
    <row r="4" spans="1:105" ht="12" customHeight="1" x14ac:dyDescent="0.25">
      <c r="A4" s="132" t="s">
        <v>7</v>
      </c>
      <c r="B4" s="181">
        <f t="shared" ref="B4:B9" si="2">B12*B44/11630</f>
        <v>3.2487974911147277</v>
      </c>
      <c r="C4" s="181">
        <f t="shared" ref="C4:R9" si="3">C12*C44/11630</f>
        <v>3.3726122710078057</v>
      </c>
      <c r="D4" s="181">
        <f t="shared" si="3"/>
        <v>3.4776566277452439</v>
      </c>
      <c r="E4" s="181">
        <f t="shared" si="3"/>
        <v>3.5887139191253072</v>
      </c>
      <c r="F4" s="181">
        <f t="shared" si="3"/>
        <v>3.7170904845577972</v>
      </c>
      <c r="G4" s="181">
        <f t="shared" si="3"/>
        <v>3.8473462590642424</v>
      </c>
      <c r="H4" s="181">
        <f t="shared" si="3"/>
        <v>3.9706881278930748</v>
      </c>
      <c r="I4" s="181">
        <f t="shared" si="3"/>
        <v>4.1108863078586317</v>
      </c>
      <c r="J4" s="181">
        <f t="shared" si="3"/>
        <v>4.2445974910889799</v>
      </c>
      <c r="K4" s="181">
        <f t="shared" si="3"/>
        <v>4.4067219760632534</v>
      </c>
      <c r="L4" s="181">
        <f t="shared" si="3"/>
        <v>4.5786079659324299</v>
      </c>
      <c r="M4" s="181">
        <f t="shared" si="3"/>
        <v>4.7080010523458666</v>
      </c>
      <c r="N4" s="181">
        <f t="shared" si="3"/>
        <v>4.8383430883806362</v>
      </c>
      <c r="O4" s="181">
        <f t="shared" si="3"/>
        <v>4.872018164382955</v>
      </c>
      <c r="P4" s="181">
        <f t="shared" si="3"/>
        <v>4.858306796795838</v>
      </c>
      <c r="Q4" s="181">
        <f t="shared" si="3"/>
        <v>4.8545040126950632</v>
      </c>
      <c r="R4" s="181">
        <f t="shared" si="3"/>
        <v>4.9368880187903299</v>
      </c>
      <c r="S4" s="181">
        <f t="shared" ref="D4:W9" si="4">S12*S44/11630</f>
        <v>5.0409654445190206</v>
      </c>
      <c r="T4" s="181">
        <f t="shared" si="4"/>
        <v>5.1405444799637712</v>
      </c>
      <c r="U4" s="181">
        <f t="shared" si="4"/>
        <v>5.2430328432244107</v>
      </c>
      <c r="V4" s="181">
        <f t="shared" si="4"/>
        <v>5.3359919106991898</v>
      </c>
      <c r="W4" s="181">
        <f t="shared" si="4"/>
        <v>5.4174191483167098</v>
      </c>
      <c r="DA4" s="190" t="s">
        <v>908</v>
      </c>
    </row>
    <row r="5" spans="1:105" ht="12" customHeight="1" x14ac:dyDescent="0.25">
      <c r="A5" s="132" t="s">
        <v>6</v>
      </c>
      <c r="B5" s="181">
        <f t="shared" si="2"/>
        <v>9.9661645600961659</v>
      </c>
      <c r="C5" s="181">
        <f t="shared" si="3"/>
        <v>10.160463778087424</v>
      </c>
      <c r="D5" s="181">
        <f t="shared" si="4"/>
        <v>10.357082080075285</v>
      </c>
      <c r="E5" s="181">
        <f t="shared" si="4"/>
        <v>10.582729099751408</v>
      </c>
      <c r="F5" s="181">
        <f t="shared" si="4"/>
        <v>10.866542255327866</v>
      </c>
      <c r="G5" s="181">
        <f t="shared" si="4"/>
        <v>11.061140158113581</v>
      </c>
      <c r="H5" s="181">
        <f t="shared" si="4"/>
        <v>11.274672265687345</v>
      </c>
      <c r="I5" s="181">
        <f t="shared" si="4"/>
        <v>11.454110338190763</v>
      </c>
      <c r="J5" s="181">
        <f t="shared" si="4"/>
        <v>11.73764943738475</v>
      </c>
      <c r="K5" s="181">
        <f t="shared" si="4"/>
        <v>12.038921179053368</v>
      </c>
      <c r="L5" s="181">
        <f t="shared" si="4"/>
        <v>12.360859085334942</v>
      </c>
      <c r="M5" s="181">
        <f t="shared" si="4"/>
        <v>12.555841957678957</v>
      </c>
      <c r="N5" s="181">
        <f t="shared" si="4"/>
        <v>12.735006608428447</v>
      </c>
      <c r="O5" s="181">
        <f t="shared" si="4"/>
        <v>12.845898486055191</v>
      </c>
      <c r="P5" s="181">
        <f t="shared" si="4"/>
        <v>12.94510952852627</v>
      </c>
      <c r="Q5" s="181">
        <f t="shared" si="4"/>
        <v>13.000234278582885</v>
      </c>
      <c r="R5" s="181">
        <f t="shared" si="4"/>
        <v>13.070071994390837</v>
      </c>
      <c r="S5" s="181">
        <f t="shared" si="4"/>
        <v>12.929791693514634</v>
      </c>
      <c r="T5" s="181">
        <f t="shared" si="4"/>
        <v>12.510984564234461</v>
      </c>
      <c r="U5" s="181">
        <f t="shared" si="4"/>
        <v>12.04504447751961</v>
      </c>
      <c r="V5" s="181">
        <f t="shared" si="4"/>
        <v>11.568912176136976</v>
      </c>
      <c r="W5" s="181">
        <f t="shared" si="4"/>
        <v>11.172795985928856</v>
      </c>
      <c r="DA5" s="190" t="s">
        <v>909</v>
      </c>
    </row>
    <row r="6" spans="1:105" ht="12" customHeight="1" x14ac:dyDescent="0.25">
      <c r="A6" s="132" t="s">
        <v>5</v>
      </c>
      <c r="B6" s="181">
        <f t="shared" si="2"/>
        <v>23.167198402442637</v>
      </c>
      <c r="C6" s="181">
        <f t="shared" si="3"/>
        <v>23.705097546239166</v>
      </c>
      <c r="D6" s="181">
        <f t="shared" si="4"/>
        <v>24.100392902245471</v>
      </c>
      <c r="E6" s="181">
        <f t="shared" si="4"/>
        <v>24.419802594216936</v>
      </c>
      <c r="F6" s="181">
        <f t="shared" si="4"/>
        <v>24.994638112961898</v>
      </c>
      <c r="G6" s="181">
        <f t="shared" si="4"/>
        <v>25.426518376413043</v>
      </c>
      <c r="H6" s="181">
        <f t="shared" si="4"/>
        <v>25.694026004880804</v>
      </c>
      <c r="I6" s="181">
        <f t="shared" si="4"/>
        <v>26.335679223806803</v>
      </c>
      <c r="J6" s="181">
        <f t="shared" si="4"/>
        <v>27.008761078795349</v>
      </c>
      <c r="K6" s="181">
        <f t="shared" si="4"/>
        <v>27.727485936496493</v>
      </c>
      <c r="L6" s="181">
        <f t="shared" si="4"/>
        <v>28.529779621867512</v>
      </c>
      <c r="M6" s="181">
        <f t="shared" si="4"/>
        <v>29.12063800781597</v>
      </c>
      <c r="N6" s="181">
        <f t="shared" si="4"/>
        <v>29.69135437319024</v>
      </c>
      <c r="O6" s="181">
        <f t="shared" si="4"/>
        <v>29.645312174626394</v>
      </c>
      <c r="P6" s="181">
        <f t="shared" si="4"/>
        <v>29.370827811979723</v>
      </c>
      <c r="Q6" s="181">
        <f t="shared" si="4"/>
        <v>29.193995176067606</v>
      </c>
      <c r="R6" s="181">
        <f t="shared" si="4"/>
        <v>28.924937429147544</v>
      </c>
      <c r="S6" s="181">
        <f t="shared" si="4"/>
        <v>28.230216335266331</v>
      </c>
      <c r="T6" s="181">
        <f t="shared" si="4"/>
        <v>26.661503202552471</v>
      </c>
      <c r="U6" s="181">
        <f t="shared" si="4"/>
        <v>25.078552199296759</v>
      </c>
      <c r="V6" s="181">
        <f t="shared" si="4"/>
        <v>19.623021110381462</v>
      </c>
      <c r="W6" s="181">
        <f t="shared" si="4"/>
        <v>20.2607330607532</v>
      </c>
      <c r="DA6" s="190" t="s">
        <v>910</v>
      </c>
    </row>
    <row r="7" spans="1:105" ht="12" customHeight="1" x14ac:dyDescent="0.25">
      <c r="A7" s="132" t="s">
        <v>179</v>
      </c>
      <c r="B7" s="181">
        <f t="shared" si="2"/>
        <v>9.9434627316909712</v>
      </c>
      <c r="C7" s="181">
        <f t="shared" si="3"/>
        <v>10.110623384494989</v>
      </c>
      <c r="D7" s="181">
        <f t="shared" si="4"/>
        <v>10.279252029766852</v>
      </c>
      <c r="E7" s="181">
        <f t="shared" si="4"/>
        <v>10.412851439983793</v>
      </c>
      <c r="F7" s="181">
        <f t="shared" si="4"/>
        <v>10.507397758621893</v>
      </c>
      <c r="G7" s="181">
        <f t="shared" si="4"/>
        <v>10.70190438220904</v>
      </c>
      <c r="H7" s="181">
        <f t="shared" si="4"/>
        <v>10.961726615439391</v>
      </c>
      <c r="I7" s="181">
        <f t="shared" si="4"/>
        <v>11.268265058157851</v>
      </c>
      <c r="J7" s="181">
        <f t="shared" si="4"/>
        <v>11.586507727647106</v>
      </c>
      <c r="K7" s="181">
        <f t="shared" si="4"/>
        <v>11.923368117380184</v>
      </c>
      <c r="L7" s="181">
        <f t="shared" si="4"/>
        <v>12.182898344128548</v>
      </c>
      <c r="M7" s="181">
        <f t="shared" si="4"/>
        <v>12.426994099322581</v>
      </c>
      <c r="N7" s="181">
        <f t="shared" si="4"/>
        <v>12.729176685180555</v>
      </c>
      <c r="O7" s="181">
        <f t="shared" si="4"/>
        <v>12.781923632204114</v>
      </c>
      <c r="P7" s="181">
        <f t="shared" si="4"/>
        <v>12.678564244045937</v>
      </c>
      <c r="Q7" s="181">
        <f t="shared" si="4"/>
        <v>12.586016648876708</v>
      </c>
      <c r="R7" s="181">
        <f t="shared" si="4"/>
        <v>12.532210361461781</v>
      </c>
      <c r="S7" s="181">
        <f t="shared" si="4"/>
        <v>12.512936289114522</v>
      </c>
      <c r="T7" s="181">
        <f t="shared" si="4"/>
        <v>12.487753125635829</v>
      </c>
      <c r="U7" s="181">
        <f t="shared" si="4"/>
        <v>12.452315101333937</v>
      </c>
      <c r="V7" s="181">
        <f t="shared" si="4"/>
        <v>12.421459634344732</v>
      </c>
      <c r="W7" s="181">
        <f t="shared" si="4"/>
        <v>12.368920231091394</v>
      </c>
      <c r="DA7" s="190" t="s">
        <v>911</v>
      </c>
    </row>
    <row r="8" spans="1:105" ht="12" customHeight="1" x14ac:dyDescent="0.25">
      <c r="A8" s="60" t="s">
        <v>4</v>
      </c>
      <c r="B8" s="55">
        <f t="shared" si="2"/>
        <v>6.4230542133531339</v>
      </c>
      <c r="C8" s="55">
        <f t="shared" si="3"/>
        <v>6.889981962036396</v>
      </c>
      <c r="D8" s="55">
        <f t="shared" si="4"/>
        <v>7.4364719358983713</v>
      </c>
      <c r="E8" s="55">
        <f t="shared" si="4"/>
        <v>7.9439869887149417</v>
      </c>
      <c r="F8" s="55">
        <f t="shared" si="4"/>
        <v>8.5157837025230876</v>
      </c>
      <c r="G8" s="55">
        <f t="shared" si="4"/>
        <v>9.0285540251334009</v>
      </c>
      <c r="H8" s="55">
        <f t="shared" si="4"/>
        <v>9.5077016410940907</v>
      </c>
      <c r="I8" s="55">
        <f t="shared" si="4"/>
        <v>10.079856352747338</v>
      </c>
      <c r="J8" s="55">
        <f t="shared" si="4"/>
        <v>10.642083318241564</v>
      </c>
      <c r="K8" s="55">
        <f t="shared" si="4"/>
        <v>11.230791085948365</v>
      </c>
      <c r="L8" s="55">
        <f t="shared" si="4"/>
        <v>11.794870150418086</v>
      </c>
      <c r="M8" s="55">
        <f t="shared" si="4"/>
        <v>12.286239269556045</v>
      </c>
      <c r="N8" s="55">
        <f t="shared" si="4"/>
        <v>12.683171045042004</v>
      </c>
      <c r="O8" s="55">
        <f t="shared" si="4"/>
        <v>12.71337549483451</v>
      </c>
      <c r="P8" s="55">
        <f t="shared" si="4"/>
        <v>12.589121305700839</v>
      </c>
      <c r="Q8" s="55">
        <f t="shared" si="4"/>
        <v>12.409446744433652</v>
      </c>
      <c r="R8" s="55">
        <f t="shared" si="4"/>
        <v>13.02686473157357</v>
      </c>
      <c r="S8" s="55">
        <f t="shared" si="4"/>
        <v>13.578399386076835</v>
      </c>
      <c r="T8" s="55">
        <f t="shared" si="4"/>
        <v>13.931834150447266</v>
      </c>
      <c r="U8" s="55">
        <f t="shared" si="4"/>
        <v>14.183742042481921</v>
      </c>
      <c r="V8" s="55">
        <f t="shared" si="4"/>
        <v>12.015903478308546</v>
      </c>
      <c r="W8" s="55">
        <f t="shared" si="4"/>
        <v>13.64242172229242</v>
      </c>
      <c r="DA8" s="101" t="s">
        <v>912</v>
      </c>
    </row>
    <row r="9" spans="1:105" ht="12" customHeight="1" x14ac:dyDescent="0.25">
      <c r="A9" s="62" t="s">
        <v>3</v>
      </c>
      <c r="B9" s="63">
        <f t="shared" si="2"/>
        <v>2.9755798720313895</v>
      </c>
      <c r="C9" s="63">
        <f t="shared" si="3"/>
        <v>3.4973128294956064</v>
      </c>
      <c r="D9" s="63">
        <f t="shared" si="4"/>
        <v>4.1499070345607407</v>
      </c>
      <c r="E9" s="63">
        <f t="shared" si="4"/>
        <v>4.7343003616802033</v>
      </c>
      <c r="F9" s="63">
        <f t="shared" si="4"/>
        <v>5.3668912890408187</v>
      </c>
      <c r="G9" s="63">
        <f t="shared" si="4"/>
        <v>5.8577306549180292</v>
      </c>
      <c r="H9" s="63">
        <f t="shared" si="4"/>
        <v>6.2197957707396307</v>
      </c>
      <c r="I9" s="63">
        <f t="shared" si="4"/>
        <v>6.4271325310806242</v>
      </c>
      <c r="J9" s="63">
        <f t="shared" si="4"/>
        <v>6.6657628347284872</v>
      </c>
      <c r="K9" s="63">
        <f t="shared" si="4"/>
        <v>6.8423382460174178</v>
      </c>
      <c r="L9" s="63">
        <f t="shared" si="4"/>
        <v>7.0122412661127731</v>
      </c>
      <c r="M9" s="63">
        <f t="shared" si="4"/>
        <v>7.1161821459352455</v>
      </c>
      <c r="N9" s="63">
        <f t="shared" si="4"/>
        <v>7.3868198181362645</v>
      </c>
      <c r="O9" s="63">
        <f t="shared" si="4"/>
        <v>7.6865859390073474</v>
      </c>
      <c r="P9" s="63">
        <f t="shared" si="4"/>
        <v>8.1586604026858609</v>
      </c>
      <c r="Q9" s="63">
        <f t="shared" si="4"/>
        <v>8.945121159554148</v>
      </c>
      <c r="R9" s="63">
        <f t="shared" si="4"/>
        <v>9.2787099029599904</v>
      </c>
      <c r="S9" s="63">
        <f t="shared" si="4"/>
        <v>9.53478314592431</v>
      </c>
      <c r="T9" s="63">
        <f t="shared" si="4"/>
        <v>9.6676795782167648</v>
      </c>
      <c r="U9" s="63">
        <f t="shared" si="4"/>
        <v>9.8193667477448905</v>
      </c>
      <c r="V9" s="63">
        <f t="shared" si="4"/>
        <v>8.8943566531127995</v>
      </c>
      <c r="W9" s="63">
        <f t="shared" si="4"/>
        <v>9.5565683084993225</v>
      </c>
      <c r="DA9" s="105" t="s">
        <v>913</v>
      </c>
    </row>
    <row r="10" spans="1:105" s="2" customFormat="1" ht="12" customHeight="1" x14ac:dyDescent="0.25">
      <c r="DA10" s="7"/>
    </row>
    <row r="11" spans="1:105" ht="12.95" customHeight="1" x14ac:dyDescent="0.25">
      <c r="A11" s="179" t="s">
        <v>108</v>
      </c>
      <c r="B11" s="180">
        <f t="shared" ref="B11" si="5">SUM(B12:B17)</f>
        <v>276.97895290983433</v>
      </c>
      <c r="C11" s="180">
        <f t="shared" ref="C11:W11" si="6">SUM(C12:C17)</f>
        <v>288.62569481530443</v>
      </c>
      <c r="D11" s="180">
        <f t="shared" si="6"/>
        <v>301.0903679479469</v>
      </c>
      <c r="E11" s="180">
        <f t="shared" si="6"/>
        <v>312.31190898520845</v>
      </c>
      <c r="F11" s="180">
        <f t="shared" si="6"/>
        <v>325.69254847394996</v>
      </c>
      <c r="G11" s="180">
        <f t="shared" si="6"/>
        <v>336.6128325331498</v>
      </c>
      <c r="H11" s="180">
        <f t="shared" si="6"/>
        <v>345.38646967574294</v>
      </c>
      <c r="I11" s="180">
        <f t="shared" si="6"/>
        <v>356.30171235955868</v>
      </c>
      <c r="J11" s="180">
        <f t="shared" si="6"/>
        <v>368.17023691666981</v>
      </c>
      <c r="K11" s="180">
        <f t="shared" si="6"/>
        <v>380.50260039971107</v>
      </c>
      <c r="L11" s="180">
        <f t="shared" si="6"/>
        <v>392.81924836455568</v>
      </c>
      <c r="M11" s="180">
        <f t="shared" si="6"/>
        <v>402.49357770730228</v>
      </c>
      <c r="N11" s="180">
        <f t="shared" si="6"/>
        <v>412.52775234959518</v>
      </c>
      <c r="O11" s="180">
        <f t="shared" si="6"/>
        <v>414.34389002898996</v>
      </c>
      <c r="P11" s="180">
        <f t="shared" si="6"/>
        <v>413.47190368751012</v>
      </c>
      <c r="Q11" s="180">
        <f t="shared" si="6"/>
        <v>414.26769130647011</v>
      </c>
      <c r="R11" s="180">
        <f t="shared" si="6"/>
        <v>412.85905563089904</v>
      </c>
      <c r="S11" s="180">
        <f t="shared" si="6"/>
        <v>412.74233210349234</v>
      </c>
      <c r="T11" s="180">
        <f t="shared" si="6"/>
        <v>411.30542198238163</v>
      </c>
      <c r="U11" s="180">
        <f t="shared" si="6"/>
        <v>409.2963114238492</v>
      </c>
      <c r="V11" s="180">
        <f t="shared" si="6"/>
        <v>405.46693766932037</v>
      </c>
      <c r="W11" s="180">
        <f t="shared" si="6"/>
        <v>399.02338034736522</v>
      </c>
      <c r="DA11" s="189" t="s">
        <v>914</v>
      </c>
    </row>
    <row r="12" spans="1:105" ht="12" customHeight="1" x14ac:dyDescent="0.25">
      <c r="A12" s="132" t="s">
        <v>7</v>
      </c>
      <c r="B12" s="181">
        <f>B20*B52</f>
        <v>4.3131866234776588</v>
      </c>
      <c r="C12" s="181">
        <f t="shared" ref="C12:W12" si="7">C20*C52</f>
        <v>4.4775662913037433</v>
      </c>
      <c r="D12" s="181">
        <f t="shared" si="7"/>
        <v>4.6170258653741083</v>
      </c>
      <c r="E12" s="181">
        <f t="shared" si="7"/>
        <v>4.7644683652314308</v>
      </c>
      <c r="F12" s="181">
        <f t="shared" si="7"/>
        <v>4.9349043761880358</v>
      </c>
      <c r="G12" s="181">
        <f t="shared" si="7"/>
        <v>5.1078352731640564</v>
      </c>
      <c r="H12" s="181">
        <f t="shared" si="7"/>
        <v>5.2715870921685477</v>
      </c>
      <c r="I12" s="181">
        <f t="shared" si="7"/>
        <v>5.4577177808671093</v>
      </c>
      <c r="J12" s="181">
        <f t="shared" si="7"/>
        <v>5.6352361668224722</v>
      </c>
      <c r="K12" s="181">
        <f t="shared" si="7"/>
        <v>5.8504767787232455</v>
      </c>
      <c r="L12" s="181">
        <f t="shared" si="7"/>
        <v>6.0786770141317543</v>
      </c>
      <c r="M12" s="181">
        <f t="shared" si="7"/>
        <v>6.2504625843358941</v>
      </c>
      <c r="N12" s="181">
        <f t="shared" si="7"/>
        <v>6.423508004322696</v>
      </c>
      <c r="O12" s="181">
        <f t="shared" si="7"/>
        <v>6.4682158963212082</v>
      </c>
      <c r="P12" s="181">
        <f t="shared" si="7"/>
        <v>6.4500123341022411</v>
      </c>
      <c r="Q12" s="181">
        <f t="shared" si="7"/>
        <v>6.4449636606899094</v>
      </c>
      <c r="R12" s="181">
        <f t="shared" si="7"/>
        <v>6.5543387738049725</v>
      </c>
      <c r="S12" s="181">
        <f t="shared" si="7"/>
        <v>6.6925146255429491</v>
      </c>
      <c r="T12" s="181">
        <f t="shared" si="7"/>
        <v>6.824718299312635</v>
      </c>
      <c r="U12" s="181">
        <f t="shared" si="7"/>
        <v>6.9607844710844624</v>
      </c>
      <c r="V12" s="181">
        <f t="shared" si="7"/>
        <v>7.084199306099495</v>
      </c>
      <c r="W12" s="181">
        <f t="shared" si="7"/>
        <v>7.1923041889181869</v>
      </c>
      <c r="DA12" s="190" t="s">
        <v>915</v>
      </c>
    </row>
    <row r="13" spans="1:105" ht="12" customHeight="1" x14ac:dyDescent="0.25">
      <c r="A13" s="132" t="s">
        <v>6</v>
      </c>
      <c r="B13" s="181">
        <f>B21*B53/1000</f>
        <v>31.893148102213953</v>
      </c>
      <c r="C13" s="181">
        <f t="shared" ref="C13:W13" si="8">C21*C53/1000</f>
        <v>32.46400743675418</v>
      </c>
      <c r="D13" s="181">
        <f t="shared" si="8"/>
        <v>33.048087831291113</v>
      </c>
      <c r="E13" s="181">
        <f t="shared" si="8"/>
        <v>33.751493330466886</v>
      </c>
      <c r="F13" s="181">
        <f t="shared" si="8"/>
        <v>34.571805004799252</v>
      </c>
      <c r="G13" s="181">
        <f t="shared" si="8"/>
        <v>35.16459382979631</v>
      </c>
      <c r="H13" s="181">
        <f t="shared" si="8"/>
        <v>35.829961441123508</v>
      </c>
      <c r="I13" s="181">
        <f t="shared" si="8"/>
        <v>36.397570220912414</v>
      </c>
      <c r="J13" s="181">
        <f t="shared" si="8"/>
        <v>37.288228371019592</v>
      </c>
      <c r="K13" s="181">
        <f t="shared" si="8"/>
        <v>38.278459986185553</v>
      </c>
      <c r="L13" s="181">
        <f t="shared" si="8"/>
        <v>39.325116870897297</v>
      </c>
      <c r="M13" s="181">
        <f t="shared" si="8"/>
        <v>40.064555762693054</v>
      </c>
      <c r="N13" s="181">
        <f t="shared" si="8"/>
        <v>40.84896422287899</v>
      </c>
      <c r="O13" s="181">
        <f t="shared" si="8"/>
        <v>41.392218866192842</v>
      </c>
      <c r="P13" s="181">
        <f t="shared" si="8"/>
        <v>41.825522404860891</v>
      </c>
      <c r="Q13" s="181">
        <f t="shared" si="8"/>
        <v>42.259867731243126</v>
      </c>
      <c r="R13" s="181">
        <f t="shared" si="8"/>
        <v>41.57585278221881</v>
      </c>
      <c r="S13" s="181">
        <f t="shared" si="8"/>
        <v>40.799435961727227</v>
      </c>
      <c r="T13" s="181">
        <f t="shared" si="8"/>
        <v>39.84838077288186</v>
      </c>
      <c r="U13" s="181">
        <f t="shared" si="8"/>
        <v>38.726229531100415</v>
      </c>
      <c r="V13" s="181">
        <f t="shared" si="8"/>
        <v>37.414878712625345</v>
      </c>
      <c r="W13" s="181">
        <f t="shared" si="8"/>
        <v>36.091392313126661</v>
      </c>
      <c r="DA13" s="190" t="s">
        <v>916</v>
      </c>
    </row>
    <row r="14" spans="1:105" ht="12" customHeight="1" x14ac:dyDescent="0.25">
      <c r="A14" s="132" t="s">
        <v>5</v>
      </c>
      <c r="B14" s="181">
        <f>B22*B54</f>
        <v>126.14825871353641</v>
      </c>
      <c r="C14" s="181">
        <f t="shared" ref="C14:W14" si="9">C22*C54</f>
        <v>128.00991531600999</v>
      </c>
      <c r="D14" s="181">
        <f t="shared" si="9"/>
        <v>129.14722898850022</v>
      </c>
      <c r="E14" s="181">
        <f t="shared" si="9"/>
        <v>130.01788533364092</v>
      </c>
      <c r="F14" s="181">
        <f t="shared" si="9"/>
        <v>131.99492568259822</v>
      </c>
      <c r="G14" s="181">
        <f t="shared" si="9"/>
        <v>133.32490436941663</v>
      </c>
      <c r="H14" s="181">
        <f t="shared" si="9"/>
        <v>133.70252256963178</v>
      </c>
      <c r="I14" s="181">
        <f t="shared" si="9"/>
        <v>135.98481678356063</v>
      </c>
      <c r="J14" s="181">
        <f t="shared" si="9"/>
        <v>138.84223800588151</v>
      </c>
      <c r="K14" s="181">
        <f t="shared" si="9"/>
        <v>141.96756037891652</v>
      </c>
      <c r="L14" s="181">
        <f t="shared" si="9"/>
        <v>145.63877320821754</v>
      </c>
      <c r="M14" s="181">
        <f t="shared" si="9"/>
        <v>148.20502745557565</v>
      </c>
      <c r="N14" s="181">
        <f t="shared" si="9"/>
        <v>151.0716415748316</v>
      </c>
      <c r="O14" s="181">
        <f t="shared" si="9"/>
        <v>150.72933953221354</v>
      </c>
      <c r="P14" s="181">
        <f t="shared" si="9"/>
        <v>149.01647095250507</v>
      </c>
      <c r="Q14" s="181">
        <f t="shared" si="9"/>
        <v>147.86294502190594</v>
      </c>
      <c r="R14" s="181">
        <f t="shared" si="9"/>
        <v>142.03692872738108</v>
      </c>
      <c r="S14" s="181">
        <f t="shared" si="9"/>
        <v>136.76228831680589</v>
      </c>
      <c r="T14" s="181">
        <f t="shared" si="9"/>
        <v>130.43932407959983</v>
      </c>
      <c r="U14" s="181">
        <f t="shared" si="9"/>
        <v>124.13734044630536</v>
      </c>
      <c r="V14" s="181">
        <f t="shared" si="9"/>
        <v>117.22555790431218</v>
      </c>
      <c r="W14" s="181">
        <f t="shared" si="9"/>
        <v>108.48546958563378</v>
      </c>
      <c r="DA14" s="190" t="s">
        <v>917</v>
      </c>
    </row>
    <row r="15" spans="1:105" ht="12" customHeight="1" x14ac:dyDescent="0.25">
      <c r="A15" s="132" t="s">
        <v>179</v>
      </c>
      <c r="B15" s="181">
        <f>B23*B55/1000</f>
        <v>13.201195384653655</v>
      </c>
      <c r="C15" s="181">
        <f t="shared" ref="C15:W15" si="10">C23*C55/1000</f>
        <v>13.423122141743917</v>
      </c>
      <c r="D15" s="181">
        <f t="shared" si="10"/>
        <v>13.646997843172207</v>
      </c>
      <c r="E15" s="181">
        <f t="shared" si="10"/>
        <v>13.824367836416837</v>
      </c>
      <c r="F15" s="181">
        <f t="shared" si="10"/>
        <v>13.949889946663546</v>
      </c>
      <c r="G15" s="181">
        <f t="shared" si="10"/>
        <v>14.208121913823186</v>
      </c>
      <c r="H15" s="181">
        <f t="shared" si="10"/>
        <v>14.553068554516003</v>
      </c>
      <c r="I15" s="181">
        <f t="shared" si="10"/>
        <v>14.960036829494959</v>
      </c>
      <c r="J15" s="181">
        <f t="shared" si="10"/>
        <v>15.382543935220983</v>
      </c>
      <c r="K15" s="181">
        <f t="shared" si="10"/>
        <v>15.82976840241227</v>
      </c>
      <c r="L15" s="181">
        <f t="shared" si="10"/>
        <v>16.17432736783277</v>
      </c>
      <c r="M15" s="181">
        <f t="shared" si="10"/>
        <v>16.49839513414631</v>
      </c>
      <c r="N15" s="181">
        <f t="shared" si="10"/>
        <v>16.89958046217464</v>
      </c>
      <c r="O15" s="181">
        <f t="shared" si="10"/>
        <v>16.969608657823485</v>
      </c>
      <c r="P15" s="181">
        <f t="shared" si="10"/>
        <v>16.832386091124913</v>
      </c>
      <c r="Q15" s="181">
        <f t="shared" si="10"/>
        <v>16.7095175372644</v>
      </c>
      <c r="R15" s="181">
        <f t="shared" si="10"/>
        <v>16.638082934223803</v>
      </c>
      <c r="S15" s="181">
        <f t="shared" si="10"/>
        <v>16.612494182922589</v>
      </c>
      <c r="T15" s="181">
        <f t="shared" si="10"/>
        <v>16.579060371135238</v>
      </c>
      <c r="U15" s="181">
        <f t="shared" si="10"/>
        <v>16.532011943894258</v>
      </c>
      <c r="V15" s="181">
        <f t="shared" si="10"/>
        <v>16.491047436921146</v>
      </c>
      <c r="W15" s="181">
        <f t="shared" si="10"/>
        <v>16.421294781688687</v>
      </c>
      <c r="DA15" s="190" t="s">
        <v>918</v>
      </c>
    </row>
    <row r="16" spans="1:105" ht="12" customHeight="1" x14ac:dyDescent="0.25">
      <c r="A16" s="60" t="s">
        <v>4</v>
      </c>
      <c r="B16" s="55">
        <f>B24*B56</f>
        <v>80.902066908936504</v>
      </c>
      <c r="C16" s="55">
        <f t="shared" ref="C16:W16" si="11">C24*C56</f>
        <v>86.370708122787704</v>
      </c>
      <c r="D16" s="55">
        <f t="shared" si="11"/>
        <v>92.816654501649538</v>
      </c>
      <c r="E16" s="55">
        <f t="shared" si="11"/>
        <v>98.755066576932393</v>
      </c>
      <c r="F16" s="55">
        <f t="shared" si="11"/>
        <v>105.47177376378497</v>
      </c>
      <c r="G16" s="55">
        <f t="shared" si="11"/>
        <v>111.43757883110912</v>
      </c>
      <c r="H16" s="55">
        <f t="shared" si="11"/>
        <v>116.97352436340417</v>
      </c>
      <c r="I16" s="55">
        <f t="shared" si="11"/>
        <v>123.63741792128864</v>
      </c>
      <c r="J16" s="55">
        <f t="shared" si="11"/>
        <v>130.16105470489364</v>
      </c>
      <c r="K16" s="55">
        <f t="shared" si="11"/>
        <v>136.99057801859792</v>
      </c>
      <c r="L16" s="55">
        <f t="shared" si="11"/>
        <v>143.50257493480828</v>
      </c>
      <c r="M16" s="55">
        <f t="shared" si="11"/>
        <v>149.23792039574559</v>
      </c>
      <c r="N16" s="55">
        <f t="shared" si="11"/>
        <v>153.82064319055519</v>
      </c>
      <c r="O16" s="55">
        <f t="shared" si="11"/>
        <v>153.95866715788432</v>
      </c>
      <c r="P16" s="55">
        <f t="shared" si="11"/>
        <v>152.23782591795188</v>
      </c>
      <c r="Q16" s="55">
        <f t="shared" si="11"/>
        <v>149.86099632963857</v>
      </c>
      <c r="R16" s="55">
        <f t="shared" si="11"/>
        <v>154.61691507299537</v>
      </c>
      <c r="S16" s="55">
        <f t="shared" si="11"/>
        <v>159.85421077223077</v>
      </c>
      <c r="T16" s="55">
        <f t="shared" si="11"/>
        <v>164.95325164820844</v>
      </c>
      <c r="U16" s="55">
        <f t="shared" si="11"/>
        <v>169.45557371292153</v>
      </c>
      <c r="V16" s="55">
        <f t="shared" si="11"/>
        <v>173.2518681973734</v>
      </c>
      <c r="W16" s="55">
        <f t="shared" si="11"/>
        <v>176.308376818526</v>
      </c>
      <c r="DA16" s="101" t="s">
        <v>919</v>
      </c>
    </row>
    <row r="17" spans="1:105" ht="12" customHeight="1" x14ac:dyDescent="0.25">
      <c r="A17" s="62" t="s">
        <v>3</v>
      </c>
      <c r="B17" s="63">
        <f>B25*B57/1000</f>
        <v>20.521097177016156</v>
      </c>
      <c r="C17" s="63">
        <f t="shared" ref="C17:W17" si="12">C25*C57/1000</f>
        <v>23.880375506704912</v>
      </c>
      <c r="D17" s="63">
        <f t="shared" si="12"/>
        <v>27.814372917959705</v>
      </c>
      <c r="E17" s="63">
        <f t="shared" si="12"/>
        <v>31.198627542520011</v>
      </c>
      <c r="F17" s="63">
        <f t="shared" si="12"/>
        <v>34.769249699915903</v>
      </c>
      <c r="G17" s="63">
        <f t="shared" si="12"/>
        <v>37.369798315840541</v>
      </c>
      <c r="H17" s="63">
        <f t="shared" si="12"/>
        <v>39.055805654898919</v>
      </c>
      <c r="I17" s="63">
        <f t="shared" si="12"/>
        <v>39.864152823434964</v>
      </c>
      <c r="J17" s="63">
        <f t="shared" si="12"/>
        <v>40.860935732831592</v>
      </c>
      <c r="K17" s="63">
        <f t="shared" si="12"/>
        <v>41.585756834875561</v>
      </c>
      <c r="L17" s="63">
        <f t="shared" si="12"/>
        <v>42.099778968668012</v>
      </c>
      <c r="M17" s="63">
        <f t="shared" si="12"/>
        <v>42.237216374805818</v>
      </c>
      <c r="N17" s="63">
        <f t="shared" si="12"/>
        <v>43.463414894832042</v>
      </c>
      <c r="O17" s="63">
        <f t="shared" si="12"/>
        <v>44.825839918554557</v>
      </c>
      <c r="P17" s="63">
        <f t="shared" si="12"/>
        <v>47.109685986965111</v>
      </c>
      <c r="Q17" s="63">
        <f t="shared" si="12"/>
        <v>51.129401025728193</v>
      </c>
      <c r="R17" s="63">
        <f t="shared" si="12"/>
        <v>51.436937340275009</v>
      </c>
      <c r="S17" s="63">
        <f t="shared" si="12"/>
        <v>52.021388244262916</v>
      </c>
      <c r="T17" s="63">
        <f t="shared" si="12"/>
        <v>52.660686811243622</v>
      </c>
      <c r="U17" s="63">
        <f t="shared" si="12"/>
        <v>53.484371318543218</v>
      </c>
      <c r="V17" s="63">
        <f t="shared" si="12"/>
        <v>53.999386111988748</v>
      </c>
      <c r="W17" s="63">
        <f t="shared" si="12"/>
        <v>54.524542659471869</v>
      </c>
      <c r="DA17" s="105" t="s">
        <v>920</v>
      </c>
    </row>
    <row r="18" spans="1:105" s="2" customFormat="1" ht="12" customHeight="1" x14ac:dyDescent="0.25">
      <c r="DA18" s="7"/>
    </row>
    <row r="19" spans="1:105" ht="12.95" customHeight="1" x14ac:dyDescent="0.25">
      <c r="A19" s="179" t="s">
        <v>107</v>
      </c>
      <c r="B19" s="180"/>
      <c r="C19" s="180"/>
      <c r="D19" s="180"/>
      <c r="E19" s="180"/>
      <c r="F19" s="180"/>
      <c r="G19" s="180"/>
      <c r="H19" s="180"/>
      <c r="I19" s="180"/>
      <c r="J19" s="180"/>
      <c r="K19" s="180"/>
      <c r="L19" s="180"/>
      <c r="M19" s="180"/>
      <c r="N19" s="180"/>
      <c r="O19" s="180"/>
      <c r="P19" s="180"/>
      <c r="Q19" s="180"/>
      <c r="R19" s="180"/>
      <c r="S19" s="180"/>
      <c r="T19" s="180"/>
      <c r="U19" s="180"/>
      <c r="V19" s="180"/>
      <c r="W19" s="180"/>
      <c r="DA19" s="189"/>
    </row>
    <row r="20" spans="1:105" ht="12" customHeight="1" x14ac:dyDescent="0.25">
      <c r="A20" s="132" t="s">
        <v>165</v>
      </c>
      <c r="B20" s="182">
        <v>5.4548884916715261</v>
      </c>
      <c r="C20" s="182">
        <v>5.7167338402517514</v>
      </c>
      <c r="D20" s="182">
        <v>5.9500912416338991</v>
      </c>
      <c r="E20" s="182">
        <v>6.2020763321838279</v>
      </c>
      <c r="F20" s="182">
        <v>6.49592189164205</v>
      </c>
      <c r="G20" s="182">
        <v>6.8024671486914547</v>
      </c>
      <c r="H20" s="182">
        <v>7.10435257986647</v>
      </c>
      <c r="I20" s="182">
        <v>7.4509218923364751</v>
      </c>
      <c r="J20" s="182">
        <v>7.7980881629467058</v>
      </c>
      <c r="K20" s="182">
        <v>8.2182338888537618</v>
      </c>
      <c r="L20" s="182">
        <v>8.6778008703712661</v>
      </c>
      <c r="M20" s="182">
        <v>9.0620181814341247</v>
      </c>
      <c r="N20" s="182">
        <v>9.4672236839454982</v>
      </c>
      <c r="O20" s="182">
        <v>9.6710575933598903</v>
      </c>
      <c r="P20" s="182">
        <v>9.780743866211159</v>
      </c>
      <c r="Q20" s="182">
        <v>9.9328317572154177</v>
      </c>
      <c r="R20" s="182">
        <v>10.305866615675946</v>
      </c>
      <c r="S20" s="182">
        <v>10.745448295790933</v>
      </c>
      <c r="T20" s="182">
        <v>11.186760590826797</v>
      </c>
      <c r="U20" s="182">
        <v>11.621807004664129</v>
      </c>
      <c r="V20" s="182">
        <v>12.02450200048983</v>
      </c>
      <c r="W20" s="182">
        <v>12.401803561662049</v>
      </c>
      <c r="DA20" s="191" t="s">
        <v>921</v>
      </c>
    </row>
    <row r="21" spans="1:105" ht="12" customHeight="1" x14ac:dyDescent="0.25">
      <c r="A21" s="132" t="s">
        <v>163</v>
      </c>
      <c r="B21" s="182">
        <v>162.53817504020944</v>
      </c>
      <c r="C21" s="182">
        <v>167.12451351560296</v>
      </c>
      <c r="D21" s="182">
        <v>172.17641421313348</v>
      </c>
      <c r="E21" s="182">
        <v>178.44341422919234</v>
      </c>
      <c r="F21" s="182">
        <v>185.9504753563495</v>
      </c>
      <c r="G21" s="182">
        <v>192.92353639687943</v>
      </c>
      <c r="H21" s="182">
        <v>200.942873659432</v>
      </c>
      <c r="I21" s="182">
        <v>209.14568431572715</v>
      </c>
      <c r="J21" s="182">
        <v>217.62745028150147</v>
      </c>
      <c r="K21" s="182">
        <v>227.15884157504041</v>
      </c>
      <c r="L21" s="182">
        <v>237.51392439416136</v>
      </c>
      <c r="M21" s="182">
        <v>246.52233932190714</v>
      </c>
      <c r="N21" s="182">
        <v>256.45789169422687</v>
      </c>
      <c r="O21" s="182">
        <v>266.24145031353942</v>
      </c>
      <c r="P21" s="182">
        <v>276.97102703793814</v>
      </c>
      <c r="Q21" s="182">
        <v>289.40779790596338</v>
      </c>
      <c r="R21" s="182">
        <v>295.33725524589948</v>
      </c>
      <c r="S21" s="182">
        <v>302.61947395824808</v>
      </c>
      <c r="T21" s="182">
        <v>309.79002604707085</v>
      </c>
      <c r="U21" s="182">
        <v>316.57685190509721</v>
      </c>
      <c r="V21" s="182">
        <v>322.59921245808778</v>
      </c>
      <c r="W21" s="182">
        <v>327.46653574923386</v>
      </c>
      <c r="DA21" s="191" t="s">
        <v>922</v>
      </c>
    </row>
    <row r="22" spans="1:105" ht="12" customHeight="1" x14ac:dyDescent="0.25">
      <c r="A22" s="132" t="s">
        <v>167</v>
      </c>
      <c r="B22" s="182">
        <v>2.3577983384403418</v>
      </c>
      <c r="C22" s="182">
        <v>2.4176082487133788</v>
      </c>
      <c r="D22" s="182">
        <v>2.4766927299056771</v>
      </c>
      <c r="E22" s="182">
        <v>2.5413985270265043</v>
      </c>
      <c r="F22" s="182">
        <v>2.6416933696577511</v>
      </c>
      <c r="G22" s="182">
        <v>2.7450127201381469</v>
      </c>
      <c r="H22" s="182">
        <v>2.8408791146298613</v>
      </c>
      <c r="I22" s="182">
        <v>2.9657665682312713</v>
      </c>
      <c r="J22" s="182">
        <v>3.1077087361865323</v>
      </c>
      <c r="K22" s="182">
        <v>3.2705795015193919</v>
      </c>
      <c r="L22" s="182">
        <v>3.4746904846627475</v>
      </c>
      <c r="M22" s="182">
        <v>3.6638985287977812</v>
      </c>
      <c r="N22" s="182">
        <v>3.8911290899863866</v>
      </c>
      <c r="O22" s="182">
        <v>4.0623260315288574</v>
      </c>
      <c r="P22" s="182">
        <v>4.220247673027103</v>
      </c>
      <c r="Q22" s="182">
        <v>4.4437521133680349</v>
      </c>
      <c r="R22" s="182">
        <v>4.612417367976601</v>
      </c>
      <c r="S22" s="182">
        <v>4.81232808204678</v>
      </c>
      <c r="T22" s="182">
        <v>5.0089959403969271</v>
      </c>
      <c r="U22" s="182">
        <v>5.1952217011650559</v>
      </c>
      <c r="V22" s="182">
        <v>5.3525580440676972</v>
      </c>
      <c r="W22" s="182">
        <v>5.4682426811694294</v>
      </c>
      <c r="DA22" s="191" t="s">
        <v>923</v>
      </c>
    </row>
    <row r="23" spans="1:105" ht="12" customHeight="1" x14ac:dyDescent="0.25">
      <c r="A23" s="132" t="s">
        <v>180</v>
      </c>
      <c r="B23" s="182">
        <v>18.248809160370325</v>
      </c>
      <c r="C23" s="182">
        <v>18.74627500124609</v>
      </c>
      <c r="D23" s="182">
        <v>19.309239761282967</v>
      </c>
      <c r="E23" s="182">
        <v>19.835836122244377</v>
      </c>
      <c r="F23" s="182">
        <v>20.315404171508682</v>
      </c>
      <c r="G23" s="182">
        <v>21.046894517261144</v>
      </c>
      <c r="H23" s="182">
        <v>21.977802673316287</v>
      </c>
      <c r="I23" s="182">
        <v>23.083300388433191</v>
      </c>
      <c r="J23" s="182">
        <v>24.300946087489162</v>
      </c>
      <c r="K23" s="182">
        <v>25.660905618761369</v>
      </c>
      <c r="L23" s="182">
        <v>26.952843987056806</v>
      </c>
      <c r="M23" s="182">
        <v>28.088154305552308</v>
      </c>
      <c r="N23" s="182">
        <v>29.354778803596865</v>
      </c>
      <c r="O23" s="182">
        <v>30.022162284132438</v>
      </c>
      <c r="P23" s="182">
        <v>30.326238406752474</v>
      </c>
      <c r="Q23" s="182">
        <v>30.754462443509095</v>
      </c>
      <c r="R23" s="182">
        <v>31.336109747808532</v>
      </c>
      <c r="S23" s="182">
        <v>32.058661497808011</v>
      </c>
      <c r="T23" s="182">
        <v>32.778591712275002</v>
      </c>
      <c r="U23" s="182">
        <v>33.474599079179988</v>
      </c>
      <c r="V23" s="182">
        <v>34.120450553384529</v>
      </c>
      <c r="W23" s="182">
        <v>34.690763950212727</v>
      </c>
      <c r="DA23" s="191" t="s">
        <v>924</v>
      </c>
    </row>
    <row r="24" spans="1:105" ht="12" customHeight="1" x14ac:dyDescent="0.25">
      <c r="A24" s="60" t="s">
        <v>166</v>
      </c>
      <c r="B24" s="36">
        <v>1.6365886640326885</v>
      </c>
      <c r="C24" s="36">
        <v>1.7575187853381415</v>
      </c>
      <c r="D24" s="36">
        <v>1.9011179377414882</v>
      </c>
      <c r="E24" s="36">
        <v>2.0354417212664573</v>
      </c>
      <c r="F24" s="36">
        <v>2.1891217979544391</v>
      </c>
      <c r="G24" s="36">
        <v>2.3287563188686158</v>
      </c>
      <c r="H24" s="36">
        <v>2.4619003168446074</v>
      </c>
      <c r="I24" s="36">
        <v>2.6241028937663646</v>
      </c>
      <c r="J24" s="36">
        <v>2.787576869690839</v>
      </c>
      <c r="K24" s="36">
        <v>2.9632170860673668</v>
      </c>
      <c r="L24" s="36">
        <v>3.1388522442115496</v>
      </c>
      <c r="M24" s="36">
        <v>3.3062576244820803</v>
      </c>
      <c r="N24" s="36">
        <v>3.4566390589382854</v>
      </c>
      <c r="O24" s="36">
        <v>3.5049500097598396</v>
      </c>
      <c r="P24" s="36">
        <v>3.5156585525169612</v>
      </c>
      <c r="Q24" s="36">
        <v>3.5218984704155316</v>
      </c>
      <c r="R24" s="36">
        <v>3.6985268173873176</v>
      </c>
      <c r="S24" s="36">
        <v>3.9005916338471507</v>
      </c>
      <c r="T24" s="36">
        <v>4.1019125139512509</v>
      </c>
      <c r="U24" s="36">
        <v>4.2975148241342973</v>
      </c>
      <c r="V24" s="36">
        <v>4.4739059063352542</v>
      </c>
      <c r="W24" s="36">
        <v>4.6291632575114123</v>
      </c>
      <c r="DA24" s="89" t="s">
        <v>925</v>
      </c>
    </row>
    <row r="25" spans="1:105" ht="12" customHeight="1" x14ac:dyDescent="0.25">
      <c r="A25" s="62" t="s">
        <v>164</v>
      </c>
      <c r="B25" s="38">
        <v>52.356276160909104</v>
      </c>
      <c r="C25" s="38">
        <v>62.445621609441709</v>
      </c>
      <c r="D25" s="38">
        <v>74.999435890660507</v>
      </c>
      <c r="E25" s="38">
        <v>86.924947248832211</v>
      </c>
      <c r="F25" s="38">
        <v>100.49985837342848</v>
      </c>
      <c r="G25" s="38">
        <v>111.99282798593414</v>
      </c>
      <c r="H25" s="38">
        <v>123.14948695164288</v>
      </c>
      <c r="I25" s="38">
        <v>132.50071656712868</v>
      </c>
      <c r="J25" s="38">
        <v>143.40447984878034</v>
      </c>
      <c r="K25" s="38">
        <v>154.88766668320267</v>
      </c>
      <c r="L25" s="38">
        <v>166.97270776658934</v>
      </c>
      <c r="M25" s="38">
        <v>181.57862190563534</v>
      </c>
      <c r="N25" s="38">
        <v>202.38823888795764</v>
      </c>
      <c r="O25" s="38">
        <v>223.07854815207205</v>
      </c>
      <c r="P25" s="38">
        <v>250.57787472451122</v>
      </c>
      <c r="Q25" s="38">
        <v>284.24698368431234</v>
      </c>
      <c r="R25" s="38">
        <v>297.05258759170766</v>
      </c>
      <c r="S25" s="38">
        <v>311.337423306478</v>
      </c>
      <c r="T25" s="38">
        <v>325.5573242115276</v>
      </c>
      <c r="U25" s="38">
        <v>339.37264739522595</v>
      </c>
      <c r="V25" s="38">
        <v>352.27434788722127</v>
      </c>
      <c r="W25" s="38">
        <v>363.94004993005302</v>
      </c>
      <c r="DA25" s="90" t="s">
        <v>926</v>
      </c>
    </row>
    <row r="26" spans="1:105" s="2" customFormat="1" ht="12" customHeight="1" x14ac:dyDescent="0.25">
      <c r="DA26" s="7"/>
    </row>
    <row r="27" spans="1:105" ht="12.95" customHeight="1" x14ac:dyDescent="0.25">
      <c r="A27" s="179" t="s">
        <v>106</v>
      </c>
      <c r="B27" s="180"/>
      <c r="C27" s="180"/>
      <c r="D27" s="180"/>
      <c r="E27" s="180"/>
      <c r="F27" s="180"/>
      <c r="G27" s="180"/>
      <c r="H27" s="180"/>
      <c r="I27" s="180"/>
      <c r="J27" s="180"/>
      <c r="K27" s="180"/>
      <c r="L27" s="180"/>
      <c r="M27" s="180"/>
      <c r="N27" s="180"/>
      <c r="O27" s="180"/>
      <c r="P27" s="180"/>
      <c r="Q27" s="180"/>
      <c r="R27" s="180"/>
      <c r="S27" s="180"/>
      <c r="T27" s="180"/>
      <c r="U27" s="180"/>
      <c r="V27" s="180"/>
      <c r="W27" s="180"/>
      <c r="DA27" s="189"/>
    </row>
    <row r="28" spans="1:105" ht="12" customHeight="1" x14ac:dyDescent="0.25">
      <c r="A28" s="132" t="s">
        <v>165</v>
      </c>
      <c r="B28" s="183"/>
      <c r="C28" s="183">
        <v>0.49844201167578372</v>
      </c>
      <c r="D28" s="183">
        <v>0.47664634170226172</v>
      </c>
      <c r="E28" s="183">
        <v>0.50215560313310093</v>
      </c>
      <c r="F28" s="183">
        <v>0.55109229366561685</v>
      </c>
      <c r="G28" s="183">
        <v>0.57106836801504723</v>
      </c>
      <c r="H28" s="183">
        <v>0.57389073553984726</v>
      </c>
      <c r="I28" s="183">
        <v>0.62626844852097463</v>
      </c>
      <c r="J28" s="183">
        <v>0.6347768629490087</v>
      </c>
      <c r="K28" s="183">
        <v>0.7158915547765039</v>
      </c>
      <c r="L28" s="183">
        <v>0.76367815691764651</v>
      </c>
      <c r="M28" s="183">
        <v>0.69693045179182356</v>
      </c>
      <c r="N28" s="183">
        <v>0.72676392027061709</v>
      </c>
      <c r="O28" s="183">
        <v>0.53448779812144487</v>
      </c>
      <c r="P28" s="183">
        <v>0.44969290330730871</v>
      </c>
      <c r="Q28" s="183">
        <v>0.50171181106797036</v>
      </c>
      <c r="R28" s="183">
        <v>0.73254809888400096</v>
      </c>
      <c r="S28" s="183">
        <v>0.8092639662017973</v>
      </c>
      <c r="T28" s="183">
        <v>0.82145126428604165</v>
      </c>
      <c r="U28" s="183">
        <v>0.93348842551311684</v>
      </c>
      <c r="V28" s="183">
        <v>0.87934133752796306</v>
      </c>
      <c r="W28" s="183">
        <v>0.87945716430531995</v>
      </c>
      <c r="DA28" s="192" t="s">
        <v>927</v>
      </c>
    </row>
    <row r="29" spans="1:105" ht="12" customHeight="1" x14ac:dyDescent="0.25">
      <c r="A29" s="132" t="s">
        <v>163</v>
      </c>
      <c r="B29" s="183"/>
      <c r="C29" s="183">
        <v>24.975847124717859</v>
      </c>
      <c r="D29" s="183">
        <v>26.319073330725047</v>
      </c>
      <c r="E29" s="183">
        <v>28.449615575315391</v>
      </c>
      <c r="F29" s="183">
        <v>30.644524744757803</v>
      </c>
      <c r="G29" s="183">
        <v>31.10647403800678</v>
      </c>
      <c r="H29" s="183">
        <v>33.191570162952956</v>
      </c>
      <c r="I29" s="183">
        <v>34.458579339251315</v>
      </c>
      <c r="J29" s="183">
        <v>33.457613090492174</v>
      </c>
      <c r="K29" s="183">
        <v>35.850464624263992</v>
      </c>
      <c r="L29" s="183">
        <v>38.804698394436343</v>
      </c>
      <c r="M29" s="183">
        <v>39.652939672503578</v>
      </c>
      <c r="N29" s="183">
        <v>41.042026410326514</v>
      </c>
      <c r="O29" s="183">
        <v>42.9751287822655</v>
      </c>
      <c r="P29" s="183">
        <v>45.188156063650041</v>
      </c>
      <c r="Q29" s="183">
        <v>45.894383958517409</v>
      </c>
      <c r="R29" s="183">
        <v>41.779921964200099</v>
      </c>
      <c r="S29" s="183">
        <v>46.086917106784938</v>
      </c>
      <c r="T29" s="183">
        <v>46.823491761326352</v>
      </c>
      <c r="U29" s="183">
        <v>47.828852268352875</v>
      </c>
      <c r="V29" s="183">
        <v>48.997489335256091</v>
      </c>
      <c r="W29" s="183">
        <v>50.055479354796091</v>
      </c>
      <c r="DA29" s="192" t="s">
        <v>928</v>
      </c>
    </row>
    <row r="30" spans="1:105" ht="12" customHeight="1" x14ac:dyDescent="0.25">
      <c r="A30" s="132" t="s">
        <v>167</v>
      </c>
      <c r="B30" s="183"/>
      <c r="C30" s="183">
        <v>0.42801807486876742</v>
      </c>
      <c r="D30" s="183">
        <v>0.43685808712852525</v>
      </c>
      <c r="E30" s="183">
        <v>0.45229333880054323</v>
      </c>
      <c r="F30" s="183">
        <v>0.49795126993253813</v>
      </c>
      <c r="G30" s="183">
        <v>0.51130623645904461</v>
      </c>
      <c r="H30" s="183">
        <v>0.51445210744044223</v>
      </c>
      <c r="I30" s="183">
        <v>0.55290552847017738</v>
      </c>
      <c r="J30" s="183">
        <v>0.5788002550837863</v>
      </c>
      <c r="K30" s="183">
        <v>0.61516410413340283</v>
      </c>
      <c r="L30" s="183">
        <v>0.70206225307589376</v>
      </c>
      <c r="M30" s="183">
        <v>0.70051428059407828</v>
      </c>
      <c r="N30" s="183">
        <v>0.74168266862904764</v>
      </c>
      <c r="O30" s="183">
        <v>0.72410247001264816</v>
      </c>
      <c r="P30" s="183">
        <v>0.73672189658203191</v>
      </c>
      <c r="Q30" s="183">
        <v>0.8386685444743347</v>
      </c>
      <c r="R30" s="183">
        <v>0.87072750768445983</v>
      </c>
      <c r="S30" s="183">
        <v>0.90042499466425729</v>
      </c>
      <c r="T30" s="183">
        <v>0.9383505269791943</v>
      </c>
      <c r="U30" s="183">
        <v>0.91032823078077652</v>
      </c>
      <c r="V30" s="183">
        <v>0.89405823948467322</v>
      </c>
      <c r="W30" s="183">
        <v>0.95435318157606641</v>
      </c>
      <c r="DA30" s="192" t="s">
        <v>929</v>
      </c>
    </row>
    <row r="31" spans="1:105" ht="12" customHeight="1" x14ac:dyDescent="0.25">
      <c r="A31" s="132" t="s">
        <v>180</v>
      </c>
      <c r="B31" s="183"/>
      <c r="C31" s="183">
        <v>2.1559742321244286</v>
      </c>
      <c r="D31" s="183">
        <v>2.2564082791841855</v>
      </c>
      <c r="E31" s="183">
        <v>2.2557108880111905</v>
      </c>
      <c r="F31" s="183">
        <v>2.2451049649330628</v>
      </c>
      <c r="G31" s="183">
        <v>2.534216857979267</v>
      </c>
      <c r="H31" s="183">
        <v>2.7716076333891735</v>
      </c>
      <c r="I31" s="183">
        <v>2.9849700271275346</v>
      </c>
      <c r="J31" s="183">
        <v>3.1367075639133191</v>
      </c>
      <c r="K31" s="183">
        <v>3.3194448706491677</v>
      </c>
      <c r="L31" s="183">
        <v>3.2926986697454694</v>
      </c>
      <c r="M31" s="183">
        <v>3.2912845506199311</v>
      </c>
      <c r="N31" s="183">
        <v>3.5230327772287424</v>
      </c>
      <c r="O31" s="183">
        <v>2.9230943685467636</v>
      </c>
      <c r="P31" s="183">
        <v>2.549181087553098</v>
      </c>
      <c r="Q31" s="183">
        <v>2.962440894735888</v>
      </c>
      <c r="R31" s="183">
        <v>3.3532549376886109</v>
      </c>
      <c r="S31" s="183">
        <v>3.7075217771270133</v>
      </c>
      <c r="T31" s="183">
        <v>3.8566377783803105</v>
      </c>
      <c r="U31" s="183">
        <v>4.0154522375541539</v>
      </c>
      <c r="V31" s="183">
        <v>3.9385501439500104</v>
      </c>
      <c r="W31" s="183">
        <v>3.8615979474481286</v>
      </c>
      <c r="DA31" s="192" t="s">
        <v>930</v>
      </c>
    </row>
    <row r="32" spans="1:105" ht="12" customHeight="1" x14ac:dyDescent="0.25">
      <c r="A32" s="60" t="s">
        <v>166</v>
      </c>
      <c r="B32" s="41"/>
      <c r="C32" s="41">
        <v>0.16754418353763989</v>
      </c>
      <c r="D32" s="41">
        <v>0.19545876386537508</v>
      </c>
      <c r="E32" s="41">
        <v>0.19201923361460982</v>
      </c>
      <c r="F32" s="41">
        <v>0.21786808094026089</v>
      </c>
      <c r="G32" s="41">
        <v>0.21104569603265233</v>
      </c>
      <c r="H32" s="41">
        <v>0.21259117804033423</v>
      </c>
      <c r="I32" s="41">
        <v>0.2505900654304436</v>
      </c>
      <c r="J32" s="41">
        <v>0.26180783898350457</v>
      </c>
      <c r="K32" s="41">
        <v>0.28503973419586037</v>
      </c>
      <c r="L32" s="41">
        <v>0.29734556518796884</v>
      </c>
      <c r="M32" s="41">
        <v>0.302812039075258</v>
      </c>
      <c r="N32" s="41">
        <v>0.30102560444952209</v>
      </c>
      <c r="O32" s="41">
        <v>0.21590733162954923</v>
      </c>
      <c r="P32" s="41">
        <v>0.1971647916858692</v>
      </c>
      <c r="Q32" s="41">
        <v>0.2136783637466837</v>
      </c>
      <c r="R32" s="41">
        <v>0.34417253050942564</v>
      </c>
      <c r="S32" s="41">
        <v>0.3975235803252084</v>
      </c>
      <c r="T32" s="41">
        <v>0.39334011371871025</v>
      </c>
      <c r="U32" s="41">
        <v>0.4134703911233073</v>
      </c>
      <c r="V32" s="41">
        <v>0.38743677823360922</v>
      </c>
      <c r="W32" s="41">
        <v>0.36784852921649236</v>
      </c>
      <c r="DA32" s="92" t="s">
        <v>931</v>
      </c>
    </row>
    <row r="33" spans="1:105" ht="12" customHeight="1" x14ac:dyDescent="0.25">
      <c r="A33" s="62" t="s">
        <v>164</v>
      </c>
      <c r="B33" s="42"/>
      <c r="C33" s="42">
        <v>20.560600680714423</v>
      </c>
      <c r="D33" s="42">
        <v>23.025069513400624</v>
      </c>
      <c r="E33" s="42">
        <v>22.396766590353522</v>
      </c>
      <c r="F33" s="42">
        <v>24.046166356778087</v>
      </c>
      <c r="G33" s="42">
        <v>21.964224844687479</v>
      </c>
      <c r="H33" s="42">
        <v>31.717259646423159</v>
      </c>
      <c r="I33" s="42">
        <v>32.376299128886416</v>
      </c>
      <c r="J33" s="42">
        <v>33.300529872005185</v>
      </c>
      <c r="K33" s="42">
        <v>35.529353191200414</v>
      </c>
      <c r="L33" s="42">
        <v>34.049265928074135</v>
      </c>
      <c r="M33" s="42">
        <v>46.323173785469152</v>
      </c>
      <c r="N33" s="42">
        <v>53.185916111208712</v>
      </c>
      <c r="O33" s="42">
        <v>53.990839136119604</v>
      </c>
      <c r="P33" s="42">
        <v>63.028679763639587</v>
      </c>
      <c r="Q33" s="42">
        <v>67.718374887875257</v>
      </c>
      <c r="R33" s="42">
        <v>59.128777692864475</v>
      </c>
      <c r="S33" s="42">
        <v>67.47075182597905</v>
      </c>
      <c r="T33" s="42">
        <v>68.210740041169231</v>
      </c>
      <c r="U33" s="42">
        <v>76.844002947337913</v>
      </c>
      <c r="V33" s="42">
        <v>80.62007537987057</v>
      </c>
      <c r="W33" s="42">
        <v>70.794479735696257</v>
      </c>
      <c r="DA33" s="93" t="s">
        <v>932</v>
      </c>
    </row>
    <row r="34" spans="1:105" s="2" customFormat="1" ht="12" customHeight="1" x14ac:dyDescent="0.25">
      <c r="DA34" s="7"/>
    </row>
    <row r="35" spans="1:105" ht="12.95" customHeight="1" x14ac:dyDescent="0.25">
      <c r="A35" s="179" t="s">
        <v>105</v>
      </c>
      <c r="B35" s="180"/>
      <c r="C35" s="180"/>
      <c r="D35" s="180"/>
      <c r="E35" s="180"/>
      <c r="F35" s="180"/>
      <c r="G35" s="180"/>
      <c r="H35" s="180"/>
      <c r="I35" s="180"/>
      <c r="J35" s="180"/>
      <c r="K35" s="180"/>
      <c r="L35" s="180"/>
      <c r="M35" s="180"/>
      <c r="N35" s="180"/>
      <c r="O35" s="180"/>
      <c r="P35" s="180"/>
      <c r="Q35" s="180"/>
      <c r="R35" s="180"/>
      <c r="S35" s="180"/>
      <c r="T35" s="180"/>
      <c r="U35" s="180"/>
      <c r="V35" s="180"/>
      <c r="W35" s="180"/>
      <c r="DA35" s="189"/>
    </row>
    <row r="36" spans="1:105" ht="12" customHeight="1" x14ac:dyDescent="0.25">
      <c r="A36" s="132" t="s">
        <v>165</v>
      </c>
      <c r="B36" s="183"/>
      <c r="C36" s="183">
        <v>0.23659666309555849</v>
      </c>
      <c r="D36" s="183">
        <v>0.24328894032011394</v>
      </c>
      <c r="E36" s="183">
        <v>0.25017051258317213</v>
      </c>
      <c r="F36" s="183">
        <v>0.25724673420739474</v>
      </c>
      <c r="G36" s="183">
        <v>0.26452311096564252</v>
      </c>
      <c r="H36" s="183">
        <v>0.27200530436483206</v>
      </c>
      <c r="I36" s="183">
        <v>0.27969913605096952</v>
      </c>
      <c r="J36" s="183">
        <v>0.28761059233877884</v>
      </c>
      <c r="K36" s="183">
        <v>0.29574582886944789</v>
      </c>
      <c r="L36" s="183">
        <v>0.3041111754001431</v>
      </c>
      <c r="M36" s="183">
        <v>0.31271314072896494</v>
      </c>
      <c r="N36" s="183">
        <v>0.32155841775924365</v>
      </c>
      <c r="O36" s="183">
        <v>0.3306538887070527</v>
      </c>
      <c r="P36" s="183">
        <v>0.34000663045604007</v>
      </c>
      <c r="Q36" s="183">
        <v>0.34962392006371168</v>
      </c>
      <c r="R36" s="183">
        <v>0.35951324042347288</v>
      </c>
      <c r="S36" s="183">
        <v>0.36968228608681031</v>
      </c>
      <c r="T36" s="183">
        <v>0.38013896925017754</v>
      </c>
      <c r="U36" s="183">
        <v>0.49844201167578461</v>
      </c>
      <c r="V36" s="183">
        <v>0.47664634170226172</v>
      </c>
      <c r="W36" s="183">
        <v>0.50215560313310093</v>
      </c>
      <c r="DA36" s="192" t="s">
        <v>933</v>
      </c>
    </row>
    <row r="37" spans="1:105" ht="12" customHeight="1" x14ac:dyDescent="0.25">
      <c r="A37" s="132" t="s">
        <v>163</v>
      </c>
      <c r="B37" s="183"/>
      <c r="C37" s="183">
        <v>20.389508649324341</v>
      </c>
      <c r="D37" s="183">
        <v>21.267172633194519</v>
      </c>
      <c r="E37" s="183">
        <v>22.182615559256533</v>
      </c>
      <c r="F37" s="183">
        <v>23.137463617600645</v>
      </c>
      <c r="G37" s="183">
        <v>24.133412997476853</v>
      </c>
      <c r="H37" s="183">
        <v>25.172232900400388</v>
      </c>
      <c r="I37" s="183">
        <v>26.255768682956159</v>
      </c>
      <c r="J37" s="183">
        <v>24.975847124717859</v>
      </c>
      <c r="K37" s="183">
        <v>26.319073330725047</v>
      </c>
      <c r="L37" s="183">
        <v>28.449615575315391</v>
      </c>
      <c r="M37" s="183">
        <v>30.644524744757831</v>
      </c>
      <c r="N37" s="183">
        <v>31.106474038006809</v>
      </c>
      <c r="O37" s="183">
        <v>33.191570162952985</v>
      </c>
      <c r="P37" s="183">
        <v>34.458579339251287</v>
      </c>
      <c r="Q37" s="183">
        <v>33.457613090492202</v>
      </c>
      <c r="R37" s="183">
        <v>35.850464624264021</v>
      </c>
      <c r="S37" s="183">
        <v>38.804698394436343</v>
      </c>
      <c r="T37" s="183">
        <v>39.652939672503578</v>
      </c>
      <c r="U37" s="183">
        <v>41.042026410326514</v>
      </c>
      <c r="V37" s="183">
        <v>42.975128782265529</v>
      </c>
      <c r="W37" s="183">
        <v>45.188156063650013</v>
      </c>
      <c r="DA37" s="192" t="s">
        <v>934</v>
      </c>
    </row>
    <row r="38" spans="1:105" ht="12" customHeight="1" x14ac:dyDescent="0.25">
      <c r="A38" s="132" t="s">
        <v>167</v>
      </c>
      <c r="B38" s="183"/>
      <c r="C38" s="183">
        <v>0.36820816459573047</v>
      </c>
      <c r="D38" s="183">
        <v>0.37777360593622689</v>
      </c>
      <c r="E38" s="183">
        <v>0.3875875416797161</v>
      </c>
      <c r="F38" s="183">
        <v>0.39765642730129125</v>
      </c>
      <c r="G38" s="183">
        <v>0.40798688597864885</v>
      </c>
      <c r="H38" s="183">
        <v>0.41858571294872782</v>
      </c>
      <c r="I38" s="183">
        <v>0.42801807486876742</v>
      </c>
      <c r="J38" s="183">
        <v>0.43685808712852525</v>
      </c>
      <c r="K38" s="183">
        <v>0.45229333880054323</v>
      </c>
      <c r="L38" s="183">
        <v>0.49795126993253813</v>
      </c>
      <c r="M38" s="183">
        <v>0.51130623645904461</v>
      </c>
      <c r="N38" s="183">
        <v>0.51445210744044179</v>
      </c>
      <c r="O38" s="183">
        <v>0.55290552847017782</v>
      </c>
      <c r="P38" s="183">
        <v>0.5788002550837863</v>
      </c>
      <c r="Q38" s="183">
        <v>0.61516410413340239</v>
      </c>
      <c r="R38" s="183">
        <v>0.7020622530758942</v>
      </c>
      <c r="S38" s="183">
        <v>0.70051428059407872</v>
      </c>
      <c r="T38" s="183">
        <v>0.74168266862904719</v>
      </c>
      <c r="U38" s="183">
        <v>0.72410247001264771</v>
      </c>
      <c r="V38" s="183">
        <v>0.73672189658203191</v>
      </c>
      <c r="W38" s="183">
        <v>0.83866854447433425</v>
      </c>
      <c r="DA38" s="192" t="s">
        <v>935</v>
      </c>
    </row>
    <row r="39" spans="1:105" ht="12" customHeight="1" x14ac:dyDescent="0.25">
      <c r="A39" s="132" t="s">
        <v>180</v>
      </c>
      <c r="B39" s="183"/>
      <c r="C39" s="183">
        <v>1.6585083912486631</v>
      </c>
      <c r="D39" s="183">
        <v>1.6934435191473085</v>
      </c>
      <c r="E39" s="183">
        <v>1.7291145270497807</v>
      </c>
      <c r="F39" s="183">
        <v>1.7655369156687577</v>
      </c>
      <c r="G39" s="183">
        <v>1.8027265122268048</v>
      </c>
      <c r="H39" s="183">
        <v>1.8406994773340308</v>
      </c>
      <c r="I39" s="183">
        <v>1.8794723120106305</v>
      </c>
      <c r="J39" s="183">
        <v>1.9190618648573476</v>
      </c>
      <c r="K39" s="183">
        <v>1.9594853393769611</v>
      </c>
      <c r="L39" s="183">
        <v>2.0007603014500326</v>
      </c>
      <c r="M39" s="183">
        <v>2.1559742321244286</v>
      </c>
      <c r="N39" s="183">
        <v>2.2564082791841855</v>
      </c>
      <c r="O39" s="183">
        <v>2.2557108880111905</v>
      </c>
      <c r="P39" s="183">
        <v>2.2451049649330628</v>
      </c>
      <c r="Q39" s="183">
        <v>2.5342168579792634</v>
      </c>
      <c r="R39" s="183">
        <v>2.7716076333891699</v>
      </c>
      <c r="S39" s="183">
        <v>2.9849700271275381</v>
      </c>
      <c r="T39" s="183">
        <v>3.1367075639133191</v>
      </c>
      <c r="U39" s="183">
        <v>3.3194448706491713</v>
      </c>
      <c r="V39" s="183">
        <v>3.2926986697454694</v>
      </c>
      <c r="W39" s="183">
        <v>3.2912845506199346</v>
      </c>
      <c r="DA39" s="192" t="s">
        <v>936</v>
      </c>
    </row>
    <row r="40" spans="1:105" ht="12" customHeight="1" x14ac:dyDescent="0.25">
      <c r="A40" s="60" t="s">
        <v>166</v>
      </c>
      <c r="B40" s="41"/>
      <c r="C40" s="41">
        <v>4.6614062232186892E-2</v>
      </c>
      <c r="D40" s="41">
        <v>5.1859611462028443E-2</v>
      </c>
      <c r="E40" s="41">
        <v>5.7695450089640499E-2</v>
      </c>
      <c r="F40" s="41">
        <v>6.4188004252279107E-2</v>
      </c>
      <c r="G40" s="41">
        <v>7.1411175118475612E-2</v>
      </c>
      <c r="H40" s="41">
        <v>7.9447180064342593E-2</v>
      </c>
      <c r="I40" s="41">
        <v>8.8387488508686385E-2</v>
      </c>
      <c r="J40" s="41">
        <v>9.8333863059030246E-2</v>
      </c>
      <c r="K40" s="41">
        <v>0.10939951781933255</v>
      </c>
      <c r="L40" s="41">
        <v>0.121710407043786</v>
      </c>
      <c r="M40" s="41">
        <v>0.13540665880472735</v>
      </c>
      <c r="N40" s="41">
        <v>0.15064416999331698</v>
      </c>
      <c r="O40" s="41">
        <v>0.16759638080799499</v>
      </c>
      <c r="P40" s="41">
        <v>0.18645624892874757</v>
      </c>
      <c r="Q40" s="41">
        <v>0.20743844584811333</v>
      </c>
      <c r="R40" s="41">
        <v>0.16754418353763967</v>
      </c>
      <c r="S40" s="41">
        <v>0.19545876386537531</v>
      </c>
      <c r="T40" s="41">
        <v>0.1920192336146096</v>
      </c>
      <c r="U40" s="41">
        <v>0.21786808094026089</v>
      </c>
      <c r="V40" s="41">
        <v>0.21104569603265233</v>
      </c>
      <c r="W40" s="41">
        <v>0.21259117804033423</v>
      </c>
      <c r="DA40" s="92" t="s">
        <v>937</v>
      </c>
    </row>
    <row r="41" spans="1:105" ht="12" customHeight="1" x14ac:dyDescent="0.25">
      <c r="A41" s="62" t="s">
        <v>164</v>
      </c>
      <c r="B41" s="42"/>
      <c r="C41" s="42">
        <v>10.471255232181811</v>
      </c>
      <c r="D41" s="42">
        <v>10.471255232181832</v>
      </c>
      <c r="E41" s="42">
        <v>10.471255232181818</v>
      </c>
      <c r="F41" s="42">
        <v>10.471255232181818</v>
      </c>
      <c r="G41" s="42">
        <v>10.471255232181818</v>
      </c>
      <c r="H41" s="42">
        <v>20.560600680714415</v>
      </c>
      <c r="I41" s="42">
        <v>23.025069513400638</v>
      </c>
      <c r="J41" s="42">
        <v>22.396766590353536</v>
      </c>
      <c r="K41" s="42">
        <v>24.046166356778087</v>
      </c>
      <c r="L41" s="42">
        <v>21.964224844687465</v>
      </c>
      <c r="M41" s="42">
        <v>31.717259646423145</v>
      </c>
      <c r="N41" s="42">
        <v>32.376299128886416</v>
      </c>
      <c r="O41" s="42">
        <v>33.300529872005171</v>
      </c>
      <c r="P41" s="42">
        <v>35.529353191200414</v>
      </c>
      <c r="Q41" s="42">
        <v>34.049265928074135</v>
      </c>
      <c r="R41" s="42">
        <v>46.323173785469123</v>
      </c>
      <c r="S41" s="42">
        <v>53.185916111208712</v>
      </c>
      <c r="T41" s="42">
        <v>53.990839136119632</v>
      </c>
      <c r="U41" s="42">
        <v>63.028679763639559</v>
      </c>
      <c r="V41" s="42">
        <v>67.718374887875257</v>
      </c>
      <c r="W41" s="42">
        <v>59.128777692864503</v>
      </c>
      <c r="DA41" s="93" t="s">
        <v>938</v>
      </c>
    </row>
    <row r="42" spans="1:105" s="2" customFormat="1" ht="12" customHeight="1" x14ac:dyDescent="0.25">
      <c r="DA42" s="7"/>
    </row>
    <row r="43" spans="1:105" ht="12.95" customHeight="1" x14ac:dyDescent="0.25">
      <c r="A43" s="179" t="s">
        <v>104</v>
      </c>
      <c r="B43" s="184"/>
      <c r="C43" s="184"/>
      <c r="D43" s="184"/>
      <c r="E43" s="184"/>
      <c r="F43" s="184"/>
      <c r="G43" s="184"/>
      <c r="H43" s="184"/>
      <c r="I43" s="184"/>
      <c r="J43" s="184"/>
      <c r="K43" s="184"/>
      <c r="L43" s="184"/>
      <c r="M43" s="184"/>
      <c r="N43" s="184"/>
      <c r="O43" s="184"/>
      <c r="P43" s="184"/>
      <c r="Q43" s="184"/>
      <c r="R43" s="184"/>
      <c r="S43" s="184"/>
      <c r="T43" s="184"/>
      <c r="U43" s="184"/>
      <c r="V43" s="184"/>
      <c r="W43" s="184"/>
      <c r="DA43" s="193"/>
    </row>
    <row r="44" spans="1:105" ht="12" customHeight="1" x14ac:dyDescent="0.25">
      <c r="A44" s="132" t="s">
        <v>7</v>
      </c>
      <c r="B44" s="185">
        <v>8759.9999999999982</v>
      </c>
      <c r="C44" s="185">
        <v>8759.9999999999982</v>
      </c>
      <c r="D44" s="185">
        <v>8760</v>
      </c>
      <c r="E44" s="185">
        <v>8759.9999999999982</v>
      </c>
      <c r="F44" s="185">
        <v>8759.9999999999982</v>
      </c>
      <c r="G44" s="185">
        <v>8760.0000000000018</v>
      </c>
      <c r="H44" s="185">
        <v>8759.9999999999964</v>
      </c>
      <c r="I44" s="185">
        <v>8760.0000000000018</v>
      </c>
      <c r="J44" s="185">
        <v>8759.9999999999964</v>
      </c>
      <c r="K44" s="185">
        <v>8760.0000000000018</v>
      </c>
      <c r="L44" s="185">
        <v>8759.9999999999982</v>
      </c>
      <c r="M44" s="185">
        <v>8759.9999999999982</v>
      </c>
      <c r="N44" s="185">
        <v>8759.9999999999964</v>
      </c>
      <c r="O44" s="185">
        <v>8759.9999999999964</v>
      </c>
      <c r="P44" s="185">
        <v>8759.9999999999945</v>
      </c>
      <c r="Q44" s="185">
        <v>8759.9999999999964</v>
      </c>
      <c r="R44" s="185">
        <v>8759.9999999999964</v>
      </c>
      <c r="S44" s="185">
        <v>8759.9999999999964</v>
      </c>
      <c r="T44" s="185">
        <v>8759.9999999999964</v>
      </c>
      <c r="U44" s="185">
        <v>8760.0000000000018</v>
      </c>
      <c r="V44" s="185">
        <v>8760</v>
      </c>
      <c r="W44" s="185">
        <v>8760.0000000000018</v>
      </c>
      <c r="DA44" s="194" t="s">
        <v>939</v>
      </c>
    </row>
    <row r="45" spans="1:105" ht="12" customHeight="1" x14ac:dyDescent="0.25">
      <c r="A45" s="132" t="s">
        <v>6</v>
      </c>
      <c r="B45" s="185">
        <v>3634.2130122260469</v>
      </c>
      <c r="C45" s="185">
        <v>3639.9139560747722</v>
      </c>
      <c r="D45" s="185">
        <v>3644.7756132270529</v>
      </c>
      <c r="E45" s="185">
        <v>3646.5687080876296</v>
      </c>
      <c r="F45" s="185">
        <v>3655.5188950047395</v>
      </c>
      <c r="G45" s="185">
        <v>3658.2552513334717</v>
      </c>
      <c r="H45" s="185">
        <v>3659.6310231985613</v>
      </c>
      <c r="I45" s="185">
        <v>3659.8954937003277</v>
      </c>
      <c r="J45" s="185">
        <v>3660.9103977404116</v>
      </c>
      <c r="K45" s="185">
        <v>3657.739976031437</v>
      </c>
      <c r="L45" s="185">
        <v>3655.5973027211303</v>
      </c>
      <c r="M45" s="185">
        <v>3644.7288429385253</v>
      </c>
      <c r="N45" s="185">
        <v>3625.7498733118268</v>
      </c>
      <c r="O45" s="185">
        <v>3609.3208696005122</v>
      </c>
      <c r="P45" s="185">
        <v>3599.5156823017628</v>
      </c>
      <c r="Q45" s="185">
        <v>3577.6904372121526</v>
      </c>
      <c r="R45" s="185">
        <v>3656.0870582978159</v>
      </c>
      <c r="S45" s="185">
        <v>3685.6753984696315</v>
      </c>
      <c r="T45" s="185">
        <v>3651.4093586725157</v>
      </c>
      <c r="U45" s="185">
        <v>3617.2864998657815</v>
      </c>
      <c r="V45" s="185">
        <v>3596.0680145963279</v>
      </c>
      <c r="W45" s="185">
        <v>3600.2938370735219</v>
      </c>
      <c r="DA45" s="194" t="s">
        <v>940</v>
      </c>
    </row>
    <row r="46" spans="1:105" ht="12" customHeight="1" x14ac:dyDescent="0.25">
      <c r="A46" s="132" t="s">
        <v>5</v>
      </c>
      <c r="B46" s="185">
        <v>2135.8560171032786</v>
      </c>
      <c r="C46" s="185">
        <v>2153.6635172531933</v>
      </c>
      <c r="D46" s="185">
        <v>2170.2948770048542</v>
      </c>
      <c r="E46" s="185">
        <v>2184.3325896430347</v>
      </c>
      <c r="F46" s="185">
        <v>2202.2637593868517</v>
      </c>
      <c r="G46" s="185">
        <v>2217.9682791920804</v>
      </c>
      <c r="H46" s="185">
        <v>2234.9729585777905</v>
      </c>
      <c r="I46" s="185">
        <v>2252.3393171192633</v>
      </c>
      <c r="J46" s="185">
        <v>2262.3655154066573</v>
      </c>
      <c r="K46" s="185">
        <v>2271.4390567871169</v>
      </c>
      <c r="L46" s="185">
        <v>2278.2486400647431</v>
      </c>
      <c r="M46" s="185">
        <v>2285.1655294380398</v>
      </c>
      <c r="N46" s="185">
        <v>2285.7397176634036</v>
      </c>
      <c r="O46" s="185">
        <v>2287.3780357620449</v>
      </c>
      <c r="P46" s="185">
        <v>2292.2481338468574</v>
      </c>
      <c r="Q46" s="185">
        <v>2296.222111952155</v>
      </c>
      <c r="R46" s="185">
        <v>2368.3771911644917</v>
      </c>
      <c r="S46" s="185">
        <v>2400.6428966632207</v>
      </c>
      <c r="T46" s="185">
        <v>2377.1457298909709</v>
      </c>
      <c r="U46" s="185">
        <v>2349.5232057430626</v>
      </c>
      <c r="V46" s="185">
        <v>1946.8086959332049</v>
      </c>
      <c r="W46" s="185">
        <v>2172.0173807291458</v>
      </c>
      <c r="DA46" s="194" t="s">
        <v>941</v>
      </c>
    </row>
    <row r="47" spans="1:105" ht="12" customHeight="1" x14ac:dyDescent="0.25">
      <c r="A47" s="132" t="s">
        <v>179</v>
      </c>
      <c r="B47" s="185">
        <v>8759.9999999999982</v>
      </c>
      <c r="C47" s="185">
        <v>8760</v>
      </c>
      <c r="D47" s="185">
        <v>8759.9999999999964</v>
      </c>
      <c r="E47" s="185">
        <v>8760.0000000000018</v>
      </c>
      <c r="F47" s="185">
        <v>8759.9999999999964</v>
      </c>
      <c r="G47" s="185">
        <v>8760.0000000000018</v>
      </c>
      <c r="H47" s="185">
        <v>8759.9999999999964</v>
      </c>
      <c r="I47" s="185">
        <v>8759.9999999999982</v>
      </c>
      <c r="J47" s="185">
        <v>8760.0000000000018</v>
      </c>
      <c r="K47" s="185">
        <v>8760.0000000000036</v>
      </c>
      <c r="L47" s="185">
        <v>8759.9999999999964</v>
      </c>
      <c r="M47" s="185">
        <v>8759.9999999999964</v>
      </c>
      <c r="N47" s="185">
        <v>8760</v>
      </c>
      <c r="O47" s="185">
        <v>8760.0000000000055</v>
      </c>
      <c r="P47" s="185">
        <v>8760</v>
      </c>
      <c r="Q47" s="185">
        <v>8759.9999999999982</v>
      </c>
      <c r="R47" s="185">
        <v>8760</v>
      </c>
      <c r="S47" s="185">
        <v>8760</v>
      </c>
      <c r="T47" s="185">
        <v>8760</v>
      </c>
      <c r="U47" s="185">
        <v>8760</v>
      </c>
      <c r="V47" s="185">
        <v>8760</v>
      </c>
      <c r="W47" s="185">
        <v>8760.0000000000018</v>
      </c>
      <c r="DA47" s="194" t="s">
        <v>942</v>
      </c>
    </row>
    <row r="48" spans="1:105" ht="12" customHeight="1" x14ac:dyDescent="0.25">
      <c r="A48" s="60" t="s">
        <v>4</v>
      </c>
      <c r="B48" s="44">
        <v>923.34007467793776</v>
      </c>
      <c r="C48" s="44">
        <v>927.7507613410661</v>
      </c>
      <c r="D48" s="44">
        <v>931.79579762768799</v>
      </c>
      <c r="E48" s="44">
        <v>935.53244285225639</v>
      </c>
      <c r="F48" s="44">
        <v>939.00539382366594</v>
      </c>
      <c r="G48" s="44">
        <v>942.25022127803879</v>
      </c>
      <c r="H48" s="44">
        <v>945.29570420054938</v>
      </c>
      <c r="I48" s="44">
        <v>948.16546118006863</v>
      </c>
      <c r="J48" s="44">
        <v>950.87911873301778</v>
      </c>
      <c r="K48" s="44">
        <v>953.45316604071297</v>
      </c>
      <c r="L48" s="44">
        <v>955.90159209114688</v>
      </c>
      <c r="M48" s="44">
        <v>957.45747679964472</v>
      </c>
      <c r="N48" s="44">
        <v>958.94332642405402</v>
      </c>
      <c r="O48" s="44">
        <v>960.36527033128152</v>
      </c>
      <c r="P48" s="44">
        <v>961.72866304730849</v>
      </c>
      <c r="Q48" s="44">
        <v>963.03820989091003</v>
      </c>
      <c r="R48" s="44">
        <v>979.85680775402625</v>
      </c>
      <c r="S48" s="44">
        <v>987.88004455561247</v>
      </c>
      <c r="T48" s="44">
        <v>982.26151682813145</v>
      </c>
      <c r="U48" s="44">
        <v>973.45231165734288</v>
      </c>
      <c r="V48" s="44">
        <v>806.60000325957242</v>
      </c>
      <c r="W48" s="44">
        <v>899.90826013656067</v>
      </c>
      <c r="DA48" s="95" t="s">
        <v>943</v>
      </c>
    </row>
    <row r="49" spans="1:105" ht="12" customHeight="1" x14ac:dyDescent="0.25">
      <c r="A49" s="62" t="s">
        <v>3</v>
      </c>
      <c r="B49" s="186">
        <v>1686.3617775020402</v>
      </c>
      <c r="C49" s="186">
        <v>1703.2290047371282</v>
      </c>
      <c r="D49" s="186">
        <v>1735.1970851292424</v>
      </c>
      <c r="E49" s="186">
        <v>1764.8184405323814</v>
      </c>
      <c r="F49" s="186">
        <v>1795.1766641572278</v>
      </c>
      <c r="G49" s="186">
        <v>1823.0070962898201</v>
      </c>
      <c r="H49" s="186">
        <v>1852.1247635466073</v>
      </c>
      <c r="I49" s="186">
        <v>1875.0568127595018</v>
      </c>
      <c r="J49" s="186">
        <v>1897.2355962372894</v>
      </c>
      <c r="K49" s="186">
        <v>1913.5492499789366</v>
      </c>
      <c r="L49" s="186">
        <v>1937.1209997464689</v>
      </c>
      <c r="M49" s="186">
        <v>1959.4378006073655</v>
      </c>
      <c r="N49" s="186">
        <v>1976.5753494702878</v>
      </c>
      <c r="O49" s="186">
        <v>1994.273718754182</v>
      </c>
      <c r="P49" s="186">
        <v>2014.1340044060273</v>
      </c>
      <c r="Q49" s="186">
        <v>2034.6758811679842</v>
      </c>
      <c r="R49" s="186">
        <v>2097.9358754886503</v>
      </c>
      <c r="S49" s="186">
        <v>2131.6141635133886</v>
      </c>
      <c r="T49" s="186">
        <v>2135.0863481456695</v>
      </c>
      <c r="U49" s="186">
        <v>2135.188887163376</v>
      </c>
      <c r="V49" s="186">
        <v>1915.6026637261377</v>
      </c>
      <c r="W49" s="186">
        <v>2038.4011310645933</v>
      </c>
      <c r="DA49" s="195" t="s">
        <v>944</v>
      </c>
    </row>
    <row r="50" spans="1:105" s="2" customFormat="1" ht="12" customHeight="1" x14ac:dyDescent="0.25">
      <c r="DA50" s="7"/>
    </row>
    <row r="51" spans="1:105" ht="12.95" customHeight="1" x14ac:dyDescent="0.25">
      <c r="A51" s="179" t="s">
        <v>103</v>
      </c>
      <c r="B51" s="180"/>
      <c r="C51" s="180"/>
      <c r="D51" s="180"/>
      <c r="E51" s="180"/>
      <c r="F51" s="180"/>
      <c r="G51" s="180"/>
      <c r="H51" s="180"/>
      <c r="I51" s="180"/>
      <c r="J51" s="180"/>
      <c r="K51" s="180"/>
      <c r="L51" s="180"/>
      <c r="M51" s="180"/>
      <c r="N51" s="180"/>
      <c r="O51" s="180"/>
      <c r="P51" s="180"/>
      <c r="Q51" s="180"/>
      <c r="R51" s="180"/>
      <c r="S51" s="180"/>
      <c r="T51" s="180"/>
      <c r="U51" s="180"/>
      <c r="V51" s="180"/>
      <c r="W51" s="180"/>
      <c r="DA51" s="189"/>
    </row>
    <row r="52" spans="1:105" ht="12" customHeight="1" x14ac:dyDescent="0.25">
      <c r="A52" s="132" t="s">
        <v>101</v>
      </c>
      <c r="B52" s="181">
        <v>0.79070115366482607</v>
      </c>
      <c r="C52" s="181">
        <v>0.78323854432001372</v>
      </c>
      <c r="D52" s="181">
        <v>0.77595883455835379</v>
      </c>
      <c r="E52" s="181">
        <v>0.76820537349849127</v>
      </c>
      <c r="F52" s="181">
        <v>0.75969269004565909</v>
      </c>
      <c r="G52" s="181">
        <v>0.75087981485461741</v>
      </c>
      <c r="H52" s="181">
        <v>0.74202216639811391</v>
      </c>
      <c r="I52" s="181">
        <v>0.73248892683743694</v>
      </c>
      <c r="J52" s="181">
        <v>0.7226433003923689</v>
      </c>
      <c r="K52" s="181">
        <v>0.71188978773871825</v>
      </c>
      <c r="L52" s="181">
        <v>0.7004858840315481</v>
      </c>
      <c r="M52" s="181">
        <v>0.68974288720161414</v>
      </c>
      <c r="N52" s="181">
        <v>0.67849965510117505</v>
      </c>
      <c r="O52" s="181">
        <v>0.66882198083095479</v>
      </c>
      <c r="P52" s="181">
        <v>0.65946030509853559</v>
      </c>
      <c r="Q52" s="181">
        <v>0.64885460845625942</v>
      </c>
      <c r="R52" s="181">
        <v>0.63598133162672255</v>
      </c>
      <c r="S52" s="181">
        <v>0.62282321233302607</v>
      </c>
      <c r="T52" s="181">
        <v>0.61007100705354689</v>
      </c>
      <c r="U52" s="181">
        <v>0.59894166787410263</v>
      </c>
      <c r="V52" s="181">
        <v>0.58914700216365823</v>
      </c>
      <c r="W52" s="181">
        <v>0.57994017992285452</v>
      </c>
      <c r="DA52" s="190" t="s">
        <v>945</v>
      </c>
    </row>
    <row r="53" spans="1:105" ht="12" customHeight="1" x14ac:dyDescent="0.25">
      <c r="A53" s="132" t="s">
        <v>100</v>
      </c>
      <c r="B53" s="181">
        <v>196.21943026199278</v>
      </c>
      <c r="C53" s="181">
        <v>194.25042295619485</v>
      </c>
      <c r="D53" s="181">
        <v>191.94317631903749</v>
      </c>
      <c r="E53" s="181">
        <v>189.14395622982502</v>
      </c>
      <c r="F53" s="181">
        <v>185.91942256962216</v>
      </c>
      <c r="G53" s="181">
        <v>182.2721814380192</v>
      </c>
      <c r="H53" s="181">
        <v>178.30919200374288</v>
      </c>
      <c r="I53" s="181">
        <v>174.02974553357981</v>
      </c>
      <c r="J53" s="181">
        <v>171.33972907731632</v>
      </c>
      <c r="K53" s="181">
        <v>168.50966363790212</v>
      </c>
      <c r="L53" s="181">
        <v>165.56973226393291</v>
      </c>
      <c r="M53" s="181">
        <v>162.5189663253075</v>
      </c>
      <c r="N53" s="181">
        <v>159.28136955747476</v>
      </c>
      <c r="O53" s="181">
        <v>155.46872516449739</v>
      </c>
      <c r="P53" s="181">
        <v>151.01046074083351</v>
      </c>
      <c r="Q53" s="181">
        <v>146.02186961449647</v>
      </c>
      <c r="R53" s="181">
        <v>140.77415579555827</v>
      </c>
      <c r="S53" s="181">
        <v>134.82092024043456</v>
      </c>
      <c r="T53" s="181">
        <v>128.63028962342099</v>
      </c>
      <c r="U53" s="181">
        <v>122.32805177653889</v>
      </c>
      <c r="V53" s="181">
        <v>115.9794483921324</v>
      </c>
      <c r="W53" s="181">
        <v>110.21398638658029</v>
      </c>
      <c r="DA53" s="190" t="s">
        <v>946</v>
      </c>
    </row>
    <row r="54" spans="1:105" ht="12" customHeight="1" x14ac:dyDescent="0.25">
      <c r="A54" s="132" t="s">
        <v>140</v>
      </c>
      <c r="B54" s="181">
        <v>53.502564938179624</v>
      </c>
      <c r="C54" s="181">
        <v>52.94899013689885</v>
      </c>
      <c r="D54" s="181">
        <v>52.14503496096534</v>
      </c>
      <c r="E54" s="181">
        <v>51.159975088899138</v>
      </c>
      <c r="F54" s="181">
        <v>49.966028305434641</v>
      </c>
      <c r="G54" s="181">
        <v>48.569867597082336</v>
      </c>
      <c r="H54" s="181">
        <v>47.063784545106174</v>
      </c>
      <c r="I54" s="181">
        <v>45.851490215111397</v>
      </c>
      <c r="J54" s="181">
        <v>44.676721595298133</v>
      </c>
      <c r="K54" s="181">
        <v>43.407463513106336</v>
      </c>
      <c r="L54" s="181">
        <v>41.914171593431348</v>
      </c>
      <c r="M54" s="181">
        <v>40.450090604503039</v>
      </c>
      <c r="N54" s="181">
        <v>38.824628554114646</v>
      </c>
      <c r="O54" s="181">
        <v>37.104195567357387</v>
      </c>
      <c r="P54" s="181">
        <v>35.309887593781532</v>
      </c>
      <c r="Q54" s="181">
        <v>33.274345924268218</v>
      </c>
      <c r="R54" s="181">
        <v>30.794465763988434</v>
      </c>
      <c r="S54" s="181">
        <v>28.419153055466271</v>
      </c>
      <c r="T54" s="181">
        <v>26.041012137307391</v>
      </c>
      <c r="U54" s="181">
        <v>23.894522233472134</v>
      </c>
      <c r="V54" s="181">
        <v>21.900847583378315</v>
      </c>
      <c r="W54" s="181">
        <v>19.839183428931733</v>
      </c>
      <c r="DA54" s="190" t="s">
        <v>947</v>
      </c>
    </row>
    <row r="55" spans="1:105" ht="12" customHeight="1" x14ac:dyDescent="0.25">
      <c r="A55" s="132" t="s">
        <v>181</v>
      </c>
      <c r="B55" s="181">
        <v>723.40037471167034</v>
      </c>
      <c r="C55" s="181">
        <v>716.04210120952905</v>
      </c>
      <c r="D55" s="181">
        <v>706.75997666857165</v>
      </c>
      <c r="E55" s="181">
        <v>696.93900227950883</v>
      </c>
      <c r="F55" s="181">
        <v>686.66563701585403</v>
      </c>
      <c r="G55" s="181">
        <v>675.06975445573266</v>
      </c>
      <c r="H55" s="181">
        <v>662.17122661607982</v>
      </c>
      <c r="I55" s="181">
        <v>648.0891630640167</v>
      </c>
      <c r="J55" s="181">
        <v>633.00185432452633</v>
      </c>
      <c r="K55" s="181">
        <v>616.88268674503468</v>
      </c>
      <c r="L55" s="181">
        <v>600.09724300708103</v>
      </c>
      <c r="M55" s="181">
        <v>587.37911201538088</v>
      </c>
      <c r="N55" s="181">
        <v>575.70116863234273</v>
      </c>
      <c r="O55" s="181">
        <v>565.23605785691211</v>
      </c>
      <c r="P55" s="181">
        <v>555.04365115645192</v>
      </c>
      <c r="Q55" s="181">
        <v>543.32009762671169</v>
      </c>
      <c r="R55" s="181">
        <v>530.95559940676344</v>
      </c>
      <c r="S55" s="181">
        <v>518.19051098120417</v>
      </c>
      <c r="T55" s="181">
        <v>505.78928212241266</v>
      </c>
      <c r="U55" s="181">
        <v>493.86736207922445</v>
      </c>
      <c r="V55" s="181">
        <v>483.31857198425365</v>
      </c>
      <c r="W55" s="181">
        <v>473.36215498903687</v>
      </c>
      <c r="DA55" s="190" t="s">
        <v>948</v>
      </c>
    </row>
    <row r="56" spans="1:105" ht="12" customHeight="1" x14ac:dyDescent="0.25">
      <c r="A56" s="60" t="s">
        <v>99</v>
      </c>
      <c r="B56" s="55">
        <v>49.433354077858013</v>
      </c>
      <c r="C56" s="55">
        <v>49.14354762141005</v>
      </c>
      <c r="D56" s="55">
        <v>48.822144412521261</v>
      </c>
      <c r="E56" s="55">
        <v>48.517756880549115</v>
      </c>
      <c r="F56" s="55">
        <v>48.179947713434672</v>
      </c>
      <c r="G56" s="55">
        <v>47.85282939575621</v>
      </c>
      <c r="H56" s="55">
        <v>47.513509610059252</v>
      </c>
      <c r="I56" s="55">
        <v>47.116070873208919</v>
      </c>
      <c r="J56" s="55">
        <v>46.693261133038952</v>
      </c>
      <c r="K56" s="55">
        <v>46.230355063322392</v>
      </c>
      <c r="L56" s="55">
        <v>45.718168225167538</v>
      </c>
      <c r="M56" s="55">
        <v>45.138019279161121</v>
      </c>
      <c r="N56" s="55">
        <v>44.500059325778018</v>
      </c>
      <c r="O56" s="55">
        <v>43.926066485733877</v>
      </c>
      <c r="P56" s="55">
        <v>43.302790542318292</v>
      </c>
      <c r="Q56" s="55">
        <v>42.551197199037141</v>
      </c>
      <c r="R56" s="55">
        <v>41.805000398028355</v>
      </c>
      <c r="S56" s="55">
        <v>40.982042156145084</v>
      </c>
      <c r="T56" s="55">
        <v>40.213742025744438</v>
      </c>
      <c r="U56" s="55">
        <v>39.431062055046453</v>
      </c>
      <c r="V56" s="55">
        <v>38.724969148779117</v>
      </c>
      <c r="W56" s="55">
        <v>38.086446083413236</v>
      </c>
      <c r="DA56" s="101" t="s">
        <v>949</v>
      </c>
    </row>
    <row r="57" spans="1:105" ht="12" customHeight="1" x14ac:dyDescent="0.25">
      <c r="A57" s="62" t="s">
        <v>98</v>
      </c>
      <c r="B57" s="63">
        <v>391.95104544768742</v>
      </c>
      <c r="C57" s="63">
        <v>382.41873315092801</v>
      </c>
      <c r="D57" s="63">
        <v>370.86109498889391</v>
      </c>
      <c r="E57" s="63">
        <v>358.914540991443</v>
      </c>
      <c r="F57" s="63">
        <v>345.9631711193403</v>
      </c>
      <c r="G57" s="63">
        <v>333.68028103133571</v>
      </c>
      <c r="H57" s="63">
        <v>317.14144022569064</v>
      </c>
      <c r="I57" s="63">
        <v>300.85990367635964</v>
      </c>
      <c r="J57" s="63">
        <v>284.93486239704185</v>
      </c>
      <c r="K57" s="63">
        <v>268.48978827947877</v>
      </c>
      <c r="L57" s="63">
        <v>252.13569050769166</v>
      </c>
      <c r="M57" s="63">
        <v>232.61117377989623</v>
      </c>
      <c r="N57" s="63">
        <v>214.75267107242055</v>
      </c>
      <c r="O57" s="63">
        <v>200.94195649864506</v>
      </c>
      <c r="P57" s="63">
        <v>188.00417251027508</v>
      </c>
      <c r="Q57" s="63">
        <v>179.87667050325865</v>
      </c>
      <c r="R57" s="63">
        <v>173.1576814640442</v>
      </c>
      <c r="S57" s="63">
        <v>167.090058406032</v>
      </c>
      <c r="T57" s="63">
        <v>161.7554970965048</v>
      </c>
      <c r="U57" s="63">
        <v>157.59776672943383</v>
      </c>
      <c r="V57" s="63">
        <v>153.28787473698301</v>
      </c>
      <c r="W57" s="63">
        <v>149.81737423499047</v>
      </c>
      <c r="DA57" s="105" t="s">
        <v>950</v>
      </c>
    </row>
    <row r="58" spans="1:105" s="2" customFormat="1" ht="12" customHeight="1" x14ac:dyDescent="0.25">
      <c r="DA58" s="7"/>
    </row>
    <row r="59" spans="1:105" ht="12.95" customHeight="1" x14ac:dyDescent="0.25">
      <c r="A59" s="179" t="s">
        <v>102</v>
      </c>
      <c r="B59" s="180"/>
      <c r="C59" s="180"/>
      <c r="D59" s="180"/>
      <c r="E59" s="180"/>
      <c r="F59" s="180"/>
      <c r="G59" s="180"/>
      <c r="H59" s="180"/>
      <c r="I59" s="180"/>
      <c r="J59" s="180"/>
      <c r="K59" s="180"/>
      <c r="L59" s="180"/>
      <c r="M59" s="180"/>
      <c r="N59" s="180"/>
      <c r="O59" s="180"/>
      <c r="P59" s="180"/>
      <c r="Q59" s="180"/>
      <c r="R59" s="180"/>
      <c r="S59" s="180"/>
      <c r="T59" s="180"/>
      <c r="U59" s="180"/>
      <c r="V59" s="180"/>
      <c r="W59" s="180"/>
      <c r="DA59" s="189"/>
    </row>
    <row r="60" spans="1:105" ht="12" customHeight="1" x14ac:dyDescent="0.25">
      <c r="A60" s="132" t="s">
        <v>101</v>
      </c>
      <c r="B60" s="181"/>
      <c r="C60" s="181">
        <v>0.705110953844715</v>
      </c>
      <c r="D60" s="181">
        <v>0.69617322283499139</v>
      </c>
      <c r="E60" s="181">
        <v>0.68754109406650132</v>
      </c>
      <c r="F60" s="181">
        <v>0.67836423184994599</v>
      </c>
      <c r="G60" s="181">
        <v>0.66907860317259971</v>
      </c>
      <c r="H60" s="181">
        <v>0.66010253086305837</v>
      </c>
      <c r="I60" s="181">
        <v>0.65034270721284426</v>
      </c>
      <c r="J60" s="181">
        <v>0.63791300023546538</v>
      </c>
      <c r="K60" s="181">
        <v>0.62731174433201342</v>
      </c>
      <c r="L60" s="181">
        <v>0.61368953451723085</v>
      </c>
      <c r="M60" s="181">
        <v>0.60127694272405796</v>
      </c>
      <c r="N60" s="181">
        <v>0.58795163045595511</v>
      </c>
      <c r="O60" s="181">
        <v>0.57280316658113239</v>
      </c>
      <c r="P60" s="181">
        <v>0.5573583013940373</v>
      </c>
      <c r="Q60" s="181">
        <v>0.54094672986300385</v>
      </c>
      <c r="R60" s="181">
        <v>0.53736081995895646</v>
      </c>
      <c r="S60" s="181">
        <v>0.53194517464641822</v>
      </c>
      <c r="T60" s="181">
        <v>0.52684804823437292</v>
      </c>
      <c r="U60" s="181">
        <v>0.52225938826487117</v>
      </c>
      <c r="V60" s="181">
        <v>0.51770937569044662</v>
      </c>
      <c r="W60" s="181">
        <v>0.51549696106751697</v>
      </c>
      <c r="DA60" s="190" t="s">
        <v>951</v>
      </c>
    </row>
    <row r="61" spans="1:105" ht="12" customHeight="1" x14ac:dyDescent="0.25">
      <c r="A61" s="132" t="s">
        <v>100</v>
      </c>
      <c r="B61" s="181"/>
      <c r="C61" s="181">
        <v>183.04392568563421</v>
      </c>
      <c r="D61" s="181">
        <v>180.74773500297678</v>
      </c>
      <c r="E61" s="181">
        <v>177.72000020699264</v>
      </c>
      <c r="F61" s="181">
        <v>174.91971723276654</v>
      </c>
      <c r="G61" s="181">
        <v>171.29017474398228</v>
      </c>
      <c r="H61" s="181">
        <v>168.85759793676857</v>
      </c>
      <c r="I61" s="181">
        <v>165.98190817850207</v>
      </c>
      <c r="J61" s="181">
        <v>163.26135520683778</v>
      </c>
      <c r="K61" s="181">
        <v>160.31436600076611</v>
      </c>
      <c r="L61" s="181">
        <v>157.26762024055915</v>
      </c>
      <c r="M61" s="181">
        <v>153.82896060821079</v>
      </c>
      <c r="N61" s="181">
        <v>148.9361605275727</v>
      </c>
      <c r="O61" s="181">
        <v>143.05724327036478</v>
      </c>
      <c r="P61" s="181">
        <v>136.15966718913532</v>
      </c>
      <c r="Q61" s="181">
        <v>128.48370700109768</v>
      </c>
      <c r="R61" s="181">
        <v>121.19049821074505</v>
      </c>
      <c r="S61" s="181">
        <v>115.57088398455534</v>
      </c>
      <c r="T61" s="181">
        <v>109.96008867259442</v>
      </c>
      <c r="U61" s="181">
        <v>104.34058848085523</v>
      </c>
      <c r="V61" s="181">
        <v>98.710213521585587</v>
      </c>
      <c r="W61" s="181">
        <v>96.479305627824303</v>
      </c>
      <c r="DA61" s="190" t="s">
        <v>952</v>
      </c>
    </row>
    <row r="62" spans="1:105" ht="12" customHeight="1" x14ac:dyDescent="0.25">
      <c r="A62" s="132" t="s">
        <v>140</v>
      </c>
      <c r="B62" s="181"/>
      <c r="C62" s="181">
        <v>50.375764729411337</v>
      </c>
      <c r="D62" s="181">
        <v>48.869807347168312</v>
      </c>
      <c r="E62" s="181">
        <v>47.773385344102607</v>
      </c>
      <c r="F62" s="181">
        <v>46.696696198564574</v>
      </c>
      <c r="G62" s="181">
        <v>45.292472292525481</v>
      </c>
      <c r="H62" s="181">
        <v>44.266564681310207</v>
      </c>
      <c r="I62" s="181">
        <v>43.124965885993227</v>
      </c>
      <c r="J62" s="181">
        <v>41.822012975513061</v>
      </c>
      <c r="K62" s="181">
        <v>40.205379621371101</v>
      </c>
      <c r="L62" s="181">
        <v>38.34972167364144</v>
      </c>
      <c r="M62" s="181">
        <v>36.722417383638259</v>
      </c>
      <c r="N62" s="181">
        <v>34.569557430939966</v>
      </c>
      <c r="O62" s="181">
        <v>32.456359402316188</v>
      </c>
      <c r="P62" s="181">
        <v>30.53217679967694</v>
      </c>
      <c r="Q62" s="181">
        <v>28.115255497395815</v>
      </c>
      <c r="R62" s="181">
        <v>24.230170199413148</v>
      </c>
      <c r="S62" s="181">
        <v>22.711427943229026</v>
      </c>
      <c r="T62" s="181">
        <v>20.585779851037383</v>
      </c>
      <c r="U62" s="181">
        <v>18.894005256531379</v>
      </c>
      <c r="V62" s="181">
        <v>17.428328456123861</v>
      </c>
      <c r="W62" s="181">
        <v>15.549057071660025</v>
      </c>
      <c r="DA62" s="190" t="s">
        <v>953</v>
      </c>
    </row>
    <row r="63" spans="1:105" ht="12" customHeight="1" x14ac:dyDescent="0.25">
      <c r="A63" s="132" t="s">
        <v>181</v>
      </c>
      <c r="B63" s="181"/>
      <c r="C63" s="181">
        <v>659.4199168053625</v>
      </c>
      <c r="D63" s="181">
        <v>642.13262781342291</v>
      </c>
      <c r="E63" s="181">
        <v>633.15387518081161</v>
      </c>
      <c r="F63" s="181">
        <v>624.7869024024003</v>
      </c>
      <c r="G63" s="181">
        <v>616.49222981372577</v>
      </c>
      <c r="H63" s="181">
        <v>604.88696600888102</v>
      </c>
      <c r="I63" s="181">
        <v>591.82478674590004</v>
      </c>
      <c r="J63" s="181">
        <v>577.2795649459988</v>
      </c>
      <c r="K63" s="181">
        <v>561.75564547753197</v>
      </c>
      <c r="L63" s="181">
        <v>544.20701586282871</v>
      </c>
      <c r="M63" s="181">
        <v>530.41907748958272</v>
      </c>
      <c r="N63" s="181">
        <v>525.14376752865212</v>
      </c>
      <c r="O63" s="181">
        <v>512.55282819539752</v>
      </c>
      <c r="P63" s="181">
        <v>496.4298598044756</v>
      </c>
      <c r="Q63" s="181">
        <v>485.90216611730608</v>
      </c>
      <c r="R63" s="181">
        <v>478.66170604779825</v>
      </c>
      <c r="S63" s="181">
        <v>469.58335057860387</v>
      </c>
      <c r="T63" s="181">
        <v>460.84788569845568</v>
      </c>
      <c r="U63" s="181">
        <v>452.66843213774109</v>
      </c>
      <c r="V63" s="181">
        <v>444.56593066720217</v>
      </c>
      <c r="W63" s="181">
        <v>434.0191502770611</v>
      </c>
      <c r="DA63" s="190" t="s">
        <v>954</v>
      </c>
    </row>
    <row r="64" spans="1:105" ht="12" customHeight="1" x14ac:dyDescent="0.25">
      <c r="A64" s="60" t="s">
        <v>99</v>
      </c>
      <c r="B64" s="55"/>
      <c r="C64" s="55">
        <v>46.393318425381004</v>
      </c>
      <c r="D64" s="55">
        <v>46.094330775620101</v>
      </c>
      <c r="E64" s="55">
        <v>45.779224938936721</v>
      </c>
      <c r="F64" s="55">
        <v>45.393228259619626</v>
      </c>
      <c r="G64" s="55">
        <v>44.994516119402334</v>
      </c>
      <c r="H64" s="55">
        <v>44.514011362727523</v>
      </c>
      <c r="I64" s="55">
        <v>44.0288147673973</v>
      </c>
      <c r="J64" s="55">
        <v>43.484601141996045</v>
      </c>
      <c r="K64" s="55">
        <v>42.932640421301727</v>
      </c>
      <c r="L64" s="55">
        <v>42.134647458575884</v>
      </c>
      <c r="M64" s="55">
        <v>41.045101139595459</v>
      </c>
      <c r="N64" s="55">
        <v>39.961947462417562</v>
      </c>
      <c r="O64" s="55">
        <v>39.011529337179333</v>
      </c>
      <c r="P64" s="55">
        <v>38.020563759350217</v>
      </c>
      <c r="Q64" s="55">
        <v>36.866383739234848</v>
      </c>
      <c r="R64" s="55">
        <v>36.402816290987687</v>
      </c>
      <c r="S64" s="55">
        <v>35.838972375386369</v>
      </c>
      <c r="T64" s="55">
        <v>35.311762212373843</v>
      </c>
      <c r="U64" s="55">
        <v>34.807952158846518</v>
      </c>
      <c r="V64" s="55">
        <v>34.308032183018057</v>
      </c>
      <c r="W64" s="55">
        <v>34.035190415801004</v>
      </c>
      <c r="DA64" s="101" t="s">
        <v>955</v>
      </c>
    </row>
    <row r="65" spans="1:105" ht="12" customHeight="1" x14ac:dyDescent="0.25">
      <c r="A65" s="62" t="s">
        <v>98</v>
      </c>
      <c r="B65" s="63"/>
      <c r="C65" s="63">
        <v>362.99998628409003</v>
      </c>
      <c r="D65" s="63">
        <v>349.10716955619915</v>
      </c>
      <c r="E65" s="63">
        <v>334.35514138852903</v>
      </c>
      <c r="F65" s="63">
        <v>319.17110939539657</v>
      </c>
      <c r="G65" s="63">
        <v>305.25857838090582</v>
      </c>
      <c r="H65" s="63">
        <v>288.47085801695937</v>
      </c>
      <c r="I65" s="63">
        <v>273.24197802771948</v>
      </c>
      <c r="J65" s="63">
        <v>254.80846707167495</v>
      </c>
      <c r="K65" s="63">
        <v>236.41473712286589</v>
      </c>
      <c r="L65" s="63">
        <v>212.01015611817678</v>
      </c>
      <c r="M65" s="63">
        <v>200.4815678929439</v>
      </c>
      <c r="N65" s="63">
        <v>189.38777916617443</v>
      </c>
      <c r="O65" s="63">
        <v>182.39542393951473</v>
      </c>
      <c r="P65" s="63">
        <v>169.50234089175439</v>
      </c>
      <c r="Q65" s="63">
        <v>165.95946436239143</v>
      </c>
      <c r="R65" s="63">
        <v>162.26411570136059</v>
      </c>
      <c r="S65" s="63">
        <v>157.95308560804745</v>
      </c>
      <c r="T65" s="63">
        <v>153.74383203779732</v>
      </c>
      <c r="U65" s="63">
        <v>149.74744715523556</v>
      </c>
      <c r="V65" s="63">
        <v>145.78899811179767</v>
      </c>
      <c r="W65" s="63">
        <v>142.94384830708134</v>
      </c>
      <c r="DA65" s="105" t="s">
        <v>956</v>
      </c>
    </row>
    <row r="66" spans="1:105" s="2" customFormat="1" ht="12" customHeight="1" x14ac:dyDescent="0.25">
      <c r="DA66" s="7"/>
    </row>
    <row r="67" spans="1:105" ht="12.95" customHeight="1" x14ac:dyDescent="0.25">
      <c r="A67" s="179" t="s">
        <v>97</v>
      </c>
      <c r="B67" s="187"/>
      <c r="C67" s="187"/>
      <c r="D67" s="187"/>
      <c r="E67" s="187"/>
      <c r="F67" s="187"/>
      <c r="G67" s="187"/>
      <c r="H67" s="187"/>
      <c r="I67" s="187"/>
      <c r="J67" s="187"/>
      <c r="K67" s="187"/>
      <c r="L67" s="187"/>
      <c r="M67" s="187"/>
      <c r="N67" s="187"/>
      <c r="O67" s="187"/>
      <c r="P67" s="187"/>
      <c r="Q67" s="187"/>
      <c r="R67" s="187"/>
      <c r="S67" s="187"/>
      <c r="T67" s="187"/>
      <c r="U67" s="187"/>
      <c r="V67" s="187"/>
      <c r="W67" s="187"/>
      <c r="DA67" s="196"/>
    </row>
    <row r="68" spans="1:105" ht="12" customHeight="1" x14ac:dyDescent="0.25">
      <c r="A68" s="132" t="s">
        <v>96</v>
      </c>
      <c r="B68" s="188">
        <f>1000000*B20/SER_summary!B$8</f>
        <v>335.1555704709134</v>
      </c>
      <c r="C68" s="188">
        <f>1000000*C20/SER_summary!C$8</f>
        <v>344.33346552118974</v>
      </c>
      <c r="D68" s="188">
        <f>1000000*D20/SER_summary!D$8</f>
        <v>353.34940548161535</v>
      </c>
      <c r="E68" s="188">
        <f>1000000*E20/SER_summary!E$8</f>
        <v>362.23683228127987</v>
      </c>
      <c r="F68" s="188">
        <f>1000000*F20/SER_summary!F$8</f>
        <v>371.16826482987591</v>
      </c>
      <c r="G68" s="188">
        <f>1000000*G20/SER_summary!G$8</f>
        <v>380.10541240311187</v>
      </c>
      <c r="H68" s="188">
        <f>1000000*H20/SER_summary!H$8</f>
        <v>388.76734539838816</v>
      </c>
      <c r="I68" s="188">
        <f>1000000*I20/SER_summary!I$8</f>
        <v>397.53757404986209</v>
      </c>
      <c r="J68" s="188">
        <f>1000000*J20/SER_summary!J$8</f>
        <v>406.01620959007477</v>
      </c>
      <c r="K68" s="188">
        <f>1000000*K20/SER_summary!K$8</f>
        <v>414.42585031687145</v>
      </c>
      <c r="L68" s="188">
        <f>1000000*L20/SER_summary!L$8</f>
        <v>423.0963121826847</v>
      </c>
      <c r="M68" s="188">
        <f>1000000*M20/SER_summary!M$8</f>
        <v>431.85503424575739</v>
      </c>
      <c r="N68" s="188">
        <f>1000000*N20/SER_summary!N$8</f>
        <v>440.87865489330608</v>
      </c>
      <c r="O68" s="188">
        <f>1000000*O20/SER_summary!O$8</f>
        <v>450.19503946529812</v>
      </c>
      <c r="P68" s="188">
        <f>1000000*P20/SER_summary!P$8</f>
        <v>459.97732600315982</v>
      </c>
      <c r="Q68" s="188">
        <f>1000000*Q20/SER_summary!Q$8</f>
        <v>470.23413423452843</v>
      </c>
      <c r="R68" s="188">
        <f>1000000*R20/SER_summary!R$8</f>
        <v>483.85066520196114</v>
      </c>
      <c r="S68" s="188">
        <f>1000000*S20/SER_summary!S$8</f>
        <v>497.52973651808378</v>
      </c>
      <c r="T68" s="188">
        <f>1000000*T20/SER_summary!T$8</f>
        <v>510.94058938714596</v>
      </c>
      <c r="U68" s="188">
        <f>1000000*U20/SER_summary!U$8</f>
        <v>523.88261402145736</v>
      </c>
      <c r="V68" s="188">
        <f>1000000*V20/SER_summary!V$8</f>
        <v>535.98240371756879</v>
      </c>
      <c r="W68" s="188">
        <f>1000000*W20/SER_summary!W$8</f>
        <v>546.92041606786586</v>
      </c>
      <c r="DA68" s="197" t="s">
        <v>957</v>
      </c>
    </row>
    <row r="69" spans="1:105" ht="12" customHeight="1" x14ac:dyDescent="0.25">
      <c r="A69" s="132" t="s">
        <v>95</v>
      </c>
      <c r="B69" s="188">
        <f>1000*B21/SER_summary!B$3</f>
        <v>0.23539302131683329</v>
      </c>
      <c r="C69" s="188">
        <f>1000*C21/SER_summary!C$3</f>
        <v>0.23958820601219835</v>
      </c>
      <c r="D69" s="188">
        <f>1000*D21/SER_summary!D$3</f>
        <v>0.24403528963407195</v>
      </c>
      <c r="E69" s="188">
        <f>1000*E21/SER_summary!E$3</f>
        <v>0.25001879480635592</v>
      </c>
      <c r="F69" s="188">
        <f>1000*F21/SER_summary!F$3</f>
        <v>0.25723098073483835</v>
      </c>
      <c r="G69" s="188">
        <f>1000*G21/SER_summary!G$3</f>
        <v>0.26317312932771414</v>
      </c>
      <c r="H69" s="188">
        <f>1000*H21/SER_summary!H$3</f>
        <v>0.27007978847067454</v>
      </c>
      <c r="I69" s="188">
        <f>1000*I21/SER_summary!I$3</f>
        <v>0.27594836936511058</v>
      </c>
      <c r="J69" s="188">
        <f>1000*J21/SER_summary!J$3</f>
        <v>0.28032745005236342</v>
      </c>
      <c r="K69" s="188">
        <f>1000*K21/SER_summary!K$3</f>
        <v>0.2850424021871939</v>
      </c>
      <c r="L69" s="188">
        <f>1000*L21/SER_summary!L$3</f>
        <v>0.28995522669404661</v>
      </c>
      <c r="M69" s="188">
        <f>1000*M21/SER_summary!M$3</f>
        <v>0.29356599673225414</v>
      </c>
      <c r="N69" s="188">
        <f>1000*N21/SER_summary!N$3</f>
        <v>0.29751115901563541</v>
      </c>
      <c r="O69" s="188">
        <f>1000*O21/SER_summary!O$3</f>
        <v>0.30748148158694344</v>
      </c>
      <c r="P69" s="188">
        <f>1000*P21/SER_summary!P$3</f>
        <v>0.3228100548227717</v>
      </c>
      <c r="Q69" s="188">
        <f>1000*Q21/SER_summary!Q$3</f>
        <v>0.34168248458805983</v>
      </c>
      <c r="R69" s="188">
        <f>1000*R21/SER_summary!R$3</f>
        <v>0.34814410056346667</v>
      </c>
      <c r="S69" s="188">
        <f>1000*S21/SER_summary!S$3</f>
        <v>0.35402288946241128</v>
      </c>
      <c r="T69" s="188">
        <f>1000*T21/SER_summary!T$3</f>
        <v>0.35845535947018042</v>
      </c>
      <c r="U69" s="188">
        <f>1000*U21/SER_summary!U$3</f>
        <v>0.36143077216105646</v>
      </c>
      <c r="V69" s="188">
        <f>1000*V21/SER_summary!V$3</f>
        <v>0.36328535589111299</v>
      </c>
      <c r="W69" s="188">
        <f>1000*W21/SER_summary!W$3</f>
        <v>0.36547318910369436</v>
      </c>
      <c r="DA69" s="197" t="s">
        <v>958</v>
      </c>
    </row>
    <row r="70" spans="1:105" ht="12" customHeight="1" x14ac:dyDescent="0.25">
      <c r="A70" s="132" t="s">
        <v>141</v>
      </c>
      <c r="B70" s="188">
        <f>1000000*B22/SER_summary!B$8</f>
        <v>144.86625132335141</v>
      </c>
      <c r="C70" s="188">
        <f>1000000*C22/SER_summary!C$8</f>
        <v>145.61871337977709</v>
      </c>
      <c r="D70" s="188">
        <f>1000000*D22/SER_summary!D$8</f>
        <v>147.07974518933534</v>
      </c>
      <c r="E70" s="188">
        <f>1000000*E22/SER_summary!E$8</f>
        <v>148.43225118292619</v>
      </c>
      <c r="F70" s="188">
        <f>1000000*F22/SER_summary!F$8</f>
        <v>150.94281621366599</v>
      </c>
      <c r="G70" s="188">
        <f>1000000*G22/SER_summary!G$8</f>
        <v>153.38467194811943</v>
      </c>
      <c r="H70" s="188">
        <f>1000000*H22/SER_summary!H$8</f>
        <v>155.45977196040755</v>
      </c>
      <c r="I70" s="188">
        <f>1000000*I22/SER_summary!I$8</f>
        <v>158.2359423127881</v>
      </c>
      <c r="J70" s="188">
        <f>1000000*J22/SER_summary!J$8</f>
        <v>161.80634217138959</v>
      </c>
      <c r="K70" s="188">
        <f>1000000*K22/SER_summary!K$8</f>
        <v>164.92749041669703</v>
      </c>
      <c r="L70" s="188">
        <f>1000000*L22/SER_summary!L$8</f>
        <v>169.41259104671951</v>
      </c>
      <c r="M70" s="188">
        <f>1000000*M22/SER_summary!M$8</f>
        <v>174.60492717490229</v>
      </c>
      <c r="N70" s="188">
        <f>1000000*N22/SER_summary!N$8</f>
        <v>181.20579131541817</v>
      </c>
      <c r="O70" s="188">
        <f>1000000*O22/SER_summary!O$8</f>
        <v>189.10434669944635</v>
      </c>
      <c r="P70" s="188">
        <f>1000000*P22/SER_summary!P$8</f>
        <v>198.47347668680428</v>
      </c>
      <c r="Q70" s="188">
        <f>1000000*Q22/SER_summary!Q$8</f>
        <v>210.37343416841244</v>
      </c>
      <c r="R70" s="188">
        <f>1000000*R22/SER_summary!R$8</f>
        <v>216.54862176170153</v>
      </c>
      <c r="S70" s="188">
        <f>1000000*S22/SER_summary!S$8</f>
        <v>222.81772307602694</v>
      </c>
      <c r="T70" s="188">
        <f>1000000*T22/SER_summary!T$8</f>
        <v>228.77930722168725</v>
      </c>
      <c r="U70" s="188">
        <f>1000000*U22/SER_summary!U$8</f>
        <v>234.18787836823219</v>
      </c>
      <c r="V70" s="188">
        <f>1000000*V22/SER_summary!V$8</f>
        <v>238.58592450484406</v>
      </c>
      <c r="W70" s="188">
        <f>1000000*W22/SER_summary!W$8</f>
        <v>241.14988981041751</v>
      </c>
      <c r="DA70" s="197" t="s">
        <v>959</v>
      </c>
    </row>
    <row r="71" spans="1:105" ht="12" customHeight="1" x14ac:dyDescent="0.25">
      <c r="A71" s="132" t="s">
        <v>182</v>
      </c>
      <c r="B71" s="188">
        <f>1000*B23/SER_summary!B$3</f>
        <v>2.6428513317755652E-2</v>
      </c>
      <c r="C71" s="188">
        <f>1000*C23/SER_summary!C$3</f>
        <v>2.6874491972959734E-2</v>
      </c>
      <c r="D71" s="188">
        <f>1000*D23/SER_summary!D$3</f>
        <v>2.7368068613192135E-2</v>
      </c>
      <c r="E71" s="188">
        <f>1000*E23/SER_summary!E$3</f>
        <v>2.779218197926971E-2</v>
      </c>
      <c r="F71" s="188">
        <f>1000*F23/SER_summary!F$3</f>
        <v>2.8102920033128944E-2</v>
      </c>
      <c r="G71" s="188">
        <f>1000*G23/SER_summary!G$3</f>
        <v>2.8710737923356454E-2</v>
      </c>
      <c r="H71" s="188">
        <f>1000*H23/SER_summary!H$3</f>
        <v>2.9539541208710451E-2</v>
      </c>
      <c r="I71" s="188">
        <f>1000*I23/SER_summary!I$3</f>
        <v>3.0456277989161323E-2</v>
      </c>
      <c r="J71" s="188">
        <f>1000*J23/SER_summary!J$3</f>
        <v>3.1302219649930074E-2</v>
      </c>
      <c r="K71" s="188">
        <f>1000*K23/SER_summary!K$3</f>
        <v>3.2199698365930972E-2</v>
      </c>
      <c r="L71" s="188">
        <f>1000*L23/SER_summary!L$3</f>
        <v>3.2903830831184908E-2</v>
      </c>
      <c r="M71" s="188">
        <f>1000*M23/SER_summary!M$3</f>
        <v>3.3448193935526491E-2</v>
      </c>
      <c r="N71" s="188">
        <f>1000*N23/SER_summary!N$3</f>
        <v>3.405383319191619E-2</v>
      </c>
      <c r="O71" s="188">
        <f>1000*O23/SER_summary!O$3</f>
        <v>3.4672508464393875E-2</v>
      </c>
      <c r="P71" s="188">
        <f>1000*P23/SER_summary!P$3</f>
        <v>3.5345266208336217E-2</v>
      </c>
      <c r="Q71" s="188">
        <f>1000*Q23/SER_summary!Q$3</f>
        <v>3.6309530067613408E-2</v>
      </c>
      <c r="R71" s="188">
        <f>1000*R23/SER_summary!R$3</f>
        <v>3.6939063899085758E-2</v>
      </c>
      <c r="S71" s="188">
        <f>1000*S23/SER_summary!S$3</f>
        <v>3.7504195705915531E-2</v>
      </c>
      <c r="T71" s="188">
        <f>1000*T23/SER_summary!T$3</f>
        <v>3.792782493702531E-2</v>
      </c>
      <c r="U71" s="188">
        <f>1000*U23/SER_summary!U$3</f>
        <v>3.8217418993719582E-2</v>
      </c>
      <c r="V71" s="188">
        <f>1000*V23/SER_summary!V$3</f>
        <v>3.8423714453617412E-2</v>
      </c>
      <c r="W71" s="188">
        <f>1000*W23/SER_summary!W$3</f>
        <v>3.8717068003054363E-2</v>
      </c>
      <c r="DA71" s="197" t="s">
        <v>960</v>
      </c>
    </row>
    <row r="72" spans="1:105" ht="12" customHeight="1" x14ac:dyDescent="0.25">
      <c r="A72" s="60" t="s">
        <v>94</v>
      </c>
      <c r="B72" s="188">
        <f>1000000*B24/SER_summary!B$8</f>
        <v>100.55417414261881</v>
      </c>
      <c r="C72" s="188">
        <f>1000000*C24/SER_summary!C$8</f>
        <v>105.85984077359528</v>
      </c>
      <c r="D72" s="188">
        <f>1000000*D24/SER_summary!D$8</f>
        <v>112.89892302003153</v>
      </c>
      <c r="E72" s="188">
        <f>1000000*E24/SER_summary!E$8</f>
        <v>118.88147160954091</v>
      </c>
      <c r="F72" s="188">
        <f>1000000*F24/SER_summary!F$8</f>
        <v>125.08348357658808</v>
      </c>
      <c r="G72" s="188">
        <f>1000000*G24/SER_summary!G$8</f>
        <v>130.12527096734053</v>
      </c>
      <c r="H72" s="188">
        <f>1000000*H24/SER_summary!H$8</f>
        <v>134.72113610007767</v>
      </c>
      <c r="I72" s="188">
        <f>1000000*I24/SER_summary!I$8</f>
        <v>140.00676876213785</v>
      </c>
      <c r="J72" s="188">
        <f>1000000*J24/SER_summary!J$8</f>
        <v>145.13831735715596</v>
      </c>
      <c r="K72" s="188">
        <f>1000000*K24/SER_summary!K$8</f>
        <v>149.42794001427851</v>
      </c>
      <c r="L72" s="188">
        <f>1000000*L24/SER_summary!L$8</f>
        <v>153.0384055650072</v>
      </c>
      <c r="M72" s="188">
        <f>1000000*M24/SER_summary!M$8</f>
        <v>157.56137000158199</v>
      </c>
      <c r="N72" s="188">
        <f>1000000*N24/SER_summary!N$8</f>
        <v>160.97204731105072</v>
      </c>
      <c r="O72" s="188">
        <f>1000000*O24/SER_summary!O$8</f>
        <v>163.15807167264887</v>
      </c>
      <c r="P72" s="188">
        <f>1000000*P24/SER_summary!P$8</f>
        <v>165.33744695160172</v>
      </c>
      <c r="Q72" s="188">
        <f>1000000*Q24/SER_summary!Q$8</f>
        <v>166.73159463258997</v>
      </c>
      <c r="R72" s="188">
        <f>1000000*R24/SER_summary!R$8</f>
        <v>173.64232699636713</v>
      </c>
      <c r="S72" s="188">
        <f>1000000*S24/SER_summary!S$8</f>
        <v>180.60301203187444</v>
      </c>
      <c r="T72" s="188">
        <f>1000000*T24/SER_summary!T$8</f>
        <v>187.34946372333707</v>
      </c>
      <c r="U72" s="188">
        <f>1000000*U24/SER_summary!U$8</f>
        <v>193.72144959556613</v>
      </c>
      <c r="V72" s="188">
        <f>1000000*V24/SER_summary!V$8</f>
        <v>199.42071959288754</v>
      </c>
      <c r="W72" s="188">
        <f>1000000*W24/SER_summary!W$8</f>
        <v>204.14642775594143</v>
      </c>
      <c r="DA72" s="197" t="s">
        <v>961</v>
      </c>
    </row>
    <row r="73" spans="1:105" ht="12" customHeight="1" x14ac:dyDescent="0.25">
      <c r="A73" s="62" t="s">
        <v>93</v>
      </c>
      <c r="B73" s="52">
        <f>1000*B25/SER_summary!B$3</f>
        <v>7.5824045811798024E-2</v>
      </c>
      <c r="C73" s="52">
        <f>1000*C25/SER_summary!C$3</f>
        <v>8.9521483952298281E-2</v>
      </c>
      <c r="D73" s="52">
        <f>1000*D25/SER_summary!D$3</f>
        <v>0.1063009073781329</v>
      </c>
      <c r="E73" s="52">
        <f>1000*E25/SER_summary!E$3</f>
        <v>0.12179138492522587</v>
      </c>
      <c r="F73" s="52">
        <f>1000*F25/SER_summary!F$3</f>
        <v>0.1390245283512615</v>
      </c>
      <c r="G73" s="52">
        <f>1000*G25/SER_summary!G$3</f>
        <v>0.15277297707567541</v>
      </c>
      <c r="H73" s="52">
        <f>1000*H25/SER_summary!H$3</f>
        <v>0.16552061180603414</v>
      </c>
      <c r="I73" s="52">
        <f>1000*I25/SER_summary!I$3</f>
        <v>0.17482242961901934</v>
      </c>
      <c r="J73" s="52">
        <f>1000*J25/SER_summary!J$3</f>
        <v>0.18472031956490365</v>
      </c>
      <c r="K73" s="52">
        <f>1000*K25/SER_summary!K$3</f>
        <v>0.19435542228702982</v>
      </c>
      <c r="L73" s="52">
        <f>1000*L25/SER_summary!L$3</f>
        <v>0.20383903577726559</v>
      </c>
      <c r="M73" s="52">
        <f>1000*M25/SER_summary!M$3</f>
        <v>0.21622912256804142</v>
      </c>
      <c r="N73" s="52">
        <f>1000*N25/SER_summary!N$3</f>
        <v>0.2347861441303622</v>
      </c>
      <c r="O73" s="52">
        <f>1000*O25/SER_summary!O$3</f>
        <v>0.25763277061210937</v>
      </c>
      <c r="P73" s="52">
        <f>1000*P25/SER_summary!P$3</f>
        <v>0.2920488050402229</v>
      </c>
      <c r="Q73" s="52">
        <f>1000*Q25/SER_summary!Q$3</f>
        <v>0.33558949110789071</v>
      </c>
      <c r="R73" s="52">
        <f>1000*R25/SER_summary!R$3</f>
        <v>0.35016613749274467</v>
      </c>
      <c r="S73" s="52">
        <f>1000*S25/SER_summary!S$3</f>
        <v>0.36422168327458054</v>
      </c>
      <c r="T73" s="52">
        <f>1000*T25/SER_summary!T$3</f>
        <v>0.37669956378989949</v>
      </c>
      <c r="U73" s="52">
        <f>1000*U25/SER_summary!U$3</f>
        <v>0.38745637042082015</v>
      </c>
      <c r="V73" s="52">
        <f>1000*V25/SER_summary!V$3</f>
        <v>0.39670311303114425</v>
      </c>
      <c r="W73" s="52">
        <f>1000*W25/SER_summary!W$3</f>
        <v>0.4061799181591807</v>
      </c>
      <c r="DA73" s="98" t="s">
        <v>962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  <ignoredErrors>
    <ignoredError sqref="B13:W15 B69:W71 B16:W16 B72:Q72 R72:W72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'SER_se-appl'!B4</f>
        <v>3.2487974911147277</v>
      </c>
      <c r="C3" s="199">
        <f>'SER_se-appl'!C4</f>
        <v>3.3726122710078057</v>
      </c>
      <c r="D3" s="199">
        <f>'SER_se-appl'!D4</f>
        <v>3.4776566277452439</v>
      </c>
      <c r="E3" s="199">
        <f>'SER_se-appl'!E4</f>
        <v>3.5887139191253072</v>
      </c>
      <c r="F3" s="199">
        <f>'SER_se-appl'!F4</f>
        <v>3.7170904845577972</v>
      </c>
      <c r="G3" s="199">
        <f>'SER_se-appl'!G4</f>
        <v>3.8473462590642424</v>
      </c>
      <c r="H3" s="199">
        <f>'SER_se-appl'!H4</f>
        <v>3.9706881278930748</v>
      </c>
      <c r="I3" s="199">
        <f>'SER_se-appl'!I4</f>
        <v>4.1108863078586317</v>
      </c>
      <c r="J3" s="199">
        <f>'SER_se-appl'!J4</f>
        <v>4.2445974910889799</v>
      </c>
      <c r="K3" s="199">
        <f>'SER_se-appl'!K4</f>
        <v>4.4067219760632534</v>
      </c>
      <c r="L3" s="199">
        <f>'SER_se-appl'!L4</f>
        <v>4.5786079659324299</v>
      </c>
      <c r="M3" s="199">
        <f>'SER_se-appl'!M4</f>
        <v>4.7080010523458666</v>
      </c>
      <c r="N3" s="199">
        <f>'SER_se-appl'!N4</f>
        <v>4.8383430883806362</v>
      </c>
      <c r="O3" s="199">
        <f>'SER_se-appl'!O4</f>
        <v>4.872018164382955</v>
      </c>
      <c r="P3" s="199">
        <f>'SER_se-appl'!P4</f>
        <v>4.858306796795838</v>
      </c>
      <c r="Q3" s="199">
        <f>'SER_se-appl'!Q4</f>
        <v>4.8545040126950632</v>
      </c>
      <c r="R3" s="199">
        <f>'SER_se-appl'!R4</f>
        <v>4.9368880187903299</v>
      </c>
      <c r="S3" s="199">
        <f>'SER_se-appl'!S4</f>
        <v>5.0409654445190206</v>
      </c>
      <c r="T3" s="199">
        <f>'SER_se-appl'!T4</f>
        <v>5.1405444799637712</v>
      </c>
      <c r="U3" s="199">
        <f>'SER_se-appl'!U4</f>
        <v>5.2430328432244107</v>
      </c>
      <c r="V3" s="199">
        <f>'SER_se-appl'!V4</f>
        <v>5.3359919106991898</v>
      </c>
      <c r="W3" s="199">
        <f>'SER_se-appl'!W4</f>
        <v>5.4174191483167098</v>
      </c>
      <c r="DA3" s="206" t="s">
        <v>908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'SER_se-appl'!B12</f>
        <v>4.3131866234776588</v>
      </c>
      <c r="C5" s="59">
        <f>'SER_se-appl'!C12</f>
        <v>4.4775662913037433</v>
      </c>
      <c r="D5" s="59">
        <f>'SER_se-appl'!D12</f>
        <v>4.6170258653741083</v>
      </c>
      <c r="E5" s="59">
        <f>'SER_se-appl'!E12</f>
        <v>4.7644683652314308</v>
      </c>
      <c r="F5" s="59">
        <f>'SER_se-appl'!F12</f>
        <v>4.9349043761880358</v>
      </c>
      <c r="G5" s="59">
        <f>'SER_se-appl'!G12</f>
        <v>5.1078352731640564</v>
      </c>
      <c r="H5" s="59">
        <f>'SER_se-appl'!H12</f>
        <v>5.2715870921685477</v>
      </c>
      <c r="I5" s="59">
        <f>'SER_se-appl'!I12</f>
        <v>5.4577177808671093</v>
      </c>
      <c r="J5" s="59">
        <f>'SER_se-appl'!J12</f>
        <v>5.6352361668224722</v>
      </c>
      <c r="K5" s="59">
        <f>'SER_se-appl'!K12</f>
        <v>5.8504767787232455</v>
      </c>
      <c r="L5" s="59">
        <f>'SER_se-appl'!L12</f>
        <v>6.0786770141317543</v>
      </c>
      <c r="M5" s="59">
        <f>'SER_se-appl'!M12</f>
        <v>6.2504625843358941</v>
      </c>
      <c r="N5" s="59">
        <f>'SER_se-appl'!N12</f>
        <v>6.423508004322696</v>
      </c>
      <c r="O5" s="59">
        <f>'SER_se-appl'!O12</f>
        <v>6.4682158963212082</v>
      </c>
      <c r="P5" s="59">
        <f>'SER_se-appl'!P12</f>
        <v>6.4500123341022411</v>
      </c>
      <c r="Q5" s="59">
        <f>'SER_se-appl'!Q12</f>
        <v>6.4449636606899094</v>
      </c>
      <c r="R5" s="59">
        <f>'SER_se-appl'!R12</f>
        <v>6.5543387738049725</v>
      </c>
      <c r="S5" s="59">
        <f>'SER_se-appl'!S12</f>
        <v>6.6925146255429491</v>
      </c>
      <c r="T5" s="59">
        <f>'SER_se-appl'!T12</f>
        <v>6.824718299312635</v>
      </c>
      <c r="U5" s="59">
        <f>'SER_se-appl'!U12</f>
        <v>6.9607844710844624</v>
      </c>
      <c r="V5" s="59">
        <f>'SER_se-appl'!V12</f>
        <v>7.084199306099495</v>
      </c>
      <c r="W5" s="59">
        <f>'SER_se-appl'!W12</f>
        <v>7.1923041889181869</v>
      </c>
      <c r="DA5" s="104" t="s">
        <v>915</v>
      </c>
    </row>
    <row r="6" spans="1:105" ht="12" customHeight="1" x14ac:dyDescent="0.25">
      <c r="A6" s="201" t="str">
        <f>"Penetration factor "&amp;MID('SER_se-appl'!A68,FIND("(",'SER_se-appl'!A68),100)</f>
        <v>Penetration factor (sqm per building cell)</v>
      </c>
      <c r="B6" s="202">
        <f>'SER_se-appl'!B68</f>
        <v>335.1555704709134</v>
      </c>
      <c r="C6" s="202">
        <f>'SER_se-appl'!C68</f>
        <v>344.33346552118974</v>
      </c>
      <c r="D6" s="202">
        <f>'SER_se-appl'!D68</f>
        <v>353.34940548161535</v>
      </c>
      <c r="E6" s="202">
        <f>'SER_se-appl'!E68</f>
        <v>362.23683228127987</v>
      </c>
      <c r="F6" s="202">
        <f>'SER_se-appl'!F68</f>
        <v>371.16826482987591</v>
      </c>
      <c r="G6" s="202">
        <f>'SER_se-appl'!G68</f>
        <v>380.10541240311187</v>
      </c>
      <c r="H6" s="202">
        <f>'SER_se-appl'!H68</f>
        <v>388.76734539838816</v>
      </c>
      <c r="I6" s="202">
        <f>'SER_se-appl'!I68</f>
        <v>397.53757404986209</v>
      </c>
      <c r="J6" s="202">
        <f>'SER_se-appl'!J68</f>
        <v>406.01620959007477</v>
      </c>
      <c r="K6" s="202">
        <f>'SER_se-appl'!K68</f>
        <v>414.42585031687145</v>
      </c>
      <c r="L6" s="202">
        <f>'SER_se-appl'!L68</f>
        <v>423.0963121826847</v>
      </c>
      <c r="M6" s="202">
        <f>'SER_se-appl'!M68</f>
        <v>431.85503424575739</v>
      </c>
      <c r="N6" s="202">
        <f>'SER_se-appl'!N68</f>
        <v>440.87865489330608</v>
      </c>
      <c r="O6" s="202">
        <f>'SER_se-appl'!O68</f>
        <v>450.19503946529812</v>
      </c>
      <c r="P6" s="202">
        <f>'SER_se-appl'!P68</f>
        <v>459.97732600315982</v>
      </c>
      <c r="Q6" s="202">
        <f>'SER_se-appl'!Q68</f>
        <v>470.23413423452843</v>
      </c>
      <c r="R6" s="202">
        <f>'SER_se-appl'!R68</f>
        <v>483.85066520196114</v>
      </c>
      <c r="S6" s="202">
        <f>'SER_se-appl'!S68</f>
        <v>497.52973651808378</v>
      </c>
      <c r="T6" s="202">
        <f>'SER_se-appl'!T68</f>
        <v>510.94058938714596</v>
      </c>
      <c r="U6" s="202">
        <f>'SER_se-appl'!U68</f>
        <v>523.88261402145736</v>
      </c>
      <c r="V6" s="202">
        <f>'SER_se-appl'!V68</f>
        <v>535.98240371756879</v>
      </c>
      <c r="W6" s="202">
        <f>'SER_se-appl'!W68</f>
        <v>546.92041606786586</v>
      </c>
      <c r="DA6" s="207" t="s">
        <v>957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"&amp;MID('SER_se-appl'!A20,FIND("(",'SER_se-appl'!A20),100)</f>
        <v>Stock of appliances (serviced million m2)</v>
      </c>
      <c r="B8" s="34">
        <f>'SER_se-appl'!B20</f>
        <v>5.4548884916715261</v>
      </c>
      <c r="C8" s="34">
        <f>'SER_se-appl'!C20</f>
        <v>5.7167338402517514</v>
      </c>
      <c r="D8" s="34">
        <f>'SER_se-appl'!D20</f>
        <v>5.9500912416338991</v>
      </c>
      <c r="E8" s="34">
        <f>'SER_se-appl'!E20</f>
        <v>6.2020763321838279</v>
      </c>
      <c r="F8" s="34">
        <f>'SER_se-appl'!F20</f>
        <v>6.49592189164205</v>
      </c>
      <c r="G8" s="34">
        <f>'SER_se-appl'!G20</f>
        <v>6.8024671486914547</v>
      </c>
      <c r="H8" s="34">
        <f>'SER_se-appl'!H20</f>
        <v>7.10435257986647</v>
      </c>
      <c r="I8" s="34">
        <f>'SER_se-appl'!I20</f>
        <v>7.4509218923364751</v>
      </c>
      <c r="J8" s="34">
        <f>'SER_se-appl'!J20</f>
        <v>7.7980881629467058</v>
      </c>
      <c r="K8" s="34">
        <f>'SER_se-appl'!K20</f>
        <v>8.2182338888537618</v>
      </c>
      <c r="L8" s="34">
        <f>'SER_se-appl'!L20</f>
        <v>8.6778008703712661</v>
      </c>
      <c r="M8" s="34">
        <f>'SER_se-appl'!M20</f>
        <v>9.0620181814341247</v>
      </c>
      <c r="N8" s="34">
        <f>'SER_se-appl'!N20</f>
        <v>9.4672236839454982</v>
      </c>
      <c r="O8" s="34">
        <f>'SER_se-appl'!O20</f>
        <v>9.6710575933598903</v>
      </c>
      <c r="P8" s="34">
        <f>'SER_se-appl'!P20</f>
        <v>9.780743866211159</v>
      </c>
      <c r="Q8" s="34">
        <f>'SER_se-appl'!Q20</f>
        <v>9.9328317572154177</v>
      </c>
      <c r="R8" s="34">
        <f>'SER_se-appl'!R20</f>
        <v>10.305866615675946</v>
      </c>
      <c r="S8" s="34">
        <f>'SER_se-appl'!S20</f>
        <v>10.745448295790933</v>
      </c>
      <c r="T8" s="34">
        <f>'SER_se-appl'!T20</f>
        <v>11.186760590826797</v>
      </c>
      <c r="U8" s="34">
        <f>'SER_se-appl'!U20</f>
        <v>11.621807004664129</v>
      </c>
      <c r="V8" s="34">
        <f>'SER_se-appl'!V20</f>
        <v>12.02450200048983</v>
      </c>
      <c r="W8" s="34">
        <f>'SER_se-appl'!W20</f>
        <v>12.401803561662049</v>
      </c>
      <c r="DA8" s="88" t="s">
        <v>921</v>
      </c>
    </row>
    <row r="9" spans="1:105" ht="12.95" customHeight="1" x14ac:dyDescent="0.25">
      <c r="A9" s="203" t="str">
        <f>"Number of new appliances "&amp;MID('SER_se-appl'!A28,FIND("(",'SER_se-appl'!A28),100)</f>
        <v>Number of new appliances (serviced million m2)</v>
      </c>
      <c r="B9" s="36"/>
      <c r="C9" s="36">
        <f>'SER_se-appl'!C28</f>
        <v>0.49844201167578372</v>
      </c>
      <c r="D9" s="36">
        <f>'SER_se-appl'!D28</f>
        <v>0.47664634170226172</v>
      </c>
      <c r="E9" s="36">
        <f>'SER_se-appl'!E28</f>
        <v>0.50215560313310093</v>
      </c>
      <c r="F9" s="36">
        <f>'SER_se-appl'!F28</f>
        <v>0.55109229366561685</v>
      </c>
      <c r="G9" s="36">
        <f>'SER_se-appl'!G28</f>
        <v>0.57106836801504723</v>
      </c>
      <c r="H9" s="36">
        <f>'SER_se-appl'!H28</f>
        <v>0.57389073553984726</v>
      </c>
      <c r="I9" s="36">
        <f>'SER_se-appl'!I28</f>
        <v>0.62626844852097463</v>
      </c>
      <c r="J9" s="36">
        <f>'SER_se-appl'!J28</f>
        <v>0.6347768629490087</v>
      </c>
      <c r="K9" s="36">
        <f>'SER_se-appl'!K28</f>
        <v>0.7158915547765039</v>
      </c>
      <c r="L9" s="36">
        <f>'SER_se-appl'!L28</f>
        <v>0.76367815691764651</v>
      </c>
      <c r="M9" s="36">
        <f>'SER_se-appl'!M28</f>
        <v>0.69693045179182356</v>
      </c>
      <c r="N9" s="36">
        <f>'SER_se-appl'!N28</f>
        <v>0.72676392027061709</v>
      </c>
      <c r="O9" s="36">
        <f>'SER_se-appl'!O28</f>
        <v>0.53448779812144487</v>
      </c>
      <c r="P9" s="36">
        <f>'SER_se-appl'!P28</f>
        <v>0.44969290330730871</v>
      </c>
      <c r="Q9" s="36">
        <f>'SER_se-appl'!Q28</f>
        <v>0.50171181106797036</v>
      </c>
      <c r="R9" s="36">
        <f>'SER_se-appl'!R28</f>
        <v>0.73254809888400096</v>
      </c>
      <c r="S9" s="36">
        <f>'SER_se-appl'!S28</f>
        <v>0.8092639662017973</v>
      </c>
      <c r="T9" s="36">
        <f>'SER_se-appl'!T28</f>
        <v>0.82145126428604165</v>
      </c>
      <c r="U9" s="36">
        <f>'SER_se-appl'!U28</f>
        <v>0.93348842551311684</v>
      </c>
      <c r="V9" s="36">
        <f>'SER_se-appl'!V28</f>
        <v>0.87934133752796306</v>
      </c>
      <c r="W9" s="36">
        <f>'SER_se-appl'!W28</f>
        <v>0.87945716430531995</v>
      </c>
      <c r="DA9" s="89" t="s">
        <v>927</v>
      </c>
    </row>
    <row r="10" spans="1:105" ht="12" customHeight="1" x14ac:dyDescent="0.25">
      <c r="A10" s="204" t="str">
        <f>"Number of replaced appliances "&amp;MID('SER_se-appl'!A36,FIND("(",'SER_se-appl'!A36),100)</f>
        <v>Number of replaced appliances (serviced million m2)</v>
      </c>
      <c r="B10" s="38"/>
      <c r="C10" s="38">
        <f>'SER_se-appl'!C36</f>
        <v>0.23659666309555849</v>
      </c>
      <c r="D10" s="38">
        <f>'SER_se-appl'!D36</f>
        <v>0.24328894032011394</v>
      </c>
      <c r="E10" s="38">
        <f>'SER_se-appl'!E36</f>
        <v>0.25017051258317213</v>
      </c>
      <c r="F10" s="38">
        <f>'SER_se-appl'!F36</f>
        <v>0.25724673420739474</v>
      </c>
      <c r="G10" s="38">
        <f>'SER_se-appl'!G36</f>
        <v>0.26452311096564252</v>
      </c>
      <c r="H10" s="38">
        <f>'SER_se-appl'!H36</f>
        <v>0.27200530436483206</v>
      </c>
      <c r="I10" s="38">
        <f>'SER_se-appl'!I36</f>
        <v>0.27969913605096952</v>
      </c>
      <c r="J10" s="38">
        <f>'SER_se-appl'!J36</f>
        <v>0.28761059233877884</v>
      </c>
      <c r="K10" s="38">
        <f>'SER_se-appl'!K36</f>
        <v>0.29574582886944789</v>
      </c>
      <c r="L10" s="38">
        <f>'SER_se-appl'!L36</f>
        <v>0.3041111754001431</v>
      </c>
      <c r="M10" s="38">
        <f>'SER_se-appl'!M36</f>
        <v>0.31271314072896494</v>
      </c>
      <c r="N10" s="38">
        <f>'SER_se-appl'!N36</f>
        <v>0.32155841775924365</v>
      </c>
      <c r="O10" s="38">
        <f>'SER_se-appl'!O36</f>
        <v>0.3306538887070527</v>
      </c>
      <c r="P10" s="38">
        <f>'SER_se-appl'!P36</f>
        <v>0.34000663045604007</v>
      </c>
      <c r="Q10" s="38">
        <f>'SER_se-appl'!Q36</f>
        <v>0.34962392006371168</v>
      </c>
      <c r="R10" s="38">
        <f>'SER_se-appl'!R36</f>
        <v>0.35951324042347288</v>
      </c>
      <c r="S10" s="38">
        <f>'SER_se-appl'!S36</f>
        <v>0.36968228608681031</v>
      </c>
      <c r="T10" s="38">
        <f>'SER_se-appl'!T36</f>
        <v>0.38013896925017754</v>
      </c>
      <c r="U10" s="38">
        <f>'SER_se-appl'!U36</f>
        <v>0.49844201167578461</v>
      </c>
      <c r="V10" s="38">
        <f>'SER_se-appl'!V36</f>
        <v>0.47664634170226172</v>
      </c>
      <c r="W10" s="38">
        <f>'SER_se-appl'!W36</f>
        <v>0.50215560313310093</v>
      </c>
      <c r="DA10" s="90" t="s">
        <v>933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'SER_se-appl'!B44</f>
        <v>8759.9999999999982</v>
      </c>
      <c r="C12" s="205">
        <f>'SER_se-appl'!C44</f>
        <v>8759.9999999999982</v>
      </c>
      <c r="D12" s="205">
        <f>'SER_se-appl'!D44</f>
        <v>8760</v>
      </c>
      <c r="E12" s="205">
        <f>'SER_se-appl'!E44</f>
        <v>8759.9999999999982</v>
      </c>
      <c r="F12" s="205">
        <f>'SER_se-appl'!F44</f>
        <v>8759.9999999999982</v>
      </c>
      <c r="G12" s="205">
        <f>'SER_se-appl'!G44</f>
        <v>8760.0000000000018</v>
      </c>
      <c r="H12" s="205">
        <f>'SER_se-appl'!H44</f>
        <v>8759.9999999999964</v>
      </c>
      <c r="I12" s="205">
        <f>'SER_se-appl'!I44</f>
        <v>8760.0000000000018</v>
      </c>
      <c r="J12" s="205">
        <f>'SER_se-appl'!J44</f>
        <v>8759.9999999999964</v>
      </c>
      <c r="K12" s="205">
        <f>'SER_se-appl'!K44</f>
        <v>8760.0000000000018</v>
      </c>
      <c r="L12" s="205">
        <f>'SER_se-appl'!L44</f>
        <v>8759.9999999999982</v>
      </c>
      <c r="M12" s="205">
        <f>'SER_se-appl'!M44</f>
        <v>8759.9999999999982</v>
      </c>
      <c r="N12" s="205">
        <f>'SER_se-appl'!N44</f>
        <v>8759.9999999999964</v>
      </c>
      <c r="O12" s="205">
        <f>'SER_se-appl'!O44</f>
        <v>8759.9999999999964</v>
      </c>
      <c r="P12" s="205">
        <f>'SER_se-appl'!P44</f>
        <v>8759.9999999999945</v>
      </c>
      <c r="Q12" s="205">
        <f>'SER_se-appl'!Q44</f>
        <v>8759.9999999999964</v>
      </c>
      <c r="R12" s="205">
        <f>'SER_se-appl'!R44</f>
        <v>8759.9999999999964</v>
      </c>
      <c r="S12" s="205">
        <f>'SER_se-appl'!S44</f>
        <v>8759.9999999999964</v>
      </c>
      <c r="T12" s="205">
        <f>'SER_se-appl'!T44</f>
        <v>8759.9999999999964</v>
      </c>
      <c r="U12" s="205">
        <f>'SER_se-appl'!U44</f>
        <v>8760.0000000000018</v>
      </c>
      <c r="V12" s="205">
        <f>'SER_se-appl'!V44</f>
        <v>8760</v>
      </c>
      <c r="W12" s="205">
        <f>'SER_se-appl'!W44</f>
        <v>8760.0000000000018</v>
      </c>
      <c r="DA12" s="209" t="s">
        <v>939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"&amp;MID('SER_se-appl'!A52,FIND("(",'SER_se-appl'!A52),100)</f>
        <v>W per appliance in average operating mode (W per serviced m2)</v>
      </c>
      <c r="B14" s="59">
        <f>'SER_se-appl'!B52</f>
        <v>0.79070115366482607</v>
      </c>
      <c r="C14" s="59">
        <f>'SER_se-appl'!C52</f>
        <v>0.78323854432001372</v>
      </c>
      <c r="D14" s="59">
        <f>'SER_se-appl'!D52</f>
        <v>0.77595883455835379</v>
      </c>
      <c r="E14" s="59">
        <f>'SER_se-appl'!E52</f>
        <v>0.76820537349849127</v>
      </c>
      <c r="F14" s="59">
        <f>'SER_se-appl'!F52</f>
        <v>0.75969269004565909</v>
      </c>
      <c r="G14" s="59">
        <f>'SER_se-appl'!G52</f>
        <v>0.75087981485461741</v>
      </c>
      <c r="H14" s="59">
        <f>'SER_se-appl'!H52</f>
        <v>0.74202216639811391</v>
      </c>
      <c r="I14" s="59">
        <f>'SER_se-appl'!I52</f>
        <v>0.73248892683743694</v>
      </c>
      <c r="J14" s="59">
        <f>'SER_se-appl'!J52</f>
        <v>0.7226433003923689</v>
      </c>
      <c r="K14" s="59">
        <f>'SER_se-appl'!K52</f>
        <v>0.71188978773871825</v>
      </c>
      <c r="L14" s="59">
        <f>'SER_se-appl'!L52</f>
        <v>0.7004858840315481</v>
      </c>
      <c r="M14" s="59">
        <f>'SER_se-appl'!M52</f>
        <v>0.68974288720161414</v>
      </c>
      <c r="N14" s="59">
        <f>'SER_se-appl'!N52</f>
        <v>0.67849965510117505</v>
      </c>
      <c r="O14" s="59">
        <f>'SER_se-appl'!O52</f>
        <v>0.66882198083095479</v>
      </c>
      <c r="P14" s="59">
        <f>'SER_se-appl'!P52</f>
        <v>0.65946030509853559</v>
      </c>
      <c r="Q14" s="59">
        <f>'SER_se-appl'!Q52</f>
        <v>0.64885460845625942</v>
      </c>
      <c r="R14" s="59">
        <f>'SER_se-appl'!R52</f>
        <v>0.63598133162672255</v>
      </c>
      <c r="S14" s="59">
        <f>'SER_se-appl'!S52</f>
        <v>0.62282321233302607</v>
      </c>
      <c r="T14" s="59">
        <f>'SER_se-appl'!T52</f>
        <v>0.61007100705354689</v>
      </c>
      <c r="U14" s="59">
        <f>'SER_se-appl'!U52</f>
        <v>0.59894166787410263</v>
      </c>
      <c r="V14" s="59">
        <f>'SER_se-appl'!V52</f>
        <v>0.58914700216365823</v>
      </c>
      <c r="W14" s="59">
        <f>'SER_se-appl'!W52</f>
        <v>0.57994017992285452</v>
      </c>
      <c r="DA14" s="104" t="s">
        <v>945</v>
      </c>
    </row>
    <row r="15" spans="1:105" ht="12" customHeight="1" x14ac:dyDescent="0.25">
      <c r="A15" s="204" t="str">
        <f>"W per new appliance in average operating mode "&amp;MID('SER_se-appl'!A52,FIND("(",'SER_se-appl'!A52),100)</f>
        <v>W per new appliance in average operating mode (W per serviced m2)</v>
      </c>
      <c r="B15" s="63"/>
      <c r="C15" s="63">
        <f>'SER_se-appl'!C60</f>
        <v>0.705110953844715</v>
      </c>
      <c r="D15" s="63">
        <f>'SER_se-appl'!D60</f>
        <v>0.69617322283499139</v>
      </c>
      <c r="E15" s="63">
        <f>'SER_se-appl'!E60</f>
        <v>0.68754109406650132</v>
      </c>
      <c r="F15" s="63">
        <f>'SER_se-appl'!F60</f>
        <v>0.67836423184994599</v>
      </c>
      <c r="G15" s="63">
        <f>'SER_se-appl'!G60</f>
        <v>0.66907860317259971</v>
      </c>
      <c r="H15" s="63">
        <f>'SER_se-appl'!H60</f>
        <v>0.66010253086305837</v>
      </c>
      <c r="I15" s="63">
        <f>'SER_se-appl'!I60</f>
        <v>0.65034270721284426</v>
      </c>
      <c r="J15" s="63">
        <f>'SER_se-appl'!J60</f>
        <v>0.63791300023546538</v>
      </c>
      <c r="K15" s="63">
        <f>'SER_se-appl'!K60</f>
        <v>0.62731174433201342</v>
      </c>
      <c r="L15" s="63">
        <f>'SER_se-appl'!L60</f>
        <v>0.61368953451723085</v>
      </c>
      <c r="M15" s="63">
        <f>'SER_se-appl'!M60</f>
        <v>0.60127694272405796</v>
      </c>
      <c r="N15" s="63">
        <f>'SER_se-appl'!N60</f>
        <v>0.58795163045595511</v>
      </c>
      <c r="O15" s="63">
        <f>'SER_se-appl'!O60</f>
        <v>0.57280316658113239</v>
      </c>
      <c r="P15" s="63">
        <f>'SER_se-appl'!P60</f>
        <v>0.5573583013940373</v>
      </c>
      <c r="Q15" s="63">
        <f>'SER_se-appl'!Q60</f>
        <v>0.54094672986300385</v>
      </c>
      <c r="R15" s="63">
        <f>'SER_se-appl'!R60</f>
        <v>0.53736081995895646</v>
      </c>
      <c r="S15" s="63">
        <f>'SER_se-appl'!S60</f>
        <v>0.53194517464641822</v>
      </c>
      <c r="T15" s="63">
        <f>'SER_se-appl'!T60</f>
        <v>0.52684804823437292</v>
      </c>
      <c r="U15" s="63">
        <f>'SER_se-appl'!U60</f>
        <v>0.52225938826487117</v>
      </c>
      <c r="V15" s="63">
        <f>'SER_se-appl'!V60</f>
        <v>0.51770937569044662</v>
      </c>
      <c r="W15" s="63">
        <f>'SER_se-appl'!W60</f>
        <v>0.51549696106751697</v>
      </c>
      <c r="DA15" s="105" t="s">
        <v>951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'SER_se-appl'!B5</f>
        <v>9.9661645600961659</v>
      </c>
      <c r="C3" s="199">
        <f>'SER_se-appl'!C5</f>
        <v>10.160463778087424</v>
      </c>
      <c r="D3" s="199">
        <f>'SER_se-appl'!D5</f>
        <v>10.357082080075285</v>
      </c>
      <c r="E3" s="199">
        <f>'SER_se-appl'!E5</f>
        <v>10.582729099751408</v>
      </c>
      <c r="F3" s="199">
        <f>'SER_se-appl'!F5</f>
        <v>10.866542255327866</v>
      </c>
      <c r="G3" s="199">
        <f>'SER_se-appl'!G5</f>
        <v>11.061140158113581</v>
      </c>
      <c r="H3" s="199">
        <f>'SER_se-appl'!H5</f>
        <v>11.274672265687345</v>
      </c>
      <c r="I3" s="199">
        <f>'SER_se-appl'!I5</f>
        <v>11.454110338190763</v>
      </c>
      <c r="J3" s="199">
        <f>'SER_se-appl'!J5</f>
        <v>11.73764943738475</v>
      </c>
      <c r="K3" s="199">
        <f>'SER_se-appl'!K5</f>
        <v>12.038921179053368</v>
      </c>
      <c r="L3" s="199">
        <f>'SER_se-appl'!L5</f>
        <v>12.360859085334942</v>
      </c>
      <c r="M3" s="199">
        <f>'SER_se-appl'!M5</f>
        <v>12.555841957678957</v>
      </c>
      <c r="N3" s="199">
        <f>'SER_se-appl'!N5</f>
        <v>12.735006608428447</v>
      </c>
      <c r="O3" s="199">
        <f>'SER_se-appl'!O5</f>
        <v>12.845898486055191</v>
      </c>
      <c r="P3" s="199">
        <f>'SER_se-appl'!P5</f>
        <v>12.94510952852627</v>
      </c>
      <c r="Q3" s="199">
        <f>'SER_se-appl'!Q5</f>
        <v>13.000234278582885</v>
      </c>
      <c r="R3" s="199">
        <f>'SER_se-appl'!R5</f>
        <v>13.070071994390837</v>
      </c>
      <c r="S3" s="199">
        <f>'SER_se-appl'!S5</f>
        <v>12.929791693514634</v>
      </c>
      <c r="T3" s="199">
        <f>'SER_se-appl'!T5</f>
        <v>12.510984564234461</v>
      </c>
      <c r="U3" s="199">
        <f>'SER_se-appl'!U5</f>
        <v>12.04504447751961</v>
      </c>
      <c r="V3" s="199">
        <f>'SER_se-appl'!V5</f>
        <v>11.568912176136976</v>
      </c>
      <c r="W3" s="199">
        <f>'SER_se-appl'!W5</f>
        <v>11.172795985928856</v>
      </c>
      <c r="DA3" s="206" t="s">
        <v>909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'SER_se-appl'!B13</f>
        <v>31.893148102213953</v>
      </c>
      <c r="C5" s="59">
        <f>'SER_se-appl'!C13</f>
        <v>32.46400743675418</v>
      </c>
      <c r="D5" s="59">
        <f>'SER_se-appl'!D13</f>
        <v>33.048087831291113</v>
      </c>
      <c r="E5" s="59">
        <f>'SER_se-appl'!E13</f>
        <v>33.751493330466886</v>
      </c>
      <c r="F5" s="59">
        <f>'SER_se-appl'!F13</f>
        <v>34.571805004799252</v>
      </c>
      <c r="G5" s="59">
        <f>'SER_se-appl'!G13</f>
        <v>35.16459382979631</v>
      </c>
      <c r="H5" s="59">
        <f>'SER_se-appl'!H13</f>
        <v>35.829961441123508</v>
      </c>
      <c r="I5" s="59">
        <f>'SER_se-appl'!I13</f>
        <v>36.397570220912414</v>
      </c>
      <c r="J5" s="59">
        <f>'SER_se-appl'!J13</f>
        <v>37.288228371019592</v>
      </c>
      <c r="K5" s="59">
        <f>'SER_se-appl'!K13</f>
        <v>38.278459986185553</v>
      </c>
      <c r="L5" s="59">
        <f>'SER_se-appl'!L13</f>
        <v>39.325116870897297</v>
      </c>
      <c r="M5" s="59">
        <f>'SER_se-appl'!M13</f>
        <v>40.064555762693054</v>
      </c>
      <c r="N5" s="59">
        <f>'SER_se-appl'!N13</f>
        <v>40.84896422287899</v>
      </c>
      <c r="O5" s="59">
        <f>'SER_se-appl'!O13</f>
        <v>41.392218866192842</v>
      </c>
      <c r="P5" s="59">
        <f>'SER_se-appl'!P13</f>
        <v>41.825522404860891</v>
      </c>
      <c r="Q5" s="59">
        <f>'SER_se-appl'!Q13</f>
        <v>42.259867731243126</v>
      </c>
      <c r="R5" s="59">
        <f>'SER_se-appl'!R13</f>
        <v>41.57585278221881</v>
      </c>
      <c r="S5" s="59">
        <f>'SER_se-appl'!S13</f>
        <v>40.799435961727227</v>
      </c>
      <c r="T5" s="59">
        <f>'SER_se-appl'!T13</f>
        <v>39.84838077288186</v>
      </c>
      <c r="U5" s="59">
        <f>'SER_se-appl'!U13</f>
        <v>38.726229531100415</v>
      </c>
      <c r="V5" s="59">
        <f>'SER_se-appl'!V13</f>
        <v>37.414878712625345</v>
      </c>
      <c r="W5" s="59">
        <f>'SER_se-appl'!W13</f>
        <v>36.091392313126661</v>
      </c>
      <c r="DA5" s="104" t="s">
        <v>916</v>
      </c>
    </row>
    <row r="6" spans="1:105" ht="12" customHeight="1" x14ac:dyDescent="0.25">
      <c r="A6" s="201" t="str">
        <f>"Penetration factor "&amp;MID('SER_se-appl'!A69,FIND("(",'SER_se-appl'!A69),100)</f>
        <v>Penetration factor (unit per capita)</v>
      </c>
      <c r="B6" s="202">
        <f>'SER_se-appl'!B69</f>
        <v>0.23539302131683329</v>
      </c>
      <c r="C6" s="202">
        <f>'SER_se-appl'!C69</f>
        <v>0.23958820601219835</v>
      </c>
      <c r="D6" s="202">
        <f>'SER_se-appl'!D69</f>
        <v>0.24403528963407195</v>
      </c>
      <c r="E6" s="202">
        <f>'SER_se-appl'!E69</f>
        <v>0.25001879480635592</v>
      </c>
      <c r="F6" s="202">
        <f>'SER_se-appl'!F69</f>
        <v>0.25723098073483835</v>
      </c>
      <c r="G6" s="202">
        <f>'SER_se-appl'!G69</f>
        <v>0.26317312932771414</v>
      </c>
      <c r="H6" s="202">
        <f>'SER_se-appl'!H69</f>
        <v>0.27007978847067454</v>
      </c>
      <c r="I6" s="202">
        <f>'SER_se-appl'!I69</f>
        <v>0.27594836936511058</v>
      </c>
      <c r="J6" s="202">
        <f>'SER_se-appl'!J69</f>
        <v>0.28032745005236342</v>
      </c>
      <c r="K6" s="202">
        <f>'SER_se-appl'!K69</f>
        <v>0.2850424021871939</v>
      </c>
      <c r="L6" s="202">
        <f>'SER_se-appl'!L69</f>
        <v>0.28995522669404661</v>
      </c>
      <c r="M6" s="202">
        <f>'SER_se-appl'!M69</f>
        <v>0.29356599673225414</v>
      </c>
      <c r="N6" s="202">
        <f>'SER_se-appl'!N69</f>
        <v>0.29751115901563541</v>
      </c>
      <c r="O6" s="202">
        <f>'SER_se-appl'!O69</f>
        <v>0.30748148158694344</v>
      </c>
      <c r="P6" s="202">
        <f>'SER_se-appl'!P69</f>
        <v>0.3228100548227717</v>
      </c>
      <c r="Q6" s="202">
        <f>'SER_se-appl'!Q69</f>
        <v>0.34168248458805983</v>
      </c>
      <c r="R6" s="202">
        <f>'SER_se-appl'!R69</f>
        <v>0.34814410056346667</v>
      </c>
      <c r="S6" s="202">
        <f>'SER_se-appl'!S69</f>
        <v>0.35402288946241128</v>
      </c>
      <c r="T6" s="202">
        <f>'SER_se-appl'!T69</f>
        <v>0.35845535947018042</v>
      </c>
      <c r="U6" s="202">
        <f>'SER_se-appl'!U69</f>
        <v>0.36143077216105646</v>
      </c>
      <c r="V6" s="202">
        <f>'SER_se-appl'!V69</f>
        <v>0.36328535589111299</v>
      </c>
      <c r="W6" s="202">
        <f>'SER_se-appl'!W69</f>
        <v>0.36547318910369436</v>
      </c>
      <c r="DA6" s="207" t="s">
        <v>958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"&amp;MID('SER_se-appl'!A21,FIND("(",'SER_se-appl'!A21),100)</f>
        <v>Stock of appliances (thousand units)</v>
      </c>
      <c r="B8" s="34">
        <f>'SER_se-appl'!B21</f>
        <v>162.53817504020944</v>
      </c>
      <c r="C8" s="34">
        <f>'SER_se-appl'!C21</f>
        <v>167.12451351560296</v>
      </c>
      <c r="D8" s="34">
        <f>'SER_se-appl'!D21</f>
        <v>172.17641421313348</v>
      </c>
      <c r="E8" s="34">
        <f>'SER_se-appl'!E21</f>
        <v>178.44341422919234</v>
      </c>
      <c r="F8" s="34">
        <f>'SER_se-appl'!F21</f>
        <v>185.9504753563495</v>
      </c>
      <c r="G8" s="34">
        <f>'SER_se-appl'!G21</f>
        <v>192.92353639687943</v>
      </c>
      <c r="H8" s="34">
        <f>'SER_se-appl'!H21</f>
        <v>200.942873659432</v>
      </c>
      <c r="I8" s="34">
        <f>'SER_se-appl'!I21</f>
        <v>209.14568431572715</v>
      </c>
      <c r="J8" s="34">
        <f>'SER_se-appl'!J21</f>
        <v>217.62745028150147</v>
      </c>
      <c r="K8" s="34">
        <f>'SER_se-appl'!K21</f>
        <v>227.15884157504041</v>
      </c>
      <c r="L8" s="34">
        <f>'SER_se-appl'!L21</f>
        <v>237.51392439416136</v>
      </c>
      <c r="M8" s="34">
        <f>'SER_se-appl'!M21</f>
        <v>246.52233932190714</v>
      </c>
      <c r="N8" s="34">
        <f>'SER_se-appl'!N21</f>
        <v>256.45789169422687</v>
      </c>
      <c r="O8" s="34">
        <f>'SER_se-appl'!O21</f>
        <v>266.24145031353942</v>
      </c>
      <c r="P8" s="34">
        <f>'SER_se-appl'!P21</f>
        <v>276.97102703793814</v>
      </c>
      <c r="Q8" s="34">
        <f>'SER_se-appl'!Q21</f>
        <v>289.40779790596338</v>
      </c>
      <c r="R8" s="34">
        <f>'SER_se-appl'!R21</f>
        <v>295.33725524589948</v>
      </c>
      <c r="S8" s="34">
        <f>'SER_se-appl'!S21</f>
        <v>302.61947395824808</v>
      </c>
      <c r="T8" s="34">
        <f>'SER_se-appl'!T21</f>
        <v>309.79002604707085</v>
      </c>
      <c r="U8" s="34">
        <f>'SER_se-appl'!U21</f>
        <v>316.57685190509721</v>
      </c>
      <c r="V8" s="34">
        <f>'SER_se-appl'!V21</f>
        <v>322.59921245808778</v>
      </c>
      <c r="W8" s="34">
        <f>'SER_se-appl'!W21</f>
        <v>327.46653574923386</v>
      </c>
      <c r="DA8" s="88" t="s">
        <v>922</v>
      </c>
    </row>
    <row r="9" spans="1:105" ht="12.95" customHeight="1" x14ac:dyDescent="0.25">
      <c r="A9" s="203" t="str">
        <f>"Number of new appliances "&amp;MID('SER_se-appl'!A29,FIND("(",'SER_se-appl'!A29),100)</f>
        <v>Number of new appliances (thousand units)</v>
      </c>
      <c r="B9" s="36"/>
      <c r="C9" s="36">
        <f>'SER_se-appl'!C29</f>
        <v>24.975847124717859</v>
      </c>
      <c r="D9" s="36">
        <f>'SER_se-appl'!D29</f>
        <v>26.319073330725047</v>
      </c>
      <c r="E9" s="36">
        <f>'SER_se-appl'!E29</f>
        <v>28.449615575315391</v>
      </c>
      <c r="F9" s="36">
        <f>'SER_se-appl'!F29</f>
        <v>30.644524744757803</v>
      </c>
      <c r="G9" s="36">
        <f>'SER_se-appl'!G29</f>
        <v>31.10647403800678</v>
      </c>
      <c r="H9" s="36">
        <f>'SER_se-appl'!H29</f>
        <v>33.191570162952956</v>
      </c>
      <c r="I9" s="36">
        <f>'SER_se-appl'!I29</f>
        <v>34.458579339251315</v>
      </c>
      <c r="J9" s="36">
        <f>'SER_se-appl'!J29</f>
        <v>33.457613090492174</v>
      </c>
      <c r="K9" s="36">
        <f>'SER_se-appl'!K29</f>
        <v>35.850464624263992</v>
      </c>
      <c r="L9" s="36">
        <f>'SER_se-appl'!L29</f>
        <v>38.804698394436343</v>
      </c>
      <c r="M9" s="36">
        <f>'SER_se-appl'!M29</f>
        <v>39.652939672503578</v>
      </c>
      <c r="N9" s="36">
        <f>'SER_se-appl'!N29</f>
        <v>41.042026410326514</v>
      </c>
      <c r="O9" s="36">
        <f>'SER_se-appl'!O29</f>
        <v>42.9751287822655</v>
      </c>
      <c r="P9" s="36">
        <f>'SER_se-appl'!P29</f>
        <v>45.188156063650041</v>
      </c>
      <c r="Q9" s="36">
        <f>'SER_se-appl'!Q29</f>
        <v>45.894383958517409</v>
      </c>
      <c r="R9" s="36">
        <f>'SER_se-appl'!R29</f>
        <v>41.779921964200099</v>
      </c>
      <c r="S9" s="36">
        <f>'SER_se-appl'!S29</f>
        <v>46.086917106784938</v>
      </c>
      <c r="T9" s="36">
        <f>'SER_se-appl'!T29</f>
        <v>46.823491761326352</v>
      </c>
      <c r="U9" s="36">
        <f>'SER_se-appl'!U29</f>
        <v>47.828852268352875</v>
      </c>
      <c r="V9" s="36">
        <f>'SER_se-appl'!V29</f>
        <v>48.997489335256091</v>
      </c>
      <c r="W9" s="36">
        <f>'SER_se-appl'!W29</f>
        <v>50.055479354796091</v>
      </c>
      <c r="DA9" s="89" t="s">
        <v>928</v>
      </c>
    </row>
    <row r="10" spans="1:105" ht="12" customHeight="1" x14ac:dyDescent="0.25">
      <c r="A10" s="204" t="str">
        <f>"Number of replaced appliances "&amp;MID('SER_se-appl'!A37,FIND("(",'SER_se-appl'!A37),100)</f>
        <v>Number of replaced appliances (thousand units)</v>
      </c>
      <c r="B10" s="38"/>
      <c r="C10" s="38">
        <f>'SER_se-appl'!C37</f>
        <v>20.389508649324341</v>
      </c>
      <c r="D10" s="38">
        <f>'SER_se-appl'!D37</f>
        <v>21.267172633194519</v>
      </c>
      <c r="E10" s="38">
        <f>'SER_se-appl'!E37</f>
        <v>22.182615559256533</v>
      </c>
      <c r="F10" s="38">
        <f>'SER_se-appl'!F37</f>
        <v>23.137463617600645</v>
      </c>
      <c r="G10" s="38">
        <f>'SER_se-appl'!G37</f>
        <v>24.133412997476853</v>
      </c>
      <c r="H10" s="38">
        <f>'SER_se-appl'!H37</f>
        <v>25.172232900400388</v>
      </c>
      <c r="I10" s="38">
        <f>'SER_se-appl'!I37</f>
        <v>26.255768682956159</v>
      </c>
      <c r="J10" s="38">
        <f>'SER_se-appl'!J37</f>
        <v>24.975847124717859</v>
      </c>
      <c r="K10" s="38">
        <f>'SER_se-appl'!K37</f>
        <v>26.319073330725047</v>
      </c>
      <c r="L10" s="38">
        <f>'SER_se-appl'!L37</f>
        <v>28.449615575315391</v>
      </c>
      <c r="M10" s="38">
        <f>'SER_se-appl'!M37</f>
        <v>30.644524744757831</v>
      </c>
      <c r="N10" s="38">
        <f>'SER_se-appl'!N37</f>
        <v>31.106474038006809</v>
      </c>
      <c r="O10" s="38">
        <f>'SER_se-appl'!O37</f>
        <v>33.191570162952985</v>
      </c>
      <c r="P10" s="38">
        <f>'SER_se-appl'!P37</f>
        <v>34.458579339251287</v>
      </c>
      <c r="Q10" s="38">
        <f>'SER_se-appl'!Q37</f>
        <v>33.457613090492202</v>
      </c>
      <c r="R10" s="38">
        <f>'SER_se-appl'!R37</f>
        <v>35.850464624264021</v>
      </c>
      <c r="S10" s="38">
        <f>'SER_se-appl'!S37</f>
        <v>38.804698394436343</v>
      </c>
      <c r="T10" s="38">
        <f>'SER_se-appl'!T37</f>
        <v>39.652939672503578</v>
      </c>
      <c r="U10" s="38">
        <f>'SER_se-appl'!U37</f>
        <v>41.042026410326514</v>
      </c>
      <c r="V10" s="38">
        <f>'SER_se-appl'!V37</f>
        <v>42.975128782265529</v>
      </c>
      <c r="W10" s="38">
        <f>'SER_se-appl'!W37</f>
        <v>45.188156063650013</v>
      </c>
      <c r="DA10" s="90" t="s">
        <v>934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'SER_se-appl'!B45</f>
        <v>3634.2130122260469</v>
      </c>
      <c r="C12" s="205">
        <f>'SER_se-appl'!C45</f>
        <v>3639.9139560747722</v>
      </c>
      <c r="D12" s="205">
        <f>'SER_se-appl'!D45</f>
        <v>3644.7756132270529</v>
      </c>
      <c r="E12" s="205">
        <f>'SER_se-appl'!E45</f>
        <v>3646.5687080876296</v>
      </c>
      <c r="F12" s="205">
        <f>'SER_se-appl'!F45</f>
        <v>3655.5188950047395</v>
      </c>
      <c r="G12" s="205">
        <f>'SER_se-appl'!G45</f>
        <v>3658.2552513334717</v>
      </c>
      <c r="H12" s="205">
        <f>'SER_se-appl'!H45</f>
        <v>3659.6310231985613</v>
      </c>
      <c r="I12" s="205">
        <f>'SER_se-appl'!I45</f>
        <v>3659.8954937003277</v>
      </c>
      <c r="J12" s="205">
        <f>'SER_se-appl'!J45</f>
        <v>3660.9103977404116</v>
      </c>
      <c r="K12" s="205">
        <f>'SER_se-appl'!K45</f>
        <v>3657.739976031437</v>
      </c>
      <c r="L12" s="205">
        <f>'SER_se-appl'!L45</f>
        <v>3655.5973027211303</v>
      </c>
      <c r="M12" s="205">
        <f>'SER_se-appl'!M45</f>
        <v>3644.7288429385253</v>
      </c>
      <c r="N12" s="205">
        <f>'SER_se-appl'!N45</f>
        <v>3625.7498733118268</v>
      </c>
      <c r="O12" s="205">
        <f>'SER_se-appl'!O45</f>
        <v>3609.3208696005122</v>
      </c>
      <c r="P12" s="205">
        <f>'SER_se-appl'!P45</f>
        <v>3599.5156823017628</v>
      </c>
      <c r="Q12" s="205">
        <f>'SER_se-appl'!Q45</f>
        <v>3577.6904372121526</v>
      </c>
      <c r="R12" s="205">
        <f>'SER_se-appl'!R45</f>
        <v>3656.0870582978159</v>
      </c>
      <c r="S12" s="205">
        <f>'SER_se-appl'!S45</f>
        <v>3685.6753984696315</v>
      </c>
      <c r="T12" s="205">
        <f>'SER_se-appl'!T45</f>
        <v>3651.4093586725157</v>
      </c>
      <c r="U12" s="205">
        <f>'SER_se-appl'!U45</f>
        <v>3617.2864998657815</v>
      </c>
      <c r="V12" s="205">
        <f>'SER_se-appl'!V45</f>
        <v>3596.0680145963279</v>
      </c>
      <c r="W12" s="205">
        <f>'SER_se-appl'!W45</f>
        <v>3600.2938370735219</v>
      </c>
      <c r="DA12" s="209" t="s">
        <v>940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"&amp;MID('SER_se-appl'!A53,FIND("(",'SER_se-appl'!A53),100)</f>
        <v>W per appliance in average operating mode (W per appliance)</v>
      </c>
      <c r="B14" s="59">
        <f>'SER_se-appl'!B53</f>
        <v>196.21943026199278</v>
      </c>
      <c r="C14" s="59">
        <f>'SER_se-appl'!C53</f>
        <v>194.25042295619485</v>
      </c>
      <c r="D14" s="59">
        <f>'SER_se-appl'!D53</f>
        <v>191.94317631903749</v>
      </c>
      <c r="E14" s="59">
        <f>'SER_se-appl'!E53</f>
        <v>189.14395622982502</v>
      </c>
      <c r="F14" s="59">
        <f>'SER_se-appl'!F53</f>
        <v>185.91942256962216</v>
      </c>
      <c r="G14" s="59">
        <f>'SER_se-appl'!G53</f>
        <v>182.2721814380192</v>
      </c>
      <c r="H14" s="59">
        <f>'SER_se-appl'!H53</f>
        <v>178.30919200374288</v>
      </c>
      <c r="I14" s="59">
        <f>'SER_se-appl'!I53</f>
        <v>174.02974553357981</v>
      </c>
      <c r="J14" s="59">
        <f>'SER_se-appl'!J53</f>
        <v>171.33972907731632</v>
      </c>
      <c r="K14" s="59">
        <f>'SER_se-appl'!K53</f>
        <v>168.50966363790212</v>
      </c>
      <c r="L14" s="59">
        <f>'SER_se-appl'!L53</f>
        <v>165.56973226393291</v>
      </c>
      <c r="M14" s="59">
        <f>'SER_se-appl'!M53</f>
        <v>162.5189663253075</v>
      </c>
      <c r="N14" s="59">
        <f>'SER_se-appl'!N53</f>
        <v>159.28136955747476</v>
      </c>
      <c r="O14" s="59">
        <f>'SER_se-appl'!O53</f>
        <v>155.46872516449739</v>
      </c>
      <c r="P14" s="59">
        <f>'SER_se-appl'!P53</f>
        <v>151.01046074083351</v>
      </c>
      <c r="Q14" s="59">
        <f>'SER_se-appl'!Q53</f>
        <v>146.02186961449647</v>
      </c>
      <c r="R14" s="59">
        <f>'SER_se-appl'!R53</f>
        <v>140.77415579555827</v>
      </c>
      <c r="S14" s="59">
        <f>'SER_se-appl'!S53</f>
        <v>134.82092024043456</v>
      </c>
      <c r="T14" s="59">
        <f>'SER_se-appl'!T53</f>
        <v>128.63028962342099</v>
      </c>
      <c r="U14" s="59">
        <f>'SER_se-appl'!U53</f>
        <v>122.32805177653889</v>
      </c>
      <c r="V14" s="59">
        <f>'SER_se-appl'!V53</f>
        <v>115.9794483921324</v>
      </c>
      <c r="W14" s="59">
        <f>'SER_se-appl'!W53</f>
        <v>110.21398638658029</v>
      </c>
      <c r="DA14" s="104" t="s">
        <v>946</v>
      </c>
    </row>
    <row r="15" spans="1:105" ht="12" customHeight="1" x14ac:dyDescent="0.25">
      <c r="A15" s="204" t="str">
        <f>"W per new appliance in average operating mode "&amp;MID('SER_se-appl'!A53,FIND("(",'SER_se-appl'!A53),100)</f>
        <v>W per new appliance in average operating mode (W per appliance)</v>
      </c>
      <c r="B15" s="63"/>
      <c r="C15" s="63">
        <f>'SER_se-appl'!C61</f>
        <v>183.04392568563421</v>
      </c>
      <c r="D15" s="63">
        <f>'SER_se-appl'!D61</f>
        <v>180.74773500297678</v>
      </c>
      <c r="E15" s="63">
        <f>'SER_se-appl'!E61</f>
        <v>177.72000020699264</v>
      </c>
      <c r="F15" s="63">
        <f>'SER_se-appl'!F61</f>
        <v>174.91971723276654</v>
      </c>
      <c r="G15" s="63">
        <f>'SER_se-appl'!G61</f>
        <v>171.29017474398228</v>
      </c>
      <c r="H15" s="63">
        <f>'SER_se-appl'!H61</f>
        <v>168.85759793676857</v>
      </c>
      <c r="I15" s="63">
        <f>'SER_se-appl'!I61</f>
        <v>165.98190817850207</v>
      </c>
      <c r="J15" s="63">
        <f>'SER_se-appl'!J61</f>
        <v>163.26135520683778</v>
      </c>
      <c r="K15" s="63">
        <f>'SER_se-appl'!K61</f>
        <v>160.31436600076611</v>
      </c>
      <c r="L15" s="63">
        <f>'SER_se-appl'!L61</f>
        <v>157.26762024055915</v>
      </c>
      <c r="M15" s="63">
        <f>'SER_se-appl'!M61</f>
        <v>153.82896060821079</v>
      </c>
      <c r="N15" s="63">
        <f>'SER_se-appl'!N61</f>
        <v>148.9361605275727</v>
      </c>
      <c r="O15" s="63">
        <f>'SER_se-appl'!O61</f>
        <v>143.05724327036478</v>
      </c>
      <c r="P15" s="63">
        <f>'SER_se-appl'!P61</f>
        <v>136.15966718913532</v>
      </c>
      <c r="Q15" s="63">
        <f>'SER_se-appl'!Q61</f>
        <v>128.48370700109768</v>
      </c>
      <c r="R15" s="63">
        <f>'SER_se-appl'!R61</f>
        <v>121.19049821074505</v>
      </c>
      <c r="S15" s="63">
        <f>'SER_se-appl'!S61</f>
        <v>115.57088398455534</v>
      </c>
      <c r="T15" s="63">
        <f>'SER_se-appl'!T61</f>
        <v>109.96008867259442</v>
      </c>
      <c r="U15" s="63">
        <f>'SER_se-appl'!U61</f>
        <v>104.34058848085523</v>
      </c>
      <c r="V15" s="63">
        <f>'SER_se-appl'!V61</f>
        <v>98.710213521585587</v>
      </c>
      <c r="W15" s="63">
        <f>'SER_se-appl'!W61</f>
        <v>96.479305627824303</v>
      </c>
      <c r="DA15" s="105" t="s">
        <v>952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8" tint="0.59999389629810485"/>
    <pageSetUpPr fitToPage="1"/>
  </sheetPr>
  <dimension ref="A1:DA16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'SER_se-appl'!B6</f>
        <v>23.167198402442637</v>
      </c>
      <c r="C3" s="199">
        <f>'SER_se-appl'!C6</f>
        <v>23.705097546239166</v>
      </c>
      <c r="D3" s="199">
        <f>'SER_se-appl'!D6</f>
        <v>24.100392902245471</v>
      </c>
      <c r="E3" s="199">
        <f>'SER_se-appl'!E6</f>
        <v>24.419802594216936</v>
      </c>
      <c r="F3" s="199">
        <f>'SER_se-appl'!F6</f>
        <v>24.994638112961898</v>
      </c>
      <c r="G3" s="199">
        <f>'SER_se-appl'!G6</f>
        <v>25.426518376413043</v>
      </c>
      <c r="H3" s="199">
        <f>'SER_se-appl'!H6</f>
        <v>25.694026004880804</v>
      </c>
      <c r="I3" s="199">
        <f>'SER_se-appl'!I6</f>
        <v>26.335679223806803</v>
      </c>
      <c r="J3" s="199">
        <f>'SER_se-appl'!J6</f>
        <v>27.008761078795349</v>
      </c>
      <c r="K3" s="199">
        <f>'SER_se-appl'!K6</f>
        <v>27.727485936496493</v>
      </c>
      <c r="L3" s="199">
        <f>'SER_se-appl'!L6</f>
        <v>28.529779621867512</v>
      </c>
      <c r="M3" s="199">
        <f>'SER_se-appl'!M6</f>
        <v>29.12063800781597</v>
      </c>
      <c r="N3" s="199">
        <f>'SER_se-appl'!N6</f>
        <v>29.69135437319024</v>
      </c>
      <c r="O3" s="199">
        <f>'SER_se-appl'!O6</f>
        <v>29.645312174626394</v>
      </c>
      <c r="P3" s="199">
        <f>'SER_se-appl'!P6</f>
        <v>29.370827811979723</v>
      </c>
      <c r="Q3" s="199">
        <f>'SER_se-appl'!Q6</f>
        <v>29.193995176067606</v>
      </c>
      <c r="R3" s="199">
        <f>'SER_se-appl'!R6</f>
        <v>28.924937429147544</v>
      </c>
      <c r="S3" s="199">
        <f>'SER_se-appl'!S6</f>
        <v>28.230216335266331</v>
      </c>
      <c r="T3" s="199">
        <f>'SER_se-appl'!T6</f>
        <v>26.661503202552471</v>
      </c>
      <c r="U3" s="199">
        <f>'SER_se-appl'!U6</f>
        <v>25.078552199296759</v>
      </c>
      <c r="V3" s="199">
        <f>'SER_se-appl'!V6</f>
        <v>19.623021110381462</v>
      </c>
      <c r="W3" s="199">
        <f>'SER_se-appl'!W6</f>
        <v>20.2607330607532</v>
      </c>
      <c r="DA3" s="206" t="s">
        <v>910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'SER_se-appl'!B14</f>
        <v>126.14825871353641</v>
      </c>
      <c r="C5" s="59">
        <f>'SER_se-appl'!C14</f>
        <v>128.00991531600999</v>
      </c>
      <c r="D5" s="59">
        <f>'SER_se-appl'!D14</f>
        <v>129.14722898850022</v>
      </c>
      <c r="E5" s="59">
        <f>'SER_se-appl'!E14</f>
        <v>130.01788533364092</v>
      </c>
      <c r="F5" s="59">
        <f>'SER_se-appl'!F14</f>
        <v>131.99492568259822</v>
      </c>
      <c r="G5" s="59">
        <f>'SER_se-appl'!G14</f>
        <v>133.32490436941663</v>
      </c>
      <c r="H5" s="59">
        <f>'SER_se-appl'!H14</f>
        <v>133.70252256963178</v>
      </c>
      <c r="I5" s="59">
        <f>'SER_se-appl'!I14</f>
        <v>135.98481678356063</v>
      </c>
      <c r="J5" s="59">
        <f>'SER_se-appl'!J14</f>
        <v>138.84223800588151</v>
      </c>
      <c r="K5" s="59">
        <f>'SER_se-appl'!K14</f>
        <v>141.96756037891652</v>
      </c>
      <c r="L5" s="59">
        <f>'SER_se-appl'!L14</f>
        <v>145.63877320821754</v>
      </c>
      <c r="M5" s="59">
        <f>'SER_se-appl'!M14</f>
        <v>148.20502745557565</v>
      </c>
      <c r="N5" s="59">
        <f>'SER_se-appl'!N14</f>
        <v>151.0716415748316</v>
      </c>
      <c r="O5" s="59">
        <f>'SER_se-appl'!O14</f>
        <v>150.72933953221354</v>
      </c>
      <c r="P5" s="59">
        <f>'SER_se-appl'!P14</f>
        <v>149.01647095250507</v>
      </c>
      <c r="Q5" s="59">
        <f>'SER_se-appl'!Q14</f>
        <v>147.86294502190594</v>
      </c>
      <c r="R5" s="59">
        <f>'SER_se-appl'!R14</f>
        <v>142.03692872738108</v>
      </c>
      <c r="S5" s="59">
        <f>'SER_se-appl'!S14</f>
        <v>136.76228831680589</v>
      </c>
      <c r="T5" s="59">
        <f>'SER_se-appl'!T14</f>
        <v>130.43932407959983</v>
      </c>
      <c r="U5" s="59">
        <f>'SER_se-appl'!U14</f>
        <v>124.13734044630536</v>
      </c>
      <c r="V5" s="59">
        <f>'SER_se-appl'!V14</f>
        <v>117.22555790431218</v>
      </c>
      <c r="W5" s="59">
        <f>'SER_se-appl'!W14</f>
        <v>108.48546958563378</v>
      </c>
      <c r="DA5" s="104" t="s">
        <v>917</v>
      </c>
    </row>
    <row r="6" spans="1:105" ht="12" customHeight="1" x14ac:dyDescent="0.25">
      <c r="A6" s="201" t="str">
        <f>"Penetration factor "&amp;MID('SER_se-appl'!A70,FIND("(",'SER_se-appl'!A70),100)</f>
        <v>Penetration factor (unit per building cell)</v>
      </c>
      <c r="B6" s="202">
        <f>'SER_se-appl'!B70</f>
        <v>144.86625132335141</v>
      </c>
      <c r="C6" s="202">
        <f>'SER_se-appl'!C70</f>
        <v>145.61871337977709</v>
      </c>
      <c r="D6" s="202">
        <f>'SER_se-appl'!D70</f>
        <v>147.07974518933534</v>
      </c>
      <c r="E6" s="202">
        <f>'SER_se-appl'!E70</f>
        <v>148.43225118292619</v>
      </c>
      <c r="F6" s="202">
        <f>'SER_se-appl'!F70</f>
        <v>150.94281621366599</v>
      </c>
      <c r="G6" s="202">
        <f>'SER_se-appl'!G70</f>
        <v>153.38467194811943</v>
      </c>
      <c r="H6" s="202">
        <f>'SER_se-appl'!H70</f>
        <v>155.45977196040755</v>
      </c>
      <c r="I6" s="202">
        <f>'SER_se-appl'!I70</f>
        <v>158.2359423127881</v>
      </c>
      <c r="J6" s="202">
        <f>'SER_se-appl'!J70</f>
        <v>161.80634217138959</v>
      </c>
      <c r="K6" s="202">
        <f>'SER_se-appl'!K70</f>
        <v>164.92749041669703</v>
      </c>
      <c r="L6" s="202">
        <f>'SER_se-appl'!L70</f>
        <v>169.41259104671951</v>
      </c>
      <c r="M6" s="202">
        <f>'SER_se-appl'!M70</f>
        <v>174.60492717490229</v>
      </c>
      <c r="N6" s="202">
        <f>'SER_se-appl'!N70</f>
        <v>181.20579131541817</v>
      </c>
      <c r="O6" s="202">
        <f>'SER_se-appl'!O70</f>
        <v>189.10434669944635</v>
      </c>
      <c r="P6" s="202">
        <f>'SER_se-appl'!P70</f>
        <v>198.47347668680428</v>
      </c>
      <c r="Q6" s="202">
        <f>'SER_se-appl'!Q70</f>
        <v>210.37343416841244</v>
      </c>
      <c r="R6" s="202">
        <f>'SER_se-appl'!R70</f>
        <v>216.54862176170153</v>
      </c>
      <c r="S6" s="202">
        <f>'SER_se-appl'!S70</f>
        <v>222.81772307602694</v>
      </c>
      <c r="T6" s="202">
        <f>'SER_se-appl'!T70</f>
        <v>228.77930722168725</v>
      </c>
      <c r="U6" s="202">
        <f>'SER_se-appl'!U70</f>
        <v>234.18787836823219</v>
      </c>
      <c r="V6" s="202">
        <f>'SER_se-appl'!V70</f>
        <v>238.58592450484406</v>
      </c>
      <c r="W6" s="202">
        <f>'SER_se-appl'!W70</f>
        <v>241.14988981041751</v>
      </c>
      <c r="DA6" s="207" t="s">
        <v>959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"&amp;MID('SER_se-appl'!A22,FIND("(",'SER_se-appl'!A22),1000)</f>
        <v>Stock of appliances (million units)</v>
      </c>
      <c r="B8" s="34">
        <f>'SER_se-appl'!B22</f>
        <v>2.3577983384403418</v>
      </c>
      <c r="C8" s="34">
        <f>'SER_se-appl'!C22</f>
        <v>2.4176082487133788</v>
      </c>
      <c r="D8" s="34">
        <f>'SER_se-appl'!D22</f>
        <v>2.4766927299056771</v>
      </c>
      <c r="E8" s="34">
        <f>'SER_se-appl'!E22</f>
        <v>2.5413985270265043</v>
      </c>
      <c r="F8" s="34">
        <f>'SER_se-appl'!F22</f>
        <v>2.6416933696577511</v>
      </c>
      <c r="G8" s="34">
        <f>'SER_se-appl'!G22</f>
        <v>2.7450127201381469</v>
      </c>
      <c r="H8" s="34">
        <f>'SER_se-appl'!H22</f>
        <v>2.8408791146298613</v>
      </c>
      <c r="I8" s="34">
        <f>'SER_se-appl'!I22</f>
        <v>2.9657665682312713</v>
      </c>
      <c r="J8" s="34">
        <f>'SER_se-appl'!J22</f>
        <v>3.1077087361865323</v>
      </c>
      <c r="K8" s="34">
        <f>'SER_se-appl'!K22</f>
        <v>3.2705795015193919</v>
      </c>
      <c r="L8" s="34">
        <f>'SER_se-appl'!L22</f>
        <v>3.4746904846627475</v>
      </c>
      <c r="M8" s="34">
        <f>'SER_se-appl'!M22</f>
        <v>3.6638985287977812</v>
      </c>
      <c r="N8" s="34">
        <f>'SER_se-appl'!N22</f>
        <v>3.8911290899863866</v>
      </c>
      <c r="O8" s="34">
        <f>'SER_se-appl'!O22</f>
        <v>4.0623260315288574</v>
      </c>
      <c r="P8" s="34">
        <f>'SER_se-appl'!P22</f>
        <v>4.220247673027103</v>
      </c>
      <c r="Q8" s="34">
        <f>'SER_se-appl'!Q22</f>
        <v>4.4437521133680349</v>
      </c>
      <c r="R8" s="34">
        <f>'SER_se-appl'!R22</f>
        <v>4.612417367976601</v>
      </c>
      <c r="S8" s="34">
        <f>'SER_se-appl'!S22</f>
        <v>4.81232808204678</v>
      </c>
      <c r="T8" s="34">
        <f>'SER_se-appl'!T22</f>
        <v>5.0089959403969271</v>
      </c>
      <c r="U8" s="34">
        <f>'SER_se-appl'!U22</f>
        <v>5.1952217011650559</v>
      </c>
      <c r="V8" s="34">
        <f>'SER_se-appl'!V22</f>
        <v>5.3525580440676972</v>
      </c>
      <c r="W8" s="34">
        <f>'SER_se-appl'!W22</f>
        <v>5.4682426811694294</v>
      </c>
      <c r="DA8" s="88" t="s">
        <v>923</v>
      </c>
    </row>
    <row r="9" spans="1:105" ht="12.95" customHeight="1" x14ac:dyDescent="0.25">
      <c r="A9" s="203" t="str">
        <f>"Number of new appliances "&amp;MID('SER_se-appl'!A30,FIND("(",'SER_se-appl'!A30),100)</f>
        <v>Number of new appliances (million units)</v>
      </c>
      <c r="B9" s="36"/>
      <c r="C9" s="36">
        <f>'SER_se-appl'!C30</f>
        <v>0.42801807486876742</v>
      </c>
      <c r="D9" s="36">
        <f>'SER_se-appl'!D30</f>
        <v>0.43685808712852525</v>
      </c>
      <c r="E9" s="36">
        <f>'SER_se-appl'!E30</f>
        <v>0.45229333880054323</v>
      </c>
      <c r="F9" s="36">
        <f>'SER_se-appl'!F30</f>
        <v>0.49795126993253813</v>
      </c>
      <c r="G9" s="36">
        <f>'SER_se-appl'!G30</f>
        <v>0.51130623645904461</v>
      </c>
      <c r="H9" s="36">
        <f>'SER_se-appl'!H30</f>
        <v>0.51445210744044223</v>
      </c>
      <c r="I9" s="36">
        <f>'SER_se-appl'!I30</f>
        <v>0.55290552847017738</v>
      </c>
      <c r="J9" s="36">
        <f>'SER_se-appl'!J30</f>
        <v>0.5788002550837863</v>
      </c>
      <c r="K9" s="36">
        <f>'SER_se-appl'!K30</f>
        <v>0.61516410413340283</v>
      </c>
      <c r="L9" s="36">
        <f>'SER_se-appl'!L30</f>
        <v>0.70206225307589376</v>
      </c>
      <c r="M9" s="36">
        <f>'SER_se-appl'!M30</f>
        <v>0.70051428059407828</v>
      </c>
      <c r="N9" s="36">
        <f>'SER_se-appl'!N30</f>
        <v>0.74168266862904764</v>
      </c>
      <c r="O9" s="36">
        <f>'SER_se-appl'!O30</f>
        <v>0.72410247001264816</v>
      </c>
      <c r="P9" s="36">
        <f>'SER_se-appl'!P30</f>
        <v>0.73672189658203191</v>
      </c>
      <c r="Q9" s="36">
        <f>'SER_se-appl'!Q30</f>
        <v>0.8386685444743347</v>
      </c>
      <c r="R9" s="36">
        <f>'SER_se-appl'!R30</f>
        <v>0.87072750768445983</v>
      </c>
      <c r="S9" s="36">
        <f>'SER_se-appl'!S30</f>
        <v>0.90042499466425729</v>
      </c>
      <c r="T9" s="36">
        <f>'SER_se-appl'!T30</f>
        <v>0.9383505269791943</v>
      </c>
      <c r="U9" s="36">
        <f>'SER_se-appl'!U30</f>
        <v>0.91032823078077652</v>
      </c>
      <c r="V9" s="36">
        <f>'SER_se-appl'!V30</f>
        <v>0.89405823948467322</v>
      </c>
      <c r="W9" s="36">
        <f>'SER_se-appl'!W30</f>
        <v>0.95435318157606641</v>
      </c>
      <c r="DA9" s="89" t="s">
        <v>929</v>
      </c>
    </row>
    <row r="10" spans="1:105" ht="12" customHeight="1" x14ac:dyDescent="0.25">
      <c r="A10" s="204" t="str">
        <f>"Number of replaced appliances "&amp;MID('SER_se-appl'!A38,FIND("(",'SER_se-appl'!A38),100)</f>
        <v>Number of replaced appliances (million units)</v>
      </c>
      <c r="B10" s="38"/>
      <c r="C10" s="38">
        <f>'SER_se-appl'!C38</f>
        <v>0.36820816459573047</v>
      </c>
      <c r="D10" s="38">
        <f>'SER_se-appl'!D38</f>
        <v>0.37777360593622689</v>
      </c>
      <c r="E10" s="38">
        <f>'SER_se-appl'!E38</f>
        <v>0.3875875416797161</v>
      </c>
      <c r="F10" s="38">
        <f>'SER_se-appl'!F38</f>
        <v>0.39765642730129125</v>
      </c>
      <c r="G10" s="38">
        <f>'SER_se-appl'!G38</f>
        <v>0.40798688597864885</v>
      </c>
      <c r="H10" s="38">
        <f>'SER_se-appl'!H38</f>
        <v>0.41858571294872782</v>
      </c>
      <c r="I10" s="38">
        <f>'SER_se-appl'!I38</f>
        <v>0.42801807486876742</v>
      </c>
      <c r="J10" s="38">
        <f>'SER_se-appl'!J38</f>
        <v>0.43685808712852525</v>
      </c>
      <c r="K10" s="38">
        <f>'SER_se-appl'!K38</f>
        <v>0.45229333880054323</v>
      </c>
      <c r="L10" s="38">
        <f>'SER_se-appl'!L38</f>
        <v>0.49795126993253813</v>
      </c>
      <c r="M10" s="38">
        <f>'SER_se-appl'!M38</f>
        <v>0.51130623645904461</v>
      </c>
      <c r="N10" s="38">
        <f>'SER_se-appl'!N38</f>
        <v>0.51445210744044179</v>
      </c>
      <c r="O10" s="38">
        <f>'SER_se-appl'!O38</f>
        <v>0.55290552847017782</v>
      </c>
      <c r="P10" s="38">
        <f>'SER_se-appl'!P38</f>
        <v>0.5788002550837863</v>
      </c>
      <c r="Q10" s="38">
        <f>'SER_se-appl'!Q38</f>
        <v>0.61516410413340239</v>
      </c>
      <c r="R10" s="38">
        <f>'SER_se-appl'!R38</f>
        <v>0.7020622530758942</v>
      </c>
      <c r="S10" s="38">
        <f>'SER_se-appl'!S38</f>
        <v>0.70051428059407872</v>
      </c>
      <c r="T10" s="38">
        <f>'SER_se-appl'!T38</f>
        <v>0.74168266862904719</v>
      </c>
      <c r="U10" s="38">
        <f>'SER_se-appl'!U38</f>
        <v>0.72410247001264771</v>
      </c>
      <c r="V10" s="38">
        <f>'SER_se-appl'!V38</f>
        <v>0.73672189658203191</v>
      </c>
      <c r="W10" s="38">
        <f>'SER_se-appl'!W38</f>
        <v>0.83866854447433425</v>
      </c>
      <c r="DA10" s="90" t="s">
        <v>935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'SER_se-appl'!B46</f>
        <v>2135.8560171032786</v>
      </c>
      <c r="C12" s="205">
        <f>'SER_se-appl'!C46</f>
        <v>2153.6635172531933</v>
      </c>
      <c r="D12" s="205">
        <f>'SER_se-appl'!D46</f>
        <v>2170.2948770048542</v>
      </c>
      <c r="E12" s="205">
        <f>'SER_se-appl'!E46</f>
        <v>2184.3325896430347</v>
      </c>
      <c r="F12" s="205">
        <f>'SER_se-appl'!F46</f>
        <v>2202.2637593868517</v>
      </c>
      <c r="G12" s="205">
        <f>'SER_se-appl'!G46</f>
        <v>2217.9682791920804</v>
      </c>
      <c r="H12" s="205">
        <f>'SER_se-appl'!H46</f>
        <v>2234.9729585777905</v>
      </c>
      <c r="I12" s="205">
        <f>'SER_se-appl'!I46</f>
        <v>2252.3393171192633</v>
      </c>
      <c r="J12" s="205">
        <f>'SER_se-appl'!J46</f>
        <v>2262.3655154066573</v>
      </c>
      <c r="K12" s="205">
        <f>'SER_se-appl'!K46</f>
        <v>2271.4390567871169</v>
      </c>
      <c r="L12" s="205">
        <f>'SER_se-appl'!L46</f>
        <v>2278.2486400647431</v>
      </c>
      <c r="M12" s="205">
        <f>'SER_se-appl'!M46</f>
        <v>2285.1655294380398</v>
      </c>
      <c r="N12" s="205">
        <f>'SER_se-appl'!N46</f>
        <v>2285.7397176634036</v>
      </c>
      <c r="O12" s="205">
        <f>'SER_se-appl'!O46</f>
        <v>2287.3780357620449</v>
      </c>
      <c r="P12" s="205">
        <f>'SER_se-appl'!P46</f>
        <v>2292.2481338468574</v>
      </c>
      <c r="Q12" s="205">
        <f>'SER_se-appl'!Q46</f>
        <v>2296.222111952155</v>
      </c>
      <c r="R12" s="205">
        <f>'SER_se-appl'!R46</f>
        <v>2368.3771911644917</v>
      </c>
      <c r="S12" s="205">
        <f>'SER_se-appl'!S46</f>
        <v>2400.6428966632207</v>
      </c>
      <c r="T12" s="205">
        <f>'SER_se-appl'!T46</f>
        <v>2377.1457298909709</v>
      </c>
      <c r="U12" s="205">
        <f>'SER_se-appl'!U46</f>
        <v>2349.5232057430626</v>
      </c>
      <c r="V12" s="205">
        <f>'SER_se-appl'!V46</f>
        <v>1946.8086959332049</v>
      </c>
      <c r="W12" s="205">
        <f>'SER_se-appl'!W46</f>
        <v>2172.0173807291458</v>
      </c>
      <c r="DA12" s="209" t="s">
        <v>941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"&amp;MID('SER_se-appl'!A54,FIND("(",'SER_se-appl'!A54),100)</f>
        <v>W per appliance in average operating mode (W per appliance)</v>
      </c>
      <c r="B14" s="59">
        <f>'SER_se-appl'!B54</f>
        <v>53.502564938179624</v>
      </c>
      <c r="C14" s="59">
        <f>'SER_se-appl'!C54</f>
        <v>52.94899013689885</v>
      </c>
      <c r="D14" s="59">
        <f>'SER_se-appl'!D54</f>
        <v>52.14503496096534</v>
      </c>
      <c r="E14" s="59">
        <f>'SER_se-appl'!E54</f>
        <v>51.159975088899138</v>
      </c>
      <c r="F14" s="59">
        <f>'SER_se-appl'!F54</f>
        <v>49.966028305434641</v>
      </c>
      <c r="G14" s="59">
        <f>'SER_se-appl'!G54</f>
        <v>48.569867597082336</v>
      </c>
      <c r="H14" s="59">
        <f>'SER_se-appl'!H54</f>
        <v>47.063784545106174</v>
      </c>
      <c r="I14" s="59">
        <f>'SER_se-appl'!I54</f>
        <v>45.851490215111397</v>
      </c>
      <c r="J14" s="59">
        <f>'SER_se-appl'!J54</f>
        <v>44.676721595298133</v>
      </c>
      <c r="K14" s="59">
        <f>'SER_se-appl'!K54</f>
        <v>43.407463513106336</v>
      </c>
      <c r="L14" s="59">
        <f>'SER_se-appl'!L54</f>
        <v>41.914171593431348</v>
      </c>
      <c r="M14" s="59">
        <f>'SER_se-appl'!M54</f>
        <v>40.450090604503039</v>
      </c>
      <c r="N14" s="59">
        <f>'SER_se-appl'!N54</f>
        <v>38.824628554114646</v>
      </c>
      <c r="O14" s="59">
        <f>'SER_se-appl'!O54</f>
        <v>37.104195567357387</v>
      </c>
      <c r="P14" s="59">
        <f>'SER_se-appl'!P54</f>
        <v>35.309887593781532</v>
      </c>
      <c r="Q14" s="59">
        <f>'SER_se-appl'!Q54</f>
        <v>33.274345924268218</v>
      </c>
      <c r="R14" s="59">
        <f>'SER_se-appl'!R54</f>
        <v>30.794465763988434</v>
      </c>
      <c r="S14" s="59">
        <f>'SER_se-appl'!S54</f>
        <v>28.419153055466271</v>
      </c>
      <c r="T14" s="59">
        <f>'SER_se-appl'!T54</f>
        <v>26.041012137307391</v>
      </c>
      <c r="U14" s="59">
        <f>'SER_se-appl'!U54</f>
        <v>23.894522233472134</v>
      </c>
      <c r="V14" s="59">
        <f>'SER_se-appl'!V54</f>
        <v>21.900847583378315</v>
      </c>
      <c r="W14" s="59">
        <f>'SER_se-appl'!W54</f>
        <v>19.839183428931733</v>
      </c>
      <c r="DA14" s="104" t="s">
        <v>947</v>
      </c>
    </row>
    <row r="15" spans="1:105" ht="12" customHeight="1" x14ac:dyDescent="0.25">
      <c r="A15" s="204" t="str">
        <f>"W per new appliance in average operating mode "&amp;MID('SER_se-appl'!A54,FIND("(",'SER_se-appl'!A54),100)</f>
        <v>W per new appliance in average operating mode (W per appliance)</v>
      </c>
      <c r="B15" s="63"/>
      <c r="C15" s="63">
        <f>'SER_se-appl'!C62</f>
        <v>50.375764729411337</v>
      </c>
      <c r="D15" s="63">
        <f>'SER_se-appl'!D62</f>
        <v>48.869807347168312</v>
      </c>
      <c r="E15" s="63">
        <f>'SER_se-appl'!E62</f>
        <v>47.773385344102607</v>
      </c>
      <c r="F15" s="63">
        <f>'SER_se-appl'!F62</f>
        <v>46.696696198564574</v>
      </c>
      <c r="G15" s="63">
        <f>'SER_se-appl'!G62</f>
        <v>45.292472292525481</v>
      </c>
      <c r="H15" s="63">
        <f>'SER_se-appl'!H62</f>
        <v>44.266564681310207</v>
      </c>
      <c r="I15" s="63">
        <f>'SER_se-appl'!I62</f>
        <v>43.124965885993227</v>
      </c>
      <c r="J15" s="63">
        <f>'SER_se-appl'!J62</f>
        <v>41.822012975513061</v>
      </c>
      <c r="K15" s="63">
        <f>'SER_se-appl'!K62</f>
        <v>40.205379621371101</v>
      </c>
      <c r="L15" s="63">
        <f>'SER_se-appl'!L62</f>
        <v>38.34972167364144</v>
      </c>
      <c r="M15" s="63">
        <f>'SER_se-appl'!M62</f>
        <v>36.722417383638259</v>
      </c>
      <c r="N15" s="63">
        <f>'SER_se-appl'!N62</f>
        <v>34.569557430939966</v>
      </c>
      <c r="O15" s="63">
        <f>'SER_se-appl'!O62</f>
        <v>32.456359402316188</v>
      </c>
      <c r="P15" s="63">
        <f>'SER_se-appl'!P62</f>
        <v>30.53217679967694</v>
      </c>
      <c r="Q15" s="63">
        <f>'SER_se-appl'!Q62</f>
        <v>28.115255497395815</v>
      </c>
      <c r="R15" s="63">
        <f>'SER_se-appl'!R62</f>
        <v>24.230170199413148</v>
      </c>
      <c r="S15" s="63">
        <f>'SER_se-appl'!S62</f>
        <v>22.711427943229026</v>
      </c>
      <c r="T15" s="63">
        <f>'SER_se-appl'!T62</f>
        <v>20.585779851037383</v>
      </c>
      <c r="U15" s="63">
        <f>'SER_se-appl'!U62</f>
        <v>18.894005256531379</v>
      </c>
      <c r="V15" s="63">
        <f>'SER_se-appl'!V62</f>
        <v>17.428328456123861</v>
      </c>
      <c r="W15" s="63">
        <f>'SER_se-appl'!W62</f>
        <v>15.549057071660025</v>
      </c>
      <c r="DA15" s="105" t="s">
        <v>953</v>
      </c>
    </row>
    <row r="16" spans="1:105" ht="12.95" customHeight="1" x14ac:dyDescent="0.25">
      <c r="A16" s="204" t="s">
        <v>109</v>
      </c>
      <c r="B16" s="63">
        <v>0</v>
      </c>
      <c r="C16" s="63">
        <v>0</v>
      </c>
      <c r="D16" s="63">
        <v>0</v>
      </c>
      <c r="E16" s="63">
        <v>0</v>
      </c>
      <c r="F16" s="63">
        <v>0</v>
      </c>
      <c r="G16" s="63">
        <v>0</v>
      </c>
      <c r="H16" s="63">
        <v>0</v>
      </c>
      <c r="I16" s="63">
        <v>0</v>
      </c>
      <c r="J16" s="63">
        <v>0</v>
      </c>
      <c r="K16" s="63">
        <v>0</v>
      </c>
      <c r="L16" s="63">
        <v>0</v>
      </c>
      <c r="M16" s="63">
        <v>0</v>
      </c>
      <c r="N16" s="63">
        <v>0</v>
      </c>
      <c r="O16" s="63">
        <v>0</v>
      </c>
      <c r="P16" s="63">
        <v>0</v>
      </c>
      <c r="Q16" s="63">
        <v>0</v>
      </c>
      <c r="R16" s="63">
        <v>0</v>
      </c>
      <c r="S16" s="63">
        <v>0</v>
      </c>
      <c r="T16" s="63">
        <v>0</v>
      </c>
      <c r="U16" s="63">
        <v>0</v>
      </c>
      <c r="V16" s="63">
        <v>0</v>
      </c>
      <c r="W16" s="63">
        <v>0</v>
      </c>
      <c r="DA16" s="105" t="s">
        <v>963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'SER_se-appl'!B7</f>
        <v>9.9434627316909712</v>
      </c>
      <c r="C3" s="199">
        <f>'SER_se-appl'!C7</f>
        <v>10.110623384494989</v>
      </c>
      <c r="D3" s="199">
        <f>'SER_se-appl'!D7</f>
        <v>10.279252029766852</v>
      </c>
      <c r="E3" s="199">
        <f>'SER_se-appl'!E7</f>
        <v>10.412851439983793</v>
      </c>
      <c r="F3" s="199">
        <f>'SER_se-appl'!F7</f>
        <v>10.507397758621893</v>
      </c>
      <c r="G3" s="199">
        <f>'SER_se-appl'!G7</f>
        <v>10.70190438220904</v>
      </c>
      <c r="H3" s="199">
        <f>'SER_se-appl'!H7</f>
        <v>10.961726615439391</v>
      </c>
      <c r="I3" s="199">
        <f>'SER_se-appl'!I7</f>
        <v>11.268265058157851</v>
      </c>
      <c r="J3" s="199">
        <f>'SER_se-appl'!J7</f>
        <v>11.586507727647106</v>
      </c>
      <c r="K3" s="199">
        <f>'SER_se-appl'!K7</f>
        <v>11.923368117380184</v>
      </c>
      <c r="L3" s="199">
        <f>'SER_se-appl'!L7</f>
        <v>12.182898344128548</v>
      </c>
      <c r="M3" s="199">
        <f>'SER_se-appl'!M7</f>
        <v>12.426994099322581</v>
      </c>
      <c r="N3" s="199">
        <f>'SER_se-appl'!N7</f>
        <v>12.729176685180555</v>
      </c>
      <c r="O3" s="199">
        <f>'SER_se-appl'!O7</f>
        <v>12.781923632204114</v>
      </c>
      <c r="P3" s="199">
        <f>'SER_se-appl'!P7</f>
        <v>12.678564244045937</v>
      </c>
      <c r="Q3" s="199">
        <f>'SER_se-appl'!Q7</f>
        <v>12.586016648876708</v>
      </c>
      <c r="R3" s="199">
        <f>'SER_se-appl'!R7</f>
        <v>12.532210361461781</v>
      </c>
      <c r="S3" s="199">
        <f>'SER_se-appl'!S7</f>
        <v>12.512936289114522</v>
      </c>
      <c r="T3" s="199">
        <f>'SER_se-appl'!T7</f>
        <v>12.487753125635829</v>
      </c>
      <c r="U3" s="199">
        <f>'SER_se-appl'!U7</f>
        <v>12.452315101333937</v>
      </c>
      <c r="V3" s="199">
        <f>'SER_se-appl'!V7</f>
        <v>12.421459634344732</v>
      </c>
      <c r="W3" s="199">
        <f>'SER_se-appl'!W7</f>
        <v>12.368920231091394</v>
      </c>
      <c r="DA3" s="206" t="s">
        <v>911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'SER_se-appl'!B15</f>
        <v>13.201195384653655</v>
      </c>
      <c r="C5" s="59">
        <f>'SER_se-appl'!C15</f>
        <v>13.423122141743917</v>
      </c>
      <c r="D5" s="59">
        <f>'SER_se-appl'!D15</f>
        <v>13.646997843172207</v>
      </c>
      <c r="E5" s="59">
        <f>'SER_se-appl'!E15</f>
        <v>13.824367836416837</v>
      </c>
      <c r="F5" s="59">
        <f>'SER_se-appl'!F15</f>
        <v>13.949889946663546</v>
      </c>
      <c r="G5" s="59">
        <f>'SER_se-appl'!G15</f>
        <v>14.208121913823186</v>
      </c>
      <c r="H5" s="59">
        <f>'SER_se-appl'!H15</f>
        <v>14.553068554516003</v>
      </c>
      <c r="I5" s="59">
        <f>'SER_se-appl'!I15</f>
        <v>14.960036829494959</v>
      </c>
      <c r="J5" s="59">
        <f>'SER_se-appl'!J15</f>
        <v>15.382543935220983</v>
      </c>
      <c r="K5" s="59">
        <f>'SER_se-appl'!K15</f>
        <v>15.82976840241227</v>
      </c>
      <c r="L5" s="59">
        <f>'SER_se-appl'!L15</f>
        <v>16.17432736783277</v>
      </c>
      <c r="M5" s="59">
        <f>'SER_se-appl'!M15</f>
        <v>16.49839513414631</v>
      </c>
      <c r="N5" s="59">
        <f>'SER_se-appl'!N15</f>
        <v>16.89958046217464</v>
      </c>
      <c r="O5" s="59">
        <f>'SER_se-appl'!O15</f>
        <v>16.969608657823485</v>
      </c>
      <c r="P5" s="59">
        <f>'SER_se-appl'!P15</f>
        <v>16.832386091124913</v>
      </c>
      <c r="Q5" s="59">
        <f>'SER_se-appl'!Q15</f>
        <v>16.7095175372644</v>
      </c>
      <c r="R5" s="59">
        <f>'SER_se-appl'!R15</f>
        <v>16.638082934223803</v>
      </c>
      <c r="S5" s="59">
        <f>'SER_se-appl'!S15</f>
        <v>16.612494182922589</v>
      </c>
      <c r="T5" s="59">
        <f>'SER_se-appl'!T15</f>
        <v>16.579060371135238</v>
      </c>
      <c r="U5" s="59">
        <f>'SER_se-appl'!U15</f>
        <v>16.532011943894258</v>
      </c>
      <c r="V5" s="59">
        <f>'SER_se-appl'!V15</f>
        <v>16.491047436921146</v>
      </c>
      <c r="W5" s="59">
        <f>'SER_se-appl'!W15</f>
        <v>16.421294781688687</v>
      </c>
      <c r="DA5" s="104" t="s">
        <v>918</v>
      </c>
    </row>
    <row r="6" spans="1:105" ht="12" customHeight="1" x14ac:dyDescent="0.25">
      <c r="A6" s="201" t="str">
        <f>"Penetration factor "&amp;MID('SER_se-appl'!A71,FIND("(",'SER_se-appl'!A71),100)</f>
        <v>Penetration factor (unit per capita)</v>
      </c>
      <c r="B6" s="202">
        <f>'SER_se-appl'!B71</f>
        <v>2.6428513317755652E-2</v>
      </c>
      <c r="C6" s="202">
        <f>'SER_se-appl'!C71</f>
        <v>2.6874491972959734E-2</v>
      </c>
      <c r="D6" s="202">
        <f>'SER_se-appl'!D71</f>
        <v>2.7368068613192135E-2</v>
      </c>
      <c r="E6" s="202">
        <f>'SER_se-appl'!E71</f>
        <v>2.779218197926971E-2</v>
      </c>
      <c r="F6" s="202">
        <f>'SER_se-appl'!F71</f>
        <v>2.8102920033128944E-2</v>
      </c>
      <c r="G6" s="202">
        <f>'SER_se-appl'!G71</f>
        <v>2.8710737923356454E-2</v>
      </c>
      <c r="H6" s="202">
        <f>'SER_se-appl'!H71</f>
        <v>2.9539541208710451E-2</v>
      </c>
      <c r="I6" s="202">
        <f>'SER_se-appl'!I71</f>
        <v>3.0456277989161323E-2</v>
      </c>
      <c r="J6" s="202">
        <f>'SER_se-appl'!J71</f>
        <v>3.1302219649930074E-2</v>
      </c>
      <c r="K6" s="202">
        <f>'SER_se-appl'!K71</f>
        <v>3.2199698365930972E-2</v>
      </c>
      <c r="L6" s="202">
        <f>'SER_se-appl'!L71</f>
        <v>3.2903830831184908E-2</v>
      </c>
      <c r="M6" s="202">
        <f>'SER_se-appl'!M71</f>
        <v>3.3448193935526491E-2</v>
      </c>
      <c r="N6" s="202">
        <f>'SER_se-appl'!N71</f>
        <v>3.405383319191619E-2</v>
      </c>
      <c r="O6" s="202">
        <f>'SER_se-appl'!O71</f>
        <v>3.4672508464393875E-2</v>
      </c>
      <c r="P6" s="202">
        <f>'SER_se-appl'!P71</f>
        <v>3.5345266208336217E-2</v>
      </c>
      <c r="Q6" s="202">
        <f>'SER_se-appl'!Q71</f>
        <v>3.6309530067613408E-2</v>
      </c>
      <c r="R6" s="202">
        <f>'SER_se-appl'!R71</f>
        <v>3.6939063899085758E-2</v>
      </c>
      <c r="S6" s="202">
        <f>'SER_se-appl'!S71</f>
        <v>3.7504195705915531E-2</v>
      </c>
      <c r="T6" s="202">
        <f>'SER_se-appl'!T71</f>
        <v>3.792782493702531E-2</v>
      </c>
      <c r="U6" s="202">
        <f>'SER_se-appl'!U71</f>
        <v>3.8217418993719582E-2</v>
      </c>
      <c r="V6" s="202">
        <f>'SER_se-appl'!V71</f>
        <v>3.8423714453617412E-2</v>
      </c>
      <c r="W6" s="202">
        <f>'SER_se-appl'!W71</f>
        <v>3.8717068003054363E-2</v>
      </c>
      <c r="DA6" s="207" t="s">
        <v>960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"&amp;MID('SER_se-appl'!A23,FIND("(",'SER_se-appl'!A23),100)</f>
        <v>Stock of appliances (thousand units)</v>
      </c>
      <c r="B8" s="34">
        <f>'SER_se-appl'!B23</f>
        <v>18.248809160370325</v>
      </c>
      <c r="C8" s="34">
        <f>'SER_se-appl'!C23</f>
        <v>18.74627500124609</v>
      </c>
      <c r="D8" s="34">
        <f>'SER_se-appl'!D23</f>
        <v>19.309239761282967</v>
      </c>
      <c r="E8" s="34">
        <f>'SER_se-appl'!E23</f>
        <v>19.835836122244377</v>
      </c>
      <c r="F8" s="34">
        <f>'SER_se-appl'!F23</f>
        <v>20.315404171508682</v>
      </c>
      <c r="G8" s="34">
        <f>'SER_se-appl'!G23</f>
        <v>21.046894517261144</v>
      </c>
      <c r="H8" s="34">
        <f>'SER_se-appl'!H23</f>
        <v>21.977802673316287</v>
      </c>
      <c r="I8" s="34">
        <f>'SER_se-appl'!I23</f>
        <v>23.083300388433191</v>
      </c>
      <c r="J8" s="34">
        <f>'SER_se-appl'!J23</f>
        <v>24.300946087489162</v>
      </c>
      <c r="K8" s="34">
        <f>'SER_se-appl'!K23</f>
        <v>25.660905618761369</v>
      </c>
      <c r="L8" s="34">
        <f>'SER_se-appl'!L23</f>
        <v>26.952843987056806</v>
      </c>
      <c r="M8" s="34">
        <f>'SER_se-appl'!M23</f>
        <v>28.088154305552308</v>
      </c>
      <c r="N8" s="34">
        <f>'SER_se-appl'!N23</f>
        <v>29.354778803596865</v>
      </c>
      <c r="O8" s="34">
        <f>'SER_se-appl'!O23</f>
        <v>30.022162284132438</v>
      </c>
      <c r="P8" s="34">
        <f>'SER_se-appl'!P23</f>
        <v>30.326238406752474</v>
      </c>
      <c r="Q8" s="34">
        <f>'SER_se-appl'!Q23</f>
        <v>30.754462443509095</v>
      </c>
      <c r="R8" s="34">
        <f>'SER_se-appl'!R23</f>
        <v>31.336109747808532</v>
      </c>
      <c r="S8" s="34">
        <f>'SER_se-appl'!S23</f>
        <v>32.058661497808011</v>
      </c>
      <c r="T8" s="34">
        <f>'SER_se-appl'!T23</f>
        <v>32.778591712275002</v>
      </c>
      <c r="U8" s="34">
        <f>'SER_se-appl'!U23</f>
        <v>33.474599079179988</v>
      </c>
      <c r="V8" s="34">
        <f>'SER_se-appl'!V23</f>
        <v>34.120450553384529</v>
      </c>
      <c r="W8" s="34">
        <f>'SER_se-appl'!W23</f>
        <v>34.690763950212727</v>
      </c>
      <c r="DA8" s="88" t="s">
        <v>924</v>
      </c>
    </row>
    <row r="9" spans="1:105" ht="12.95" customHeight="1" x14ac:dyDescent="0.25">
      <c r="A9" s="203" t="str">
        <f>"Number of new appliances "&amp;MID('SER_se-appl'!A31,FIND("(",'SER_se-appl'!A31),100)</f>
        <v>Number of new appliances (thousand units)</v>
      </c>
      <c r="B9" s="36"/>
      <c r="C9" s="36">
        <f>'SER_se-appl'!C31</f>
        <v>2.1559742321244286</v>
      </c>
      <c r="D9" s="36">
        <f>'SER_se-appl'!D31</f>
        <v>2.2564082791841855</v>
      </c>
      <c r="E9" s="36">
        <f>'SER_se-appl'!E31</f>
        <v>2.2557108880111905</v>
      </c>
      <c r="F9" s="36">
        <f>'SER_se-appl'!F31</f>
        <v>2.2451049649330628</v>
      </c>
      <c r="G9" s="36">
        <f>'SER_se-appl'!G31</f>
        <v>2.534216857979267</v>
      </c>
      <c r="H9" s="36">
        <f>'SER_se-appl'!H31</f>
        <v>2.7716076333891735</v>
      </c>
      <c r="I9" s="36">
        <f>'SER_se-appl'!I31</f>
        <v>2.9849700271275346</v>
      </c>
      <c r="J9" s="36">
        <f>'SER_se-appl'!J31</f>
        <v>3.1367075639133191</v>
      </c>
      <c r="K9" s="36">
        <f>'SER_se-appl'!K31</f>
        <v>3.3194448706491677</v>
      </c>
      <c r="L9" s="36">
        <f>'SER_se-appl'!L31</f>
        <v>3.2926986697454694</v>
      </c>
      <c r="M9" s="36">
        <f>'SER_se-appl'!M31</f>
        <v>3.2912845506199311</v>
      </c>
      <c r="N9" s="36">
        <f>'SER_se-appl'!N31</f>
        <v>3.5230327772287424</v>
      </c>
      <c r="O9" s="36">
        <f>'SER_se-appl'!O31</f>
        <v>2.9230943685467636</v>
      </c>
      <c r="P9" s="36">
        <f>'SER_se-appl'!P31</f>
        <v>2.549181087553098</v>
      </c>
      <c r="Q9" s="36">
        <f>'SER_se-appl'!Q31</f>
        <v>2.962440894735888</v>
      </c>
      <c r="R9" s="36">
        <f>'SER_se-appl'!R31</f>
        <v>3.3532549376886109</v>
      </c>
      <c r="S9" s="36">
        <f>'SER_se-appl'!S31</f>
        <v>3.7075217771270133</v>
      </c>
      <c r="T9" s="36">
        <f>'SER_se-appl'!T31</f>
        <v>3.8566377783803105</v>
      </c>
      <c r="U9" s="36">
        <f>'SER_se-appl'!U31</f>
        <v>4.0154522375541539</v>
      </c>
      <c r="V9" s="36">
        <f>'SER_se-appl'!V31</f>
        <v>3.9385501439500104</v>
      </c>
      <c r="W9" s="36">
        <f>'SER_se-appl'!W31</f>
        <v>3.8615979474481286</v>
      </c>
      <c r="DA9" s="89" t="s">
        <v>930</v>
      </c>
    </row>
    <row r="10" spans="1:105" ht="12" customHeight="1" x14ac:dyDescent="0.25">
      <c r="A10" s="204" t="str">
        <f>"Number of replaced appliances "&amp;MID('SER_se-appl'!A39,FIND("(",'SER_se-appl'!A39),100)</f>
        <v>Number of replaced appliances (thousand units)</v>
      </c>
      <c r="B10" s="38"/>
      <c r="C10" s="38">
        <f>'SER_se-appl'!C39</f>
        <v>1.6585083912486631</v>
      </c>
      <c r="D10" s="38">
        <f>'SER_se-appl'!D39</f>
        <v>1.6934435191473085</v>
      </c>
      <c r="E10" s="38">
        <f>'SER_se-appl'!E39</f>
        <v>1.7291145270497807</v>
      </c>
      <c r="F10" s="38">
        <f>'SER_se-appl'!F39</f>
        <v>1.7655369156687577</v>
      </c>
      <c r="G10" s="38">
        <f>'SER_se-appl'!G39</f>
        <v>1.8027265122268048</v>
      </c>
      <c r="H10" s="38">
        <f>'SER_se-appl'!H39</f>
        <v>1.8406994773340308</v>
      </c>
      <c r="I10" s="38">
        <f>'SER_se-appl'!I39</f>
        <v>1.8794723120106305</v>
      </c>
      <c r="J10" s="38">
        <f>'SER_se-appl'!J39</f>
        <v>1.9190618648573476</v>
      </c>
      <c r="K10" s="38">
        <f>'SER_se-appl'!K39</f>
        <v>1.9594853393769611</v>
      </c>
      <c r="L10" s="38">
        <f>'SER_se-appl'!L39</f>
        <v>2.0007603014500326</v>
      </c>
      <c r="M10" s="38">
        <f>'SER_se-appl'!M39</f>
        <v>2.1559742321244286</v>
      </c>
      <c r="N10" s="38">
        <f>'SER_se-appl'!N39</f>
        <v>2.2564082791841855</v>
      </c>
      <c r="O10" s="38">
        <f>'SER_se-appl'!O39</f>
        <v>2.2557108880111905</v>
      </c>
      <c r="P10" s="38">
        <f>'SER_se-appl'!P39</f>
        <v>2.2451049649330628</v>
      </c>
      <c r="Q10" s="38">
        <f>'SER_se-appl'!Q39</f>
        <v>2.5342168579792634</v>
      </c>
      <c r="R10" s="38">
        <f>'SER_se-appl'!R39</f>
        <v>2.7716076333891699</v>
      </c>
      <c r="S10" s="38">
        <f>'SER_se-appl'!S39</f>
        <v>2.9849700271275381</v>
      </c>
      <c r="T10" s="38">
        <f>'SER_se-appl'!T39</f>
        <v>3.1367075639133191</v>
      </c>
      <c r="U10" s="38">
        <f>'SER_se-appl'!U39</f>
        <v>3.3194448706491713</v>
      </c>
      <c r="V10" s="38">
        <f>'SER_se-appl'!V39</f>
        <v>3.2926986697454694</v>
      </c>
      <c r="W10" s="38">
        <f>'SER_se-appl'!W39</f>
        <v>3.2912845506199346</v>
      </c>
      <c r="DA10" s="90" t="s">
        <v>936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'SER_se-appl'!B47</f>
        <v>8759.9999999999982</v>
      </c>
      <c r="C12" s="205">
        <f>'SER_se-appl'!C47</f>
        <v>8760</v>
      </c>
      <c r="D12" s="205">
        <f>'SER_se-appl'!D47</f>
        <v>8759.9999999999964</v>
      </c>
      <c r="E12" s="205">
        <f>'SER_se-appl'!E47</f>
        <v>8760.0000000000018</v>
      </c>
      <c r="F12" s="205">
        <f>'SER_se-appl'!F47</f>
        <v>8759.9999999999964</v>
      </c>
      <c r="G12" s="205">
        <f>'SER_se-appl'!G47</f>
        <v>8760.0000000000018</v>
      </c>
      <c r="H12" s="205">
        <f>'SER_se-appl'!H47</f>
        <v>8759.9999999999964</v>
      </c>
      <c r="I12" s="205">
        <f>'SER_se-appl'!I47</f>
        <v>8759.9999999999982</v>
      </c>
      <c r="J12" s="205">
        <f>'SER_se-appl'!J47</f>
        <v>8760.0000000000018</v>
      </c>
      <c r="K12" s="205">
        <f>'SER_se-appl'!K47</f>
        <v>8760.0000000000036</v>
      </c>
      <c r="L12" s="205">
        <f>'SER_se-appl'!L47</f>
        <v>8759.9999999999964</v>
      </c>
      <c r="M12" s="205">
        <f>'SER_se-appl'!M47</f>
        <v>8759.9999999999964</v>
      </c>
      <c r="N12" s="205">
        <f>'SER_se-appl'!N47</f>
        <v>8760</v>
      </c>
      <c r="O12" s="205">
        <f>'SER_se-appl'!O47</f>
        <v>8760.0000000000055</v>
      </c>
      <c r="P12" s="205">
        <f>'SER_se-appl'!P47</f>
        <v>8760</v>
      </c>
      <c r="Q12" s="205">
        <f>'SER_se-appl'!Q47</f>
        <v>8759.9999999999982</v>
      </c>
      <c r="R12" s="205">
        <f>'SER_se-appl'!R47</f>
        <v>8760</v>
      </c>
      <c r="S12" s="205">
        <f>'SER_se-appl'!S47</f>
        <v>8760</v>
      </c>
      <c r="T12" s="205">
        <f>'SER_se-appl'!T47</f>
        <v>8760</v>
      </c>
      <c r="U12" s="205">
        <f>'SER_se-appl'!U47</f>
        <v>8760</v>
      </c>
      <c r="V12" s="205">
        <f>'SER_se-appl'!V47</f>
        <v>8760</v>
      </c>
      <c r="W12" s="205">
        <f>'SER_se-appl'!W47</f>
        <v>8760.0000000000018</v>
      </c>
      <c r="DA12" s="209" t="s">
        <v>942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"&amp;MID('SER_se-appl'!A55,FIND("(",'SER_se-appl'!A55),100)</f>
        <v>W per appliance in average operating mode (W per appliance)</v>
      </c>
      <c r="B14" s="59">
        <f>'SER_se-appl'!B55</f>
        <v>723.40037471167034</v>
      </c>
      <c r="C14" s="59">
        <f>'SER_se-appl'!C55</f>
        <v>716.04210120952905</v>
      </c>
      <c r="D14" s="59">
        <f>'SER_se-appl'!D55</f>
        <v>706.75997666857165</v>
      </c>
      <c r="E14" s="59">
        <f>'SER_se-appl'!E55</f>
        <v>696.93900227950883</v>
      </c>
      <c r="F14" s="59">
        <f>'SER_se-appl'!F55</f>
        <v>686.66563701585403</v>
      </c>
      <c r="G14" s="59">
        <f>'SER_se-appl'!G55</f>
        <v>675.06975445573266</v>
      </c>
      <c r="H14" s="59">
        <f>'SER_se-appl'!H55</f>
        <v>662.17122661607982</v>
      </c>
      <c r="I14" s="59">
        <f>'SER_se-appl'!I55</f>
        <v>648.0891630640167</v>
      </c>
      <c r="J14" s="59">
        <f>'SER_se-appl'!J55</f>
        <v>633.00185432452633</v>
      </c>
      <c r="K14" s="59">
        <f>'SER_se-appl'!K55</f>
        <v>616.88268674503468</v>
      </c>
      <c r="L14" s="59">
        <f>'SER_se-appl'!L55</f>
        <v>600.09724300708103</v>
      </c>
      <c r="M14" s="59">
        <f>'SER_se-appl'!M55</f>
        <v>587.37911201538088</v>
      </c>
      <c r="N14" s="59">
        <f>'SER_se-appl'!N55</f>
        <v>575.70116863234273</v>
      </c>
      <c r="O14" s="59">
        <f>'SER_se-appl'!O55</f>
        <v>565.23605785691211</v>
      </c>
      <c r="P14" s="59">
        <f>'SER_se-appl'!P55</f>
        <v>555.04365115645192</v>
      </c>
      <c r="Q14" s="59">
        <f>'SER_se-appl'!Q55</f>
        <v>543.32009762671169</v>
      </c>
      <c r="R14" s="59">
        <f>'SER_se-appl'!R55</f>
        <v>530.95559940676344</v>
      </c>
      <c r="S14" s="59">
        <f>'SER_se-appl'!S55</f>
        <v>518.19051098120417</v>
      </c>
      <c r="T14" s="59">
        <f>'SER_se-appl'!T55</f>
        <v>505.78928212241266</v>
      </c>
      <c r="U14" s="59">
        <f>'SER_se-appl'!U55</f>
        <v>493.86736207922445</v>
      </c>
      <c r="V14" s="59">
        <f>'SER_se-appl'!V55</f>
        <v>483.31857198425365</v>
      </c>
      <c r="W14" s="59">
        <f>'SER_se-appl'!W55</f>
        <v>473.36215498903687</v>
      </c>
      <c r="DA14" s="104" t="s">
        <v>948</v>
      </c>
    </row>
    <row r="15" spans="1:105" ht="12" customHeight="1" x14ac:dyDescent="0.25">
      <c r="A15" s="204" t="str">
        <f>"W per new appliance in average operating mode "&amp;MID('SER_se-appl'!A55,FIND("(",'SER_se-appl'!A55),100)</f>
        <v>W per new appliance in average operating mode (W per appliance)</v>
      </c>
      <c r="B15" s="63"/>
      <c r="C15" s="63">
        <f>'SER_se-appl'!C63</f>
        <v>659.4199168053625</v>
      </c>
      <c r="D15" s="63">
        <f>'SER_se-appl'!D63</f>
        <v>642.13262781342291</v>
      </c>
      <c r="E15" s="63">
        <f>'SER_se-appl'!E63</f>
        <v>633.15387518081161</v>
      </c>
      <c r="F15" s="63">
        <f>'SER_se-appl'!F63</f>
        <v>624.7869024024003</v>
      </c>
      <c r="G15" s="63">
        <f>'SER_se-appl'!G63</f>
        <v>616.49222981372577</v>
      </c>
      <c r="H15" s="63">
        <f>'SER_se-appl'!H63</f>
        <v>604.88696600888102</v>
      </c>
      <c r="I15" s="63">
        <f>'SER_se-appl'!I63</f>
        <v>591.82478674590004</v>
      </c>
      <c r="J15" s="63">
        <f>'SER_se-appl'!J63</f>
        <v>577.2795649459988</v>
      </c>
      <c r="K15" s="63">
        <f>'SER_se-appl'!K63</f>
        <v>561.75564547753197</v>
      </c>
      <c r="L15" s="63">
        <f>'SER_se-appl'!L63</f>
        <v>544.20701586282871</v>
      </c>
      <c r="M15" s="63">
        <f>'SER_se-appl'!M63</f>
        <v>530.41907748958272</v>
      </c>
      <c r="N15" s="63">
        <f>'SER_se-appl'!N63</f>
        <v>525.14376752865212</v>
      </c>
      <c r="O15" s="63">
        <f>'SER_se-appl'!O63</f>
        <v>512.55282819539752</v>
      </c>
      <c r="P15" s="63">
        <f>'SER_se-appl'!P63</f>
        <v>496.4298598044756</v>
      </c>
      <c r="Q15" s="63">
        <f>'SER_se-appl'!Q63</f>
        <v>485.90216611730608</v>
      </c>
      <c r="R15" s="63">
        <f>'SER_se-appl'!R63</f>
        <v>478.66170604779825</v>
      </c>
      <c r="S15" s="63">
        <f>'SER_se-appl'!S63</f>
        <v>469.58335057860387</v>
      </c>
      <c r="T15" s="63">
        <f>'SER_se-appl'!T63</f>
        <v>460.84788569845568</v>
      </c>
      <c r="U15" s="63">
        <f>'SER_se-appl'!U63</f>
        <v>452.66843213774109</v>
      </c>
      <c r="V15" s="63">
        <f>'SER_se-appl'!V63</f>
        <v>444.56593066720217</v>
      </c>
      <c r="W15" s="63">
        <f>'SER_se-appl'!W63</f>
        <v>434.0191502770611</v>
      </c>
      <c r="DA15" s="105" t="s">
        <v>954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'SER_se-appl'!B8</f>
        <v>6.4230542133531339</v>
      </c>
      <c r="C3" s="199">
        <f>'SER_se-appl'!C8</f>
        <v>6.889981962036396</v>
      </c>
      <c r="D3" s="199">
        <f>'SER_se-appl'!D8</f>
        <v>7.4364719358983713</v>
      </c>
      <c r="E3" s="199">
        <f>'SER_se-appl'!E8</f>
        <v>7.9439869887149417</v>
      </c>
      <c r="F3" s="199">
        <f>'SER_se-appl'!F8</f>
        <v>8.5157837025230876</v>
      </c>
      <c r="G3" s="199">
        <f>'SER_se-appl'!G8</f>
        <v>9.0285540251334009</v>
      </c>
      <c r="H3" s="199">
        <f>'SER_se-appl'!H8</f>
        <v>9.5077016410940907</v>
      </c>
      <c r="I3" s="199">
        <f>'SER_se-appl'!I8</f>
        <v>10.079856352747338</v>
      </c>
      <c r="J3" s="199">
        <f>'SER_se-appl'!J8</f>
        <v>10.642083318241564</v>
      </c>
      <c r="K3" s="199">
        <f>'SER_se-appl'!K8</f>
        <v>11.230791085948365</v>
      </c>
      <c r="L3" s="199">
        <f>'SER_se-appl'!L8</f>
        <v>11.794870150418086</v>
      </c>
      <c r="M3" s="199">
        <f>'SER_se-appl'!M8</f>
        <v>12.286239269556045</v>
      </c>
      <c r="N3" s="199">
        <f>'SER_se-appl'!N8</f>
        <v>12.683171045042004</v>
      </c>
      <c r="O3" s="199">
        <f>'SER_se-appl'!O8</f>
        <v>12.71337549483451</v>
      </c>
      <c r="P3" s="199">
        <f>'SER_se-appl'!P8</f>
        <v>12.589121305700839</v>
      </c>
      <c r="Q3" s="199">
        <f>'SER_se-appl'!Q8</f>
        <v>12.409446744433652</v>
      </c>
      <c r="R3" s="199">
        <f>'SER_se-appl'!R8</f>
        <v>13.02686473157357</v>
      </c>
      <c r="S3" s="199">
        <f>'SER_se-appl'!S8</f>
        <v>13.578399386076835</v>
      </c>
      <c r="T3" s="199">
        <f>'SER_se-appl'!T8</f>
        <v>13.931834150447266</v>
      </c>
      <c r="U3" s="199">
        <f>'SER_se-appl'!U8</f>
        <v>14.183742042481921</v>
      </c>
      <c r="V3" s="199">
        <f>'SER_se-appl'!V8</f>
        <v>12.015903478308546</v>
      </c>
      <c r="W3" s="199">
        <f>'SER_se-appl'!W8</f>
        <v>13.64242172229242</v>
      </c>
      <c r="DA3" s="206" t="s">
        <v>912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'SER_se-appl'!B16</f>
        <v>80.902066908936504</v>
      </c>
      <c r="C5" s="59">
        <f>'SER_se-appl'!C16</f>
        <v>86.370708122787704</v>
      </c>
      <c r="D5" s="59">
        <f>'SER_se-appl'!D16</f>
        <v>92.816654501649538</v>
      </c>
      <c r="E5" s="59">
        <f>'SER_se-appl'!E16</f>
        <v>98.755066576932393</v>
      </c>
      <c r="F5" s="59">
        <f>'SER_se-appl'!F16</f>
        <v>105.47177376378497</v>
      </c>
      <c r="G5" s="59">
        <f>'SER_se-appl'!G16</f>
        <v>111.43757883110912</v>
      </c>
      <c r="H5" s="59">
        <f>'SER_se-appl'!H16</f>
        <v>116.97352436340417</v>
      </c>
      <c r="I5" s="59">
        <f>'SER_se-appl'!I16</f>
        <v>123.63741792128864</v>
      </c>
      <c r="J5" s="59">
        <f>'SER_se-appl'!J16</f>
        <v>130.16105470489364</v>
      </c>
      <c r="K5" s="59">
        <f>'SER_se-appl'!K16</f>
        <v>136.99057801859792</v>
      </c>
      <c r="L5" s="59">
        <f>'SER_se-appl'!L16</f>
        <v>143.50257493480828</v>
      </c>
      <c r="M5" s="59">
        <f>'SER_se-appl'!M16</f>
        <v>149.23792039574559</v>
      </c>
      <c r="N5" s="59">
        <f>'SER_se-appl'!N16</f>
        <v>153.82064319055519</v>
      </c>
      <c r="O5" s="59">
        <f>'SER_se-appl'!O16</f>
        <v>153.95866715788432</v>
      </c>
      <c r="P5" s="59">
        <f>'SER_se-appl'!P16</f>
        <v>152.23782591795188</v>
      </c>
      <c r="Q5" s="59">
        <f>'SER_se-appl'!Q16</f>
        <v>149.86099632963857</v>
      </c>
      <c r="R5" s="59">
        <f>'SER_se-appl'!R16</f>
        <v>154.61691507299537</v>
      </c>
      <c r="S5" s="59">
        <f>'SER_se-appl'!S16</f>
        <v>159.85421077223077</v>
      </c>
      <c r="T5" s="59">
        <f>'SER_se-appl'!T16</f>
        <v>164.95325164820844</v>
      </c>
      <c r="U5" s="59">
        <f>'SER_se-appl'!U16</f>
        <v>169.45557371292153</v>
      </c>
      <c r="V5" s="59">
        <f>'SER_se-appl'!V16</f>
        <v>173.2518681973734</v>
      </c>
      <c r="W5" s="59">
        <f>'SER_se-appl'!W16</f>
        <v>176.308376818526</v>
      </c>
      <c r="DA5" s="104" t="s">
        <v>919</v>
      </c>
    </row>
    <row r="6" spans="1:105" ht="12" customHeight="1" x14ac:dyDescent="0.25">
      <c r="A6" s="201" t="str">
        <f>"Penetration factor "&amp;MID('SER_se-appl'!A72,FIND("(",'SER_se-appl'!A72),100)</f>
        <v>Penetration factor (sqm per building cell)</v>
      </c>
      <c r="B6" s="202">
        <f>'SER_se-appl'!B72</f>
        <v>100.55417414261881</v>
      </c>
      <c r="C6" s="202">
        <f>'SER_se-appl'!C72</f>
        <v>105.85984077359528</v>
      </c>
      <c r="D6" s="202">
        <f>'SER_se-appl'!D72</f>
        <v>112.89892302003153</v>
      </c>
      <c r="E6" s="202">
        <f>'SER_se-appl'!E72</f>
        <v>118.88147160954091</v>
      </c>
      <c r="F6" s="202">
        <f>'SER_se-appl'!F72</f>
        <v>125.08348357658808</v>
      </c>
      <c r="G6" s="202">
        <f>'SER_se-appl'!G72</f>
        <v>130.12527096734053</v>
      </c>
      <c r="H6" s="202">
        <f>'SER_se-appl'!H72</f>
        <v>134.72113610007767</v>
      </c>
      <c r="I6" s="202">
        <f>'SER_se-appl'!I72</f>
        <v>140.00676876213785</v>
      </c>
      <c r="J6" s="202">
        <f>'SER_se-appl'!J72</f>
        <v>145.13831735715596</v>
      </c>
      <c r="K6" s="202">
        <f>'SER_se-appl'!K72</f>
        <v>149.42794001427851</v>
      </c>
      <c r="L6" s="202">
        <f>'SER_se-appl'!L72</f>
        <v>153.0384055650072</v>
      </c>
      <c r="M6" s="202">
        <f>'SER_se-appl'!M72</f>
        <v>157.56137000158199</v>
      </c>
      <c r="N6" s="202">
        <f>'SER_se-appl'!N72</f>
        <v>160.97204731105072</v>
      </c>
      <c r="O6" s="202">
        <f>'SER_se-appl'!O72</f>
        <v>163.15807167264887</v>
      </c>
      <c r="P6" s="202">
        <f>'SER_se-appl'!P72</f>
        <v>165.33744695160172</v>
      </c>
      <c r="Q6" s="202">
        <f>'SER_se-appl'!Q72</f>
        <v>166.73159463258997</v>
      </c>
      <c r="R6" s="202">
        <f>'SER_se-appl'!R72</f>
        <v>173.64232699636713</v>
      </c>
      <c r="S6" s="202">
        <f>'SER_se-appl'!S72</f>
        <v>180.60301203187444</v>
      </c>
      <c r="T6" s="202">
        <f>'SER_se-appl'!T72</f>
        <v>187.34946372333707</v>
      </c>
      <c r="U6" s="202">
        <f>'SER_se-appl'!U72</f>
        <v>193.72144959556613</v>
      </c>
      <c r="V6" s="202">
        <f>'SER_se-appl'!V72</f>
        <v>199.42071959288754</v>
      </c>
      <c r="W6" s="202">
        <f>'SER_se-appl'!W72</f>
        <v>204.14642775594143</v>
      </c>
      <c r="DA6" s="207" t="s">
        <v>961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"&amp;MID('SER_se-appl'!A24,FIND("(",'SER_se-appl'!A24),100)</f>
        <v>Stock of appliances (serviced million m2)</v>
      </c>
      <c r="B8" s="34">
        <f>'SER_se-appl'!B24</f>
        <v>1.6365886640326885</v>
      </c>
      <c r="C8" s="34">
        <f>'SER_se-appl'!C24</f>
        <v>1.7575187853381415</v>
      </c>
      <c r="D8" s="34">
        <f>'SER_se-appl'!D24</f>
        <v>1.9011179377414882</v>
      </c>
      <c r="E8" s="34">
        <f>'SER_se-appl'!E24</f>
        <v>2.0354417212664573</v>
      </c>
      <c r="F8" s="34">
        <f>'SER_se-appl'!F24</f>
        <v>2.1891217979544391</v>
      </c>
      <c r="G8" s="34">
        <f>'SER_se-appl'!G24</f>
        <v>2.3287563188686158</v>
      </c>
      <c r="H8" s="34">
        <f>'SER_se-appl'!H24</f>
        <v>2.4619003168446074</v>
      </c>
      <c r="I8" s="34">
        <f>'SER_se-appl'!I24</f>
        <v>2.6241028937663646</v>
      </c>
      <c r="J8" s="34">
        <f>'SER_se-appl'!J24</f>
        <v>2.787576869690839</v>
      </c>
      <c r="K8" s="34">
        <f>'SER_se-appl'!K24</f>
        <v>2.9632170860673668</v>
      </c>
      <c r="L8" s="34">
        <f>'SER_se-appl'!L24</f>
        <v>3.1388522442115496</v>
      </c>
      <c r="M8" s="34">
        <f>'SER_se-appl'!M24</f>
        <v>3.3062576244820803</v>
      </c>
      <c r="N8" s="34">
        <f>'SER_se-appl'!N24</f>
        <v>3.4566390589382854</v>
      </c>
      <c r="O8" s="34">
        <f>'SER_se-appl'!O24</f>
        <v>3.5049500097598396</v>
      </c>
      <c r="P8" s="34">
        <f>'SER_se-appl'!P24</f>
        <v>3.5156585525169612</v>
      </c>
      <c r="Q8" s="34">
        <f>'SER_se-appl'!Q24</f>
        <v>3.5218984704155316</v>
      </c>
      <c r="R8" s="34">
        <f>'SER_se-appl'!R24</f>
        <v>3.6985268173873176</v>
      </c>
      <c r="S8" s="34">
        <f>'SER_se-appl'!S24</f>
        <v>3.9005916338471507</v>
      </c>
      <c r="T8" s="34">
        <f>'SER_se-appl'!T24</f>
        <v>4.1019125139512509</v>
      </c>
      <c r="U8" s="34">
        <f>'SER_se-appl'!U24</f>
        <v>4.2975148241342973</v>
      </c>
      <c r="V8" s="34">
        <f>'SER_se-appl'!V24</f>
        <v>4.4739059063352542</v>
      </c>
      <c r="W8" s="34">
        <f>'SER_se-appl'!W24</f>
        <v>4.6291632575114123</v>
      </c>
      <c r="DA8" s="88" t="s">
        <v>925</v>
      </c>
    </row>
    <row r="9" spans="1:105" ht="12.95" customHeight="1" x14ac:dyDescent="0.25">
      <c r="A9" s="203" t="str">
        <f>"Number of new appliances "&amp;MID('SER_se-appl'!A32,FIND("(",'SER_se-appl'!A32),100)</f>
        <v>Number of new appliances (serviced million m2)</v>
      </c>
      <c r="B9" s="36"/>
      <c r="C9" s="36">
        <f>'SER_se-appl'!C32</f>
        <v>0.16754418353763989</v>
      </c>
      <c r="D9" s="36">
        <f>'SER_se-appl'!D32</f>
        <v>0.19545876386537508</v>
      </c>
      <c r="E9" s="36">
        <f>'SER_se-appl'!E32</f>
        <v>0.19201923361460982</v>
      </c>
      <c r="F9" s="36">
        <f>'SER_se-appl'!F32</f>
        <v>0.21786808094026089</v>
      </c>
      <c r="G9" s="36">
        <f>'SER_se-appl'!G32</f>
        <v>0.21104569603265233</v>
      </c>
      <c r="H9" s="36">
        <f>'SER_se-appl'!H32</f>
        <v>0.21259117804033423</v>
      </c>
      <c r="I9" s="36">
        <f>'SER_se-appl'!I32</f>
        <v>0.2505900654304436</v>
      </c>
      <c r="J9" s="36">
        <f>'SER_se-appl'!J32</f>
        <v>0.26180783898350457</v>
      </c>
      <c r="K9" s="36">
        <f>'SER_se-appl'!K32</f>
        <v>0.28503973419586037</v>
      </c>
      <c r="L9" s="36">
        <f>'SER_se-appl'!L32</f>
        <v>0.29734556518796884</v>
      </c>
      <c r="M9" s="36">
        <f>'SER_se-appl'!M32</f>
        <v>0.302812039075258</v>
      </c>
      <c r="N9" s="36">
        <f>'SER_se-appl'!N32</f>
        <v>0.30102560444952209</v>
      </c>
      <c r="O9" s="36">
        <f>'SER_se-appl'!O32</f>
        <v>0.21590733162954923</v>
      </c>
      <c r="P9" s="36">
        <f>'SER_se-appl'!P32</f>
        <v>0.1971647916858692</v>
      </c>
      <c r="Q9" s="36">
        <f>'SER_se-appl'!Q32</f>
        <v>0.2136783637466837</v>
      </c>
      <c r="R9" s="36">
        <f>'SER_se-appl'!R32</f>
        <v>0.34417253050942564</v>
      </c>
      <c r="S9" s="36">
        <f>'SER_se-appl'!S32</f>
        <v>0.3975235803252084</v>
      </c>
      <c r="T9" s="36">
        <f>'SER_se-appl'!T32</f>
        <v>0.39334011371871025</v>
      </c>
      <c r="U9" s="36">
        <f>'SER_se-appl'!U32</f>
        <v>0.4134703911233073</v>
      </c>
      <c r="V9" s="36">
        <f>'SER_se-appl'!V32</f>
        <v>0.38743677823360922</v>
      </c>
      <c r="W9" s="36">
        <f>'SER_se-appl'!W32</f>
        <v>0.36784852921649236</v>
      </c>
      <c r="DA9" s="89" t="s">
        <v>931</v>
      </c>
    </row>
    <row r="10" spans="1:105" ht="12" customHeight="1" x14ac:dyDescent="0.25">
      <c r="A10" s="204" t="str">
        <f>"Number of replaced appliances "&amp;MID('SER_se-appl'!A40,FIND("(",'SER_se-appl'!A40),100)</f>
        <v>Number of replaced appliances (serviced million m2)</v>
      </c>
      <c r="B10" s="38"/>
      <c r="C10" s="38">
        <f>'SER_se-appl'!C40</f>
        <v>4.6614062232186892E-2</v>
      </c>
      <c r="D10" s="38">
        <f>'SER_se-appl'!D40</f>
        <v>5.1859611462028443E-2</v>
      </c>
      <c r="E10" s="38">
        <f>'SER_se-appl'!E40</f>
        <v>5.7695450089640499E-2</v>
      </c>
      <c r="F10" s="38">
        <f>'SER_se-appl'!F40</f>
        <v>6.4188004252279107E-2</v>
      </c>
      <c r="G10" s="38">
        <f>'SER_se-appl'!G40</f>
        <v>7.1411175118475612E-2</v>
      </c>
      <c r="H10" s="38">
        <f>'SER_se-appl'!H40</f>
        <v>7.9447180064342593E-2</v>
      </c>
      <c r="I10" s="38">
        <f>'SER_se-appl'!I40</f>
        <v>8.8387488508686385E-2</v>
      </c>
      <c r="J10" s="38">
        <f>'SER_se-appl'!J40</f>
        <v>9.8333863059030246E-2</v>
      </c>
      <c r="K10" s="38">
        <f>'SER_se-appl'!K40</f>
        <v>0.10939951781933255</v>
      </c>
      <c r="L10" s="38">
        <f>'SER_se-appl'!L40</f>
        <v>0.121710407043786</v>
      </c>
      <c r="M10" s="38">
        <f>'SER_se-appl'!M40</f>
        <v>0.13540665880472735</v>
      </c>
      <c r="N10" s="38">
        <f>'SER_se-appl'!N40</f>
        <v>0.15064416999331698</v>
      </c>
      <c r="O10" s="38">
        <f>'SER_se-appl'!O40</f>
        <v>0.16759638080799499</v>
      </c>
      <c r="P10" s="38">
        <f>'SER_se-appl'!P40</f>
        <v>0.18645624892874757</v>
      </c>
      <c r="Q10" s="38">
        <f>'SER_se-appl'!Q40</f>
        <v>0.20743844584811333</v>
      </c>
      <c r="R10" s="38">
        <f>'SER_se-appl'!R40</f>
        <v>0.16754418353763967</v>
      </c>
      <c r="S10" s="38">
        <f>'SER_se-appl'!S40</f>
        <v>0.19545876386537531</v>
      </c>
      <c r="T10" s="38">
        <f>'SER_se-appl'!T40</f>
        <v>0.1920192336146096</v>
      </c>
      <c r="U10" s="38">
        <f>'SER_se-appl'!U40</f>
        <v>0.21786808094026089</v>
      </c>
      <c r="V10" s="38">
        <f>'SER_se-appl'!V40</f>
        <v>0.21104569603265233</v>
      </c>
      <c r="W10" s="38">
        <f>'SER_se-appl'!W40</f>
        <v>0.21259117804033423</v>
      </c>
      <c r="DA10" s="90" t="s">
        <v>937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'SER_se-appl'!B48</f>
        <v>923.34007467793776</v>
      </c>
      <c r="C12" s="205">
        <f>'SER_se-appl'!C48</f>
        <v>927.7507613410661</v>
      </c>
      <c r="D12" s="205">
        <f>'SER_se-appl'!D48</f>
        <v>931.79579762768799</v>
      </c>
      <c r="E12" s="205">
        <f>'SER_se-appl'!E48</f>
        <v>935.53244285225639</v>
      </c>
      <c r="F12" s="205">
        <f>'SER_se-appl'!F48</f>
        <v>939.00539382366594</v>
      </c>
      <c r="G12" s="205">
        <f>'SER_se-appl'!G48</f>
        <v>942.25022127803879</v>
      </c>
      <c r="H12" s="205">
        <f>'SER_se-appl'!H48</f>
        <v>945.29570420054938</v>
      </c>
      <c r="I12" s="205">
        <f>'SER_se-appl'!I48</f>
        <v>948.16546118006863</v>
      </c>
      <c r="J12" s="205">
        <f>'SER_se-appl'!J48</f>
        <v>950.87911873301778</v>
      </c>
      <c r="K12" s="205">
        <f>'SER_se-appl'!K48</f>
        <v>953.45316604071297</v>
      </c>
      <c r="L12" s="205">
        <f>'SER_se-appl'!L48</f>
        <v>955.90159209114688</v>
      </c>
      <c r="M12" s="205">
        <f>'SER_se-appl'!M48</f>
        <v>957.45747679964472</v>
      </c>
      <c r="N12" s="205">
        <f>'SER_se-appl'!N48</f>
        <v>958.94332642405402</v>
      </c>
      <c r="O12" s="205">
        <f>'SER_se-appl'!O48</f>
        <v>960.36527033128152</v>
      </c>
      <c r="P12" s="205">
        <f>'SER_se-appl'!P48</f>
        <v>961.72866304730849</v>
      </c>
      <c r="Q12" s="205">
        <f>'SER_se-appl'!Q48</f>
        <v>963.03820989091003</v>
      </c>
      <c r="R12" s="205">
        <f>'SER_se-appl'!R48</f>
        <v>979.85680775402625</v>
      </c>
      <c r="S12" s="205">
        <f>'SER_se-appl'!S48</f>
        <v>987.88004455561247</v>
      </c>
      <c r="T12" s="205">
        <f>'SER_se-appl'!T48</f>
        <v>982.26151682813145</v>
      </c>
      <c r="U12" s="205">
        <f>'SER_se-appl'!U48</f>
        <v>973.45231165734288</v>
      </c>
      <c r="V12" s="205">
        <f>'SER_se-appl'!V48</f>
        <v>806.60000325957242</v>
      </c>
      <c r="W12" s="205">
        <f>'SER_se-appl'!W48</f>
        <v>899.90826013656067</v>
      </c>
      <c r="DA12" s="209" t="s">
        <v>943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"&amp;MID('SER_se-appl'!A56,FIND("(",'SER_se-appl'!A56),100)</f>
        <v>W per appliance in average operating mode (W per serviced m2)</v>
      </c>
      <c r="B14" s="59">
        <f>'SER_se-appl'!B56</f>
        <v>49.433354077858013</v>
      </c>
      <c r="C14" s="59">
        <f>'SER_se-appl'!C56</f>
        <v>49.14354762141005</v>
      </c>
      <c r="D14" s="59">
        <f>'SER_se-appl'!D56</f>
        <v>48.822144412521261</v>
      </c>
      <c r="E14" s="59">
        <f>'SER_se-appl'!E56</f>
        <v>48.517756880549115</v>
      </c>
      <c r="F14" s="59">
        <f>'SER_se-appl'!F56</f>
        <v>48.179947713434672</v>
      </c>
      <c r="G14" s="59">
        <f>'SER_se-appl'!G56</f>
        <v>47.85282939575621</v>
      </c>
      <c r="H14" s="59">
        <f>'SER_se-appl'!H56</f>
        <v>47.513509610059252</v>
      </c>
      <c r="I14" s="59">
        <f>'SER_se-appl'!I56</f>
        <v>47.116070873208919</v>
      </c>
      <c r="J14" s="59">
        <f>'SER_se-appl'!J56</f>
        <v>46.693261133038952</v>
      </c>
      <c r="K14" s="59">
        <f>'SER_se-appl'!K56</f>
        <v>46.230355063322392</v>
      </c>
      <c r="L14" s="59">
        <f>'SER_se-appl'!L56</f>
        <v>45.718168225167538</v>
      </c>
      <c r="M14" s="59">
        <f>'SER_se-appl'!M56</f>
        <v>45.138019279161121</v>
      </c>
      <c r="N14" s="59">
        <f>'SER_se-appl'!N56</f>
        <v>44.500059325778018</v>
      </c>
      <c r="O14" s="59">
        <f>'SER_se-appl'!O56</f>
        <v>43.926066485733877</v>
      </c>
      <c r="P14" s="59">
        <f>'SER_se-appl'!P56</f>
        <v>43.302790542318292</v>
      </c>
      <c r="Q14" s="59">
        <f>'SER_se-appl'!Q56</f>
        <v>42.551197199037141</v>
      </c>
      <c r="R14" s="59">
        <f>'SER_se-appl'!R56</f>
        <v>41.805000398028355</v>
      </c>
      <c r="S14" s="59">
        <f>'SER_se-appl'!S56</f>
        <v>40.982042156145084</v>
      </c>
      <c r="T14" s="59">
        <f>'SER_se-appl'!T56</f>
        <v>40.213742025744438</v>
      </c>
      <c r="U14" s="59">
        <f>'SER_se-appl'!U56</f>
        <v>39.431062055046453</v>
      </c>
      <c r="V14" s="59">
        <f>'SER_se-appl'!V56</f>
        <v>38.724969148779117</v>
      </c>
      <c r="W14" s="59">
        <f>'SER_se-appl'!W56</f>
        <v>38.086446083413236</v>
      </c>
      <c r="DA14" s="104" t="s">
        <v>949</v>
      </c>
    </row>
    <row r="15" spans="1:105" ht="12" customHeight="1" x14ac:dyDescent="0.25">
      <c r="A15" s="204" t="str">
        <f>"W per new appliance in average operating mode "&amp;MID('SER_se-appl'!A56,FIND("(",'SER_se-appl'!A56),100)</f>
        <v>W per new appliance in average operating mode (W per serviced m2)</v>
      </c>
      <c r="B15" s="63"/>
      <c r="C15" s="63">
        <f>'SER_se-appl'!C64</f>
        <v>46.393318425381004</v>
      </c>
      <c r="D15" s="63">
        <f>'SER_se-appl'!D64</f>
        <v>46.094330775620101</v>
      </c>
      <c r="E15" s="63">
        <f>'SER_se-appl'!E64</f>
        <v>45.779224938936721</v>
      </c>
      <c r="F15" s="63">
        <f>'SER_se-appl'!F64</f>
        <v>45.393228259619626</v>
      </c>
      <c r="G15" s="63">
        <f>'SER_se-appl'!G64</f>
        <v>44.994516119402334</v>
      </c>
      <c r="H15" s="63">
        <f>'SER_se-appl'!H64</f>
        <v>44.514011362727523</v>
      </c>
      <c r="I15" s="63">
        <f>'SER_se-appl'!I64</f>
        <v>44.0288147673973</v>
      </c>
      <c r="J15" s="63">
        <f>'SER_se-appl'!J64</f>
        <v>43.484601141996045</v>
      </c>
      <c r="K15" s="63">
        <f>'SER_se-appl'!K64</f>
        <v>42.932640421301727</v>
      </c>
      <c r="L15" s="63">
        <f>'SER_se-appl'!L64</f>
        <v>42.134647458575884</v>
      </c>
      <c r="M15" s="63">
        <f>'SER_se-appl'!M64</f>
        <v>41.045101139595459</v>
      </c>
      <c r="N15" s="63">
        <f>'SER_se-appl'!N64</f>
        <v>39.961947462417562</v>
      </c>
      <c r="O15" s="63">
        <f>'SER_se-appl'!O64</f>
        <v>39.011529337179333</v>
      </c>
      <c r="P15" s="63">
        <f>'SER_se-appl'!P64</f>
        <v>38.020563759350217</v>
      </c>
      <c r="Q15" s="63">
        <f>'SER_se-appl'!Q64</f>
        <v>36.866383739234848</v>
      </c>
      <c r="R15" s="63">
        <f>'SER_se-appl'!R64</f>
        <v>36.402816290987687</v>
      </c>
      <c r="S15" s="63">
        <f>'SER_se-appl'!S64</f>
        <v>35.838972375386369</v>
      </c>
      <c r="T15" s="63">
        <f>'SER_se-appl'!T64</f>
        <v>35.311762212373843</v>
      </c>
      <c r="U15" s="63">
        <f>'SER_se-appl'!U64</f>
        <v>34.807952158846518</v>
      </c>
      <c r="V15" s="63">
        <f>'SER_se-appl'!V64</f>
        <v>34.308032183018057</v>
      </c>
      <c r="W15" s="63">
        <f>'SER_se-appl'!W64</f>
        <v>34.035190415801004</v>
      </c>
      <c r="DA15" s="105" t="s">
        <v>955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970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'SER_se-appl'!B9</f>
        <v>2.9755798720313895</v>
      </c>
      <c r="C3" s="199">
        <f>'SER_se-appl'!C9</f>
        <v>3.4973128294956064</v>
      </c>
      <c r="D3" s="199">
        <f>'SER_se-appl'!D9</f>
        <v>4.1499070345607407</v>
      </c>
      <c r="E3" s="199">
        <f>'SER_se-appl'!E9</f>
        <v>4.7343003616802033</v>
      </c>
      <c r="F3" s="199">
        <f>'SER_se-appl'!F9</f>
        <v>5.3668912890408187</v>
      </c>
      <c r="G3" s="199">
        <f>'SER_se-appl'!G9</f>
        <v>5.8577306549180292</v>
      </c>
      <c r="H3" s="199">
        <f>'SER_se-appl'!H9</f>
        <v>6.2197957707396307</v>
      </c>
      <c r="I3" s="199">
        <f>'SER_se-appl'!I9</f>
        <v>6.4271325310806242</v>
      </c>
      <c r="J3" s="199">
        <f>'SER_se-appl'!J9</f>
        <v>6.6657628347284872</v>
      </c>
      <c r="K3" s="199">
        <f>'SER_se-appl'!K9</f>
        <v>6.8423382460174178</v>
      </c>
      <c r="L3" s="199">
        <f>'SER_se-appl'!L9</f>
        <v>7.0122412661127731</v>
      </c>
      <c r="M3" s="199">
        <f>'SER_se-appl'!M9</f>
        <v>7.1161821459352455</v>
      </c>
      <c r="N3" s="199">
        <f>'SER_se-appl'!N9</f>
        <v>7.3868198181362645</v>
      </c>
      <c r="O3" s="199">
        <f>'SER_se-appl'!O9</f>
        <v>7.6865859390073474</v>
      </c>
      <c r="P3" s="199">
        <f>'SER_se-appl'!P9</f>
        <v>8.1586604026858609</v>
      </c>
      <c r="Q3" s="199">
        <f>'SER_se-appl'!Q9</f>
        <v>8.945121159554148</v>
      </c>
      <c r="R3" s="199">
        <f>'SER_se-appl'!R9</f>
        <v>9.2787099029599904</v>
      </c>
      <c r="S3" s="199">
        <f>'SER_se-appl'!S9</f>
        <v>9.53478314592431</v>
      </c>
      <c r="T3" s="199">
        <f>'SER_se-appl'!T9</f>
        <v>9.6676795782167648</v>
      </c>
      <c r="U3" s="199">
        <f>'SER_se-appl'!U9</f>
        <v>9.8193667477448905</v>
      </c>
      <c r="V3" s="199">
        <f>'SER_se-appl'!V9</f>
        <v>8.8943566531127995</v>
      </c>
      <c r="W3" s="199">
        <f>'SER_se-appl'!W9</f>
        <v>9.5565683084993225</v>
      </c>
      <c r="DA3" s="206" t="s">
        <v>913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'SER_se-appl'!B17</f>
        <v>20.521097177016156</v>
      </c>
      <c r="C5" s="59">
        <f>'SER_se-appl'!C17</f>
        <v>23.880375506704912</v>
      </c>
      <c r="D5" s="59">
        <f>'SER_se-appl'!D17</f>
        <v>27.814372917959705</v>
      </c>
      <c r="E5" s="59">
        <f>'SER_se-appl'!E17</f>
        <v>31.198627542520011</v>
      </c>
      <c r="F5" s="59">
        <f>'SER_se-appl'!F17</f>
        <v>34.769249699915903</v>
      </c>
      <c r="G5" s="59">
        <f>'SER_se-appl'!G17</f>
        <v>37.369798315840541</v>
      </c>
      <c r="H5" s="59">
        <f>'SER_se-appl'!H17</f>
        <v>39.055805654898919</v>
      </c>
      <c r="I5" s="59">
        <f>'SER_se-appl'!I17</f>
        <v>39.864152823434964</v>
      </c>
      <c r="J5" s="59">
        <f>'SER_se-appl'!J17</f>
        <v>40.860935732831592</v>
      </c>
      <c r="K5" s="59">
        <f>'SER_se-appl'!K17</f>
        <v>41.585756834875561</v>
      </c>
      <c r="L5" s="59">
        <f>'SER_se-appl'!L17</f>
        <v>42.099778968668012</v>
      </c>
      <c r="M5" s="59">
        <f>'SER_se-appl'!M17</f>
        <v>42.237216374805818</v>
      </c>
      <c r="N5" s="59">
        <f>'SER_se-appl'!N17</f>
        <v>43.463414894832042</v>
      </c>
      <c r="O5" s="59">
        <f>'SER_se-appl'!O17</f>
        <v>44.825839918554557</v>
      </c>
      <c r="P5" s="59">
        <f>'SER_se-appl'!P17</f>
        <v>47.109685986965111</v>
      </c>
      <c r="Q5" s="59">
        <f>'SER_se-appl'!Q17</f>
        <v>51.129401025728193</v>
      </c>
      <c r="R5" s="59">
        <f>'SER_se-appl'!R17</f>
        <v>51.436937340275009</v>
      </c>
      <c r="S5" s="59">
        <f>'SER_se-appl'!S17</f>
        <v>52.021388244262916</v>
      </c>
      <c r="T5" s="59">
        <f>'SER_se-appl'!T17</f>
        <v>52.660686811243622</v>
      </c>
      <c r="U5" s="59">
        <f>'SER_se-appl'!U17</f>
        <v>53.484371318543218</v>
      </c>
      <c r="V5" s="59">
        <f>'SER_se-appl'!V17</f>
        <v>53.999386111988748</v>
      </c>
      <c r="W5" s="59">
        <f>'SER_se-appl'!W17</f>
        <v>54.524542659471869</v>
      </c>
      <c r="DA5" s="104" t="s">
        <v>920</v>
      </c>
    </row>
    <row r="6" spans="1:105" ht="12" customHeight="1" x14ac:dyDescent="0.25">
      <c r="A6" s="201" t="str">
        <f>"Penetration factor "&amp;MID('SER_se-appl'!A73,FIND("(",'SER_se-appl'!A73),100)</f>
        <v>Penetration factor (unit per capita)</v>
      </c>
      <c r="B6" s="202">
        <f>'SER_se-appl'!B73</f>
        <v>7.5824045811798024E-2</v>
      </c>
      <c r="C6" s="202">
        <f>'SER_se-appl'!C73</f>
        <v>8.9521483952298281E-2</v>
      </c>
      <c r="D6" s="202">
        <f>'SER_se-appl'!D73</f>
        <v>0.1063009073781329</v>
      </c>
      <c r="E6" s="202">
        <f>'SER_se-appl'!E73</f>
        <v>0.12179138492522587</v>
      </c>
      <c r="F6" s="202">
        <f>'SER_se-appl'!F73</f>
        <v>0.1390245283512615</v>
      </c>
      <c r="G6" s="202">
        <f>'SER_se-appl'!G73</f>
        <v>0.15277297707567541</v>
      </c>
      <c r="H6" s="202">
        <f>'SER_se-appl'!H73</f>
        <v>0.16552061180603414</v>
      </c>
      <c r="I6" s="202">
        <f>'SER_se-appl'!I73</f>
        <v>0.17482242961901934</v>
      </c>
      <c r="J6" s="202">
        <f>'SER_se-appl'!J73</f>
        <v>0.18472031956490365</v>
      </c>
      <c r="K6" s="202">
        <f>'SER_se-appl'!K73</f>
        <v>0.19435542228702982</v>
      </c>
      <c r="L6" s="202">
        <f>'SER_se-appl'!L73</f>
        <v>0.20383903577726559</v>
      </c>
      <c r="M6" s="202">
        <f>'SER_se-appl'!M73</f>
        <v>0.21622912256804142</v>
      </c>
      <c r="N6" s="202">
        <f>'SER_se-appl'!N73</f>
        <v>0.2347861441303622</v>
      </c>
      <c r="O6" s="202">
        <f>'SER_se-appl'!O73</f>
        <v>0.25763277061210937</v>
      </c>
      <c r="P6" s="202">
        <f>'SER_se-appl'!P73</f>
        <v>0.2920488050402229</v>
      </c>
      <c r="Q6" s="202">
        <f>'SER_se-appl'!Q73</f>
        <v>0.33558949110789071</v>
      </c>
      <c r="R6" s="202">
        <f>'SER_se-appl'!R73</f>
        <v>0.35016613749274467</v>
      </c>
      <c r="S6" s="202">
        <f>'SER_se-appl'!S73</f>
        <v>0.36422168327458054</v>
      </c>
      <c r="T6" s="202">
        <f>'SER_se-appl'!T73</f>
        <v>0.37669956378989949</v>
      </c>
      <c r="U6" s="202">
        <f>'SER_se-appl'!U73</f>
        <v>0.38745637042082015</v>
      </c>
      <c r="V6" s="202">
        <f>'SER_se-appl'!V73</f>
        <v>0.39670311303114425</v>
      </c>
      <c r="W6" s="202">
        <f>'SER_se-appl'!W73</f>
        <v>0.4061799181591807</v>
      </c>
      <c r="DA6" s="207" t="s">
        <v>962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"&amp;MID('SER_se-appl'!A25,FIND("(",'SER_se-appl'!A25),100)</f>
        <v>Stock of appliances (thousand units)</v>
      </c>
      <c r="B8" s="34">
        <f>'SER_se-appl'!B25</f>
        <v>52.356276160909104</v>
      </c>
      <c r="C8" s="34">
        <f>'SER_se-appl'!C25</f>
        <v>62.445621609441709</v>
      </c>
      <c r="D8" s="34">
        <f>'SER_se-appl'!D25</f>
        <v>74.999435890660507</v>
      </c>
      <c r="E8" s="34">
        <f>'SER_se-appl'!E25</f>
        <v>86.924947248832211</v>
      </c>
      <c r="F8" s="34">
        <f>'SER_se-appl'!F25</f>
        <v>100.49985837342848</v>
      </c>
      <c r="G8" s="34">
        <f>'SER_se-appl'!G25</f>
        <v>111.99282798593414</v>
      </c>
      <c r="H8" s="34">
        <f>'SER_se-appl'!H25</f>
        <v>123.14948695164288</v>
      </c>
      <c r="I8" s="34">
        <f>'SER_se-appl'!I25</f>
        <v>132.50071656712868</v>
      </c>
      <c r="J8" s="34">
        <f>'SER_se-appl'!J25</f>
        <v>143.40447984878034</v>
      </c>
      <c r="K8" s="34">
        <f>'SER_se-appl'!K25</f>
        <v>154.88766668320267</v>
      </c>
      <c r="L8" s="34">
        <f>'SER_se-appl'!L25</f>
        <v>166.97270776658934</v>
      </c>
      <c r="M8" s="34">
        <f>'SER_se-appl'!M25</f>
        <v>181.57862190563534</v>
      </c>
      <c r="N8" s="34">
        <f>'SER_se-appl'!N25</f>
        <v>202.38823888795764</v>
      </c>
      <c r="O8" s="34">
        <f>'SER_se-appl'!O25</f>
        <v>223.07854815207205</v>
      </c>
      <c r="P8" s="34">
        <f>'SER_se-appl'!P25</f>
        <v>250.57787472451122</v>
      </c>
      <c r="Q8" s="34">
        <f>'SER_se-appl'!Q25</f>
        <v>284.24698368431234</v>
      </c>
      <c r="R8" s="34">
        <f>'SER_se-appl'!R25</f>
        <v>297.05258759170766</v>
      </c>
      <c r="S8" s="34">
        <f>'SER_se-appl'!S25</f>
        <v>311.337423306478</v>
      </c>
      <c r="T8" s="34">
        <f>'SER_se-appl'!T25</f>
        <v>325.5573242115276</v>
      </c>
      <c r="U8" s="34">
        <f>'SER_se-appl'!U25</f>
        <v>339.37264739522595</v>
      </c>
      <c r="V8" s="34">
        <f>'SER_se-appl'!V25</f>
        <v>352.27434788722127</v>
      </c>
      <c r="W8" s="34">
        <f>'SER_se-appl'!W25</f>
        <v>363.94004993005302</v>
      </c>
      <c r="DA8" s="88" t="s">
        <v>926</v>
      </c>
    </row>
    <row r="9" spans="1:105" ht="12.95" customHeight="1" x14ac:dyDescent="0.25">
      <c r="A9" s="203" t="str">
        <f>"Number of new appliances "&amp;MID('SER_se-appl'!A33,FIND("(",'SER_se-appl'!A33),100)</f>
        <v>Number of new appliances (thousand units)</v>
      </c>
      <c r="B9" s="36"/>
      <c r="C9" s="36">
        <f>'SER_se-appl'!C33</f>
        <v>20.560600680714423</v>
      </c>
      <c r="D9" s="36">
        <f>'SER_se-appl'!D33</f>
        <v>23.025069513400624</v>
      </c>
      <c r="E9" s="36">
        <f>'SER_se-appl'!E33</f>
        <v>22.396766590353522</v>
      </c>
      <c r="F9" s="36">
        <f>'SER_se-appl'!F33</f>
        <v>24.046166356778087</v>
      </c>
      <c r="G9" s="36">
        <f>'SER_se-appl'!G33</f>
        <v>21.964224844687479</v>
      </c>
      <c r="H9" s="36">
        <f>'SER_se-appl'!H33</f>
        <v>31.717259646423159</v>
      </c>
      <c r="I9" s="36">
        <f>'SER_se-appl'!I33</f>
        <v>32.376299128886416</v>
      </c>
      <c r="J9" s="36">
        <f>'SER_se-appl'!J33</f>
        <v>33.300529872005185</v>
      </c>
      <c r="K9" s="36">
        <f>'SER_se-appl'!K33</f>
        <v>35.529353191200414</v>
      </c>
      <c r="L9" s="36">
        <f>'SER_se-appl'!L33</f>
        <v>34.049265928074135</v>
      </c>
      <c r="M9" s="36">
        <f>'SER_se-appl'!M33</f>
        <v>46.323173785469152</v>
      </c>
      <c r="N9" s="36">
        <f>'SER_se-appl'!N33</f>
        <v>53.185916111208712</v>
      </c>
      <c r="O9" s="36">
        <f>'SER_se-appl'!O33</f>
        <v>53.990839136119604</v>
      </c>
      <c r="P9" s="36">
        <f>'SER_se-appl'!P33</f>
        <v>63.028679763639587</v>
      </c>
      <c r="Q9" s="36">
        <f>'SER_se-appl'!Q33</f>
        <v>67.718374887875257</v>
      </c>
      <c r="R9" s="36">
        <f>'SER_se-appl'!R33</f>
        <v>59.128777692864475</v>
      </c>
      <c r="S9" s="36">
        <f>'SER_se-appl'!S33</f>
        <v>67.47075182597905</v>
      </c>
      <c r="T9" s="36">
        <f>'SER_se-appl'!T33</f>
        <v>68.210740041169231</v>
      </c>
      <c r="U9" s="36">
        <f>'SER_se-appl'!U33</f>
        <v>76.844002947337913</v>
      </c>
      <c r="V9" s="36">
        <f>'SER_se-appl'!V33</f>
        <v>80.62007537987057</v>
      </c>
      <c r="W9" s="36">
        <f>'SER_se-appl'!W33</f>
        <v>70.794479735696257</v>
      </c>
      <c r="DA9" s="89" t="s">
        <v>932</v>
      </c>
    </row>
    <row r="10" spans="1:105" ht="12" customHeight="1" x14ac:dyDescent="0.25">
      <c r="A10" s="204" t="str">
        <f>"Number of replaced appliances "&amp;MID('SER_se-appl'!A41,FIND("(",'SER_se-appl'!A41),100)</f>
        <v>Number of replaced appliances (thousand units)</v>
      </c>
      <c r="B10" s="38"/>
      <c r="C10" s="38">
        <f>'SER_se-appl'!C41</f>
        <v>10.471255232181811</v>
      </c>
      <c r="D10" s="38">
        <f>'SER_se-appl'!D41</f>
        <v>10.471255232181832</v>
      </c>
      <c r="E10" s="38">
        <f>'SER_se-appl'!E41</f>
        <v>10.471255232181818</v>
      </c>
      <c r="F10" s="38">
        <f>'SER_se-appl'!F41</f>
        <v>10.471255232181818</v>
      </c>
      <c r="G10" s="38">
        <f>'SER_se-appl'!G41</f>
        <v>10.471255232181818</v>
      </c>
      <c r="H10" s="38">
        <f>'SER_se-appl'!H41</f>
        <v>20.560600680714415</v>
      </c>
      <c r="I10" s="38">
        <f>'SER_se-appl'!I41</f>
        <v>23.025069513400638</v>
      </c>
      <c r="J10" s="38">
        <f>'SER_se-appl'!J41</f>
        <v>22.396766590353536</v>
      </c>
      <c r="K10" s="38">
        <f>'SER_se-appl'!K41</f>
        <v>24.046166356778087</v>
      </c>
      <c r="L10" s="38">
        <f>'SER_se-appl'!L41</f>
        <v>21.964224844687465</v>
      </c>
      <c r="M10" s="38">
        <f>'SER_se-appl'!M41</f>
        <v>31.717259646423145</v>
      </c>
      <c r="N10" s="38">
        <f>'SER_se-appl'!N41</f>
        <v>32.376299128886416</v>
      </c>
      <c r="O10" s="38">
        <f>'SER_se-appl'!O41</f>
        <v>33.300529872005171</v>
      </c>
      <c r="P10" s="38">
        <f>'SER_se-appl'!P41</f>
        <v>35.529353191200414</v>
      </c>
      <c r="Q10" s="38">
        <f>'SER_se-appl'!Q41</f>
        <v>34.049265928074135</v>
      </c>
      <c r="R10" s="38">
        <f>'SER_se-appl'!R41</f>
        <v>46.323173785469123</v>
      </c>
      <c r="S10" s="38">
        <f>'SER_se-appl'!S41</f>
        <v>53.185916111208712</v>
      </c>
      <c r="T10" s="38">
        <f>'SER_se-appl'!T41</f>
        <v>53.990839136119632</v>
      </c>
      <c r="U10" s="38">
        <f>'SER_se-appl'!U41</f>
        <v>63.028679763639559</v>
      </c>
      <c r="V10" s="38">
        <f>'SER_se-appl'!V41</f>
        <v>67.718374887875257</v>
      </c>
      <c r="W10" s="38">
        <f>'SER_se-appl'!W41</f>
        <v>59.128777692864503</v>
      </c>
      <c r="DA10" s="90" t="s">
        <v>938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'SER_se-appl'!B49</f>
        <v>1686.3617775020402</v>
      </c>
      <c r="C12" s="205">
        <f>'SER_se-appl'!C49</f>
        <v>1703.2290047371282</v>
      </c>
      <c r="D12" s="205">
        <f>'SER_se-appl'!D49</f>
        <v>1735.1970851292424</v>
      </c>
      <c r="E12" s="205">
        <f>'SER_se-appl'!E49</f>
        <v>1764.8184405323814</v>
      </c>
      <c r="F12" s="205">
        <f>'SER_se-appl'!F49</f>
        <v>1795.1766641572278</v>
      </c>
      <c r="G12" s="205">
        <f>'SER_se-appl'!G49</f>
        <v>1823.0070962898201</v>
      </c>
      <c r="H12" s="205">
        <f>'SER_se-appl'!H49</f>
        <v>1852.1247635466073</v>
      </c>
      <c r="I12" s="205">
        <f>'SER_se-appl'!I49</f>
        <v>1875.0568127595018</v>
      </c>
      <c r="J12" s="205">
        <f>'SER_se-appl'!J49</f>
        <v>1897.2355962372894</v>
      </c>
      <c r="K12" s="205">
        <f>'SER_se-appl'!K49</f>
        <v>1913.5492499789366</v>
      </c>
      <c r="L12" s="205">
        <f>'SER_se-appl'!L49</f>
        <v>1937.1209997464689</v>
      </c>
      <c r="M12" s="205">
        <f>'SER_se-appl'!M49</f>
        <v>1959.4378006073655</v>
      </c>
      <c r="N12" s="205">
        <f>'SER_se-appl'!N49</f>
        <v>1976.5753494702878</v>
      </c>
      <c r="O12" s="205">
        <f>'SER_se-appl'!O49</f>
        <v>1994.273718754182</v>
      </c>
      <c r="P12" s="205">
        <f>'SER_se-appl'!P49</f>
        <v>2014.1340044060273</v>
      </c>
      <c r="Q12" s="205">
        <f>'SER_se-appl'!Q49</f>
        <v>2034.6758811679842</v>
      </c>
      <c r="R12" s="205">
        <f>'SER_se-appl'!R49</f>
        <v>2097.9358754886503</v>
      </c>
      <c r="S12" s="205">
        <f>'SER_se-appl'!S49</f>
        <v>2131.6141635133886</v>
      </c>
      <c r="T12" s="205">
        <f>'SER_se-appl'!T49</f>
        <v>2135.0863481456695</v>
      </c>
      <c r="U12" s="205">
        <f>'SER_se-appl'!U49</f>
        <v>2135.188887163376</v>
      </c>
      <c r="V12" s="205">
        <f>'SER_se-appl'!V49</f>
        <v>1915.6026637261377</v>
      </c>
      <c r="W12" s="205">
        <f>'SER_se-appl'!W49</f>
        <v>2038.4011310645933</v>
      </c>
      <c r="DA12" s="209" t="s">
        <v>944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"&amp;MID('SER_se-appl'!A57,FIND("(",'SER_se-appl'!A57),100)</f>
        <v>W per appliance in average operating mode (W per appliance)</v>
      </c>
      <c r="B14" s="59">
        <f>'SER_se-appl'!B57</f>
        <v>391.95104544768742</v>
      </c>
      <c r="C14" s="59">
        <f>'SER_se-appl'!C57</f>
        <v>382.41873315092801</v>
      </c>
      <c r="D14" s="59">
        <f>'SER_se-appl'!D57</f>
        <v>370.86109498889391</v>
      </c>
      <c r="E14" s="59">
        <f>'SER_se-appl'!E57</f>
        <v>358.914540991443</v>
      </c>
      <c r="F14" s="59">
        <f>'SER_se-appl'!F57</f>
        <v>345.9631711193403</v>
      </c>
      <c r="G14" s="59">
        <f>'SER_se-appl'!G57</f>
        <v>333.68028103133571</v>
      </c>
      <c r="H14" s="59">
        <f>'SER_se-appl'!H57</f>
        <v>317.14144022569064</v>
      </c>
      <c r="I14" s="59">
        <f>'SER_se-appl'!I57</f>
        <v>300.85990367635964</v>
      </c>
      <c r="J14" s="59">
        <f>'SER_se-appl'!J57</f>
        <v>284.93486239704185</v>
      </c>
      <c r="K14" s="59">
        <f>'SER_se-appl'!K57</f>
        <v>268.48978827947877</v>
      </c>
      <c r="L14" s="59">
        <f>'SER_se-appl'!L57</f>
        <v>252.13569050769166</v>
      </c>
      <c r="M14" s="59">
        <f>'SER_se-appl'!M57</f>
        <v>232.61117377989623</v>
      </c>
      <c r="N14" s="59">
        <f>'SER_se-appl'!N57</f>
        <v>214.75267107242055</v>
      </c>
      <c r="O14" s="59">
        <f>'SER_se-appl'!O57</f>
        <v>200.94195649864506</v>
      </c>
      <c r="P14" s="59">
        <f>'SER_se-appl'!P57</f>
        <v>188.00417251027508</v>
      </c>
      <c r="Q14" s="59">
        <f>'SER_se-appl'!Q57</f>
        <v>179.87667050325865</v>
      </c>
      <c r="R14" s="59">
        <f>'SER_se-appl'!R57</f>
        <v>173.1576814640442</v>
      </c>
      <c r="S14" s="59">
        <f>'SER_se-appl'!S57</f>
        <v>167.090058406032</v>
      </c>
      <c r="T14" s="59">
        <f>'SER_se-appl'!T57</f>
        <v>161.7554970965048</v>
      </c>
      <c r="U14" s="59">
        <f>'SER_se-appl'!U57</f>
        <v>157.59776672943383</v>
      </c>
      <c r="V14" s="59">
        <f>'SER_se-appl'!V57</f>
        <v>153.28787473698301</v>
      </c>
      <c r="W14" s="59">
        <f>'SER_se-appl'!W57</f>
        <v>149.81737423499047</v>
      </c>
      <c r="DA14" s="104" t="s">
        <v>950</v>
      </c>
    </row>
    <row r="15" spans="1:105" ht="12" customHeight="1" x14ac:dyDescent="0.25">
      <c r="A15" s="204" t="str">
        <f>"W per new appliance in average operating mode "&amp;MID('SER_se-appl'!A57,FIND("(",'SER_se-appl'!A57),100)</f>
        <v>W per new appliance in average operating mode (W per appliance)</v>
      </c>
      <c r="B15" s="63"/>
      <c r="C15" s="63">
        <f>'SER_se-appl'!C65</f>
        <v>362.99998628409003</v>
      </c>
      <c r="D15" s="63">
        <f>'SER_se-appl'!D65</f>
        <v>349.10716955619915</v>
      </c>
      <c r="E15" s="63">
        <f>'SER_se-appl'!E65</f>
        <v>334.35514138852903</v>
      </c>
      <c r="F15" s="63">
        <f>'SER_se-appl'!F65</f>
        <v>319.17110939539657</v>
      </c>
      <c r="G15" s="63">
        <f>'SER_se-appl'!G65</f>
        <v>305.25857838090582</v>
      </c>
      <c r="H15" s="63">
        <f>'SER_se-appl'!H65</f>
        <v>288.47085801695937</v>
      </c>
      <c r="I15" s="63">
        <f>'SER_se-appl'!I65</f>
        <v>273.24197802771948</v>
      </c>
      <c r="J15" s="63">
        <f>'SER_se-appl'!J65</f>
        <v>254.80846707167495</v>
      </c>
      <c r="K15" s="63">
        <f>'SER_se-appl'!K65</f>
        <v>236.41473712286589</v>
      </c>
      <c r="L15" s="63">
        <f>'SER_se-appl'!L65</f>
        <v>212.01015611817678</v>
      </c>
      <c r="M15" s="63">
        <f>'SER_se-appl'!M65</f>
        <v>200.4815678929439</v>
      </c>
      <c r="N15" s="63">
        <f>'SER_se-appl'!N65</f>
        <v>189.38777916617443</v>
      </c>
      <c r="O15" s="63">
        <f>'SER_se-appl'!O65</f>
        <v>182.39542393951473</v>
      </c>
      <c r="P15" s="63">
        <f>'SER_se-appl'!P65</f>
        <v>169.50234089175439</v>
      </c>
      <c r="Q15" s="63">
        <f>'SER_se-appl'!Q65</f>
        <v>165.95946436239143</v>
      </c>
      <c r="R15" s="63">
        <f>'SER_se-appl'!R65</f>
        <v>162.26411570136059</v>
      </c>
      <c r="S15" s="63">
        <f>'SER_se-appl'!S65</f>
        <v>157.95308560804745</v>
      </c>
      <c r="T15" s="63">
        <f>'SER_se-appl'!T65</f>
        <v>153.74383203779732</v>
      </c>
      <c r="U15" s="63">
        <f>'SER_se-appl'!U65</f>
        <v>149.74744715523556</v>
      </c>
      <c r="V15" s="63">
        <f>'SER_se-appl'!V65</f>
        <v>145.78899811179767</v>
      </c>
      <c r="W15" s="63">
        <f>'SER_se-appl'!W65</f>
        <v>142.94384830708134</v>
      </c>
      <c r="DA15" s="105" t="s">
        <v>956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2" tint="-0.499984740745262"/>
    <pageSetUpPr fitToPage="1"/>
  </sheetPr>
  <dimension ref="A1:DA34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7" customWidth="1"/>
    <col min="106" max="16384" width="9.140625" style="1"/>
  </cols>
  <sheetData>
    <row r="1" spans="1:105" ht="12.75" x14ac:dyDescent="0.25">
      <c r="A1" s="28" t="s">
        <v>971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123" t="s">
        <v>156</v>
      </c>
    </row>
    <row r="2" spans="1:105" x14ac:dyDescent="0.25">
      <c r="A2" s="6"/>
    </row>
    <row r="3" spans="1:105" x14ac:dyDescent="0.25">
      <c r="A3" s="219" t="s">
        <v>147</v>
      </c>
      <c r="B3" s="220">
        <v>491.45778775408411</v>
      </c>
      <c r="C3" s="220">
        <v>543.92695837987469</v>
      </c>
      <c r="D3" s="220">
        <v>556.37269798820887</v>
      </c>
      <c r="E3" s="220">
        <v>513.40613327623532</v>
      </c>
      <c r="F3" s="220">
        <v>500.08144648965629</v>
      </c>
      <c r="G3" s="220">
        <v>468.95813646351598</v>
      </c>
      <c r="H3" s="220">
        <v>409.37289203923427</v>
      </c>
      <c r="I3" s="220">
        <v>385.97480321790232</v>
      </c>
      <c r="J3" s="220">
        <v>413.58307001496757</v>
      </c>
      <c r="K3" s="220">
        <v>378.18848327478241</v>
      </c>
      <c r="L3" s="220">
        <v>399.16259595254712</v>
      </c>
      <c r="M3" s="220">
        <v>414.64696606902999</v>
      </c>
      <c r="N3" s="220">
        <v>374.24230798741661</v>
      </c>
      <c r="O3" s="220">
        <v>354.94155154091391</v>
      </c>
      <c r="P3" s="220">
        <v>320.30908585276711</v>
      </c>
      <c r="Q3" s="220">
        <v>335.2</v>
      </c>
      <c r="R3" s="220">
        <v>410.08511580175872</v>
      </c>
      <c r="S3" s="220">
        <v>375.57279343496361</v>
      </c>
      <c r="T3" s="220">
        <v>371.19223339442271</v>
      </c>
      <c r="U3" s="220">
        <v>398.03850981231568</v>
      </c>
      <c r="V3" s="220">
        <v>396.70513268834748</v>
      </c>
      <c r="W3" s="220">
        <v>385.72870446192218</v>
      </c>
      <c r="DA3" s="211" t="s">
        <v>972</v>
      </c>
    </row>
    <row r="5" spans="1:105" x14ac:dyDescent="0.25">
      <c r="A5" s="219" t="s">
        <v>120</v>
      </c>
      <c r="B5" s="220">
        <v>361.38584261099749</v>
      </c>
      <c r="C5" s="220">
        <v>375.33490168478357</v>
      </c>
      <c r="D5" s="220">
        <v>352.37572048506308</v>
      </c>
      <c r="E5" s="220">
        <v>347.4168198911965</v>
      </c>
      <c r="F5" s="220">
        <v>323.79775146582682</v>
      </c>
      <c r="G5" s="220">
        <v>267.14948770676978</v>
      </c>
      <c r="H5" s="220">
        <v>303.117265264791</v>
      </c>
      <c r="I5" s="220">
        <v>328.59807288654002</v>
      </c>
      <c r="J5" s="220">
        <v>296.74722972772332</v>
      </c>
      <c r="K5" s="220">
        <v>250.81091318220939</v>
      </c>
      <c r="L5" s="220">
        <v>273.57765261222659</v>
      </c>
      <c r="M5" s="220">
        <v>313.81957067349089</v>
      </c>
      <c r="N5" s="220">
        <v>298.0840626974886</v>
      </c>
      <c r="O5" s="220">
        <v>302.27506992780491</v>
      </c>
      <c r="P5" s="220">
        <v>290.47590496976568</v>
      </c>
      <c r="Q5" s="220">
        <v>311.2453598928663</v>
      </c>
      <c r="R5" s="220">
        <v>326.14002215619593</v>
      </c>
      <c r="S5" s="220">
        <v>366.79317573466432</v>
      </c>
      <c r="T5" s="220">
        <v>315.73295737165489</v>
      </c>
      <c r="U5" s="220">
        <v>319.72765679310868</v>
      </c>
      <c r="V5" s="220">
        <v>317.01041412372808</v>
      </c>
      <c r="W5" s="220">
        <v>334.70350119431549</v>
      </c>
      <c r="DA5" s="211" t="s">
        <v>973</v>
      </c>
    </row>
    <row r="6" spans="1:105" x14ac:dyDescent="0.25">
      <c r="A6" s="221" t="s">
        <v>119</v>
      </c>
      <c r="B6" s="222">
        <v>451.73230326374693</v>
      </c>
      <c r="C6" s="222">
        <v>429.1456881005596</v>
      </c>
      <c r="D6" s="222">
        <v>406.55907293737232</v>
      </c>
      <c r="E6" s="222">
        <v>406.55907293737232</v>
      </c>
      <c r="F6" s="222">
        <v>383.97245777418487</v>
      </c>
      <c r="G6" s="222">
        <v>361.3858426109976</v>
      </c>
      <c r="H6" s="222">
        <v>361.3858426109976</v>
      </c>
      <c r="I6" s="222">
        <v>361.3858426109976</v>
      </c>
      <c r="J6" s="222">
        <v>338.79922744781032</v>
      </c>
      <c r="K6" s="222">
        <v>338.79922744781032</v>
      </c>
      <c r="L6" s="222">
        <v>316.21261228462288</v>
      </c>
      <c r="M6" s="222">
        <v>338.79922744781032</v>
      </c>
      <c r="N6" s="222">
        <v>338.79922744781032</v>
      </c>
      <c r="O6" s="222">
        <v>338.79922744781032</v>
      </c>
      <c r="P6" s="222">
        <v>338.79922744781032</v>
      </c>
      <c r="Q6" s="222">
        <v>338.79922744781032</v>
      </c>
      <c r="R6" s="222">
        <v>361.3858426109976</v>
      </c>
      <c r="S6" s="222">
        <v>406.55907293737232</v>
      </c>
      <c r="T6" s="222">
        <v>406.55907293737232</v>
      </c>
      <c r="U6" s="222">
        <v>383.97245777418499</v>
      </c>
      <c r="V6" s="222">
        <v>361.38584261099771</v>
      </c>
      <c r="W6" s="222">
        <v>361.38584261099771</v>
      </c>
      <c r="DA6" s="212" t="s">
        <v>974</v>
      </c>
    </row>
    <row r="7" spans="1:105" x14ac:dyDescent="0.25">
      <c r="A7" s="225" t="s">
        <v>118</v>
      </c>
      <c r="B7" s="226"/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22.58661516318735</v>
      </c>
      <c r="J7" s="226">
        <v>0</v>
      </c>
      <c r="K7" s="226">
        <v>0</v>
      </c>
      <c r="L7" s="226">
        <v>0</v>
      </c>
      <c r="M7" s="226">
        <v>45.173230326374693</v>
      </c>
      <c r="N7" s="226">
        <v>0</v>
      </c>
      <c r="O7" s="226">
        <v>22.58661516318735</v>
      </c>
      <c r="P7" s="226">
        <v>0</v>
      </c>
      <c r="Q7" s="226">
        <v>22.58661516318735</v>
      </c>
      <c r="R7" s="226">
        <v>45.173230326374693</v>
      </c>
      <c r="S7" s="226">
        <v>67.759845489562039</v>
      </c>
      <c r="T7" s="226">
        <v>0</v>
      </c>
      <c r="U7" s="226">
        <v>0</v>
      </c>
      <c r="V7" s="226">
        <v>0</v>
      </c>
      <c r="W7" s="226">
        <v>0</v>
      </c>
      <c r="DA7" s="213" t="s">
        <v>975</v>
      </c>
    </row>
    <row r="8" spans="1:105" x14ac:dyDescent="0.25">
      <c r="A8" s="227" t="s">
        <v>117</v>
      </c>
      <c r="B8" s="228"/>
      <c r="C8" s="228">
        <f t="shared" ref="C8" si="0">IF(B6=0,0,B6+C7-C6)</f>
        <v>22.586615163187332</v>
      </c>
      <c r="D8" s="228">
        <f t="shared" ref="D8" si="1">IF(C6=0,0,C6+D7-D6)</f>
        <v>22.586615163187275</v>
      </c>
      <c r="E8" s="228">
        <f t="shared" ref="E8" si="2">IF(D6=0,0,D6+E7-E6)</f>
        <v>0</v>
      </c>
      <c r="F8" s="228">
        <f t="shared" ref="F8" si="3">IF(E6=0,0,E6+F7-F6)</f>
        <v>22.586615163187446</v>
      </c>
      <c r="G8" s="228">
        <f t="shared" ref="G8" si="4">IF(F6=0,0,F6+G7-G6)</f>
        <v>22.586615163187275</v>
      </c>
      <c r="H8" s="228">
        <f t="shared" ref="H8" si="5">IF(G6=0,0,G6+H7-H6)</f>
        <v>0</v>
      </c>
      <c r="I8" s="228">
        <f t="shared" ref="I8" si="6">IF(H6=0,0,H6+I7-I6)</f>
        <v>22.586615163187332</v>
      </c>
      <c r="J8" s="228">
        <f t="shared" ref="J8" si="7">IF(I6=0,0,I6+J7-J6)</f>
        <v>22.586615163187275</v>
      </c>
      <c r="K8" s="228">
        <f t="shared" ref="K8" si="8">IF(J6=0,0,J6+K7-K6)</f>
        <v>0</v>
      </c>
      <c r="L8" s="228">
        <f t="shared" ref="L8" si="9">IF(K6=0,0,K6+L7-L6)</f>
        <v>22.586615163187446</v>
      </c>
      <c r="M8" s="228">
        <f t="shared" ref="M8" si="10">IF(L6=0,0,L6+M7-M6)</f>
        <v>22.586615163187219</v>
      </c>
      <c r="N8" s="228">
        <f t="shared" ref="N8" si="11">IF(M6=0,0,M6+N7-N6)</f>
        <v>0</v>
      </c>
      <c r="O8" s="228">
        <f t="shared" ref="O8" si="12">IF(N6=0,0,N6+O7-O6)</f>
        <v>22.586615163187332</v>
      </c>
      <c r="P8" s="228">
        <f t="shared" ref="P8" si="13">IF(O6=0,0,O6+P7-P6)</f>
        <v>0</v>
      </c>
      <c r="Q8" s="228">
        <f t="shared" ref="Q8" si="14">IF(P6=0,0,P6+Q7-Q6)</f>
        <v>22.586615163187332</v>
      </c>
      <c r="R8" s="228">
        <f t="shared" ref="R8" si="15">IF(Q6=0,0,Q6+R7-R6)</f>
        <v>22.586615163187446</v>
      </c>
      <c r="S8" s="228">
        <f t="shared" ref="S8" si="16">IF(R6=0,0,R6+S7-S6)</f>
        <v>22.586615163187332</v>
      </c>
      <c r="T8" s="228">
        <f t="shared" ref="T8" si="17">IF(S6=0,0,S6+T7-T6)</f>
        <v>0</v>
      </c>
      <c r="U8" s="228">
        <f t="shared" ref="U8" si="18">IF(T6=0,0,T6+U7-U6)</f>
        <v>22.586615163187332</v>
      </c>
      <c r="V8" s="228">
        <f t="shared" ref="V8" si="19">IF(U6=0,0,U6+V7-V6)</f>
        <v>22.586615163187275</v>
      </c>
      <c r="W8" s="228">
        <f t="shared" ref="W8" si="20">IF(V6=0,0,V6+W7-W6)</f>
        <v>0</v>
      </c>
      <c r="DA8" s="214" t="s">
        <v>976</v>
      </c>
    </row>
    <row r="9" spans="1:105" x14ac:dyDescent="0.25">
      <c r="A9" s="223" t="s">
        <v>116</v>
      </c>
      <c r="B9" s="224">
        <f>B6-B5</f>
        <v>90.346460652749442</v>
      </c>
      <c r="C9" s="224">
        <f t="shared" ref="C9:W9" si="21">C6-C5</f>
        <v>53.810786415776022</v>
      </c>
      <c r="D9" s="224">
        <f t="shared" si="21"/>
        <v>54.183352452309236</v>
      </c>
      <c r="E9" s="224">
        <f t="shared" si="21"/>
        <v>59.142253046175824</v>
      </c>
      <c r="F9" s="224">
        <f t="shared" si="21"/>
        <v>60.174706308358054</v>
      </c>
      <c r="G9" s="224">
        <f t="shared" si="21"/>
        <v>94.236354904227824</v>
      </c>
      <c r="H9" s="224">
        <f t="shared" si="21"/>
        <v>58.268577346206598</v>
      </c>
      <c r="I9" s="224">
        <f t="shared" si="21"/>
        <v>32.787769724457576</v>
      </c>
      <c r="J9" s="224">
        <f t="shared" si="21"/>
        <v>42.051997720087002</v>
      </c>
      <c r="K9" s="224">
        <f t="shared" si="21"/>
        <v>87.988314265600934</v>
      </c>
      <c r="L9" s="224">
        <f t="shared" si="21"/>
        <v>42.634959672396292</v>
      </c>
      <c r="M9" s="224">
        <f t="shared" si="21"/>
        <v>24.979656774319437</v>
      </c>
      <c r="N9" s="224">
        <f t="shared" si="21"/>
        <v>40.715164750321719</v>
      </c>
      <c r="O9" s="224">
        <f t="shared" si="21"/>
        <v>36.524157520005417</v>
      </c>
      <c r="P9" s="224">
        <f t="shared" si="21"/>
        <v>48.323322478044645</v>
      </c>
      <c r="Q9" s="224">
        <f t="shared" si="21"/>
        <v>27.55386755494402</v>
      </c>
      <c r="R9" s="224">
        <f t="shared" si="21"/>
        <v>35.245820454801674</v>
      </c>
      <c r="S9" s="224">
        <f t="shared" si="21"/>
        <v>39.765897202708004</v>
      </c>
      <c r="T9" s="224">
        <f t="shared" si="21"/>
        <v>90.82611556571743</v>
      </c>
      <c r="U9" s="224">
        <f t="shared" si="21"/>
        <v>64.24480098107631</v>
      </c>
      <c r="V9" s="224">
        <f t="shared" si="21"/>
        <v>44.37542848726963</v>
      </c>
      <c r="W9" s="224">
        <f t="shared" si="21"/>
        <v>26.68234141668222</v>
      </c>
      <c r="DA9" s="215" t="s">
        <v>977</v>
      </c>
    </row>
    <row r="10" spans="1:105" x14ac:dyDescent="0.25">
      <c r="B10" s="216"/>
      <c r="C10" s="216"/>
      <c r="D10" s="216"/>
      <c r="E10" s="216"/>
      <c r="F10" s="216"/>
      <c r="G10" s="216"/>
      <c r="H10" s="216"/>
      <c r="I10" s="216"/>
      <c r="J10" s="216"/>
      <c r="K10" s="216"/>
      <c r="L10" s="216"/>
      <c r="M10" s="216"/>
      <c r="N10" s="216"/>
      <c r="O10" s="216"/>
      <c r="P10" s="216"/>
      <c r="Q10" s="216"/>
      <c r="R10" s="216"/>
      <c r="S10" s="216"/>
      <c r="T10" s="216"/>
      <c r="U10" s="216"/>
      <c r="V10" s="216"/>
      <c r="W10" s="216"/>
    </row>
    <row r="11" spans="1:105" x14ac:dyDescent="0.25">
      <c r="A11" s="219" t="s">
        <v>115</v>
      </c>
      <c r="B11" s="231"/>
      <c r="C11" s="231"/>
      <c r="D11" s="231"/>
      <c r="E11" s="231"/>
      <c r="F11" s="231"/>
      <c r="G11" s="231"/>
      <c r="H11" s="231"/>
      <c r="I11" s="231"/>
      <c r="J11" s="231"/>
      <c r="K11" s="231"/>
      <c r="L11" s="231"/>
      <c r="M11" s="231"/>
      <c r="N11" s="231"/>
      <c r="O11" s="231"/>
      <c r="P11" s="231"/>
      <c r="Q11" s="231"/>
      <c r="R11" s="231"/>
      <c r="S11" s="231"/>
      <c r="T11" s="231"/>
      <c r="U11" s="231"/>
      <c r="V11" s="231"/>
      <c r="W11" s="231"/>
      <c r="DA11" s="211"/>
    </row>
    <row r="12" spans="1:105" x14ac:dyDescent="0.25">
      <c r="A12" s="229" t="s">
        <v>114</v>
      </c>
      <c r="B12" s="230">
        <f>SUM(B13,B14,B18,B19,B26,B27)</f>
        <v>45.700450515902155</v>
      </c>
      <c r="C12" s="230">
        <f t="shared" ref="C12:W12" si="22">SUM(C13,C14,C18,C19,C26,C27)</f>
        <v>45.921487685936413</v>
      </c>
      <c r="D12" s="230">
        <f t="shared" si="22"/>
        <v>45.037339005799339</v>
      </c>
      <c r="E12" s="230">
        <f t="shared" si="22"/>
        <v>47.051660592572055</v>
      </c>
      <c r="F12" s="230">
        <f t="shared" si="22"/>
        <v>43.662064312477682</v>
      </c>
      <c r="G12" s="230">
        <f t="shared" si="22"/>
        <v>41.254975345725256</v>
      </c>
      <c r="H12" s="230">
        <f t="shared" si="22"/>
        <v>44.537080929179389</v>
      </c>
      <c r="I12" s="230">
        <f t="shared" si="22"/>
        <v>45.096310412153215</v>
      </c>
      <c r="J12" s="230">
        <f t="shared" si="22"/>
        <v>41.344969905417017</v>
      </c>
      <c r="K12" s="230">
        <f t="shared" si="22"/>
        <v>39.216852966466028</v>
      </c>
      <c r="L12" s="230">
        <f t="shared" si="22"/>
        <v>39.5554600171969</v>
      </c>
      <c r="M12" s="230">
        <f t="shared" si="22"/>
        <v>41.675322441960432</v>
      </c>
      <c r="N12" s="230">
        <f t="shared" si="22"/>
        <v>40.254170249355106</v>
      </c>
      <c r="O12" s="230">
        <f t="shared" si="22"/>
        <v>40.187532244196049</v>
      </c>
      <c r="P12" s="230">
        <f t="shared" si="22"/>
        <v>37.808168529664663</v>
      </c>
      <c r="Q12" s="230">
        <f t="shared" si="22"/>
        <v>41.370163370593289</v>
      </c>
      <c r="R12" s="230">
        <f t="shared" si="22"/>
        <v>44.154600171969037</v>
      </c>
      <c r="S12" s="230">
        <f t="shared" si="22"/>
        <v>45.813241616509025</v>
      </c>
      <c r="T12" s="230">
        <f t="shared" si="22"/>
        <v>44.606706792777295</v>
      </c>
      <c r="U12" s="230">
        <f t="shared" si="22"/>
        <v>45.405159071367159</v>
      </c>
      <c r="V12" s="230">
        <f t="shared" si="22"/>
        <v>47.115993121238169</v>
      </c>
      <c r="W12" s="230">
        <f t="shared" si="22"/>
        <v>47.70868443680137</v>
      </c>
      <c r="DA12" s="211" t="s">
        <v>978</v>
      </c>
    </row>
    <row r="13" spans="1:105" x14ac:dyDescent="0.25">
      <c r="A13" s="58" t="s">
        <v>29</v>
      </c>
      <c r="B13" s="59">
        <v>0</v>
      </c>
      <c r="C13" s="59">
        <v>0</v>
      </c>
      <c r="D13" s="59">
        <v>0</v>
      </c>
      <c r="E13" s="59">
        <v>0</v>
      </c>
      <c r="F13" s="59">
        <v>0</v>
      </c>
      <c r="G13" s="59">
        <v>0</v>
      </c>
      <c r="H13" s="59">
        <v>0</v>
      </c>
      <c r="I13" s="59">
        <v>0</v>
      </c>
      <c r="J13" s="59">
        <v>0</v>
      </c>
      <c r="K13" s="59">
        <v>0</v>
      </c>
      <c r="L13" s="59">
        <v>0</v>
      </c>
      <c r="M13" s="59">
        <v>0</v>
      </c>
      <c r="N13" s="59">
        <v>0</v>
      </c>
      <c r="O13" s="59">
        <v>0</v>
      </c>
      <c r="P13" s="59">
        <v>0</v>
      </c>
      <c r="Q13" s="59">
        <v>0</v>
      </c>
      <c r="R13" s="59">
        <v>0</v>
      </c>
      <c r="S13" s="59">
        <v>0</v>
      </c>
      <c r="T13" s="59">
        <v>0</v>
      </c>
      <c r="U13" s="59">
        <v>0</v>
      </c>
      <c r="V13" s="59">
        <v>0</v>
      </c>
      <c r="W13" s="59">
        <v>0</v>
      </c>
      <c r="DA13" s="9" t="s">
        <v>979</v>
      </c>
    </row>
    <row r="14" spans="1:105" x14ac:dyDescent="0.25">
      <c r="A14" s="60" t="s">
        <v>28</v>
      </c>
      <c r="B14" s="55">
        <f>SUM(B15:B17)</f>
        <v>37.531920851241793</v>
      </c>
      <c r="C14" s="55">
        <f t="shared" ref="C14:W14" si="23">SUM(C15:C17)</f>
        <v>37.92492706684785</v>
      </c>
      <c r="D14" s="55">
        <f t="shared" si="23"/>
        <v>36.352902204423586</v>
      </c>
      <c r="E14" s="55">
        <f t="shared" si="23"/>
        <v>37.33540951776552</v>
      </c>
      <c r="F14" s="55">
        <f t="shared" si="23"/>
        <v>33.601875146527554</v>
      </c>
      <c r="G14" s="55">
        <f t="shared" si="23"/>
        <v>30.850848088631533</v>
      </c>
      <c r="H14" s="55">
        <f t="shared" si="23"/>
        <v>33.325644987648872</v>
      </c>
      <c r="I14" s="55">
        <f t="shared" si="23"/>
        <v>33.087110068215132</v>
      </c>
      <c r="J14" s="55">
        <f t="shared" si="23"/>
        <v>27.821496130696474</v>
      </c>
      <c r="K14" s="55">
        <f t="shared" si="23"/>
        <v>25.746603611349954</v>
      </c>
      <c r="L14" s="55">
        <f t="shared" si="23"/>
        <v>24.742820292347371</v>
      </c>
      <c r="M14" s="55">
        <f t="shared" si="23"/>
        <v>26.772312983662932</v>
      </c>
      <c r="N14" s="55">
        <f t="shared" si="23"/>
        <v>25.696646603611349</v>
      </c>
      <c r="O14" s="55">
        <f t="shared" si="23"/>
        <v>24.591745485812556</v>
      </c>
      <c r="P14" s="55">
        <f t="shared" si="23"/>
        <v>21.469991401547723</v>
      </c>
      <c r="Q14" s="55">
        <f t="shared" si="23"/>
        <v>25.745915735167664</v>
      </c>
      <c r="R14" s="55">
        <f t="shared" si="23"/>
        <v>25.838521066208074</v>
      </c>
      <c r="S14" s="55">
        <f t="shared" si="23"/>
        <v>27.427429062768699</v>
      </c>
      <c r="T14" s="55">
        <f t="shared" si="23"/>
        <v>25.75030094582975</v>
      </c>
      <c r="U14" s="55">
        <f t="shared" si="23"/>
        <v>27.673516766981948</v>
      </c>
      <c r="V14" s="55">
        <f t="shared" si="23"/>
        <v>28.746087704213242</v>
      </c>
      <c r="W14" s="55">
        <f t="shared" si="23"/>
        <v>27.610404127257084</v>
      </c>
      <c r="DA14" s="10"/>
    </row>
    <row r="15" spans="1:105" x14ac:dyDescent="0.25">
      <c r="A15" s="61" t="s">
        <v>52</v>
      </c>
      <c r="B15" s="55">
        <v>0</v>
      </c>
      <c r="C15" s="55">
        <v>0</v>
      </c>
      <c r="D15" s="55">
        <v>0</v>
      </c>
      <c r="E15" s="55">
        <v>0</v>
      </c>
      <c r="F15" s="55">
        <v>0</v>
      </c>
      <c r="G15" s="55">
        <v>0</v>
      </c>
      <c r="H15" s="55">
        <v>1.129750644883921</v>
      </c>
      <c r="I15" s="55">
        <v>1.129750644883921</v>
      </c>
      <c r="J15" s="55">
        <v>1.129750644883921</v>
      </c>
      <c r="K15" s="55">
        <v>1.129750644883921</v>
      </c>
      <c r="L15" s="55">
        <v>1.129750644883921</v>
      </c>
      <c r="M15" s="55">
        <v>1.129750644883921</v>
      </c>
      <c r="N15" s="55">
        <v>1.129750644883921</v>
      </c>
      <c r="O15" s="55">
        <v>1.129750644883921</v>
      </c>
      <c r="P15" s="55">
        <v>0</v>
      </c>
      <c r="Q15" s="55">
        <v>1.129750644883921</v>
      </c>
      <c r="R15" s="55">
        <v>2.259501289767841</v>
      </c>
      <c r="S15" s="55">
        <v>2.738521066208083</v>
      </c>
      <c r="T15" s="55">
        <v>2.8582115219260529</v>
      </c>
      <c r="U15" s="55">
        <v>3.2299226139294919</v>
      </c>
      <c r="V15" s="55">
        <v>2.9124677558039549</v>
      </c>
      <c r="W15" s="55">
        <v>2.723817712811694</v>
      </c>
      <c r="DA15" s="10" t="s">
        <v>980</v>
      </c>
    </row>
    <row r="16" spans="1:105" x14ac:dyDescent="0.25">
      <c r="A16" s="61" t="s">
        <v>172</v>
      </c>
      <c r="B16" s="55">
        <v>37.531920851241793</v>
      </c>
      <c r="C16" s="55">
        <v>37.92492706684785</v>
      </c>
      <c r="D16" s="55">
        <v>36.352902204423586</v>
      </c>
      <c r="E16" s="55">
        <v>37.33540951776552</v>
      </c>
      <c r="F16" s="55">
        <v>33.601875146527554</v>
      </c>
      <c r="G16" s="55">
        <v>30.850848088631533</v>
      </c>
      <c r="H16" s="55">
        <v>32.195894342764952</v>
      </c>
      <c r="I16" s="55">
        <v>31.957359423331212</v>
      </c>
      <c r="J16" s="55">
        <v>26.691745485812554</v>
      </c>
      <c r="K16" s="55">
        <v>24.616852966466034</v>
      </c>
      <c r="L16" s="55">
        <v>23.613069647463451</v>
      </c>
      <c r="M16" s="55">
        <v>25.642562338779012</v>
      </c>
      <c r="N16" s="55">
        <v>24.566895958727429</v>
      </c>
      <c r="O16" s="55">
        <v>23.461994840928636</v>
      </c>
      <c r="P16" s="55">
        <v>21.469991401547723</v>
      </c>
      <c r="Q16" s="55">
        <v>24.616165090283744</v>
      </c>
      <c r="R16" s="55">
        <v>23.579019776440234</v>
      </c>
      <c r="S16" s="55">
        <v>24.688907996560616</v>
      </c>
      <c r="T16" s="55">
        <v>22.892089423903698</v>
      </c>
      <c r="U16" s="55">
        <v>24.443594153052455</v>
      </c>
      <c r="V16" s="55">
        <v>25.833619948409286</v>
      </c>
      <c r="W16" s="55">
        <v>24.886586414445389</v>
      </c>
      <c r="DA16" s="10" t="s">
        <v>981</v>
      </c>
    </row>
    <row r="17" spans="1:105" x14ac:dyDescent="0.25">
      <c r="A17" s="61" t="s">
        <v>113</v>
      </c>
      <c r="B17" s="55">
        <v>0</v>
      </c>
      <c r="C17" s="55">
        <v>0</v>
      </c>
      <c r="D17" s="55">
        <v>0</v>
      </c>
      <c r="E17" s="55">
        <v>0</v>
      </c>
      <c r="F17" s="55">
        <v>0</v>
      </c>
      <c r="G17" s="55">
        <v>0</v>
      </c>
      <c r="H17" s="55">
        <v>0</v>
      </c>
      <c r="I17" s="55">
        <v>0</v>
      </c>
      <c r="J17" s="55">
        <v>0</v>
      </c>
      <c r="K17" s="55">
        <v>0</v>
      </c>
      <c r="L17" s="55">
        <v>0</v>
      </c>
      <c r="M17" s="55">
        <v>0</v>
      </c>
      <c r="N17" s="55">
        <v>0</v>
      </c>
      <c r="O17" s="55">
        <v>0</v>
      </c>
      <c r="P17" s="55">
        <v>0</v>
      </c>
      <c r="Q17" s="55">
        <v>0</v>
      </c>
      <c r="R17" s="55">
        <v>0</v>
      </c>
      <c r="S17" s="55">
        <v>0</v>
      </c>
      <c r="T17" s="55">
        <v>0</v>
      </c>
      <c r="U17" s="55">
        <v>0</v>
      </c>
      <c r="V17" s="55">
        <v>0</v>
      </c>
      <c r="W17" s="55">
        <v>0</v>
      </c>
      <c r="DA17" s="10" t="s">
        <v>982</v>
      </c>
    </row>
    <row r="18" spans="1:105" x14ac:dyDescent="0.25">
      <c r="A18" s="60" t="s">
        <v>153</v>
      </c>
      <c r="B18" s="55">
        <v>0</v>
      </c>
      <c r="C18" s="55">
        <v>0</v>
      </c>
      <c r="D18" s="55">
        <v>0</v>
      </c>
      <c r="E18" s="55">
        <v>0</v>
      </c>
      <c r="F18" s="55">
        <v>0</v>
      </c>
      <c r="G18" s="55">
        <v>0</v>
      </c>
      <c r="H18" s="55">
        <v>0</v>
      </c>
      <c r="I18" s="55">
        <v>0</v>
      </c>
      <c r="J18" s="55">
        <v>0</v>
      </c>
      <c r="K18" s="55">
        <v>0</v>
      </c>
      <c r="L18" s="55">
        <v>0</v>
      </c>
      <c r="M18" s="55">
        <v>0</v>
      </c>
      <c r="N18" s="55">
        <v>0</v>
      </c>
      <c r="O18" s="55">
        <v>0</v>
      </c>
      <c r="P18" s="55">
        <v>0</v>
      </c>
      <c r="Q18" s="55">
        <v>0</v>
      </c>
      <c r="R18" s="55">
        <v>0</v>
      </c>
      <c r="S18" s="55">
        <v>0</v>
      </c>
      <c r="T18" s="55">
        <v>0</v>
      </c>
      <c r="U18" s="55">
        <v>0</v>
      </c>
      <c r="V18" s="55">
        <v>0</v>
      </c>
      <c r="W18" s="55">
        <v>0</v>
      </c>
      <c r="DA18" s="10" t="s">
        <v>983</v>
      </c>
    </row>
    <row r="19" spans="1:105" x14ac:dyDescent="0.25">
      <c r="A19" s="60" t="s">
        <v>51</v>
      </c>
      <c r="B19" s="55">
        <f>SUM(B20:B25)</f>
        <v>0</v>
      </c>
      <c r="C19" s="55">
        <f t="shared" ref="C19:W19" si="24">SUM(C20:C25)</f>
        <v>0</v>
      </c>
      <c r="D19" s="55">
        <f t="shared" si="24"/>
        <v>0</v>
      </c>
      <c r="E19" s="55">
        <f t="shared" si="24"/>
        <v>0</v>
      </c>
      <c r="F19" s="55">
        <f t="shared" si="24"/>
        <v>0</v>
      </c>
      <c r="G19" s="55">
        <f t="shared" si="24"/>
        <v>0</v>
      </c>
      <c r="H19" s="55">
        <f t="shared" si="24"/>
        <v>0.1194325021496131</v>
      </c>
      <c r="I19" s="55">
        <f t="shared" si="24"/>
        <v>0.14333619948409279</v>
      </c>
      <c r="J19" s="55">
        <f t="shared" si="24"/>
        <v>2.3903697334479789E-2</v>
      </c>
      <c r="K19" s="55">
        <f t="shared" si="24"/>
        <v>0.99294926913155634</v>
      </c>
      <c r="L19" s="55">
        <f t="shared" si="24"/>
        <v>1.5375752364574371</v>
      </c>
      <c r="M19" s="55">
        <f t="shared" si="24"/>
        <v>2.3827171109200345</v>
      </c>
      <c r="N19" s="55">
        <f t="shared" si="24"/>
        <v>2.7251074806534819</v>
      </c>
      <c r="O19" s="55">
        <f t="shared" si="24"/>
        <v>2.3828030954428203</v>
      </c>
      <c r="P19" s="55">
        <f t="shared" si="24"/>
        <v>2.5376612209802238</v>
      </c>
      <c r="Q19" s="55">
        <f t="shared" si="24"/>
        <v>2.0243336199484094</v>
      </c>
      <c r="R19" s="55">
        <f t="shared" si="24"/>
        <v>2.3325021496130693</v>
      </c>
      <c r="S19" s="55">
        <f t="shared" si="24"/>
        <v>2.3782459157351674</v>
      </c>
      <c r="T19" s="55">
        <f t="shared" si="24"/>
        <v>2.3680137575236451</v>
      </c>
      <c r="U19" s="55">
        <f t="shared" si="24"/>
        <v>2.9281169389509887</v>
      </c>
      <c r="V19" s="55">
        <f t="shared" si="24"/>
        <v>3.2804815133276004</v>
      </c>
      <c r="W19" s="55">
        <f t="shared" si="24"/>
        <v>3.2110060189165943</v>
      </c>
      <c r="DA19" s="10"/>
    </row>
    <row r="20" spans="1:105" x14ac:dyDescent="0.25">
      <c r="A20" s="61" t="s">
        <v>171</v>
      </c>
      <c r="B20" s="55">
        <v>0</v>
      </c>
      <c r="C20" s="55">
        <v>0</v>
      </c>
      <c r="D20" s="55">
        <v>0</v>
      </c>
      <c r="E20" s="55">
        <v>0</v>
      </c>
      <c r="F20" s="55">
        <v>0</v>
      </c>
      <c r="G20" s="55">
        <v>0</v>
      </c>
      <c r="H20" s="55">
        <v>0.1194325021496131</v>
      </c>
      <c r="I20" s="55">
        <v>0</v>
      </c>
      <c r="J20" s="55">
        <v>2.3903697334479789E-2</v>
      </c>
      <c r="K20" s="55">
        <v>6.1478933791917448E-2</v>
      </c>
      <c r="L20" s="55">
        <v>3.2846087704213239E-2</v>
      </c>
      <c r="M20" s="55">
        <v>4.2046431642304379E-2</v>
      </c>
      <c r="N20" s="55">
        <v>5.0042992261392943E-2</v>
      </c>
      <c r="O20" s="55">
        <v>4.2132416165090281E-2</v>
      </c>
      <c r="P20" s="55">
        <v>2.9750644883920891E-2</v>
      </c>
      <c r="Q20" s="55">
        <v>6.5778159931212374E-2</v>
      </c>
      <c r="R20" s="55">
        <v>6.345657781599312E-2</v>
      </c>
      <c r="S20" s="55">
        <v>8.2545141874462588E-2</v>
      </c>
      <c r="T20" s="55">
        <v>8.4694754944110051E-2</v>
      </c>
      <c r="U20" s="55">
        <v>9.1831470335339643E-2</v>
      </c>
      <c r="V20" s="55">
        <v>9.1831470335339643E-2</v>
      </c>
      <c r="W20" s="55">
        <v>3.3447979363714533E-2</v>
      </c>
      <c r="DA20" s="10" t="s">
        <v>984</v>
      </c>
    </row>
    <row r="21" spans="1:105" x14ac:dyDescent="0.25">
      <c r="A21" s="61" t="s">
        <v>50</v>
      </c>
      <c r="B21" s="55">
        <v>0</v>
      </c>
      <c r="C21" s="55">
        <v>0</v>
      </c>
      <c r="D21" s="55">
        <v>0</v>
      </c>
      <c r="E21" s="55">
        <v>0</v>
      </c>
      <c r="F21" s="55">
        <v>0</v>
      </c>
      <c r="G21" s="55">
        <v>0</v>
      </c>
      <c r="H21" s="55">
        <v>0</v>
      </c>
      <c r="I21" s="55">
        <v>0.14333619948409279</v>
      </c>
      <c r="J21" s="55">
        <v>0</v>
      </c>
      <c r="K21" s="55">
        <v>0.93147033533963886</v>
      </c>
      <c r="L21" s="55">
        <v>1.5047291487532239</v>
      </c>
      <c r="M21" s="55">
        <v>2.3406706792777299</v>
      </c>
      <c r="N21" s="55">
        <v>2.6750644883920889</v>
      </c>
      <c r="O21" s="55">
        <v>2.3406706792777299</v>
      </c>
      <c r="P21" s="55">
        <v>2.507910576096303</v>
      </c>
      <c r="Q21" s="55">
        <v>1.958555460017197</v>
      </c>
      <c r="R21" s="55">
        <v>2.2690455717970761</v>
      </c>
      <c r="S21" s="55">
        <v>2.2957007738607049</v>
      </c>
      <c r="T21" s="55">
        <v>2.2833190025795349</v>
      </c>
      <c r="U21" s="55">
        <v>2.8362854686156491</v>
      </c>
      <c r="V21" s="55">
        <v>3.1886500429922608</v>
      </c>
      <c r="W21" s="55">
        <v>3.17755803955288</v>
      </c>
      <c r="DA21" s="10" t="s">
        <v>985</v>
      </c>
    </row>
    <row r="22" spans="1:105" x14ac:dyDescent="0.25">
      <c r="A22" s="61" t="s">
        <v>49</v>
      </c>
      <c r="B22" s="55">
        <v>0</v>
      </c>
      <c r="C22" s="55">
        <v>0</v>
      </c>
      <c r="D22" s="55">
        <v>0</v>
      </c>
      <c r="E22" s="55">
        <v>0</v>
      </c>
      <c r="F22" s="55">
        <v>0</v>
      </c>
      <c r="G22" s="55">
        <v>0</v>
      </c>
      <c r="H22" s="55">
        <v>0</v>
      </c>
      <c r="I22" s="55">
        <v>0</v>
      </c>
      <c r="J22" s="55">
        <v>0</v>
      </c>
      <c r="K22" s="55">
        <v>0</v>
      </c>
      <c r="L22" s="55">
        <v>0</v>
      </c>
      <c r="M22" s="55">
        <v>0</v>
      </c>
      <c r="N22" s="55">
        <v>0</v>
      </c>
      <c r="O22" s="55">
        <v>0</v>
      </c>
      <c r="P22" s="55">
        <v>0</v>
      </c>
      <c r="Q22" s="55">
        <v>0</v>
      </c>
      <c r="R22" s="55">
        <v>0</v>
      </c>
      <c r="S22" s="55">
        <v>0</v>
      </c>
      <c r="T22" s="55">
        <v>0</v>
      </c>
      <c r="U22" s="55">
        <v>0</v>
      </c>
      <c r="V22" s="55">
        <v>0</v>
      </c>
      <c r="W22" s="55">
        <v>0</v>
      </c>
      <c r="DA22" s="10" t="s">
        <v>986</v>
      </c>
    </row>
    <row r="23" spans="1:105" x14ac:dyDescent="0.25">
      <c r="A23" s="61" t="s">
        <v>26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DA23" s="10" t="s">
        <v>987</v>
      </c>
    </row>
    <row r="24" spans="1:105" x14ac:dyDescent="0.25">
      <c r="A24" s="61" t="s">
        <v>25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DA24" s="10" t="s">
        <v>988</v>
      </c>
    </row>
    <row r="25" spans="1:105" x14ac:dyDescent="0.25">
      <c r="A25" s="61" t="s">
        <v>157</v>
      </c>
      <c r="B25" s="55">
        <v>0</v>
      </c>
      <c r="C25" s="55">
        <v>0</v>
      </c>
      <c r="D25" s="55">
        <v>0</v>
      </c>
      <c r="E25" s="55">
        <v>0</v>
      </c>
      <c r="F25" s="55">
        <v>0</v>
      </c>
      <c r="G25" s="55">
        <v>0</v>
      </c>
      <c r="H25" s="55">
        <v>0</v>
      </c>
      <c r="I25" s="55">
        <v>0</v>
      </c>
      <c r="J25" s="55">
        <v>0</v>
      </c>
      <c r="K25" s="55">
        <v>0</v>
      </c>
      <c r="L25" s="55">
        <v>0</v>
      </c>
      <c r="M25" s="55">
        <v>0</v>
      </c>
      <c r="N25" s="55">
        <v>0</v>
      </c>
      <c r="O25" s="55">
        <v>0</v>
      </c>
      <c r="P25" s="55">
        <v>0</v>
      </c>
      <c r="Q25" s="55">
        <v>0</v>
      </c>
      <c r="R25" s="55">
        <v>0</v>
      </c>
      <c r="S25" s="55">
        <v>0</v>
      </c>
      <c r="T25" s="55">
        <v>0</v>
      </c>
      <c r="U25" s="55">
        <v>0</v>
      </c>
      <c r="V25" s="55">
        <v>0</v>
      </c>
      <c r="W25" s="55">
        <v>0</v>
      </c>
      <c r="DA25" s="10" t="s">
        <v>989</v>
      </c>
    </row>
    <row r="26" spans="1:105" x14ac:dyDescent="0.25">
      <c r="A26" s="60" t="s">
        <v>169</v>
      </c>
      <c r="B26" s="55">
        <v>0</v>
      </c>
      <c r="C26" s="55">
        <v>0</v>
      </c>
      <c r="D26" s="55">
        <v>0</v>
      </c>
      <c r="E26" s="55">
        <v>0</v>
      </c>
      <c r="F26" s="55">
        <v>0</v>
      </c>
      <c r="G26" s="55">
        <v>0</v>
      </c>
      <c r="H26" s="55">
        <v>0</v>
      </c>
      <c r="I26" s="55">
        <v>0</v>
      </c>
      <c r="J26" s="55">
        <v>0</v>
      </c>
      <c r="K26" s="55">
        <v>9.5528804815133275E-2</v>
      </c>
      <c r="L26" s="55">
        <v>0.1194325021496131</v>
      </c>
      <c r="M26" s="55">
        <v>0.74041272570937233</v>
      </c>
      <c r="N26" s="55">
        <v>0.74041272570937233</v>
      </c>
      <c r="O26" s="55">
        <v>1.0031814273430779</v>
      </c>
      <c r="P26" s="55">
        <v>1.0748065348237319</v>
      </c>
      <c r="Q26" s="55">
        <v>1.218142734307825</v>
      </c>
      <c r="R26" s="55">
        <v>1.1942390369733451</v>
      </c>
      <c r="S26" s="55">
        <v>1.2871023215821149</v>
      </c>
      <c r="T26" s="55">
        <v>1.2861564918314701</v>
      </c>
      <c r="U26" s="55">
        <v>1.229406706792777</v>
      </c>
      <c r="V26" s="55">
        <v>0.88650042992261391</v>
      </c>
      <c r="W26" s="55">
        <v>0.88804815133275994</v>
      </c>
      <c r="DA26" s="10" t="s">
        <v>990</v>
      </c>
    </row>
    <row r="27" spans="1:105" x14ac:dyDescent="0.25">
      <c r="A27" s="62" t="s">
        <v>24</v>
      </c>
      <c r="B27" s="63">
        <v>8.16852966466036</v>
      </c>
      <c r="C27" s="63">
        <v>7.9965606190885632</v>
      </c>
      <c r="D27" s="63">
        <v>8.6844368013757514</v>
      </c>
      <c r="E27" s="63">
        <v>9.716251074806534</v>
      </c>
      <c r="F27" s="63">
        <v>10.060189165950128</v>
      </c>
      <c r="G27" s="63">
        <v>10.404127257093725</v>
      </c>
      <c r="H27" s="63">
        <v>11.092003439380905</v>
      </c>
      <c r="I27" s="63">
        <v>11.865864144453996</v>
      </c>
      <c r="J27" s="63">
        <v>13.499570077386066</v>
      </c>
      <c r="K27" s="63">
        <v>12.381771281169385</v>
      </c>
      <c r="L27" s="63">
        <v>13.155631986242476</v>
      </c>
      <c r="M27" s="63">
        <v>11.779879621668096</v>
      </c>
      <c r="N27" s="63">
        <v>11.092003439380905</v>
      </c>
      <c r="O27" s="63">
        <v>12.209802235597596</v>
      </c>
      <c r="P27" s="63">
        <v>12.725709372312986</v>
      </c>
      <c r="Q27" s="63">
        <v>12.381771281169394</v>
      </c>
      <c r="R27" s="63">
        <v>14.789337919174544</v>
      </c>
      <c r="S27" s="63">
        <v>14.720464316423044</v>
      </c>
      <c r="T27" s="63">
        <v>15.202235597592432</v>
      </c>
      <c r="U27" s="63">
        <v>13.574118658641446</v>
      </c>
      <c r="V27" s="63">
        <v>14.202923473774719</v>
      </c>
      <c r="W27" s="63">
        <v>15.99922613929493</v>
      </c>
      <c r="DA27" s="11" t="s">
        <v>991</v>
      </c>
    </row>
    <row r="29" spans="1:105" x14ac:dyDescent="0.25">
      <c r="A29" s="219" t="s">
        <v>84</v>
      </c>
      <c r="B29" s="220">
        <v>116.43973684900456</v>
      </c>
      <c r="C29" s="220">
        <v>117.65900672081763</v>
      </c>
      <c r="D29" s="220">
        <v>112.78192723356518</v>
      </c>
      <c r="E29" s="220">
        <v>115.8300763936147</v>
      </c>
      <c r="F29" s="220">
        <v>104.24708916983985</v>
      </c>
      <c r="G29" s="220">
        <v>95.712251106114536</v>
      </c>
      <c r="H29" s="220">
        <v>102.86980313180761</v>
      </c>
      <c r="I29" s="220">
        <v>102.1297679132999</v>
      </c>
      <c r="J29" s="220">
        <v>85.793628240000004</v>
      </c>
      <c r="K29" s="220">
        <v>79.356442680000001</v>
      </c>
      <c r="L29" s="220">
        <v>76.242286439999987</v>
      </c>
      <c r="M29" s="220">
        <v>82.538622719999978</v>
      </c>
      <c r="N29" s="220">
        <v>79.201455120000006</v>
      </c>
      <c r="O29" s="220">
        <v>75.773589120000011</v>
      </c>
      <c r="P29" s="220">
        <v>66.608904960000004</v>
      </c>
      <c r="Q29" s="220">
        <v>79.354308599999968</v>
      </c>
      <c r="R29" s="220">
        <v>79.121304719999983</v>
      </c>
      <c r="S29" s="220">
        <v>83.83015116</v>
      </c>
      <c r="T29" s="220">
        <v>78.571874160000007</v>
      </c>
      <c r="U29" s="220">
        <v>84.367304280000013</v>
      </c>
      <c r="V29" s="220">
        <v>87.841071720000002</v>
      </c>
      <c r="W29" s="220">
        <v>84.404588039999979</v>
      </c>
      <c r="DA29" s="8"/>
    </row>
    <row r="31" spans="1:105" x14ac:dyDescent="0.25">
      <c r="A31" s="33" t="s">
        <v>154</v>
      </c>
      <c r="B31" s="59">
        <f t="shared" ref="B31:W31" si="25">IF(B$12=0,"",B$12/B$3*1000)</f>
        <v>92.989574394067333</v>
      </c>
      <c r="C31" s="59">
        <f t="shared" si="25"/>
        <v>84.425835084028279</v>
      </c>
      <c r="D31" s="59">
        <f t="shared" si="25"/>
        <v>80.948147111909165</v>
      </c>
      <c r="E31" s="59">
        <f t="shared" si="25"/>
        <v>91.646082005912007</v>
      </c>
      <c r="F31" s="59">
        <f t="shared" si="25"/>
        <v>87.309906454169536</v>
      </c>
      <c r="G31" s="59">
        <f t="shared" si="25"/>
        <v>87.971552550159899</v>
      </c>
      <c r="H31" s="59">
        <f t="shared" si="25"/>
        <v>108.7934296463161</v>
      </c>
      <c r="I31" s="59">
        <f t="shared" si="25"/>
        <v>116.8374464762511</v>
      </c>
      <c r="J31" s="59">
        <f t="shared" si="25"/>
        <v>99.967752316168884</v>
      </c>
      <c r="K31" s="59">
        <f t="shared" si="25"/>
        <v>103.69658173322013</v>
      </c>
      <c r="L31" s="59">
        <f t="shared" si="25"/>
        <v>99.096108749376143</v>
      </c>
      <c r="M31" s="59">
        <f t="shared" si="25"/>
        <v>100.50796424981527</v>
      </c>
      <c r="N31" s="59">
        <f t="shared" si="25"/>
        <v>107.56178387695439</v>
      </c>
      <c r="O31" s="59">
        <f t="shared" si="25"/>
        <v>113.22295761014516</v>
      </c>
      <c r="P31" s="59">
        <f t="shared" si="25"/>
        <v>118.03651597645757</v>
      </c>
      <c r="Q31" s="59">
        <f t="shared" si="25"/>
        <v>123.41934179771268</v>
      </c>
      <c r="R31" s="59">
        <f t="shared" si="25"/>
        <v>107.67179414849583</v>
      </c>
      <c r="S31" s="59">
        <f t="shared" si="25"/>
        <v>121.98232251464273</v>
      </c>
      <c r="T31" s="59">
        <f t="shared" si="25"/>
        <v>120.17144428067532</v>
      </c>
      <c r="U31" s="59">
        <f t="shared" si="25"/>
        <v>114.07227680752985</v>
      </c>
      <c r="V31" s="59">
        <f t="shared" si="25"/>
        <v>118.76829725380087</v>
      </c>
      <c r="W31" s="59">
        <f t="shared" si="25"/>
        <v>123.68455830465945</v>
      </c>
      <c r="DA31" s="212"/>
    </row>
    <row r="32" spans="1:105" x14ac:dyDescent="0.25">
      <c r="A32" s="35" t="s">
        <v>112</v>
      </c>
      <c r="B32" s="55">
        <f t="shared" ref="B32:W32" si="26">IF(B$12=0,"",B$12/B$5*1000)</f>
        <v>126.45888445910974</v>
      </c>
      <c r="C32" s="55">
        <f t="shared" si="26"/>
        <v>122.34803499436491</v>
      </c>
      <c r="D32" s="55">
        <f t="shared" si="26"/>
        <v>127.81056238438663</v>
      </c>
      <c r="E32" s="55">
        <f t="shared" si="26"/>
        <v>135.43288032890183</v>
      </c>
      <c r="F32" s="55">
        <f t="shared" si="26"/>
        <v>134.84363036747561</v>
      </c>
      <c r="G32" s="55">
        <f t="shared" si="26"/>
        <v>154.4265560823676</v>
      </c>
      <c r="H32" s="55">
        <f t="shared" si="26"/>
        <v>146.93020171673029</v>
      </c>
      <c r="I32" s="55">
        <f t="shared" si="26"/>
        <v>137.23851152262932</v>
      </c>
      <c r="J32" s="55">
        <f t="shared" si="26"/>
        <v>139.32723127138397</v>
      </c>
      <c r="K32" s="55">
        <f t="shared" si="26"/>
        <v>156.36023356757099</v>
      </c>
      <c r="L32" s="55">
        <f t="shared" si="26"/>
        <v>144.58585940593417</v>
      </c>
      <c r="M32" s="55">
        <f t="shared" si="26"/>
        <v>132.80026593791032</v>
      </c>
      <c r="N32" s="55">
        <f t="shared" si="26"/>
        <v>135.04301399101351</v>
      </c>
      <c r="O32" s="55">
        <f t="shared" si="26"/>
        <v>132.95020410976795</v>
      </c>
      <c r="P32" s="55">
        <f t="shared" si="26"/>
        <v>130.15939664117732</v>
      </c>
      <c r="Q32" s="55">
        <f t="shared" si="26"/>
        <v>132.91816907674803</v>
      </c>
      <c r="R32" s="55">
        <f t="shared" si="26"/>
        <v>135.38540863538174</v>
      </c>
      <c r="S32" s="55">
        <f t="shared" si="26"/>
        <v>124.9021100917374</v>
      </c>
      <c r="T32" s="55">
        <f t="shared" si="26"/>
        <v>141.27985612939972</v>
      </c>
      <c r="U32" s="55">
        <f t="shared" si="26"/>
        <v>142.0119845958406</v>
      </c>
      <c r="V32" s="55">
        <f t="shared" si="26"/>
        <v>148.62601044661253</v>
      </c>
      <c r="W32" s="55">
        <f t="shared" si="26"/>
        <v>142.54014154785793</v>
      </c>
      <c r="DA32" s="217"/>
    </row>
    <row r="33" spans="1:105" x14ac:dyDescent="0.25">
      <c r="A33" s="35" t="s">
        <v>111</v>
      </c>
      <c r="B33" s="55">
        <f>IF(AGR_ued!B$5=0,"",AGR_ued!B$5/B$5*1000)</f>
        <v>45.123497360612404</v>
      </c>
      <c r="C33" s="55">
        <f>IF(AGR_ued!C$5=0,"",AGR_ued!C$5/C$5*1000)</f>
        <v>43.545173087962688</v>
      </c>
      <c r="D33" s="55">
        <f>IF(AGR_ued!D$5=0,"",AGR_ued!D$5/D$5*1000)</f>
        <v>45.971476215437207</v>
      </c>
      <c r="E33" s="55">
        <f>IF(AGR_ued!E$5=0,"",AGR_ued!E$5/E$5*1000)</f>
        <v>49.103054932480816</v>
      </c>
      <c r="F33" s="55">
        <f>IF(AGR_ued!F$5=0,"",AGR_ued!F$5/F$5*1000)</f>
        <v>49.598673501109616</v>
      </c>
      <c r="G33" s="55">
        <f>IF(AGR_ued!G$5=0,"",AGR_ued!G$5/G$5*1000)</f>
        <v>57.577575904481186</v>
      </c>
      <c r="H33" s="55">
        <f>IF(AGR_ued!H$5=0,"",AGR_ued!H$5/H$5*1000)</f>
        <v>54.629967040286601</v>
      </c>
      <c r="I33" s="55">
        <f>IF(AGR_ued!I$5=0,"",AGR_ued!I$5/I$5*1000)</f>
        <v>51.521407430826805</v>
      </c>
      <c r="J33" s="55">
        <f>IF(AGR_ued!J$5=0,"",AGR_ued!J$5/J$5*1000)</f>
        <v>54.532018699998346</v>
      </c>
      <c r="K33" s="55">
        <f>IF(AGR_ued!K$5=0,"",AGR_ued!K$5/K$5*1000)</f>
        <v>60.939893417230685</v>
      </c>
      <c r="L33" s="55">
        <f>IF(AGR_ued!L$5=0,"",AGR_ued!L$5/L$5*1000)</f>
        <v>57.088017606577061</v>
      </c>
      <c r="M33" s="55">
        <f>IF(AGR_ued!M$5=0,"",AGR_ued!M$5/M$5*1000)</f>
        <v>51.15685216575919</v>
      </c>
      <c r="N33" s="55">
        <f>IF(AGR_ued!N$5=0,"",AGR_ued!N$5/N$5*1000)</f>
        <v>51.842832918840834</v>
      </c>
      <c r="O33" s="55">
        <f>IF(AGR_ued!O$5=0,"",AGR_ued!O$5/O$5*1000)</f>
        <v>52.124446263808252</v>
      </c>
      <c r="P33" s="55">
        <f>IF(AGR_ued!P$5=0,"",AGR_ued!P$5/P$5*1000)</f>
        <v>52.293560282920488</v>
      </c>
      <c r="Q33" s="55">
        <f>IF(AGR_ued!Q$5=0,"",AGR_ued!Q$5/Q$5*1000)</f>
        <v>52.017280161488898</v>
      </c>
      <c r="R33" s="55">
        <f>IF(AGR_ued!R$5=0,"",AGR_ued!R$5/R$5*1000)</f>
        <v>54.228651947753754</v>
      </c>
      <c r="S33" s="55">
        <f>IF(AGR_ued!S$5=0,"",AGR_ued!S$5/S$5*1000)</f>
        <v>49.580525587994529</v>
      </c>
      <c r="T33" s="55">
        <f>IF(AGR_ued!T$5=0,"",AGR_ued!T$5/T$5*1000)</f>
        <v>56.864803309110968</v>
      </c>
      <c r="U33" s="55">
        <f>IF(AGR_ued!U$5=0,"",AGR_ued!U$5/U$5*1000)</f>
        <v>55.549792698476836</v>
      </c>
      <c r="V33" s="55">
        <f>IF(AGR_ued!V$5=0,"",AGR_ued!V$5/V$5*1000)</f>
        <v>58.032974536394576</v>
      </c>
      <c r="W33" s="55">
        <f>IF(AGR_ued!W$5=0,"",AGR_ued!W$5/W$5*1000)</f>
        <v>56.948513614422417</v>
      </c>
      <c r="DA33" s="217"/>
    </row>
    <row r="34" spans="1:105" x14ac:dyDescent="0.25">
      <c r="A34" s="37" t="s">
        <v>110</v>
      </c>
      <c r="B34" s="218">
        <f t="shared" ref="B34:W34" si="27">IF(B$12=0,"",B$29/B$12)</f>
        <v>2.5478903497567846</v>
      </c>
      <c r="C34" s="218">
        <f t="shared" si="27"/>
        <v>2.5621775915777012</v>
      </c>
      <c r="D34" s="218">
        <f t="shared" si="27"/>
        <v>2.504187186082254</v>
      </c>
      <c r="E34" s="218">
        <f t="shared" si="27"/>
        <v>2.4617638343650841</v>
      </c>
      <c r="F34" s="218">
        <f t="shared" si="27"/>
        <v>2.38758956571021</v>
      </c>
      <c r="G34" s="218">
        <f t="shared" si="27"/>
        <v>2.3200171689360132</v>
      </c>
      <c r="H34" s="218">
        <f t="shared" si="27"/>
        <v>2.3097562971265666</v>
      </c>
      <c r="I34" s="218">
        <f t="shared" si="27"/>
        <v>2.2647034087688129</v>
      </c>
      <c r="J34" s="218">
        <f t="shared" si="27"/>
        <v>2.0750681022689372</v>
      </c>
      <c r="K34" s="218">
        <f t="shared" si="27"/>
        <v>2.0235290870447193</v>
      </c>
      <c r="L34" s="218">
        <f t="shared" si="27"/>
        <v>1.9274781890250634</v>
      </c>
      <c r="M34" s="218">
        <f t="shared" si="27"/>
        <v>1.9805155157455168</v>
      </c>
      <c r="N34" s="218">
        <f t="shared" si="27"/>
        <v>1.9675341617870972</v>
      </c>
      <c r="O34" s="218">
        <f t="shared" si="27"/>
        <v>1.8854999271806085</v>
      </c>
      <c r="P34" s="218">
        <f t="shared" si="27"/>
        <v>1.7617596289473265</v>
      </c>
      <c r="Q34" s="218">
        <f t="shared" si="27"/>
        <v>1.9181531358516835</v>
      </c>
      <c r="R34" s="218">
        <f t="shared" si="27"/>
        <v>1.7919153250589073</v>
      </c>
      <c r="S34" s="218">
        <f t="shared" si="27"/>
        <v>1.829823609988589</v>
      </c>
      <c r="T34" s="218">
        <f t="shared" si="27"/>
        <v>1.761436335683995</v>
      </c>
      <c r="U34" s="218">
        <f t="shared" si="27"/>
        <v>1.858099520087414</v>
      </c>
      <c r="V34" s="218">
        <f t="shared" si="27"/>
        <v>1.8643578517801518</v>
      </c>
      <c r="W34" s="218">
        <f t="shared" si="27"/>
        <v>1.7691661180011964</v>
      </c>
      <c r="DA34" s="215"/>
    </row>
  </sheetData>
  <pageMargins left="0.39370078740157483" right="0.39370078740157483" top="0.39370078740157483" bottom="0.39370078740157483" header="0.31496062992125984" footer="0.31496062992125984"/>
  <pageSetup paperSize="9" scale="88" orientation="landscape" horizontalDpi="1200" verticalDpi="1200" r:id="rId1"/>
  <headerFooter alignWithMargins="0"/>
  <ignoredErrors>
    <ignoredError sqref="B14:W14 B19:W19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2" tint="-0.499984740745262"/>
    <pageSetUpPr fitToPage="1"/>
  </sheetPr>
  <dimension ref="A1:DA5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992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3" spans="1:105" ht="12.75" x14ac:dyDescent="0.25">
      <c r="A3" s="179" t="s">
        <v>130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DA3" s="267"/>
    </row>
    <row r="5" spans="1:105" ht="12.75" x14ac:dyDescent="0.25">
      <c r="A5" s="234" t="s">
        <v>126</v>
      </c>
      <c r="B5" s="80">
        <f t="shared" ref="B5" si="0">SUM(B6:B9,B16:B17,B25:B27)</f>
        <v>45.700450515902162</v>
      </c>
      <c r="C5" s="80">
        <f t="shared" ref="C5:W5" si="1">SUM(C6:C9,C16:C17,C25:C27)</f>
        <v>45.921487685936398</v>
      </c>
      <c r="D5" s="80">
        <f t="shared" si="1"/>
        <v>45.037339005799325</v>
      </c>
      <c r="E5" s="80">
        <f t="shared" si="1"/>
        <v>47.051660592572048</v>
      </c>
      <c r="F5" s="80">
        <f t="shared" si="1"/>
        <v>43.662064312477668</v>
      </c>
      <c r="G5" s="80">
        <f t="shared" si="1"/>
        <v>41.254975345725242</v>
      </c>
      <c r="H5" s="80">
        <f t="shared" si="1"/>
        <v>44.537080929179368</v>
      </c>
      <c r="I5" s="80">
        <f t="shared" si="1"/>
        <v>45.096310412153208</v>
      </c>
      <c r="J5" s="80">
        <f t="shared" si="1"/>
        <v>41.34496990541701</v>
      </c>
      <c r="K5" s="80">
        <f t="shared" si="1"/>
        <v>39.216852966466014</v>
      </c>
      <c r="L5" s="80">
        <f t="shared" si="1"/>
        <v>39.5554600171969</v>
      </c>
      <c r="M5" s="80">
        <f t="shared" si="1"/>
        <v>41.675322441960432</v>
      </c>
      <c r="N5" s="80">
        <f t="shared" si="1"/>
        <v>40.254170249355106</v>
      </c>
      <c r="O5" s="80">
        <f t="shared" si="1"/>
        <v>40.187532244196042</v>
      </c>
      <c r="P5" s="80">
        <f t="shared" si="1"/>
        <v>37.808168529664648</v>
      </c>
      <c r="Q5" s="80">
        <f t="shared" si="1"/>
        <v>41.370163370593296</v>
      </c>
      <c r="R5" s="80">
        <f t="shared" si="1"/>
        <v>44.154600171969015</v>
      </c>
      <c r="S5" s="80">
        <f t="shared" si="1"/>
        <v>45.813241616509011</v>
      </c>
      <c r="T5" s="80">
        <f t="shared" si="1"/>
        <v>44.606706792777295</v>
      </c>
      <c r="U5" s="80">
        <f t="shared" si="1"/>
        <v>45.405159071367144</v>
      </c>
      <c r="V5" s="80">
        <f t="shared" si="1"/>
        <v>47.115993121238169</v>
      </c>
      <c r="W5" s="80">
        <f t="shared" si="1"/>
        <v>47.708684436801363</v>
      </c>
      <c r="DA5" s="103"/>
    </row>
    <row r="6" spans="1:105" x14ac:dyDescent="0.25">
      <c r="A6" s="239" t="s">
        <v>125</v>
      </c>
      <c r="B6" s="240">
        <v>1.3213987663201781</v>
      </c>
      <c r="C6" s="240">
        <v>1.3043525501310711</v>
      </c>
      <c r="D6" s="240">
        <v>1.3697262070154099</v>
      </c>
      <c r="E6" s="240">
        <v>1.4955642217368941</v>
      </c>
      <c r="F6" s="240">
        <v>1.4852652764292991</v>
      </c>
      <c r="G6" s="240">
        <v>1.4808842714132779</v>
      </c>
      <c r="H6" s="240">
        <v>1.5746605443914949</v>
      </c>
      <c r="I6" s="240">
        <v>1.6475398399053871</v>
      </c>
      <c r="J6" s="240">
        <v>1.7035855384797669</v>
      </c>
      <c r="K6" s="240">
        <v>1.587917151907855</v>
      </c>
      <c r="L6" s="240">
        <v>1.6504265211195099</v>
      </c>
      <c r="M6" s="240">
        <v>1.599972640552914</v>
      </c>
      <c r="N6" s="240">
        <v>1.5234071283395749</v>
      </c>
      <c r="O6" s="240">
        <v>1.612833802955089</v>
      </c>
      <c r="P6" s="240">
        <v>1.6249044140045079</v>
      </c>
      <c r="Q6" s="240">
        <v>1.649315262821144</v>
      </c>
      <c r="R6" s="240">
        <v>1.860881729861549</v>
      </c>
      <c r="S6" s="240">
        <v>1.881627518218171</v>
      </c>
      <c r="T6" s="240">
        <v>1.892266991752344</v>
      </c>
      <c r="U6" s="240">
        <v>1.78367242132457</v>
      </c>
      <c r="V6" s="240">
        <v>1.8577256937917099</v>
      </c>
      <c r="W6" s="240">
        <v>2.0006604231619569</v>
      </c>
      <c r="DA6" s="268" t="s">
        <v>993</v>
      </c>
    </row>
    <row r="7" spans="1:105" x14ac:dyDescent="0.25">
      <c r="A7" s="241" t="s">
        <v>124</v>
      </c>
      <c r="B7" s="242">
        <v>0.8589091981081155</v>
      </c>
      <c r="C7" s="242">
        <v>0.84782915758519584</v>
      </c>
      <c r="D7" s="242">
        <v>0.89032203456001668</v>
      </c>
      <c r="E7" s="242">
        <v>0.97211674412898075</v>
      </c>
      <c r="F7" s="242">
        <v>0.96542242967904424</v>
      </c>
      <c r="G7" s="242">
        <v>0.96257477641863032</v>
      </c>
      <c r="H7" s="242">
        <v>1.023529353854471</v>
      </c>
      <c r="I7" s="242">
        <v>1.0709008959385009</v>
      </c>
      <c r="J7" s="242">
        <v>1.107330600011849</v>
      </c>
      <c r="K7" s="242">
        <v>1.0321461487401049</v>
      </c>
      <c r="L7" s="242">
        <v>1.072777238727681</v>
      </c>
      <c r="M7" s="242">
        <v>1.0399822163593939</v>
      </c>
      <c r="N7" s="242">
        <v>0.99021463342072369</v>
      </c>
      <c r="O7" s="242">
        <v>1.048341971920808</v>
      </c>
      <c r="P7" s="242">
        <v>1.0561878691029301</v>
      </c>
      <c r="Q7" s="242">
        <v>1.0720549208337431</v>
      </c>
      <c r="R7" s="242">
        <v>1.209573124410007</v>
      </c>
      <c r="S7" s="242">
        <v>1.2230578868418109</v>
      </c>
      <c r="T7" s="242">
        <v>1.229973544639023</v>
      </c>
      <c r="U7" s="242">
        <v>1.15938707386097</v>
      </c>
      <c r="V7" s="242">
        <v>1.2075217009646111</v>
      </c>
      <c r="W7" s="242">
        <v>1.3004292750552719</v>
      </c>
      <c r="DA7" s="269" t="s">
        <v>994</v>
      </c>
    </row>
    <row r="8" spans="1:105" x14ac:dyDescent="0.25">
      <c r="A8" s="241" t="s">
        <v>123</v>
      </c>
      <c r="B8" s="242">
        <v>1.18925888968816</v>
      </c>
      <c r="C8" s="242">
        <v>1.1739172951179639</v>
      </c>
      <c r="D8" s="242">
        <v>1.232753586313869</v>
      </c>
      <c r="E8" s="242">
        <v>1.3460077995632049</v>
      </c>
      <c r="F8" s="242">
        <v>1.3367387487863689</v>
      </c>
      <c r="G8" s="242">
        <v>1.3327958442719501</v>
      </c>
      <c r="H8" s="242">
        <v>1.417194489952345</v>
      </c>
      <c r="I8" s="242">
        <v>1.4827858559148479</v>
      </c>
      <c r="J8" s="242">
        <v>1.5332269846317901</v>
      </c>
      <c r="K8" s="242">
        <v>1.4291254367170689</v>
      </c>
      <c r="L8" s="242">
        <v>1.4853838690075589</v>
      </c>
      <c r="M8" s="242">
        <v>1.439975376497622</v>
      </c>
      <c r="N8" s="242">
        <v>1.3710664155056169</v>
      </c>
      <c r="O8" s="242">
        <v>1.4515504226595799</v>
      </c>
      <c r="P8" s="242">
        <v>1.462413972604057</v>
      </c>
      <c r="Q8" s="242">
        <v>1.4843837365390291</v>
      </c>
      <c r="R8" s="242">
        <v>1.674793556875394</v>
      </c>
      <c r="S8" s="242">
        <v>1.693464766396354</v>
      </c>
      <c r="T8" s="242">
        <v>1.7030402925771091</v>
      </c>
      <c r="U8" s="242">
        <v>1.6053051791921129</v>
      </c>
      <c r="V8" s="242">
        <v>1.6719531244125381</v>
      </c>
      <c r="W8" s="242">
        <v>1.800594380845761</v>
      </c>
      <c r="DA8" s="269" t="s">
        <v>995</v>
      </c>
    </row>
    <row r="9" spans="1:105" x14ac:dyDescent="0.25">
      <c r="A9" s="243" t="s">
        <v>122</v>
      </c>
      <c r="B9" s="244">
        <f t="shared" ref="B9" si="2">SUM(B10:B15)</f>
        <v>8.9562720277389882</v>
      </c>
      <c r="C9" s="244">
        <f t="shared" ref="C9:W9" si="3">SUM(C10:C15)</f>
        <v>9.0018711832252052</v>
      </c>
      <c r="D9" s="244">
        <f t="shared" si="3"/>
        <v>8.8307535512383648</v>
      </c>
      <c r="E9" s="244">
        <f t="shared" si="3"/>
        <v>9.2465223467674331</v>
      </c>
      <c r="F9" s="244">
        <f t="shared" si="3"/>
        <v>8.6477837232214601</v>
      </c>
      <c r="G9" s="244">
        <f t="shared" si="3"/>
        <v>8.261918657527195</v>
      </c>
      <c r="H9" s="244">
        <f t="shared" si="3"/>
        <v>8.8455496032084024</v>
      </c>
      <c r="I9" s="244">
        <f t="shared" si="3"/>
        <v>9.0479406240177518</v>
      </c>
      <c r="J9" s="244">
        <f t="shared" si="3"/>
        <v>8.7686166705742377</v>
      </c>
      <c r="K9" s="244">
        <f t="shared" si="3"/>
        <v>8.282347526823898</v>
      </c>
      <c r="L9" s="244">
        <f t="shared" si="3"/>
        <v>8.5297343166205426</v>
      </c>
      <c r="M9" s="244">
        <f t="shared" si="3"/>
        <v>8.8260723071270171</v>
      </c>
      <c r="N9" s="244">
        <f t="shared" si="3"/>
        <v>8.4954648518846181</v>
      </c>
      <c r="O9" s="244">
        <f t="shared" si="3"/>
        <v>8.7992605588736481</v>
      </c>
      <c r="P9" s="244">
        <f t="shared" si="3"/>
        <v>8.6618764761908871</v>
      </c>
      <c r="Q9" s="244">
        <f t="shared" si="3"/>
        <v>9.0851109437499424</v>
      </c>
      <c r="R9" s="244">
        <f t="shared" si="3"/>
        <v>10.00226500594724</v>
      </c>
      <c r="S9" s="244">
        <f t="shared" si="3"/>
        <v>10.225926086335768</v>
      </c>
      <c r="T9" s="244">
        <f t="shared" si="3"/>
        <v>10.198150106785302</v>
      </c>
      <c r="U9" s="244">
        <f t="shared" si="3"/>
        <v>9.8770835823525136</v>
      </c>
      <c r="V9" s="244">
        <f t="shared" si="3"/>
        <v>10.132438848178682</v>
      </c>
      <c r="W9" s="244">
        <f t="shared" si="3"/>
        <v>10.647171315216887</v>
      </c>
      <c r="DA9" s="270"/>
    </row>
    <row r="10" spans="1:105" x14ac:dyDescent="0.25">
      <c r="A10" s="254" t="s">
        <v>173</v>
      </c>
      <c r="B10" s="255">
        <v>7.3947361942017107</v>
      </c>
      <c r="C10" s="255">
        <v>7.5270733142579571</v>
      </c>
      <c r="D10" s="255">
        <v>6.9949477853551834</v>
      </c>
      <c r="E10" s="255">
        <v>7.0080923813477156</v>
      </c>
      <c r="F10" s="255">
        <v>6.0139209402353604</v>
      </c>
      <c r="G10" s="255">
        <v>5.2622127583676166</v>
      </c>
      <c r="H10" s="255">
        <v>5.6268488866472239</v>
      </c>
      <c r="I10" s="255">
        <v>5.3792041917401336</v>
      </c>
      <c r="J10" s="255">
        <v>3.786974286442748</v>
      </c>
      <c r="K10" s="255">
        <v>3.5111506290856931</v>
      </c>
      <c r="L10" s="255">
        <v>3.1468713981815828</v>
      </c>
      <c r="M10" s="255">
        <v>3.6991096025975878</v>
      </c>
      <c r="N10" s="255">
        <v>3.5750683769165881</v>
      </c>
      <c r="O10" s="255">
        <v>3.086973403548479</v>
      </c>
      <c r="P10" s="255">
        <v>2.4615708620117331</v>
      </c>
      <c r="Q10" s="255">
        <v>3.2622225285930999</v>
      </c>
      <c r="R10" s="255">
        <v>2.809174840713526</v>
      </c>
      <c r="S10" s="255">
        <v>3.0809312234288551</v>
      </c>
      <c r="T10" s="255">
        <v>2.6561511220261749</v>
      </c>
      <c r="U10" s="255">
        <v>3.261085015182422</v>
      </c>
      <c r="V10" s="255">
        <v>3.504404984419808</v>
      </c>
      <c r="W10" s="255">
        <v>3.0162234210777821</v>
      </c>
      <c r="DA10" s="271" t="s">
        <v>996</v>
      </c>
    </row>
    <row r="11" spans="1:105" x14ac:dyDescent="0.25">
      <c r="A11" s="254" t="s">
        <v>176</v>
      </c>
      <c r="B11" s="256">
        <v>0</v>
      </c>
      <c r="C11" s="256">
        <v>0</v>
      </c>
      <c r="D11" s="256">
        <v>0</v>
      </c>
      <c r="E11" s="256">
        <v>0</v>
      </c>
      <c r="F11" s="256">
        <v>0</v>
      </c>
      <c r="G11" s="256">
        <v>0</v>
      </c>
      <c r="H11" s="256">
        <v>0</v>
      </c>
      <c r="I11" s="256">
        <v>4.0571488337853727E-2</v>
      </c>
      <c r="J11" s="256">
        <v>0</v>
      </c>
      <c r="K11" s="256">
        <v>0.23348257199809369</v>
      </c>
      <c r="L11" s="256">
        <v>0.35993103663697062</v>
      </c>
      <c r="M11" s="256">
        <v>0.60653356056057139</v>
      </c>
      <c r="N11" s="256">
        <v>0.70501595215275159</v>
      </c>
      <c r="O11" s="256">
        <v>0.56347250818746564</v>
      </c>
      <c r="P11" s="256">
        <v>0.52431177778084903</v>
      </c>
      <c r="Q11" s="256">
        <v>0.46955071421022571</v>
      </c>
      <c r="R11" s="256">
        <v>0.51392185933421519</v>
      </c>
      <c r="S11" s="256">
        <v>0.54556581675982119</v>
      </c>
      <c r="T11" s="256">
        <v>0.51494185458039088</v>
      </c>
      <c r="U11" s="256">
        <v>0.7308353088367241</v>
      </c>
      <c r="V11" s="256">
        <v>0.8272384294272549</v>
      </c>
      <c r="W11" s="256">
        <v>0.74697572013805347</v>
      </c>
      <c r="DA11" s="272" t="s">
        <v>997</v>
      </c>
    </row>
    <row r="12" spans="1:105" x14ac:dyDescent="0.25">
      <c r="A12" s="254" t="s">
        <v>158</v>
      </c>
      <c r="B12" s="256">
        <v>0</v>
      </c>
      <c r="C12" s="256">
        <v>0</v>
      </c>
      <c r="D12" s="256">
        <v>0</v>
      </c>
      <c r="E12" s="256">
        <v>0</v>
      </c>
      <c r="F12" s="256">
        <v>0</v>
      </c>
      <c r="G12" s="256">
        <v>0</v>
      </c>
      <c r="H12" s="256">
        <v>0</v>
      </c>
      <c r="I12" s="256">
        <v>0</v>
      </c>
      <c r="J12" s="256">
        <v>0</v>
      </c>
      <c r="K12" s="256">
        <v>0</v>
      </c>
      <c r="L12" s="256">
        <v>0</v>
      </c>
      <c r="M12" s="256">
        <v>0</v>
      </c>
      <c r="N12" s="256">
        <v>0</v>
      </c>
      <c r="O12" s="256">
        <v>0</v>
      </c>
      <c r="P12" s="256">
        <v>0</v>
      </c>
      <c r="Q12" s="256">
        <v>0</v>
      </c>
      <c r="R12" s="256">
        <v>0</v>
      </c>
      <c r="S12" s="256">
        <v>0</v>
      </c>
      <c r="T12" s="256">
        <v>0</v>
      </c>
      <c r="U12" s="256">
        <v>0</v>
      </c>
      <c r="V12" s="256">
        <v>0</v>
      </c>
      <c r="W12" s="256">
        <v>0</v>
      </c>
      <c r="DA12" s="272" t="s">
        <v>998</v>
      </c>
    </row>
    <row r="13" spans="1:105" x14ac:dyDescent="0.25">
      <c r="A13" s="254" t="s">
        <v>157</v>
      </c>
      <c r="B13" s="256">
        <v>0</v>
      </c>
      <c r="C13" s="256">
        <v>0</v>
      </c>
      <c r="D13" s="256">
        <v>0</v>
      </c>
      <c r="E13" s="256">
        <v>0</v>
      </c>
      <c r="F13" s="256">
        <v>0</v>
      </c>
      <c r="G13" s="256">
        <v>0</v>
      </c>
      <c r="H13" s="256">
        <v>0</v>
      </c>
      <c r="I13" s="256">
        <v>0</v>
      </c>
      <c r="J13" s="256">
        <v>0</v>
      </c>
      <c r="K13" s="256">
        <v>0</v>
      </c>
      <c r="L13" s="256">
        <v>0</v>
      </c>
      <c r="M13" s="256">
        <v>0</v>
      </c>
      <c r="N13" s="256">
        <v>0</v>
      </c>
      <c r="O13" s="256">
        <v>0</v>
      </c>
      <c r="P13" s="256">
        <v>0</v>
      </c>
      <c r="Q13" s="256">
        <v>0</v>
      </c>
      <c r="R13" s="256">
        <v>0</v>
      </c>
      <c r="S13" s="256">
        <v>0</v>
      </c>
      <c r="T13" s="256">
        <v>0</v>
      </c>
      <c r="U13" s="256">
        <v>0</v>
      </c>
      <c r="V13" s="256">
        <v>0</v>
      </c>
      <c r="W13" s="256">
        <v>0</v>
      </c>
      <c r="DA13" s="272" t="s">
        <v>999</v>
      </c>
    </row>
    <row r="14" spans="1:105" x14ac:dyDescent="0.25">
      <c r="A14" s="254" t="s">
        <v>169</v>
      </c>
      <c r="B14" s="255">
        <v>0</v>
      </c>
      <c r="C14" s="255">
        <v>0</v>
      </c>
      <c r="D14" s="255">
        <v>0</v>
      </c>
      <c r="E14" s="255">
        <v>0</v>
      </c>
      <c r="F14" s="255">
        <v>0</v>
      </c>
      <c r="G14" s="255">
        <v>0</v>
      </c>
      <c r="H14" s="255">
        <v>0</v>
      </c>
      <c r="I14" s="255">
        <v>0</v>
      </c>
      <c r="J14" s="255">
        <v>0</v>
      </c>
      <c r="K14" s="255">
        <v>9.5528804812742632E-2</v>
      </c>
      <c r="L14" s="255">
        <v>0.1194325021451785</v>
      </c>
      <c r="M14" s="255">
        <v>0.74041272569580652</v>
      </c>
      <c r="N14" s="255">
        <v>0.74041272569739791</v>
      </c>
      <c r="O14" s="255">
        <v>1.0031814273081281</v>
      </c>
      <c r="P14" s="255">
        <v>1.07480653479366</v>
      </c>
      <c r="Q14" s="255">
        <v>1.2181427342909521</v>
      </c>
      <c r="R14" s="255">
        <v>1.1942390369329829</v>
      </c>
      <c r="S14" s="255">
        <v>1.2871023215486579</v>
      </c>
      <c r="T14" s="255">
        <v>1.2861564918086059</v>
      </c>
      <c r="U14" s="255">
        <v>1.2294067067739449</v>
      </c>
      <c r="V14" s="255">
        <v>0.88650042991173073</v>
      </c>
      <c r="W14" s="255">
        <v>0.88804815130873638</v>
      </c>
      <c r="DA14" s="271" t="s">
        <v>1000</v>
      </c>
    </row>
    <row r="15" spans="1:105" x14ac:dyDescent="0.25">
      <c r="A15" s="254" t="s">
        <v>24</v>
      </c>
      <c r="B15" s="256">
        <v>1.561535833537278</v>
      </c>
      <c r="C15" s="256">
        <v>1.4747978689672481</v>
      </c>
      <c r="D15" s="256">
        <v>1.8358057658831819</v>
      </c>
      <c r="E15" s="256">
        <v>2.2384299654197171</v>
      </c>
      <c r="F15" s="256">
        <v>2.6338627829861001</v>
      </c>
      <c r="G15" s="256">
        <v>2.999705899159578</v>
      </c>
      <c r="H15" s="256">
        <v>3.2187007165611781</v>
      </c>
      <c r="I15" s="256">
        <v>3.628164943939765</v>
      </c>
      <c r="J15" s="256">
        <v>4.9816423841314892</v>
      </c>
      <c r="K15" s="256">
        <v>4.4421855209273682</v>
      </c>
      <c r="L15" s="256">
        <v>4.9034993796568109</v>
      </c>
      <c r="M15" s="256">
        <v>3.7800164182730511</v>
      </c>
      <c r="N15" s="256">
        <v>3.474967797117881</v>
      </c>
      <c r="O15" s="256">
        <v>4.1456332198295751</v>
      </c>
      <c r="P15" s="256">
        <v>4.6011873016046447</v>
      </c>
      <c r="Q15" s="256">
        <v>4.135194966655666</v>
      </c>
      <c r="R15" s="256">
        <v>5.484929268966515</v>
      </c>
      <c r="S15" s="256">
        <v>5.3123267245984351</v>
      </c>
      <c r="T15" s="256">
        <v>5.74090063837013</v>
      </c>
      <c r="U15" s="256">
        <v>4.6557565515594224</v>
      </c>
      <c r="V15" s="256">
        <v>4.9142950044198876</v>
      </c>
      <c r="W15" s="256">
        <v>5.9959240226923161</v>
      </c>
      <c r="DA15" s="272" t="s">
        <v>1001</v>
      </c>
    </row>
    <row r="16" spans="1:105" x14ac:dyDescent="0.25">
      <c r="A16" s="257" t="s">
        <v>175</v>
      </c>
      <c r="B16" s="258">
        <v>11.92372492301042</v>
      </c>
      <c r="C16" s="258">
        <v>12.02685819926084</v>
      </c>
      <c r="D16" s="258">
        <v>11.615423829046369</v>
      </c>
      <c r="E16" s="258">
        <v>11.998950509704629</v>
      </c>
      <c r="F16" s="258">
        <v>10.91512631000043</v>
      </c>
      <c r="G16" s="258">
        <v>10.124099258793979</v>
      </c>
      <c r="H16" s="258">
        <v>10.86188401837004</v>
      </c>
      <c r="I16" s="258">
        <v>10.86517705911622</v>
      </c>
      <c r="J16" s="258">
        <v>9.3889379112604345</v>
      </c>
      <c r="K16" s="258">
        <v>8.8991900964398756</v>
      </c>
      <c r="L16" s="258">
        <v>8.7716925231176219</v>
      </c>
      <c r="M16" s="258">
        <v>9.5350981078642114</v>
      </c>
      <c r="N16" s="258">
        <v>9.2285561464193417</v>
      </c>
      <c r="O16" s="258">
        <v>8.9238776488213425</v>
      </c>
      <c r="P16" s="258">
        <v>8.1328963084064654</v>
      </c>
      <c r="Q16" s="258">
        <v>9.2345301062047191</v>
      </c>
      <c r="R16" s="258">
        <v>9.3746544987453966</v>
      </c>
      <c r="S16" s="258">
        <v>9.8347476167843144</v>
      </c>
      <c r="T16" s="258">
        <v>9.3228981166621292</v>
      </c>
      <c r="U16" s="258">
        <v>9.8877038795965362</v>
      </c>
      <c r="V16" s="258">
        <v>10.33892768973975</v>
      </c>
      <c r="W16" s="258">
        <v>10.112651351064629</v>
      </c>
      <c r="DA16" s="273" t="s">
        <v>1002</v>
      </c>
    </row>
    <row r="17" spans="1:105" x14ac:dyDescent="0.25">
      <c r="A17" s="257" t="s">
        <v>121</v>
      </c>
      <c r="B17" s="258">
        <f t="shared" ref="B17" si="4">SUM(B18:B24)</f>
        <v>15.92221662054844</v>
      </c>
      <c r="C17" s="258">
        <f t="shared" ref="C17:W17" si="5">SUM(C18:C24)</f>
        <v>16.059934521275679</v>
      </c>
      <c r="D17" s="258">
        <f t="shared" si="5"/>
        <v>15.51053010193591</v>
      </c>
      <c r="E17" s="258">
        <f t="shared" si="5"/>
        <v>16.022668291019439</v>
      </c>
      <c r="F17" s="258">
        <f t="shared" si="5"/>
        <v>14.57539541297942</v>
      </c>
      <c r="G17" s="258">
        <f t="shared" si="5"/>
        <v>13.519106028299211</v>
      </c>
      <c r="H17" s="258">
        <f t="shared" si="5"/>
        <v>14.869143051557005</v>
      </c>
      <c r="I17" s="258">
        <f t="shared" si="5"/>
        <v>14.857659210183172</v>
      </c>
      <c r="J17" s="258">
        <f t="shared" si="5"/>
        <v>12.865324966706266</v>
      </c>
      <c r="K17" s="258">
        <f t="shared" si="5"/>
        <v>12.385676043227216</v>
      </c>
      <c r="L17" s="258">
        <f t="shared" si="5"/>
        <v>12.316346752669038</v>
      </c>
      <c r="M17" s="258">
        <f t="shared" si="5"/>
        <v>13.482040259891063</v>
      </c>
      <c r="N17" s="258">
        <f t="shared" si="5"/>
        <v>13.139769637567793</v>
      </c>
      <c r="O17" s="258">
        <f t="shared" si="5"/>
        <v>12.685427562360472</v>
      </c>
      <c r="P17" s="258">
        <f t="shared" si="5"/>
        <v>11.326069872061478</v>
      </c>
      <c r="Q17" s="258">
        <f t="shared" si="5"/>
        <v>13.029454088589347</v>
      </c>
      <c r="R17" s="258">
        <f t="shared" si="5"/>
        <v>13.671854030240196</v>
      </c>
      <c r="S17" s="258">
        <f t="shared" si="5"/>
        <v>14.454601607648838</v>
      </c>
      <c r="T17" s="258">
        <f t="shared" si="5"/>
        <v>13.832851042980469</v>
      </c>
      <c r="U17" s="258">
        <f t="shared" si="5"/>
        <v>14.822004800923706</v>
      </c>
      <c r="V17" s="258">
        <f t="shared" si="5"/>
        <v>15.369286996995385</v>
      </c>
      <c r="W17" s="258">
        <f t="shared" si="5"/>
        <v>15.002329421545504</v>
      </c>
      <c r="DA17" s="273"/>
    </row>
    <row r="18" spans="1:105" x14ac:dyDescent="0.25">
      <c r="A18" s="61" t="s">
        <v>29</v>
      </c>
      <c r="B18" s="55">
        <v>0</v>
      </c>
      <c r="C18" s="55">
        <v>0</v>
      </c>
      <c r="D18" s="55">
        <v>0</v>
      </c>
      <c r="E18" s="55">
        <v>0</v>
      </c>
      <c r="F18" s="55">
        <v>0</v>
      </c>
      <c r="G18" s="55">
        <v>0</v>
      </c>
      <c r="H18" s="55">
        <v>0</v>
      </c>
      <c r="I18" s="55">
        <v>0</v>
      </c>
      <c r="J18" s="55">
        <v>0</v>
      </c>
      <c r="K18" s="55">
        <v>0</v>
      </c>
      <c r="L18" s="55">
        <v>0</v>
      </c>
      <c r="M18" s="55">
        <v>0</v>
      </c>
      <c r="N18" s="55">
        <v>0</v>
      </c>
      <c r="O18" s="55">
        <v>0</v>
      </c>
      <c r="P18" s="55">
        <v>0</v>
      </c>
      <c r="Q18" s="55">
        <v>0</v>
      </c>
      <c r="R18" s="55">
        <v>0</v>
      </c>
      <c r="S18" s="55">
        <v>0</v>
      </c>
      <c r="T18" s="55">
        <v>0</v>
      </c>
      <c r="U18" s="55">
        <v>0</v>
      </c>
      <c r="V18" s="55">
        <v>0</v>
      </c>
      <c r="W18" s="55">
        <v>0</v>
      </c>
      <c r="DA18" s="101" t="s">
        <v>1003</v>
      </c>
    </row>
    <row r="19" spans="1:105" x14ac:dyDescent="0.25">
      <c r="A19" s="61" t="s">
        <v>27</v>
      </c>
      <c r="B19" s="55">
        <v>0</v>
      </c>
      <c r="C19" s="55">
        <v>0</v>
      </c>
      <c r="D19" s="55">
        <v>0</v>
      </c>
      <c r="E19" s="55">
        <v>0</v>
      </c>
      <c r="F19" s="55">
        <v>0</v>
      </c>
      <c r="G19" s="55">
        <v>0</v>
      </c>
      <c r="H19" s="55">
        <v>1.129750644923146</v>
      </c>
      <c r="I19" s="55">
        <v>1.1297506449291881</v>
      </c>
      <c r="J19" s="55">
        <v>1.1297506449300909</v>
      </c>
      <c r="K19" s="55">
        <v>1.1297506449235111</v>
      </c>
      <c r="L19" s="55">
        <v>1.129750644939798</v>
      </c>
      <c r="M19" s="55">
        <v>1.1297506449167061</v>
      </c>
      <c r="N19" s="55">
        <v>1.1297506449140109</v>
      </c>
      <c r="O19" s="55">
        <v>1.1297506449396471</v>
      </c>
      <c r="P19" s="55">
        <v>0</v>
      </c>
      <c r="Q19" s="55">
        <v>1.1297506449063159</v>
      </c>
      <c r="R19" s="55">
        <v>2.2595012898643612</v>
      </c>
      <c r="S19" s="55">
        <v>2.7385210662994188</v>
      </c>
      <c r="T19" s="55">
        <v>2.8582115219887512</v>
      </c>
      <c r="U19" s="55">
        <v>3.2299226139959809</v>
      </c>
      <c r="V19" s="55">
        <v>2.9124677558528331</v>
      </c>
      <c r="W19" s="55">
        <v>2.723817712904629</v>
      </c>
      <c r="DA19" s="101" t="s">
        <v>1004</v>
      </c>
    </row>
    <row r="20" spans="1:105" x14ac:dyDescent="0.25">
      <c r="A20" s="61" t="s">
        <v>173</v>
      </c>
      <c r="B20" s="55">
        <v>15.92221662054844</v>
      </c>
      <c r="C20" s="55">
        <v>16.059934521275679</v>
      </c>
      <c r="D20" s="55">
        <v>15.51053010193591</v>
      </c>
      <c r="E20" s="55">
        <v>16.022668291019439</v>
      </c>
      <c r="F20" s="55">
        <v>14.57539541297942</v>
      </c>
      <c r="G20" s="55">
        <v>13.519106028299211</v>
      </c>
      <c r="H20" s="55">
        <v>13.619959904480099</v>
      </c>
      <c r="I20" s="55">
        <v>13.625143854104479</v>
      </c>
      <c r="J20" s="55">
        <v>11.711670624440719</v>
      </c>
      <c r="K20" s="55">
        <v>10.49645870114947</v>
      </c>
      <c r="L20" s="55">
        <v>10.00895190786389</v>
      </c>
      <c r="M20" s="55">
        <v>10.576106064574461</v>
      </c>
      <c r="N20" s="55">
        <v>9.9899274641106484</v>
      </c>
      <c r="O20" s="55">
        <v>9.7363463300953601</v>
      </c>
      <c r="P20" s="55">
        <v>9.3127204288016028</v>
      </c>
      <c r="Q20" s="55">
        <v>10.34492053792053</v>
      </c>
      <c r="R20" s="55">
        <v>9.5937724500366652</v>
      </c>
      <c r="S20" s="55">
        <v>9.8834004423271296</v>
      </c>
      <c r="T20" s="55">
        <v>9.121567618016968</v>
      </c>
      <c r="U20" s="55">
        <v>9.3948005567794244</v>
      </c>
      <c r="V20" s="55">
        <v>10.003576157211191</v>
      </c>
      <c r="W20" s="55">
        <v>9.8144814097984678</v>
      </c>
      <c r="DA20" s="101" t="s">
        <v>1005</v>
      </c>
    </row>
    <row r="21" spans="1:105" x14ac:dyDescent="0.25">
      <c r="A21" s="61" t="s">
        <v>129</v>
      </c>
      <c r="B21" s="55">
        <v>0</v>
      </c>
      <c r="C21" s="55">
        <v>0</v>
      </c>
      <c r="D21" s="55">
        <v>0</v>
      </c>
      <c r="E21" s="55">
        <v>0</v>
      </c>
      <c r="F21" s="55">
        <v>0</v>
      </c>
      <c r="G21" s="55">
        <v>0</v>
      </c>
      <c r="H21" s="55">
        <v>0</v>
      </c>
      <c r="I21" s="55">
        <v>0</v>
      </c>
      <c r="J21" s="55">
        <v>0</v>
      </c>
      <c r="K21" s="55">
        <v>0</v>
      </c>
      <c r="L21" s="55">
        <v>0</v>
      </c>
      <c r="M21" s="55">
        <v>0</v>
      </c>
      <c r="N21" s="55">
        <v>0</v>
      </c>
      <c r="O21" s="55">
        <v>0</v>
      </c>
      <c r="P21" s="55">
        <v>0</v>
      </c>
      <c r="Q21" s="55">
        <v>0</v>
      </c>
      <c r="R21" s="55">
        <v>0</v>
      </c>
      <c r="S21" s="55">
        <v>0</v>
      </c>
      <c r="T21" s="55">
        <v>0</v>
      </c>
      <c r="U21" s="55">
        <v>0</v>
      </c>
      <c r="V21" s="55">
        <v>0</v>
      </c>
      <c r="W21" s="55">
        <v>0</v>
      </c>
      <c r="DA21" s="101" t="s">
        <v>1006</v>
      </c>
    </row>
    <row r="22" spans="1:105" x14ac:dyDescent="0.25">
      <c r="A22" s="61" t="s">
        <v>176</v>
      </c>
      <c r="B22" s="55">
        <v>0</v>
      </c>
      <c r="C22" s="55">
        <v>0</v>
      </c>
      <c r="D22" s="55">
        <v>0</v>
      </c>
      <c r="E22" s="55">
        <v>0</v>
      </c>
      <c r="F22" s="55">
        <v>0</v>
      </c>
      <c r="G22" s="55">
        <v>0</v>
      </c>
      <c r="H22" s="55">
        <v>0</v>
      </c>
      <c r="I22" s="55">
        <v>0.10276471114950469</v>
      </c>
      <c r="J22" s="55">
        <v>0</v>
      </c>
      <c r="K22" s="55">
        <v>0.69798776336016199</v>
      </c>
      <c r="L22" s="55">
        <v>1.1447981121595101</v>
      </c>
      <c r="M22" s="55">
        <v>1.7341371187563701</v>
      </c>
      <c r="N22" s="55">
        <v>1.9700485362804061</v>
      </c>
      <c r="O22" s="55">
        <v>1.777198171158296</v>
      </c>
      <c r="P22" s="55">
        <v>1.983598798374842</v>
      </c>
      <c r="Q22" s="55">
        <v>1.489004745829984</v>
      </c>
      <c r="R22" s="55">
        <v>1.755123712520466</v>
      </c>
      <c r="S22" s="55">
        <v>1.7501349571450731</v>
      </c>
      <c r="T22" s="55">
        <v>1.768377148028782</v>
      </c>
      <c r="U22" s="55">
        <v>2.1054501598110709</v>
      </c>
      <c r="V22" s="55">
        <v>2.3614116135944809</v>
      </c>
      <c r="W22" s="55">
        <v>2.43058231947755</v>
      </c>
      <c r="DA22" s="101" t="s">
        <v>1007</v>
      </c>
    </row>
    <row r="23" spans="1:105" x14ac:dyDescent="0.25">
      <c r="A23" s="61" t="s">
        <v>171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0.1194325021537599</v>
      </c>
      <c r="I23" s="55">
        <v>0</v>
      </c>
      <c r="J23" s="55">
        <v>2.3903697335456671E-2</v>
      </c>
      <c r="K23" s="55">
        <v>6.1478933794071877E-2</v>
      </c>
      <c r="L23" s="55">
        <v>3.2846087705837808E-2</v>
      </c>
      <c r="M23" s="55">
        <v>4.2046431643524562E-2</v>
      </c>
      <c r="N23" s="55">
        <v>5.0042992262725808E-2</v>
      </c>
      <c r="O23" s="55">
        <v>4.21324161671685E-2</v>
      </c>
      <c r="P23" s="55">
        <v>2.975064488503161E-2</v>
      </c>
      <c r="Q23" s="55">
        <v>6.5778159932516303E-2</v>
      </c>
      <c r="R23" s="55">
        <v>6.3456577818703827E-2</v>
      </c>
      <c r="S23" s="55">
        <v>8.254514187721565E-2</v>
      </c>
      <c r="T23" s="55">
        <v>8.469475494596794E-2</v>
      </c>
      <c r="U23" s="55">
        <v>9.1831470337230034E-2</v>
      </c>
      <c r="V23" s="55">
        <v>9.1831470336880772E-2</v>
      </c>
      <c r="W23" s="55">
        <v>3.3447979364855759E-2</v>
      </c>
      <c r="DA23" s="101" t="s">
        <v>1008</v>
      </c>
    </row>
    <row r="24" spans="1:105" x14ac:dyDescent="0.25">
      <c r="A24" s="61" t="s">
        <v>158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DA24" s="101" t="s">
        <v>1009</v>
      </c>
    </row>
    <row r="25" spans="1:105" x14ac:dyDescent="0.25">
      <c r="A25" s="257" t="s">
        <v>174</v>
      </c>
      <c r="B25" s="258">
        <v>2.2912431130034192</v>
      </c>
      <c r="C25" s="258">
        <v>2.311061031519321</v>
      </c>
      <c r="D25" s="258">
        <v>2.2320004885016291</v>
      </c>
      <c r="E25" s="258">
        <v>2.3056983363960799</v>
      </c>
      <c r="F25" s="258">
        <v>2.0974324841298642</v>
      </c>
      <c r="G25" s="258">
        <v>1.945430044038468</v>
      </c>
      <c r="H25" s="258">
        <v>2.0872015340864571</v>
      </c>
      <c r="I25" s="258">
        <v>2.087834319309132</v>
      </c>
      <c r="J25" s="258">
        <v>1.8041626644772411</v>
      </c>
      <c r="K25" s="258">
        <v>1.71005354043576</v>
      </c>
      <c r="L25" s="258">
        <v>1.68555381919215</v>
      </c>
      <c r="M25" s="258">
        <v>1.832248564313572</v>
      </c>
      <c r="N25" s="258">
        <v>1.7733439717854691</v>
      </c>
      <c r="O25" s="258">
        <v>1.7147974593651369</v>
      </c>
      <c r="P25" s="258">
        <v>1.5628038029832829</v>
      </c>
      <c r="Q25" s="258">
        <v>1.7744919179435681</v>
      </c>
      <c r="R25" s="258">
        <v>1.8014179877284431</v>
      </c>
      <c r="S25" s="258">
        <v>1.8898287146492361</v>
      </c>
      <c r="T25" s="258">
        <v>1.7914725675876759</v>
      </c>
      <c r="U25" s="258">
        <v>1.900004701871546</v>
      </c>
      <c r="V25" s="258">
        <v>1.9867111173658061</v>
      </c>
      <c r="W25" s="258">
        <v>1.943230233164555</v>
      </c>
      <c r="DA25" s="273" t="s">
        <v>1010</v>
      </c>
    </row>
    <row r="26" spans="1:105" x14ac:dyDescent="0.25">
      <c r="A26" s="257" t="s">
        <v>177</v>
      </c>
      <c r="B26" s="258">
        <v>1.3213987663201781</v>
      </c>
      <c r="C26" s="258">
        <v>1.3043525501310711</v>
      </c>
      <c r="D26" s="258">
        <v>1.3697262070154099</v>
      </c>
      <c r="E26" s="258">
        <v>1.4955642217368941</v>
      </c>
      <c r="F26" s="258">
        <v>1.4852652764292991</v>
      </c>
      <c r="G26" s="258">
        <v>1.4808842714132779</v>
      </c>
      <c r="H26" s="258">
        <v>1.5746605443914949</v>
      </c>
      <c r="I26" s="258">
        <v>1.6475398399053871</v>
      </c>
      <c r="J26" s="258">
        <v>1.7035855384797669</v>
      </c>
      <c r="K26" s="258">
        <v>1.587917151907855</v>
      </c>
      <c r="L26" s="258">
        <v>1.6504265211195099</v>
      </c>
      <c r="M26" s="258">
        <v>1.599972640552914</v>
      </c>
      <c r="N26" s="258">
        <v>1.5234071283395749</v>
      </c>
      <c r="O26" s="258">
        <v>1.612833802955089</v>
      </c>
      <c r="P26" s="258">
        <v>1.6249044140045079</v>
      </c>
      <c r="Q26" s="258">
        <v>1.649315262821144</v>
      </c>
      <c r="R26" s="258">
        <v>1.860881729861549</v>
      </c>
      <c r="S26" s="258">
        <v>1.881627518218171</v>
      </c>
      <c r="T26" s="258">
        <v>1.892266991752344</v>
      </c>
      <c r="U26" s="258">
        <v>1.78367242132457</v>
      </c>
      <c r="V26" s="258">
        <v>1.8577256937917099</v>
      </c>
      <c r="W26" s="258">
        <v>2.0006604231619569</v>
      </c>
      <c r="DA26" s="273" t="s">
        <v>1011</v>
      </c>
    </row>
    <row r="27" spans="1:105" x14ac:dyDescent="0.25">
      <c r="A27" s="129" t="s">
        <v>33</v>
      </c>
      <c r="B27" s="259">
        <v>1.9160282111642579</v>
      </c>
      <c r="C27" s="259">
        <v>1.891311197690053</v>
      </c>
      <c r="D27" s="259">
        <v>1.986103000172345</v>
      </c>
      <c r="E27" s="259">
        <v>2.1685681215184971</v>
      </c>
      <c r="F27" s="259">
        <v>2.1536346508224828</v>
      </c>
      <c r="G27" s="259">
        <v>2.1472821935492532</v>
      </c>
      <c r="H27" s="259">
        <v>2.283257789367668</v>
      </c>
      <c r="I27" s="259">
        <v>2.3889327678628098</v>
      </c>
      <c r="J27" s="259">
        <v>2.4701990307956621</v>
      </c>
      <c r="K27" s="259">
        <v>2.3024798702663891</v>
      </c>
      <c r="L27" s="259">
        <v>2.3931184556232878</v>
      </c>
      <c r="M27" s="259">
        <v>2.3199603288017259</v>
      </c>
      <c r="N27" s="259">
        <v>2.2089403360923852</v>
      </c>
      <c r="O27" s="259">
        <v>2.338609014284879</v>
      </c>
      <c r="P27" s="259">
        <v>2.3561114003065371</v>
      </c>
      <c r="Q27" s="259">
        <v>2.3915071310906582</v>
      </c>
      <c r="R27" s="259">
        <v>2.698278508299246</v>
      </c>
      <c r="S27" s="259">
        <v>2.728359901416348</v>
      </c>
      <c r="T27" s="259">
        <v>2.743787138040898</v>
      </c>
      <c r="U27" s="259">
        <v>2.5863250109206262</v>
      </c>
      <c r="V27" s="259">
        <v>2.6937022559979789</v>
      </c>
      <c r="W27" s="259">
        <v>2.9009576135848372</v>
      </c>
      <c r="DA27" s="274" t="s">
        <v>1012</v>
      </c>
    </row>
    <row r="29" spans="1:105" ht="12.75" x14ac:dyDescent="0.25">
      <c r="A29" s="179" t="s">
        <v>127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DA29" s="267"/>
    </row>
    <row r="31" spans="1:105" x14ac:dyDescent="0.25">
      <c r="A31" s="235" t="s">
        <v>126</v>
      </c>
      <c r="B31" s="236">
        <f t="shared" ref="B31:Q31" si="6">SUM(B32:B40)</f>
        <v>0.99999999999999978</v>
      </c>
      <c r="C31" s="236">
        <f t="shared" si="6"/>
        <v>1</v>
      </c>
      <c r="D31" s="236">
        <f t="shared" si="6"/>
        <v>1</v>
      </c>
      <c r="E31" s="236">
        <f t="shared" si="6"/>
        <v>1</v>
      </c>
      <c r="F31" s="236">
        <f t="shared" si="6"/>
        <v>1</v>
      </c>
      <c r="G31" s="236">
        <f t="shared" si="6"/>
        <v>1</v>
      </c>
      <c r="H31" s="236">
        <f t="shared" si="6"/>
        <v>1.0000000000000002</v>
      </c>
      <c r="I31" s="236">
        <f t="shared" si="6"/>
        <v>1</v>
      </c>
      <c r="J31" s="236">
        <f t="shared" si="6"/>
        <v>1</v>
      </c>
      <c r="K31" s="236">
        <f t="shared" si="6"/>
        <v>1.0000000000000004</v>
      </c>
      <c r="L31" s="236">
        <f t="shared" si="6"/>
        <v>0.99999999999999989</v>
      </c>
      <c r="M31" s="236">
        <f t="shared" si="6"/>
        <v>1</v>
      </c>
      <c r="N31" s="236">
        <f t="shared" si="6"/>
        <v>0.99999999999999989</v>
      </c>
      <c r="O31" s="236">
        <f t="shared" si="6"/>
        <v>1</v>
      </c>
      <c r="P31" s="236">
        <f t="shared" si="6"/>
        <v>1</v>
      </c>
      <c r="Q31" s="236">
        <f t="shared" si="6"/>
        <v>0.99999999999999989</v>
      </c>
      <c r="R31" s="236">
        <f t="shared" ref="R31:W31" si="7">SUM(R32:R40)</f>
        <v>1.0000000000000002</v>
      </c>
      <c r="S31" s="236">
        <f t="shared" si="7"/>
        <v>0.99999999999999989</v>
      </c>
      <c r="T31" s="236">
        <f t="shared" si="7"/>
        <v>1</v>
      </c>
      <c r="U31" s="236">
        <f t="shared" si="7"/>
        <v>1.0000000000000002</v>
      </c>
      <c r="V31" s="236">
        <f t="shared" si="7"/>
        <v>1</v>
      </c>
      <c r="W31" s="236">
        <f t="shared" si="7"/>
        <v>1</v>
      </c>
      <c r="DA31" s="275"/>
    </row>
    <row r="32" spans="1:105" x14ac:dyDescent="0.25">
      <c r="A32" s="239" t="s">
        <v>125</v>
      </c>
      <c r="B32" s="245">
        <f t="shared" ref="B32:W32" si="8">IF(B$6=0,0,B$6/B$5)</f>
        <v>2.8914348795322651E-2</v>
      </c>
      <c r="C32" s="245">
        <f t="shared" si="8"/>
        <v>2.8403969815867555E-2</v>
      </c>
      <c r="D32" s="245">
        <f t="shared" si="8"/>
        <v>3.0413124692802884E-2</v>
      </c>
      <c r="E32" s="245">
        <f t="shared" si="8"/>
        <v>3.1785577871251497E-2</v>
      </c>
      <c r="F32" s="245">
        <f t="shared" si="8"/>
        <v>3.4017293955678651E-2</v>
      </c>
      <c r="G32" s="245">
        <f t="shared" si="8"/>
        <v>3.5895895198170907E-2</v>
      </c>
      <c r="H32" s="245">
        <f t="shared" si="8"/>
        <v>3.5356168647322016E-2</v>
      </c>
      <c r="I32" s="245">
        <f t="shared" si="8"/>
        <v>3.6533805645026431E-2</v>
      </c>
      <c r="J32" s="245">
        <f t="shared" si="8"/>
        <v>4.1204178945515778E-2</v>
      </c>
      <c r="K32" s="245">
        <f t="shared" si="8"/>
        <v>4.0490682749726732E-2</v>
      </c>
      <c r="L32" s="245">
        <f t="shared" si="8"/>
        <v>4.1724366760037178E-2</v>
      </c>
      <c r="M32" s="245">
        <f t="shared" si="8"/>
        <v>3.8391368003958037E-2</v>
      </c>
      <c r="N32" s="245">
        <f t="shared" si="8"/>
        <v>3.7844703266836824E-2</v>
      </c>
      <c r="O32" s="245">
        <f t="shared" si="8"/>
        <v>4.0132690734898696E-2</v>
      </c>
      <c r="P32" s="245">
        <f t="shared" si="8"/>
        <v>4.2977601856847215E-2</v>
      </c>
      <c r="Q32" s="245">
        <f t="shared" si="8"/>
        <v>3.986726491859853E-2</v>
      </c>
      <c r="R32" s="245">
        <f t="shared" si="8"/>
        <v>4.214468532415578E-2</v>
      </c>
      <c r="S32" s="245">
        <f t="shared" si="8"/>
        <v>4.1071695689399064E-2</v>
      </c>
      <c r="T32" s="245">
        <f t="shared" si="8"/>
        <v>4.242113188366417E-2</v>
      </c>
      <c r="U32" s="245">
        <f t="shared" si="8"/>
        <v>3.928347478137937E-2</v>
      </c>
      <c r="V32" s="245">
        <f t="shared" si="8"/>
        <v>3.9428770800000713E-2</v>
      </c>
      <c r="W32" s="245">
        <f t="shared" si="8"/>
        <v>4.1934931695972198E-2</v>
      </c>
      <c r="DA32" s="276"/>
    </row>
    <row r="33" spans="1:105" x14ac:dyDescent="0.25">
      <c r="A33" s="241" t="s">
        <v>124</v>
      </c>
      <c r="B33" s="246">
        <f t="shared" ref="B33:W33" si="9">IF(B$7=0,0,B$7/B$5)</f>
        <v>1.8794326716959717E-2</v>
      </c>
      <c r="C33" s="246">
        <f t="shared" si="9"/>
        <v>1.8462580380313901E-2</v>
      </c>
      <c r="D33" s="246">
        <f t="shared" si="9"/>
        <v>1.9768531050321881E-2</v>
      </c>
      <c r="E33" s="246">
        <f t="shared" si="9"/>
        <v>2.0660625616313464E-2</v>
      </c>
      <c r="F33" s="246">
        <f t="shared" si="9"/>
        <v>2.2111241071191119E-2</v>
      </c>
      <c r="G33" s="246">
        <f t="shared" si="9"/>
        <v>2.3332331878811081E-2</v>
      </c>
      <c r="H33" s="246">
        <f t="shared" si="9"/>
        <v>2.2981509620759295E-2</v>
      </c>
      <c r="I33" s="246">
        <f t="shared" si="9"/>
        <v>2.3746973669267164E-2</v>
      </c>
      <c r="J33" s="246">
        <f t="shared" si="9"/>
        <v>2.6782716314585266E-2</v>
      </c>
      <c r="K33" s="246">
        <f t="shared" si="9"/>
        <v>2.6318943787322354E-2</v>
      </c>
      <c r="L33" s="246">
        <f t="shared" si="9"/>
        <v>2.7120838394024155E-2</v>
      </c>
      <c r="M33" s="246">
        <f t="shared" si="9"/>
        <v>2.4954389202572719E-2</v>
      </c>
      <c r="N33" s="246">
        <f t="shared" si="9"/>
        <v>2.4599057123443936E-2</v>
      </c>
      <c r="O33" s="246">
        <f t="shared" si="9"/>
        <v>2.6086248977684155E-2</v>
      </c>
      <c r="P33" s="246">
        <f t="shared" si="9"/>
        <v>2.7935441206950688E-2</v>
      </c>
      <c r="Q33" s="246">
        <f t="shared" si="9"/>
        <v>2.5913722197089033E-2</v>
      </c>
      <c r="R33" s="246">
        <f t="shared" si="9"/>
        <v>2.7394045460701261E-2</v>
      </c>
      <c r="S33" s="246">
        <f t="shared" si="9"/>
        <v>2.6696602198109386E-2</v>
      </c>
      <c r="T33" s="246">
        <f t="shared" si="9"/>
        <v>2.7573735724381696E-2</v>
      </c>
      <c r="U33" s="246">
        <f t="shared" si="9"/>
        <v>2.5534258607896577E-2</v>
      </c>
      <c r="V33" s="246">
        <f t="shared" si="9"/>
        <v>2.5628701020000456E-2</v>
      </c>
      <c r="W33" s="246">
        <f t="shared" si="9"/>
        <v>2.7257705602381926E-2</v>
      </c>
      <c r="DA33" s="277"/>
    </row>
    <row r="34" spans="1:105" x14ac:dyDescent="0.25">
      <c r="A34" s="241" t="s">
        <v>123</v>
      </c>
      <c r="B34" s="246">
        <f t="shared" ref="B34:W34" si="10">IF(B$8=0,0,B$8/B$5)</f>
        <v>2.6022913915790379E-2</v>
      </c>
      <c r="C34" s="246">
        <f t="shared" si="10"/>
        <v>2.55635728342808E-2</v>
      </c>
      <c r="D34" s="246">
        <f t="shared" si="10"/>
        <v>2.7371812223522599E-2</v>
      </c>
      <c r="E34" s="246">
        <f t="shared" si="10"/>
        <v>2.8607020084126352E-2</v>
      </c>
      <c r="F34" s="246">
        <f t="shared" si="10"/>
        <v>3.0615564560110779E-2</v>
      </c>
      <c r="G34" s="246">
        <f t="shared" si="10"/>
        <v>3.2306305678353818E-2</v>
      </c>
      <c r="H34" s="246">
        <f t="shared" si="10"/>
        <v>3.1820551782589808E-2</v>
      </c>
      <c r="I34" s="246">
        <f t="shared" si="10"/>
        <v>3.288042508052378E-2</v>
      </c>
      <c r="J34" s="246">
        <f t="shared" si="10"/>
        <v>3.7083761050964198E-2</v>
      </c>
      <c r="K34" s="246">
        <f t="shared" si="10"/>
        <v>3.6441614474754046E-2</v>
      </c>
      <c r="L34" s="246">
        <f t="shared" si="10"/>
        <v>3.7551930084033458E-2</v>
      </c>
      <c r="M34" s="246">
        <f t="shared" si="10"/>
        <v>3.4552231203562218E-2</v>
      </c>
      <c r="N34" s="246">
        <f t="shared" si="10"/>
        <v>3.4060232940153132E-2</v>
      </c>
      <c r="O34" s="246">
        <f t="shared" si="10"/>
        <v>3.6119421661408822E-2</v>
      </c>
      <c r="P34" s="246">
        <f t="shared" si="10"/>
        <v>3.8679841671162493E-2</v>
      </c>
      <c r="Q34" s="246">
        <f t="shared" si="10"/>
        <v>3.5880538426738662E-2</v>
      </c>
      <c r="R34" s="246">
        <f t="shared" si="10"/>
        <v>3.7930216791740204E-2</v>
      </c>
      <c r="S34" s="246">
        <f t="shared" si="10"/>
        <v>3.6964526120459161E-2</v>
      </c>
      <c r="T34" s="246">
        <f t="shared" si="10"/>
        <v>3.8179018695297738E-2</v>
      </c>
      <c r="U34" s="246">
        <f t="shared" si="10"/>
        <v>3.5355127303241432E-2</v>
      </c>
      <c r="V34" s="246">
        <f t="shared" si="10"/>
        <v>3.5485893720000619E-2</v>
      </c>
      <c r="W34" s="246">
        <f t="shared" si="10"/>
        <v>3.7741438526374974E-2</v>
      </c>
      <c r="DA34" s="277"/>
    </row>
    <row r="35" spans="1:105" x14ac:dyDescent="0.25">
      <c r="A35" s="243" t="s">
        <v>122</v>
      </c>
      <c r="B35" s="247">
        <f t="shared" ref="B35:W35" si="11">IF(B$9=0,0,B$9/B$5)</f>
        <v>0.1959777622897288</v>
      </c>
      <c r="C35" s="247">
        <f t="shared" si="11"/>
        <v>0.19602742935486511</v>
      </c>
      <c r="D35" s="247">
        <f t="shared" si="11"/>
        <v>0.1960762724036883</v>
      </c>
      <c r="E35" s="247">
        <f t="shared" si="11"/>
        <v>0.19651851242477003</v>
      </c>
      <c r="F35" s="247">
        <f t="shared" si="11"/>
        <v>0.19806172381891049</v>
      </c>
      <c r="G35" s="247">
        <f t="shared" si="11"/>
        <v>0.20026478232723702</v>
      </c>
      <c r="H35" s="247">
        <f t="shared" si="11"/>
        <v>0.19861089722683334</v>
      </c>
      <c r="I35" s="247">
        <f t="shared" si="11"/>
        <v>0.20063593986570089</v>
      </c>
      <c r="J35" s="247">
        <f t="shared" si="11"/>
        <v>0.21208424363674225</v>
      </c>
      <c r="K35" s="247">
        <f t="shared" si="11"/>
        <v>0.2111935787888452</v>
      </c>
      <c r="L35" s="247">
        <f t="shared" si="11"/>
        <v>0.21563987153511058</v>
      </c>
      <c r="M35" s="247">
        <f t="shared" si="11"/>
        <v>0.21178174012735565</v>
      </c>
      <c r="N35" s="247">
        <f t="shared" si="11"/>
        <v>0.21104558358200715</v>
      </c>
      <c r="O35" s="247">
        <f t="shared" si="11"/>
        <v>0.21895498597439891</v>
      </c>
      <c r="P35" s="247">
        <f t="shared" si="11"/>
        <v>0.22910066297960707</v>
      </c>
      <c r="Q35" s="247">
        <f t="shared" si="11"/>
        <v>0.21960539199146148</v>
      </c>
      <c r="R35" s="247">
        <f t="shared" si="11"/>
        <v>0.22652826584300159</v>
      </c>
      <c r="S35" s="247">
        <f t="shared" si="11"/>
        <v>0.22320896154728351</v>
      </c>
      <c r="T35" s="247">
        <f t="shared" si="11"/>
        <v>0.22862369450767397</v>
      </c>
      <c r="U35" s="247">
        <f t="shared" si="11"/>
        <v>0.21753218762713422</v>
      </c>
      <c r="V35" s="247">
        <f t="shared" si="11"/>
        <v>0.21505306748190664</v>
      </c>
      <c r="W35" s="247">
        <f t="shared" si="11"/>
        <v>0.22317050744337669</v>
      </c>
      <c r="DA35" s="278"/>
    </row>
    <row r="36" spans="1:105" x14ac:dyDescent="0.25">
      <c r="A36" s="128" t="s">
        <v>175</v>
      </c>
      <c r="B36" s="260">
        <f t="shared" ref="B36:W36" si="12">IF(B$16=0,0,B$16/B$5)</f>
        <v>0.26091044592353374</v>
      </c>
      <c r="C36" s="260">
        <f t="shared" si="12"/>
        <v>0.26190044803239471</v>
      </c>
      <c r="D36" s="260">
        <f t="shared" si="12"/>
        <v>0.25790653012494114</v>
      </c>
      <c r="E36" s="260">
        <f t="shared" si="12"/>
        <v>0.2550165150090129</v>
      </c>
      <c r="F36" s="260">
        <f t="shared" si="12"/>
        <v>0.24999107307166701</v>
      </c>
      <c r="G36" s="260">
        <f t="shared" si="12"/>
        <v>0.24540311014494445</v>
      </c>
      <c r="H36" s="260">
        <f t="shared" si="12"/>
        <v>0.24388405777293898</v>
      </c>
      <c r="I36" s="260">
        <f t="shared" si="12"/>
        <v>0.24093272730773369</v>
      </c>
      <c r="J36" s="260">
        <f t="shared" si="12"/>
        <v>0.22708779164041182</v>
      </c>
      <c r="K36" s="260">
        <f t="shared" si="12"/>
        <v>0.22692259636563633</v>
      </c>
      <c r="L36" s="260">
        <f t="shared" si="12"/>
        <v>0.22175680726008729</v>
      </c>
      <c r="M36" s="260">
        <f t="shared" si="12"/>
        <v>0.2287948250704806</v>
      </c>
      <c r="N36" s="260">
        <f t="shared" si="12"/>
        <v>0.2292571450175945</v>
      </c>
      <c r="O36" s="260">
        <f t="shared" si="12"/>
        <v>0.22205587530471332</v>
      </c>
      <c r="P36" s="260">
        <f t="shared" si="12"/>
        <v>0.21510950211791713</v>
      </c>
      <c r="Q36" s="260">
        <f t="shared" si="12"/>
        <v>0.22321715347077406</v>
      </c>
      <c r="R36" s="260">
        <f t="shared" si="12"/>
        <v>0.21231433332504224</v>
      </c>
      <c r="S36" s="260">
        <f t="shared" si="12"/>
        <v>0.21467041557784722</v>
      </c>
      <c r="T36" s="260">
        <f t="shared" si="12"/>
        <v>0.20900216104210792</v>
      </c>
      <c r="U36" s="260">
        <f t="shared" si="12"/>
        <v>0.21776608829968402</v>
      </c>
      <c r="V36" s="260">
        <f t="shared" si="12"/>
        <v>0.21943563119078857</v>
      </c>
      <c r="W36" s="260">
        <f t="shared" si="12"/>
        <v>0.21196667798418617</v>
      </c>
      <c r="DA36" s="279"/>
    </row>
    <row r="37" spans="1:105" x14ac:dyDescent="0.25">
      <c r="A37" s="128" t="s">
        <v>121</v>
      </c>
      <c r="B37" s="260">
        <f t="shared" ref="B37:W37" si="13">IF(B$17=0,0,B$17/B$5)</f>
        <v>0.34840393126995683</v>
      </c>
      <c r="C37" s="260">
        <f t="shared" si="13"/>
        <v>0.34972591983761198</v>
      </c>
      <c r="D37" s="260">
        <f t="shared" si="13"/>
        <v>0.34439268492169717</v>
      </c>
      <c r="E37" s="260">
        <f t="shared" si="13"/>
        <v>0.34053353461341823</v>
      </c>
      <c r="F37" s="260">
        <f t="shared" si="13"/>
        <v>0.33382286528340094</v>
      </c>
      <c r="G37" s="260">
        <f t="shared" si="13"/>
        <v>0.32769637880052771</v>
      </c>
      <c r="H37" s="260">
        <f t="shared" si="13"/>
        <v>0.33385984759982745</v>
      </c>
      <c r="I37" s="260">
        <f t="shared" si="13"/>
        <v>0.32946507318210927</v>
      </c>
      <c r="J37" s="260">
        <f t="shared" si="13"/>
        <v>0.31117025834430839</v>
      </c>
      <c r="K37" s="260">
        <f t="shared" si="13"/>
        <v>0.31582534309466642</v>
      </c>
      <c r="L37" s="260">
        <f t="shared" si="13"/>
        <v>0.31136906882929577</v>
      </c>
      <c r="M37" s="260">
        <f t="shared" si="13"/>
        <v>0.32350176243187956</v>
      </c>
      <c r="N37" s="260">
        <f t="shared" si="13"/>
        <v>0.32642008408503465</v>
      </c>
      <c r="O37" s="260">
        <f t="shared" si="13"/>
        <v>0.31565579805394806</v>
      </c>
      <c r="P37" s="260">
        <f t="shared" si="13"/>
        <v>0.29956674212280171</v>
      </c>
      <c r="Q37" s="260">
        <f t="shared" si="13"/>
        <v>0.31494809367494381</v>
      </c>
      <c r="R37" s="260">
        <f t="shared" si="13"/>
        <v>0.30963600569345884</v>
      </c>
      <c r="S37" s="260">
        <f t="shared" si="13"/>
        <v>0.31551143507033685</v>
      </c>
      <c r="T37" s="260">
        <f t="shared" si="13"/>
        <v>0.31010697802107823</v>
      </c>
      <c r="U37" s="260">
        <f t="shared" si="13"/>
        <v>0.32643878149676125</v>
      </c>
      <c r="V37" s="260">
        <f t="shared" si="13"/>
        <v>0.32620106207774002</v>
      </c>
      <c r="W37" s="260">
        <f t="shared" si="13"/>
        <v>0.31445699244586711</v>
      </c>
      <c r="DA37" s="279"/>
    </row>
    <row r="38" spans="1:105" x14ac:dyDescent="0.25">
      <c r="A38" s="128" t="s">
        <v>174</v>
      </c>
      <c r="B38" s="260">
        <f t="shared" ref="B38:W38" si="14">IF(B$25=0,0,B$25/B$5)</f>
        <v>5.0136116540167294E-2</v>
      </c>
      <c r="C38" s="260">
        <f t="shared" si="14"/>
        <v>5.032635369579045E-2</v>
      </c>
      <c r="D38" s="260">
        <f t="shared" si="14"/>
        <v>4.9558889085658926E-2</v>
      </c>
      <c r="E38" s="260">
        <f t="shared" si="14"/>
        <v>4.9003548596541477E-2</v>
      </c>
      <c r="F38" s="260">
        <f t="shared" si="14"/>
        <v>4.8037868047628329E-2</v>
      </c>
      <c r="G38" s="260">
        <f t="shared" si="14"/>
        <v>4.7156252736436297E-2</v>
      </c>
      <c r="H38" s="260">
        <f t="shared" si="14"/>
        <v>4.6864354163790402E-2</v>
      </c>
      <c r="I38" s="260">
        <f t="shared" si="14"/>
        <v>4.6297231419324097E-2</v>
      </c>
      <c r="J38" s="260">
        <f t="shared" si="14"/>
        <v>4.3636811650958778E-2</v>
      </c>
      <c r="K38" s="260">
        <f t="shared" si="14"/>
        <v>4.3605068002218632E-2</v>
      </c>
      <c r="L38" s="260">
        <f t="shared" si="14"/>
        <v>4.2612418575320533E-2</v>
      </c>
      <c r="M38" s="260">
        <f t="shared" si="14"/>
        <v>4.3964832350494032E-2</v>
      </c>
      <c r="N38" s="260">
        <f t="shared" si="14"/>
        <v>4.4053670981179377E-2</v>
      </c>
      <c r="O38" s="260">
        <f t="shared" si="14"/>
        <v>4.2669886992446303E-2</v>
      </c>
      <c r="P38" s="260">
        <f t="shared" si="14"/>
        <v>4.1335083495438088E-2</v>
      </c>
      <c r="Q38" s="260">
        <f t="shared" si="14"/>
        <v>4.2893036269828003E-2</v>
      </c>
      <c r="R38" s="260">
        <f t="shared" si="14"/>
        <v>4.0797968517718573E-2</v>
      </c>
      <c r="S38" s="260">
        <f t="shared" si="14"/>
        <v>4.1250709357537094E-2</v>
      </c>
      <c r="T38" s="260">
        <f t="shared" si="14"/>
        <v>4.0161507010819067E-2</v>
      </c>
      <c r="U38" s="260">
        <f t="shared" si="14"/>
        <v>4.1845568669523818E-2</v>
      </c>
      <c r="V38" s="260">
        <f t="shared" si="14"/>
        <v>4.216638524956124E-2</v>
      </c>
      <c r="W38" s="260">
        <f t="shared" si="14"/>
        <v>4.0731163646709E-2</v>
      </c>
      <c r="DA38" s="279"/>
    </row>
    <row r="39" spans="1:105" x14ac:dyDescent="0.25">
      <c r="A39" s="128" t="s">
        <v>177</v>
      </c>
      <c r="B39" s="260">
        <f t="shared" ref="B39:W39" si="15">IF(B$26=0,0,B$26/B$5)</f>
        <v>2.8914348795322651E-2</v>
      </c>
      <c r="C39" s="260">
        <f t="shared" si="15"/>
        <v>2.8403969815867555E-2</v>
      </c>
      <c r="D39" s="260">
        <f t="shared" si="15"/>
        <v>3.0413124692802884E-2</v>
      </c>
      <c r="E39" s="260">
        <f t="shared" si="15"/>
        <v>3.1785577871251497E-2</v>
      </c>
      <c r="F39" s="260">
        <f t="shared" si="15"/>
        <v>3.4017293955678651E-2</v>
      </c>
      <c r="G39" s="260">
        <f t="shared" si="15"/>
        <v>3.5895895198170907E-2</v>
      </c>
      <c r="H39" s="260">
        <f t="shared" si="15"/>
        <v>3.5356168647322016E-2</v>
      </c>
      <c r="I39" s="260">
        <f t="shared" si="15"/>
        <v>3.6533805645026431E-2</v>
      </c>
      <c r="J39" s="260">
        <f t="shared" si="15"/>
        <v>4.1204178945515778E-2</v>
      </c>
      <c r="K39" s="260">
        <f t="shared" si="15"/>
        <v>4.0490682749726732E-2</v>
      </c>
      <c r="L39" s="260">
        <f t="shared" si="15"/>
        <v>4.1724366760037178E-2</v>
      </c>
      <c r="M39" s="260">
        <f t="shared" si="15"/>
        <v>3.8391368003958037E-2</v>
      </c>
      <c r="N39" s="260">
        <f t="shared" si="15"/>
        <v>3.7844703266836824E-2</v>
      </c>
      <c r="O39" s="260">
        <f t="shared" si="15"/>
        <v>4.0132690734898696E-2</v>
      </c>
      <c r="P39" s="260">
        <f t="shared" si="15"/>
        <v>4.2977601856847215E-2</v>
      </c>
      <c r="Q39" s="260">
        <f t="shared" si="15"/>
        <v>3.986726491859853E-2</v>
      </c>
      <c r="R39" s="260">
        <f t="shared" si="15"/>
        <v>4.214468532415578E-2</v>
      </c>
      <c r="S39" s="260">
        <f t="shared" si="15"/>
        <v>4.1071695689399064E-2</v>
      </c>
      <c r="T39" s="260">
        <f t="shared" si="15"/>
        <v>4.242113188366417E-2</v>
      </c>
      <c r="U39" s="260">
        <f t="shared" si="15"/>
        <v>3.928347478137937E-2</v>
      </c>
      <c r="V39" s="260">
        <f t="shared" si="15"/>
        <v>3.9428770800000713E-2</v>
      </c>
      <c r="W39" s="260">
        <f t="shared" si="15"/>
        <v>4.1934931695972198E-2</v>
      </c>
      <c r="DA39" s="279"/>
    </row>
    <row r="40" spans="1:105" x14ac:dyDescent="0.25">
      <c r="A40" s="261" t="s">
        <v>33</v>
      </c>
      <c r="B40" s="262">
        <f t="shared" ref="B40:W40" si="16">IF(B$27=0,0,B$27/B$5)</f>
        <v>4.1925805753217839E-2</v>
      </c>
      <c r="C40" s="262">
        <f t="shared" si="16"/>
        <v>4.118575623300795E-2</v>
      </c>
      <c r="D40" s="262">
        <f t="shared" si="16"/>
        <v>4.4099030804564197E-2</v>
      </c>
      <c r="E40" s="262">
        <f t="shared" si="16"/>
        <v>4.6089087913314682E-2</v>
      </c>
      <c r="F40" s="262">
        <f t="shared" si="16"/>
        <v>4.9325076235734025E-2</v>
      </c>
      <c r="G40" s="262">
        <f t="shared" si="16"/>
        <v>5.204904803734782E-2</v>
      </c>
      <c r="H40" s="262">
        <f t="shared" si="16"/>
        <v>5.1266444538616937E-2</v>
      </c>
      <c r="I40" s="262">
        <f t="shared" si="16"/>
        <v>5.2974018185288289E-2</v>
      </c>
      <c r="J40" s="262">
        <f t="shared" si="16"/>
        <v>5.9746059470997877E-2</v>
      </c>
      <c r="K40" s="262">
        <f t="shared" si="16"/>
        <v>5.8711489987103745E-2</v>
      </c>
      <c r="L40" s="262">
        <f t="shared" si="16"/>
        <v>6.0500331802053865E-2</v>
      </c>
      <c r="M40" s="262">
        <f t="shared" si="16"/>
        <v>5.5667483605739164E-2</v>
      </c>
      <c r="N40" s="262">
        <f t="shared" si="16"/>
        <v>5.4874819736913438E-2</v>
      </c>
      <c r="O40" s="262">
        <f t="shared" si="16"/>
        <v>5.8192401565603104E-2</v>
      </c>
      <c r="P40" s="262">
        <f t="shared" si="16"/>
        <v>6.2317522692428483E-2</v>
      </c>
      <c r="Q40" s="262">
        <f t="shared" si="16"/>
        <v>5.7807534131967854E-2</v>
      </c>
      <c r="R40" s="262">
        <f t="shared" si="16"/>
        <v>6.1109793720025882E-2</v>
      </c>
      <c r="S40" s="262">
        <f t="shared" si="16"/>
        <v>5.9553958749628648E-2</v>
      </c>
      <c r="T40" s="262">
        <f t="shared" si="16"/>
        <v>6.1510641231313029E-2</v>
      </c>
      <c r="U40" s="262">
        <f t="shared" si="16"/>
        <v>5.6961038433000079E-2</v>
      </c>
      <c r="V40" s="262">
        <f t="shared" si="16"/>
        <v>5.7171717660001023E-2</v>
      </c>
      <c r="W40" s="262">
        <f t="shared" si="16"/>
        <v>6.0805650959159678E-2</v>
      </c>
      <c r="DA40" s="280"/>
    </row>
    <row r="42" spans="1:105" ht="12.75" x14ac:dyDescent="0.25">
      <c r="A42" s="179" t="s">
        <v>23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DA42" s="267"/>
    </row>
    <row r="44" spans="1:105" x14ac:dyDescent="0.25">
      <c r="A44" s="235" t="s">
        <v>126</v>
      </c>
      <c r="B44" s="237">
        <f t="shared" ref="B44:W44" si="17">SUM(B$45:B$53)</f>
        <v>126.45888445910977</v>
      </c>
      <c r="C44" s="237">
        <f t="shared" si="17"/>
        <v>122.34803499436487</v>
      </c>
      <c r="D44" s="237">
        <f t="shared" si="17"/>
        <v>127.81056238438659</v>
      </c>
      <c r="E44" s="237">
        <f t="shared" si="17"/>
        <v>135.4328803289018</v>
      </c>
      <c r="F44" s="237">
        <f t="shared" si="17"/>
        <v>134.84363036747555</v>
      </c>
      <c r="G44" s="237">
        <f t="shared" si="17"/>
        <v>154.42655608236754</v>
      </c>
      <c r="H44" s="237">
        <f t="shared" si="17"/>
        <v>146.93020171673024</v>
      </c>
      <c r="I44" s="237">
        <f t="shared" si="17"/>
        <v>137.2385115226293</v>
      </c>
      <c r="J44" s="237">
        <f t="shared" si="17"/>
        <v>139.32723127138397</v>
      </c>
      <c r="K44" s="237">
        <f t="shared" si="17"/>
        <v>156.36023356757096</v>
      </c>
      <c r="L44" s="237">
        <f t="shared" si="17"/>
        <v>144.5858594059342</v>
      </c>
      <c r="M44" s="237">
        <f t="shared" si="17"/>
        <v>132.80026593791032</v>
      </c>
      <c r="N44" s="237">
        <f t="shared" si="17"/>
        <v>135.04301399101348</v>
      </c>
      <c r="O44" s="237">
        <f t="shared" si="17"/>
        <v>132.95020410976795</v>
      </c>
      <c r="P44" s="237">
        <f t="shared" si="17"/>
        <v>130.1593966411773</v>
      </c>
      <c r="Q44" s="237">
        <f t="shared" si="17"/>
        <v>132.91816907674803</v>
      </c>
      <c r="R44" s="237">
        <f t="shared" si="17"/>
        <v>135.38540863538165</v>
      </c>
      <c r="S44" s="237">
        <f t="shared" si="17"/>
        <v>124.90211009173737</v>
      </c>
      <c r="T44" s="237">
        <f t="shared" si="17"/>
        <v>141.27985612939969</v>
      </c>
      <c r="U44" s="237">
        <f t="shared" si="17"/>
        <v>142.01198459584057</v>
      </c>
      <c r="V44" s="237">
        <f t="shared" si="17"/>
        <v>148.62601044661253</v>
      </c>
      <c r="W44" s="237">
        <f t="shared" si="17"/>
        <v>142.5401415478579</v>
      </c>
      <c r="DA44" s="281"/>
    </row>
    <row r="45" spans="1:105" x14ac:dyDescent="0.25">
      <c r="A45" s="239" t="s">
        <v>125</v>
      </c>
      <c r="B45" s="248">
        <f>IF(B$6=0,0,B$6/AGR!B$5*1000)</f>
        <v>3.6564762935181072</v>
      </c>
      <c r="C45" s="248">
        <f>IF(C$6=0,0,C$6/AGR!C$5*1000)</f>
        <v>3.4751698930106469</v>
      </c>
      <c r="D45" s="248">
        <f>IF(D$6=0,0,D$6/AGR!D$5*1000)</f>
        <v>3.8871185708536111</v>
      </c>
      <c r="E45" s="248">
        <f>IF(E$6=0,0,E$6/AGR!E$5*1000)</f>
        <v>4.3048123640221929</v>
      </c>
      <c r="F45" s="248">
        <f>IF(F$6=0,0,F$6/AGR!F$5*1000)</f>
        <v>4.5870154122612927</v>
      </c>
      <c r="G45" s="248">
        <f>IF(G$6=0,0,G$6/AGR!G$5*1000)</f>
        <v>5.5432794729471278</v>
      </c>
      <c r="H45" s="248">
        <f>IF(H$6=0,0,H$6/AGR!H$5*1000)</f>
        <v>5.1948889912817569</v>
      </c>
      <c r="I45" s="248">
        <f>IF(I$6=0,0,I$6/AGR!I$5*1000)</f>
        <v>5.0138451069804599</v>
      </c>
      <c r="J45" s="248">
        <f>IF(J$6=0,0,J$6/AGR!J$5*1000)</f>
        <v>5.7408641692893658</v>
      </c>
      <c r="K45" s="248">
        <f>IF(K$6=0,0,K$6/AGR!K$5*1000)</f>
        <v>6.3311326120576865</v>
      </c>
      <c r="L45" s="248">
        <f>IF(L$6=0,0,L$6/AGR!L$5*1000)</f>
        <v>6.0327534261683695</v>
      </c>
      <c r="M45" s="248">
        <f>IF(M$6=0,0,M$6/AGR!M$5*1000)</f>
        <v>5.0983838806458088</v>
      </c>
      <c r="N45" s="248">
        <f>IF(N$6=0,0,N$6/AGR!N$5*1000)</f>
        <v>5.110662792749201</v>
      </c>
      <c r="O45" s="248">
        <f>IF(O$6=0,0,O$6/AGR!O$5*1000)</f>
        <v>5.3356494246789747</v>
      </c>
      <c r="P45" s="248">
        <f>IF(P$6=0,0,P$6/AGR!P$5*1000)</f>
        <v>5.5939387267719738</v>
      </c>
      <c r="Q45" s="248">
        <f>IF(Q$6=0,0,Q$6/AGR!Q$5*1000)</f>
        <v>5.2990838590777853</v>
      </c>
      <c r="R45" s="248">
        <f>IF(R$6=0,0,R$6/AGR!R$5*1000)</f>
        <v>5.7057754444204027</v>
      </c>
      <c r="S45" s="248">
        <f>IF(S$6=0,0,S$6/AGR!S$5*1000)</f>
        <v>5.1299414566516566</v>
      </c>
      <c r="T45" s="248">
        <f>IF(T$6=0,0,T$6/AGR!T$5*1000)</f>
        <v>5.993251409370365</v>
      </c>
      <c r="U45" s="248">
        <f>IF(U$6=0,0,U$6/AGR!U$5*1000)</f>
        <v>5.5787242155243382</v>
      </c>
      <c r="V45" s="248">
        <f>IF(V$6=0,0,V$6/AGR!V$5*1000)</f>
        <v>5.8601409008179965</v>
      </c>
      <c r="W45" s="248">
        <f>IF(W$6=0,0,W$6/AGR!W$5*1000)</f>
        <v>5.9774110997436303</v>
      </c>
      <c r="DA45" s="282"/>
    </row>
    <row r="46" spans="1:105" x14ac:dyDescent="0.25">
      <c r="A46" s="241" t="s">
        <v>124</v>
      </c>
      <c r="B46" s="249">
        <f>IF(B$7=0,0,B$7/AGR!B$5*1000)</f>
        <v>2.3767095907867688</v>
      </c>
      <c r="C46" s="249">
        <f>IF(C$7=0,0,C$7/AGR!C$5*1000)</f>
        <v>2.2588604304569198</v>
      </c>
      <c r="D46" s="249">
        <f>IF(D$7=0,0,D$7/AGR!D$5*1000)</f>
        <v>2.5266270710548477</v>
      </c>
      <c r="E46" s="249">
        <f>IF(E$7=0,0,E$7/AGR!E$5*1000)</f>
        <v>2.7981280366144246</v>
      </c>
      <c r="F46" s="249">
        <f>IF(F$7=0,0,F$7/AGR!F$5*1000)</f>
        <v>2.9815600179698394</v>
      </c>
      <c r="G46" s="249">
        <f>IF(G$7=0,0,G$7/AGR!G$5*1000)</f>
        <v>3.6031316574156316</v>
      </c>
      <c r="H46" s="249">
        <f>IF(H$7=0,0,H$7/AGR!H$5*1000)</f>
        <v>3.3766778443331398</v>
      </c>
      <c r="I46" s="249">
        <f>IF(I$7=0,0,I$7/AGR!I$5*1000)</f>
        <v>3.2589993195372968</v>
      </c>
      <c r="J46" s="249">
        <f>IF(J$7=0,0,J$7/AGR!J$5*1000)</f>
        <v>3.7315617100380893</v>
      </c>
      <c r="K46" s="249">
        <f>IF(K$7=0,0,K$7/AGR!K$5*1000)</f>
        <v>4.1152361978374934</v>
      </c>
      <c r="L46" s="249">
        <f>IF(L$7=0,0,L$7/AGR!L$5*1000)</f>
        <v>3.9212897270094382</v>
      </c>
      <c r="M46" s="249">
        <f>IF(M$7=0,0,M$7/AGR!M$5*1000)</f>
        <v>3.313949522419775</v>
      </c>
      <c r="N46" s="249">
        <f>IF(N$7=0,0,N$7/AGR!N$5*1000)</f>
        <v>3.3219308152869802</v>
      </c>
      <c r="O46" s="249">
        <f>IF(O$7=0,0,O$7/AGR!O$5*1000)</f>
        <v>3.4681721260413338</v>
      </c>
      <c r="P46" s="249">
        <f>IF(P$7=0,0,P$7/AGR!P$5*1000)</f>
        <v>3.6360601724017831</v>
      </c>
      <c r="Q46" s="249">
        <f>IF(Q$7=0,0,Q$7/AGR!Q$5*1000)</f>
        <v>3.4444045084005586</v>
      </c>
      <c r="R46" s="249">
        <f>IF(R$7=0,0,R$7/AGR!R$5*1000)</f>
        <v>3.7087540388732627</v>
      </c>
      <c r="S46" s="249">
        <f>IF(S$7=0,0,S$7/AGR!S$5*1000)</f>
        <v>3.3344619468235766</v>
      </c>
      <c r="T46" s="249">
        <f>IF(T$7=0,0,T$7/AGR!T$5*1000)</f>
        <v>3.8956134160907352</v>
      </c>
      <c r="U46" s="249">
        <f>IF(U$7=0,0,U$7/AGR!U$5*1000)</f>
        <v>3.6261707400908176</v>
      </c>
      <c r="V46" s="249">
        <f>IF(V$7=0,0,V$7/AGR!V$5*1000)</f>
        <v>3.8090915855316965</v>
      </c>
      <c r="W46" s="249">
        <f>IF(W$7=0,0,W$7/AGR!W$5*1000)</f>
        <v>3.8853172148333597</v>
      </c>
      <c r="DA46" s="283"/>
    </row>
    <row r="47" spans="1:105" x14ac:dyDescent="0.25">
      <c r="A47" s="241" t="s">
        <v>123</v>
      </c>
      <c r="B47" s="249">
        <f>IF(B$8=0,0,B$8/AGR!B$5*1000)</f>
        <v>3.2908286641662952</v>
      </c>
      <c r="C47" s="249">
        <f>IF(C$8=0,0,C$8/AGR!C$5*1000)</f>
        <v>3.1276529037095822</v>
      </c>
      <c r="D47" s="249">
        <f>IF(D$8=0,0,D$8/AGR!D$5*1000)</f>
        <v>3.49840671376825</v>
      </c>
      <c r="E47" s="249">
        <f>IF(E$8=0,0,E$8/AGR!E$5*1000)</f>
        <v>3.8743311276199743</v>
      </c>
      <c r="F47" s="249">
        <f>IF(F$8=0,0,F$8/AGR!F$5*1000)</f>
        <v>4.1283138710351626</v>
      </c>
      <c r="G47" s="249">
        <f>IF(G$8=0,0,G$8/AGR!G$5*1000)</f>
        <v>4.9889515256524151</v>
      </c>
      <c r="H47" s="249">
        <f>IF(H$8=0,0,H$8/AGR!H$5*1000)</f>
        <v>4.6754000921535797</v>
      </c>
      <c r="I47" s="249">
        <f>IF(I$8=0,0,I$8/AGR!I$5*1000)</f>
        <v>4.5124605962824118</v>
      </c>
      <c r="J47" s="249">
        <f>IF(J$8=0,0,J$8/AGR!J$5*1000)</f>
        <v>5.1667777523604279</v>
      </c>
      <c r="K47" s="249">
        <f>IF(K$8=0,0,K$8/AGR!K$5*1000)</f>
        <v>5.6980193508519159</v>
      </c>
      <c r="L47" s="249">
        <f>IF(L$8=0,0,L$8/AGR!L$5*1000)</f>
        <v>5.4294780835515324</v>
      </c>
      <c r="M47" s="249">
        <f>IF(M$8=0,0,M$8/AGR!M$5*1000)</f>
        <v>4.5885454925812255</v>
      </c>
      <c r="N47" s="249">
        <f>IF(N$8=0,0,N$8/AGR!N$5*1000)</f>
        <v>4.5995965134742791</v>
      </c>
      <c r="O47" s="249">
        <f>IF(O$8=0,0,O$8/AGR!O$5*1000)</f>
        <v>4.8020844822110762</v>
      </c>
      <c r="P47" s="249">
        <f>IF(P$8=0,0,P$8/AGR!P$5*1000)</f>
        <v>5.0345448540947757</v>
      </c>
      <c r="Q47" s="249">
        <f>IF(Q$8=0,0,Q$8/AGR!Q$5*1000)</f>
        <v>4.7691754731700042</v>
      </c>
      <c r="R47" s="249">
        <f>IF(R$8=0,0,R$8/AGR!R$5*1000)</f>
        <v>5.1351978999783627</v>
      </c>
      <c r="S47" s="249">
        <f>IF(S$8=0,0,S$8/AGR!S$5*1000)</f>
        <v>4.6169473109864914</v>
      </c>
      <c r="T47" s="249">
        <f>IF(T$8=0,0,T$8/AGR!T$5*1000)</f>
        <v>5.3939262684333267</v>
      </c>
      <c r="U47" s="249">
        <f>IF(U$8=0,0,U$8/AGR!U$5*1000)</f>
        <v>5.0208517939719037</v>
      </c>
      <c r="V47" s="249">
        <f>IF(V$8=0,0,V$8/AGR!V$5*1000)</f>
        <v>5.2741268107361936</v>
      </c>
      <c r="W47" s="249">
        <f>IF(W$8=0,0,W$8/AGR!W$5*1000)</f>
        <v>5.3796699897692664</v>
      </c>
      <c r="DA47" s="283"/>
    </row>
    <row r="48" spans="1:105" x14ac:dyDescent="0.25">
      <c r="A48" s="243" t="s">
        <v>122</v>
      </c>
      <c r="B48" s="250">
        <f>IF(B$9=0,0,B$9/AGR!B$5*1000)</f>
        <v>24.783129197951698</v>
      </c>
      <c r="C48" s="250">
        <f>IF(C$9=0,0,C$9/AGR!C$5*1000)</f>
        <v>23.983570786564425</v>
      </c>
      <c r="D48" s="250">
        <f>IF(D$9=0,0,D$9/AGR!D$5*1000)</f>
        <v>25.060618646149582</v>
      </c>
      <c r="E48" s="250">
        <f>IF(E$9=0,0,E$9/AGR!E$5*1000)</f>
        <v>26.615068175637685</v>
      </c>
      <c r="F48" s="250">
        <f>IF(F$9=0,0,F$9/AGR!F$5*1000)</f>
        <v>26.707361876582194</v>
      </c>
      <c r="G48" s="250">
        <f>IF(G$9=0,0,G$9/AGR!G$5*1000)</f>
        <v>30.926200639380195</v>
      </c>
      <c r="H48" s="250">
        <f>IF(H$9=0,0,H$9/AGR!H$5*1000)</f>
        <v>29.181939192679401</v>
      </c>
      <c r="I48" s="250">
        <f>IF(I$9=0,0,I$9/AGR!I$5*1000)</f>
        <v>27.534977745112549</v>
      </c>
      <c r="J48" s="250">
        <f>IF(J$9=0,0,J$9/AGR!J$5*1000)</f>
        <v>29.549110462192928</v>
      </c>
      <c r="K48" s="250">
        <f>IF(K$9=0,0,K$9/AGR!K$5*1000)</f>
        <v>33.022277307395029</v>
      </c>
      <c r="L48" s="250">
        <f>IF(L$9=0,0,L$9/AGR!L$5*1000)</f>
        <v>31.17847614808921</v>
      </c>
      <c r="M48" s="250">
        <f>IF(M$9=0,0,M$9/AGR!M$5*1000)</f>
        <v>28.124671409706245</v>
      </c>
      <c r="N48" s="250">
        <f>IF(N$9=0,0,N$9/AGR!N$5*1000)</f>
        <v>28.500231696406605</v>
      </c>
      <c r="O48" s="250">
        <f>IF(O$9=0,0,O$9/AGR!O$5*1000)</f>
        <v>29.110110076147713</v>
      </c>
      <c r="P48" s="250">
        <f>IF(P$9=0,0,P$9/AGR!P$5*1000)</f>
        <v>29.819604063519357</v>
      </c>
      <c r="Q48" s="250">
        <f>IF(Q$9=0,0,Q$9/AGR!Q$5*1000)</f>
        <v>29.189546622886606</v>
      </c>
      <c r="R48" s="250">
        <f>IF(R$9=0,0,R$9/AGR!R$5*1000)</f>
        <v>30.668621838619138</v>
      </c>
      <c r="S48" s="250">
        <f>IF(S$9=0,0,S$9/AGR!S$5*1000)</f>
        <v>27.879270288641173</v>
      </c>
      <c r="T48" s="250">
        <f>IF(T$9=0,0,T$9/AGR!T$5*1000)</f>
        <v>32.299922667816013</v>
      </c>
      <c r="U48" s="250">
        <f>IF(U$9=0,0,U$9/AGR!U$5*1000)</f>
        <v>30.892177678404082</v>
      </c>
      <c r="V48" s="250">
        <f>IF(V$9=0,0,V$9/AGR!V$5*1000)</f>
        <v>31.962479454141921</v>
      </c>
      <c r="W48" s="250">
        <f>IF(W$9=0,0,W$9/AGR!W$5*1000)</f>
        <v>31.810755720286188</v>
      </c>
      <c r="DA48" s="284"/>
    </row>
    <row r="49" spans="1:105" x14ac:dyDescent="0.25">
      <c r="A49" s="128" t="s">
        <v>175</v>
      </c>
      <c r="B49" s="263">
        <f>IF(B$16=0,0,B$16/AGR!B$5*1000)</f>
        <v>32.99444393521896</v>
      </c>
      <c r="C49" s="263">
        <f>IF(C$16=0,0,C$16/AGR!C$5*1000)</f>
        <v>32.043005180907265</v>
      </c>
      <c r="D49" s="263">
        <f>IF(D$16=0,0,D$16/AGR!D$5*1000)</f>
        <v>32.963178657874465</v>
      </c>
      <c r="E49" s="263">
        <f>IF(E$16=0,0,E$16/AGR!E$5*1000)</f>
        <v>34.537621159109229</v>
      </c>
      <c r="F49" s="263">
        <f>IF(F$16=0,0,F$16/AGR!F$5*1000)</f>
        <v>33.709703852444441</v>
      </c>
      <c r="G49" s="263">
        <f>IF(G$16=0,0,G$16/AGR!G$5*1000)</f>
        <v>37.896757151585682</v>
      </c>
      <c r="H49" s="263">
        <f>IF(H$16=0,0,H$16/AGR!H$5*1000)</f>
        <v>35.833933804072615</v>
      </c>
      <c r="I49" s="263">
        <f>IF(I$16=0,0,I$16/AGR!I$5*1000)</f>
        <v>33.065248872800915</v>
      </c>
      <c r="J49" s="263">
        <f>IF(J$16=0,0,J$16/AGR!J$5*1000)</f>
        <v>31.63951326479151</v>
      </c>
      <c r="K49" s="263">
        <f>IF(K$16=0,0,K$16/AGR!K$5*1000)</f>
        <v>35.481670169490521</v>
      </c>
      <c r="L49" s="263">
        <f>IF(L$16=0,0,L$16/AGR!L$5*1000)</f>
        <v>32.062898556815831</v>
      </c>
      <c r="M49" s="263">
        <f>IF(M$16=0,0,M$16/AGR!M$5*1000)</f>
        <v>30.384013614577494</v>
      </c>
      <c r="N49" s="263">
        <f>IF(N$16=0,0,N$16/AGR!N$5*1000)</f>
        <v>30.95957584215083</v>
      </c>
      <c r="O49" s="263">
        <f>IF(O$16=0,0,O$16/AGR!O$5*1000)</f>
        <v>29.522373945534817</v>
      </c>
      <c r="P49" s="263">
        <f>IF(P$16=0,0,P$16/AGR!P$5*1000)</f>
        <v>27.998523007452135</v>
      </c>
      <c r="Q49" s="263">
        <f>IF(Q$16=0,0,Q$16/AGR!Q$5*1000)</f>
        <v>29.669615345858762</v>
      </c>
      <c r="R49" s="263">
        <f>IF(R$16=0,0,R$16/AGR!R$5*1000)</f>
        <v>28.744262776359474</v>
      </c>
      <c r="S49" s="263">
        <f>IF(S$16=0,0,S$16/AGR!S$5*1000)</f>
        <v>26.812787879943283</v>
      </c>
      <c r="T49" s="263">
        <f>IF(T$16=0,0,T$16/AGR!T$5*1000)</f>
        <v>29.527795242762636</v>
      </c>
      <c r="U49" s="263">
        <f>IF(U$16=0,0,U$16/AGR!U$5*1000)</f>
        <v>30.925394377111182</v>
      </c>
      <c r="V49" s="263">
        <f>IF(V$16=0,0,V$16/AGR!V$5*1000)</f>
        <v>32.613842413721152</v>
      </c>
      <c r="W49" s="263">
        <f>IF(W$16=0,0,W$16/AGR!W$5*1000)</f>
        <v>30.21376028329512</v>
      </c>
      <c r="DA49" s="285"/>
    </row>
    <row r="50" spans="1:105" x14ac:dyDescent="0.25">
      <c r="A50" s="128" t="s">
        <v>121</v>
      </c>
      <c r="B50" s="263">
        <f>IF(B$17=0,0,B$17/AGR!B$5*1000)</f>
        <v>44.05877248956709</v>
      </c>
      <c r="C50" s="263">
        <f>IF(C$17=0,0,C$17/AGR!C$5*1000)</f>
        <v>42.788279078728593</v>
      </c>
      <c r="D50" s="263">
        <f>IF(D$17=0,0,D$17/AGR!D$5*1000)</f>
        <v>44.017022740910974</v>
      </c>
      <c r="E50" s="263">
        <f>IF(E$17=0,0,E$17/AGR!E$5*1000)</f>
        <v>46.119437441277007</v>
      </c>
      <c r="F50" s="263">
        <f>IF(F$17=0,0,F$17/AGR!F$5*1000)</f>
        <v>45.013887054486503</v>
      </c>
      <c r="G50" s="263">
        <f>IF(G$17=0,0,G$17/AGR!G$5*1000)</f>
        <v>50.605023218828457</v>
      </c>
      <c r="H50" s="263">
        <f>IF(H$17=0,0,H$17/AGR!H$5*1000)</f>
        <v>49.054094752959458</v>
      </c>
      <c r="I50" s="263">
        <f>IF(I$17=0,0,I$17/AGR!I$5*1000)</f>
        <v>45.215296242206804</v>
      </c>
      <c r="J50" s="263">
        <f>IF(J$17=0,0,J$17/AGR!J$5*1000)</f>
        <v>43.354490549113741</v>
      </c>
      <c r="K50" s="263">
        <f>IF(K$17=0,0,K$17/AGR!K$5*1000)</f>
        <v>49.382524412840269</v>
      </c>
      <c r="L50" s="263">
        <f>IF(L$17=0,0,L$17/AGR!L$5*1000)</f>
        <v>45.019564409109201</v>
      </c>
      <c r="M50" s="263">
        <f>IF(M$17=0,0,M$17/AGR!M$5*1000)</f>
        <v>42.961120082336294</v>
      </c>
      <c r="N50" s="263">
        <f>IF(N$17=0,0,N$17/AGR!N$5*1000)</f>
        <v>44.080751982043139</v>
      </c>
      <c r="O50" s="263">
        <f>IF(O$17=0,0,O$17/AGR!O$5*1000)</f>
        <v>41.966502779704086</v>
      </c>
      <c r="P50" s="263">
        <f>IF(P$17=0,0,P$17/AGR!P$5*1000)</f>
        <v>38.991426408467021</v>
      </c>
      <c r="Q50" s="263">
        <f>IF(Q$17=0,0,Q$17/AGR!Q$5*1000)</f>
        <v>41.862323965485665</v>
      </c>
      <c r="R50" s="263">
        <f>IF(R$17=0,0,R$17/AGR!R$5*1000)</f>
        <v>41.920197159036285</v>
      </c>
      <c r="S50" s="263">
        <f>IF(S$17=0,0,S$17/AGR!S$5*1000)</f>
        <v>39.408043998357265</v>
      </c>
      <c r="T50" s="263">
        <f>IF(T$17=0,0,T$17/AGR!T$5*1000)</f>
        <v>43.811869239540847</v>
      </c>
      <c r="U50" s="263">
        <f>IF(U$17=0,0,U$17/AGR!U$5*1000)</f>
        <v>46.358219209403018</v>
      </c>
      <c r="V50" s="263">
        <f>IF(V$17=0,0,V$17/AGR!V$5*1000)</f>
        <v>48.481962460062292</v>
      </c>
      <c r="W50" s="263">
        <f>IF(W$17=0,0,W$17/AGR!W$5*1000)</f>
        <v>44.822744213947587</v>
      </c>
      <c r="DA50" s="285"/>
    </row>
    <row r="51" spans="1:105" x14ac:dyDescent="0.25">
      <c r="A51" s="128" t="s">
        <v>174</v>
      </c>
      <c r="B51" s="263">
        <f>IF(B$25=0,0,B$25/AGR!B$5*1000)</f>
        <v>6.3401573687814787</v>
      </c>
      <c r="C51" s="263">
        <f>IF(C$25=0,0,C$25/AGR!C$5*1000)</f>
        <v>6.1573304831113536</v>
      </c>
      <c r="D51" s="263">
        <f>IF(D$25=0,0,D$25/AGR!D$5*1000)</f>
        <v>6.334149485183505</v>
      </c>
      <c r="E51" s="263">
        <f>IF(E$25=0,0,E$25/AGR!E$5*1000)</f>
        <v>6.6366917327669261</v>
      </c>
      <c r="F51" s="263">
        <f>IF(F$25=0,0,F$25/AGR!F$5*1000)</f>
        <v>6.4776005226559592</v>
      </c>
      <c r="G51" s="263">
        <f>IF(G$25=0,0,G$25/AGR!G$5*1000)</f>
        <v>7.2821777078375787</v>
      </c>
      <c r="H51" s="263">
        <f>IF(H$25=0,0,H$25/AGR!H$5*1000)</f>
        <v>6.8857890106100097</v>
      </c>
      <c r="I51" s="263">
        <f>IF(I$25=0,0,I$25/AGR!I$5*1000)</f>
        <v>6.3537631276067454</v>
      </c>
      <c r="J51" s="263">
        <f>IF(J$25=0,0,J$25/AGR!J$5*1000)</f>
        <v>6.0797961488389554</v>
      </c>
      <c r="K51" s="263">
        <f>IF(K$25=0,0,K$25/AGR!K$5*1000)</f>
        <v>6.8180986175567186</v>
      </c>
      <c r="L51" s="263">
        <f>IF(L$25=0,0,L$25/AGR!L$5*1000)</f>
        <v>6.1611531610781141</v>
      </c>
      <c r="M51" s="263">
        <f>IF(M$25=0,0,M$25/AGR!M$5*1000)</f>
        <v>5.8385414280612506</v>
      </c>
      <c r="N51" s="263">
        <f>IF(N$25=0,0,N$25/AGR!N$5*1000)</f>
        <v>5.9491405066669127</v>
      </c>
      <c r="O51" s="263">
        <f>IF(O$25=0,0,O$25/AGR!O$5*1000)</f>
        <v>5.6729701849864682</v>
      </c>
      <c r="P51" s="263">
        <f>IF(P$25=0,0,P$25/AGR!P$5*1000)</f>
        <v>5.3801495278789062</v>
      </c>
      <c r="Q51" s="263">
        <f>IF(Q$25=0,0,Q$25/AGR!Q$5*1000)</f>
        <v>5.7012638471280841</v>
      </c>
      <c r="R51" s="263">
        <f>IF(R$25=0,0,R$25/AGR!R$5*1000)</f>
        <v>5.5234496392647658</v>
      </c>
      <c r="S51" s="263">
        <f>IF(S$25=0,0,S$25/AGR!S$5*1000)</f>
        <v>5.1523006415373587</v>
      </c>
      <c r="T51" s="263">
        <f>IF(T$25=0,0,T$25/AGR!T$5*1000)</f>
        <v>5.674011932428396</v>
      </c>
      <c r="U51" s="263">
        <f>IF(U$25=0,0,U$25/AGR!U$5*1000)</f>
        <v>5.9425722533006038</v>
      </c>
      <c r="V51" s="263">
        <f>IF(V$25=0,0,V$25/AGR!V$5*1000)</f>
        <v>6.2670216145971773</v>
      </c>
      <c r="W51" s="263">
        <f>IF(W$25=0,0,W$25/AGR!W$5*1000)</f>
        <v>5.8058258316108651</v>
      </c>
      <c r="DA51" s="285"/>
    </row>
    <row r="52" spans="1:105" x14ac:dyDescent="0.25">
      <c r="A52" s="128" t="s">
        <v>177</v>
      </c>
      <c r="B52" s="263">
        <f>IF(B$26=0,0,B$26/AGR!B$5*1000)</f>
        <v>3.6564762935181072</v>
      </c>
      <c r="C52" s="263">
        <f>IF(C$26=0,0,C$26/AGR!C$5*1000)</f>
        <v>3.4751698930106469</v>
      </c>
      <c r="D52" s="263">
        <f>IF(D$26=0,0,D$26/AGR!D$5*1000)</f>
        <v>3.8871185708536111</v>
      </c>
      <c r="E52" s="263">
        <f>IF(E$26=0,0,E$26/AGR!E$5*1000)</f>
        <v>4.3048123640221929</v>
      </c>
      <c r="F52" s="263">
        <f>IF(F$26=0,0,F$26/AGR!F$5*1000)</f>
        <v>4.5870154122612927</v>
      </c>
      <c r="G52" s="263">
        <f>IF(G$26=0,0,G$26/AGR!G$5*1000)</f>
        <v>5.5432794729471278</v>
      </c>
      <c r="H52" s="263">
        <f>IF(H$26=0,0,H$26/AGR!H$5*1000)</f>
        <v>5.1948889912817569</v>
      </c>
      <c r="I52" s="263">
        <f>IF(I$26=0,0,I$26/AGR!I$5*1000)</f>
        <v>5.0138451069804599</v>
      </c>
      <c r="J52" s="263">
        <f>IF(J$26=0,0,J$26/AGR!J$5*1000)</f>
        <v>5.7408641692893658</v>
      </c>
      <c r="K52" s="263">
        <f>IF(K$26=0,0,K$26/AGR!K$5*1000)</f>
        <v>6.3311326120576865</v>
      </c>
      <c r="L52" s="263">
        <f>IF(L$26=0,0,L$26/AGR!L$5*1000)</f>
        <v>6.0327534261683695</v>
      </c>
      <c r="M52" s="263">
        <f>IF(M$26=0,0,M$26/AGR!M$5*1000)</f>
        <v>5.0983838806458088</v>
      </c>
      <c r="N52" s="263">
        <f>IF(N$26=0,0,N$26/AGR!N$5*1000)</f>
        <v>5.110662792749201</v>
      </c>
      <c r="O52" s="263">
        <f>IF(O$26=0,0,O$26/AGR!O$5*1000)</f>
        <v>5.3356494246789747</v>
      </c>
      <c r="P52" s="263">
        <f>IF(P$26=0,0,P$26/AGR!P$5*1000)</f>
        <v>5.5939387267719738</v>
      </c>
      <c r="Q52" s="263">
        <f>IF(Q$26=0,0,Q$26/AGR!Q$5*1000)</f>
        <v>5.2990838590777853</v>
      </c>
      <c r="R52" s="263">
        <f>IF(R$26=0,0,R$26/AGR!R$5*1000)</f>
        <v>5.7057754444204027</v>
      </c>
      <c r="S52" s="263">
        <f>IF(S$26=0,0,S$26/AGR!S$5*1000)</f>
        <v>5.1299414566516566</v>
      </c>
      <c r="T52" s="263">
        <f>IF(T$26=0,0,T$26/AGR!T$5*1000)</f>
        <v>5.993251409370365</v>
      </c>
      <c r="U52" s="263">
        <f>IF(U$26=0,0,U$26/AGR!U$5*1000)</f>
        <v>5.5787242155243382</v>
      </c>
      <c r="V52" s="263">
        <f>IF(V$26=0,0,V$26/AGR!V$5*1000)</f>
        <v>5.8601409008179965</v>
      </c>
      <c r="W52" s="263">
        <f>IF(W$26=0,0,W$26/AGR!W$5*1000)</f>
        <v>5.9774110997436303</v>
      </c>
      <c r="DA52" s="285"/>
    </row>
    <row r="53" spans="1:105" x14ac:dyDescent="0.25">
      <c r="A53" s="261" t="s">
        <v>33</v>
      </c>
      <c r="B53" s="264">
        <f>IF(B$27=0,0,B$27/AGR!B$5*1000)</f>
        <v>5.3018906256012537</v>
      </c>
      <c r="C53" s="264">
        <f>IF(C$27=0,0,C$27/AGR!C$5*1000)</f>
        <v>5.0389963448654376</v>
      </c>
      <c r="D53" s="264">
        <f>IF(D$27=0,0,D$27/AGR!D$5*1000)</f>
        <v>5.6363219277377379</v>
      </c>
      <c r="E53" s="264">
        <f>IF(E$27=0,0,E$27/AGR!E$5*1000)</f>
        <v>6.2419779278321821</v>
      </c>
      <c r="F53" s="264">
        <f>IF(F$27=0,0,F$27/AGR!F$5*1000)</f>
        <v>6.6511723477788713</v>
      </c>
      <c r="G53" s="264">
        <f>IF(G$27=0,0,G$27/AGR!G$5*1000)</f>
        <v>8.0377552357733357</v>
      </c>
      <c r="H53" s="264">
        <f>IF(H$27=0,0,H$27/AGR!H$5*1000)</f>
        <v>7.5325890373585489</v>
      </c>
      <c r="I53" s="264">
        <f>IF(I$27=0,0,I$27/AGR!I$5*1000)</f>
        <v>7.2700754051216618</v>
      </c>
      <c r="J53" s="264">
        <f>IF(J$27=0,0,J$27/AGR!J$5*1000)</f>
        <v>8.3242530454695789</v>
      </c>
      <c r="K53" s="264">
        <f>IF(K$27=0,0,K$27/AGR!K$5*1000)</f>
        <v>9.180142287483644</v>
      </c>
      <c r="L53" s="264">
        <f>IF(L$27=0,0,L$27/AGR!L$5*1000)</f>
        <v>8.7474924679441308</v>
      </c>
      <c r="M53" s="264">
        <f>IF(M$27=0,0,M$27/AGR!M$5*1000)</f>
        <v>7.3926566269364242</v>
      </c>
      <c r="N53" s="264">
        <f>IF(N$27=0,0,N$27/AGR!N$5*1000)</f>
        <v>7.4104610494863454</v>
      </c>
      <c r="O53" s="264">
        <f>IF(O$27=0,0,O$27/AGR!O$5*1000)</f>
        <v>7.7366916657845133</v>
      </c>
      <c r="P53" s="264">
        <f>IF(P$27=0,0,P$27/AGR!P$5*1000)</f>
        <v>8.1112111538193634</v>
      </c>
      <c r="Q53" s="264">
        <f>IF(Q$27=0,0,Q$27/AGR!Q$5*1000)</f>
        <v>7.6836715956627861</v>
      </c>
      <c r="R53" s="264">
        <f>IF(R$27=0,0,R$27/AGR!R$5*1000)</f>
        <v>8.2733743944095846</v>
      </c>
      <c r="S53" s="264">
        <f>IF(S$27=0,0,S$27/AGR!S$5*1000)</f>
        <v>7.4384151121449023</v>
      </c>
      <c r="T53" s="264">
        <f>IF(T$27=0,0,T$27/AGR!T$5*1000)</f>
        <v>8.6902145435870253</v>
      </c>
      <c r="U53" s="264">
        <f>IF(U$27=0,0,U$27/AGR!U$5*1000)</f>
        <v>8.0891501125102891</v>
      </c>
      <c r="V53" s="264">
        <f>IF(V$27=0,0,V$27/AGR!V$5*1000)</f>
        <v>8.4972043061860933</v>
      </c>
      <c r="W53" s="264">
        <f>IF(W$27=0,0,W$27/AGR!W$5*1000)</f>
        <v>8.667246094628263</v>
      </c>
      <c r="DA53" s="286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W5 B9:W9 B17:W17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2" tint="-0.499984740745262"/>
    <pageSetUpPr fitToPage="1"/>
  </sheetPr>
  <dimension ref="A1:DA5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1013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3" spans="1:105" ht="12.75" x14ac:dyDescent="0.25">
      <c r="A3" s="179" t="s">
        <v>133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DA3" s="267"/>
    </row>
    <row r="5" spans="1:105" ht="12.75" x14ac:dyDescent="0.25">
      <c r="A5" s="234" t="s">
        <v>126</v>
      </c>
      <c r="B5" s="80">
        <f t="shared" ref="B5" si="0">SUM(B6:B9,B16:B17,B25:B27)</f>
        <v>16.306993115220035</v>
      </c>
      <c r="C5" s="80">
        <f t="shared" ref="C5:W5" si="1">SUM(C6:C9,C16:C17,C25:C27)</f>
        <v>16.344023259817359</v>
      </c>
      <c r="D5" s="80">
        <f t="shared" si="1"/>
        <v>16.199232053176626</v>
      </c>
      <c r="E5" s="80">
        <f t="shared" si="1"/>
        <v>17.059227191585215</v>
      </c>
      <c r="F5" s="80">
        <f t="shared" si="1"/>
        <v>16.059938955346983</v>
      </c>
      <c r="G5" s="80">
        <f t="shared" si="1"/>
        <v>15.3818199062798</v>
      </c>
      <c r="H5" s="80">
        <f t="shared" si="1"/>
        <v>16.559286210757342</v>
      </c>
      <c r="I5" s="80">
        <f t="shared" si="1"/>
        <v>16.92983519417195</v>
      </c>
      <c r="J5" s="80">
        <f t="shared" si="1"/>
        <v>16.182225480684913</v>
      </c>
      <c r="K5" s="80">
        <f t="shared" si="1"/>
        <v>15.284390317202138</v>
      </c>
      <c r="L5" s="80">
        <f t="shared" si="1"/>
        <v>15.618005849092816</v>
      </c>
      <c r="M5" s="80">
        <f t="shared" si="1"/>
        <v>16.054021383665791</v>
      </c>
      <c r="N5" s="80">
        <f t="shared" si="1"/>
        <v>15.453522258195177</v>
      </c>
      <c r="O5" s="80">
        <f t="shared" si="1"/>
        <v>15.755920639340749</v>
      </c>
      <c r="P5" s="80">
        <f t="shared" si="1"/>
        <v>15.190019247272325</v>
      </c>
      <c r="Q5" s="80">
        <f t="shared" si="1"/>
        <v>16.190137084510667</v>
      </c>
      <c r="R5" s="80">
        <f t="shared" si="1"/>
        <v>17.686133747741046</v>
      </c>
      <c r="S5" s="80">
        <f t="shared" si="1"/>
        <v>18.185798435014298</v>
      </c>
      <c r="T5" s="80">
        <f t="shared" si="1"/>
        <v>17.954092519143074</v>
      </c>
      <c r="U5" s="80">
        <f t="shared" si="1"/>
        <v>17.760805054826935</v>
      </c>
      <c r="V5" s="80">
        <f t="shared" si="1"/>
        <v>18.39705729061421</v>
      </c>
      <c r="W5" s="80">
        <f t="shared" si="1"/>
        <v>19.060866894559325</v>
      </c>
      <c r="DA5" s="103"/>
    </row>
    <row r="6" spans="1:105" x14ac:dyDescent="0.25">
      <c r="A6" s="239" t="s">
        <v>125</v>
      </c>
      <c r="B6" s="240">
        <v>0.56205041880713036</v>
      </c>
      <c r="C6" s="240">
        <v>0.55479989520111483</v>
      </c>
      <c r="D6" s="240">
        <v>0.58260625628401408</v>
      </c>
      <c r="E6" s="240">
        <v>0.63613083242163893</v>
      </c>
      <c r="F6" s="240">
        <v>0.63175022705788064</v>
      </c>
      <c r="G6" s="240">
        <v>0.629886788278603</v>
      </c>
      <c r="H6" s="240">
        <v>0.66977406140536455</v>
      </c>
      <c r="I6" s="240">
        <v>0.70077290869506037</v>
      </c>
      <c r="J6" s="240">
        <v>0.72461166892320183</v>
      </c>
      <c r="K6" s="240">
        <v>0.67541269373683011</v>
      </c>
      <c r="L6" s="240">
        <v>0.7020007442483498</v>
      </c>
      <c r="M6" s="240">
        <v>0.68054043610694692</v>
      </c>
      <c r="N6" s="240">
        <v>0.64797367480632229</v>
      </c>
      <c r="O6" s="240">
        <v>0.68601086781820042</v>
      </c>
      <c r="P6" s="240">
        <v>0.69114504242809283</v>
      </c>
      <c r="Q6" s="240">
        <v>0.70152807603651302</v>
      </c>
      <c r="R6" s="240">
        <v>0.79151682465381912</v>
      </c>
      <c r="S6" s="240">
        <v>0.80034094295294156</v>
      </c>
      <c r="T6" s="240">
        <v>0.80486639031083618</v>
      </c>
      <c r="U6" s="240">
        <v>0.75867622777641652</v>
      </c>
      <c r="V6" s="240">
        <v>0.7901744203470833</v>
      </c>
      <c r="W6" s="240">
        <v>0.85097099936036003</v>
      </c>
      <c r="DA6" s="268" t="s">
        <v>1014</v>
      </c>
    </row>
    <row r="7" spans="1:105" x14ac:dyDescent="0.25">
      <c r="A7" s="241" t="s">
        <v>124</v>
      </c>
      <c r="B7" s="242">
        <v>0.36227417475219598</v>
      </c>
      <c r="C7" s="242">
        <v>0.3576007907140426</v>
      </c>
      <c r="D7" s="242">
        <v>0.37552360720361772</v>
      </c>
      <c r="E7" s="242">
        <v>0.41002330865455272</v>
      </c>
      <c r="F7" s="242">
        <v>0.40719975379191498</v>
      </c>
      <c r="G7" s="242">
        <v>0.40599865915098071</v>
      </c>
      <c r="H7" s="242">
        <v>0.43170832588476088</v>
      </c>
      <c r="I7" s="242">
        <v>0.45168888535837193</v>
      </c>
      <c r="J7" s="242">
        <v>0.46705435240507309</v>
      </c>
      <c r="K7" s="242">
        <v>0.4353427522747424</v>
      </c>
      <c r="L7" s="242">
        <v>0.45248029676367502</v>
      </c>
      <c r="M7" s="242">
        <v>0.43864788037947461</v>
      </c>
      <c r="N7" s="242">
        <v>0.4176567091611072</v>
      </c>
      <c r="O7" s="242">
        <v>0.44217389168988103</v>
      </c>
      <c r="P7" s="242">
        <v>0.44548316574714442</v>
      </c>
      <c r="Q7" s="242">
        <v>0.45217563461834992</v>
      </c>
      <c r="R7" s="242">
        <v>0.51017861540343201</v>
      </c>
      <c r="S7" s="242">
        <v>0.5158662727163027</v>
      </c>
      <c r="T7" s="242">
        <v>0.51878318666584688</v>
      </c>
      <c r="U7" s="242">
        <v>0.48901094123394939</v>
      </c>
      <c r="V7" s="242">
        <v>0.50931335777505282</v>
      </c>
      <c r="W7" s="242">
        <v>0.54850028790231165</v>
      </c>
      <c r="DA7" s="269" t="s">
        <v>1015</v>
      </c>
    </row>
    <row r="8" spans="1:105" x14ac:dyDescent="0.25">
      <c r="A8" s="241" t="s">
        <v>123</v>
      </c>
      <c r="B8" s="242">
        <v>0.71992291704629929</v>
      </c>
      <c r="C8" s="242">
        <v>0.71063581765113459</v>
      </c>
      <c r="D8" s="242">
        <v>0.74625261627523243</v>
      </c>
      <c r="E8" s="242">
        <v>0.81481153500791048</v>
      </c>
      <c r="F8" s="242">
        <v>0.8092004757748279</v>
      </c>
      <c r="G8" s="242">
        <v>0.80681362179015881</v>
      </c>
      <c r="H8" s="242">
        <v>0.85790470020868481</v>
      </c>
      <c r="I8" s="242">
        <v>0.89761071201672626</v>
      </c>
      <c r="J8" s="242">
        <v>0.9281454633983458</v>
      </c>
      <c r="K8" s="242">
        <v>0.86512714947726821</v>
      </c>
      <c r="L8" s="242">
        <v>0.8991834302704611</v>
      </c>
      <c r="M8" s="242">
        <v>0.8716952065793182</v>
      </c>
      <c r="N8" s="242">
        <v>0.82998087453761948</v>
      </c>
      <c r="O8" s="242">
        <v>0.87870220990728776</v>
      </c>
      <c r="P8" s="242">
        <v>0.8852785059798417</v>
      </c>
      <c r="Q8" s="242">
        <v>0.89857799583526832</v>
      </c>
      <c r="R8" s="242">
        <v>1.0138433888286831</v>
      </c>
      <c r="S8" s="242">
        <v>1.0251460847678631</v>
      </c>
      <c r="T8" s="242">
        <v>1.0309426701876361</v>
      </c>
      <c r="U8" s="242">
        <v>0.9717783044334084</v>
      </c>
      <c r="V8" s="242">
        <v>1.0121239209802071</v>
      </c>
      <c r="W8" s="242">
        <v>1.089997451619269</v>
      </c>
      <c r="DA8" s="269" t="s">
        <v>1016</v>
      </c>
    </row>
    <row r="9" spans="1:105" x14ac:dyDescent="0.25">
      <c r="A9" s="243" t="s">
        <v>122</v>
      </c>
      <c r="B9" s="244">
        <f t="shared" ref="B9" si="2">SUM(B10:B15)</f>
        <v>5.2080707713757644</v>
      </c>
      <c r="C9" s="244">
        <f t="shared" ref="C9:W9" si="3">SUM(C10:C15)</f>
        <v>5.2148498480887522</v>
      </c>
      <c r="D9" s="244">
        <f t="shared" si="3"/>
        <v>5.1968122160604988</v>
      </c>
      <c r="E9" s="244">
        <f t="shared" si="3"/>
        <v>5.5073949689222275</v>
      </c>
      <c r="F9" s="244">
        <f t="shared" si="3"/>
        <v>5.2634118326212036</v>
      </c>
      <c r="G9" s="244">
        <f t="shared" si="3"/>
        <v>5.1293107556190787</v>
      </c>
      <c r="H9" s="244">
        <f t="shared" si="3"/>
        <v>5.4931291863620721</v>
      </c>
      <c r="I9" s="244">
        <f t="shared" si="3"/>
        <v>5.6912331479710154</v>
      </c>
      <c r="J9" s="244">
        <f t="shared" si="3"/>
        <v>5.8186563410439049</v>
      </c>
      <c r="K9" s="244">
        <f t="shared" si="3"/>
        <v>5.4623209049118859</v>
      </c>
      <c r="L9" s="244">
        <f t="shared" si="3"/>
        <v>5.7027052492736363</v>
      </c>
      <c r="M9" s="244">
        <f t="shared" si="3"/>
        <v>5.6920801147704179</v>
      </c>
      <c r="N9" s="244">
        <f t="shared" si="3"/>
        <v>5.4541368971582873</v>
      </c>
      <c r="O9" s="244">
        <f t="shared" si="3"/>
        <v>5.7711161433316622</v>
      </c>
      <c r="P9" s="244">
        <f t="shared" si="3"/>
        <v>5.7942947636761044</v>
      </c>
      <c r="Q9" s="244">
        <f t="shared" si="3"/>
        <v>5.9355427196562385</v>
      </c>
      <c r="R9" s="244">
        <f t="shared" si="3"/>
        <v>6.7177017127199568</v>
      </c>
      <c r="S9" s="244">
        <f t="shared" si="3"/>
        <v>6.8126149495905093</v>
      </c>
      <c r="T9" s="244">
        <f t="shared" si="3"/>
        <v>6.8849058927252216</v>
      </c>
      <c r="U9" s="244">
        <f t="shared" si="3"/>
        <v>6.492242400154141</v>
      </c>
      <c r="V9" s="244">
        <f t="shared" si="3"/>
        <v>6.6649764132734814</v>
      </c>
      <c r="W9" s="244">
        <f t="shared" si="3"/>
        <v>7.1663720529872581</v>
      </c>
      <c r="DA9" s="270"/>
    </row>
    <row r="10" spans="1:105" x14ac:dyDescent="0.25">
      <c r="A10" s="254" t="s">
        <v>173</v>
      </c>
      <c r="B10" s="255">
        <v>4.0313001853493979</v>
      </c>
      <c r="C10" s="255">
        <v>4.1034448356250453</v>
      </c>
      <c r="D10" s="255">
        <v>3.8133523039973531</v>
      </c>
      <c r="E10" s="255">
        <v>3.8205181867103279</v>
      </c>
      <c r="F10" s="255">
        <v>3.2785375927348621</v>
      </c>
      <c r="G10" s="255">
        <v>2.8687378036270061</v>
      </c>
      <c r="H10" s="255">
        <v>3.067522135199412</v>
      </c>
      <c r="I10" s="255">
        <v>2.9325166288146751</v>
      </c>
      <c r="J10" s="255">
        <v>2.064499630807739</v>
      </c>
      <c r="K10" s="255">
        <v>1.914132135358865</v>
      </c>
      <c r="L10" s="255">
        <v>1.7155423692744229</v>
      </c>
      <c r="M10" s="255">
        <v>2.016599488467516</v>
      </c>
      <c r="N10" s="255">
        <v>1.9489774120409249</v>
      </c>
      <c r="O10" s="255">
        <v>1.6828884935275339</v>
      </c>
      <c r="P10" s="255">
        <v>1.341945244789065</v>
      </c>
      <c r="Q10" s="255">
        <v>1.7784269700493409</v>
      </c>
      <c r="R10" s="255">
        <v>1.5314443624002521</v>
      </c>
      <c r="S10" s="255">
        <v>1.6795945502148231</v>
      </c>
      <c r="T10" s="255">
        <v>1.4480222457342271</v>
      </c>
      <c r="U10" s="255">
        <v>1.777806845422462</v>
      </c>
      <c r="V10" s="255">
        <v>1.9104546926648029</v>
      </c>
      <c r="W10" s="255">
        <v>1.644318568927488</v>
      </c>
      <c r="DA10" s="271" t="s">
        <v>1017</v>
      </c>
    </row>
    <row r="11" spans="1:105" x14ac:dyDescent="0.25">
      <c r="A11" s="254" t="s">
        <v>176</v>
      </c>
      <c r="B11" s="256">
        <v>0</v>
      </c>
      <c r="C11" s="256">
        <v>0</v>
      </c>
      <c r="D11" s="256">
        <v>0</v>
      </c>
      <c r="E11" s="256">
        <v>0</v>
      </c>
      <c r="F11" s="256">
        <v>0</v>
      </c>
      <c r="G11" s="256">
        <v>0</v>
      </c>
      <c r="H11" s="256">
        <v>0</v>
      </c>
      <c r="I11" s="256">
        <v>2.4537965207459159E-2</v>
      </c>
      <c r="J11" s="256">
        <v>0</v>
      </c>
      <c r="K11" s="256">
        <v>0.1412121532374718</v>
      </c>
      <c r="L11" s="256">
        <v>0.2176892102290057</v>
      </c>
      <c r="M11" s="256">
        <v>0.36683641680222739</v>
      </c>
      <c r="N11" s="256">
        <v>0.42639936599237599</v>
      </c>
      <c r="O11" s="256">
        <v>0.34079274307429092</v>
      </c>
      <c r="P11" s="256">
        <v>0.31710801570579328</v>
      </c>
      <c r="Q11" s="256">
        <v>0.28398808031102252</v>
      </c>
      <c r="R11" s="256">
        <v>0.31082410876038391</v>
      </c>
      <c r="S11" s="256">
        <v>0.32996263086412869</v>
      </c>
      <c r="T11" s="256">
        <v>0.31144101015808479</v>
      </c>
      <c r="U11" s="256">
        <v>0.44201512232634271</v>
      </c>
      <c r="V11" s="256">
        <v>0.50032051155047574</v>
      </c>
      <c r="W11" s="256">
        <v>0.45177697399044792</v>
      </c>
      <c r="DA11" s="272" t="s">
        <v>1018</v>
      </c>
    </row>
    <row r="12" spans="1:105" x14ac:dyDescent="0.25">
      <c r="A12" s="254" t="s">
        <v>158</v>
      </c>
      <c r="B12" s="256">
        <v>0</v>
      </c>
      <c r="C12" s="256">
        <v>0</v>
      </c>
      <c r="D12" s="256">
        <v>0</v>
      </c>
      <c r="E12" s="256">
        <v>0</v>
      </c>
      <c r="F12" s="256">
        <v>0</v>
      </c>
      <c r="G12" s="256">
        <v>0</v>
      </c>
      <c r="H12" s="256">
        <v>0</v>
      </c>
      <c r="I12" s="256">
        <v>0</v>
      </c>
      <c r="J12" s="256">
        <v>0</v>
      </c>
      <c r="K12" s="256">
        <v>0</v>
      </c>
      <c r="L12" s="256">
        <v>0</v>
      </c>
      <c r="M12" s="256">
        <v>0</v>
      </c>
      <c r="N12" s="256">
        <v>0</v>
      </c>
      <c r="O12" s="256">
        <v>0</v>
      </c>
      <c r="P12" s="256">
        <v>0</v>
      </c>
      <c r="Q12" s="256">
        <v>0</v>
      </c>
      <c r="R12" s="256">
        <v>0</v>
      </c>
      <c r="S12" s="256">
        <v>0</v>
      </c>
      <c r="T12" s="256">
        <v>0</v>
      </c>
      <c r="U12" s="256">
        <v>0</v>
      </c>
      <c r="V12" s="256">
        <v>0</v>
      </c>
      <c r="W12" s="256">
        <v>0</v>
      </c>
      <c r="DA12" s="272" t="s">
        <v>1019</v>
      </c>
    </row>
    <row r="13" spans="1:105" x14ac:dyDescent="0.25">
      <c r="A13" s="254" t="s">
        <v>157</v>
      </c>
      <c r="B13" s="256">
        <v>0</v>
      </c>
      <c r="C13" s="256">
        <v>0</v>
      </c>
      <c r="D13" s="256">
        <v>0</v>
      </c>
      <c r="E13" s="256">
        <v>0</v>
      </c>
      <c r="F13" s="256">
        <v>0</v>
      </c>
      <c r="G13" s="256">
        <v>0</v>
      </c>
      <c r="H13" s="256">
        <v>0</v>
      </c>
      <c r="I13" s="256">
        <v>0</v>
      </c>
      <c r="J13" s="256">
        <v>0</v>
      </c>
      <c r="K13" s="256">
        <v>0</v>
      </c>
      <c r="L13" s="256">
        <v>0</v>
      </c>
      <c r="M13" s="256">
        <v>0</v>
      </c>
      <c r="N13" s="256">
        <v>0</v>
      </c>
      <c r="O13" s="256">
        <v>0</v>
      </c>
      <c r="P13" s="256">
        <v>0</v>
      </c>
      <c r="Q13" s="256">
        <v>0</v>
      </c>
      <c r="R13" s="256">
        <v>0</v>
      </c>
      <c r="S13" s="256">
        <v>0</v>
      </c>
      <c r="T13" s="256">
        <v>0</v>
      </c>
      <c r="U13" s="256">
        <v>0</v>
      </c>
      <c r="V13" s="256">
        <v>0</v>
      </c>
      <c r="W13" s="256">
        <v>0</v>
      </c>
      <c r="DA13" s="272" t="s">
        <v>1020</v>
      </c>
    </row>
    <row r="14" spans="1:105" x14ac:dyDescent="0.25">
      <c r="A14" s="254" t="s">
        <v>169</v>
      </c>
      <c r="B14" s="255">
        <v>0</v>
      </c>
      <c r="C14" s="255">
        <v>0</v>
      </c>
      <c r="D14" s="255">
        <v>0</v>
      </c>
      <c r="E14" s="255">
        <v>0</v>
      </c>
      <c r="F14" s="255">
        <v>0</v>
      </c>
      <c r="G14" s="255">
        <v>0</v>
      </c>
      <c r="H14" s="255">
        <v>0</v>
      </c>
      <c r="I14" s="255">
        <v>0</v>
      </c>
      <c r="J14" s="255">
        <v>0</v>
      </c>
      <c r="K14" s="255">
        <v>5.9353624624052373E-2</v>
      </c>
      <c r="L14" s="255">
        <v>7.4205386680297733E-2</v>
      </c>
      <c r="M14" s="255">
        <v>0.46003065854288122</v>
      </c>
      <c r="N14" s="255">
        <v>0.46003065854386987</v>
      </c>
      <c r="O14" s="255">
        <v>0.62329319395321614</v>
      </c>
      <c r="P14" s="255">
        <v>0.66779505652426985</v>
      </c>
      <c r="Q14" s="255">
        <v>0.75685220527303831</v>
      </c>
      <c r="R14" s="255">
        <v>0.74200044320092895</v>
      </c>
      <c r="S14" s="255">
        <v>0.79969793609053019</v>
      </c>
      <c r="T14" s="255">
        <v>0.79911027644735377</v>
      </c>
      <c r="U14" s="255">
        <v>0.76385069746439116</v>
      </c>
      <c r="V14" s="255">
        <v>0.55079736262986612</v>
      </c>
      <c r="W14" s="255">
        <v>0.55175898750312358</v>
      </c>
      <c r="DA14" s="271" t="s">
        <v>1021</v>
      </c>
    </row>
    <row r="15" spans="1:105" x14ac:dyDescent="0.25">
      <c r="A15" s="254" t="s">
        <v>24</v>
      </c>
      <c r="B15" s="256">
        <v>1.176770586026366</v>
      </c>
      <c r="C15" s="256">
        <v>1.1114050124637069</v>
      </c>
      <c r="D15" s="256">
        <v>1.3834599120631459</v>
      </c>
      <c r="E15" s="256">
        <v>1.6868767822118991</v>
      </c>
      <c r="F15" s="256">
        <v>1.984874239886341</v>
      </c>
      <c r="G15" s="256">
        <v>2.2605729519920721</v>
      </c>
      <c r="H15" s="256">
        <v>2.4256070511626602</v>
      </c>
      <c r="I15" s="256">
        <v>2.734178553948881</v>
      </c>
      <c r="J15" s="256">
        <v>3.7541567102361659</v>
      </c>
      <c r="K15" s="256">
        <v>3.3476229916914968</v>
      </c>
      <c r="L15" s="256">
        <v>3.6952682830899102</v>
      </c>
      <c r="M15" s="256">
        <v>2.848613550957793</v>
      </c>
      <c r="N15" s="256">
        <v>2.618729460581116</v>
      </c>
      <c r="O15" s="256">
        <v>3.124141712776622</v>
      </c>
      <c r="P15" s="256">
        <v>3.4674464466569761</v>
      </c>
      <c r="Q15" s="256">
        <v>3.1162754640228369</v>
      </c>
      <c r="R15" s="256">
        <v>4.1334327983583918</v>
      </c>
      <c r="S15" s="256">
        <v>4.0033598324210278</v>
      </c>
      <c r="T15" s="256">
        <v>4.3263323603855559</v>
      </c>
      <c r="U15" s="256">
        <v>3.508569734940945</v>
      </c>
      <c r="V15" s="256">
        <v>3.703403846428337</v>
      </c>
      <c r="W15" s="256">
        <v>4.5185175225661984</v>
      </c>
      <c r="DA15" s="272" t="s">
        <v>1022</v>
      </c>
    </row>
    <row r="16" spans="1:105" x14ac:dyDescent="0.25">
      <c r="A16" s="257" t="s">
        <v>175</v>
      </c>
      <c r="B16" s="258">
        <v>3.6292037008536502</v>
      </c>
      <c r="C16" s="258">
        <v>3.6605941992311219</v>
      </c>
      <c r="D16" s="258">
        <v>3.535366625743646</v>
      </c>
      <c r="E16" s="258">
        <v>3.6520999836337609</v>
      </c>
      <c r="F16" s="258">
        <v>3.3222182711623089</v>
      </c>
      <c r="G16" s="258">
        <v>3.081454724514757</v>
      </c>
      <c r="H16" s="258">
        <v>3.3060130061906192</v>
      </c>
      <c r="I16" s="258">
        <v>3.3070153033536491</v>
      </c>
      <c r="J16" s="258">
        <v>2.8576949262620719</v>
      </c>
      <c r="K16" s="258">
        <v>2.7086312239787582</v>
      </c>
      <c r="L16" s="258">
        <v>2.6698250062960578</v>
      </c>
      <c r="M16" s="258">
        <v>2.902181454579098</v>
      </c>
      <c r="N16" s="258">
        <v>2.8088798036163398</v>
      </c>
      <c r="O16" s="258">
        <v>2.716145331948066</v>
      </c>
      <c r="P16" s="258">
        <v>2.475395698215733</v>
      </c>
      <c r="Q16" s="258">
        <v>2.8106980875084822</v>
      </c>
      <c r="R16" s="258">
        <v>2.853347508496642</v>
      </c>
      <c r="S16" s="258">
        <v>2.993385261590209</v>
      </c>
      <c r="T16" s="258">
        <v>2.8375945072648801</v>
      </c>
      <c r="U16" s="258">
        <v>3.0095034684611681</v>
      </c>
      <c r="V16" s="258">
        <v>3.146841685524933</v>
      </c>
      <c r="W16" s="258">
        <v>3.07797034447692</v>
      </c>
      <c r="DA16" s="273" t="s">
        <v>1023</v>
      </c>
    </row>
    <row r="17" spans="1:105" x14ac:dyDescent="0.25">
      <c r="A17" s="257" t="s">
        <v>121</v>
      </c>
      <c r="B17" s="258">
        <f t="shared" ref="B17" si="4">SUM(B18:B24)</f>
        <v>3.9305293421672838</v>
      </c>
      <c r="C17" s="258">
        <f t="shared" ref="C17:W17" si="5">SUM(C18:C24)</f>
        <v>3.9645261318511729</v>
      </c>
      <c r="D17" s="258">
        <f t="shared" si="5"/>
        <v>3.828901159374384</v>
      </c>
      <c r="E17" s="258">
        <f t="shared" si="5"/>
        <v>3.9553266582486661</v>
      </c>
      <c r="F17" s="258">
        <f t="shared" si="5"/>
        <v>3.5980555163702279</v>
      </c>
      <c r="G17" s="258">
        <f t="shared" si="5"/>
        <v>3.3373018462469801</v>
      </c>
      <c r="H17" s="258">
        <f t="shared" si="5"/>
        <v>3.6796627237496775</v>
      </c>
      <c r="I17" s="258">
        <f t="shared" si="5"/>
        <v>3.6826971702651399</v>
      </c>
      <c r="J17" s="258">
        <f t="shared" si="5"/>
        <v>3.1880172995156797</v>
      </c>
      <c r="K17" s="258">
        <f t="shared" si="5"/>
        <v>3.0827025880935555</v>
      </c>
      <c r="L17" s="258">
        <f t="shared" si="5"/>
        <v>3.0756298635529831</v>
      </c>
      <c r="M17" s="258">
        <f t="shared" si="5"/>
        <v>3.3751542877528653</v>
      </c>
      <c r="N17" s="258">
        <f t="shared" si="5"/>
        <v>3.2952348018091899</v>
      </c>
      <c r="O17" s="258">
        <f t="shared" si="5"/>
        <v>3.1793819406971253</v>
      </c>
      <c r="P17" s="258">
        <f t="shared" si="5"/>
        <v>2.8355647558297972</v>
      </c>
      <c r="Q17" s="258">
        <f t="shared" si="5"/>
        <v>3.2576674134756076</v>
      </c>
      <c r="R17" s="258">
        <f t="shared" si="5"/>
        <v>3.4346259170716147</v>
      </c>
      <c r="S17" s="258">
        <f t="shared" si="5"/>
        <v>3.6326023705008978</v>
      </c>
      <c r="T17" s="258">
        <f t="shared" si="5"/>
        <v>3.4807859715186371</v>
      </c>
      <c r="U17" s="258">
        <f t="shared" si="5"/>
        <v>3.7358670795150646</v>
      </c>
      <c r="V17" s="258">
        <f t="shared" si="5"/>
        <v>3.8725895138558135</v>
      </c>
      <c r="W17" s="258">
        <f t="shared" si="5"/>
        <v>3.7831119532541102</v>
      </c>
      <c r="DA17" s="273"/>
    </row>
    <row r="18" spans="1:105" x14ac:dyDescent="0.25">
      <c r="A18" s="61" t="s">
        <v>29</v>
      </c>
      <c r="B18" s="55">
        <v>0</v>
      </c>
      <c r="C18" s="55">
        <v>0</v>
      </c>
      <c r="D18" s="55">
        <v>0</v>
      </c>
      <c r="E18" s="55">
        <v>0</v>
      </c>
      <c r="F18" s="55">
        <v>0</v>
      </c>
      <c r="G18" s="55">
        <v>0</v>
      </c>
      <c r="H18" s="55">
        <v>0</v>
      </c>
      <c r="I18" s="55">
        <v>0</v>
      </c>
      <c r="J18" s="55">
        <v>0</v>
      </c>
      <c r="K18" s="55">
        <v>0</v>
      </c>
      <c r="L18" s="55">
        <v>0</v>
      </c>
      <c r="M18" s="55">
        <v>0</v>
      </c>
      <c r="N18" s="55">
        <v>0</v>
      </c>
      <c r="O18" s="55">
        <v>0</v>
      </c>
      <c r="P18" s="55">
        <v>0</v>
      </c>
      <c r="Q18" s="55">
        <v>0</v>
      </c>
      <c r="R18" s="55">
        <v>0</v>
      </c>
      <c r="S18" s="55">
        <v>0</v>
      </c>
      <c r="T18" s="55">
        <v>0</v>
      </c>
      <c r="U18" s="55">
        <v>0</v>
      </c>
      <c r="V18" s="55">
        <v>0</v>
      </c>
      <c r="W18" s="55">
        <v>0</v>
      </c>
      <c r="DA18" s="101" t="s">
        <v>1024</v>
      </c>
    </row>
    <row r="19" spans="1:105" x14ac:dyDescent="0.25">
      <c r="A19" s="61" t="s">
        <v>27</v>
      </c>
      <c r="B19" s="55">
        <v>0</v>
      </c>
      <c r="C19" s="55">
        <v>0</v>
      </c>
      <c r="D19" s="55">
        <v>0</v>
      </c>
      <c r="E19" s="55">
        <v>0</v>
      </c>
      <c r="F19" s="55">
        <v>0</v>
      </c>
      <c r="G19" s="55">
        <v>0</v>
      </c>
      <c r="H19" s="55">
        <v>0.29174887704962432</v>
      </c>
      <c r="I19" s="55">
        <v>0.29174887705118452</v>
      </c>
      <c r="J19" s="55">
        <v>0.29174887705141772</v>
      </c>
      <c r="K19" s="55">
        <v>0.29174887704971852</v>
      </c>
      <c r="L19" s="55">
        <v>0.29174887705392438</v>
      </c>
      <c r="M19" s="55">
        <v>0.29174887704796099</v>
      </c>
      <c r="N19" s="55">
        <v>0.29174887704726521</v>
      </c>
      <c r="O19" s="55">
        <v>0.29174887705388541</v>
      </c>
      <c r="P19" s="55">
        <v>0</v>
      </c>
      <c r="Q19" s="55">
        <v>0.29174887704527808</v>
      </c>
      <c r="R19" s="55">
        <v>0.58349775410391447</v>
      </c>
      <c r="S19" s="55">
        <v>0.70720069907456962</v>
      </c>
      <c r="T19" s="55">
        <v>0.73810978170961061</v>
      </c>
      <c r="U19" s="55">
        <v>0.8341011353479848</v>
      </c>
      <c r="V19" s="55">
        <v>0.75212101097858308</v>
      </c>
      <c r="W19" s="55">
        <v>0.7034036781469245</v>
      </c>
      <c r="DA19" s="101" t="s">
        <v>1025</v>
      </c>
    </row>
    <row r="20" spans="1:105" x14ac:dyDescent="0.25">
      <c r="A20" s="61" t="s">
        <v>173</v>
      </c>
      <c r="B20" s="55">
        <v>3.9305293421672838</v>
      </c>
      <c r="C20" s="55">
        <v>3.9645261318511729</v>
      </c>
      <c r="D20" s="55">
        <v>3.828901159374384</v>
      </c>
      <c r="E20" s="55">
        <v>3.9553266582486661</v>
      </c>
      <c r="F20" s="55">
        <v>3.5980555163702279</v>
      </c>
      <c r="G20" s="55">
        <v>3.3373018462469801</v>
      </c>
      <c r="H20" s="55">
        <v>3.362198450096014</v>
      </c>
      <c r="I20" s="55">
        <v>3.3634781504412952</v>
      </c>
      <c r="J20" s="55">
        <v>2.8911216404225288</v>
      </c>
      <c r="K20" s="55">
        <v>2.591136642398852</v>
      </c>
      <c r="L20" s="55">
        <v>2.4707916049470979</v>
      </c>
      <c r="M20" s="55">
        <v>2.610798245203839</v>
      </c>
      <c r="N20" s="55">
        <v>2.4660952654754928</v>
      </c>
      <c r="O20" s="55">
        <v>2.403496689434212</v>
      </c>
      <c r="P20" s="55">
        <v>2.2989211724180501</v>
      </c>
      <c r="Q20" s="55">
        <v>2.5537282079312029</v>
      </c>
      <c r="R20" s="55">
        <v>2.3683011615531169</v>
      </c>
      <c r="S20" s="55">
        <v>2.4397981992546089</v>
      </c>
      <c r="T20" s="55">
        <v>2.251733538338438</v>
      </c>
      <c r="U20" s="55">
        <v>2.3191833230415591</v>
      </c>
      <c r="V20" s="55">
        <v>2.4694645569499412</v>
      </c>
      <c r="W20" s="55">
        <v>2.4227849726390329</v>
      </c>
      <c r="DA20" s="101" t="s">
        <v>1026</v>
      </c>
    </row>
    <row r="21" spans="1:105" x14ac:dyDescent="0.25">
      <c r="A21" s="61" t="s">
        <v>129</v>
      </c>
      <c r="B21" s="55">
        <v>0</v>
      </c>
      <c r="C21" s="55">
        <v>0</v>
      </c>
      <c r="D21" s="55">
        <v>0</v>
      </c>
      <c r="E21" s="55">
        <v>0</v>
      </c>
      <c r="F21" s="55">
        <v>0</v>
      </c>
      <c r="G21" s="55">
        <v>0</v>
      </c>
      <c r="H21" s="55">
        <v>0</v>
      </c>
      <c r="I21" s="55">
        <v>0</v>
      </c>
      <c r="J21" s="55">
        <v>0</v>
      </c>
      <c r="K21" s="55">
        <v>0</v>
      </c>
      <c r="L21" s="55">
        <v>0</v>
      </c>
      <c r="M21" s="55">
        <v>0</v>
      </c>
      <c r="N21" s="55">
        <v>0</v>
      </c>
      <c r="O21" s="55">
        <v>0</v>
      </c>
      <c r="P21" s="55">
        <v>0</v>
      </c>
      <c r="Q21" s="55">
        <v>0</v>
      </c>
      <c r="R21" s="55">
        <v>0</v>
      </c>
      <c r="S21" s="55">
        <v>0</v>
      </c>
      <c r="T21" s="55">
        <v>0</v>
      </c>
      <c r="U21" s="55">
        <v>0</v>
      </c>
      <c r="V21" s="55">
        <v>0</v>
      </c>
      <c r="W21" s="55">
        <v>0</v>
      </c>
      <c r="DA21" s="101" t="s">
        <v>1027</v>
      </c>
    </row>
    <row r="22" spans="1:105" x14ac:dyDescent="0.25">
      <c r="A22" s="61" t="s">
        <v>176</v>
      </c>
      <c r="B22" s="55">
        <v>0</v>
      </c>
      <c r="C22" s="55">
        <v>0</v>
      </c>
      <c r="D22" s="55">
        <v>0</v>
      </c>
      <c r="E22" s="55">
        <v>0</v>
      </c>
      <c r="F22" s="55">
        <v>0</v>
      </c>
      <c r="G22" s="55">
        <v>0</v>
      </c>
      <c r="H22" s="55">
        <v>0</v>
      </c>
      <c r="I22" s="55">
        <v>2.747014277265989E-2</v>
      </c>
      <c r="J22" s="55">
        <v>0</v>
      </c>
      <c r="K22" s="55">
        <v>0.186579841451397</v>
      </c>
      <c r="L22" s="55">
        <v>0.30601718464563432</v>
      </c>
      <c r="M22" s="55">
        <v>0.46355401291697351</v>
      </c>
      <c r="N22" s="55">
        <v>0.52661574148698642</v>
      </c>
      <c r="O22" s="55">
        <v>0.47506470802028561</v>
      </c>
      <c r="P22" s="55">
        <v>0.53023787626630359</v>
      </c>
      <c r="Q22" s="55">
        <v>0.39802742108242628</v>
      </c>
      <c r="R22" s="55">
        <v>0.46916396131815991</v>
      </c>
      <c r="S22" s="55">
        <v>0.46783041188385482</v>
      </c>
      <c r="T22" s="55">
        <v>0.47270675107126869</v>
      </c>
      <c r="U22" s="55">
        <v>0.56281009155552375</v>
      </c>
      <c r="V22" s="55">
        <v>0.63123141635736713</v>
      </c>
      <c r="W22" s="55">
        <v>0.64972151033066883</v>
      </c>
      <c r="DA22" s="101" t="s">
        <v>1028</v>
      </c>
    </row>
    <row r="23" spans="1:105" x14ac:dyDescent="0.25">
      <c r="A23" s="61" t="s">
        <v>171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2.5715396604039351E-2</v>
      </c>
      <c r="I23" s="55">
        <v>0</v>
      </c>
      <c r="J23" s="55">
        <v>5.1467820417328159E-3</v>
      </c>
      <c r="K23" s="55">
        <v>1.323722719358824E-2</v>
      </c>
      <c r="L23" s="55">
        <v>7.072196906326724E-3</v>
      </c>
      <c r="M23" s="55">
        <v>9.0531525840918305E-3</v>
      </c>
      <c r="N23" s="55">
        <v>1.077491779944556E-2</v>
      </c>
      <c r="O23" s="55">
        <v>9.071666188742486E-3</v>
      </c>
      <c r="P23" s="55">
        <v>6.4057071454433909E-3</v>
      </c>
      <c r="Q23" s="55">
        <v>1.4162907416700531E-2</v>
      </c>
      <c r="R23" s="55">
        <v>1.36630400964239E-2</v>
      </c>
      <c r="S23" s="55">
        <v>1.7773060287864639E-2</v>
      </c>
      <c r="T23" s="55">
        <v>1.8235900399319601E-2</v>
      </c>
      <c r="U23" s="55">
        <v>1.9772529569996991E-2</v>
      </c>
      <c r="V23" s="55">
        <v>1.977252956992178E-2</v>
      </c>
      <c r="W23" s="55">
        <v>7.2017921374840123E-3</v>
      </c>
      <c r="DA23" s="101" t="s">
        <v>1029</v>
      </c>
    </row>
    <row r="24" spans="1:105" x14ac:dyDescent="0.25">
      <c r="A24" s="61" t="s">
        <v>158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DA24" s="101" t="s">
        <v>1030</v>
      </c>
    </row>
    <row r="25" spans="1:105" x14ac:dyDescent="0.25">
      <c r="A25" s="257" t="s">
        <v>174</v>
      </c>
      <c r="B25" s="258">
        <v>0.48816721513377742</v>
      </c>
      <c r="C25" s="258">
        <v>0.49238957723789051</v>
      </c>
      <c r="D25" s="258">
        <v>0.47554511193742749</v>
      </c>
      <c r="E25" s="258">
        <v>0.49124701321704672</v>
      </c>
      <c r="F25" s="258">
        <v>0.44687434908059392</v>
      </c>
      <c r="G25" s="258">
        <v>0.41448904371869838</v>
      </c>
      <c r="H25" s="258">
        <v>0.44469456538041902</v>
      </c>
      <c r="I25" s="258">
        <v>0.44482938520734078</v>
      </c>
      <c r="J25" s="258">
        <v>0.38439092672785102</v>
      </c>
      <c r="K25" s="258">
        <v>0.36434024387308039</v>
      </c>
      <c r="L25" s="258">
        <v>0.35912038718342087</v>
      </c>
      <c r="M25" s="258">
        <v>0.39037484673608419</v>
      </c>
      <c r="N25" s="258">
        <v>0.37782476388811409</v>
      </c>
      <c r="O25" s="258">
        <v>0.36535097279985013</v>
      </c>
      <c r="P25" s="258">
        <v>0.33296753887577851</v>
      </c>
      <c r="Q25" s="258">
        <v>0.37806934277018128</v>
      </c>
      <c r="R25" s="258">
        <v>0.38380615194018253</v>
      </c>
      <c r="S25" s="258">
        <v>0.40264274684533963</v>
      </c>
      <c r="T25" s="258">
        <v>0.38168720261267558</v>
      </c>
      <c r="U25" s="258">
        <v>0.40481082028781268</v>
      </c>
      <c r="V25" s="258">
        <v>0.42328429835124759</v>
      </c>
      <c r="W25" s="258">
        <v>0.41402035685520289</v>
      </c>
      <c r="DA25" s="273" t="s">
        <v>1031</v>
      </c>
    </row>
    <row r="26" spans="1:105" x14ac:dyDescent="0.25">
      <c r="A26" s="257" t="s">
        <v>177</v>
      </c>
      <c r="B26" s="258">
        <v>0.55734488423414774</v>
      </c>
      <c r="C26" s="258">
        <v>0.55015506263698877</v>
      </c>
      <c r="D26" s="258">
        <v>0.5777286264671041</v>
      </c>
      <c r="E26" s="258">
        <v>0.63080509023777376</v>
      </c>
      <c r="F26" s="258">
        <v>0.62646115967986915</v>
      </c>
      <c r="G26" s="258">
        <v>0.62461332177073958</v>
      </c>
      <c r="H26" s="258">
        <v>0.66416665520732465</v>
      </c>
      <c r="I26" s="258">
        <v>0.69490597747441862</v>
      </c>
      <c r="J26" s="258">
        <v>0.71854515754626636</v>
      </c>
      <c r="K26" s="258">
        <v>0.66975808042268092</v>
      </c>
      <c r="L26" s="258">
        <v>0.69612353348257727</v>
      </c>
      <c r="M26" s="258">
        <v>0.67484289289149957</v>
      </c>
      <c r="N26" s="258">
        <v>0.64254878332478049</v>
      </c>
      <c r="O26" s="258">
        <v>0.6802675256767402</v>
      </c>
      <c r="P26" s="258">
        <v>0.68535871653406832</v>
      </c>
      <c r="Q26" s="258">
        <v>0.69565482248976929</v>
      </c>
      <c r="R26" s="258">
        <v>0.7848901775437418</v>
      </c>
      <c r="S26" s="258">
        <v>0.79364041956354259</v>
      </c>
      <c r="T26" s="258">
        <v>0.79812797948591863</v>
      </c>
      <c r="U26" s="258">
        <v>0.752324524975307</v>
      </c>
      <c r="V26" s="258">
        <v>0.78355901196162014</v>
      </c>
      <c r="W26" s="258">
        <v>0.84384659677278751</v>
      </c>
      <c r="DA26" s="273" t="s">
        <v>1032</v>
      </c>
    </row>
    <row r="27" spans="1:105" x14ac:dyDescent="0.25">
      <c r="A27" s="129" t="s">
        <v>33</v>
      </c>
      <c r="B27" s="259">
        <v>0.84942969084978359</v>
      </c>
      <c r="C27" s="259">
        <v>0.8384719372051409</v>
      </c>
      <c r="D27" s="259">
        <v>0.88049583383070262</v>
      </c>
      <c r="E27" s="259">
        <v>0.96138780124163692</v>
      </c>
      <c r="F27" s="259">
        <v>0.95476736980815569</v>
      </c>
      <c r="G27" s="259">
        <v>0.95195114518980439</v>
      </c>
      <c r="H27" s="259">
        <v>1.0122329863684201</v>
      </c>
      <c r="I27" s="259">
        <v>1.0590817038302269</v>
      </c>
      <c r="J27" s="259">
        <v>1.0951093448625191</v>
      </c>
      <c r="K27" s="259">
        <v>1.0207546804333361</v>
      </c>
      <c r="L27" s="259">
        <v>1.0609373380216549</v>
      </c>
      <c r="M27" s="259">
        <v>1.0285042638700861</v>
      </c>
      <c r="N27" s="259">
        <v>0.97928594989341533</v>
      </c>
      <c r="O27" s="259">
        <v>1.036771755471936</v>
      </c>
      <c r="P27" s="259">
        <v>1.0445310599857649</v>
      </c>
      <c r="Q27" s="259">
        <v>1.0602229921202559</v>
      </c>
      <c r="R27" s="259">
        <v>1.196223451082973</v>
      </c>
      <c r="S27" s="259">
        <v>1.2095593864866929</v>
      </c>
      <c r="T27" s="259">
        <v>1.2163987183714231</v>
      </c>
      <c r="U27" s="259">
        <v>1.14659128798967</v>
      </c>
      <c r="V27" s="259">
        <v>1.1941946685447691</v>
      </c>
      <c r="W27" s="259">
        <v>1.2860768513311029</v>
      </c>
      <c r="DA27" s="274" t="s">
        <v>1033</v>
      </c>
    </row>
    <row r="29" spans="1:105" ht="12.75" x14ac:dyDescent="0.25">
      <c r="A29" s="179" t="s">
        <v>132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DA29" s="267"/>
    </row>
    <row r="31" spans="1:105" x14ac:dyDescent="0.25">
      <c r="A31" s="235" t="s">
        <v>126</v>
      </c>
      <c r="B31" s="236">
        <f t="shared" ref="B31:Q31" si="6">SUM(B32:B40)</f>
        <v>0.99999999999999989</v>
      </c>
      <c r="C31" s="236">
        <f t="shared" si="6"/>
        <v>0.99999999999999989</v>
      </c>
      <c r="D31" s="236">
        <f t="shared" si="6"/>
        <v>1</v>
      </c>
      <c r="E31" s="236">
        <f t="shared" si="6"/>
        <v>1</v>
      </c>
      <c r="F31" s="236">
        <f t="shared" si="6"/>
        <v>1</v>
      </c>
      <c r="G31" s="236">
        <f t="shared" si="6"/>
        <v>1.0000000000000002</v>
      </c>
      <c r="H31" s="236">
        <f t="shared" si="6"/>
        <v>1</v>
      </c>
      <c r="I31" s="236">
        <f t="shared" si="6"/>
        <v>0.99999999999999989</v>
      </c>
      <c r="J31" s="236">
        <f t="shared" si="6"/>
        <v>1.0000000000000002</v>
      </c>
      <c r="K31" s="236">
        <f t="shared" si="6"/>
        <v>0.99999999999999989</v>
      </c>
      <c r="L31" s="236">
        <f t="shared" si="6"/>
        <v>1</v>
      </c>
      <c r="M31" s="236">
        <f t="shared" si="6"/>
        <v>0.99999999999999989</v>
      </c>
      <c r="N31" s="236">
        <f t="shared" si="6"/>
        <v>0.99999999999999978</v>
      </c>
      <c r="O31" s="236">
        <f t="shared" si="6"/>
        <v>1</v>
      </c>
      <c r="P31" s="236">
        <f t="shared" si="6"/>
        <v>1</v>
      </c>
      <c r="Q31" s="236">
        <f t="shared" si="6"/>
        <v>1</v>
      </c>
      <c r="R31" s="236">
        <f t="shared" ref="R31:W31" si="7">SUM(R32:R40)</f>
        <v>1</v>
      </c>
      <c r="S31" s="236">
        <f t="shared" si="7"/>
        <v>0.99999999999999989</v>
      </c>
      <c r="T31" s="236">
        <f t="shared" si="7"/>
        <v>1</v>
      </c>
      <c r="U31" s="236">
        <f t="shared" si="7"/>
        <v>1</v>
      </c>
      <c r="V31" s="236">
        <f t="shared" si="7"/>
        <v>1</v>
      </c>
      <c r="W31" s="236">
        <f t="shared" si="7"/>
        <v>0.99999999999999989</v>
      </c>
      <c r="DA31" s="275"/>
    </row>
    <row r="32" spans="1:105" x14ac:dyDescent="0.25">
      <c r="A32" s="239" t="s">
        <v>125</v>
      </c>
      <c r="B32" s="245">
        <f t="shared" ref="B32:W32" si="8">IF(B$6=0,0,B$6/B$5)</f>
        <v>3.4466833636088552E-2</v>
      </c>
      <c r="C32" s="245">
        <f t="shared" si="8"/>
        <v>3.3945123938064842E-2</v>
      </c>
      <c r="D32" s="245">
        <f t="shared" si="8"/>
        <v>3.5965054045248183E-2</v>
      </c>
      <c r="E32" s="245">
        <f t="shared" si="8"/>
        <v>3.728954572663306E-2</v>
      </c>
      <c r="F32" s="245">
        <f t="shared" si="8"/>
        <v>3.9337025427954461E-2</v>
      </c>
      <c r="G32" s="245">
        <f t="shared" si="8"/>
        <v>4.0950082117490183E-2</v>
      </c>
      <c r="H32" s="245">
        <f t="shared" si="8"/>
        <v>4.0447036960461612E-2</v>
      </c>
      <c r="I32" s="245">
        <f t="shared" si="8"/>
        <v>4.1392777936568426E-2</v>
      </c>
      <c r="J32" s="245">
        <f t="shared" si="8"/>
        <v>4.4778245723253424E-2</v>
      </c>
      <c r="K32" s="245">
        <f t="shared" si="8"/>
        <v>4.4189704641124788E-2</v>
      </c>
      <c r="L32" s="245">
        <f t="shared" si="8"/>
        <v>4.4948167584988201E-2</v>
      </c>
      <c r="M32" s="245">
        <f t="shared" si="8"/>
        <v>4.2390652151451887E-2</v>
      </c>
      <c r="N32" s="245">
        <f t="shared" si="8"/>
        <v>4.1930484453969359E-2</v>
      </c>
      <c r="O32" s="245">
        <f t="shared" si="8"/>
        <v>4.3539878342958201E-2</v>
      </c>
      <c r="P32" s="245">
        <f t="shared" si="8"/>
        <v>4.5499945140109146E-2</v>
      </c>
      <c r="Q32" s="245">
        <f t="shared" si="8"/>
        <v>4.3330582834142574E-2</v>
      </c>
      <c r="R32" s="245">
        <f t="shared" si="8"/>
        <v>4.4753524763710174E-2</v>
      </c>
      <c r="S32" s="245">
        <f t="shared" si="8"/>
        <v>4.400911765369582E-2</v>
      </c>
      <c r="T32" s="245">
        <f t="shared" si="8"/>
        <v>4.4829132380412362E-2</v>
      </c>
      <c r="U32" s="245">
        <f t="shared" si="8"/>
        <v>4.271631975208396E-2</v>
      </c>
      <c r="V32" s="245">
        <f t="shared" si="8"/>
        <v>4.295113114368642E-2</v>
      </c>
      <c r="W32" s="245">
        <f t="shared" si="8"/>
        <v>4.4644926385969286E-2</v>
      </c>
      <c r="DA32" s="276"/>
    </row>
    <row r="33" spans="1:105" x14ac:dyDescent="0.25">
      <c r="A33" s="241" t="s">
        <v>124</v>
      </c>
      <c r="B33" s="246">
        <f t="shared" ref="B33:W33" si="9">IF(B$7=0,0,B$7/B$5)</f>
        <v>2.2215878316283185E-2</v>
      </c>
      <c r="C33" s="246">
        <f t="shared" si="9"/>
        <v>2.1879606081644718E-2</v>
      </c>
      <c r="D33" s="246">
        <f t="shared" si="9"/>
        <v>2.318156848243794E-2</v>
      </c>
      <c r="E33" s="246">
        <f t="shared" si="9"/>
        <v>2.4035280382267519E-2</v>
      </c>
      <c r="F33" s="246">
        <f t="shared" si="9"/>
        <v>2.535500009832492E-2</v>
      </c>
      <c r="G33" s="246">
        <f t="shared" si="9"/>
        <v>2.6394708924216907E-2</v>
      </c>
      <c r="H33" s="246">
        <f t="shared" si="9"/>
        <v>2.6070467071479926E-2</v>
      </c>
      <c r="I33" s="246">
        <f t="shared" si="9"/>
        <v>2.6680052119696037E-2</v>
      </c>
      <c r="J33" s="246">
        <f t="shared" si="9"/>
        <v>2.8862182952681548E-2</v>
      </c>
      <c r="K33" s="246">
        <f t="shared" si="9"/>
        <v>2.8482834005146854E-2</v>
      </c>
      <c r="L33" s="246">
        <f t="shared" si="9"/>
        <v>2.8971707472497693E-2</v>
      </c>
      <c r="M33" s="246">
        <f t="shared" si="9"/>
        <v>2.7323240071536102E-2</v>
      </c>
      <c r="N33" s="246">
        <f t="shared" si="9"/>
        <v>2.7026635234541376E-2</v>
      </c>
      <c r="O33" s="246">
        <f t="shared" si="9"/>
        <v>2.8063983172511221E-2</v>
      </c>
      <c r="P33" s="246">
        <f t="shared" si="9"/>
        <v>2.9327360189299295E-2</v>
      </c>
      <c r="Q33" s="246">
        <f t="shared" si="9"/>
        <v>2.7929080047812117E-2</v>
      </c>
      <c r="R33" s="246">
        <f t="shared" si="9"/>
        <v>2.8846248856881699E-2</v>
      </c>
      <c r="S33" s="246">
        <f t="shared" si="9"/>
        <v>2.8366435191708266E-2</v>
      </c>
      <c r="T33" s="246">
        <f t="shared" si="9"/>
        <v>2.8894982361971685E-2</v>
      </c>
      <c r="U33" s="246">
        <f t="shared" si="9"/>
        <v>2.7533151775743895E-2</v>
      </c>
      <c r="V33" s="246">
        <f t="shared" si="9"/>
        <v>2.7684501370493299E-2</v>
      </c>
      <c r="W33" s="246">
        <f t="shared" si="9"/>
        <v>2.877625088808914E-2</v>
      </c>
      <c r="DA33" s="277"/>
    </row>
    <row r="34" spans="1:105" x14ac:dyDescent="0.25">
      <c r="A34" s="241" t="s">
        <v>123</v>
      </c>
      <c r="B34" s="246">
        <f t="shared" ref="B34:W34" si="10">IF(B$8=0,0,B$8/B$5)</f>
        <v>4.4148109461968406E-2</v>
      </c>
      <c r="C34" s="246">
        <f t="shared" si="10"/>
        <v>4.3479858438421962E-2</v>
      </c>
      <c r="D34" s="246">
        <f t="shared" si="10"/>
        <v>4.6067160086696472E-2</v>
      </c>
      <c r="E34" s="246">
        <f t="shared" si="10"/>
        <v>4.7763683891251039E-2</v>
      </c>
      <c r="F34" s="246">
        <f t="shared" si="10"/>
        <v>5.0386273448780036E-2</v>
      </c>
      <c r="G34" s="246">
        <f t="shared" si="10"/>
        <v>5.2452416339939599E-2</v>
      </c>
      <c r="H34" s="246">
        <f t="shared" si="10"/>
        <v>5.1808072479076282E-2</v>
      </c>
      <c r="I34" s="246">
        <f t="shared" si="10"/>
        <v>5.3019459535301697E-2</v>
      </c>
      <c r="J34" s="246">
        <f t="shared" si="10"/>
        <v>5.7355860262000381E-2</v>
      </c>
      <c r="K34" s="246">
        <f t="shared" si="10"/>
        <v>5.6602005806119245E-2</v>
      </c>
      <c r="L34" s="246">
        <f t="shared" si="10"/>
        <v>5.7573510918021001E-2</v>
      </c>
      <c r="M34" s="246">
        <f t="shared" si="10"/>
        <v>5.4297623364712028E-2</v>
      </c>
      <c r="N34" s="246">
        <f t="shared" si="10"/>
        <v>5.3708200672340008E-2</v>
      </c>
      <c r="O34" s="246">
        <f t="shared" si="10"/>
        <v>5.5769651930923536E-2</v>
      </c>
      <c r="P34" s="246">
        <f t="shared" si="10"/>
        <v>5.8280275460402153E-2</v>
      </c>
      <c r="Q34" s="246">
        <f t="shared" si="10"/>
        <v>5.5501568093265286E-2</v>
      </c>
      <c r="R34" s="246">
        <f t="shared" si="10"/>
        <v>5.7324195513232271E-2</v>
      </c>
      <c r="S34" s="246">
        <f t="shared" si="10"/>
        <v>5.637069433223689E-2</v>
      </c>
      <c r="T34" s="246">
        <f t="shared" si="10"/>
        <v>5.7421040305346588E-2</v>
      </c>
      <c r="U34" s="246">
        <f t="shared" si="10"/>
        <v>5.4714766669279088E-2</v>
      </c>
      <c r="V34" s="246">
        <f t="shared" si="10"/>
        <v>5.5015533462331026E-2</v>
      </c>
      <c r="W34" s="246">
        <f t="shared" si="10"/>
        <v>5.7185093293442728E-2</v>
      </c>
      <c r="DA34" s="277"/>
    </row>
    <row r="35" spans="1:105" x14ac:dyDescent="0.25">
      <c r="A35" s="243" t="s">
        <v>122</v>
      </c>
      <c r="B35" s="247">
        <f t="shared" ref="B35:W35" si="11">IF(B$9=0,0,B$9/B$5)</f>
        <v>0.31937652359188418</v>
      </c>
      <c r="C35" s="247">
        <f t="shared" si="11"/>
        <v>0.31906769619630526</v>
      </c>
      <c r="D35" s="247">
        <f t="shared" si="11"/>
        <v>0.32080608506632374</v>
      </c>
      <c r="E35" s="247">
        <f t="shared" si="11"/>
        <v>0.32283965194149322</v>
      </c>
      <c r="F35" s="247">
        <f t="shared" si="11"/>
        <v>0.32773548188791884</v>
      </c>
      <c r="G35" s="247">
        <f t="shared" si="11"/>
        <v>0.33346579188103614</v>
      </c>
      <c r="H35" s="247">
        <f t="shared" si="11"/>
        <v>0.33172499807350347</v>
      </c>
      <c r="I35" s="247">
        <f t="shared" si="11"/>
        <v>0.33616589191194296</v>
      </c>
      <c r="J35" s="247">
        <f t="shared" si="11"/>
        <v>0.35957083579072896</v>
      </c>
      <c r="K35" s="247">
        <f t="shared" si="11"/>
        <v>0.35737905088462718</v>
      </c>
      <c r="L35" s="247">
        <f t="shared" si="11"/>
        <v>0.36513658045562086</v>
      </c>
      <c r="M35" s="247">
        <f t="shared" si="11"/>
        <v>0.35455790040007301</v>
      </c>
      <c r="N35" s="247">
        <f t="shared" si="11"/>
        <v>0.35293810731504249</v>
      </c>
      <c r="O35" s="247">
        <f t="shared" si="11"/>
        <v>0.36628238206035635</v>
      </c>
      <c r="P35" s="247">
        <f t="shared" si="11"/>
        <v>0.38145407647963231</v>
      </c>
      <c r="Q35" s="247">
        <f t="shared" si="11"/>
        <v>0.36661472899663439</v>
      </c>
      <c r="R35" s="247">
        <f t="shared" si="11"/>
        <v>0.37982872958754893</v>
      </c>
      <c r="S35" s="247">
        <f t="shared" si="11"/>
        <v>0.37461181448452324</v>
      </c>
      <c r="T35" s="247">
        <f t="shared" si="11"/>
        <v>0.38347278679690289</v>
      </c>
      <c r="U35" s="247">
        <f t="shared" si="11"/>
        <v>0.36553761950051439</v>
      </c>
      <c r="V35" s="247">
        <f t="shared" si="11"/>
        <v>0.36228491915790312</v>
      </c>
      <c r="W35" s="247">
        <f t="shared" si="11"/>
        <v>0.37597303903490376</v>
      </c>
      <c r="DA35" s="278"/>
    </row>
    <row r="36" spans="1:105" x14ac:dyDescent="0.25">
      <c r="A36" s="128" t="s">
        <v>175</v>
      </c>
      <c r="B36" s="260">
        <f t="shared" ref="B36:W36" si="12">IF(B$16=0,0,B$16/B$5)</f>
        <v>0.22255505200810777</v>
      </c>
      <c r="C36" s="260">
        <f t="shared" si="12"/>
        <v>0.22397142619289373</v>
      </c>
      <c r="D36" s="260">
        <f t="shared" si="12"/>
        <v>0.21824285337343322</v>
      </c>
      <c r="E36" s="260">
        <f t="shared" si="12"/>
        <v>0.21408355388075423</v>
      </c>
      <c r="F36" s="260">
        <f t="shared" si="12"/>
        <v>0.20686369234649005</v>
      </c>
      <c r="G36" s="260">
        <f t="shared" si="12"/>
        <v>0.20033095844898813</v>
      </c>
      <c r="H36" s="260">
        <f t="shared" si="12"/>
        <v>0.19964707198809978</v>
      </c>
      <c r="I36" s="260">
        <f t="shared" si="12"/>
        <v>0.19533653254297953</v>
      </c>
      <c r="J36" s="260">
        <f t="shared" si="12"/>
        <v>0.17659467974123916</v>
      </c>
      <c r="K36" s="260">
        <f t="shared" si="12"/>
        <v>0.17721552301175353</v>
      </c>
      <c r="L36" s="260">
        <f t="shared" si="12"/>
        <v>0.17094531991426656</v>
      </c>
      <c r="M36" s="260">
        <f t="shared" si="12"/>
        <v>0.1807759803741093</v>
      </c>
      <c r="N36" s="260">
        <f t="shared" si="12"/>
        <v>0.18176308007236081</v>
      </c>
      <c r="O36" s="260">
        <f t="shared" si="12"/>
        <v>0.17238886854800212</v>
      </c>
      <c r="P36" s="260">
        <f t="shared" si="12"/>
        <v>0.16296198562488592</v>
      </c>
      <c r="Q36" s="260">
        <f t="shared" si="12"/>
        <v>0.17360557682970559</v>
      </c>
      <c r="R36" s="260">
        <f t="shared" si="12"/>
        <v>0.16133246243606433</v>
      </c>
      <c r="S36" s="260">
        <f t="shared" si="12"/>
        <v>0.16460015612109996</v>
      </c>
      <c r="T36" s="260">
        <f t="shared" si="12"/>
        <v>0.15804722540219565</v>
      </c>
      <c r="U36" s="260">
        <f t="shared" si="12"/>
        <v>0.16944634317931787</v>
      </c>
      <c r="V36" s="260">
        <f t="shared" si="12"/>
        <v>0.1710513608679354</v>
      </c>
      <c r="W36" s="260">
        <f t="shared" si="12"/>
        <v>0.16148113102639033</v>
      </c>
      <c r="DA36" s="279"/>
    </row>
    <row r="37" spans="1:105" x14ac:dyDescent="0.25">
      <c r="A37" s="128" t="s">
        <v>121</v>
      </c>
      <c r="B37" s="260">
        <f t="shared" ref="B37:W37" si="13">IF(B$17=0,0,B$17/B$5)</f>
        <v>0.24103336000668005</v>
      </c>
      <c r="C37" s="260">
        <f t="shared" si="13"/>
        <v>0.2425673329527234</v>
      </c>
      <c r="D37" s="260">
        <f t="shared" si="13"/>
        <v>0.23636312800541348</v>
      </c>
      <c r="E37" s="260">
        <f t="shared" si="13"/>
        <v>0.23185849006100964</v>
      </c>
      <c r="F37" s="260">
        <f t="shared" si="13"/>
        <v>0.22403917763163692</v>
      </c>
      <c r="G37" s="260">
        <f t="shared" si="13"/>
        <v>0.21696404369449737</v>
      </c>
      <c r="H37" s="260">
        <f t="shared" si="13"/>
        <v>0.22221143332610999</v>
      </c>
      <c r="I37" s="260">
        <f t="shared" si="13"/>
        <v>0.21752705375022779</v>
      </c>
      <c r="J37" s="260">
        <f t="shared" si="13"/>
        <v>0.19700734632086878</v>
      </c>
      <c r="K37" s="260">
        <f t="shared" si="13"/>
        <v>0.20168960122825855</v>
      </c>
      <c r="L37" s="260">
        <f t="shared" si="13"/>
        <v>0.19692846149956036</v>
      </c>
      <c r="M37" s="260">
        <f t="shared" si="13"/>
        <v>0.21023731108187793</v>
      </c>
      <c r="N37" s="260">
        <f t="shared" si="13"/>
        <v>0.21323519303579413</v>
      </c>
      <c r="O37" s="260">
        <f t="shared" si="13"/>
        <v>0.2017896645632099</v>
      </c>
      <c r="P37" s="260">
        <f t="shared" si="13"/>
        <v>0.18667288761592452</v>
      </c>
      <c r="Q37" s="260">
        <f t="shared" si="13"/>
        <v>0.20121308401966925</v>
      </c>
      <c r="R37" s="260">
        <f t="shared" si="13"/>
        <v>0.19419879811269103</v>
      </c>
      <c r="S37" s="260">
        <f t="shared" si="13"/>
        <v>0.19974940245168518</v>
      </c>
      <c r="T37" s="260">
        <f t="shared" si="13"/>
        <v>0.19387145119182947</v>
      </c>
      <c r="U37" s="260">
        <f t="shared" si="13"/>
        <v>0.21034334130590274</v>
      </c>
      <c r="V37" s="260">
        <f t="shared" si="13"/>
        <v>0.21050048671814089</v>
      </c>
      <c r="W37" s="260">
        <f t="shared" si="13"/>
        <v>0.19847533557531688</v>
      </c>
      <c r="DA37" s="279"/>
    </row>
    <row r="38" spans="1:105" x14ac:dyDescent="0.25">
      <c r="A38" s="128" t="s">
        <v>174</v>
      </c>
      <c r="B38" s="260">
        <f t="shared" ref="B38:W38" si="14">IF(B$25=0,0,B$25/B$5)</f>
        <v>2.9936065569203526E-2</v>
      </c>
      <c r="C38" s="260">
        <f t="shared" si="14"/>
        <v>3.012658324149943E-2</v>
      </c>
      <c r="D38" s="260">
        <f t="shared" si="14"/>
        <v>2.9356028136171698E-2</v>
      </c>
      <c r="E38" s="260">
        <f t="shared" si="14"/>
        <v>2.8796557294187602E-2</v>
      </c>
      <c r="F38" s="260">
        <f t="shared" si="14"/>
        <v>2.7825407700681946E-2</v>
      </c>
      <c r="G38" s="260">
        <f t="shared" si="14"/>
        <v>2.6946684218392039E-2</v>
      </c>
      <c r="H38" s="260">
        <f t="shared" si="14"/>
        <v>2.6854694080444958E-2</v>
      </c>
      <c r="I38" s="260">
        <f t="shared" si="14"/>
        <v>2.6274879826383195E-2</v>
      </c>
      <c r="J38" s="260">
        <f t="shared" si="14"/>
        <v>2.3753897582669308E-2</v>
      </c>
      <c r="K38" s="260">
        <f t="shared" si="14"/>
        <v>2.383740772852588E-2</v>
      </c>
      <c r="L38" s="260">
        <f t="shared" si="14"/>
        <v>2.2993997482993685E-2</v>
      </c>
      <c r="M38" s="260">
        <f t="shared" si="14"/>
        <v>2.4316327816360839E-2</v>
      </c>
      <c r="N38" s="260">
        <f t="shared" si="14"/>
        <v>2.444910341962651E-2</v>
      </c>
      <c r="O38" s="260">
        <f t="shared" si="14"/>
        <v>2.3188170413070634E-2</v>
      </c>
      <c r="P38" s="260">
        <f t="shared" si="14"/>
        <v>2.1920152532760587E-2</v>
      </c>
      <c r="Q38" s="260">
        <f t="shared" si="14"/>
        <v>2.3351830858299869E-2</v>
      </c>
      <c r="R38" s="260">
        <f t="shared" si="14"/>
        <v>2.1700964010249218E-2</v>
      </c>
      <c r="S38" s="260">
        <f t="shared" si="14"/>
        <v>2.2140504211797783E-2</v>
      </c>
      <c r="T38" s="260">
        <f t="shared" si="14"/>
        <v>2.1259064038224806E-2</v>
      </c>
      <c r="U38" s="260">
        <f t="shared" si="14"/>
        <v>2.2792368872817249E-2</v>
      </c>
      <c r="V38" s="260">
        <f t="shared" si="14"/>
        <v>2.3008261140068216E-2</v>
      </c>
      <c r="W38" s="260">
        <f t="shared" si="14"/>
        <v>2.1720961546265221E-2</v>
      </c>
      <c r="DA38" s="279"/>
    </row>
    <row r="39" spans="1:105" x14ac:dyDescent="0.25">
      <c r="A39" s="128" t="s">
        <v>177</v>
      </c>
      <c r="B39" s="260">
        <f t="shared" ref="B39:W39" si="15">IF(B$26=0,0,B$26/B$5)</f>
        <v>3.4178274332743369E-2</v>
      </c>
      <c r="C39" s="260">
        <f t="shared" si="15"/>
        <v>3.3660932433299574E-2</v>
      </c>
      <c r="D39" s="260">
        <f t="shared" si="15"/>
        <v>3.5663951511442978E-2</v>
      </c>
      <c r="E39" s="260">
        <f t="shared" si="15"/>
        <v>3.6977354434257738E-2</v>
      </c>
      <c r="F39" s="260">
        <f t="shared" si="15"/>
        <v>3.9007692458961414E-2</v>
      </c>
      <c r="G39" s="260">
        <f t="shared" si="15"/>
        <v>4.0607244498795242E-2</v>
      </c>
      <c r="H39" s="260">
        <f t="shared" si="15"/>
        <v>4.0108410879199898E-2</v>
      </c>
      <c r="I39" s="260">
        <f t="shared" si="15"/>
        <v>4.1046234030301616E-2</v>
      </c>
      <c r="J39" s="260">
        <f t="shared" si="15"/>
        <v>4.4403358388740849E-2</v>
      </c>
      <c r="K39" s="260">
        <f t="shared" si="15"/>
        <v>4.3819744623302875E-2</v>
      </c>
      <c r="L39" s="260">
        <f t="shared" si="15"/>
        <v>4.4571857649996473E-2</v>
      </c>
      <c r="M39" s="260">
        <f t="shared" si="15"/>
        <v>4.2035753956209398E-2</v>
      </c>
      <c r="N39" s="260">
        <f t="shared" si="15"/>
        <v>4.1579438822371362E-2</v>
      </c>
      <c r="O39" s="260">
        <f t="shared" si="15"/>
        <v>4.3175358726940352E-2</v>
      </c>
      <c r="P39" s="260">
        <f t="shared" si="15"/>
        <v>4.5119015675845066E-2</v>
      </c>
      <c r="Q39" s="260">
        <f t="shared" si="15"/>
        <v>4.2967815458172499E-2</v>
      </c>
      <c r="R39" s="260">
        <f t="shared" si="15"/>
        <v>4.4378844395202628E-2</v>
      </c>
      <c r="S39" s="260">
        <f t="shared" si="15"/>
        <v>4.3640669525705021E-2</v>
      </c>
      <c r="T39" s="260">
        <f t="shared" si="15"/>
        <v>4.4453819018417995E-2</v>
      </c>
      <c r="U39" s="260">
        <f t="shared" si="15"/>
        <v>4.2358695039606008E-2</v>
      </c>
      <c r="V39" s="260">
        <f t="shared" si="15"/>
        <v>4.2591540569989712E-2</v>
      </c>
      <c r="W39" s="260">
        <f t="shared" si="15"/>
        <v>4.4271155212444846E-2</v>
      </c>
      <c r="DA39" s="279"/>
    </row>
    <row r="40" spans="1:105" x14ac:dyDescent="0.25">
      <c r="A40" s="261" t="s">
        <v>33</v>
      </c>
      <c r="B40" s="262">
        <f t="shared" ref="B40:W40" si="16">IF(B$27=0,0,B$27/B$5)</f>
        <v>5.2089903077040825E-2</v>
      </c>
      <c r="C40" s="262">
        <f t="shared" si="16"/>
        <v>5.1301440525147089E-2</v>
      </c>
      <c r="D40" s="262">
        <f t="shared" si="16"/>
        <v>5.4354171292832348E-2</v>
      </c>
      <c r="E40" s="262">
        <f t="shared" si="16"/>
        <v>5.63558823881459E-2</v>
      </c>
      <c r="F40" s="262">
        <f t="shared" si="16"/>
        <v>5.9450248999251408E-2</v>
      </c>
      <c r="G40" s="262">
        <f t="shared" si="16"/>
        <v>6.1888069876644421E-2</v>
      </c>
      <c r="H40" s="262">
        <f t="shared" si="16"/>
        <v>6.1127815141624117E-2</v>
      </c>
      <c r="I40" s="262">
        <f t="shared" si="16"/>
        <v>6.2557118346598731E-2</v>
      </c>
      <c r="J40" s="262">
        <f t="shared" si="16"/>
        <v>6.7673593237817659E-2</v>
      </c>
      <c r="K40" s="262">
        <f t="shared" si="16"/>
        <v>6.6784128071141063E-2</v>
      </c>
      <c r="L40" s="262">
        <f t="shared" si="16"/>
        <v>6.7930397022055181E-2</v>
      </c>
      <c r="M40" s="262">
        <f t="shared" si="16"/>
        <v>6.4065210783669474E-2</v>
      </c>
      <c r="N40" s="262">
        <f t="shared" si="16"/>
        <v>6.3369756973953875E-2</v>
      </c>
      <c r="O40" s="262">
        <f t="shared" si="16"/>
        <v>6.5802042242027695E-2</v>
      </c>
      <c r="P40" s="262">
        <f t="shared" si="16"/>
        <v>6.8764301281141013E-2</v>
      </c>
      <c r="Q40" s="262">
        <f t="shared" si="16"/>
        <v>6.548573286229839E-2</v>
      </c>
      <c r="R40" s="262">
        <f t="shared" si="16"/>
        <v>6.7636232324419704E-2</v>
      </c>
      <c r="S40" s="262">
        <f t="shared" si="16"/>
        <v>6.6511206027547828E-2</v>
      </c>
      <c r="T40" s="262">
        <f t="shared" si="16"/>
        <v>6.7750498504698595E-2</v>
      </c>
      <c r="U40" s="262">
        <f t="shared" si="16"/>
        <v>6.4557393904734944E-2</v>
      </c>
      <c r="V40" s="262">
        <f t="shared" si="16"/>
        <v>6.4912265569451802E-2</v>
      </c>
      <c r="W40" s="262">
        <f t="shared" si="16"/>
        <v>6.7472107037177667E-2</v>
      </c>
      <c r="DA40" s="280"/>
    </row>
    <row r="42" spans="1:105" ht="12.75" x14ac:dyDescent="0.25">
      <c r="A42" s="179" t="s">
        <v>131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DA42" s="267"/>
    </row>
    <row r="44" spans="1:105" x14ac:dyDescent="0.25">
      <c r="A44" s="235" t="s">
        <v>126</v>
      </c>
      <c r="B44" s="238">
        <f>IF(B$5=0,0,B$5/AGR_fec!B$5)</f>
        <v>0.35682346522045272</v>
      </c>
      <c r="C44" s="238">
        <f>IF(C$5=0,0,C$5/AGR_fec!C$5)</f>
        <v>0.35591232086374169</v>
      </c>
      <c r="D44" s="238">
        <f>IF(D$5=0,0,D$5/AGR_fec!D$5)</f>
        <v>0.35968448426961236</v>
      </c>
      <c r="E44" s="238">
        <f>IF(E$5=0,0,E$5/AGR_fec!E$5)</f>
        <v>0.36256376452478112</v>
      </c>
      <c r="F44" s="238">
        <f>IF(F$5=0,0,F$5/AGR_fec!F$5)</f>
        <v>0.367823629235904</v>
      </c>
      <c r="G44" s="238">
        <f>IF(G$5=0,0,G$5/AGR_fec!G$5)</f>
        <v>0.37284763297946399</v>
      </c>
      <c r="H44" s="238">
        <f>IF(H$5=0,0,H$5/AGR_fec!H$5)</f>
        <v>0.37180897053152379</v>
      </c>
      <c r="I44" s="238">
        <f>IF(I$5=0,0,I$5/AGR_fec!I$5)</f>
        <v>0.3754150847251897</v>
      </c>
      <c r="J44" s="238">
        <f>IF(J$5=0,0,J$5/AGR_fec!J$5)</f>
        <v>0.39139526568054706</v>
      </c>
      <c r="K44" s="238">
        <f>IF(K$5=0,0,K$5/AGR_fec!K$5)</f>
        <v>0.38974035806166513</v>
      </c>
      <c r="L44" s="238">
        <f>IF(L$5=0,0,L$5/AGR_fec!L$5)</f>
        <v>0.39483818017292233</v>
      </c>
      <c r="M44" s="238">
        <f>IF(M$5=0,0,M$5/AGR_fec!M$5)</f>
        <v>0.38521648887116805</v>
      </c>
      <c r="N44" s="238">
        <f>IF(N$5=0,0,N$5/AGR_fec!N$5)</f>
        <v>0.38389866596350353</v>
      </c>
      <c r="O44" s="238">
        <f>IF(O$5=0,0,O$5/AGR_fec!O$5)</f>
        <v>0.39205991907144905</v>
      </c>
      <c r="P44" s="238">
        <f>IF(P$5=0,0,P$5/AGR_fec!P$5)</f>
        <v>0.40176554004074783</v>
      </c>
      <c r="Q44" s="238">
        <f>IF(Q$5=0,0,Q$5/AGR_fec!Q$5)</f>
        <v>0.39134815445323878</v>
      </c>
      <c r="R44" s="238">
        <f>IF(R$5=0,0,R$5/AGR_fec!R$5)</f>
        <v>0.40055019587673363</v>
      </c>
      <c r="S44" s="238">
        <f>IF(S$5=0,0,S$5/AGR_fec!S$5)</f>
        <v>0.3969550678653781</v>
      </c>
      <c r="T44" s="238">
        <f>IF(T$5=0,0,T$5/AGR_fec!T$5)</f>
        <v>0.40249760204333657</v>
      </c>
      <c r="U44" s="238">
        <f>IF(U$5=0,0,U$5/AGR_fec!U$5)</f>
        <v>0.39116270965840622</v>
      </c>
      <c r="V44" s="238">
        <f>IF(V$5=0,0,V$5/AGR_fec!V$5)</f>
        <v>0.39046311182012394</v>
      </c>
      <c r="W44" s="238">
        <f>IF(W$5=0,0,W$5/AGR_fec!W$5)</f>
        <v>0.3995261474838786</v>
      </c>
      <c r="DA44" s="287"/>
    </row>
    <row r="45" spans="1:105" x14ac:dyDescent="0.25">
      <c r="A45" s="239" t="s">
        <v>125</v>
      </c>
      <c r="B45" s="251">
        <f>IF(B$6=0,0,B$6/AGR_fec!B$6)</f>
        <v>0.42534504582013832</v>
      </c>
      <c r="C45" s="251">
        <f>IF(C$6=0,0,C$6/AGR_fec!C$6)</f>
        <v>0.42534504582013843</v>
      </c>
      <c r="D45" s="251">
        <f>IF(D$6=0,0,D$6/AGR_fec!D$6)</f>
        <v>0.42534504582013855</v>
      </c>
      <c r="E45" s="251">
        <f>IF(E$6=0,0,E$6/AGR_fec!E$6)</f>
        <v>0.42534504582013843</v>
      </c>
      <c r="F45" s="251">
        <f>IF(F$6=0,0,F$6/AGR_fec!F$6)</f>
        <v>0.42534504582013832</v>
      </c>
      <c r="G45" s="251">
        <f>IF(G$6=0,0,G$6/AGR_fec!G$6)</f>
        <v>0.42534504582013843</v>
      </c>
      <c r="H45" s="251">
        <f>IF(H$6=0,0,H$6/AGR_fec!H$6)</f>
        <v>0.42534504582013843</v>
      </c>
      <c r="I45" s="251">
        <f>IF(I$6=0,0,I$6/AGR_fec!I$6)</f>
        <v>0.42534504582013838</v>
      </c>
      <c r="J45" s="251">
        <f>IF(J$6=0,0,J$6/AGR_fec!J$6)</f>
        <v>0.42534504582013855</v>
      </c>
      <c r="K45" s="251">
        <f>IF(K$6=0,0,K$6/AGR_fec!K$6)</f>
        <v>0.42534504582013832</v>
      </c>
      <c r="L45" s="251">
        <f>IF(L$6=0,0,L$6/AGR_fec!L$6)</f>
        <v>0.42534504582013855</v>
      </c>
      <c r="M45" s="251">
        <f>IF(M$6=0,0,M$6/AGR_fec!M$6)</f>
        <v>0.42534504582013832</v>
      </c>
      <c r="N45" s="251">
        <f>IF(N$6=0,0,N$6/AGR_fec!N$6)</f>
        <v>0.4253450458201386</v>
      </c>
      <c r="O45" s="251">
        <f>IF(O$6=0,0,O$6/AGR_fec!O$6)</f>
        <v>0.42534504582013838</v>
      </c>
      <c r="P45" s="251">
        <f>IF(P$6=0,0,P$6/AGR_fec!P$6)</f>
        <v>0.42534504582013855</v>
      </c>
      <c r="Q45" s="251">
        <f>IF(Q$6=0,0,Q$6/AGR_fec!Q$6)</f>
        <v>0.42534504582013832</v>
      </c>
      <c r="R45" s="251">
        <f>IF(R$6=0,0,R$6/AGR_fec!R$6)</f>
        <v>0.42534504582013849</v>
      </c>
      <c r="S45" s="251">
        <f>IF(S$6=0,0,S$6/AGR_fec!S$6)</f>
        <v>0.42534504582013855</v>
      </c>
      <c r="T45" s="251">
        <f>IF(T$6=0,0,T$6/AGR_fec!T$6)</f>
        <v>0.42534504582013838</v>
      </c>
      <c r="U45" s="251">
        <f>IF(U$6=0,0,U$6/AGR_fec!U$6)</f>
        <v>0.42534504582013843</v>
      </c>
      <c r="V45" s="251">
        <f>IF(V$6=0,0,V$6/AGR_fec!V$6)</f>
        <v>0.42534504582013843</v>
      </c>
      <c r="W45" s="251">
        <f>IF(W$6=0,0,W$6/AGR_fec!W$6)</f>
        <v>0.42534504582013838</v>
      </c>
      <c r="DA45" s="288"/>
    </row>
    <row r="46" spans="1:105" x14ac:dyDescent="0.25">
      <c r="A46" s="241" t="s">
        <v>124</v>
      </c>
      <c r="B46" s="252">
        <f>IF(B$7=0,0,B$7/AGR_fec!B$7)</f>
        <v>0.42178402041817997</v>
      </c>
      <c r="C46" s="252">
        <f>IF(C$7=0,0,C$7/AGR_fec!C$7)</f>
        <v>0.42178402041818003</v>
      </c>
      <c r="D46" s="252">
        <f>IF(D$7=0,0,D$7/AGR_fec!D$7)</f>
        <v>0.42178402041818008</v>
      </c>
      <c r="E46" s="252">
        <f>IF(E$7=0,0,E$7/AGR_fec!E$7)</f>
        <v>0.42178402041818003</v>
      </c>
      <c r="F46" s="252">
        <f>IF(F$7=0,0,F$7/AGR_fec!F$7)</f>
        <v>0.42178402041818003</v>
      </c>
      <c r="G46" s="252">
        <f>IF(G$7=0,0,G$7/AGR_fec!G$7)</f>
        <v>0.42178402041818008</v>
      </c>
      <c r="H46" s="252">
        <f>IF(H$7=0,0,H$7/AGR_fec!H$7)</f>
        <v>0.42178402041818014</v>
      </c>
      <c r="I46" s="252">
        <f>IF(I$7=0,0,I$7/AGR_fec!I$7)</f>
        <v>0.42178402041818003</v>
      </c>
      <c r="J46" s="252">
        <f>IF(J$7=0,0,J$7/AGR_fec!J$7)</f>
        <v>0.42178402041817986</v>
      </c>
      <c r="K46" s="252">
        <f>IF(K$7=0,0,K$7/AGR_fec!K$7)</f>
        <v>0.42178402041818014</v>
      </c>
      <c r="L46" s="252">
        <f>IF(L$7=0,0,L$7/AGR_fec!L$7)</f>
        <v>0.42178402041818003</v>
      </c>
      <c r="M46" s="252">
        <f>IF(M$7=0,0,M$7/AGR_fec!M$7)</f>
        <v>0.42178402041817992</v>
      </c>
      <c r="N46" s="252">
        <f>IF(N$7=0,0,N$7/AGR_fec!N$7)</f>
        <v>0.42178402041818003</v>
      </c>
      <c r="O46" s="252">
        <f>IF(O$7=0,0,O$7/AGR_fec!O$7)</f>
        <v>0.42178402041817986</v>
      </c>
      <c r="P46" s="252">
        <f>IF(P$7=0,0,P$7/AGR_fec!P$7)</f>
        <v>0.42178402041818014</v>
      </c>
      <c r="Q46" s="252">
        <f>IF(Q$7=0,0,Q$7/AGR_fec!Q$7)</f>
        <v>0.42178402041818008</v>
      </c>
      <c r="R46" s="252">
        <f>IF(R$7=0,0,R$7/AGR_fec!R$7)</f>
        <v>0.42178402041817986</v>
      </c>
      <c r="S46" s="252">
        <f>IF(S$7=0,0,S$7/AGR_fec!S$7)</f>
        <v>0.42178402041818019</v>
      </c>
      <c r="T46" s="252">
        <f>IF(T$7=0,0,T$7/AGR_fec!T$7)</f>
        <v>0.42178402041817997</v>
      </c>
      <c r="U46" s="252">
        <f>IF(U$7=0,0,U$7/AGR_fec!U$7)</f>
        <v>0.42178402041818008</v>
      </c>
      <c r="V46" s="252">
        <f>IF(V$7=0,0,V$7/AGR_fec!V$7)</f>
        <v>0.42178402041817986</v>
      </c>
      <c r="W46" s="252">
        <f>IF(W$7=0,0,W$7/AGR_fec!W$7)</f>
        <v>0.42178402041817986</v>
      </c>
      <c r="DA46" s="289"/>
    </row>
    <row r="47" spans="1:105" x14ac:dyDescent="0.25">
      <c r="A47" s="241" t="s">
        <v>123</v>
      </c>
      <c r="B47" s="252">
        <f>IF(B$8=0,0,B$8/AGR_fec!B$8)</f>
        <v>0.60535424480625322</v>
      </c>
      <c r="C47" s="252">
        <f>IF(C$8=0,0,C$8/AGR_fec!C$8)</f>
        <v>0.60535424480625322</v>
      </c>
      <c r="D47" s="252">
        <f>IF(D$8=0,0,D$8/AGR_fec!D$8)</f>
        <v>0.60535424480625322</v>
      </c>
      <c r="E47" s="252">
        <f>IF(E$8=0,0,E$8/AGR_fec!E$8)</f>
        <v>0.60535424480625311</v>
      </c>
      <c r="F47" s="252">
        <f>IF(F$8=0,0,F$8/AGR_fec!F$8)</f>
        <v>0.60535424480625299</v>
      </c>
      <c r="G47" s="252">
        <f>IF(G$8=0,0,G$8/AGR_fec!G$8)</f>
        <v>0.60535424480625311</v>
      </c>
      <c r="H47" s="252">
        <f>IF(H$8=0,0,H$8/AGR_fec!H$8)</f>
        <v>0.60535424480625311</v>
      </c>
      <c r="I47" s="252">
        <f>IF(I$8=0,0,I$8/AGR_fec!I$8)</f>
        <v>0.60535424480625299</v>
      </c>
      <c r="J47" s="252">
        <f>IF(J$8=0,0,J$8/AGR_fec!J$8)</f>
        <v>0.60535424480625299</v>
      </c>
      <c r="K47" s="252">
        <f>IF(K$8=0,0,K$8/AGR_fec!K$8)</f>
        <v>0.60535424480625333</v>
      </c>
      <c r="L47" s="252">
        <f>IF(L$8=0,0,L$8/AGR_fec!L$8)</f>
        <v>0.60535424480625299</v>
      </c>
      <c r="M47" s="252">
        <f>IF(M$8=0,0,M$8/AGR_fec!M$8)</f>
        <v>0.60535424480625333</v>
      </c>
      <c r="N47" s="252">
        <f>IF(N$8=0,0,N$8/AGR_fec!N$8)</f>
        <v>0.60535424480625333</v>
      </c>
      <c r="O47" s="252">
        <f>IF(O$8=0,0,O$8/AGR_fec!O$8)</f>
        <v>0.60535424480625333</v>
      </c>
      <c r="P47" s="252">
        <f>IF(P$8=0,0,P$8/AGR_fec!P$8)</f>
        <v>0.60535424480625322</v>
      </c>
      <c r="Q47" s="252">
        <f>IF(Q$8=0,0,Q$8/AGR_fec!Q$8)</f>
        <v>0.60535424480625322</v>
      </c>
      <c r="R47" s="252">
        <f>IF(R$8=0,0,R$8/AGR_fec!R$8)</f>
        <v>0.60535424480625333</v>
      </c>
      <c r="S47" s="252">
        <f>IF(S$8=0,0,S$8/AGR_fec!S$8)</f>
        <v>0.60535424480625333</v>
      </c>
      <c r="T47" s="252">
        <f>IF(T$8=0,0,T$8/AGR_fec!T$8)</f>
        <v>0.60535424480625299</v>
      </c>
      <c r="U47" s="252">
        <f>IF(U$8=0,0,U$8/AGR_fec!U$8)</f>
        <v>0.60535424480625311</v>
      </c>
      <c r="V47" s="252">
        <f>IF(V$8=0,0,V$8/AGR_fec!V$8)</f>
        <v>0.60535424480625299</v>
      </c>
      <c r="W47" s="252">
        <f>IF(W$8=0,0,W$8/AGR_fec!W$8)</f>
        <v>0.60535424480625333</v>
      </c>
      <c r="DA47" s="289"/>
    </row>
    <row r="48" spans="1:105" x14ac:dyDescent="0.25">
      <c r="A48" s="243" t="s">
        <v>122</v>
      </c>
      <c r="B48" s="253">
        <f>IF(B$9=0,0,B$9/AGR_fec!B$9)</f>
        <v>0.58149984226088125</v>
      </c>
      <c r="C48" s="253">
        <f>IF(C$9=0,0,C$9/AGR_fec!C$9)</f>
        <v>0.57930731755043485</v>
      </c>
      <c r="D48" s="253">
        <f>IF(D$9=0,0,D$9/AGR_fec!D$9)</f>
        <v>0.5884902331275832</v>
      </c>
      <c r="E48" s="253">
        <f>IF(E$9=0,0,E$9/AGR_fec!E$9)</f>
        <v>0.59561798072630001</v>
      </c>
      <c r="F48" s="253">
        <f>IF(F$9=0,0,F$9/AGR_fec!F$9)</f>
        <v>0.60864286169502912</v>
      </c>
      <c r="G48" s="253">
        <f>IF(G$9=0,0,G$9/AGR_fec!G$9)</f>
        <v>0.62083772162848783</v>
      </c>
      <c r="H48" s="253">
        <f>IF(H$9=0,0,H$9/AGR_fec!H$9)</f>
        <v>0.6210048479485818</v>
      </c>
      <c r="I48" s="253">
        <f>IF(I$9=0,0,I$9/AGR_fec!I$9)</f>
        <v>0.62900867550607498</v>
      </c>
      <c r="J48" s="253">
        <f>IF(J$9=0,0,J$9/AGR_fec!J$9)</f>
        <v>0.66357745578845717</v>
      </c>
      <c r="K48" s="253">
        <f>IF(K$9=0,0,K$9/AGR_fec!K$9)</f>
        <v>0.65951360857790142</v>
      </c>
      <c r="L48" s="253">
        <f>IF(L$9=0,0,L$9/AGR_fec!L$9)</f>
        <v>0.66856774637888516</v>
      </c>
      <c r="M48" s="253">
        <f>IF(M$9=0,0,M$9/AGR_fec!M$9)</f>
        <v>0.64491655140578064</v>
      </c>
      <c r="N48" s="253">
        <f>IF(N$9=0,0,N$9/AGR_fec!N$9)</f>
        <v>0.64200570448459349</v>
      </c>
      <c r="O48" s="253">
        <f>IF(O$9=0,0,O$9/AGR_fec!O$9)</f>
        <v>0.65586376317857276</v>
      </c>
      <c r="P48" s="253">
        <f>IF(P$9=0,0,P$9/AGR_fec!P$9)</f>
        <v>0.66894220664575688</v>
      </c>
      <c r="Q48" s="253">
        <f>IF(Q$9=0,0,Q$9/AGR_fec!Q$9)</f>
        <v>0.65332638824180411</v>
      </c>
      <c r="R48" s="253">
        <f>IF(R$9=0,0,R$9/AGR_fec!R$9)</f>
        <v>0.67161804938438274</v>
      </c>
      <c r="S48" s="253">
        <f>IF(S$9=0,0,S$9/AGR_fec!S$9)</f>
        <v>0.66621007154488998</v>
      </c>
      <c r="T48" s="253">
        <f>IF(T$9=0,0,T$9/AGR_fec!T$9)</f>
        <v>0.67511321373318223</v>
      </c>
      <c r="U48" s="253">
        <f>IF(U$9=0,0,U$9/AGR_fec!U$9)</f>
        <v>0.65730358015334578</v>
      </c>
      <c r="V48" s="253">
        <f>IF(V$9=0,0,V$9/AGR_fec!V$9)</f>
        <v>0.65778599931757986</v>
      </c>
      <c r="W48" s="253">
        <f>IF(W$9=0,0,W$9/AGR_fec!W$9)</f>
        <v>0.67307755654735379</v>
      </c>
      <c r="DA48" s="290"/>
    </row>
    <row r="49" spans="1:105" x14ac:dyDescent="0.25">
      <c r="A49" s="128" t="s">
        <v>175</v>
      </c>
      <c r="B49" s="265">
        <f>IF(B$16=0,0,B$16/AGR_fec!B$16)</f>
        <v>0.30436828459955562</v>
      </c>
      <c r="C49" s="265">
        <f>IF(C$16=0,0,C$16/AGR_fec!C$16)</f>
        <v>0.30436828459955562</v>
      </c>
      <c r="D49" s="265">
        <f>IF(D$16=0,0,D$16/AGR_fec!D$16)</f>
        <v>0.30436828459955567</v>
      </c>
      <c r="E49" s="265">
        <f>IF(E$16=0,0,E$16/AGR_fec!E$16)</f>
        <v>0.30436828459955556</v>
      </c>
      <c r="F49" s="265">
        <f>IF(F$16=0,0,F$16/AGR_fec!F$16)</f>
        <v>0.30436828459955567</v>
      </c>
      <c r="G49" s="265">
        <f>IF(G$16=0,0,G$16/AGR_fec!G$16)</f>
        <v>0.30436828459955573</v>
      </c>
      <c r="H49" s="265">
        <f>IF(H$16=0,0,H$16/AGR_fec!H$16)</f>
        <v>0.30436828459955584</v>
      </c>
      <c r="I49" s="265">
        <f>IF(I$16=0,0,I$16/AGR_fec!I$16)</f>
        <v>0.30436828459955567</v>
      </c>
      <c r="J49" s="265">
        <f>IF(J$16=0,0,J$16/AGR_fec!J$16)</f>
        <v>0.30436828459955545</v>
      </c>
      <c r="K49" s="265">
        <f>IF(K$16=0,0,K$16/AGR_fec!K$16)</f>
        <v>0.30436828459955556</v>
      </c>
      <c r="L49" s="265">
        <f>IF(L$16=0,0,L$16/AGR_fec!L$16)</f>
        <v>0.30436828459955556</v>
      </c>
      <c r="M49" s="265">
        <f>IF(M$16=0,0,M$16/AGR_fec!M$16)</f>
        <v>0.30436828459955556</v>
      </c>
      <c r="N49" s="265">
        <f>IF(N$16=0,0,N$16/AGR_fec!N$16)</f>
        <v>0.30436828459955556</v>
      </c>
      <c r="O49" s="265">
        <f>IF(O$16=0,0,O$16/AGR_fec!O$16)</f>
        <v>0.30436828459955545</v>
      </c>
      <c r="P49" s="265">
        <f>IF(P$16=0,0,P$16/AGR_fec!P$16)</f>
        <v>0.30436828459955545</v>
      </c>
      <c r="Q49" s="265">
        <f>IF(Q$16=0,0,Q$16/AGR_fec!Q$16)</f>
        <v>0.30436828459955556</v>
      </c>
      <c r="R49" s="265">
        <f>IF(R$16=0,0,R$16/AGR_fec!R$16)</f>
        <v>0.30436828459955551</v>
      </c>
      <c r="S49" s="265">
        <f>IF(S$16=0,0,S$16/AGR_fec!S$16)</f>
        <v>0.30436828459955556</v>
      </c>
      <c r="T49" s="265">
        <f>IF(T$16=0,0,T$16/AGR_fec!T$16)</f>
        <v>0.30436828459955562</v>
      </c>
      <c r="U49" s="265">
        <f>IF(U$16=0,0,U$16/AGR_fec!U$16)</f>
        <v>0.30436828459955556</v>
      </c>
      <c r="V49" s="265">
        <f>IF(V$16=0,0,V$16/AGR_fec!V$16)</f>
        <v>0.30436828459955551</v>
      </c>
      <c r="W49" s="265">
        <f>IF(W$16=0,0,W$16/AGR_fec!W$16)</f>
        <v>0.30436828459955562</v>
      </c>
      <c r="DA49" s="291"/>
    </row>
    <row r="50" spans="1:105" x14ac:dyDescent="0.25">
      <c r="A50" s="128" t="s">
        <v>121</v>
      </c>
      <c r="B50" s="265">
        <f>IF(B$17=0,0,B$17/AGR_fec!B$17)</f>
        <v>0.24685817533060903</v>
      </c>
      <c r="C50" s="265">
        <f>IF(C$17=0,0,C$17/AGR_fec!C$17)</f>
        <v>0.24685817533060908</v>
      </c>
      <c r="D50" s="265">
        <f>IF(D$17=0,0,D$17/AGR_fec!D$17)</f>
        <v>0.24685817533060903</v>
      </c>
      <c r="E50" s="265">
        <f>IF(E$17=0,0,E$17/AGR_fec!E$17)</f>
        <v>0.246858175330609</v>
      </c>
      <c r="F50" s="265">
        <f>IF(F$17=0,0,F$17/AGR_fec!F$17)</f>
        <v>0.246858175330609</v>
      </c>
      <c r="G50" s="265">
        <f>IF(G$17=0,0,G$17/AGR_fec!G$17)</f>
        <v>0.24685817533060903</v>
      </c>
      <c r="H50" s="265">
        <f>IF(H$17=0,0,H$17/AGR_fec!H$17)</f>
        <v>0.24746972377566614</v>
      </c>
      <c r="I50" s="265">
        <f>IF(I$17=0,0,I$17/AGR_fec!I$17)</f>
        <v>0.24786523355853293</v>
      </c>
      <c r="J50" s="265">
        <f>IF(J$17=0,0,J$17/AGR_fec!J$17)</f>
        <v>0.24779920505434883</v>
      </c>
      <c r="K50" s="265">
        <f>IF(K$17=0,0,K$17/AGR_fec!K$17)</f>
        <v>0.24889255760724108</v>
      </c>
      <c r="L50" s="265">
        <f>IF(L$17=0,0,L$17/AGR_fec!L$17)</f>
        <v>0.24971933035958677</v>
      </c>
      <c r="M50" s="265">
        <f>IF(M$17=0,0,M$17/AGR_fec!M$17)</f>
        <v>0.25034447477463156</v>
      </c>
      <c r="N50" s="265">
        <f>IF(N$17=0,0,N$17/AGR_fec!N$17)</f>
        <v>0.25078330082650874</v>
      </c>
      <c r="O50" s="265">
        <f>IF(O$17=0,0,O$17/AGR_fec!O$17)</f>
        <v>0.25063261959973809</v>
      </c>
      <c r="P50" s="265">
        <f>IF(P$17=0,0,P$17/AGR_fec!P$17)</f>
        <v>0.25035734264931664</v>
      </c>
      <c r="Q50" s="265">
        <f>IF(Q$17=0,0,Q$17/AGR_fec!Q$17)</f>
        <v>0.2500233234121863</v>
      </c>
      <c r="R50" s="265">
        <f>IF(R$17=0,0,R$17/AGR_fec!R$17)</f>
        <v>0.25121873810784628</v>
      </c>
      <c r="S50" s="265">
        <f>IF(S$17=0,0,S$17/AGR_fec!S$17)</f>
        <v>0.25131113738746419</v>
      </c>
      <c r="T50" s="265">
        <f>IF(T$17=0,0,T$17/AGR_fec!T$17)</f>
        <v>0.2516318552627641</v>
      </c>
      <c r="U50" s="265">
        <f>IF(U$17=0,0,U$17/AGR_fec!U$17)</f>
        <v>0.25204870256702694</v>
      </c>
      <c r="V50" s="265">
        <f>IF(V$17=0,0,V$17/AGR_fec!V$17)</f>
        <v>0.25196936686867027</v>
      </c>
      <c r="W50" s="265">
        <f>IF(W$17=0,0,W$17/AGR_fec!W$17)</f>
        <v>0.25216830313171346</v>
      </c>
      <c r="DA50" s="291"/>
    </row>
    <row r="51" spans="1:105" x14ac:dyDescent="0.25">
      <c r="A51" s="128" t="s">
        <v>174</v>
      </c>
      <c r="B51" s="265">
        <f>IF(B$25=0,0,B$25/AGR_fec!B$25)</f>
        <v>0.2130577992196889</v>
      </c>
      <c r="C51" s="265">
        <f>IF(C$25=0,0,C$25/AGR_fec!C$25)</f>
        <v>0.21305779921968887</v>
      </c>
      <c r="D51" s="265">
        <f>IF(D$25=0,0,D$25/AGR_fec!D$25)</f>
        <v>0.21305779921968884</v>
      </c>
      <c r="E51" s="265">
        <f>IF(E$25=0,0,E$25/AGR_fec!E$25)</f>
        <v>0.2130577992196889</v>
      </c>
      <c r="F51" s="265">
        <f>IF(F$25=0,0,F$25/AGR_fec!F$25)</f>
        <v>0.2130577992196889</v>
      </c>
      <c r="G51" s="265">
        <f>IF(G$25=0,0,G$25/AGR_fec!G$25)</f>
        <v>0.21305779921968887</v>
      </c>
      <c r="H51" s="265">
        <f>IF(H$25=0,0,H$25/AGR_fec!H$25)</f>
        <v>0.2130577992196889</v>
      </c>
      <c r="I51" s="265">
        <f>IF(I$25=0,0,I$25/AGR_fec!I$25)</f>
        <v>0.21305779921968884</v>
      </c>
      <c r="J51" s="265">
        <f>IF(J$25=0,0,J$25/AGR_fec!J$25)</f>
        <v>0.21305779921968893</v>
      </c>
      <c r="K51" s="265">
        <f>IF(K$25=0,0,K$25/AGR_fec!K$25)</f>
        <v>0.21305779921968895</v>
      </c>
      <c r="L51" s="265">
        <f>IF(L$25=0,0,L$25/AGR_fec!L$25)</f>
        <v>0.2130577992196889</v>
      </c>
      <c r="M51" s="265">
        <f>IF(M$25=0,0,M$25/AGR_fec!M$25)</f>
        <v>0.21305779921968887</v>
      </c>
      <c r="N51" s="265">
        <f>IF(N$25=0,0,N$25/AGR_fec!N$25)</f>
        <v>0.21305779921968887</v>
      </c>
      <c r="O51" s="265">
        <f>IF(O$25=0,0,O$25/AGR_fec!O$25)</f>
        <v>0.21305779921968898</v>
      </c>
      <c r="P51" s="265">
        <f>IF(P$25=0,0,P$25/AGR_fec!P$25)</f>
        <v>0.21305779921968887</v>
      </c>
      <c r="Q51" s="265">
        <f>IF(Q$25=0,0,Q$25/AGR_fec!Q$25)</f>
        <v>0.21305779921968884</v>
      </c>
      <c r="R51" s="265">
        <f>IF(R$25=0,0,R$25/AGR_fec!R$25)</f>
        <v>0.21305779921968884</v>
      </c>
      <c r="S51" s="265">
        <f>IF(S$25=0,0,S$25/AGR_fec!S$25)</f>
        <v>0.21305779921968887</v>
      </c>
      <c r="T51" s="265">
        <f>IF(T$25=0,0,T$25/AGR_fec!T$25)</f>
        <v>0.21305779921968887</v>
      </c>
      <c r="U51" s="265">
        <f>IF(U$25=0,0,U$25/AGR_fec!U$25)</f>
        <v>0.21305779921968887</v>
      </c>
      <c r="V51" s="265">
        <f>IF(V$25=0,0,V$25/AGR_fec!V$25)</f>
        <v>0.21305779921968884</v>
      </c>
      <c r="W51" s="265">
        <f>IF(W$25=0,0,W$25/AGR_fec!W$25)</f>
        <v>0.21305779921968884</v>
      </c>
      <c r="DA51" s="291"/>
    </row>
    <row r="52" spans="1:105" x14ac:dyDescent="0.25">
      <c r="A52" s="128" t="s">
        <v>177</v>
      </c>
      <c r="B52" s="265">
        <f>IF(B$26=0,0,B$26/AGR_fec!B$26)</f>
        <v>0.42178402041817992</v>
      </c>
      <c r="C52" s="265">
        <f>IF(C$26=0,0,C$26/AGR_fec!C$26)</f>
        <v>0.42178402041817992</v>
      </c>
      <c r="D52" s="265">
        <f>IF(D$26=0,0,D$26/AGR_fec!D$26)</f>
        <v>0.42178402041818014</v>
      </c>
      <c r="E52" s="265">
        <f>IF(E$26=0,0,E$26/AGR_fec!E$26)</f>
        <v>0.42178402041818008</v>
      </c>
      <c r="F52" s="265">
        <f>IF(F$26=0,0,F$26/AGR_fec!F$26)</f>
        <v>0.42178402041817992</v>
      </c>
      <c r="G52" s="265">
        <f>IF(G$26=0,0,G$26/AGR_fec!G$26)</f>
        <v>0.42178402041817997</v>
      </c>
      <c r="H52" s="265">
        <f>IF(H$26=0,0,H$26/AGR_fec!H$26)</f>
        <v>0.42178402041817997</v>
      </c>
      <c r="I52" s="265">
        <f>IF(I$26=0,0,I$26/AGR_fec!I$26)</f>
        <v>0.42178402041817992</v>
      </c>
      <c r="J52" s="265">
        <f>IF(J$26=0,0,J$26/AGR_fec!J$26)</f>
        <v>0.42178402041818008</v>
      </c>
      <c r="K52" s="265">
        <f>IF(K$26=0,0,K$26/AGR_fec!K$26)</f>
        <v>0.42178402041817997</v>
      </c>
      <c r="L52" s="265">
        <f>IF(L$26=0,0,L$26/AGR_fec!L$26)</f>
        <v>0.42178402041818008</v>
      </c>
      <c r="M52" s="265">
        <f>IF(M$26=0,0,M$26/AGR_fec!M$26)</f>
        <v>0.42178402041817997</v>
      </c>
      <c r="N52" s="265">
        <f>IF(N$26=0,0,N$26/AGR_fec!N$26)</f>
        <v>0.42178402041818019</v>
      </c>
      <c r="O52" s="265">
        <f>IF(O$26=0,0,O$26/AGR_fec!O$26)</f>
        <v>0.42178402041818003</v>
      </c>
      <c r="P52" s="265">
        <f>IF(P$26=0,0,P$26/AGR_fec!P$26)</f>
        <v>0.42178402041818008</v>
      </c>
      <c r="Q52" s="265">
        <f>IF(Q$26=0,0,Q$26/AGR_fec!Q$26)</f>
        <v>0.42178402041817997</v>
      </c>
      <c r="R52" s="265">
        <f>IF(R$26=0,0,R$26/AGR_fec!R$26)</f>
        <v>0.42178402041818003</v>
      </c>
      <c r="S52" s="265">
        <f>IF(S$26=0,0,S$26/AGR_fec!S$26)</f>
        <v>0.42178402041818008</v>
      </c>
      <c r="T52" s="265">
        <f>IF(T$26=0,0,T$26/AGR_fec!T$26)</f>
        <v>0.42178402041817997</v>
      </c>
      <c r="U52" s="265">
        <f>IF(U$26=0,0,U$26/AGR_fec!U$26)</f>
        <v>0.42178402041817997</v>
      </c>
      <c r="V52" s="265">
        <f>IF(V$26=0,0,V$26/AGR_fec!V$26)</f>
        <v>0.42178402041817997</v>
      </c>
      <c r="W52" s="265">
        <f>IF(W$26=0,0,W$26/AGR_fec!W$26)</f>
        <v>0.42178402041818003</v>
      </c>
      <c r="DA52" s="291"/>
    </row>
    <row r="53" spans="1:105" x14ac:dyDescent="0.25">
      <c r="A53" s="261" t="s">
        <v>33</v>
      </c>
      <c r="B53" s="266">
        <f>IF(B$27=0,0,B$27/AGR_fec!B$27)</f>
        <v>0.44332838415444575</v>
      </c>
      <c r="C53" s="266">
        <f>IF(C$27=0,0,C$27/AGR_fec!C$27)</f>
        <v>0.44332838415444586</v>
      </c>
      <c r="D53" s="266">
        <f>IF(D$27=0,0,D$27/AGR_fec!D$27)</f>
        <v>0.44332838415444575</v>
      </c>
      <c r="E53" s="266">
        <f>IF(E$27=0,0,E$27/AGR_fec!E$27)</f>
        <v>0.4433283841544457</v>
      </c>
      <c r="F53" s="266">
        <f>IF(F$27=0,0,F$27/AGR_fec!F$27)</f>
        <v>0.44332838415444592</v>
      </c>
      <c r="G53" s="266">
        <f>IF(G$27=0,0,G$27/AGR_fec!G$27)</f>
        <v>0.44332838415444581</v>
      </c>
      <c r="H53" s="266">
        <f>IF(H$27=0,0,H$27/AGR_fec!H$27)</f>
        <v>0.44332838415444575</v>
      </c>
      <c r="I53" s="266">
        <f>IF(I$27=0,0,I$27/AGR_fec!I$27)</f>
        <v>0.44332838415444564</v>
      </c>
      <c r="J53" s="266">
        <f>IF(J$27=0,0,J$27/AGR_fec!J$27)</f>
        <v>0.44332838415444586</v>
      </c>
      <c r="K53" s="266">
        <f>IF(K$27=0,0,K$27/AGR_fec!K$27)</f>
        <v>0.4433283841544457</v>
      </c>
      <c r="L53" s="266">
        <f>IF(L$27=0,0,L$27/AGR_fec!L$27)</f>
        <v>0.44332838415444575</v>
      </c>
      <c r="M53" s="266">
        <f>IF(M$27=0,0,M$27/AGR_fec!M$27)</f>
        <v>0.44332838415444586</v>
      </c>
      <c r="N53" s="266">
        <f>IF(N$27=0,0,N$27/AGR_fec!N$27)</f>
        <v>0.4433283841544457</v>
      </c>
      <c r="O53" s="266">
        <f>IF(O$27=0,0,O$27/AGR_fec!O$27)</f>
        <v>0.44332838415444553</v>
      </c>
      <c r="P53" s="266">
        <f>IF(P$27=0,0,P$27/AGR_fec!P$27)</f>
        <v>0.44332838415444548</v>
      </c>
      <c r="Q53" s="266">
        <f>IF(Q$27=0,0,Q$27/AGR_fec!Q$27)</f>
        <v>0.44332838415444581</v>
      </c>
      <c r="R53" s="266">
        <f>IF(R$27=0,0,R$27/AGR_fec!R$27)</f>
        <v>0.44332838415444575</v>
      </c>
      <c r="S53" s="266">
        <f>IF(S$27=0,0,S$27/AGR_fec!S$27)</f>
        <v>0.44332838415444592</v>
      </c>
      <c r="T53" s="266">
        <f>IF(T$27=0,0,T$27/AGR_fec!T$27)</f>
        <v>0.44332838415444598</v>
      </c>
      <c r="U53" s="266">
        <f>IF(U$27=0,0,U$27/AGR_fec!U$27)</f>
        <v>0.44332838415444559</v>
      </c>
      <c r="V53" s="266">
        <f>IF(V$27=0,0,V$27/AGR_fec!V$27)</f>
        <v>0.44332838415444575</v>
      </c>
      <c r="W53" s="266">
        <f>IF(W$27=0,0,W$27/AGR_fec!W$27)</f>
        <v>0.44332838415444575</v>
      </c>
      <c r="DA53" s="292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W5 B9:W9 B17:W17" formulaRange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2" tint="-0.499984740745262"/>
    <pageSetUpPr fitToPage="1"/>
  </sheetPr>
  <dimension ref="A1:DA5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1034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3" spans="1:105" ht="12.75" x14ac:dyDescent="0.25">
      <c r="A3" s="233" t="s">
        <v>136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DA3" s="267"/>
    </row>
    <row r="5" spans="1:105" ht="12.75" x14ac:dyDescent="0.25">
      <c r="A5" s="234" t="s">
        <v>126</v>
      </c>
      <c r="B5" s="80">
        <f>SUM(B6:B9,B16:B17,B25:B27)</f>
        <v>116.43973684752224</v>
      </c>
      <c r="C5" s="80">
        <f t="shared" ref="C5:W5" si="0">SUM(C6:C9,C16:C17,C25:C27)</f>
        <v>117.6590067191608</v>
      </c>
      <c r="D5" s="80">
        <f t="shared" si="0"/>
        <v>112.78192723485428</v>
      </c>
      <c r="E5" s="80">
        <f t="shared" si="0"/>
        <v>115.83007639579368</v>
      </c>
      <c r="F5" s="80">
        <f t="shared" si="0"/>
        <v>104.24708917237618</v>
      </c>
      <c r="G5" s="80">
        <f t="shared" si="0"/>
        <v>95.712251108806669</v>
      </c>
      <c r="H5" s="80">
        <f t="shared" si="0"/>
        <v>102.86980313445176</v>
      </c>
      <c r="I5" s="80">
        <f t="shared" si="0"/>
        <v>102.12976791633193</v>
      </c>
      <c r="J5" s="80">
        <f t="shared" si="0"/>
        <v>85.793628242630547</v>
      </c>
      <c r="K5" s="80">
        <f t="shared" si="0"/>
        <v>79.356442682104927</v>
      </c>
      <c r="L5" s="80">
        <f t="shared" si="0"/>
        <v>76.242286442914335</v>
      </c>
      <c r="M5" s="80">
        <f t="shared" si="0"/>
        <v>82.538622721857521</v>
      </c>
      <c r="N5" s="80">
        <f t="shared" si="0"/>
        <v>79.201455121645054</v>
      </c>
      <c r="O5" s="80">
        <f t="shared" si="0"/>
        <v>75.773589122944628</v>
      </c>
      <c r="P5" s="80">
        <f t="shared" si="0"/>
        <v>66.608904962033208</v>
      </c>
      <c r="Q5" s="80">
        <f t="shared" si="0"/>
        <v>79.354308601232376</v>
      </c>
      <c r="R5" s="80">
        <f t="shared" si="0"/>
        <v>79.121304722686645</v>
      </c>
      <c r="S5" s="80">
        <f t="shared" si="0"/>
        <v>83.830151162192465</v>
      </c>
      <c r="T5" s="80">
        <f t="shared" si="0"/>
        <v>78.571874161373259</v>
      </c>
      <c r="U5" s="80">
        <f t="shared" si="0"/>
        <v>84.367304281346748</v>
      </c>
      <c r="V5" s="80">
        <f t="shared" si="0"/>
        <v>87.841071721144445</v>
      </c>
      <c r="W5" s="80">
        <f t="shared" si="0"/>
        <v>84.404588042293227</v>
      </c>
      <c r="DA5" s="103"/>
    </row>
    <row r="6" spans="1:105" x14ac:dyDescent="0.25">
      <c r="A6" s="239" t="s">
        <v>125</v>
      </c>
      <c r="B6" s="240">
        <v>0</v>
      </c>
      <c r="C6" s="240">
        <v>0</v>
      </c>
      <c r="D6" s="240">
        <v>0</v>
      </c>
      <c r="E6" s="240">
        <v>0</v>
      </c>
      <c r="F6" s="240">
        <v>0</v>
      </c>
      <c r="G6" s="240">
        <v>0</v>
      </c>
      <c r="H6" s="240">
        <v>0</v>
      </c>
      <c r="I6" s="240">
        <v>0</v>
      </c>
      <c r="J6" s="240">
        <v>0</v>
      </c>
      <c r="K6" s="240">
        <v>0</v>
      </c>
      <c r="L6" s="240">
        <v>0</v>
      </c>
      <c r="M6" s="240">
        <v>0</v>
      </c>
      <c r="N6" s="240">
        <v>0</v>
      </c>
      <c r="O6" s="240">
        <v>0</v>
      </c>
      <c r="P6" s="240">
        <v>0</v>
      </c>
      <c r="Q6" s="240">
        <v>0</v>
      </c>
      <c r="R6" s="240">
        <v>0</v>
      </c>
      <c r="S6" s="240">
        <v>0</v>
      </c>
      <c r="T6" s="240">
        <v>0</v>
      </c>
      <c r="U6" s="240">
        <v>0</v>
      </c>
      <c r="V6" s="240">
        <v>0</v>
      </c>
      <c r="W6" s="240">
        <v>0</v>
      </c>
      <c r="DA6" s="268" t="s">
        <v>1035</v>
      </c>
    </row>
    <row r="7" spans="1:105" x14ac:dyDescent="0.25">
      <c r="A7" s="241" t="s">
        <v>124</v>
      </c>
      <c r="B7" s="242">
        <v>0</v>
      </c>
      <c r="C7" s="242">
        <v>0</v>
      </c>
      <c r="D7" s="242">
        <v>0</v>
      </c>
      <c r="E7" s="242">
        <v>0</v>
      </c>
      <c r="F7" s="242">
        <v>0</v>
      </c>
      <c r="G7" s="242">
        <v>0</v>
      </c>
      <c r="H7" s="242">
        <v>0</v>
      </c>
      <c r="I7" s="242">
        <v>0</v>
      </c>
      <c r="J7" s="242">
        <v>0</v>
      </c>
      <c r="K7" s="242">
        <v>0</v>
      </c>
      <c r="L7" s="242">
        <v>0</v>
      </c>
      <c r="M7" s="242">
        <v>0</v>
      </c>
      <c r="N7" s="242">
        <v>0</v>
      </c>
      <c r="O7" s="242">
        <v>0</v>
      </c>
      <c r="P7" s="242">
        <v>0</v>
      </c>
      <c r="Q7" s="242">
        <v>0</v>
      </c>
      <c r="R7" s="242">
        <v>0</v>
      </c>
      <c r="S7" s="242">
        <v>0</v>
      </c>
      <c r="T7" s="242">
        <v>0</v>
      </c>
      <c r="U7" s="242">
        <v>0</v>
      </c>
      <c r="V7" s="242">
        <v>0</v>
      </c>
      <c r="W7" s="242">
        <v>0</v>
      </c>
      <c r="DA7" s="269" t="s">
        <v>1036</v>
      </c>
    </row>
    <row r="8" spans="1:105" x14ac:dyDescent="0.25">
      <c r="A8" s="241" t="s">
        <v>123</v>
      </c>
      <c r="B8" s="242">
        <v>0</v>
      </c>
      <c r="C8" s="242">
        <v>0</v>
      </c>
      <c r="D8" s="242">
        <v>0</v>
      </c>
      <c r="E8" s="242">
        <v>0</v>
      </c>
      <c r="F8" s="242">
        <v>0</v>
      </c>
      <c r="G8" s="242">
        <v>0</v>
      </c>
      <c r="H8" s="242">
        <v>0</v>
      </c>
      <c r="I8" s="242">
        <v>0</v>
      </c>
      <c r="J8" s="242">
        <v>0</v>
      </c>
      <c r="K8" s="242">
        <v>0</v>
      </c>
      <c r="L8" s="242">
        <v>0</v>
      </c>
      <c r="M8" s="242">
        <v>0</v>
      </c>
      <c r="N8" s="242">
        <v>0</v>
      </c>
      <c r="O8" s="242">
        <v>0</v>
      </c>
      <c r="P8" s="242">
        <v>0</v>
      </c>
      <c r="Q8" s="242">
        <v>0</v>
      </c>
      <c r="R8" s="242">
        <v>0</v>
      </c>
      <c r="S8" s="242">
        <v>0</v>
      </c>
      <c r="T8" s="242">
        <v>0</v>
      </c>
      <c r="U8" s="242">
        <v>0</v>
      </c>
      <c r="V8" s="242">
        <v>0</v>
      </c>
      <c r="W8" s="242">
        <v>0</v>
      </c>
      <c r="DA8" s="269" t="s">
        <v>1037</v>
      </c>
    </row>
    <row r="9" spans="1:105" x14ac:dyDescent="0.25">
      <c r="A9" s="243" t="s">
        <v>122</v>
      </c>
      <c r="B9" s="244">
        <f>SUM(B10:B15)</f>
        <v>22.94156858993184</v>
      </c>
      <c r="C9" s="244">
        <f t="shared" ref="C9:W9" si="1">SUM(C10:C15)</f>
        <v>23.35213375913219</v>
      </c>
      <c r="D9" s="244">
        <f t="shared" si="1"/>
        <v>21.701257514304292</v>
      </c>
      <c r="E9" s="244">
        <f t="shared" si="1"/>
        <v>21.742037556029931</v>
      </c>
      <c r="F9" s="244">
        <f t="shared" si="1"/>
        <v>18.657701386699859</v>
      </c>
      <c r="G9" s="244">
        <f t="shared" si="1"/>
        <v>16.325587791159549</v>
      </c>
      <c r="H9" s="244">
        <f t="shared" si="1"/>
        <v>17.456841770693419</v>
      </c>
      <c r="I9" s="244">
        <f t="shared" si="1"/>
        <v>16.68854421349339</v>
      </c>
      <c r="J9" s="244">
        <f t="shared" si="1"/>
        <v>11.74878022137657</v>
      </c>
      <c r="K9" s="244">
        <f t="shared" si="1"/>
        <v>10.89305972130728</v>
      </c>
      <c r="L9" s="244">
        <f t="shared" si="1"/>
        <v>9.7629129869008295</v>
      </c>
      <c r="M9" s="244">
        <f t="shared" si="1"/>
        <v>11.476187174359289</v>
      </c>
      <c r="N9" s="244">
        <f t="shared" si="1"/>
        <v>11.09135934383151</v>
      </c>
      <c r="O9" s="244">
        <f t="shared" si="1"/>
        <v>9.5770843222687887</v>
      </c>
      <c r="P9" s="244">
        <f t="shared" si="1"/>
        <v>7.6368237198374063</v>
      </c>
      <c r="Q9" s="244">
        <f t="shared" si="1"/>
        <v>10.120780502490771</v>
      </c>
      <c r="R9" s="244">
        <f t="shared" si="1"/>
        <v>8.715236838316649</v>
      </c>
      <c r="S9" s="244">
        <f t="shared" si="1"/>
        <v>9.5583389490726809</v>
      </c>
      <c r="T9" s="244">
        <f t="shared" si="1"/>
        <v>8.2404931766151002</v>
      </c>
      <c r="U9" s="244">
        <f t="shared" si="1"/>
        <v>10.117251459500229</v>
      </c>
      <c r="V9" s="244">
        <f t="shared" si="1"/>
        <v>10.872131906477721</v>
      </c>
      <c r="W9" s="244">
        <f t="shared" si="1"/>
        <v>9.3575882465520284</v>
      </c>
      <c r="DA9" s="270"/>
    </row>
    <row r="10" spans="1:105" x14ac:dyDescent="0.25">
      <c r="A10" s="254" t="s">
        <v>173</v>
      </c>
      <c r="B10" s="255">
        <v>22.94156858993184</v>
      </c>
      <c r="C10" s="255">
        <v>23.35213375913219</v>
      </c>
      <c r="D10" s="255">
        <v>21.701257514304292</v>
      </c>
      <c r="E10" s="255">
        <v>21.742037556029931</v>
      </c>
      <c r="F10" s="255">
        <v>18.657701386699859</v>
      </c>
      <c r="G10" s="255">
        <v>16.325587791159549</v>
      </c>
      <c r="H10" s="255">
        <v>17.456841770693419</v>
      </c>
      <c r="I10" s="255">
        <v>16.68854421349339</v>
      </c>
      <c r="J10" s="255">
        <v>11.74878022137657</v>
      </c>
      <c r="K10" s="255">
        <v>10.89305972130728</v>
      </c>
      <c r="L10" s="255">
        <v>9.7629129869008295</v>
      </c>
      <c r="M10" s="255">
        <v>11.476187174359289</v>
      </c>
      <c r="N10" s="255">
        <v>11.09135934383151</v>
      </c>
      <c r="O10" s="255">
        <v>9.5770843222687887</v>
      </c>
      <c r="P10" s="255">
        <v>7.6368237198374063</v>
      </c>
      <c r="Q10" s="255">
        <v>10.120780502490771</v>
      </c>
      <c r="R10" s="255">
        <v>8.715236838316649</v>
      </c>
      <c r="S10" s="255">
        <v>9.5583389490726809</v>
      </c>
      <c r="T10" s="255">
        <v>8.2404931766151002</v>
      </c>
      <c r="U10" s="255">
        <v>10.117251459500229</v>
      </c>
      <c r="V10" s="255">
        <v>10.872131906477721</v>
      </c>
      <c r="W10" s="255">
        <v>9.3575882465520284</v>
      </c>
      <c r="DA10" s="271" t="s">
        <v>1038</v>
      </c>
    </row>
    <row r="11" spans="1:105" x14ac:dyDescent="0.25">
      <c r="A11" s="254" t="s">
        <v>176</v>
      </c>
      <c r="B11" s="256">
        <v>0</v>
      </c>
      <c r="C11" s="256">
        <v>0</v>
      </c>
      <c r="D11" s="256">
        <v>0</v>
      </c>
      <c r="E11" s="256">
        <v>0</v>
      </c>
      <c r="F11" s="256">
        <v>0</v>
      </c>
      <c r="G11" s="256">
        <v>0</v>
      </c>
      <c r="H11" s="256">
        <v>0</v>
      </c>
      <c r="I11" s="256">
        <v>0</v>
      </c>
      <c r="J11" s="256">
        <v>0</v>
      </c>
      <c r="K11" s="256">
        <v>0</v>
      </c>
      <c r="L11" s="256">
        <v>0</v>
      </c>
      <c r="M11" s="256">
        <v>0</v>
      </c>
      <c r="N11" s="256">
        <v>0</v>
      </c>
      <c r="O11" s="256">
        <v>0</v>
      </c>
      <c r="P11" s="256">
        <v>0</v>
      </c>
      <c r="Q11" s="256">
        <v>0</v>
      </c>
      <c r="R11" s="256">
        <v>0</v>
      </c>
      <c r="S11" s="256">
        <v>0</v>
      </c>
      <c r="T11" s="256">
        <v>0</v>
      </c>
      <c r="U11" s="256">
        <v>0</v>
      </c>
      <c r="V11" s="256">
        <v>0</v>
      </c>
      <c r="W11" s="256">
        <v>0</v>
      </c>
      <c r="DA11" s="272" t="s">
        <v>1039</v>
      </c>
    </row>
    <row r="12" spans="1:105" x14ac:dyDescent="0.25">
      <c r="A12" s="254" t="s">
        <v>158</v>
      </c>
      <c r="B12" s="256">
        <v>0</v>
      </c>
      <c r="C12" s="256">
        <v>0</v>
      </c>
      <c r="D12" s="256">
        <v>0</v>
      </c>
      <c r="E12" s="256">
        <v>0</v>
      </c>
      <c r="F12" s="256">
        <v>0</v>
      </c>
      <c r="G12" s="256">
        <v>0</v>
      </c>
      <c r="H12" s="256">
        <v>0</v>
      </c>
      <c r="I12" s="256">
        <v>0</v>
      </c>
      <c r="J12" s="256">
        <v>0</v>
      </c>
      <c r="K12" s="256">
        <v>0</v>
      </c>
      <c r="L12" s="256">
        <v>0</v>
      </c>
      <c r="M12" s="256">
        <v>0</v>
      </c>
      <c r="N12" s="256">
        <v>0</v>
      </c>
      <c r="O12" s="256">
        <v>0</v>
      </c>
      <c r="P12" s="256">
        <v>0</v>
      </c>
      <c r="Q12" s="256">
        <v>0</v>
      </c>
      <c r="R12" s="256">
        <v>0</v>
      </c>
      <c r="S12" s="256">
        <v>0</v>
      </c>
      <c r="T12" s="256">
        <v>0</v>
      </c>
      <c r="U12" s="256">
        <v>0</v>
      </c>
      <c r="V12" s="256">
        <v>0</v>
      </c>
      <c r="W12" s="256">
        <v>0</v>
      </c>
      <c r="DA12" s="272" t="s">
        <v>1040</v>
      </c>
    </row>
    <row r="13" spans="1:105" x14ac:dyDescent="0.25">
      <c r="A13" s="254" t="s">
        <v>157</v>
      </c>
      <c r="B13" s="256">
        <v>0</v>
      </c>
      <c r="C13" s="256">
        <v>0</v>
      </c>
      <c r="D13" s="256">
        <v>0</v>
      </c>
      <c r="E13" s="256">
        <v>0</v>
      </c>
      <c r="F13" s="256">
        <v>0</v>
      </c>
      <c r="G13" s="256">
        <v>0</v>
      </c>
      <c r="H13" s="256">
        <v>0</v>
      </c>
      <c r="I13" s="256">
        <v>0</v>
      </c>
      <c r="J13" s="256">
        <v>0</v>
      </c>
      <c r="K13" s="256">
        <v>0</v>
      </c>
      <c r="L13" s="256">
        <v>0</v>
      </c>
      <c r="M13" s="256">
        <v>0</v>
      </c>
      <c r="N13" s="256">
        <v>0</v>
      </c>
      <c r="O13" s="256">
        <v>0</v>
      </c>
      <c r="P13" s="256">
        <v>0</v>
      </c>
      <c r="Q13" s="256">
        <v>0</v>
      </c>
      <c r="R13" s="256">
        <v>0</v>
      </c>
      <c r="S13" s="256">
        <v>0</v>
      </c>
      <c r="T13" s="256">
        <v>0</v>
      </c>
      <c r="U13" s="256">
        <v>0</v>
      </c>
      <c r="V13" s="256">
        <v>0</v>
      </c>
      <c r="W13" s="256">
        <v>0</v>
      </c>
      <c r="DA13" s="272" t="s">
        <v>1041</v>
      </c>
    </row>
    <row r="14" spans="1:105" x14ac:dyDescent="0.25">
      <c r="A14" s="254" t="s">
        <v>169</v>
      </c>
      <c r="B14" s="255">
        <v>0</v>
      </c>
      <c r="C14" s="255">
        <v>0</v>
      </c>
      <c r="D14" s="255">
        <v>0</v>
      </c>
      <c r="E14" s="255">
        <v>0</v>
      </c>
      <c r="F14" s="255">
        <v>0</v>
      </c>
      <c r="G14" s="255">
        <v>0</v>
      </c>
      <c r="H14" s="255">
        <v>0</v>
      </c>
      <c r="I14" s="255">
        <v>0</v>
      </c>
      <c r="J14" s="255">
        <v>0</v>
      </c>
      <c r="K14" s="255">
        <v>0</v>
      </c>
      <c r="L14" s="255">
        <v>0</v>
      </c>
      <c r="M14" s="255">
        <v>0</v>
      </c>
      <c r="N14" s="255">
        <v>0</v>
      </c>
      <c r="O14" s="255">
        <v>0</v>
      </c>
      <c r="P14" s="255">
        <v>0</v>
      </c>
      <c r="Q14" s="255">
        <v>0</v>
      </c>
      <c r="R14" s="255">
        <v>0</v>
      </c>
      <c r="S14" s="255">
        <v>0</v>
      </c>
      <c r="T14" s="255">
        <v>0</v>
      </c>
      <c r="U14" s="255">
        <v>0</v>
      </c>
      <c r="V14" s="255">
        <v>0</v>
      </c>
      <c r="W14" s="255">
        <v>0</v>
      </c>
      <c r="DA14" s="271" t="s">
        <v>1042</v>
      </c>
    </row>
    <row r="15" spans="1:105" x14ac:dyDescent="0.25">
      <c r="A15" s="254" t="s">
        <v>24</v>
      </c>
      <c r="B15" s="256">
        <v>0</v>
      </c>
      <c r="C15" s="256">
        <v>0</v>
      </c>
      <c r="D15" s="256">
        <v>0</v>
      </c>
      <c r="E15" s="256">
        <v>0</v>
      </c>
      <c r="F15" s="256">
        <v>0</v>
      </c>
      <c r="G15" s="256">
        <v>0</v>
      </c>
      <c r="H15" s="256">
        <v>0</v>
      </c>
      <c r="I15" s="256">
        <v>0</v>
      </c>
      <c r="J15" s="256">
        <v>0</v>
      </c>
      <c r="K15" s="256">
        <v>0</v>
      </c>
      <c r="L15" s="256">
        <v>0</v>
      </c>
      <c r="M15" s="256">
        <v>0</v>
      </c>
      <c r="N15" s="256">
        <v>0</v>
      </c>
      <c r="O15" s="256">
        <v>0</v>
      </c>
      <c r="P15" s="256">
        <v>0</v>
      </c>
      <c r="Q15" s="256">
        <v>0</v>
      </c>
      <c r="R15" s="256">
        <v>0</v>
      </c>
      <c r="S15" s="256">
        <v>0</v>
      </c>
      <c r="T15" s="256">
        <v>0</v>
      </c>
      <c r="U15" s="256">
        <v>0</v>
      </c>
      <c r="V15" s="256">
        <v>0</v>
      </c>
      <c r="W15" s="256">
        <v>0</v>
      </c>
      <c r="DA15" s="272" t="s">
        <v>1043</v>
      </c>
    </row>
    <row r="16" spans="1:105" x14ac:dyDescent="0.25">
      <c r="A16" s="257" t="s">
        <v>175</v>
      </c>
      <c r="B16" s="258">
        <v>36.992388367176098</v>
      </c>
      <c r="C16" s="258">
        <v>37.312350982320993</v>
      </c>
      <c r="D16" s="258">
        <v>36.035909257201453</v>
      </c>
      <c r="E16" s="258">
        <v>37.225769641577237</v>
      </c>
      <c r="F16" s="258">
        <v>33.86329306851998</v>
      </c>
      <c r="G16" s="258">
        <v>31.40919587354853</v>
      </c>
      <c r="H16" s="258">
        <v>33.698113182010772</v>
      </c>
      <c r="I16" s="258">
        <v>33.708329573530882</v>
      </c>
      <c r="J16" s="258">
        <v>29.128417487927109</v>
      </c>
      <c r="K16" s="258">
        <v>27.609014659968889</v>
      </c>
      <c r="L16" s="258">
        <v>27.213463791539549</v>
      </c>
      <c r="M16" s="258">
        <v>29.58186762968236</v>
      </c>
      <c r="N16" s="258">
        <v>28.630846085506921</v>
      </c>
      <c r="O16" s="258">
        <v>27.68560578660313</v>
      </c>
      <c r="P16" s="258">
        <v>25.231650405650811</v>
      </c>
      <c r="Q16" s="258">
        <v>28.64937981065551</v>
      </c>
      <c r="R16" s="258">
        <v>29.084104360412301</v>
      </c>
      <c r="S16" s="258">
        <v>30.511505899566849</v>
      </c>
      <c r="T16" s="258">
        <v>28.923534387617181</v>
      </c>
      <c r="U16" s="258">
        <v>30.675798404893229</v>
      </c>
      <c r="V16" s="258">
        <v>32.07568363648916</v>
      </c>
      <c r="W16" s="258">
        <v>31.37367966938832</v>
      </c>
      <c r="DA16" s="273" t="s">
        <v>1044</v>
      </c>
    </row>
    <row r="17" spans="1:105" x14ac:dyDescent="0.25">
      <c r="A17" s="257" t="s">
        <v>121</v>
      </c>
      <c r="B17" s="258">
        <f>SUM(B18:B24)</f>
        <v>49.39738418126197</v>
      </c>
      <c r="C17" s="258">
        <f t="shared" ref="C17:W17" si="2">SUM(C18:C24)</f>
        <v>49.824642785574682</v>
      </c>
      <c r="D17" s="258">
        <f t="shared" si="2"/>
        <v>48.120160186211898</v>
      </c>
      <c r="E17" s="258">
        <f t="shared" si="2"/>
        <v>49.70902733222259</v>
      </c>
      <c r="F17" s="258">
        <f t="shared" si="2"/>
        <v>45.218980746661138</v>
      </c>
      <c r="G17" s="258">
        <f t="shared" si="2"/>
        <v>41.941928701388818</v>
      </c>
      <c r="H17" s="258">
        <f t="shared" si="2"/>
        <v>45.239474903008905</v>
      </c>
      <c r="I17" s="258">
        <f t="shared" si="2"/>
        <v>45.255557685797797</v>
      </c>
      <c r="J17" s="258">
        <f t="shared" si="2"/>
        <v>39.319162364794593</v>
      </c>
      <c r="K17" s="258">
        <f t="shared" si="2"/>
        <v>35.549066047974307</v>
      </c>
      <c r="L17" s="258">
        <f t="shared" si="2"/>
        <v>34.03661580740043</v>
      </c>
      <c r="M17" s="258">
        <f t="shared" si="2"/>
        <v>35.796165525616445</v>
      </c>
      <c r="N17" s="258">
        <f t="shared" si="2"/>
        <v>33.977594015372709</v>
      </c>
      <c r="O17" s="258">
        <f t="shared" si="2"/>
        <v>33.190879137946069</v>
      </c>
      <c r="P17" s="258">
        <f t="shared" si="2"/>
        <v>28.891958937458149</v>
      </c>
      <c r="Q17" s="258">
        <f t="shared" si="2"/>
        <v>35.078931201409922</v>
      </c>
      <c r="R17" s="258">
        <f t="shared" si="2"/>
        <v>35.733210492170798</v>
      </c>
      <c r="S17" s="258">
        <f t="shared" si="2"/>
        <v>37.8972661804453</v>
      </c>
      <c r="T17" s="258">
        <f t="shared" si="2"/>
        <v>35.849948423772702</v>
      </c>
      <c r="U17" s="258">
        <f t="shared" si="2"/>
        <v>37.679644109778607</v>
      </c>
      <c r="V17" s="258">
        <f t="shared" si="2"/>
        <v>38.729646257492888</v>
      </c>
      <c r="W17" s="258">
        <f t="shared" si="2"/>
        <v>37.644606118254792</v>
      </c>
      <c r="DA17" s="273"/>
    </row>
    <row r="18" spans="1:105" x14ac:dyDescent="0.25">
      <c r="A18" s="61" t="s">
        <v>29</v>
      </c>
      <c r="B18" s="55">
        <v>0</v>
      </c>
      <c r="C18" s="55">
        <v>0</v>
      </c>
      <c r="D18" s="55">
        <v>0</v>
      </c>
      <c r="E18" s="55">
        <v>0</v>
      </c>
      <c r="F18" s="55">
        <v>0</v>
      </c>
      <c r="G18" s="55">
        <v>0</v>
      </c>
      <c r="H18" s="55">
        <v>0</v>
      </c>
      <c r="I18" s="55">
        <v>0</v>
      </c>
      <c r="J18" s="55">
        <v>0</v>
      </c>
      <c r="K18" s="55">
        <v>0</v>
      </c>
      <c r="L18" s="55">
        <v>0</v>
      </c>
      <c r="M18" s="55">
        <v>0</v>
      </c>
      <c r="N18" s="55">
        <v>0</v>
      </c>
      <c r="O18" s="55">
        <v>0</v>
      </c>
      <c r="P18" s="55">
        <v>0</v>
      </c>
      <c r="Q18" s="55">
        <v>0</v>
      </c>
      <c r="R18" s="55">
        <v>0</v>
      </c>
      <c r="S18" s="55">
        <v>0</v>
      </c>
      <c r="T18" s="55">
        <v>0</v>
      </c>
      <c r="U18" s="55">
        <v>0</v>
      </c>
      <c r="V18" s="55">
        <v>0</v>
      </c>
      <c r="W18" s="55">
        <v>0</v>
      </c>
      <c r="DA18" s="101" t="s">
        <v>1045</v>
      </c>
    </row>
    <row r="19" spans="1:105" x14ac:dyDescent="0.25">
      <c r="A19" s="61" t="s">
        <v>27</v>
      </c>
      <c r="B19" s="55">
        <v>0</v>
      </c>
      <c r="C19" s="55">
        <v>0</v>
      </c>
      <c r="D19" s="55">
        <v>0</v>
      </c>
      <c r="E19" s="55">
        <v>0</v>
      </c>
      <c r="F19" s="55">
        <v>0</v>
      </c>
      <c r="G19" s="55">
        <v>0</v>
      </c>
      <c r="H19" s="55">
        <v>2.984655240103629</v>
      </c>
      <c r="I19" s="55">
        <v>2.98465524011959</v>
      </c>
      <c r="J19" s="55">
        <v>2.9846552401219761</v>
      </c>
      <c r="K19" s="55">
        <v>2.9846552401045932</v>
      </c>
      <c r="L19" s="55">
        <v>2.984655240147621</v>
      </c>
      <c r="M19" s="55">
        <v>2.9846552400866142</v>
      </c>
      <c r="N19" s="55">
        <v>2.984655240079495</v>
      </c>
      <c r="O19" s="55">
        <v>2.9846552401472222</v>
      </c>
      <c r="P19" s="55">
        <v>0</v>
      </c>
      <c r="Q19" s="55">
        <v>2.9846552400591659</v>
      </c>
      <c r="R19" s="55">
        <v>5.9693104802549923</v>
      </c>
      <c r="S19" s="55">
        <v>7.2348188402412994</v>
      </c>
      <c r="T19" s="55">
        <v>7.5510255601656393</v>
      </c>
      <c r="U19" s="55">
        <v>8.5330382401756548</v>
      </c>
      <c r="V19" s="55">
        <v>7.6943635201291292</v>
      </c>
      <c r="W19" s="55">
        <v>7.195974480245523</v>
      </c>
      <c r="DA19" s="101" t="s">
        <v>1046</v>
      </c>
    </row>
    <row r="20" spans="1:105" x14ac:dyDescent="0.25">
      <c r="A20" s="61" t="s">
        <v>173</v>
      </c>
      <c r="B20" s="55">
        <v>49.39738418126197</v>
      </c>
      <c r="C20" s="55">
        <v>49.824642785574682</v>
      </c>
      <c r="D20" s="55">
        <v>48.120160186211898</v>
      </c>
      <c r="E20" s="55">
        <v>49.70902733222259</v>
      </c>
      <c r="F20" s="55">
        <v>45.218980746661138</v>
      </c>
      <c r="G20" s="55">
        <v>41.941928701388818</v>
      </c>
      <c r="H20" s="55">
        <v>42.254819662905277</v>
      </c>
      <c r="I20" s="55">
        <v>42.270902445678203</v>
      </c>
      <c r="J20" s="55">
        <v>36.334507124672619</v>
      </c>
      <c r="K20" s="55">
        <v>32.564410807869713</v>
      </c>
      <c r="L20" s="55">
        <v>31.051960567252809</v>
      </c>
      <c r="M20" s="55">
        <v>32.811510285529828</v>
      </c>
      <c r="N20" s="55">
        <v>30.992938775293212</v>
      </c>
      <c r="O20" s="55">
        <v>30.20622389779885</v>
      </c>
      <c r="P20" s="55">
        <v>28.891958937458149</v>
      </c>
      <c r="Q20" s="55">
        <v>32.094275961350753</v>
      </c>
      <c r="R20" s="55">
        <v>29.763900011915808</v>
      </c>
      <c r="S20" s="55">
        <v>30.662447340204</v>
      </c>
      <c r="T20" s="55">
        <v>28.298922863607061</v>
      </c>
      <c r="U20" s="55">
        <v>29.146605869602951</v>
      </c>
      <c r="V20" s="55">
        <v>31.035282737363762</v>
      </c>
      <c r="W20" s="55">
        <v>30.448631638009271</v>
      </c>
      <c r="DA20" s="101" t="s">
        <v>1047</v>
      </c>
    </row>
    <row r="21" spans="1:105" x14ac:dyDescent="0.25">
      <c r="A21" s="61" t="s">
        <v>129</v>
      </c>
      <c r="B21" s="55">
        <v>0</v>
      </c>
      <c r="C21" s="55">
        <v>0</v>
      </c>
      <c r="D21" s="55">
        <v>0</v>
      </c>
      <c r="E21" s="55">
        <v>0</v>
      </c>
      <c r="F21" s="55">
        <v>0</v>
      </c>
      <c r="G21" s="55">
        <v>0</v>
      </c>
      <c r="H21" s="55">
        <v>0</v>
      </c>
      <c r="I21" s="55">
        <v>0</v>
      </c>
      <c r="J21" s="55">
        <v>0</v>
      </c>
      <c r="K21" s="55">
        <v>0</v>
      </c>
      <c r="L21" s="55">
        <v>0</v>
      </c>
      <c r="M21" s="55">
        <v>0</v>
      </c>
      <c r="N21" s="55">
        <v>0</v>
      </c>
      <c r="O21" s="55">
        <v>0</v>
      </c>
      <c r="P21" s="55">
        <v>0</v>
      </c>
      <c r="Q21" s="55">
        <v>0</v>
      </c>
      <c r="R21" s="55">
        <v>0</v>
      </c>
      <c r="S21" s="55">
        <v>0</v>
      </c>
      <c r="T21" s="55">
        <v>0</v>
      </c>
      <c r="U21" s="55">
        <v>0</v>
      </c>
      <c r="V21" s="55">
        <v>0</v>
      </c>
      <c r="W21" s="55">
        <v>0</v>
      </c>
      <c r="DA21" s="101" t="s">
        <v>1048</v>
      </c>
    </row>
    <row r="22" spans="1:105" x14ac:dyDescent="0.25">
      <c r="A22" s="61" t="s">
        <v>176</v>
      </c>
      <c r="B22" s="55">
        <v>0</v>
      </c>
      <c r="C22" s="55">
        <v>0</v>
      </c>
      <c r="D22" s="55">
        <v>0</v>
      </c>
      <c r="E22" s="55">
        <v>0</v>
      </c>
      <c r="F22" s="55">
        <v>0</v>
      </c>
      <c r="G22" s="55">
        <v>0</v>
      </c>
      <c r="H22" s="55">
        <v>0</v>
      </c>
      <c r="I22" s="55">
        <v>0</v>
      </c>
      <c r="J22" s="55">
        <v>0</v>
      </c>
      <c r="K22" s="55">
        <v>0</v>
      </c>
      <c r="L22" s="55">
        <v>0</v>
      </c>
      <c r="M22" s="55">
        <v>0</v>
      </c>
      <c r="N22" s="55">
        <v>0</v>
      </c>
      <c r="O22" s="55">
        <v>0</v>
      </c>
      <c r="P22" s="55">
        <v>0</v>
      </c>
      <c r="Q22" s="55">
        <v>0</v>
      </c>
      <c r="R22" s="55">
        <v>0</v>
      </c>
      <c r="S22" s="55">
        <v>0</v>
      </c>
      <c r="T22" s="55">
        <v>0</v>
      </c>
      <c r="U22" s="55">
        <v>0</v>
      </c>
      <c r="V22" s="55">
        <v>0</v>
      </c>
      <c r="W22" s="55">
        <v>0</v>
      </c>
      <c r="DA22" s="101" t="s">
        <v>1049</v>
      </c>
    </row>
    <row r="23" spans="1:105" x14ac:dyDescent="0.25">
      <c r="A23" s="61" t="s">
        <v>171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DA23" s="101" t="s">
        <v>1050</v>
      </c>
    </row>
    <row r="24" spans="1:105" x14ac:dyDescent="0.25">
      <c r="A24" s="61" t="s">
        <v>158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DA24" s="101" t="s">
        <v>1051</v>
      </c>
    </row>
    <row r="25" spans="1:105" x14ac:dyDescent="0.25">
      <c r="A25" s="257" t="s">
        <v>174</v>
      </c>
      <c r="B25" s="258">
        <v>7.1083957091523322</v>
      </c>
      <c r="C25" s="258">
        <v>7.1698791921329326</v>
      </c>
      <c r="D25" s="258">
        <v>6.9246002771366371</v>
      </c>
      <c r="E25" s="258">
        <v>7.1532418659639241</v>
      </c>
      <c r="F25" s="258">
        <v>6.507113970495193</v>
      </c>
      <c r="G25" s="258">
        <v>6.0355387427097709</v>
      </c>
      <c r="H25" s="258">
        <v>6.4753732787386644</v>
      </c>
      <c r="I25" s="258">
        <v>6.4773364435098522</v>
      </c>
      <c r="J25" s="258">
        <v>5.5972681685322856</v>
      </c>
      <c r="K25" s="258">
        <v>5.3053022528544647</v>
      </c>
      <c r="L25" s="258">
        <v>5.229293857073527</v>
      </c>
      <c r="M25" s="258">
        <v>5.6844023921994351</v>
      </c>
      <c r="N25" s="258">
        <v>5.5016556769339102</v>
      </c>
      <c r="O25" s="258">
        <v>5.3200198761266382</v>
      </c>
      <c r="P25" s="258">
        <v>4.8484718990868334</v>
      </c>
      <c r="Q25" s="258">
        <v>5.5052170866761818</v>
      </c>
      <c r="R25" s="258">
        <v>5.5887530317868901</v>
      </c>
      <c r="S25" s="258">
        <v>5.8630401331076243</v>
      </c>
      <c r="T25" s="258">
        <v>5.5578981733682769</v>
      </c>
      <c r="U25" s="258">
        <v>5.8946103071746796</v>
      </c>
      <c r="V25" s="258">
        <v>6.1636099206846824</v>
      </c>
      <c r="W25" s="258">
        <v>6.028714008098099</v>
      </c>
      <c r="DA25" s="273" t="s">
        <v>1052</v>
      </c>
    </row>
    <row r="26" spans="1:105" x14ac:dyDescent="0.25">
      <c r="A26" s="257" t="s">
        <v>177</v>
      </c>
      <c r="B26" s="258">
        <v>0</v>
      </c>
      <c r="C26" s="258">
        <v>0</v>
      </c>
      <c r="D26" s="258">
        <v>0</v>
      </c>
      <c r="E26" s="258">
        <v>0</v>
      </c>
      <c r="F26" s="258">
        <v>0</v>
      </c>
      <c r="G26" s="258">
        <v>0</v>
      </c>
      <c r="H26" s="258">
        <v>0</v>
      </c>
      <c r="I26" s="258">
        <v>0</v>
      </c>
      <c r="J26" s="258">
        <v>0</v>
      </c>
      <c r="K26" s="258">
        <v>0</v>
      </c>
      <c r="L26" s="258">
        <v>0</v>
      </c>
      <c r="M26" s="258">
        <v>0</v>
      </c>
      <c r="N26" s="258">
        <v>0</v>
      </c>
      <c r="O26" s="258">
        <v>0</v>
      </c>
      <c r="P26" s="258">
        <v>0</v>
      </c>
      <c r="Q26" s="258">
        <v>0</v>
      </c>
      <c r="R26" s="258">
        <v>0</v>
      </c>
      <c r="S26" s="258">
        <v>0</v>
      </c>
      <c r="T26" s="258">
        <v>0</v>
      </c>
      <c r="U26" s="258">
        <v>0</v>
      </c>
      <c r="V26" s="258">
        <v>0</v>
      </c>
      <c r="W26" s="258">
        <v>0</v>
      </c>
      <c r="DA26" s="273" t="s">
        <v>1053</v>
      </c>
    </row>
    <row r="27" spans="1:105" x14ac:dyDescent="0.25">
      <c r="A27" s="129" t="s">
        <v>33</v>
      </c>
      <c r="B27" s="259">
        <v>0</v>
      </c>
      <c r="C27" s="259">
        <v>0</v>
      </c>
      <c r="D27" s="259">
        <v>0</v>
      </c>
      <c r="E27" s="259">
        <v>0</v>
      </c>
      <c r="F27" s="259">
        <v>0</v>
      </c>
      <c r="G27" s="259">
        <v>0</v>
      </c>
      <c r="H27" s="259">
        <v>0</v>
      </c>
      <c r="I27" s="259">
        <v>0</v>
      </c>
      <c r="J27" s="259">
        <v>0</v>
      </c>
      <c r="K27" s="259">
        <v>0</v>
      </c>
      <c r="L27" s="259">
        <v>0</v>
      </c>
      <c r="M27" s="259">
        <v>0</v>
      </c>
      <c r="N27" s="259">
        <v>0</v>
      </c>
      <c r="O27" s="259">
        <v>0</v>
      </c>
      <c r="P27" s="259">
        <v>0</v>
      </c>
      <c r="Q27" s="259">
        <v>0</v>
      </c>
      <c r="R27" s="259">
        <v>0</v>
      </c>
      <c r="S27" s="259">
        <v>0</v>
      </c>
      <c r="T27" s="259">
        <v>0</v>
      </c>
      <c r="U27" s="259">
        <v>0</v>
      </c>
      <c r="V27" s="259">
        <v>0</v>
      </c>
      <c r="W27" s="259">
        <v>0</v>
      </c>
      <c r="DA27" s="274" t="s">
        <v>1054</v>
      </c>
    </row>
    <row r="29" spans="1:105" ht="12.75" x14ac:dyDescent="0.25">
      <c r="A29" s="233" t="s">
        <v>135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DA29" s="267"/>
    </row>
    <row r="31" spans="1:105" x14ac:dyDescent="0.25">
      <c r="A31" s="235" t="s">
        <v>126</v>
      </c>
      <c r="B31" s="236">
        <f t="shared" ref="B31:Q31" si="3">SUM(B32:B40)</f>
        <v>0.99999999999999989</v>
      </c>
      <c r="C31" s="236">
        <f t="shared" si="3"/>
        <v>1</v>
      </c>
      <c r="D31" s="236">
        <f t="shared" si="3"/>
        <v>1</v>
      </c>
      <c r="E31" s="236">
        <f t="shared" si="3"/>
        <v>1</v>
      </c>
      <c r="F31" s="236">
        <f t="shared" si="3"/>
        <v>0.99999999999999989</v>
      </c>
      <c r="G31" s="236">
        <f t="shared" si="3"/>
        <v>1</v>
      </c>
      <c r="H31" s="236">
        <f t="shared" si="3"/>
        <v>0.99999999999999989</v>
      </c>
      <c r="I31" s="236">
        <f t="shared" si="3"/>
        <v>1</v>
      </c>
      <c r="J31" s="236">
        <f t="shared" si="3"/>
        <v>1.0000000000000002</v>
      </c>
      <c r="K31" s="236">
        <f t="shared" si="3"/>
        <v>1.0000000000000002</v>
      </c>
      <c r="L31" s="236">
        <f t="shared" si="3"/>
        <v>1</v>
      </c>
      <c r="M31" s="236">
        <f t="shared" si="3"/>
        <v>1.0000000000000002</v>
      </c>
      <c r="N31" s="236">
        <f t="shared" si="3"/>
        <v>1</v>
      </c>
      <c r="O31" s="236">
        <f t="shared" si="3"/>
        <v>0.99999999999999989</v>
      </c>
      <c r="P31" s="236">
        <f t="shared" si="3"/>
        <v>0.99999999999999978</v>
      </c>
      <c r="Q31" s="236">
        <f t="shared" si="3"/>
        <v>1</v>
      </c>
      <c r="R31" s="236">
        <f t="shared" ref="R31:W31" si="4">SUM(R32:R40)</f>
        <v>0.99999999999999989</v>
      </c>
      <c r="S31" s="236">
        <f t="shared" si="4"/>
        <v>0.99999999999999989</v>
      </c>
      <c r="T31" s="236">
        <f t="shared" si="4"/>
        <v>1</v>
      </c>
      <c r="U31" s="236">
        <f t="shared" si="4"/>
        <v>1</v>
      </c>
      <c r="V31" s="236">
        <f t="shared" si="4"/>
        <v>1</v>
      </c>
      <c r="W31" s="236">
        <f t="shared" si="4"/>
        <v>1</v>
      </c>
      <c r="DA31" s="275"/>
    </row>
    <row r="32" spans="1:105" x14ac:dyDescent="0.25">
      <c r="A32" s="239" t="s">
        <v>125</v>
      </c>
      <c r="B32" s="245">
        <f t="shared" ref="B32:W32" si="5">IF(B$6=0,0,B$6/B$5)</f>
        <v>0</v>
      </c>
      <c r="C32" s="245">
        <f t="shared" si="5"/>
        <v>0</v>
      </c>
      <c r="D32" s="245">
        <f t="shared" si="5"/>
        <v>0</v>
      </c>
      <c r="E32" s="245">
        <f t="shared" si="5"/>
        <v>0</v>
      </c>
      <c r="F32" s="245">
        <f t="shared" si="5"/>
        <v>0</v>
      </c>
      <c r="G32" s="245">
        <f t="shared" si="5"/>
        <v>0</v>
      </c>
      <c r="H32" s="245">
        <f t="shared" si="5"/>
        <v>0</v>
      </c>
      <c r="I32" s="245">
        <f t="shared" si="5"/>
        <v>0</v>
      </c>
      <c r="J32" s="245">
        <f t="shared" si="5"/>
        <v>0</v>
      </c>
      <c r="K32" s="245">
        <f t="shared" si="5"/>
        <v>0</v>
      </c>
      <c r="L32" s="245">
        <f t="shared" si="5"/>
        <v>0</v>
      </c>
      <c r="M32" s="245">
        <f t="shared" si="5"/>
        <v>0</v>
      </c>
      <c r="N32" s="245">
        <f t="shared" si="5"/>
        <v>0</v>
      </c>
      <c r="O32" s="245">
        <f t="shared" si="5"/>
        <v>0</v>
      </c>
      <c r="P32" s="245">
        <f t="shared" si="5"/>
        <v>0</v>
      </c>
      <c r="Q32" s="245">
        <f t="shared" si="5"/>
        <v>0</v>
      </c>
      <c r="R32" s="245">
        <f t="shared" si="5"/>
        <v>0</v>
      </c>
      <c r="S32" s="245">
        <f t="shared" si="5"/>
        <v>0</v>
      </c>
      <c r="T32" s="245">
        <f t="shared" si="5"/>
        <v>0</v>
      </c>
      <c r="U32" s="245">
        <f t="shared" si="5"/>
        <v>0</v>
      </c>
      <c r="V32" s="245">
        <f t="shared" si="5"/>
        <v>0</v>
      </c>
      <c r="W32" s="245">
        <f t="shared" si="5"/>
        <v>0</v>
      </c>
      <c r="DA32" s="276"/>
    </row>
    <row r="33" spans="1:105" x14ac:dyDescent="0.25">
      <c r="A33" s="241" t="s">
        <v>124</v>
      </c>
      <c r="B33" s="246">
        <f t="shared" ref="B33:W33" si="6">IF(B$7=0,0,B$7/B$5)</f>
        <v>0</v>
      </c>
      <c r="C33" s="246">
        <f t="shared" si="6"/>
        <v>0</v>
      </c>
      <c r="D33" s="246">
        <f t="shared" si="6"/>
        <v>0</v>
      </c>
      <c r="E33" s="246">
        <f t="shared" si="6"/>
        <v>0</v>
      </c>
      <c r="F33" s="246">
        <f t="shared" si="6"/>
        <v>0</v>
      </c>
      <c r="G33" s="246">
        <f t="shared" si="6"/>
        <v>0</v>
      </c>
      <c r="H33" s="246">
        <f t="shared" si="6"/>
        <v>0</v>
      </c>
      <c r="I33" s="246">
        <f t="shared" si="6"/>
        <v>0</v>
      </c>
      <c r="J33" s="246">
        <f t="shared" si="6"/>
        <v>0</v>
      </c>
      <c r="K33" s="246">
        <f t="shared" si="6"/>
        <v>0</v>
      </c>
      <c r="L33" s="246">
        <f t="shared" si="6"/>
        <v>0</v>
      </c>
      <c r="M33" s="246">
        <f t="shared" si="6"/>
        <v>0</v>
      </c>
      <c r="N33" s="246">
        <f t="shared" si="6"/>
        <v>0</v>
      </c>
      <c r="O33" s="246">
        <f t="shared" si="6"/>
        <v>0</v>
      </c>
      <c r="P33" s="246">
        <f t="shared" si="6"/>
        <v>0</v>
      </c>
      <c r="Q33" s="246">
        <f t="shared" si="6"/>
        <v>0</v>
      </c>
      <c r="R33" s="246">
        <f t="shared" si="6"/>
        <v>0</v>
      </c>
      <c r="S33" s="246">
        <f t="shared" si="6"/>
        <v>0</v>
      </c>
      <c r="T33" s="246">
        <f t="shared" si="6"/>
        <v>0</v>
      </c>
      <c r="U33" s="246">
        <f t="shared" si="6"/>
        <v>0</v>
      </c>
      <c r="V33" s="246">
        <f t="shared" si="6"/>
        <v>0</v>
      </c>
      <c r="W33" s="246">
        <f t="shared" si="6"/>
        <v>0</v>
      </c>
      <c r="DA33" s="277"/>
    </row>
    <row r="34" spans="1:105" x14ac:dyDescent="0.25">
      <c r="A34" s="241" t="s">
        <v>123</v>
      </c>
      <c r="B34" s="246">
        <f t="shared" ref="B34:W34" si="7">IF(B$8=0,0,B$8/B$5)</f>
        <v>0</v>
      </c>
      <c r="C34" s="246">
        <f t="shared" si="7"/>
        <v>0</v>
      </c>
      <c r="D34" s="246">
        <f t="shared" si="7"/>
        <v>0</v>
      </c>
      <c r="E34" s="246">
        <f t="shared" si="7"/>
        <v>0</v>
      </c>
      <c r="F34" s="246">
        <f t="shared" si="7"/>
        <v>0</v>
      </c>
      <c r="G34" s="246">
        <f t="shared" si="7"/>
        <v>0</v>
      </c>
      <c r="H34" s="246">
        <f t="shared" si="7"/>
        <v>0</v>
      </c>
      <c r="I34" s="246">
        <f t="shared" si="7"/>
        <v>0</v>
      </c>
      <c r="J34" s="246">
        <f t="shared" si="7"/>
        <v>0</v>
      </c>
      <c r="K34" s="246">
        <f t="shared" si="7"/>
        <v>0</v>
      </c>
      <c r="L34" s="246">
        <f t="shared" si="7"/>
        <v>0</v>
      </c>
      <c r="M34" s="246">
        <f t="shared" si="7"/>
        <v>0</v>
      </c>
      <c r="N34" s="246">
        <f t="shared" si="7"/>
        <v>0</v>
      </c>
      <c r="O34" s="246">
        <f t="shared" si="7"/>
        <v>0</v>
      </c>
      <c r="P34" s="246">
        <f t="shared" si="7"/>
        <v>0</v>
      </c>
      <c r="Q34" s="246">
        <f t="shared" si="7"/>
        <v>0</v>
      </c>
      <c r="R34" s="246">
        <f t="shared" si="7"/>
        <v>0</v>
      </c>
      <c r="S34" s="246">
        <f t="shared" si="7"/>
        <v>0</v>
      </c>
      <c r="T34" s="246">
        <f t="shared" si="7"/>
        <v>0</v>
      </c>
      <c r="U34" s="246">
        <f t="shared" si="7"/>
        <v>0</v>
      </c>
      <c r="V34" s="246">
        <f t="shared" si="7"/>
        <v>0</v>
      </c>
      <c r="W34" s="246">
        <f t="shared" si="7"/>
        <v>0</v>
      </c>
      <c r="DA34" s="277"/>
    </row>
    <row r="35" spans="1:105" x14ac:dyDescent="0.25">
      <c r="A35" s="243" t="s">
        <v>122</v>
      </c>
      <c r="B35" s="247">
        <f t="shared" ref="B35:W35" si="8">IF(B$9=0,0,B$9/B$5)</f>
        <v>0.19702525281359756</v>
      </c>
      <c r="C35" s="247">
        <f t="shared" si="8"/>
        <v>0.19847298060973081</v>
      </c>
      <c r="D35" s="247">
        <f t="shared" si="8"/>
        <v>0.1924178638046691</v>
      </c>
      <c r="E35" s="247">
        <f t="shared" si="8"/>
        <v>0.18770632147160946</v>
      </c>
      <c r="F35" s="247">
        <f t="shared" si="8"/>
        <v>0.17897575399778023</v>
      </c>
      <c r="G35" s="247">
        <f t="shared" si="8"/>
        <v>0.17056946840170392</v>
      </c>
      <c r="H35" s="247">
        <f t="shared" si="8"/>
        <v>0.16969840748968062</v>
      </c>
      <c r="I35" s="247">
        <f t="shared" si="8"/>
        <v>0.16340528872214022</v>
      </c>
      <c r="J35" s="247">
        <f t="shared" si="8"/>
        <v>0.13694234014850351</v>
      </c>
      <c r="K35" s="247">
        <f t="shared" si="8"/>
        <v>0.1372674902395</v>
      </c>
      <c r="L35" s="247">
        <f t="shared" si="8"/>
        <v>0.12805115694176766</v>
      </c>
      <c r="M35" s="247">
        <f t="shared" si="8"/>
        <v>0.13904020682574603</v>
      </c>
      <c r="N35" s="247">
        <f t="shared" si="8"/>
        <v>0.14003984304071629</v>
      </c>
      <c r="O35" s="247">
        <f t="shared" si="8"/>
        <v>0.12639079701939049</v>
      </c>
      <c r="P35" s="247">
        <f t="shared" si="8"/>
        <v>0.11465169295592478</v>
      </c>
      <c r="Q35" s="247">
        <f t="shared" si="8"/>
        <v>0.12753914287564713</v>
      </c>
      <c r="R35" s="247">
        <f t="shared" si="8"/>
        <v>0.11015031752652213</v>
      </c>
      <c r="S35" s="247">
        <f t="shared" si="8"/>
        <v>0.11402029957669345</v>
      </c>
      <c r="T35" s="247">
        <f t="shared" si="8"/>
        <v>0.10487840928537009</v>
      </c>
      <c r="U35" s="247">
        <f t="shared" si="8"/>
        <v>0.11991910308952601</v>
      </c>
      <c r="V35" s="247">
        <f t="shared" si="8"/>
        <v>0.12377048336786928</v>
      </c>
      <c r="W35" s="247">
        <f t="shared" si="8"/>
        <v>0.11086587191046005</v>
      </c>
      <c r="DA35" s="278"/>
    </row>
    <row r="36" spans="1:105" x14ac:dyDescent="0.25">
      <c r="A36" s="128" t="s">
        <v>175</v>
      </c>
      <c r="B36" s="260">
        <f t="shared" ref="B36:W36" si="9">IF(B$16=0,0,B$16/B$5)</f>
        <v>0.31769556827165973</v>
      </c>
      <c r="C36" s="260">
        <f t="shared" si="9"/>
        <v>0.31712277727604399</v>
      </c>
      <c r="D36" s="260">
        <f t="shared" si="9"/>
        <v>0.31951847375476367</v>
      </c>
      <c r="E36" s="260">
        <f t="shared" si="9"/>
        <v>0.32138258732020553</v>
      </c>
      <c r="F36" s="260">
        <f t="shared" si="9"/>
        <v>0.32483682122314084</v>
      </c>
      <c r="G36" s="260">
        <f t="shared" si="9"/>
        <v>0.32816275356267854</v>
      </c>
      <c r="H36" s="260">
        <f t="shared" si="9"/>
        <v>0.32758022427599121</v>
      </c>
      <c r="I36" s="260">
        <f t="shared" si="9"/>
        <v>0.33005391338151141</v>
      </c>
      <c r="J36" s="260">
        <f t="shared" si="9"/>
        <v>0.33951725885225242</v>
      </c>
      <c r="K36" s="260">
        <f t="shared" si="9"/>
        <v>0.34791144520638639</v>
      </c>
      <c r="L36" s="260">
        <f t="shared" si="9"/>
        <v>0.3569339937347677</v>
      </c>
      <c r="M36" s="260">
        <f t="shared" si="9"/>
        <v>0.35840030587097038</v>
      </c>
      <c r="N36" s="260">
        <f t="shared" si="9"/>
        <v>0.36149394025063014</v>
      </c>
      <c r="O36" s="260">
        <f t="shared" si="9"/>
        <v>0.36537276519504058</v>
      </c>
      <c r="P36" s="260">
        <f t="shared" si="9"/>
        <v>0.37880296065567726</v>
      </c>
      <c r="Q36" s="260">
        <f t="shared" si="9"/>
        <v>0.36103118174241877</v>
      </c>
      <c r="R36" s="260">
        <f t="shared" si="9"/>
        <v>0.36758878613477847</v>
      </c>
      <c r="S36" s="260">
        <f t="shared" si="9"/>
        <v>0.36396816034047175</v>
      </c>
      <c r="T36" s="260">
        <f t="shared" si="9"/>
        <v>0.36811562275087345</v>
      </c>
      <c r="U36" s="260">
        <f t="shared" si="9"/>
        <v>0.36359818138311095</v>
      </c>
      <c r="V36" s="260">
        <f t="shared" si="9"/>
        <v>0.36515587763221863</v>
      </c>
      <c r="W36" s="260">
        <f t="shared" si="9"/>
        <v>0.37170585624643626</v>
      </c>
      <c r="DA36" s="279"/>
    </row>
    <row r="37" spans="1:105" x14ac:dyDescent="0.25">
      <c r="A37" s="128" t="s">
        <v>121</v>
      </c>
      <c r="B37" s="260">
        <f t="shared" ref="B37:W37" si="10">IF(B$17=0,0,B$17/B$5)</f>
        <v>0.42423132788377743</v>
      </c>
      <c r="C37" s="260">
        <f t="shared" si="10"/>
        <v>0.42346645764655028</v>
      </c>
      <c r="D37" s="260">
        <f t="shared" si="10"/>
        <v>0.42666552492943016</v>
      </c>
      <c r="E37" s="260">
        <f t="shared" si="10"/>
        <v>0.42915474874043813</v>
      </c>
      <c r="F37" s="260">
        <f t="shared" si="10"/>
        <v>0.43376732248024674</v>
      </c>
      <c r="G37" s="260">
        <f t="shared" si="10"/>
        <v>0.43820857012033709</v>
      </c>
      <c r="H37" s="260">
        <f t="shared" si="10"/>
        <v>0.43977409817612367</v>
      </c>
      <c r="I37" s="260">
        <f t="shared" si="10"/>
        <v>0.44311818786147289</v>
      </c>
      <c r="J37" s="260">
        <f t="shared" si="10"/>
        <v>0.45829933026724523</v>
      </c>
      <c r="K37" s="260">
        <f t="shared" si="10"/>
        <v>0.44796698095932552</v>
      </c>
      <c r="L37" s="260">
        <f t="shared" si="10"/>
        <v>0.44642700783750777</v>
      </c>
      <c r="M37" s="260">
        <f t="shared" si="10"/>
        <v>0.43368988172051309</v>
      </c>
      <c r="N37" s="260">
        <f t="shared" si="10"/>
        <v>0.42900214349833243</v>
      </c>
      <c r="O37" s="260">
        <f t="shared" si="10"/>
        <v>0.43802701603711819</v>
      </c>
      <c r="P37" s="260">
        <f t="shared" si="10"/>
        <v>0.43375520065862727</v>
      </c>
      <c r="Q37" s="260">
        <f t="shared" si="10"/>
        <v>0.44205452507546822</v>
      </c>
      <c r="R37" s="260">
        <f t="shared" si="10"/>
        <v>0.45162564769896835</v>
      </c>
      <c r="S37" s="260">
        <f t="shared" si="10"/>
        <v>0.45207202486278025</v>
      </c>
      <c r="T37" s="260">
        <f t="shared" si="10"/>
        <v>0.45626948327773126</v>
      </c>
      <c r="U37" s="260">
        <f t="shared" si="10"/>
        <v>0.44661429484726839</v>
      </c>
      <c r="V37" s="260">
        <f t="shared" si="10"/>
        <v>0.44090589400413904</v>
      </c>
      <c r="W37" s="260">
        <f t="shared" si="10"/>
        <v>0.4460018938708869</v>
      </c>
      <c r="DA37" s="279"/>
    </row>
    <row r="38" spans="1:105" x14ac:dyDescent="0.25">
      <c r="A38" s="128" t="s">
        <v>174</v>
      </c>
      <c r="B38" s="260">
        <f t="shared" ref="B38:W38" si="11">IF(B$25=0,0,B$25/B$5)</f>
        <v>6.1047851030965244E-2</v>
      </c>
      <c r="C38" s="260">
        <f t="shared" si="11"/>
        <v>6.0937784467674894E-2</v>
      </c>
      <c r="D38" s="260">
        <f t="shared" si="11"/>
        <v>6.1398137511137062E-2</v>
      </c>
      <c r="E38" s="260">
        <f t="shared" si="11"/>
        <v>6.1756342467746923E-2</v>
      </c>
      <c r="F38" s="260">
        <f t="shared" si="11"/>
        <v>6.2420102298832096E-2</v>
      </c>
      <c r="G38" s="260">
        <f t="shared" si="11"/>
        <v>6.3059207915280441E-2</v>
      </c>
      <c r="H38" s="260">
        <f t="shared" si="11"/>
        <v>6.2947270058204483E-2</v>
      </c>
      <c r="I38" s="260">
        <f t="shared" si="11"/>
        <v>6.3422610034875426E-2</v>
      </c>
      <c r="J38" s="260">
        <f t="shared" si="11"/>
        <v>6.5241070731998987E-2</v>
      </c>
      <c r="K38" s="260">
        <f t="shared" si="11"/>
        <v>6.6854083594788241E-2</v>
      </c>
      <c r="L38" s="260">
        <f t="shared" si="11"/>
        <v>6.8587841485956869E-2</v>
      </c>
      <c r="M38" s="260">
        <f t="shared" si="11"/>
        <v>6.8869605582770596E-2</v>
      </c>
      <c r="N38" s="260">
        <f t="shared" si="11"/>
        <v>6.9464073210321067E-2</v>
      </c>
      <c r="O38" s="260">
        <f t="shared" si="11"/>
        <v>7.0209421748450726E-2</v>
      </c>
      <c r="P38" s="260">
        <f t="shared" si="11"/>
        <v>7.2790145729770536E-2</v>
      </c>
      <c r="Q38" s="260">
        <f t="shared" si="11"/>
        <v>6.9375150306465974E-2</v>
      </c>
      <c r="R38" s="260">
        <f t="shared" si="11"/>
        <v>7.0635248639730946E-2</v>
      </c>
      <c r="S38" s="260">
        <f t="shared" si="11"/>
        <v>6.9939515220054441E-2</v>
      </c>
      <c r="T38" s="260">
        <f t="shared" si="11"/>
        <v>7.0736484686025183E-2</v>
      </c>
      <c r="U38" s="260">
        <f t="shared" si="11"/>
        <v>6.9868420680094592E-2</v>
      </c>
      <c r="V38" s="260">
        <f t="shared" si="11"/>
        <v>7.0167744995773135E-2</v>
      </c>
      <c r="W38" s="260">
        <f t="shared" si="11"/>
        <v>7.1426377972216945E-2</v>
      </c>
      <c r="DA38" s="279"/>
    </row>
    <row r="39" spans="1:105" x14ac:dyDescent="0.25">
      <c r="A39" s="128" t="s">
        <v>177</v>
      </c>
      <c r="B39" s="260">
        <f t="shared" ref="B39:W39" si="12">IF(B$26=0,0,B$26/B$5)</f>
        <v>0</v>
      </c>
      <c r="C39" s="260">
        <f t="shared" si="12"/>
        <v>0</v>
      </c>
      <c r="D39" s="260">
        <f t="shared" si="12"/>
        <v>0</v>
      </c>
      <c r="E39" s="260">
        <f t="shared" si="12"/>
        <v>0</v>
      </c>
      <c r="F39" s="260">
        <f t="shared" si="12"/>
        <v>0</v>
      </c>
      <c r="G39" s="260">
        <f t="shared" si="12"/>
        <v>0</v>
      </c>
      <c r="H39" s="260">
        <f t="shared" si="12"/>
        <v>0</v>
      </c>
      <c r="I39" s="260">
        <f t="shared" si="12"/>
        <v>0</v>
      </c>
      <c r="J39" s="260">
        <f t="shared" si="12"/>
        <v>0</v>
      </c>
      <c r="K39" s="260">
        <f t="shared" si="12"/>
        <v>0</v>
      </c>
      <c r="L39" s="260">
        <f t="shared" si="12"/>
        <v>0</v>
      </c>
      <c r="M39" s="260">
        <f t="shared" si="12"/>
        <v>0</v>
      </c>
      <c r="N39" s="260">
        <f t="shared" si="12"/>
        <v>0</v>
      </c>
      <c r="O39" s="260">
        <f t="shared" si="12"/>
        <v>0</v>
      </c>
      <c r="P39" s="260">
        <f t="shared" si="12"/>
        <v>0</v>
      </c>
      <c r="Q39" s="260">
        <f t="shared" si="12"/>
        <v>0</v>
      </c>
      <c r="R39" s="260">
        <f t="shared" si="12"/>
        <v>0</v>
      </c>
      <c r="S39" s="260">
        <f t="shared" si="12"/>
        <v>0</v>
      </c>
      <c r="T39" s="260">
        <f t="shared" si="12"/>
        <v>0</v>
      </c>
      <c r="U39" s="260">
        <f t="shared" si="12"/>
        <v>0</v>
      </c>
      <c r="V39" s="260">
        <f t="shared" si="12"/>
        <v>0</v>
      </c>
      <c r="W39" s="260">
        <f t="shared" si="12"/>
        <v>0</v>
      </c>
      <c r="DA39" s="279"/>
    </row>
    <row r="40" spans="1:105" x14ac:dyDescent="0.25">
      <c r="A40" s="261" t="s">
        <v>33</v>
      </c>
      <c r="B40" s="262">
        <f t="shared" ref="B40:W40" si="13">IF(B$27=0,0,B$27/B$5)</f>
        <v>0</v>
      </c>
      <c r="C40" s="262">
        <f t="shared" si="13"/>
        <v>0</v>
      </c>
      <c r="D40" s="262">
        <f t="shared" si="13"/>
        <v>0</v>
      </c>
      <c r="E40" s="262">
        <f t="shared" si="13"/>
        <v>0</v>
      </c>
      <c r="F40" s="262">
        <f t="shared" si="13"/>
        <v>0</v>
      </c>
      <c r="G40" s="262">
        <f t="shared" si="13"/>
        <v>0</v>
      </c>
      <c r="H40" s="262">
        <f t="shared" si="13"/>
        <v>0</v>
      </c>
      <c r="I40" s="262">
        <f t="shared" si="13"/>
        <v>0</v>
      </c>
      <c r="J40" s="262">
        <f t="shared" si="13"/>
        <v>0</v>
      </c>
      <c r="K40" s="262">
        <f t="shared" si="13"/>
        <v>0</v>
      </c>
      <c r="L40" s="262">
        <f t="shared" si="13"/>
        <v>0</v>
      </c>
      <c r="M40" s="262">
        <f t="shared" si="13"/>
        <v>0</v>
      </c>
      <c r="N40" s="262">
        <f t="shared" si="13"/>
        <v>0</v>
      </c>
      <c r="O40" s="262">
        <f t="shared" si="13"/>
        <v>0</v>
      </c>
      <c r="P40" s="262">
        <f t="shared" si="13"/>
        <v>0</v>
      </c>
      <c r="Q40" s="262">
        <f t="shared" si="13"/>
        <v>0</v>
      </c>
      <c r="R40" s="262">
        <f t="shared" si="13"/>
        <v>0</v>
      </c>
      <c r="S40" s="262">
        <f t="shared" si="13"/>
        <v>0</v>
      </c>
      <c r="T40" s="262">
        <f t="shared" si="13"/>
        <v>0</v>
      </c>
      <c r="U40" s="262">
        <f t="shared" si="13"/>
        <v>0</v>
      </c>
      <c r="V40" s="262">
        <f t="shared" si="13"/>
        <v>0</v>
      </c>
      <c r="W40" s="262">
        <f t="shared" si="13"/>
        <v>0</v>
      </c>
      <c r="DA40" s="280"/>
    </row>
    <row r="42" spans="1:105" ht="12.75" x14ac:dyDescent="0.25">
      <c r="A42" s="233" t="s">
        <v>134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DA42" s="267"/>
    </row>
    <row r="44" spans="1:105" x14ac:dyDescent="0.25">
      <c r="A44" s="235" t="s">
        <v>126</v>
      </c>
      <c r="B44" s="238">
        <f>IF(B$5=0,0,B$5/AGR_fec!B$5)</f>
        <v>2.5478903497243484</v>
      </c>
      <c r="C44" s="238">
        <f>IF(C$5=0,0,C$5/AGR_fec!C$5)</f>
        <v>2.5621775915416225</v>
      </c>
      <c r="D44" s="238">
        <f>IF(D$5=0,0,D$5/AGR_fec!D$5)</f>
        <v>2.5041871861108778</v>
      </c>
      <c r="E44" s="238">
        <f>IF(E$5=0,0,E$5/AGR_fec!E$5)</f>
        <v>2.4617638344113946</v>
      </c>
      <c r="F44" s="238">
        <f>IF(F$5=0,0,F$5/AGR_fec!F$5)</f>
        <v>2.3875895657683008</v>
      </c>
      <c r="G44" s="238">
        <f>IF(G$5=0,0,G$5/AGR_fec!G$5)</f>
        <v>2.3200171690012699</v>
      </c>
      <c r="H44" s="238">
        <f>IF(H$5=0,0,H$5/AGR_fec!H$5)</f>
        <v>2.3097562971859373</v>
      </c>
      <c r="I44" s="238">
        <f>IF(I$5=0,0,I$5/AGR_fec!I$5)</f>
        <v>2.264703408836048</v>
      </c>
      <c r="J44" s="238">
        <f>IF(J$5=0,0,J$5/AGR_fec!J$5)</f>
        <v>2.0750681023325619</v>
      </c>
      <c r="K44" s="238">
        <f>IF(K$5=0,0,K$5/AGR_fec!K$5)</f>
        <v>2.0235290870983942</v>
      </c>
      <c r="L44" s="238">
        <f>IF(L$5=0,0,L$5/AGR_fec!L$5)</f>
        <v>1.9274781890987409</v>
      </c>
      <c r="M44" s="238">
        <f>IF(M$5=0,0,M$5/AGR_fec!M$5)</f>
        <v>1.9805155157900887</v>
      </c>
      <c r="N44" s="238">
        <f>IF(N$5=0,0,N$5/AGR_fec!N$5)</f>
        <v>1.9675341618279638</v>
      </c>
      <c r="O44" s="238">
        <f>IF(O$5=0,0,O$5/AGR_fec!O$5)</f>
        <v>1.8854999272538808</v>
      </c>
      <c r="P44" s="238">
        <f>IF(P$5=0,0,P$5/AGR_fec!P$5)</f>
        <v>1.7617596290011039</v>
      </c>
      <c r="Q44" s="238">
        <f>IF(Q$5=0,0,Q$5/AGR_fec!Q$5)</f>
        <v>1.918153135881473</v>
      </c>
      <c r="R44" s="238">
        <f>IF(R$5=0,0,R$5/AGR_fec!R$5)</f>
        <v>1.7919153251197548</v>
      </c>
      <c r="S44" s="238">
        <f>IF(S$5=0,0,S$5/AGR_fec!S$5)</f>
        <v>1.829823610036446</v>
      </c>
      <c r="T44" s="238">
        <f>IF(T$5=0,0,T$5/AGR_fec!T$5)</f>
        <v>1.7614363357147806</v>
      </c>
      <c r="U44" s="238">
        <f>IF(U$5=0,0,U$5/AGR_fec!U$5)</f>
        <v>1.8580995201170751</v>
      </c>
      <c r="V44" s="238">
        <f>IF(V$5=0,0,V$5/AGR_fec!V$5)</f>
        <v>1.8643578518044417</v>
      </c>
      <c r="W44" s="238">
        <f>IF(W$5=0,0,W$5/AGR_fec!W$5)</f>
        <v>1.7691661180492644</v>
      </c>
      <c r="DA44" s="287"/>
    </row>
    <row r="45" spans="1:105" x14ac:dyDescent="0.25">
      <c r="A45" s="239" t="s">
        <v>125</v>
      </c>
      <c r="B45" s="251">
        <f>IF(B$6=0,0,B$6/AGR_fec!B$6)</f>
        <v>0</v>
      </c>
      <c r="C45" s="251">
        <f>IF(C$6=0,0,C$6/AGR_fec!C$6)</f>
        <v>0</v>
      </c>
      <c r="D45" s="251">
        <f>IF(D$6=0,0,D$6/AGR_fec!D$6)</f>
        <v>0</v>
      </c>
      <c r="E45" s="251">
        <f>IF(E$6=0,0,E$6/AGR_fec!E$6)</f>
        <v>0</v>
      </c>
      <c r="F45" s="251">
        <f>IF(F$6=0,0,F$6/AGR_fec!F$6)</f>
        <v>0</v>
      </c>
      <c r="G45" s="251">
        <f>IF(G$6=0,0,G$6/AGR_fec!G$6)</f>
        <v>0</v>
      </c>
      <c r="H45" s="251">
        <f>IF(H$6=0,0,H$6/AGR_fec!H$6)</f>
        <v>0</v>
      </c>
      <c r="I45" s="251">
        <f>IF(I$6=0,0,I$6/AGR_fec!I$6)</f>
        <v>0</v>
      </c>
      <c r="J45" s="251">
        <f>IF(J$6=0,0,J$6/AGR_fec!J$6)</f>
        <v>0</v>
      </c>
      <c r="K45" s="251">
        <f>IF(K$6=0,0,K$6/AGR_fec!K$6)</f>
        <v>0</v>
      </c>
      <c r="L45" s="251">
        <f>IF(L$6=0,0,L$6/AGR_fec!L$6)</f>
        <v>0</v>
      </c>
      <c r="M45" s="251">
        <f>IF(M$6=0,0,M$6/AGR_fec!M$6)</f>
        <v>0</v>
      </c>
      <c r="N45" s="251">
        <f>IF(N$6=0,0,N$6/AGR_fec!N$6)</f>
        <v>0</v>
      </c>
      <c r="O45" s="251">
        <f>IF(O$6=0,0,O$6/AGR_fec!O$6)</f>
        <v>0</v>
      </c>
      <c r="P45" s="251">
        <f>IF(P$6=0,0,P$6/AGR_fec!P$6)</f>
        <v>0</v>
      </c>
      <c r="Q45" s="251">
        <f>IF(Q$6=0,0,Q$6/AGR_fec!Q$6)</f>
        <v>0</v>
      </c>
      <c r="R45" s="251">
        <f>IF(R$6=0,0,R$6/AGR_fec!R$6)</f>
        <v>0</v>
      </c>
      <c r="S45" s="251">
        <f>IF(S$6=0,0,S$6/AGR_fec!S$6)</f>
        <v>0</v>
      </c>
      <c r="T45" s="251">
        <f>IF(T$6=0,0,T$6/AGR_fec!T$6)</f>
        <v>0</v>
      </c>
      <c r="U45" s="251">
        <f>IF(U$6=0,0,U$6/AGR_fec!U$6)</f>
        <v>0</v>
      </c>
      <c r="V45" s="251">
        <f>IF(V$6=0,0,V$6/AGR_fec!V$6)</f>
        <v>0</v>
      </c>
      <c r="W45" s="251">
        <f>IF(W$6=0,0,W$6/AGR_fec!W$6)</f>
        <v>0</v>
      </c>
      <c r="DA45" s="288"/>
    </row>
    <row r="46" spans="1:105" x14ac:dyDescent="0.25">
      <c r="A46" s="241" t="s">
        <v>124</v>
      </c>
      <c r="B46" s="252">
        <f>IF(B$7=0,0,B$7/AGR_fec!B$7)</f>
        <v>0</v>
      </c>
      <c r="C46" s="252">
        <f>IF(C$7=0,0,C$7/AGR_fec!C$7)</f>
        <v>0</v>
      </c>
      <c r="D46" s="252">
        <f>IF(D$7=0,0,D$7/AGR_fec!D$7)</f>
        <v>0</v>
      </c>
      <c r="E46" s="252">
        <f>IF(E$7=0,0,E$7/AGR_fec!E$7)</f>
        <v>0</v>
      </c>
      <c r="F46" s="252">
        <f>IF(F$7=0,0,F$7/AGR_fec!F$7)</f>
        <v>0</v>
      </c>
      <c r="G46" s="252">
        <f>IF(G$7=0,0,G$7/AGR_fec!G$7)</f>
        <v>0</v>
      </c>
      <c r="H46" s="252">
        <f>IF(H$7=0,0,H$7/AGR_fec!H$7)</f>
        <v>0</v>
      </c>
      <c r="I46" s="252">
        <f>IF(I$7=0,0,I$7/AGR_fec!I$7)</f>
        <v>0</v>
      </c>
      <c r="J46" s="252">
        <f>IF(J$7=0,0,J$7/AGR_fec!J$7)</f>
        <v>0</v>
      </c>
      <c r="K46" s="252">
        <f>IF(K$7=0,0,K$7/AGR_fec!K$7)</f>
        <v>0</v>
      </c>
      <c r="L46" s="252">
        <f>IF(L$7=0,0,L$7/AGR_fec!L$7)</f>
        <v>0</v>
      </c>
      <c r="M46" s="252">
        <f>IF(M$7=0,0,M$7/AGR_fec!M$7)</f>
        <v>0</v>
      </c>
      <c r="N46" s="252">
        <f>IF(N$7=0,0,N$7/AGR_fec!N$7)</f>
        <v>0</v>
      </c>
      <c r="O46" s="252">
        <f>IF(O$7=0,0,O$7/AGR_fec!O$7)</f>
        <v>0</v>
      </c>
      <c r="P46" s="252">
        <f>IF(P$7=0,0,P$7/AGR_fec!P$7)</f>
        <v>0</v>
      </c>
      <c r="Q46" s="252">
        <f>IF(Q$7=0,0,Q$7/AGR_fec!Q$7)</f>
        <v>0</v>
      </c>
      <c r="R46" s="252">
        <f>IF(R$7=0,0,R$7/AGR_fec!R$7)</f>
        <v>0</v>
      </c>
      <c r="S46" s="252">
        <f>IF(S$7=0,0,S$7/AGR_fec!S$7)</f>
        <v>0</v>
      </c>
      <c r="T46" s="252">
        <f>IF(T$7=0,0,T$7/AGR_fec!T$7)</f>
        <v>0</v>
      </c>
      <c r="U46" s="252">
        <f>IF(U$7=0,0,U$7/AGR_fec!U$7)</f>
        <v>0</v>
      </c>
      <c r="V46" s="252">
        <f>IF(V$7=0,0,V$7/AGR_fec!V$7)</f>
        <v>0</v>
      </c>
      <c r="W46" s="252">
        <f>IF(W$7=0,0,W$7/AGR_fec!W$7)</f>
        <v>0</v>
      </c>
      <c r="DA46" s="289"/>
    </row>
    <row r="47" spans="1:105" x14ac:dyDescent="0.25">
      <c r="A47" s="241" t="s">
        <v>123</v>
      </c>
      <c r="B47" s="252">
        <f>IF(B$8=0,0,B$8/AGR_fec!B$8)</f>
        <v>0</v>
      </c>
      <c r="C47" s="252">
        <f>IF(C$8=0,0,C$8/AGR_fec!C$8)</f>
        <v>0</v>
      </c>
      <c r="D47" s="252">
        <f>IF(D$8=0,0,D$8/AGR_fec!D$8)</f>
        <v>0</v>
      </c>
      <c r="E47" s="252">
        <f>IF(E$8=0,0,E$8/AGR_fec!E$8)</f>
        <v>0</v>
      </c>
      <c r="F47" s="252">
        <f>IF(F$8=0,0,F$8/AGR_fec!F$8)</f>
        <v>0</v>
      </c>
      <c r="G47" s="252">
        <f>IF(G$8=0,0,G$8/AGR_fec!G$8)</f>
        <v>0</v>
      </c>
      <c r="H47" s="252">
        <f>IF(H$8=0,0,H$8/AGR_fec!H$8)</f>
        <v>0</v>
      </c>
      <c r="I47" s="252">
        <f>IF(I$8=0,0,I$8/AGR_fec!I$8)</f>
        <v>0</v>
      </c>
      <c r="J47" s="252">
        <f>IF(J$8=0,0,J$8/AGR_fec!J$8)</f>
        <v>0</v>
      </c>
      <c r="K47" s="252">
        <f>IF(K$8=0,0,K$8/AGR_fec!K$8)</f>
        <v>0</v>
      </c>
      <c r="L47" s="252">
        <f>IF(L$8=0,0,L$8/AGR_fec!L$8)</f>
        <v>0</v>
      </c>
      <c r="M47" s="252">
        <f>IF(M$8=0,0,M$8/AGR_fec!M$8)</f>
        <v>0</v>
      </c>
      <c r="N47" s="252">
        <f>IF(N$8=0,0,N$8/AGR_fec!N$8)</f>
        <v>0</v>
      </c>
      <c r="O47" s="252">
        <f>IF(O$8=0,0,O$8/AGR_fec!O$8)</f>
        <v>0</v>
      </c>
      <c r="P47" s="252">
        <f>IF(P$8=0,0,P$8/AGR_fec!P$8)</f>
        <v>0</v>
      </c>
      <c r="Q47" s="252">
        <f>IF(Q$8=0,0,Q$8/AGR_fec!Q$8)</f>
        <v>0</v>
      </c>
      <c r="R47" s="252">
        <f>IF(R$8=0,0,R$8/AGR_fec!R$8)</f>
        <v>0</v>
      </c>
      <c r="S47" s="252">
        <f>IF(S$8=0,0,S$8/AGR_fec!S$8)</f>
        <v>0</v>
      </c>
      <c r="T47" s="252">
        <f>IF(T$8=0,0,T$8/AGR_fec!T$8)</f>
        <v>0</v>
      </c>
      <c r="U47" s="252">
        <f>IF(U$8=0,0,U$8/AGR_fec!U$8)</f>
        <v>0</v>
      </c>
      <c r="V47" s="252">
        <f>IF(V$8=0,0,V$8/AGR_fec!V$8)</f>
        <v>0</v>
      </c>
      <c r="W47" s="252">
        <f>IF(W$8=0,0,W$8/AGR_fec!W$8)</f>
        <v>0</v>
      </c>
      <c r="DA47" s="289"/>
    </row>
    <row r="48" spans="1:105" x14ac:dyDescent="0.25">
      <c r="A48" s="243" t="s">
        <v>122</v>
      </c>
      <c r="B48" s="253">
        <f>IF(B$9=0,0,B$9/AGR_fec!B$9)</f>
        <v>2.5615086856314973</v>
      </c>
      <c r="C48" s="253">
        <f>IF(C$9=0,0,C$9/AGR_fec!C$9)</f>
        <v>2.5941421826440254</v>
      </c>
      <c r="D48" s="253">
        <f>IF(D$9=0,0,D$9/AGR_fec!D$9)</f>
        <v>2.4574638379825529</v>
      </c>
      <c r="E48" s="253">
        <f>IF(E$9=0,0,E$9/AGR_fec!E$9)</f>
        <v>2.3513745752889363</v>
      </c>
      <c r="F48" s="253">
        <f>IF(F$9=0,0,F$9/AGR_fec!F$9)</f>
        <v>2.157512489194112</v>
      </c>
      <c r="G48" s="253">
        <f>IF(G$9=0,0,G$9/AGR_fec!G$9)</f>
        <v>1.9760044207510781</v>
      </c>
      <c r="H48" s="253">
        <f>IF(H$9=0,0,H$9/AGR_fec!H$9)</f>
        <v>1.9735169157111032</v>
      </c>
      <c r="I48" s="253">
        <f>IF(I$9=0,0,I$9/AGR_fec!I$9)</f>
        <v>1.844457750882412</v>
      </c>
      <c r="J48" s="253">
        <f>IF(J$9=0,0,J$9/AGR_fec!J$9)</f>
        <v>1.3398670124106553</v>
      </c>
      <c r="K48" s="253">
        <f>IF(K$9=0,0,K$9/AGR_fec!K$9)</f>
        <v>1.3152140363620475</v>
      </c>
      <c r="L48" s="253">
        <f>IF(L$9=0,0,L$9/AGR_fec!L$9)</f>
        <v>1.1445741009631902</v>
      </c>
      <c r="M48" s="253">
        <f>IF(M$9=0,0,M$9/AGR_fec!M$9)</f>
        <v>1.3002598182990541</v>
      </c>
      <c r="N48" s="253">
        <f>IF(N$9=0,0,N$9/AGR_fec!N$9)</f>
        <v>1.3055623838371861</v>
      </c>
      <c r="O48" s="253">
        <f>IF(O$9=0,0,O$9/AGR_fec!O$9)</f>
        <v>1.0883964917496096</v>
      </c>
      <c r="P48" s="253">
        <f>IF(P$9=0,0,P$9/AGR_fec!P$9)</f>
        <v>0.8816592733490175</v>
      </c>
      <c r="Q48" s="253">
        <f>IF(Q$9=0,0,Q$9/AGR_fec!Q$9)</f>
        <v>1.1139963579039518</v>
      </c>
      <c r="R48" s="253">
        <f>IF(R$9=0,0,R$9/AGR_fec!R$9)</f>
        <v>0.87132632790019682</v>
      </c>
      <c r="S48" s="253">
        <f>IF(S$9=0,0,S$9/AGR_fec!S$9)</f>
        <v>0.93471621722797904</v>
      </c>
      <c r="T48" s="253">
        <f>IF(T$9=0,0,T$9/AGR_fec!T$9)</f>
        <v>0.80803803536215046</v>
      </c>
      <c r="U48" s="253">
        <f>IF(U$9=0,0,U$9/AGR_fec!U$9)</f>
        <v>1.0243156671850815</v>
      </c>
      <c r="V48" s="253">
        <f>IF(V$9=0,0,V$9/AGR_fec!V$9)</f>
        <v>1.0730024695320022</v>
      </c>
      <c r="W48" s="253">
        <f>IF(W$9=0,0,W$9/AGR_fec!W$9)</f>
        <v>0.87888021799538507</v>
      </c>
      <c r="DA48" s="290"/>
    </row>
    <row r="49" spans="1:105" x14ac:dyDescent="0.25">
      <c r="A49" s="128" t="s">
        <v>175</v>
      </c>
      <c r="B49" s="265">
        <f>IF(B$16=0,0,B$16/AGR_fec!B$16)</f>
        <v>3.1024188000000015</v>
      </c>
      <c r="C49" s="265">
        <f>IF(C$16=0,0,C$16/AGR_fec!C$16)</f>
        <v>3.1024188000000015</v>
      </c>
      <c r="D49" s="265">
        <f>IF(D$16=0,0,D$16/AGR_fec!D$16)</f>
        <v>3.102418800000001</v>
      </c>
      <c r="E49" s="265">
        <f>IF(E$16=0,0,E$16/AGR_fec!E$16)</f>
        <v>3.102418800000001</v>
      </c>
      <c r="F49" s="265">
        <f>IF(F$16=0,0,F$16/AGR_fec!F$16)</f>
        <v>3.1024188000000019</v>
      </c>
      <c r="G49" s="265">
        <f>IF(G$16=0,0,G$16/AGR_fec!G$16)</f>
        <v>3.1024188000000024</v>
      </c>
      <c r="H49" s="265">
        <f>IF(H$16=0,0,H$16/AGR_fec!H$16)</f>
        <v>3.1024188000000015</v>
      </c>
      <c r="I49" s="265">
        <f>IF(I$16=0,0,I$16/AGR_fec!I$16)</f>
        <v>3.1024188000000006</v>
      </c>
      <c r="J49" s="265">
        <f>IF(J$16=0,0,J$16/AGR_fec!J$16)</f>
        <v>3.1024188000000006</v>
      </c>
      <c r="K49" s="265">
        <f>IF(K$16=0,0,K$16/AGR_fec!K$16)</f>
        <v>3.1024188000000006</v>
      </c>
      <c r="L49" s="265">
        <f>IF(L$16=0,0,L$16/AGR_fec!L$16)</f>
        <v>3.1024188000000006</v>
      </c>
      <c r="M49" s="265">
        <f>IF(M$16=0,0,M$16/AGR_fec!M$16)</f>
        <v>3.1024188000000001</v>
      </c>
      <c r="N49" s="265">
        <f>IF(N$16=0,0,N$16/AGR_fec!N$16)</f>
        <v>3.1024188000000001</v>
      </c>
      <c r="O49" s="265">
        <f>IF(O$16=0,0,O$16/AGR_fec!O$16)</f>
        <v>3.1024187999999997</v>
      </c>
      <c r="P49" s="265">
        <f>IF(P$16=0,0,P$16/AGR_fec!P$16)</f>
        <v>3.1024187999999993</v>
      </c>
      <c r="Q49" s="265">
        <f>IF(Q$16=0,0,Q$16/AGR_fec!Q$16)</f>
        <v>3.1024187999999993</v>
      </c>
      <c r="R49" s="265">
        <f>IF(R$16=0,0,R$16/AGR_fec!R$16)</f>
        <v>3.1024188000000006</v>
      </c>
      <c r="S49" s="265">
        <f>IF(S$16=0,0,S$16/AGR_fec!S$16)</f>
        <v>3.1024187999999997</v>
      </c>
      <c r="T49" s="265">
        <f>IF(T$16=0,0,T$16/AGR_fec!T$16)</f>
        <v>3.1024187999999997</v>
      </c>
      <c r="U49" s="265">
        <f>IF(U$16=0,0,U$16/AGR_fec!U$16)</f>
        <v>3.1024187999999997</v>
      </c>
      <c r="V49" s="265">
        <f>IF(V$16=0,0,V$16/AGR_fec!V$16)</f>
        <v>3.1024187999999993</v>
      </c>
      <c r="W49" s="265">
        <f>IF(W$16=0,0,W$16/AGR_fec!W$16)</f>
        <v>3.1024188000000015</v>
      </c>
      <c r="DA49" s="291"/>
    </row>
    <row r="50" spans="1:105" x14ac:dyDescent="0.25">
      <c r="A50" s="128" t="s">
        <v>121</v>
      </c>
      <c r="B50" s="265">
        <f>IF(B$17=0,0,B$17/AGR_fec!B$17)</f>
        <v>3.1024188000000015</v>
      </c>
      <c r="C50" s="265">
        <f>IF(C$17=0,0,C$17/AGR_fec!C$17)</f>
        <v>3.102418800000001</v>
      </c>
      <c r="D50" s="265">
        <f>IF(D$17=0,0,D$17/AGR_fec!D$17)</f>
        <v>3.102418800000001</v>
      </c>
      <c r="E50" s="265">
        <f>IF(E$17=0,0,E$17/AGR_fec!E$17)</f>
        <v>3.1024188000000006</v>
      </c>
      <c r="F50" s="265">
        <f>IF(F$17=0,0,F$17/AGR_fec!F$17)</f>
        <v>3.1024188000000015</v>
      </c>
      <c r="G50" s="265">
        <f>IF(G$17=0,0,G$17/AGR_fec!G$17)</f>
        <v>3.102418800000001</v>
      </c>
      <c r="H50" s="265">
        <f>IF(H$17=0,0,H$17/AGR_fec!H$17)</f>
        <v>3.0425072074527999</v>
      </c>
      <c r="I50" s="265">
        <f>IF(I$17=0,0,I$17/AGR_fec!I$17)</f>
        <v>3.0459412916659478</v>
      </c>
      <c r="J50" s="265">
        <f>IF(J$17=0,0,J$17/AGR_fec!J$17)</f>
        <v>3.0562121412826575</v>
      </c>
      <c r="K50" s="265">
        <f>IF(K$17=0,0,K$17/AGR_fec!K$17)</f>
        <v>2.8701756709851449</v>
      </c>
      <c r="L50" s="265">
        <f>IF(L$17=0,0,L$17/AGR_fec!L$17)</f>
        <v>2.7635317916024458</v>
      </c>
      <c r="M50" s="265">
        <f>IF(M$17=0,0,M$17/AGR_fec!M$17)</f>
        <v>2.6551000320114517</v>
      </c>
      <c r="N50" s="265">
        <f>IF(N$17=0,0,N$17/AGR_fec!N$17)</f>
        <v>2.5858591857065503</v>
      </c>
      <c r="O50" s="265">
        <f>IF(O$17=0,0,O$17/AGR_fec!O$17)</f>
        <v>2.6164572675838129</v>
      </c>
      <c r="P50" s="265">
        <f>IF(P$17=0,0,P$17/AGR_fec!P$17)</f>
        <v>2.5509253663291656</v>
      </c>
      <c r="Q50" s="265">
        <f>IF(Q$17=0,0,Q$17/AGR_fec!Q$17)</f>
        <v>2.6922794280483777</v>
      </c>
      <c r="R50" s="265">
        <f>IF(R$17=0,0,R$17/AGR_fec!R$17)</f>
        <v>2.6136331190439877</v>
      </c>
      <c r="S50" s="265">
        <f>IF(S$17=0,0,S$17/AGR_fec!S$17)</f>
        <v>2.6218132612102898</v>
      </c>
      <c r="T50" s="265">
        <f>IF(T$17=0,0,T$17/AGR_fec!T$17)</f>
        <v>2.5916528929851297</v>
      </c>
      <c r="U50" s="265">
        <f>IF(U$17=0,0,U$17/AGR_fec!U$17)</f>
        <v>2.5421422146233832</v>
      </c>
      <c r="V50" s="265">
        <f>IF(V$17=0,0,V$17/AGR_fec!V$17)</f>
        <v>2.5199377345913532</v>
      </c>
      <c r="W50" s="265">
        <f>IF(W$17=0,0,W$17/AGR_fec!W$17)</f>
        <v>2.5092507343687389</v>
      </c>
      <c r="DA50" s="291"/>
    </row>
    <row r="51" spans="1:105" x14ac:dyDescent="0.25">
      <c r="A51" s="128" t="s">
        <v>174</v>
      </c>
      <c r="B51" s="265">
        <f>IF(B$25=0,0,B$25/AGR_fec!B$25)</f>
        <v>3.1024188000000001</v>
      </c>
      <c r="C51" s="265">
        <f>IF(C$25=0,0,C$25/AGR_fec!C$25)</f>
        <v>3.1024187999999993</v>
      </c>
      <c r="D51" s="265">
        <f>IF(D$25=0,0,D$25/AGR_fec!D$25)</f>
        <v>3.1024187999999997</v>
      </c>
      <c r="E51" s="265">
        <f>IF(E$25=0,0,E$25/AGR_fec!E$25)</f>
        <v>3.1024188000000006</v>
      </c>
      <c r="F51" s="265">
        <f>IF(F$25=0,0,F$25/AGR_fec!F$25)</f>
        <v>3.1024188000000006</v>
      </c>
      <c r="G51" s="265">
        <f>IF(G$25=0,0,G$25/AGR_fec!G$25)</f>
        <v>3.1024188000000001</v>
      </c>
      <c r="H51" s="265">
        <f>IF(H$25=0,0,H$25/AGR_fec!H$25)</f>
        <v>3.1024187999999997</v>
      </c>
      <c r="I51" s="265">
        <f>IF(I$25=0,0,I$25/AGR_fec!I$25)</f>
        <v>3.1024187999999993</v>
      </c>
      <c r="J51" s="265">
        <f>IF(J$25=0,0,J$25/AGR_fec!J$25)</f>
        <v>3.1024188000000006</v>
      </c>
      <c r="K51" s="265">
        <f>IF(K$25=0,0,K$25/AGR_fec!K$25)</f>
        <v>3.1024188000000015</v>
      </c>
      <c r="L51" s="265">
        <f>IF(L$25=0,0,L$25/AGR_fec!L$25)</f>
        <v>3.1024188000000001</v>
      </c>
      <c r="M51" s="265">
        <f>IF(M$25=0,0,M$25/AGR_fec!M$25)</f>
        <v>3.1024188000000001</v>
      </c>
      <c r="N51" s="265">
        <f>IF(N$25=0,0,N$25/AGR_fec!N$25)</f>
        <v>3.1024188000000006</v>
      </c>
      <c r="O51" s="265">
        <f>IF(O$25=0,0,O$25/AGR_fec!O$25)</f>
        <v>3.1024188000000006</v>
      </c>
      <c r="P51" s="265">
        <f>IF(P$25=0,0,P$25/AGR_fec!P$25)</f>
        <v>3.1024188000000001</v>
      </c>
      <c r="Q51" s="265">
        <f>IF(Q$25=0,0,Q$25/AGR_fec!Q$25)</f>
        <v>3.1024187999999993</v>
      </c>
      <c r="R51" s="265">
        <f>IF(R$25=0,0,R$25/AGR_fec!R$25)</f>
        <v>3.1024187999999993</v>
      </c>
      <c r="S51" s="265">
        <f>IF(S$25=0,0,S$25/AGR_fec!S$25)</f>
        <v>3.1024187999999993</v>
      </c>
      <c r="T51" s="265">
        <f>IF(T$25=0,0,T$25/AGR_fec!T$25)</f>
        <v>3.1024188000000001</v>
      </c>
      <c r="U51" s="265">
        <f>IF(U$25=0,0,U$25/AGR_fec!U$25)</f>
        <v>3.1024188000000001</v>
      </c>
      <c r="V51" s="265">
        <f>IF(V$25=0,0,V$25/AGR_fec!V$25)</f>
        <v>3.1024187999999997</v>
      </c>
      <c r="W51" s="265">
        <f>IF(W$25=0,0,W$25/AGR_fec!W$25)</f>
        <v>3.1024188000000001</v>
      </c>
      <c r="DA51" s="291"/>
    </row>
    <row r="52" spans="1:105" x14ac:dyDescent="0.25">
      <c r="A52" s="128" t="s">
        <v>177</v>
      </c>
      <c r="B52" s="265">
        <f>IF(B$26=0,0,B$26/AGR_fec!B$26)</f>
        <v>0</v>
      </c>
      <c r="C52" s="265">
        <f>IF(C$26=0,0,C$26/AGR_fec!C$26)</f>
        <v>0</v>
      </c>
      <c r="D52" s="265">
        <f>IF(D$26=0,0,D$26/AGR_fec!D$26)</f>
        <v>0</v>
      </c>
      <c r="E52" s="265">
        <f>IF(E$26=0,0,E$26/AGR_fec!E$26)</f>
        <v>0</v>
      </c>
      <c r="F52" s="265">
        <f>IF(F$26=0,0,F$26/AGR_fec!F$26)</f>
        <v>0</v>
      </c>
      <c r="G52" s="265">
        <f>IF(G$26=0,0,G$26/AGR_fec!G$26)</f>
        <v>0</v>
      </c>
      <c r="H52" s="265">
        <f>IF(H$26=0,0,H$26/AGR_fec!H$26)</f>
        <v>0</v>
      </c>
      <c r="I52" s="265">
        <f>IF(I$26=0,0,I$26/AGR_fec!I$26)</f>
        <v>0</v>
      </c>
      <c r="J52" s="265">
        <f>IF(J$26=0,0,J$26/AGR_fec!J$26)</f>
        <v>0</v>
      </c>
      <c r="K52" s="265">
        <f>IF(K$26=0,0,K$26/AGR_fec!K$26)</f>
        <v>0</v>
      </c>
      <c r="L52" s="265">
        <f>IF(L$26=0,0,L$26/AGR_fec!L$26)</f>
        <v>0</v>
      </c>
      <c r="M52" s="265">
        <f>IF(M$26=0,0,M$26/AGR_fec!M$26)</f>
        <v>0</v>
      </c>
      <c r="N52" s="265">
        <f>IF(N$26=0,0,N$26/AGR_fec!N$26)</f>
        <v>0</v>
      </c>
      <c r="O52" s="265">
        <f>IF(O$26=0,0,O$26/AGR_fec!O$26)</f>
        <v>0</v>
      </c>
      <c r="P52" s="265">
        <f>IF(P$26=0,0,P$26/AGR_fec!P$26)</f>
        <v>0</v>
      </c>
      <c r="Q52" s="265">
        <f>IF(Q$26=0,0,Q$26/AGR_fec!Q$26)</f>
        <v>0</v>
      </c>
      <c r="R52" s="265">
        <f>IF(R$26=0,0,R$26/AGR_fec!R$26)</f>
        <v>0</v>
      </c>
      <c r="S52" s="265">
        <f>IF(S$26=0,0,S$26/AGR_fec!S$26)</f>
        <v>0</v>
      </c>
      <c r="T52" s="265">
        <f>IF(T$26=0,0,T$26/AGR_fec!T$26)</f>
        <v>0</v>
      </c>
      <c r="U52" s="265">
        <f>IF(U$26=0,0,U$26/AGR_fec!U$26)</f>
        <v>0</v>
      </c>
      <c r="V52" s="265">
        <f>IF(V$26=0,0,V$26/AGR_fec!V$26)</f>
        <v>0</v>
      </c>
      <c r="W52" s="265">
        <f>IF(W$26=0,0,W$26/AGR_fec!W$26)</f>
        <v>0</v>
      </c>
      <c r="DA52" s="291"/>
    </row>
    <row r="53" spans="1:105" x14ac:dyDescent="0.25">
      <c r="A53" s="261" t="s">
        <v>33</v>
      </c>
      <c r="B53" s="266">
        <f>IF(B$27=0,0,B$27/AGR_fec!B$27)</f>
        <v>0</v>
      </c>
      <c r="C53" s="266">
        <f>IF(C$27=0,0,C$27/AGR_fec!C$27)</f>
        <v>0</v>
      </c>
      <c r="D53" s="266">
        <f>IF(D$27=0,0,D$27/AGR_fec!D$27)</f>
        <v>0</v>
      </c>
      <c r="E53" s="266">
        <f>IF(E$27=0,0,E$27/AGR_fec!E$27)</f>
        <v>0</v>
      </c>
      <c r="F53" s="266">
        <f>IF(F$27=0,0,F$27/AGR_fec!F$27)</f>
        <v>0</v>
      </c>
      <c r="G53" s="266">
        <f>IF(G$27=0,0,G$27/AGR_fec!G$27)</f>
        <v>0</v>
      </c>
      <c r="H53" s="266">
        <f>IF(H$27=0,0,H$27/AGR_fec!H$27)</f>
        <v>0</v>
      </c>
      <c r="I53" s="266">
        <f>IF(I$27=0,0,I$27/AGR_fec!I$27)</f>
        <v>0</v>
      </c>
      <c r="J53" s="266">
        <f>IF(J$27=0,0,J$27/AGR_fec!J$27)</f>
        <v>0</v>
      </c>
      <c r="K53" s="266">
        <f>IF(K$27=0,0,K$27/AGR_fec!K$27)</f>
        <v>0</v>
      </c>
      <c r="L53" s="266">
        <f>IF(L$27=0,0,L$27/AGR_fec!L$27)</f>
        <v>0</v>
      </c>
      <c r="M53" s="266">
        <f>IF(M$27=0,0,M$27/AGR_fec!M$27)</f>
        <v>0</v>
      </c>
      <c r="N53" s="266">
        <f>IF(N$27=0,0,N$27/AGR_fec!N$27)</f>
        <v>0</v>
      </c>
      <c r="O53" s="266">
        <f>IF(O$27=0,0,O$27/AGR_fec!O$27)</f>
        <v>0</v>
      </c>
      <c r="P53" s="266">
        <f>IF(P$27=0,0,P$27/AGR_fec!P$27)</f>
        <v>0</v>
      </c>
      <c r="Q53" s="266">
        <f>IF(Q$27=0,0,Q$27/AGR_fec!Q$27)</f>
        <v>0</v>
      </c>
      <c r="R53" s="266">
        <f>IF(R$27=0,0,R$27/AGR_fec!R$27)</f>
        <v>0</v>
      </c>
      <c r="S53" s="266">
        <f>IF(S$27=0,0,S$27/AGR_fec!S$27)</f>
        <v>0</v>
      </c>
      <c r="T53" s="266">
        <f>IF(T$27=0,0,T$27/AGR_fec!T$27)</f>
        <v>0</v>
      </c>
      <c r="U53" s="266">
        <f>IF(U$27=0,0,U$27/AGR_fec!U$27)</f>
        <v>0</v>
      </c>
      <c r="V53" s="266">
        <f>IF(V$27=0,0,V$27/AGR_fec!V$27)</f>
        <v>0</v>
      </c>
      <c r="W53" s="266">
        <f>IF(W$27=0,0,W$27/AGR_fec!W$27)</f>
        <v>0</v>
      </c>
      <c r="DA53" s="292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W5 B9:W9 B17:W17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36</vt:i4>
      </vt:variant>
      <vt:variant>
        <vt:lpstr>Named Ranges</vt:lpstr>
      </vt:variant>
      <vt:variant>
        <vt:i4>35</vt:i4>
      </vt:variant>
    </vt:vector>
  </HeadingPairs>
  <TitlesOfParts>
    <vt:vector size="71" baseType="lpstr">
      <vt:lpstr>cover</vt:lpstr>
      <vt:lpstr>index</vt:lpstr>
      <vt:lpstr>SER_summary</vt:lpstr>
      <vt:lpstr>SER_hh_num</vt:lpstr>
      <vt:lpstr>SER_hh_fec</vt:lpstr>
      <vt:lpstr>SER_hh_tes</vt:lpstr>
      <vt:lpstr>SER_hh_eff</vt:lpstr>
      <vt:lpstr>SER_hh_emi</vt:lpstr>
      <vt:lpstr>SER_hh_fech</vt:lpstr>
      <vt:lpstr>SER_hh_tesh</vt:lpstr>
      <vt:lpstr>SER_hh_emih</vt:lpstr>
      <vt:lpstr>SER_hh_fecs</vt:lpstr>
      <vt:lpstr>SER_hh_tess</vt:lpstr>
      <vt:lpstr>SER_hh_emis</vt:lpstr>
      <vt:lpstr>SER_hh_num_in</vt:lpstr>
      <vt:lpstr>SER_hh_fec_in</vt:lpstr>
      <vt:lpstr>SER_hh_tes_in</vt:lpstr>
      <vt:lpstr>SER_hh_eff_in</vt:lpstr>
      <vt:lpstr>SER_hh_emi_in</vt:lpstr>
      <vt:lpstr>SER_hh_fech_in</vt:lpstr>
      <vt:lpstr>SER_hh_tesh_in</vt:lpstr>
      <vt:lpstr>SER_hh_emih_in</vt:lpstr>
      <vt:lpstr>SER_hh_fecs_in</vt:lpstr>
      <vt:lpstr>SER_hh_tess_in</vt:lpstr>
      <vt:lpstr>SER_hh_emis_in</vt:lpstr>
      <vt:lpstr>SER_se-appl</vt:lpstr>
      <vt:lpstr>SER_VE</vt:lpstr>
      <vt:lpstr>SER_SL</vt:lpstr>
      <vt:lpstr>SER_BL</vt:lpstr>
      <vt:lpstr>SER_CR</vt:lpstr>
      <vt:lpstr>SER_BT</vt:lpstr>
      <vt:lpstr>SER_IT</vt:lpstr>
      <vt:lpstr>AGR</vt:lpstr>
      <vt:lpstr>AGR_fec</vt:lpstr>
      <vt:lpstr>AGR_ued</vt:lpstr>
      <vt:lpstr>AGR_emi</vt:lpstr>
      <vt:lpstr>AGR!Print_Area</vt:lpstr>
      <vt:lpstr>AGR!Print_Titles</vt:lpstr>
      <vt:lpstr>AGR_emi!Print_Titles</vt:lpstr>
      <vt:lpstr>AGR_fec!Print_Titles</vt:lpstr>
      <vt:lpstr>AGR_ued!Print_Titles</vt:lpstr>
      <vt:lpstr>SER_BL!Print_Titles</vt:lpstr>
      <vt:lpstr>SER_BT!Print_Titles</vt:lpstr>
      <vt:lpstr>SER_CR!Print_Titles</vt:lpstr>
      <vt:lpstr>SER_hh_eff!Print_Titles</vt:lpstr>
      <vt:lpstr>SER_hh_eff_in!Print_Titles</vt:lpstr>
      <vt:lpstr>SER_hh_emi!Print_Titles</vt:lpstr>
      <vt:lpstr>SER_hh_emi_in!Print_Titles</vt:lpstr>
      <vt:lpstr>SER_hh_emih!Print_Titles</vt:lpstr>
      <vt:lpstr>SER_hh_emih_in!Print_Titles</vt:lpstr>
      <vt:lpstr>SER_hh_emis!Print_Titles</vt:lpstr>
      <vt:lpstr>SER_hh_emis_in!Print_Titles</vt:lpstr>
      <vt:lpstr>SER_hh_fec!Print_Titles</vt:lpstr>
      <vt:lpstr>SER_hh_fec_in!Print_Titles</vt:lpstr>
      <vt:lpstr>SER_hh_fech!Print_Titles</vt:lpstr>
      <vt:lpstr>SER_hh_fech_in!Print_Titles</vt:lpstr>
      <vt:lpstr>SER_hh_fecs!Print_Titles</vt:lpstr>
      <vt:lpstr>SER_hh_fecs_in!Print_Titles</vt:lpstr>
      <vt:lpstr>SER_hh_num!Print_Titles</vt:lpstr>
      <vt:lpstr>SER_hh_num_in!Print_Titles</vt:lpstr>
      <vt:lpstr>SER_hh_tes!Print_Titles</vt:lpstr>
      <vt:lpstr>SER_hh_tes_in!Print_Titles</vt:lpstr>
      <vt:lpstr>SER_hh_tesh!Print_Titles</vt:lpstr>
      <vt:lpstr>SER_hh_tesh_in!Print_Titles</vt:lpstr>
      <vt:lpstr>SER_hh_tess!Print_Titles</vt:lpstr>
      <vt:lpstr>SER_hh_tess_in!Print_Titles</vt:lpstr>
      <vt:lpstr>SER_IT!Print_Titles</vt:lpstr>
      <vt:lpstr>'SER_se-appl'!Print_Titles</vt:lpstr>
      <vt:lpstr>SER_SL!Print_Titles</vt:lpstr>
      <vt:lpstr>SER_summary!Print_Titles</vt:lpstr>
      <vt:lpstr>SER_VE!Print_Titles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2024-05-20T16:47:11Z</dcterms:created>
  <dcterms:modified xsi:type="dcterms:W3CDTF">2024-05-20T16:47:11Z</dcterms:modified>
</cp:coreProperties>
</file>