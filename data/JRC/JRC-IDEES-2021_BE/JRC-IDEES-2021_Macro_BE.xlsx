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W84" i="59"/>
  <c r="U116" i="59"/>
  <c r="V115" i="59"/>
  <c r="U113" i="59"/>
  <c r="Y80" i="59"/>
  <c r="W80" i="59"/>
  <c r="Y75" i="59"/>
  <c r="Y107" i="59"/>
  <c r="W75" i="59"/>
  <c r="O106" i="59"/>
  <c r="M106" i="59"/>
  <c r="G106" i="59"/>
  <c r="W72" i="59"/>
  <c r="W104" i="59"/>
  <c r="Y71" i="59"/>
  <c r="V103" i="59"/>
  <c r="T71" i="59"/>
  <c r="V101" i="59"/>
  <c r="U101" i="59"/>
  <c r="U100" i="59"/>
  <c r="Y67" i="59"/>
  <c r="W87" i="59"/>
  <c r="U115" i="59"/>
  <c r="V113" i="59"/>
  <c r="T112" i="59"/>
  <c r="V111" i="59"/>
  <c r="X110" i="59"/>
  <c r="T80" i="59"/>
  <c r="W78" i="59"/>
  <c r="Y122" i="59"/>
  <c r="W122" i="59"/>
  <c r="Y120" i="59"/>
  <c r="T118" i="59"/>
  <c r="Y84" i="59"/>
  <c r="T83" i="59"/>
  <c r="Y114" i="59"/>
  <c r="W113" i="59"/>
  <c r="Y111" i="59"/>
  <c r="W110" i="59"/>
  <c r="Y77" i="59"/>
  <c r="U109" i="59"/>
  <c r="U108" i="59"/>
  <c r="W73" i="59"/>
  <c r="W105" i="59"/>
  <c r="Y72" i="59"/>
  <c r="Y102" i="59"/>
  <c r="W69" i="59"/>
  <c r="W101" i="59"/>
  <c r="Y99" i="59"/>
  <c r="W67" i="59"/>
  <c r="W98" i="59"/>
  <c r="Y65" i="59"/>
  <c r="X20" i="59"/>
  <c r="U20" i="59"/>
  <c r="T10" i="59"/>
  <c r="W5" i="59"/>
  <c r="T5" i="59"/>
  <c r="Y5" i="59"/>
  <c r="U5" i="59"/>
  <c r="Y70" i="59" l="1"/>
  <c r="Y82" i="59"/>
  <c r="W74" i="59"/>
  <c r="U103" i="59"/>
  <c r="U71" i="59"/>
  <c r="Y69" i="59"/>
  <c r="V94" i="59"/>
  <c r="Y73" i="59"/>
  <c r="W90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81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N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<sst xmlns="http://schemas.openxmlformats.org/spreadsheetml/2006/main" count="722" uniqueCount="281">
  <si>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</si>
  <si>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</si>
  <si>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</si>
  <si>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</si>
  <si>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</si>
  <si>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</si>
  <si>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</si>
  <si>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</si>
  <si>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</si>
  <si>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</si>
  <si>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</si>
  <si>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</si>
  <si>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</si>
  <si>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</si>
  <si>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</si>
  <si>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</si>
  <si>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</si>
  <si>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</si>
  <si>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</si>
  <si>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</si>
  <si>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</si>
  <si>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</si>
  <si>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</si>
  <si>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</si>
  <si>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</si>
  <si>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</si>
  <si>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</si>
  <si>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</si>
  <si>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</si>
  <si>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</si>
  <si>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</si>
  <si>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</si>
  <si>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</si>
  <si>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</si>
  <si>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</si>
  <si>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</si>
  <si>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</si>
  <si>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</si>
  <si>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</si>
  <si>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</si>
  <si>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</si>
  <si>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</si>
  <si>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</si>
  <si>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</si>
  <si>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</si>
  <si>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</si>
  <si>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</si>
  <si>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</si>
  <si>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</si>
  <si>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</si>
  <si>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</si>
  <si>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</si>
  <si>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</si>
  <si>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</si>
  <si>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</si>
  <si>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</si>
  <si>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</si>
  <si>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</si>
  <si>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</si>
  <si>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</si>
  <si>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</si>
  <si>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</si>
  <si>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</si>
  <si>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</si>
  <si>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</si>
  <si>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</si>
  <si>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</si>
  <si>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</si>
  <si>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</si>
  <si>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</si>
  <si>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</si>
  <si>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</si>
  <si>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</si>
  <si>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</si>
  <si>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</si>
  <si>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</si>
  <si>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</si>
  <si>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</si>
  <si>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</si>
  <si>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</si>
  <si>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</si>
  <si>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</si>
  <si>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</si>
  <si>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</si>
  <si>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</si>
  <si>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</si>
  <si>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</si>
  <si>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</si>
  <si>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</si>
  <si>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</si>
  <si>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</si>
  <si>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</si>
  <si>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</si>
  <si>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</si>
  <si>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</si>
  <si>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</si>
  <si>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</si>
  <si>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</si>
  <si>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</si>
  <si>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</si>
  <si>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</si>
  <si>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</si>
  <si>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</si>
  <si>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</si>
  <si>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</si>
  <si>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</si>
  <si>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</si>
  <si>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</si>
  <si>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</si>
  <si>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</si>
  <si>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</si>
  <si>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</si>
  <si>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</si>
  <si>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</si>
  <si>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</si>
  <si>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</si>
  <si>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</si>
  <si>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</si>
  <si>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</si>
  <si>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</si>
  <si>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</si>
  <si>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</si>
  <si>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</si>
  <si>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</si>
  <si>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</si>
  <si>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</si>
  <si>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</si>
  <si>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</si>
  <si>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</si>
  <si>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</si>
  <si>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</si>
  <si>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</si>
  <si>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</si>
  <si>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</si>
  <si>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</si>
  <si>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</si>
  <si>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</si>
  <si>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</si>
  <si>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</si>
  <si>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</si>
  <si>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</si>
  <si>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</si>
  <si>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</si>
  <si>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</si>
  <si>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</si>
  <si>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</si>
  <si>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</si>
  <si>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</si>
  <si>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</si>
  <si>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</si>
  <si>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</si>
  <si>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</si>
  <si>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</si>
  <si>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</si>
  <si>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</si>
  <si>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</si>
  <si>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</si>
  <si>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</si>
  <si>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</si>
  <si>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</si>
  <si>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</si>
  <si>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</si>
  <si>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</si>
  <si>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</si>
  <si>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</si>
  <si>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</si>
  <si>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</si>
  <si>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</si>
  <si>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</si>
  <si>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</si>
  <si>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</si>
  <si>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</si>
  <si>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</si>
  <si>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</si>
  <si>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</si>
  <si>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</si>
  <si>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</si>
  <si>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</si>
  <si>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</si>
  <si>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</si>
  <si>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</si>
  <si>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</si>
  <si>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</si>
  <si>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</si>
  <si>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</si>
  <si>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</si>
  <si>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</si>
  <si>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</si>
  <si>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</si>
  <si>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</si>
  <si>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</si>
  <si>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</si>
  <si>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</si>
  <si>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</si>
  <si>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</si>
  <si>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</si>
  <si>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</si>
  <si>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</si>
  <si>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</si>
  <si>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</si>
  <si>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</si>
  <si>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</si>
  <si>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</si>
  <si>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</si>
  <si>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</si>
  <si>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</si>
  <si>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</si>
  <si>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</si>
  <si>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</si>
  <si>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</si>
  <si>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</si>
  <si>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</si>
  <si>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</si>
  <si>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</si>
  <si>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</si>
  <si>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</si>
  <si>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</si>
  <si>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</si>
  <si>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</si>
  <si>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</si>
  <si>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</si>
  <si>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</si>
  <si>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</si>
  <si>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</si>
  <si>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</si>
  <si>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</si>
  <si>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</si>
  <si>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</si>
  <si>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</si>
  <si>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</si>
  <si>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</si>
  <si>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</si>
  <si>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</si>
  <si>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</si>
  <si>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</si>
  <si>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</si>
  <si>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</si>
  <si>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</si>
  <si>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</si>
  <si>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</si>
  <si>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</si>
  <si>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</si>
  <si>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</si>
  <si>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</si>
  <si>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</si>
  <si>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</si>
  <si>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</si>
  <si>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</si>
  <si>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</si>
  <si>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</si>
  <si>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</si>
  <si>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</si>
  <si>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</si>
  <si>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</si>
  <si>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</si>
  <si>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</si>
  <si>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</si>
  <si>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</si>
  <si>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</si>
  <si>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</si>
  <si>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</si>
  <si>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</si>
  <si>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</si>
  <si>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</si>
  <si>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</si>
  <si>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</si>
  <si>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</si>
  <si>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</si>
  <si>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</si>
  <si>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</si>
  <si>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</si>
  <si>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</si>
  <si>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</si>
  <si>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</si>
  <si>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</si>
  <si>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</si>
  <si>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</si>
  <si>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</si>
  <si>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</si>
  <si>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BE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</si>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</sst>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45432.782025462962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275780.72582250164</v>
      </c>
      <c r="E2" s="19">
        <v>284342.54897444631</v>
      </c>
      <c r="F2" s="19">
        <v>293937.17979013699</v>
      </c>
      <c r="G2" s="19">
        <v>302483.01020751131</v>
      </c>
      <c r="H2" s="19">
        <v>319284.76046028105</v>
      </c>
      <c r="I2" s="19">
        <v>333503.35741358524</v>
      </c>
      <c r="J2" s="19">
        <v>349763.21244534483</v>
      </c>
      <c r="K2" s="19">
        <v>369625.49584072584</v>
      </c>
      <c r="L2" s="19">
        <v>378365.8753476431</v>
      </c>
      <c r="M2" s="19">
        <v>372694.27223744499</v>
      </c>
      <c r="N2" s="19">
        <v>390624.43526526389</v>
      </c>
      <c r="O2" s="19">
        <v>404422.40199695708</v>
      </c>
      <c r="P2" s="19">
        <v>415403.92288911919</v>
      </c>
      <c r="Q2" s="19">
        <v>422613.2413764876</v>
      </c>
      <c r="R2" s="19">
        <v>433504.0918743097</v>
      </c>
      <c r="S2" s="19">
        <v>448241.52896600001</v>
      </c>
      <c r="T2" s="19">
        <v>462636.76637297519</v>
      </c>
      <c r="U2" s="19">
        <v>478737.81882142095</v>
      </c>
      <c r="V2" s="19">
        <v>494870.52799089142</v>
      </c>
      <c r="W2" s="19">
        <v>514905.60378899483</v>
      </c>
      <c r="X2" s="19">
        <v>495620.66997081868</v>
      </c>
      <c r="Y2" s="19">
        <v>546375.57434848347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144516.45948494028</v>
      </c>
      <c r="E3" s="23">
        <v>149267.60089703341</v>
      </c>
      <c r="F3" s="23">
        <v>151745.7654702719</v>
      </c>
      <c r="G3" s="23">
        <v>155119.86623347414</v>
      </c>
      <c r="H3" s="23">
        <v>160689.37968986199</v>
      </c>
      <c r="I3" s="23">
        <v>167669.74277654645</v>
      </c>
      <c r="J3" s="23">
        <v>175349.46816456935</v>
      </c>
      <c r="K3" s="23">
        <v>183819.89597519743</v>
      </c>
      <c r="L3" s="23">
        <v>192254.48273068757</v>
      </c>
      <c r="M3" s="23">
        <v>191795.73716202122</v>
      </c>
      <c r="N3" s="23">
        <v>201276.13033920951</v>
      </c>
      <c r="O3" s="23">
        <v>208811.16904065962</v>
      </c>
      <c r="P3" s="23">
        <v>216146.47360156916</v>
      </c>
      <c r="Q3" s="23">
        <v>222091.51026805674</v>
      </c>
      <c r="R3" s="23">
        <v>224990.8624242302</v>
      </c>
      <c r="S3" s="23">
        <v>230518.23995399999</v>
      </c>
      <c r="T3" s="23">
        <v>237702.31940545491</v>
      </c>
      <c r="U3" s="23">
        <v>246839.78884088647</v>
      </c>
      <c r="V3" s="23">
        <v>256675.01435975666</v>
      </c>
      <c r="W3" s="23">
        <v>264713.79848075716</v>
      </c>
      <c r="X3" s="23">
        <v>245110.43771885944</v>
      </c>
      <c r="Y3" s="23">
        <v>267044.35209370847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228625.39999999997</v>
      </c>
      <c r="E4" s="27">
        <v>236804.2</v>
      </c>
      <c r="F4" s="27">
        <v>244560.7</v>
      </c>
      <c r="G4" s="27">
        <v>251865.80000000005</v>
      </c>
      <c r="H4" s="27">
        <v>264845.40000000002</v>
      </c>
      <c r="I4" s="27">
        <v>276828.7</v>
      </c>
      <c r="J4" s="27">
        <v>290022.59999999992</v>
      </c>
      <c r="K4" s="27">
        <v>306588.90000000002</v>
      </c>
      <c r="L4" s="27">
        <v>313984</v>
      </c>
      <c r="M4" s="27">
        <v>309511.7</v>
      </c>
      <c r="N4" s="27">
        <v>324347.00000000006</v>
      </c>
      <c r="O4" s="27">
        <v>336110.2</v>
      </c>
      <c r="P4" s="27">
        <v>345068.6</v>
      </c>
      <c r="Q4" s="27">
        <v>350968.6</v>
      </c>
      <c r="R4" s="27">
        <v>360582.40000000002</v>
      </c>
      <c r="S4" s="27">
        <v>373301.6</v>
      </c>
      <c r="T4" s="27">
        <v>384032.7</v>
      </c>
      <c r="U4" s="27">
        <v>397034.3</v>
      </c>
      <c r="V4" s="27">
        <v>410200.8</v>
      </c>
      <c r="W4" s="27">
        <v>427346.3</v>
      </c>
      <c r="X4" s="27">
        <v>413620.9</v>
      </c>
      <c r="Y4" s="27">
        <v>453019.9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3015</v>
      </c>
      <c r="E6" s="19">
        <v>2932.4</v>
      </c>
      <c r="F6" s="19">
        <v>2823.1</v>
      </c>
      <c r="G6" s="19">
        <v>2894.8</v>
      </c>
      <c r="H6" s="19">
        <v>3036.2</v>
      </c>
      <c r="I6" s="19">
        <v>2606.3000000000006</v>
      </c>
      <c r="J6" s="19">
        <v>2950</v>
      </c>
      <c r="K6" s="19">
        <v>3049.7</v>
      </c>
      <c r="L6" s="19">
        <v>2505.6</v>
      </c>
      <c r="M6" s="19">
        <v>2235.6999999999998</v>
      </c>
      <c r="N6" s="19">
        <v>2778.4</v>
      </c>
      <c r="O6" s="19">
        <v>2436.4</v>
      </c>
      <c r="P6" s="19">
        <v>3016.9</v>
      </c>
      <c r="Q6" s="19">
        <v>2676.2</v>
      </c>
      <c r="R6" s="19">
        <v>2570.5</v>
      </c>
      <c r="S6" s="19">
        <v>2860.3</v>
      </c>
      <c r="T6" s="19">
        <v>2702.8</v>
      </c>
      <c r="U6" s="19">
        <v>2960</v>
      </c>
      <c r="V6" s="19">
        <v>2774.3</v>
      </c>
      <c r="W6" s="19">
        <v>3207.2</v>
      </c>
      <c r="X6" s="19">
        <v>3129.2</v>
      </c>
      <c r="Y6" s="19">
        <v>3258.9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52154.099999999969</v>
      </c>
      <c r="E7" s="23">
        <v>52236.099999999962</v>
      </c>
      <c r="F7" s="23">
        <v>52973.299999999974</v>
      </c>
      <c r="G7" s="23">
        <v>52943.60000000002</v>
      </c>
      <c r="H7" s="23">
        <v>55022.900000000052</v>
      </c>
      <c r="I7" s="23">
        <v>56344.69999999999</v>
      </c>
      <c r="J7" s="23">
        <v>56631.899999999943</v>
      </c>
      <c r="K7" s="23">
        <v>59877.500000000073</v>
      </c>
      <c r="L7" s="23">
        <v>57930.099999999984</v>
      </c>
      <c r="M7" s="23">
        <v>53819.099999999969</v>
      </c>
      <c r="N7" s="23">
        <v>58156.499999999942</v>
      </c>
      <c r="O7" s="23">
        <v>59262.199999999961</v>
      </c>
      <c r="P7" s="23">
        <v>58675.799999999988</v>
      </c>
      <c r="Q7" s="23">
        <v>59387.89999999998</v>
      </c>
      <c r="R7" s="23">
        <v>60282.200000000019</v>
      </c>
      <c r="S7" s="23">
        <v>62670.700000000012</v>
      </c>
      <c r="T7" s="23">
        <v>63277.39999999998</v>
      </c>
      <c r="U7" s="23">
        <v>65457.100000000049</v>
      </c>
      <c r="V7" s="23">
        <v>65338.299999999959</v>
      </c>
      <c r="W7" s="23">
        <v>69562.000000000044</v>
      </c>
      <c r="X7" s="23">
        <v>67550.600000000035</v>
      </c>
      <c r="Y7" s="23">
        <v>73816.299999999945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11796</v>
      </c>
      <c r="E8" s="23">
        <v>12029.4</v>
      </c>
      <c r="F8" s="23">
        <v>12027</v>
      </c>
      <c r="G8" s="23">
        <v>12369.8</v>
      </c>
      <c r="H8" s="23">
        <v>13126.9</v>
      </c>
      <c r="I8" s="23">
        <v>13642.3</v>
      </c>
      <c r="J8" s="23">
        <v>15356.4</v>
      </c>
      <c r="K8" s="23">
        <v>16687.5</v>
      </c>
      <c r="L8" s="23">
        <v>18030.400000000001</v>
      </c>
      <c r="M8" s="23">
        <v>17554.400000000001</v>
      </c>
      <c r="N8" s="23">
        <v>17720.099999999999</v>
      </c>
      <c r="O8" s="23">
        <v>18855.999999999996</v>
      </c>
      <c r="P8" s="23">
        <v>18849.7</v>
      </c>
      <c r="Q8" s="23">
        <v>18713.5</v>
      </c>
      <c r="R8" s="23">
        <v>19007.999999999996</v>
      </c>
      <c r="S8" s="23">
        <v>19294</v>
      </c>
      <c r="T8" s="23">
        <v>19678.400000000001</v>
      </c>
      <c r="U8" s="23">
        <v>20149.900000000001</v>
      </c>
      <c r="V8" s="23">
        <v>21767.4</v>
      </c>
      <c r="W8" s="23">
        <v>22628</v>
      </c>
      <c r="X8" s="23">
        <v>21758.5</v>
      </c>
      <c r="Y8" s="23">
        <v>24399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43237.3</v>
      </c>
      <c r="E9" s="23">
        <v>45712.800000000003</v>
      </c>
      <c r="F9" s="23">
        <v>48758.6</v>
      </c>
      <c r="G9" s="23">
        <v>52516</v>
      </c>
      <c r="H9" s="23">
        <v>55549.200000000012</v>
      </c>
      <c r="I9" s="23">
        <v>58684.6</v>
      </c>
      <c r="J9" s="23">
        <v>61135.1</v>
      </c>
      <c r="K9" s="23">
        <v>64616.600000000006</v>
      </c>
      <c r="L9" s="23">
        <v>67039</v>
      </c>
      <c r="M9" s="23">
        <v>63993.299999999988</v>
      </c>
      <c r="N9" s="23">
        <v>66369.10000000002</v>
      </c>
      <c r="O9" s="23">
        <v>68315.7</v>
      </c>
      <c r="P9" s="23">
        <v>68661.399999999994</v>
      </c>
      <c r="Q9" s="23">
        <v>68742.8</v>
      </c>
      <c r="R9" s="23">
        <v>70572.600000000006</v>
      </c>
      <c r="S9" s="23">
        <v>72885.899999999994</v>
      </c>
      <c r="T9" s="23">
        <v>75838.2</v>
      </c>
      <c r="U9" s="23">
        <v>75861.8</v>
      </c>
      <c r="V9" s="23">
        <v>78709.7</v>
      </c>
      <c r="W9" s="23">
        <v>80881.399999999994</v>
      </c>
      <c r="X9" s="23">
        <v>73133.7</v>
      </c>
      <c r="Y9" s="23">
        <v>83390.2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8940</v>
      </c>
      <c r="E10" s="23">
        <v>9950.4</v>
      </c>
      <c r="F10" s="23">
        <v>10334</v>
      </c>
      <c r="G10" s="23">
        <v>10460.700000000001</v>
      </c>
      <c r="H10" s="23">
        <v>11072.1</v>
      </c>
      <c r="I10" s="23">
        <v>11347.3</v>
      </c>
      <c r="J10" s="23">
        <v>11790.5</v>
      </c>
      <c r="K10" s="23">
        <v>12550.3</v>
      </c>
      <c r="L10" s="23">
        <v>12949.7</v>
      </c>
      <c r="M10" s="23">
        <v>13460.5</v>
      </c>
      <c r="N10" s="23">
        <v>14024.7</v>
      </c>
      <c r="O10" s="23">
        <v>14522.3</v>
      </c>
      <c r="P10" s="23">
        <v>15077.8</v>
      </c>
      <c r="Q10" s="23">
        <v>14630.8</v>
      </c>
      <c r="R10" s="23">
        <v>14627.2</v>
      </c>
      <c r="S10" s="23">
        <v>15314.2</v>
      </c>
      <c r="T10" s="23">
        <v>15866.3</v>
      </c>
      <c r="U10" s="23">
        <v>16799.400000000001</v>
      </c>
      <c r="V10" s="23">
        <v>17410.3</v>
      </c>
      <c r="W10" s="23">
        <v>18638.8</v>
      </c>
      <c r="X10" s="23">
        <v>19015.699999999997</v>
      </c>
      <c r="Y10" s="23">
        <v>20560.599999999995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14195.2</v>
      </c>
      <c r="E11" s="23">
        <v>13724.2</v>
      </c>
      <c r="F11" s="23">
        <v>14477.2</v>
      </c>
      <c r="G11" s="23">
        <v>13664.499999999998</v>
      </c>
      <c r="H11" s="23">
        <v>15272.499999999998</v>
      </c>
      <c r="I11" s="23">
        <v>15393.4</v>
      </c>
      <c r="J11" s="23">
        <v>16095.6</v>
      </c>
      <c r="K11" s="23">
        <v>15967.8</v>
      </c>
      <c r="L11" s="23">
        <v>14684.1</v>
      </c>
      <c r="M11" s="23">
        <v>17625.900000000001</v>
      </c>
      <c r="N11" s="23">
        <v>19173.900000000005</v>
      </c>
      <c r="O11" s="23">
        <v>18939.900000000005</v>
      </c>
      <c r="P11" s="23">
        <v>20471.900000000001</v>
      </c>
      <c r="Q11" s="23">
        <v>20429.900000000001</v>
      </c>
      <c r="R11" s="23">
        <v>22078.7</v>
      </c>
      <c r="S11" s="23">
        <v>23690.1</v>
      </c>
      <c r="T11" s="23">
        <v>24397</v>
      </c>
      <c r="U11" s="23">
        <v>25705</v>
      </c>
      <c r="V11" s="23">
        <v>26905</v>
      </c>
      <c r="W11" s="23">
        <v>27215.599999999999</v>
      </c>
      <c r="X11" s="23">
        <v>27198</v>
      </c>
      <c r="Y11" s="23">
        <v>29176.2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19379.099999999995</v>
      </c>
      <c r="E12" s="23">
        <v>20267.5</v>
      </c>
      <c r="F12" s="23">
        <v>20304.400000000001</v>
      </c>
      <c r="G12" s="23">
        <v>20684.8</v>
      </c>
      <c r="H12" s="23">
        <v>20844.5</v>
      </c>
      <c r="I12" s="23">
        <v>22975.3</v>
      </c>
      <c r="J12" s="23">
        <v>24762.6</v>
      </c>
      <c r="K12" s="23">
        <v>26238.7</v>
      </c>
      <c r="L12" s="23">
        <v>26997.7</v>
      </c>
      <c r="M12" s="23">
        <v>26354.6</v>
      </c>
      <c r="N12" s="23">
        <v>27358.6</v>
      </c>
      <c r="O12" s="23">
        <v>29245.1</v>
      </c>
      <c r="P12" s="23">
        <v>30585</v>
      </c>
      <c r="Q12" s="23">
        <v>31829.9</v>
      </c>
      <c r="R12" s="23">
        <v>32352.799999999999</v>
      </c>
      <c r="S12" s="23">
        <v>33821.300000000003</v>
      </c>
      <c r="T12" s="23">
        <v>34548.100000000006</v>
      </c>
      <c r="U12" s="23">
        <v>36108.400000000001</v>
      </c>
      <c r="V12" s="23">
        <v>37512.199999999997</v>
      </c>
      <c r="W12" s="23">
        <v>38860.699999999997</v>
      </c>
      <c r="X12" s="23">
        <v>39720.199999999997</v>
      </c>
      <c r="Y12" s="23">
        <v>41933.300000000003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26016.400000000001</v>
      </c>
      <c r="E13" s="23">
        <v>27898.799999999999</v>
      </c>
      <c r="F13" s="23">
        <v>27962.1</v>
      </c>
      <c r="G13" s="23">
        <v>29164.799999999999</v>
      </c>
      <c r="H13" s="23">
        <v>31475.499999999996</v>
      </c>
      <c r="I13" s="23">
        <v>33482</v>
      </c>
      <c r="J13" s="23">
        <v>36154.800000000003</v>
      </c>
      <c r="K13" s="23">
        <v>39491.599999999999</v>
      </c>
      <c r="L13" s="23">
        <v>41583.9</v>
      </c>
      <c r="M13" s="23">
        <v>40634.699999999997</v>
      </c>
      <c r="N13" s="23">
        <v>42433.4</v>
      </c>
      <c r="O13" s="23">
        <v>44781</v>
      </c>
      <c r="P13" s="23">
        <v>46204.6</v>
      </c>
      <c r="Q13" s="23">
        <v>48666.2</v>
      </c>
      <c r="R13" s="23">
        <v>51513.2</v>
      </c>
      <c r="S13" s="23">
        <v>54223.7</v>
      </c>
      <c r="T13" s="23">
        <v>56945.599999999999</v>
      </c>
      <c r="U13" s="23">
        <v>60409.599999999999</v>
      </c>
      <c r="V13" s="23">
        <v>62999.6</v>
      </c>
      <c r="W13" s="23">
        <v>66012.100000000006</v>
      </c>
      <c r="X13" s="23">
        <v>64231</v>
      </c>
      <c r="Y13" s="23">
        <v>71359.7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44881.599999999999</v>
      </c>
      <c r="E14" s="23">
        <v>46968.9</v>
      </c>
      <c r="F14" s="23">
        <v>49517.3</v>
      </c>
      <c r="G14" s="23">
        <v>51626.1</v>
      </c>
      <c r="H14" s="23">
        <v>53519.199999999997</v>
      </c>
      <c r="I14" s="23">
        <v>56154.7</v>
      </c>
      <c r="J14" s="23">
        <v>58767.999999999993</v>
      </c>
      <c r="K14" s="23">
        <v>61493.3</v>
      </c>
      <c r="L14" s="23">
        <v>65377.000000000007</v>
      </c>
      <c r="M14" s="23">
        <v>67509.5</v>
      </c>
      <c r="N14" s="23">
        <v>69868.100000000006</v>
      </c>
      <c r="O14" s="23">
        <v>73010</v>
      </c>
      <c r="P14" s="23">
        <v>76504.5</v>
      </c>
      <c r="Q14" s="23">
        <v>78739.7</v>
      </c>
      <c r="R14" s="23">
        <v>80175.8</v>
      </c>
      <c r="S14" s="23">
        <v>80894.8</v>
      </c>
      <c r="T14" s="23">
        <v>82888.2</v>
      </c>
      <c r="U14" s="23">
        <v>85465.9</v>
      </c>
      <c r="V14" s="23">
        <v>88277.3</v>
      </c>
      <c r="W14" s="23">
        <v>91483.5</v>
      </c>
      <c r="X14" s="23">
        <v>90394.2</v>
      </c>
      <c r="Y14" s="23">
        <v>96618.8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5010.7</v>
      </c>
      <c r="E15" s="23">
        <v>5083.7</v>
      </c>
      <c r="F15" s="23">
        <v>5383.7</v>
      </c>
      <c r="G15" s="23">
        <v>5540.7</v>
      </c>
      <c r="H15" s="23">
        <v>5926.4</v>
      </c>
      <c r="I15" s="23">
        <v>6198.1</v>
      </c>
      <c r="J15" s="23">
        <v>6377.7</v>
      </c>
      <c r="K15" s="23">
        <v>6615.9</v>
      </c>
      <c r="L15" s="23">
        <v>6886.5</v>
      </c>
      <c r="M15" s="23">
        <v>6324</v>
      </c>
      <c r="N15" s="23">
        <v>6464.2</v>
      </c>
      <c r="O15" s="23">
        <v>6741.6</v>
      </c>
      <c r="P15" s="23">
        <v>7021</v>
      </c>
      <c r="Q15" s="23">
        <v>7151.7</v>
      </c>
      <c r="R15" s="23">
        <v>7401.4</v>
      </c>
      <c r="S15" s="23">
        <v>7646.6</v>
      </c>
      <c r="T15" s="23">
        <v>7890.7</v>
      </c>
      <c r="U15" s="23">
        <v>8117.2</v>
      </c>
      <c r="V15" s="23">
        <v>8506.7000000000007</v>
      </c>
      <c r="W15" s="23">
        <v>8857</v>
      </c>
      <c r="X15" s="23">
        <v>7489.8</v>
      </c>
      <c r="Y15" s="23">
        <v>8506.9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228625.4</v>
      </c>
      <c r="E16" s="30">
        <f t="shared" ref="E16:S16" si="0">SUM(E6:E15)</f>
        <v>236804.19999999995</v>
      </c>
      <c r="F16" s="30">
        <f t="shared" si="0"/>
        <v>244560.7</v>
      </c>
      <c r="G16" s="30">
        <f t="shared" si="0"/>
        <v>251865.80000000002</v>
      </c>
      <c r="H16" s="30">
        <f t="shared" si="0"/>
        <v>264845.40000000008</v>
      </c>
      <c r="I16" s="30">
        <f t="shared" si="0"/>
        <v>276828.69999999995</v>
      </c>
      <c r="J16" s="30">
        <f t="shared" si="0"/>
        <v>290022.59999999998</v>
      </c>
      <c r="K16" s="30">
        <f t="shared" si="0"/>
        <v>306588.90000000008</v>
      </c>
      <c r="L16" s="30">
        <f t="shared" si="0"/>
        <v>313984</v>
      </c>
      <c r="M16" s="30">
        <f t="shared" si="0"/>
        <v>309511.69999999995</v>
      </c>
      <c r="N16" s="30">
        <f t="shared" si="0"/>
        <v>324347</v>
      </c>
      <c r="O16" s="30">
        <f t="shared" si="0"/>
        <v>336110.19999999995</v>
      </c>
      <c r="P16" s="30">
        <f t="shared" si="0"/>
        <v>345068.6</v>
      </c>
      <c r="Q16" s="30">
        <f t="shared" si="0"/>
        <v>350968.6</v>
      </c>
      <c r="R16" s="30">
        <f t="shared" si="0"/>
        <v>360582.40000000002</v>
      </c>
      <c r="S16" s="30">
        <f t="shared" si="0"/>
        <v>373301.60000000003</v>
      </c>
      <c r="T16" s="30">
        <f t="shared" ref="T16:Y16" si="1">SUM(T6:T15)</f>
        <v>384032.7</v>
      </c>
      <c r="U16" s="30">
        <f t="shared" si="1"/>
        <v>397034.3</v>
      </c>
      <c r="V16" s="30">
        <f t="shared" si="1"/>
        <v>410200.79999999993</v>
      </c>
      <c r="W16" s="30">
        <f t="shared" si="1"/>
        <v>427346.30000000005</v>
      </c>
      <c r="X16" s="30">
        <f t="shared" si="1"/>
        <v>413620.9</v>
      </c>
      <c r="Y16" s="30">
        <f t="shared" si="1"/>
        <v>453019.89999999997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3015</v>
      </c>
      <c r="E18" s="19">
        <v>2932.4</v>
      </c>
      <c r="F18" s="19">
        <v>2823.1</v>
      </c>
      <c r="G18" s="19">
        <v>2894.8</v>
      </c>
      <c r="H18" s="19">
        <v>3036.2</v>
      </c>
      <c r="I18" s="19">
        <v>2606.3000000000006</v>
      </c>
      <c r="J18" s="19">
        <v>2950</v>
      </c>
      <c r="K18" s="19">
        <v>3049.7</v>
      </c>
      <c r="L18" s="19">
        <v>2505.6</v>
      </c>
      <c r="M18" s="19">
        <v>2235.6999999999998</v>
      </c>
      <c r="N18" s="19">
        <v>2778.4</v>
      </c>
      <c r="O18" s="19">
        <v>2436.4</v>
      </c>
      <c r="P18" s="19">
        <v>3016.9</v>
      </c>
      <c r="Q18" s="19">
        <v>2676.2</v>
      </c>
      <c r="R18" s="19">
        <v>2570.5</v>
      </c>
      <c r="S18" s="19">
        <v>2860.3</v>
      </c>
      <c r="T18" s="19">
        <v>2702.8</v>
      </c>
      <c r="U18" s="19">
        <v>2960</v>
      </c>
      <c r="V18" s="19">
        <v>2774.3</v>
      </c>
      <c r="W18" s="19">
        <v>3207.2</v>
      </c>
      <c r="X18" s="19">
        <v>3129.2</v>
      </c>
      <c r="Y18" s="19">
        <v>3258.9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349.4</v>
      </c>
      <c r="E19" s="23">
        <v>302.8</v>
      </c>
      <c r="F19" s="23">
        <v>314.60000000000002</v>
      </c>
      <c r="G19" s="23">
        <v>322.8</v>
      </c>
      <c r="H19" s="23">
        <v>308.7</v>
      </c>
      <c r="I19" s="23">
        <v>322.7</v>
      </c>
      <c r="J19" s="23">
        <v>365.7</v>
      </c>
      <c r="K19" s="23">
        <v>330.8</v>
      </c>
      <c r="L19" s="23">
        <v>341.3</v>
      </c>
      <c r="M19" s="23">
        <v>254.8</v>
      </c>
      <c r="N19" s="23">
        <v>249.3</v>
      </c>
      <c r="O19" s="23">
        <v>272.49999999999994</v>
      </c>
      <c r="P19" s="23">
        <v>243.5</v>
      </c>
      <c r="Q19" s="23">
        <v>226.3</v>
      </c>
      <c r="R19" s="23">
        <v>281.70000000000005</v>
      </c>
      <c r="S19" s="23">
        <v>223.2</v>
      </c>
      <c r="T19" s="23">
        <v>239.5</v>
      </c>
      <c r="U19" s="23">
        <v>246.6</v>
      </c>
      <c r="V19" s="23">
        <v>244.6</v>
      </c>
      <c r="W19" s="23">
        <v>281.8</v>
      </c>
      <c r="X19" s="23">
        <v>261.2</v>
      </c>
      <c r="Y19" s="23">
        <v>305.39999999999998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44958.099999999969</v>
      </c>
      <c r="E20" s="23">
        <v>45044.099999999962</v>
      </c>
      <c r="F20" s="23">
        <v>45892.199999999975</v>
      </c>
      <c r="G20" s="23">
        <v>45555.100000000006</v>
      </c>
      <c r="H20" s="23">
        <v>47758.100000000064</v>
      </c>
      <c r="I20" s="23">
        <v>49205.69999999999</v>
      </c>
      <c r="J20" s="23">
        <v>48832.999999999935</v>
      </c>
      <c r="K20" s="23">
        <v>51750.100000000071</v>
      </c>
      <c r="L20" s="23">
        <v>49218.499999999971</v>
      </c>
      <c r="M20" s="23">
        <v>44757.499999999971</v>
      </c>
      <c r="N20" s="23">
        <v>48437.799999999945</v>
      </c>
      <c r="O20" s="23">
        <v>48609.099999999969</v>
      </c>
      <c r="P20" s="23">
        <v>48751.5</v>
      </c>
      <c r="Q20" s="23">
        <v>49356.099999999984</v>
      </c>
      <c r="R20" s="23">
        <v>50636.10000000002</v>
      </c>
      <c r="S20" s="23">
        <v>52893.30000000001</v>
      </c>
      <c r="T20" s="23">
        <v>53145.39999999998</v>
      </c>
      <c r="U20" s="23">
        <v>55315.800000000039</v>
      </c>
      <c r="V20" s="23">
        <v>56005.099999999962</v>
      </c>
      <c r="W20" s="23">
        <v>59094.800000000039</v>
      </c>
      <c r="X20" s="23">
        <v>56474.000000000036</v>
      </c>
      <c r="Y20" s="23">
        <v>61190.299999999952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5250.9</v>
      </c>
      <c r="E21" s="23">
        <v>5279.6</v>
      </c>
      <c r="F21" s="23">
        <v>5152.1000000000004</v>
      </c>
      <c r="G21" s="23">
        <v>5202.8999999999996</v>
      </c>
      <c r="H21" s="23">
        <v>4924.5</v>
      </c>
      <c r="I21" s="23">
        <v>4716.7</v>
      </c>
      <c r="J21" s="23">
        <v>5253.9</v>
      </c>
      <c r="K21" s="23">
        <v>5459.3</v>
      </c>
      <c r="L21" s="23">
        <v>6048.4</v>
      </c>
      <c r="M21" s="23">
        <v>6057</v>
      </c>
      <c r="N21" s="23">
        <v>6399.2</v>
      </c>
      <c r="O21" s="23">
        <v>7175</v>
      </c>
      <c r="P21" s="23">
        <v>6261.4</v>
      </c>
      <c r="Q21" s="23">
        <v>6449</v>
      </c>
      <c r="R21" s="23">
        <v>5878.4</v>
      </c>
      <c r="S21" s="23">
        <v>5955.9</v>
      </c>
      <c r="T21" s="23">
        <v>6209.3</v>
      </c>
      <c r="U21" s="23">
        <v>5936</v>
      </c>
      <c r="V21" s="23">
        <v>5167.3999999999996</v>
      </c>
      <c r="W21" s="23">
        <v>6102.4</v>
      </c>
      <c r="X21" s="23">
        <v>6766.1</v>
      </c>
      <c r="Y21" s="23">
        <v>7926.8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1595.7</v>
      </c>
      <c r="E22" s="23">
        <v>1609.6</v>
      </c>
      <c r="F22" s="23">
        <v>1614.4</v>
      </c>
      <c r="G22" s="23">
        <v>1862.8</v>
      </c>
      <c r="H22" s="23">
        <v>2031.6</v>
      </c>
      <c r="I22" s="23">
        <v>2099.6</v>
      </c>
      <c r="J22" s="23">
        <v>2179.3000000000002</v>
      </c>
      <c r="K22" s="23">
        <v>2337.3000000000002</v>
      </c>
      <c r="L22" s="23">
        <v>2321.9</v>
      </c>
      <c r="M22" s="23">
        <v>2749.8</v>
      </c>
      <c r="N22" s="23">
        <v>3070.2</v>
      </c>
      <c r="O22" s="23">
        <v>3205.6</v>
      </c>
      <c r="P22" s="23">
        <v>3419.4</v>
      </c>
      <c r="Q22" s="23">
        <v>3356.5</v>
      </c>
      <c r="R22" s="23">
        <v>3486</v>
      </c>
      <c r="S22" s="23">
        <v>3598.3</v>
      </c>
      <c r="T22" s="23">
        <v>3683.2</v>
      </c>
      <c r="U22" s="23">
        <v>3958.7</v>
      </c>
      <c r="V22" s="23">
        <v>3921.2</v>
      </c>
      <c r="W22" s="23">
        <v>4083</v>
      </c>
      <c r="X22" s="23">
        <v>4049.3</v>
      </c>
      <c r="Y22" s="23">
        <v>4393.8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11796</v>
      </c>
      <c r="E23" s="23">
        <v>12029.4</v>
      </c>
      <c r="F23" s="23">
        <v>12027</v>
      </c>
      <c r="G23" s="23">
        <v>12369.8</v>
      </c>
      <c r="H23" s="23">
        <v>13126.9</v>
      </c>
      <c r="I23" s="23">
        <v>13642.3</v>
      </c>
      <c r="J23" s="23">
        <v>15356.4</v>
      </c>
      <c r="K23" s="23">
        <v>16687.5</v>
      </c>
      <c r="L23" s="23">
        <v>18030.400000000001</v>
      </c>
      <c r="M23" s="23">
        <v>17554.400000000001</v>
      </c>
      <c r="N23" s="23">
        <v>17720.099999999999</v>
      </c>
      <c r="O23" s="23">
        <v>18855.999999999996</v>
      </c>
      <c r="P23" s="23">
        <v>18849.7</v>
      </c>
      <c r="Q23" s="23">
        <v>18713.5</v>
      </c>
      <c r="R23" s="23">
        <v>19007.999999999996</v>
      </c>
      <c r="S23" s="23">
        <v>19294</v>
      </c>
      <c r="T23" s="23">
        <v>19678.400000000001</v>
      </c>
      <c r="U23" s="23">
        <v>20149.900000000001</v>
      </c>
      <c r="V23" s="23">
        <v>21767.4</v>
      </c>
      <c r="W23" s="23">
        <v>22628</v>
      </c>
      <c r="X23" s="23">
        <v>21758.5</v>
      </c>
      <c r="Y23" s="23">
        <v>24399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25724.999999999996</v>
      </c>
      <c r="E24" s="23">
        <v>27636.900000000005</v>
      </c>
      <c r="F24" s="23">
        <v>30519.3</v>
      </c>
      <c r="G24" s="23">
        <v>33078.1</v>
      </c>
      <c r="H24" s="23">
        <v>35422.000000000007</v>
      </c>
      <c r="I24" s="23">
        <v>36825.9</v>
      </c>
      <c r="J24" s="23">
        <v>38005.300000000003</v>
      </c>
      <c r="K24" s="23">
        <v>40547.800000000003</v>
      </c>
      <c r="L24" s="23">
        <v>41748.799999999996</v>
      </c>
      <c r="M24" s="23">
        <v>39596.399999999994</v>
      </c>
      <c r="N24" s="23">
        <v>41234.200000000012</v>
      </c>
      <c r="O24" s="23">
        <v>42473.5</v>
      </c>
      <c r="P24" s="23">
        <v>42785.399999999994</v>
      </c>
      <c r="Q24" s="23">
        <v>42913</v>
      </c>
      <c r="R24" s="23">
        <v>43660.100000000006</v>
      </c>
      <c r="S24" s="23">
        <v>44586.7</v>
      </c>
      <c r="T24" s="23">
        <v>47225.2</v>
      </c>
      <c r="U24" s="23">
        <v>46290.299999999988</v>
      </c>
      <c r="V24" s="23">
        <v>47772</v>
      </c>
      <c r="W24" s="23">
        <v>48448.9</v>
      </c>
      <c r="X24" s="23">
        <v>46008.7</v>
      </c>
      <c r="Y24" s="23">
        <v>52782.19999999999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13774.7</v>
      </c>
      <c r="E25" s="23">
        <v>14262.9</v>
      </c>
      <c r="F25" s="23">
        <v>14043.5</v>
      </c>
      <c r="G25" s="23">
        <v>14906.6</v>
      </c>
      <c r="H25" s="23">
        <v>15372.3</v>
      </c>
      <c r="I25" s="23">
        <v>16823.900000000001</v>
      </c>
      <c r="J25" s="23">
        <v>17851.2</v>
      </c>
      <c r="K25" s="23">
        <v>18734.099999999999</v>
      </c>
      <c r="L25" s="23">
        <v>19589</v>
      </c>
      <c r="M25" s="23">
        <v>19069.3</v>
      </c>
      <c r="N25" s="23">
        <v>19380.900000000001</v>
      </c>
      <c r="O25" s="23">
        <v>19805.7</v>
      </c>
      <c r="P25" s="23">
        <v>19808.8</v>
      </c>
      <c r="Q25" s="23">
        <v>19557.099999999999</v>
      </c>
      <c r="R25" s="23">
        <v>20237.900000000001</v>
      </c>
      <c r="S25" s="23">
        <v>21369.200000000001</v>
      </c>
      <c r="T25" s="23">
        <v>21465.7</v>
      </c>
      <c r="U25" s="23">
        <v>22064.7</v>
      </c>
      <c r="V25" s="23">
        <v>23052.799999999999</v>
      </c>
      <c r="W25" s="23">
        <v>24135.599999999999</v>
      </c>
      <c r="X25" s="23">
        <v>22283</v>
      </c>
      <c r="Y25" s="23">
        <v>24147.5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3737.6</v>
      </c>
      <c r="E26" s="23">
        <v>3813</v>
      </c>
      <c r="F26" s="23">
        <v>4195.8</v>
      </c>
      <c r="G26" s="23">
        <v>4531.3</v>
      </c>
      <c r="H26" s="23">
        <v>4754.8999999999996</v>
      </c>
      <c r="I26" s="23">
        <v>5034.8</v>
      </c>
      <c r="J26" s="23">
        <v>5278.6</v>
      </c>
      <c r="K26" s="23">
        <v>5334.7</v>
      </c>
      <c r="L26" s="23">
        <v>5701.2</v>
      </c>
      <c r="M26" s="23">
        <v>5327.6</v>
      </c>
      <c r="N26" s="23">
        <v>5754</v>
      </c>
      <c r="O26" s="23">
        <v>6036.5</v>
      </c>
      <c r="P26" s="23">
        <v>6067.2</v>
      </c>
      <c r="Q26" s="23">
        <v>6272.7</v>
      </c>
      <c r="R26" s="23">
        <v>6674.6</v>
      </c>
      <c r="S26" s="23">
        <v>6930</v>
      </c>
      <c r="T26" s="23">
        <v>7147.3</v>
      </c>
      <c r="U26" s="23">
        <v>7506.8</v>
      </c>
      <c r="V26" s="23">
        <v>7884.9</v>
      </c>
      <c r="W26" s="23">
        <v>8296.9</v>
      </c>
      <c r="X26" s="23">
        <v>4842.0000000000009</v>
      </c>
      <c r="Y26" s="23">
        <v>6460.5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8940</v>
      </c>
      <c r="E27" s="23">
        <v>9950.4</v>
      </c>
      <c r="F27" s="23">
        <v>10334</v>
      </c>
      <c r="G27" s="23">
        <v>10460.700000000001</v>
      </c>
      <c r="H27" s="23">
        <v>11072.1</v>
      </c>
      <c r="I27" s="23">
        <v>11347.3</v>
      </c>
      <c r="J27" s="23">
        <v>11790.5</v>
      </c>
      <c r="K27" s="23">
        <v>12550.3</v>
      </c>
      <c r="L27" s="23">
        <v>12949.7</v>
      </c>
      <c r="M27" s="23">
        <v>13460.5</v>
      </c>
      <c r="N27" s="23">
        <v>14024.7</v>
      </c>
      <c r="O27" s="23">
        <v>14522.3</v>
      </c>
      <c r="P27" s="23">
        <v>15077.8</v>
      </c>
      <c r="Q27" s="23">
        <v>14630.8</v>
      </c>
      <c r="R27" s="23">
        <v>14627.2</v>
      </c>
      <c r="S27" s="23">
        <v>15314.2</v>
      </c>
      <c r="T27" s="23">
        <v>15866.3</v>
      </c>
      <c r="U27" s="23">
        <v>16799.400000000001</v>
      </c>
      <c r="V27" s="23">
        <v>17410.3</v>
      </c>
      <c r="W27" s="23">
        <v>18638.8</v>
      </c>
      <c r="X27" s="23">
        <v>19015.699999999997</v>
      </c>
      <c r="Y27" s="23">
        <v>20560.599999999995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14195.2</v>
      </c>
      <c r="E28" s="23">
        <v>13724.2</v>
      </c>
      <c r="F28" s="23">
        <v>14477.2</v>
      </c>
      <c r="G28" s="23">
        <v>13664.499999999998</v>
      </c>
      <c r="H28" s="23">
        <v>15272.499999999998</v>
      </c>
      <c r="I28" s="23">
        <v>15393.4</v>
      </c>
      <c r="J28" s="23">
        <v>16095.6</v>
      </c>
      <c r="K28" s="23">
        <v>15967.8</v>
      </c>
      <c r="L28" s="23">
        <v>14684.1</v>
      </c>
      <c r="M28" s="23">
        <v>17625.900000000001</v>
      </c>
      <c r="N28" s="23">
        <v>19173.900000000005</v>
      </c>
      <c r="O28" s="23">
        <v>18939.900000000005</v>
      </c>
      <c r="P28" s="23">
        <v>20471.900000000001</v>
      </c>
      <c r="Q28" s="23">
        <v>20429.900000000001</v>
      </c>
      <c r="R28" s="23">
        <v>22078.7</v>
      </c>
      <c r="S28" s="23">
        <v>23690.1</v>
      </c>
      <c r="T28" s="23">
        <v>24397</v>
      </c>
      <c r="U28" s="23">
        <v>25705</v>
      </c>
      <c r="V28" s="23">
        <v>26905</v>
      </c>
      <c r="W28" s="23">
        <v>27215.599999999999</v>
      </c>
      <c r="X28" s="23">
        <v>27198</v>
      </c>
      <c r="Y28" s="23">
        <v>29176.2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19379.099999999995</v>
      </c>
      <c r="E29" s="23">
        <v>20267.5</v>
      </c>
      <c r="F29" s="23">
        <v>20304.400000000001</v>
      </c>
      <c r="G29" s="23">
        <v>20684.8</v>
      </c>
      <c r="H29" s="23">
        <v>20844.5</v>
      </c>
      <c r="I29" s="23">
        <v>22975.3</v>
      </c>
      <c r="J29" s="23">
        <v>24762.6</v>
      </c>
      <c r="K29" s="23">
        <v>26238.7</v>
      </c>
      <c r="L29" s="23">
        <v>26997.7</v>
      </c>
      <c r="M29" s="23">
        <v>26354.6</v>
      </c>
      <c r="N29" s="23">
        <v>27358.6</v>
      </c>
      <c r="O29" s="23">
        <v>29245.1</v>
      </c>
      <c r="P29" s="23">
        <v>30585</v>
      </c>
      <c r="Q29" s="23">
        <v>31829.9</v>
      </c>
      <c r="R29" s="23">
        <v>32352.799999999999</v>
      </c>
      <c r="S29" s="23">
        <v>33821.300000000003</v>
      </c>
      <c r="T29" s="23">
        <v>34548.100000000006</v>
      </c>
      <c r="U29" s="23">
        <v>36108.400000000001</v>
      </c>
      <c r="V29" s="23">
        <v>37512.199999999997</v>
      </c>
      <c r="W29" s="23">
        <v>38860.699999999997</v>
      </c>
      <c r="X29" s="23">
        <v>39720.199999999997</v>
      </c>
      <c r="Y29" s="23">
        <v>41933.300000000003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17417.899999999998</v>
      </c>
      <c r="E30" s="23">
        <v>18842.699999999997</v>
      </c>
      <c r="F30" s="23">
        <v>18569.899999999998</v>
      </c>
      <c r="G30" s="23">
        <v>19723.3</v>
      </c>
      <c r="H30" s="23">
        <v>21159.1</v>
      </c>
      <c r="I30" s="23">
        <v>22650.799999999996</v>
      </c>
      <c r="J30" s="23">
        <v>24558.2</v>
      </c>
      <c r="K30" s="23">
        <v>26649.5</v>
      </c>
      <c r="L30" s="23">
        <v>28184.3</v>
      </c>
      <c r="M30" s="23">
        <v>28864.599999999995</v>
      </c>
      <c r="N30" s="23">
        <v>29772.499999999996</v>
      </c>
      <c r="O30" s="23">
        <v>30994.900000000005</v>
      </c>
      <c r="P30" s="23">
        <v>32044.799999999999</v>
      </c>
      <c r="Q30" s="23">
        <v>33995.500000000007</v>
      </c>
      <c r="R30" s="23">
        <v>35363.300000000003</v>
      </c>
      <c r="S30" s="23">
        <v>36634.899999999994</v>
      </c>
      <c r="T30" s="23">
        <v>37899.1</v>
      </c>
      <c r="U30" s="23">
        <v>40333.9</v>
      </c>
      <c r="V30" s="23">
        <v>41886.5</v>
      </c>
      <c r="W30" s="23">
        <v>43629.3</v>
      </c>
      <c r="X30" s="23">
        <v>43336.099999999991</v>
      </c>
      <c r="Y30" s="23">
        <v>47960.2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8598.5</v>
      </c>
      <c r="E31" s="23">
        <v>9056.1</v>
      </c>
      <c r="F31" s="23">
        <v>9392.2000000000025</v>
      </c>
      <c r="G31" s="23">
        <v>9441.5</v>
      </c>
      <c r="H31" s="23">
        <v>10316.4</v>
      </c>
      <c r="I31" s="23">
        <v>10831.2</v>
      </c>
      <c r="J31" s="23">
        <v>11596.6</v>
      </c>
      <c r="K31" s="23">
        <v>12842.1</v>
      </c>
      <c r="L31" s="23">
        <v>13399.6</v>
      </c>
      <c r="M31" s="23">
        <v>11770.1</v>
      </c>
      <c r="N31" s="23">
        <v>12660.9</v>
      </c>
      <c r="O31" s="23">
        <v>13786.1</v>
      </c>
      <c r="P31" s="23">
        <v>14159.8</v>
      </c>
      <c r="Q31" s="23">
        <v>14670.7</v>
      </c>
      <c r="R31" s="23">
        <v>16149.9</v>
      </c>
      <c r="S31" s="23">
        <v>17588.8</v>
      </c>
      <c r="T31" s="23">
        <v>19046.5</v>
      </c>
      <c r="U31" s="23">
        <v>20075.699999999997</v>
      </c>
      <c r="V31" s="23">
        <v>21113.1</v>
      </c>
      <c r="W31" s="23">
        <v>22382.799999999999</v>
      </c>
      <c r="X31" s="23">
        <v>20894.900000000001</v>
      </c>
      <c r="Y31" s="23">
        <v>23399.5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16443.900000000001</v>
      </c>
      <c r="E32" s="23">
        <v>16976.7</v>
      </c>
      <c r="F32" s="23">
        <v>18217.599999999999</v>
      </c>
      <c r="G32" s="23">
        <v>18994.599999999999</v>
      </c>
      <c r="H32" s="23">
        <v>19610.7</v>
      </c>
      <c r="I32" s="23">
        <v>20775.499999999996</v>
      </c>
      <c r="J32" s="23">
        <v>21831.599999999995</v>
      </c>
      <c r="K32" s="23">
        <v>22648.2</v>
      </c>
      <c r="L32" s="23">
        <v>23750.100000000006</v>
      </c>
      <c r="M32" s="23">
        <v>24589.899999999994</v>
      </c>
      <c r="N32" s="23">
        <v>25275.900000000012</v>
      </c>
      <c r="O32" s="23">
        <v>26239.200000000001</v>
      </c>
      <c r="P32" s="23">
        <v>27247.300000000003</v>
      </c>
      <c r="Q32" s="23">
        <v>28193.900000000005</v>
      </c>
      <c r="R32" s="23">
        <v>28635.199999999997</v>
      </c>
      <c r="S32" s="23">
        <v>28383.600000000006</v>
      </c>
      <c r="T32" s="23">
        <v>29150.5</v>
      </c>
      <c r="U32" s="23">
        <v>29713.799999999996</v>
      </c>
      <c r="V32" s="23">
        <v>30495.099999999995</v>
      </c>
      <c r="W32" s="23">
        <v>31564.300000000003</v>
      </c>
      <c r="X32" s="23">
        <v>32448.2</v>
      </c>
      <c r="Y32" s="23">
        <v>33764.499999999993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14267.900000000001</v>
      </c>
      <c r="E33" s="23">
        <v>15066.6</v>
      </c>
      <c r="F33" s="23">
        <v>15788.2</v>
      </c>
      <c r="G33" s="23">
        <v>16389.099999999999</v>
      </c>
      <c r="H33" s="23">
        <v>16799.400000000001</v>
      </c>
      <c r="I33" s="23">
        <v>17566</v>
      </c>
      <c r="J33" s="23">
        <v>18284.199999999997</v>
      </c>
      <c r="K33" s="23">
        <v>19166.599999999999</v>
      </c>
      <c r="L33" s="23">
        <v>20478.2</v>
      </c>
      <c r="M33" s="23">
        <v>21041.4</v>
      </c>
      <c r="N33" s="23">
        <v>21832.3</v>
      </c>
      <c r="O33" s="23">
        <v>23003.200000000001</v>
      </c>
      <c r="P33" s="23">
        <v>24129.7</v>
      </c>
      <c r="Q33" s="23">
        <v>24851</v>
      </c>
      <c r="R33" s="23">
        <v>25241.1</v>
      </c>
      <c r="S33" s="23">
        <v>25857.200000000001</v>
      </c>
      <c r="T33" s="23">
        <v>26592.6</v>
      </c>
      <c r="U33" s="23">
        <v>27768.9</v>
      </c>
      <c r="V33" s="23">
        <v>28713.4</v>
      </c>
      <c r="W33" s="23">
        <v>29609.1</v>
      </c>
      <c r="X33" s="23">
        <v>30398.3</v>
      </c>
      <c r="Y33" s="23">
        <v>31718.2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14169.799999999997</v>
      </c>
      <c r="E34" s="23">
        <v>14925.6</v>
      </c>
      <c r="F34" s="23">
        <v>15511.5</v>
      </c>
      <c r="G34" s="23">
        <v>16242.399999999998</v>
      </c>
      <c r="H34" s="23">
        <v>17109.099999999999</v>
      </c>
      <c r="I34" s="23">
        <v>17813.2</v>
      </c>
      <c r="J34" s="23">
        <v>18652.199999999997</v>
      </c>
      <c r="K34" s="23">
        <v>19678.500000000004</v>
      </c>
      <c r="L34" s="23">
        <v>21148.7</v>
      </c>
      <c r="M34" s="23">
        <v>21878.2</v>
      </c>
      <c r="N34" s="23">
        <v>22759.9</v>
      </c>
      <c r="O34" s="23">
        <v>23767.599999999999</v>
      </c>
      <c r="P34" s="23">
        <v>25127.5</v>
      </c>
      <c r="Q34" s="23">
        <v>25694.799999999999</v>
      </c>
      <c r="R34" s="23">
        <v>26299.5</v>
      </c>
      <c r="S34" s="23">
        <v>26654</v>
      </c>
      <c r="T34" s="23">
        <v>27145.1</v>
      </c>
      <c r="U34" s="23">
        <v>27983.200000000001</v>
      </c>
      <c r="V34" s="23">
        <v>29068.799999999999</v>
      </c>
      <c r="W34" s="23">
        <v>30310.1</v>
      </c>
      <c r="X34" s="23">
        <v>27547.7</v>
      </c>
      <c r="Y34" s="23">
        <v>31136.1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1369.9999999999998</v>
      </c>
      <c r="E35" s="23">
        <v>1278.6000000000001</v>
      </c>
      <c r="F35" s="23">
        <v>1324.9999999999998</v>
      </c>
      <c r="G35" s="23">
        <v>1482.3000000000002</v>
      </c>
      <c r="H35" s="23">
        <v>1697.9000000000003</v>
      </c>
      <c r="I35" s="23">
        <v>1806.3000000000002</v>
      </c>
      <c r="J35" s="23">
        <v>1938.4</v>
      </c>
      <c r="K35" s="23">
        <v>2048.6999999999998</v>
      </c>
      <c r="L35" s="23">
        <v>2144.8000000000002</v>
      </c>
      <c r="M35" s="23">
        <v>1849.9000000000005</v>
      </c>
      <c r="N35" s="23">
        <v>1846.0999999999988</v>
      </c>
      <c r="O35" s="23">
        <v>1981.6000000000008</v>
      </c>
      <c r="P35" s="23">
        <v>2097.8999999999996</v>
      </c>
      <c r="Q35" s="23">
        <v>2172.0000000000005</v>
      </c>
      <c r="R35" s="23">
        <v>2246.8999999999987</v>
      </c>
      <c r="S35" s="23">
        <v>2507.1000000000004</v>
      </c>
      <c r="T35" s="23">
        <v>2615.5</v>
      </c>
      <c r="U35" s="23">
        <v>2755.6</v>
      </c>
      <c r="V35" s="23">
        <v>2923.6000000000013</v>
      </c>
      <c r="W35" s="23">
        <v>3153.8999999999996</v>
      </c>
      <c r="X35" s="23">
        <v>2353.6999999999989</v>
      </c>
      <c r="Y35" s="23">
        <v>2743.9999999999995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3138.4</v>
      </c>
      <c r="E36" s="23">
        <v>3259.5</v>
      </c>
      <c r="F36" s="23">
        <v>3467.1</v>
      </c>
      <c r="G36" s="23">
        <v>3444.5</v>
      </c>
      <c r="H36" s="23">
        <v>3573.1999999999994</v>
      </c>
      <c r="I36" s="23">
        <v>3747.3</v>
      </c>
      <c r="J36" s="23">
        <v>3858.4</v>
      </c>
      <c r="K36" s="23">
        <v>4037.5000000000005</v>
      </c>
      <c r="L36" s="23">
        <v>4223.1000000000004</v>
      </c>
      <c r="M36" s="23">
        <v>3974.9999999999995</v>
      </c>
      <c r="N36" s="23">
        <v>4169.6000000000004</v>
      </c>
      <c r="O36" s="23">
        <v>4323.8999999999996</v>
      </c>
      <c r="P36" s="23">
        <v>4457.1000000000004</v>
      </c>
      <c r="Q36" s="23">
        <v>4572</v>
      </c>
      <c r="R36" s="23">
        <v>4740.6000000000013</v>
      </c>
      <c r="S36" s="23">
        <v>4715</v>
      </c>
      <c r="T36" s="23">
        <v>4818.2999999999993</v>
      </c>
      <c r="U36" s="23">
        <v>4888.3</v>
      </c>
      <c r="V36" s="23">
        <v>5099</v>
      </c>
      <c r="W36" s="23">
        <v>5207.7999999999993</v>
      </c>
      <c r="X36" s="23">
        <v>4679.1000000000013</v>
      </c>
      <c r="Y36" s="23">
        <v>5245.8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502.3</v>
      </c>
      <c r="E37" s="23">
        <v>545.6</v>
      </c>
      <c r="F37" s="23">
        <v>591.6</v>
      </c>
      <c r="G37" s="23">
        <v>613.9</v>
      </c>
      <c r="H37" s="23">
        <v>655.29999999999995</v>
      </c>
      <c r="I37" s="23">
        <v>644.5</v>
      </c>
      <c r="J37" s="23">
        <v>580.9</v>
      </c>
      <c r="K37" s="23">
        <v>529.70000000000016</v>
      </c>
      <c r="L37" s="23">
        <v>518.6</v>
      </c>
      <c r="M37" s="23">
        <v>499.1</v>
      </c>
      <c r="N37" s="23">
        <v>448.5</v>
      </c>
      <c r="O37" s="23">
        <v>436.1</v>
      </c>
      <c r="P37" s="23">
        <v>466</v>
      </c>
      <c r="Q37" s="23">
        <v>407.7</v>
      </c>
      <c r="R37" s="23">
        <v>413.9</v>
      </c>
      <c r="S37" s="23">
        <v>424.5</v>
      </c>
      <c r="T37" s="23">
        <v>456.9</v>
      </c>
      <c r="U37" s="23">
        <v>473.3</v>
      </c>
      <c r="V37" s="23">
        <v>484.1</v>
      </c>
      <c r="W37" s="23">
        <v>495.3</v>
      </c>
      <c r="X37" s="23">
        <v>457</v>
      </c>
      <c r="Y37" s="23">
        <v>517.1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228625.39999999994</v>
      </c>
      <c r="E39" s="30">
        <f t="shared" ref="E39:S39" si="2">SUM(E18:E38)</f>
        <v>236804.19999999998</v>
      </c>
      <c r="F39" s="30">
        <f t="shared" si="2"/>
        <v>244560.7</v>
      </c>
      <c r="G39" s="30">
        <f t="shared" si="2"/>
        <v>251865.8</v>
      </c>
      <c r="H39" s="30">
        <f t="shared" si="2"/>
        <v>264845.40000000002</v>
      </c>
      <c r="I39" s="30">
        <f t="shared" si="2"/>
        <v>276828.6999999999</v>
      </c>
      <c r="J39" s="30">
        <f t="shared" si="2"/>
        <v>290022.60000000003</v>
      </c>
      <c r="K39" s="30">
        <f t="shared" si="2"/>
        <v>306588.90000000008</v>
      </c>
      <c r="L39" s="30">
        <f t="shared" si="2"/>
        <v>313983.99999999994</v>
      </c>
      <c r="M39" s="30">
        <f t="shared" si="2"/>
        <v>309511.7</v>
      </c>
      <c r="N39" s="30">
        <f t="shared" si="2"/>
        <v>324346.99999999994</v>
      </c>
      <c r="O39" s="30">
        <f t="shared" si="2"/>
        <v>336110.1999999999</v>
      </c>
      <c r="P39" s="30">
        <f t="shared" si="2"/>
        <v>345068.6</v>
      </c>
      <c r="Q39" s="30">
        <f t="shared" si="2"/>
        <v>350968.6</v>
      </c>
      <c r="R39" s="30">
        <f t="shared" si="2"/>
        <v>360582.40000000008</v>
      </c>
      <c r="S39" s="30">
        <f t="shared" si="2"/>
        <v>373301.60000000003</v>
      </c>
      <c r="T39" s="30">
        <f t="shared" ref="T39:Y39" si="3">SUM(T18:T38)</f>
        <v>384032.69999999995</v>
      </c>
      <c r="U39" s="30">
        <f t="shared" si="3"/>
        <v>397034.3</v>
      </c>
      <c r="V39" s="30">
        <f t="shared" si="3"/>
        <v>410200.79999999987</v>
      </c>
      <c r="W39" s="30">
        <f t="shared" si="3"/>
        <v>427346.29999999993</v>
      </c>
      <c r="X39" s="30">
        <f t="shared" si="3"/>
        <v>413620.90000000008</v>
      </c>
      <c r="Y39" s="30">
        <f t="shared" si="3"/>
        <v>453019.89999999991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5484.6</v>
      </c>
      <c r="E41" s="19">
        <v>5635.8</v>
      </c>
      <c r="F41" s="19">
        <v>5836.9</v>
      </c>
      <c r="G41" s="19">
        <v>5982.8</v>
      </c>
      <c r="H41" s="19">
        <v>6398.4</v>
      </c>
      <c r="I41" s="19">
        <v>6375.5</v>
      </c>
      <c r="J41" s="19">
        <v>6335.3</v>
      </c>
      <c r="K41" s="19">
        <v>6560.9</v>
      </c>
      <c r="L41" s="19">
        <v>6658.6</v>
      </c>
      <c r="M41" s="19">
        <v>7209.2</v>
      </c>
      <c r="N41" s="19">
        <v>6940.9</v>
      </c>
      <c r="O41" s="19">
        <v>6838.8</v>
      </c>
      <c r="P41" s="19">
        <v>7141.5</v>
      </c>
      <c r="Q41" s="19">
        <v>7521.9</v>
      </c>
      <c r="R41" s="19">
        <v>7771.9</v>
      </c>
      <c r="S41" s="19">
        <v>8037.2</v>
      </c>
      <c r="T41" s="19">
        <v>8157.5</v>
      </c>
      <c r="U41" s="19">
        <v>8236.7000000000007</v>
      </c>
      <c r="V41" s="19">
        <v>8511</v>
      </c>
      <c r="W41" s="19">
        <v>8929.7000000000007</v>
      </c>
      <c r="X41" s="19">
        <v>8578.6</v>
      </c>
      <c r="Y41" s="19">
        <v>9326.4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2364.4</v>
      </c>
      <c r="E42" s="23">
        <v>2335.4</v>
      </c>
      <c r="F42" s="23">
        <v>2394.6999999999994</v>
      </c>
      <c r="G42" s="23">
        <v>2162</v>
      </c>
      <c r="H42" s="23">
        <v>2234.6</v>
      </c>
      <c r="I42" s="23">
        <v>2127.1</v>
      </c>
      <c r="J42" s="23">
        <v>2124.9</v>
      </c>
      <c r="K42" s="23">
        <v>2124.6</v>
      </c>
      <c r="L42" s="23">
        <v>1879.5</v>
      </c>
      <c r="M42" s="23">
        <v>1516.9</v>
      </c>
      <c r="N42" s="23">
        <v>1568.3</v>
      </c>
      <c r="O42" s="23">
        <v>1456.8</v>
      </c>
      <c r="P42" s="23">
        <v>1383.5</v>
      </c>
      <c r="Q42" s="23">
        <v>1393.1</v>
      </c>
      <c r="R42" s="23">
        <v>1437.5</v>
      </c>
      <c r="S42" s="23">
        <v>1479.1</v>
      </c>
      <c r="T42" s="23">
        <v>1428.7</v>
      </c>
      <c r="U42" s="23">
        <v>1394.6</v>
      </c>
      <c r="V42" s="23">
        <v>1379.5</v>
      </c>
      <c r="W42" s="23">
        <v>1242.3000000000002</v>
      </c>
      <c r="X42" s="23">
        <v>1114.2</v>
      </c>
      <c r="Y42" s="23">
        <v>1301.5999999999999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3236.3</v>
      </c>
      <c r="E43" s="23">
        <v>3251.9</v>
      </c>
      <c r="F43" s="23">
        <v>3228</v>
      </c>
      <c r="G43" s="23">
        <v>3210.3</v>
      </c>
      <c r="H43" s="23">
        <v>3282.4</v>
      </c>
      <c r="I43" s="23">
        <v>3222.1</v>
      </c>
      <c r="J43" s="23">
        <v>3302.1</v>
      </c>
      <c r="K43" s="23">
        <v>3429</v>
      </c>
      <c r="L43" s="23">
        <v>3260.2</v>
      </c>
      <c r="M43" s="23">
        <v>2970.1</v>
      </c>
      <c r="N43" s="23">
        <v>2890</v>
      </c>
      <c r="O43" s="23">
        <v>2954.5</v>
      </c>
      <c r="P43" s="23">
        <v>2915.3</v>
      </c>
      <c r="Q43" s="23">
        <v>2751.7</v>
      </c>
      <c r="R43" s="23">
        <v>2856.8</v>
      </c>
      <c r="S43" s="23">
        <v>2848.2</v>
      </c>
      <c r="T43" s="23">
        <v>2902.4</v>
      </c>
      <c r="U43" s="23">
        <v>2905</v>
      </c>
      <c r="V43" s="23">
        <v>2853.3</v>
      </c>
      <c r="W43" s="23">
        <v>2914.9</v>
      </c>
      <c r="X43" s="23">
        <v>2699</v>
      </c>
      <c r="Y43" s="23">
        <v>3116.6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1134.2</v>
      </c>
      <c r="E44" s="23">
        <v>1107.7</v>
      </c>
      <c r="F44" s="23">
        <v>1091.1999999999998</v>
      </c>
      <c r="G44" s="23">
        <v>1183.4000000000003</v>
      </c>
      <c r="H44" s="23">
        <v>1699.5</v>
      </c>
      <c r="I44" s="23">
        <v>2002.1000000000004</v>
      </c>
      <c r="J44" s="23">
        <v>1899.7000000000003</v>
      </c>
      <c r="K44" s="23">
        <v>2041.4</v>
      </c>
      <c r="L44" s="23">
        <v>1825.6</v>
      </c>
      <c r="M44" s="23">
        <v>542.6</v>
      </c>
      <c r="N44" s="23">
        <v>1311.7</v>
      </c>
      <c r="O44" s="23">
        <v>790.5</v>
      </c>
      <c r="P44" s="23">
        <v>1167.3</v>
      </c>
      <c r="Q44" s="23">
        <v>915.6</v>
      </c>
      <c r="R44" s="23">
        <v>992.1</v>
      </c>
      <c r="S44" s="23">
        <v>2155.9</v>
      </c>
      <c r="T44" s="23">
        <v>1955.1</v>
      </c>
      <c r="U44" s="23">
        <v>1951.2</v>
      </c>
      <c r="V44" s="23">
        <v>1299.4000000000001</v>
      </c>
      <c r="W44" s="23">
        <v>1749.8</v>
      </c>
      <c r="X44" s="23">
        <v>1001.5</v>
      </c>
      <c r="Y44" s="23">
        <v>1748.3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7112.7</v>
      </c>
      <c r="E45" s="23">
        <v>7127.5</v>
      </c>
      <c r="F45" s="23">
        <v>7280.4</v>
      </c>
      <c r="G45" s="23">
        <v>7050.2</v>
      </c>
      <c r="H45" s="23">
        <v>7257.3</v>
      </c>
      <c r="I45" s="23">
        <v>7484.7</v>
      </c>
      <c r="J45" s="23">
        <v>7247.1000000000013</v>
      </c>
      <c r="K45" s="23">
        <v>7289.9</v>
      </c>
      <c r="L45" s="23">
        <v>6868.9</v>
      </c>
      <c r="M45" s="23">
        <v>6784.5</v>
      </c>
      <c r="N45" s="23">
        <v>7499.9</v>
      </c>
      <c r="O45" s="23">
        <v>7811.4</v>
      </c>
      <c r="P45" s="23">
        <v>7565.7</v>
      </c>
      <c r="Q45" s="23">
        <v>7625</v>
      </c>
      <c r="R45" s="23">
        <v>8179.9</v>
      </c>
      <c r="S45" s="23">
        <v>9208.1</v>
      </c>
      <c r="T45" s="23">
        <v>8474.4</v>
      </c>
      <c r="U45" s="23">
        <v>9109.4</v>
      </c>
      <c r="V45" s="23">
        <v>9201.7999999999993</v>
      </c>
      <c r="W45" s="23">
        <v>8577.5</v>
      </c>
      <c r="X45" s="23">
        <v>8497.6</v>
      </c>
      <c r="Y45" s="23">
        <v>9458.2000000000007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2860.8</v>
      </c>
      <c r="E46" s="23">
        <v>3245.1</v>
      </c>
      <c r="F46" s="23">
        <v>3459.8</v>
      </c>
      <c r="G46" s="23">
        <v>3717.1999999999994</v>
      </c>
      <c r="H46" s="23">
        <v>3554.9</v>
      </c>
      <c r="I46" s="23">
        <v>4394.3999999999996</v>
      </c>
      <c r="J46" s="23">
        <v>3521.7</v>
      </c>
      <c r="K46" s="23">
        <v>4468.8</v>
      </c>
      <c r="L46" s="23">
        <v>3901.5999999999995</v>
      </c>
      <c r="M46" s="23">
        <v>4714.2</v>
      </c>
      <c r="N46" s="23">
        <v>5783.5</v>
      </c>
      <c r="O46" s="23">
        <v>4947.3999999999996</v>
      </c>
      <c r="P46" s="23">
        <v>5487.8</v>
      </c>
      <c r="Q46" s="23">
        <v>6259.3</v>
      </c>
      <c r="R46" s="23">
        <v>6008</v>
      </c>
      <c r="S46" s="23">
        <v>5799.6</v>
      </c>
      <c r="T46" s="23">
        <v>6425.1</v>
      </c>
      <c r="U46" s="23">
        <v>6956.2</v>
      </c>
      <c r="V46" s="23">
        <v>8260.5</v>
      </c>
      <c r="W46" s="23">
        <v>10700.8</v>
      </c>
      <c r="X46" s="23">
        <v>11882.3</v>
      </c>
      <c r="Y46" s="23">
        <v>10257.200000000001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3919.6000000000004</v>
      </c>
      <c r="E47" s="23">
        <v>4158.2</v>
      </c>
      <c r="F47" s="23">
        <v>4310.3</v>
      </c>
      <c r="G47" s="23">
        <v>4130.3</v>
      </c>
      <c r="H47" s="23">
        <v>4275</v>
      </c>
      <c r="I47" s="23">
        <v>4322.3</v>
      </c>
      <c r="J47" s="23">
        <v>4387.6000000000013</v>
      </c>
      <c r="K47" s="23">
        <v>4724.6000000000004</v>
      </c>
      <c r="L47" s="23">
        <v>4572.3</v>
      </c>
      <c r="M47" s="23">
        <v>4292.7000000000007</v>
      </c>
      <c r="N47" s="23">
        <v>4248.8999999999996</v>
      </c>
      <c r="O47" s="23">
        <v>4433.8</v>
      </c>
      <c r="P47" s="23">
        <v>4212.2</v>
      </c>
      <c r="Q47" s="23">
        <v>4118.7</v>
      </c>
      <c r="R47" s="23">
        <v>4232.2</v>
      </c>
      <c r="S47" s="23">
        <v>4470.3</v>
      </c>
      <c r="T47" s="23">
        <v>4830.7</v>
      </c>
      <c r="U47" s="23">
        <v>4928.5</v>
      </c>
      <c r="V47" s="23">
        <v>4890.3999999999987</v>
      </c>
      <c r="W47" s="23">
        <v>5071.9999999999991</v>
      </c>
      <c r="X47" s="23">
        <v>5101.9999999999991</v>
      </c>
      <c r="Y47" s="23">
        <v>5482.8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6631.5</v>
      </c>
      <c r="E48" s="23">
        <v>6218.7</v>
      </c>
      <c r="F48" s="23">
        <v>6525.1</v>
      </c>
      <c r="G48" s="23">
        <v>6550.8</v>
      </c>
      <c r="H48" s="23">
        <v>7430.6</v>
      </c>
      <c r="I48" s="23">
        <v>7463.4</v>
      </c>
      <c r="J48" s="23">
        <v>7739.7</v>
      </c>
      <c r="K48" s="23">
        <v>8785.4</v>
      </c>
      <c r="L48" s="23">
        <v>7982.7</v>
      </c>
      <c r="M48" s="23">
        <v>5715.4</v>
      </c>
      <c r="N48" s="23">
        <v>6294.9</v>
      </c>
      <c r="O48" s="23">
        <v>6560.1</v>
      </c>
      <c r="P48" s="23">
        <v>6216.7</v>
      </c>
      <c r="Q48" s="23">
        <v>6155.7</v>
      </c>
      <c r="R48" s="23">
        <v>6163.8</v>
      </c>
      <c r="S48" s="23">
        <v>6334.2</v>
      </c>
      <c r="T48" s="23">
        <v>6689</v>
      </c>
      <c r="U48" s="23">
        <v>7059.8</v>
      </c>
      <c r="V48" s="23">
        <v>7029.8</v>
      </c>
      <c r="W48" s="23">
        <v>6877.3</v>
      </c>
      <c r="X48" s="23">
        <v>6081.9</v>
      </c>
      <c r="Y48" s="23">
        <v>8119.1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2091.6</v>
      </c>
      <c r="E49" s="23">
        <v>1744.7</v>
      </c>
      <c r="F49" s="23">
        <v>1763.7</v>
      </c>
      <c r="G49" s="23">
        <v>1724.8999999999996</v>
      </c>
      <c r="H49" s="23">
        <v>1637.6</v>
      </c>
      <c r="I49" s="23">
        <v>1641.1</v>
      </c>
      <c r="J49" s="23">
        <v>1697.6</v>
      </c>
      <c r="K49" s="23">
        <v>1813.9</v>
      </c>
      <c r="L49" s="23">
        <v>1601</v>
      </c>
      <c r="M49" s="23">
        <v>1024.4000000000001</v>
      </c>
      <c r="N49" s="23">
        <v>1125.9000000000001</v>
      </c>
      <c r="O49" s="23">
        <v>1215.0999999999999</v>
      </c>
      <c r="P49" s="23">
        <v>1294.4000000000001</v>
      </c>
      <c r="Q49" s="23">
        <v>1271.9000000000001</v>
      </c>
      <c r="R49" s="23">
        <v>1321.4</v>
      </c>
      <c r="S49" s="23">
        <v>1315.2</v>
      </c>
      <c r="T49" s="23">
        <v>1502.6</v>
      </c>
      <c r="U49" s="23">
        <v>1512.4</v>
      </c>
      <c r="V49" s="23">
        <v>1425</v>
      </c>
      <c r="W49" s="23">
        <v>1522.9</v>
      </c>
      <c r="X49" s="23">
        <v>1330.9</v>
      </c>
      <c r="Y49" s="23">
        <v>1412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1707.1999999999998</v>
      </c>
      <c r="E50" s="23">
        <v>1701.5</v>
      </c>
      <c r="F50" s="23">
        <v>1586.4</v>
      </c>
      <c r="G50" s="23">
        <v>1562.3</v>
      </c>
      <c r="H50" s="23">
        <v>1634.8</v>
      </c>
      <c r="I50" s="23">
        <v>1692.5</v>
      </c>
      <c r="J50" s="23">
        <v>1742</v>
      </c>
      <c r="K50" s="23">
        <v>1432.8</v>
      </c>
      <c r="L50" s="23">
        <v>1596.3</v>
      </c>
      <c r="M50" s="23">
        <v>1678.2</v>
      </c>
      <c r="N50" s="23">
        <v>1775.5</v>
      </c>
      <c r="O50" s="23">
        <v>1705.5</v>
      </c>
      <c r="P50" s="23">
        <v>1491.5</v>
      </c>
      <c r="Q50" s="23">
        <v>1454.5</v>
      </c>
      <c r="R50" s="23">
        <v>1467.9</v>
      </c>
      <c r="S50" s="23">
        <v>1403.4</v>
      </c>
      <c r="T50" s="23">
        <v>1112.8</v>
      </c>
      <c r="U50" s="23">
        <v>1095.7</v>
      </c>
      <c r="V50" s="23">
        <v>1102.8000000000002</v>
      </c>
      <c r="W50" s="23">
        <v>1191.6999999999998</v>
      </c>
      <c r="X50" s="23">
        <v>1080.8</v>
      </c>
      <c r="Y50" s="23">
        <v>1189.8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2682.8</v>
      </c>
      <c r="E51" s="23">
        <v>2640.6</v>
      </c>
      <c r="F51" s="23">
        <v>2691.1</v>
      </c>
      <c r="G51" s="23">
        <v>2563.5</v>
      </c>
      <c r="H51" s="23">
        <v>2674.1</v>
      </c>
      <c r="I51" s="23">
        <v>2846.6</v>
      </c>
      <c r="J51" s="23">
        <v>3223.2</v>
      </c>
      <c r="K51" s="23">
        <v>3567.3</v>
      </c>
      <c r="L51" s="23">
        <v>3626.7</v>
      </c>
      <c r="M51" s="23">
        <v>2820.1</v>
      </c>
      <c r="N51" s="23">
        <v>3140.4</v>
      </c>
      <c r="O51" s="23">
        <v>3598.6</v>
      </c>
      <c r="P51" s="23">
        <v>3568.9</v>
      </c>
      <c r="Q51" s="23">
        <v>3474.9</v>
      </c>
      <c r="R51" s="23">
        <v>3617.3</v>
      </c>
      <c r="S51" s="23">
        <v>3545.2</v>
      </c>
      <c r="T51" s="23">
        <v>3466.7</v>
      </c>
      <c r="U51" s="23">
        <v>3642.1</v>
      </c>
      <c r="V51" s="23">
        <v>3534.2</v>
      </c>
      <c r="W51" s="23">
        <v>3435.7</v>
      </c>
      <c r="X51" s="23">
        <v>3290.6</v>
      </c>
      <c r="Y51" s="23">
        <v>3752.7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4076.8</v>
      </c>
      <c r="E52" s="23">
        <v>4151.3999999999996</v>
      </c>
      <c r="F52" s="23">
        <v>4122.3999999999996</v>
      </c>
      <c r="G52" s="23">
        <v>4077.5</v>
      </c>
      <c r="H52" s="23">
        <v>3920.2</v>
      </c>
      <c r="I52" s="23">
        <v>3871.8</v>
      </c>
      <c r="J52" s="23">
        <v>3826.1000000000004</v>
      </c>
      <c r="K52" s="23">
        <v>3679.2</v>
      </c>
      <c r="L52" s="23">
        <v>3567.1</v>
      </c>
      <c r="M52" s="23">
        <v>2902.9</v>
      </c>
      <c r="N52" s="23">
        <v>3258.6</v>
      </c>
      <c r="O52" s="23">
        <v>3507.4</v>
      </c>
      <c r="P52" s="23">
        <v>3582.1</v>
      </c>
      <c r="Q52" s="23">
        <v>3612.8</v>
      </c>
      <c r="R52" s="23">
        <v>3718.9</v>
      </c>
      <c r="S52" s="23">
        <v>3239.9</v>
      </c>
      <c r="T52" s="23">
        <v>3067.1</v>
      </c>
      <c r="U52" s="23">
        <v>3269.8</v>
      </c>
      <c r="V52" s="23">
        <v>3291.1</v>
      </c>
      <c r="W52" s="23">
        <v>3301</v>
      </c>
      <c r="X52" s="23">
        <v>2699.7</v>
      </c>
      <c r="Y52" s="23">
        <v>2711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1655.5999999999758</v>
      </c>
      <c r="E53" s="23">
        <v>1725.5999999999583</v>
      </c>
      <c r="F53" s="23">
        <v>1602.199999999978</v>
      </c>
      <c r="G53" s="23">
        <v>1639.900000000006</v>
      </c>
      <c r="H53" s="23">
        <v>1758.7000000000596</v>
      </c>
      <c r="I53" s="23">
        <v>1762.0999999999956</v>
      </c>
      <c r="J53" s="23">
        <v>1785.9999999999411</v>
      </c>
      <c r="K53" s="23">
        <v>1832.3000000000691</v>
      </c>
      <c r="L53" s="23">
        <v>1877.9999999999791</v>
      </c>
      <c r="M53" s="23">
        <v>2586.2999999999829</v>
      </c>
      <c r="N53" s="23">
        <v>2599.2999999999465</v>
      </c>
      <c r="O53" s="23">
        <v>2789.1999999999748</v>
      </c>
      <c r="P53" s="23">
        <v>2724.599999999999</v>
      </c>
      <c r="Q53" s="23">
        <v>2800.9999999999773</v>
      </c>
      <c r="R53" s="23">
        <v>2868.4000000000246</v>
      </c>
      <c r="S53" s="23">
        <v>3057.0000000000146</v>
      </c>
      <c r="T53" s="23">
        <v>3133.2999999999806</v>
      </c>
      <c r="U53" s="23">
        <v>3254.4000000000397</v>
      </c>
      <c r="V53" s="23">
        <v>3226.2999999999793</v>
      </c>
      <c r="W53" s="23">
        <v>3579.2000000000326</v>
      </c>
      <c r="X53" s="23">
        <v>3114.9000000000383</v>
      </c>
      <c r="Y53" s="23">
        <v>3314.5999999999431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44958.099999999977</v>
      </c>
      <c r="E54" s="30">
        <f t="shared" ref="E54:S54" si="4">SUM(E41:E53)</f>
        <v>45044.099999999955</v>
      </c>
      <c r="F54" s="30">
        <f t="shared" si="4"/>
        <v>45892.199999999968</v>
      </c>
      <c r="G54" s="30">
        <f t="shared" si="4"/>
        <v>45555.100000000013</v>
      </c>
      <c r="H54" s="30">
        <f t="shared" si="4"/>
        <v>47758.100000000064</v>
      </c>
      <c r="I54" s="30">
        <f t="shared" si="4"/>
        <v>49205.7</v>
      </c>
      <c r="J54" s="30">
        <f t="shared" si="4"/>
        <v>48832.999999999942</v>
      </c>
      <c r="K54" s="30">
        <f t="shared" si="4"/>
        <v>51750.100000000071</v>
      </c>
      <c r="L54" s="30">
        <f t="shared" si="4"/>
        <v>49218.499999999971</v>
      </c>
      <c r="M54" s="30">
        <f t="shared" si="4"/>
        <v>44757.499999999985</v>
      </c>
      <c r="N54" s="30">
        <f t="shared" si="4"/>
        <v>48437.799999999945</v>
      </c>
      <c r="O54" s="30">
        <f t="shared" si="4"/>
        <v>48609.099999999977</v>
      </c>
      <c r="P54" s="30">
        <f t="shared" si="4"/>
        <v>48751.5</v>
      </c>
      <c r="Q54" s="30">
        <f t="shared" si="4"/>
        <v>49356.099999999984</v>
      </c>
      <c r="R54" s="30">
        <f t="shared" si="4"/>
        <v>50636.100000000035</v>
      </c>
      <c r="S54" s="30">
        <f t="shared" si="4"/>
        <v>52893.30000000001</v>
      </c>
      <c r="T54" s="30">
        <f t="shared" ref="T54:Y54" si="5">SUM(T41:T53)</f>
        <v>53145.399999999972</v>
      </c>
      <c r="U54" s="30">
        <f t="shared" si="5"/>
        <v>55315.800000000047</v>
      </c>
      <c r="V54" s="30">
        <f t="shared" si="5"/>
        <v>56005.099999999984</v>
      </c>
      <c r="W54" s="30">
        <f t="shared" si="5"/>
        <v>59094.800000000032</v>
      </c>
      <c r="X54" s="30">
        <f t="shared" si="5"/>
        <v>56474.000000000036</v>
      </c>
      <c r="Y54" s="30">
        <f t="shared" si="5"/>
        <v>61190.299999999945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5484.6</v>
      </c>
      <c r="E56" s="19">
        <v>5635.8</v>
      </c>
      <c r="F56" s="19">
        <v>5836.9</v>
      </c>
      <c r="G56" s="19">
        <v>5982.8</v>
      </c>
      <c r="H56" s="19">
        <v>6398.4</v>
      </c>
      <c r="I56" s="19">
        <v>6375.5</v>
      </c>
      <c r="J56" s="19">
        <v>6335.3</v>
      </c>
      <c r="K56" s="19">
        <v>6560.9</v>
      </c>
      <c r="L56" s="19">
        <v>6658.6</v>
      </c>
      <c r="M56" s="19">
        <v>7209.2</v>
      </c>
      <c r="N56" s="19">
        <v>6940.9</v>
      </c>
      <c r="O56" s="19">
        <v>6838.8</v>
      </c>
      <c r="P56" s="19">
        <v>7141.5</v>
      </c>
      <c r="Q56" s="19">
        <v>7521.9</v>
      </c>
      <c r="R56" s="19">
        <v>7771.9</v>
      </c>
      <c r="S56" s="19">
        <v>8037.2</v>
      </c>
      <c r="T56" s="19">
        <v>8157.5</v>
      </c>
      <c r="U56" s="19">
        <v>8236.7000000000007</v>
      </c>
      <c r="V56" s="19">
        <v>8511</v>
      </c>
      <c r="W56" s="19">
        <v>8929.7000000000007</v>
      </c>
      <c r="X56" s="19">
        <v>8578.6</v>
      </c>
      <c r="Y56" s="19">
        <v>9326.4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2364.4</v>
      </c>
      <c r="E57" s="23">
        <v>2335.4</v>
      </c>
      <c r="F57" s="23">
        <v>2394.6999999999994</v>
      </c>
      <c r="G57" s="23">
        <v>2162</v>
      </c>
      <c r="H57" s="23">
        <v>2234.6</v>
      </c>
      <c r="I57" s="23">
        <v>2127.1</v>
      </c>
      <c r="J57" s="23">
        <v>2124.9</v>
      </c>
      <c r="K57" s="23">
        <v>2124.6</v>
      </c>
      <c r="L57" s="23">
        <v>1879.5</v>
      </c>
      <c r="M57" s="23">
        <v>1516.9</v>
      </c>
      <c r="N57" s="23">
        <v>1568.3</v>
      </c>
      <c r="O57" s="23">
        <v>1456.8</v>
      </c>
      <c r="P57" s="23">
        <v>1383.5</v>
      </c>
      <c r="Q57" s="23">
        <v>1393.1</v>
      </c>
      <c r="R57" s="23">
        <v>1437.5</v>
      </c>
      <c r="S57" s="23">
        <v>1479.1</v>
      </c>
      <c r="T57" s="23">
        <v>1428.7</v>
      </c>
      <c r="U57" s="23">
        <v>1394.6</v>
      </c>
      <c r="V57" s="23">
        <v>1379.5</v>
      </c>
      <c r="W57" s="23">
        <v>1242.3000000000002</v>
      </c>
      <c r="X57" s="23">
        <v>1114.2</v>
      </c>
      <c r="Y57" s="23">
        <v>1301.5999999999999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672.2</v>
      </c>
      <c r="E58" s="23">
        <v>739</v>
      </c>
      <c r="F58" s="23">
        <v>734.7</v>
      </c>
      <c r="G58" s="23">
        <v>773.9</v>
      </c>
      <c r="H58" s="23">
        <v>844.5</v>
      </c>
      <c r="I58" s="23">
        <v>846.4</v>
      </c>
      <c r="J58" s="23">
        <v>904.6</v>
      </c>
      <c r="K58" s="23">
        <v>1011.4</v>
      </c>
      <c r="L58" s="23">
        <v>904.2</v>
      </c>
      <c r="M58" s="23">
        <v>832.8</v>
      </c>
      <c r="N58" s="23">
        <v>832.7</v>
      </c>
      <c r="O58" s="23">
        <v>839.3</v>
      </c>
      <c r="P58" s="23">
        <v>785.9</v>
      </c>
      <c r="Q58" s="23">
        <v>719.8</v>
      </c>
      <c r="R58" s="23">
        <v>746.3</v>
      </c>
      <c r="S58" s="23">
        <v>767.4</v>
      </c>
      <c r="T58" s="23">
        <v>857.1</v>
      </c>
      <c r="U58" s="23">
        <v>920.2</v>
      </c>
      <c r="V58" s="23">
        <v>946.9</v>
      </c>
      <c r="W58" s="23">
        <v>998.8</v>
      </c>
      <c r="X58" s="23">
        <v>966.1</v>
      </c>
      <c r="Y58" s="23">
        <v>1299.4000000000001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1245.3</v>
      </c>
      <c r="E59" s="23">
        <v>1229.7</v>
      </c>
      <c r="F59" s="23">
        <v>1233.5</v>
      </c>
      <c r="G59" s="23">
        <v>1158</v>
      </c>
      <c r="H59" s="23">
        <v>1173.5</v>
      </c>
      <c r="I59" s="23">
        <v>1119.4000000000001</v>
      </c>
      <c r="J59" s="23">
        <v>1152.5999999999999</v>
      </c>
      <c r="K59" s="23">
        <v>1120.9000000000001</v>
      </c>
      <c r="L59" s="23">
        <v>1074.0999999999999</v>
      </c>
      <c r="M59" s="23">
        <v>972.9</v>
      </c>
      <c r="N59" s="23">
        <v>900.6</v>
      </c>
      <c r="O59" s="23">
        <v>951.8</v>
      </c>
      <c r="P59" s="23">
        <v>1006.8</v>
      </c>
      <c r="Q59" s="23">
        <v>984.8</v>
      </c>
      <c r="R59" s="23">
        <v>1070.3</v>
      </c>
      <c r="S59" s="23">
        <v>1078.4000000000001</v>
      </c>
      <c r="T59" s="23">
        <v>1061.3</v>
      </c>
      <c r="U59" s="23">
        <v>1045.4000000000001</v>
      </c>
      <c r="V59" s="23">
        <v>1009.2</v>
      </c>
      <c r="W59" s="23">
        <v>1051.3</v>
      </c>
      <c r="X59" s="23">
        <v>1025.0999999999999</v>
      </c>
      <c r="Y59" s="23">
        <v>1060.0999999999999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1318.8</v>
      </c>
      <c r="E60" s="23">
        <v>1283.2</v>
      </c>
      <c r="F60" s="23">
        <v>1259.8</v>
      </c>
      <c r="G60" s="23">
        <v>1278.4000000000001</v>
      </c>
      <c r="H60" s="23">
        <v>1264.4000000000001</v>
      </c>
      <c r="I60" s="23">
        <v>1256.3000000000002</v>
      </c>
      <c r="J60" s="23">
        <v>1244.9000000000001</v>
      </c>
      <c r="K60" s="23">
        <v>1296.7</v>
      </c>
      <c r="L60" s="23">
        <v>1281.8999999999999</v>
      </c>
      <c r="M60" s="23">
        <v>1164.3999999999999</v>
      </c>
      <c r="N60" s="23">
        <v>1156.7</v>
      </c>
      <c r="O60" s="23">
        <v>1163.3999999999999</v>
      </c>
      <c r="P60" s="23">
        <v>1122.6000000000004</v>
      </c>
      <c r="Q60" s="23">
        <v>1047.1000000000001</v>
      </c>
      <c r="R60" s="23">
        <v>1040.2</v>
      </c>
      <c r="S60" s="23">
        <v>1002.3999999999997</v>
      </c>
      <c r="T60" s="23">
        <v>984.00000000000011</v>
      </c>
      <c r="U60" s="23">
        <v>939.39999999999975</v>
      </c>
      <c r="V60" s="23">
        <v>897.19999999999982</v>
      </c>
      <c r="W60" s="23">
        <v>864.8</v>
      </c>
      <c r="X60" s="23">
        <v>707.8</v>
      </c>
      <c r="Y60" s="23">
        <v>757.09999999999991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1134.2</v>
      </c>
      <c r="E61" s="23">
        <v>1107.7</v>
      </c>
      <c r="F61" s="23">
        <v>1091.1999999999998</v>
      </c>
      <c r="G61" s="23">
        <v>1183.4000000000003</v>
      </c>
      <c r="H61" s="23">
        <v>1699.5</v>
      </c>
      <c r="I61" s="23">
        <v>2002.1000000000004</v>
      </c>
      <c r="J61" s="23">
        <v>1899.7000000000003</v>
      </c>
      <c r="K61" s="23">
        <v>2041.4</v>
      </c>
      <c r="L61" s="23">
        <v>1825.6</v>
      </c>
      <c r="M61" s="23">
        <v>542.6</v>
      </c>
      <c r="N61" s="23">
        <v>1311.7</v>
      </c>
      <c r="O61" s="23">
        <v>790.5</v>
      </c>
      <c r="P61" s="23">
        <v>1167.3</v>
      </c>
      <c r="Q61" s="23">
        <v>915.6</v>
      </c>
      <c r="R61" s="23">
        <v>992.1</v>
      </c>
      <c r="S61" s="23">
        <v>2155.9</v>
      </c>
      <c r="T61" s="23">
        <v>1955.1</v>
      </c>
      <c r="U61" s="23">
        <v>1951.2</v>
      </c>
      <c r="V61" s="23">
        <v>1299.4000000000001</v>
      </c>
      <c r="W61" s="23">
        <v>1749.8</v>
      </c>
      <c r="X61" s="23">
        <v>1001.5</v>
      </c>
      <c r="Y61" s="23">
        <v>1748.3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7112.7</v>
      </c>
      <c r="E62" s="23">
        <v>7127.5</v>
      </c>
      <c r="F62" s="23">
        <v>7280.4</v>
      </c>
      <c r="G62" s="23">
        <v>7050.2</v>
      </c>
      <c r="H62" s="23">
        <v>7257.3</v>
      </c>
      <c r="I62" s="23">
        <v>7484.7</v>
      </c>
      <c r="J62" s="23">
        <v>7247.1000000000013</v>
      </c>
      <c r="K62" s="23">
        <v>7289.9</v>
      </c>
      <c r="L62" s="23">
        <v>6868.9</v>
      </c>
      <c r="M62" s="23">
        <v>6784.5</v>
      </c>
      <c r="N62" s="23">
        <v>7499.9</v>
      </c>
      <c r="O62" s="23">
        <v>7811.4</v>
      </c>
      <c r="P62" s="23">
        <v>7565.7</v>
      </c>
      <c r="Q62" s="23">
        <v>7625</v>
      </c>
      <c r="R62" s="23">
        <v>8179.9</v>
      </c>
      <c r="S62" s="23">
        <v>9208.1</v>
      </c>
      <c r="T62" s="23">
        <v>8474.4</v>
      </c>
      <c r="U62" s="23">
        <v>9109.4</v>
      </c>
      <c r="V62" s="23">
        <v>9201.7999999999993</v>
      </c>
      <c r="W62" s="23">
        <v>8577.5</v>
      </c>
      <c r="X62" s="23">
        <v>8497.6</v>
      </c>
      <c r="Y62" s="23">
        <v>9458.2000000000007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2860.8</v>
      </c>
      <c r="E63" s="23">
        <v>3245.1</v>
      </c>
      <c r="F63" s="23">
        <v>3459.8</v>
      </c>
      <c r="G63" s="23">
        <v>3717.1999999999994</v>
      </c>
      <c r="H63" s="23">
        <v>3554.9</v>
      </c>
      <c r="I63" s="23">
        <v>4394.3999999999996</v>
      </c>
      <c r="J63" s="23">
        <v>3521.7</v>
      </c>
      <c r="K63" s="23">
        <v>4468.8</v>
      </c>
      <c r="L63" s="23">
        <v>3901.5999999999995</v>
      </c>
      <c r="M63" s="23">
        <v>4714.2</v>
      </c>
      <c r="N63" s="23">
        <v>5783.5</v>
      </c>
      <c r="O63" s="23">
        <v>4947.3999999999996</v>
      </c>
      <c r="P63" s="23">
        <v>5487.8</v>
      </c>
      <c r="Q63" s="23">
        <v>6259.3</v>
      </c>
      <c r="R63" s="23">
        <v>6008</v>
      </c>
      <c r="S63" s="23">
        <v>5799.6</v>
      </c>
      <c r="T63" s="23">
        <v>6425.1</v>
      </c>
      <c r="U63" s="23">
        <v>6956.2</v>
      </c>
      <c r="V63" s="23">
        <v>8260.5</v>
      </c>
      <c r="W63" s="23">
        <v>10700.8</v>
      </c>
      <c r="X63" s="23">
        <v>11882.3</v>
      </c>
      <c r="Y63" s="23">
        <v>10257.200000000001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1650.1</v>
      </c>
      <c r="E64" s="23">
        <v>1811.3</v>
      </c>
      <c r="F64" s="23">
        <v>1924.8</v>
      </c>
      <c r="G64" s="23">
        <v>1772.8</v>
      </c>
      <c r="H64" s="23">
        <v>1895.3999999999996</v>
      </c>
      <c r="I64" s="23">
        <v>1955.1</v>
      </c>
      <c r="J64" s="23">
        <v>1921.9999999999998</v>
      </c>
      <c r="K64" s="23">
        <v>2024.2999999999997</v>
      </c>
      <c r="L64" s="23">
        <v>1973.1</v>
      </c>
      <c r="M64" s="23">
        <v>1854.5</v>
      </c>
      <c r="N64" s="23">
        <v>1946.7</v>
      </c>
      <c r="O64" s="23">
        <v>1986.4</v>
      </c>
      <c r="P64" s="23">
        <v>1925.9</v>
      </c>
      <c r="Q64" s="23">
        <v>1920.7</v>
      </c>
      <c r="R64" s="23">
        <v>1937.7</v>
      </c>
      <c r="S64" s="23">
        <v>2075.1</v>
      </c>
      <c r="T64" s="23">
        <v>2373.8999999999996</v>
      </c>
      <c r="U64" s="23">
        <v>2401.1</v>
      </c>
      <c r="V64" s="23">
        <v>2253.6</v>
      </c>
      <c r="W64" s="23">
        <v>2399.9</v>
      </c>
      <c r="X64" s="23">
        <v>2522.8000000000002</v>
      </c>
      <c r="Y64" s="23">
        <v>2581.6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2269.5000000000005</v>
      </c>
      <c r="E65" s="23">
        <v>2346.8999999999996</v>
      </c>
      <c r="F65" s="23">
        <v>2385.5</v>
      </c>
      <c r="G65" s="23">
        <v>2357.5</v>
      </c>
      <c r="H65" s="23">
        <v>2379.6</v>
      </c>
      <c r="I65" s="23">
        <v>2367.2000000000003</v>
      </c>
      <c r="J65" s="23">
        <v>2465.6000000000013</v>
      </c>
      <c r="K65" s="23">
        <v>2700.3000000000006</v>
      </c>
      <c r="L65" s="23">
        <v>2599.1999999999998</v>
      </c>
      <c r="M65" s="23">
        <v>2438.2000000000003</v>
      </c>
      <c r="N65" s="23">
        <v>2302.1999999999994</v>
      </c>
      <c r="O65" s="23">
        <v>2447.4</v>
      </c>
      <c r="P65" s="23">
        <v>2286.3000000000002</v>
      </c>
      <c r="Q65" s="23">
        <v>2197.9999999999995</v>
      </c>
      <c r="R65" s="23">
        <v>2294.5</v>
      </c>
      <c r="S65" s="23">
        <v>2395.2000000000003</v>
      </c>
      <c r="T65" s="23">
        <v>2456.8000000000006</v>
      </c>
      <c r="U65" s="23">
        <v>2527.4</v>
      </c>
      <c r="V65" s="23">
        <v>2636.7999999999988</v>
      </c>
      <c r="W65" s="23">
        <v>2672.0999999999995</v>
      </c>
      <c r="X65" s="23">
        <v>2579.1999999999994</v>
      </c>
      <c r="Y65" s="23">
        <v>2901.2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3257.6</v>
      </c>
      <c r="E66" s="23">
        <v>2768.5</v>
      </c>
      <c r="F66" s="23">
        <v>2949.4</v>
      </c>
      <c r="G66" s="23">
        <v>2973.1</v>
      </c>
      <c r="H66" s="23">
        <v>3629.8999999999996</v>
      </c>
      <c r="I66" s="23">
        <v>3702.3000000000006</v>
      </c>
      <c r="J66" s="23">
        <v>3787.2</v>
      </c>
      <c r="K66" s="23">
        <v>4420.2999999999993</v>
      </c>
      <c r="L66" s="23">
        <v>3540.8</v>
      </c>
      <c r="M66" s="23">
        <v>2225.4</v>
      </c>
      <c r="N66" s="23">
        <v>2740.9</v>
      </c>
      <c r="O66" s="23">
        <v>2746.3</v>
      </c>
      <c r="P66" s="23">
        <v>2367.4</v>
      </c>
      <c r="Q66" s="23">
        <v>2481.5</v>
      </c>
      <c r="R66" s="23">
        <v>2557.1000000000004</v>
      </c>
      <c r="S66" s="23">
        <v>2648</v>
      </c>
      <c r="T66" s="23">
        <v>2755.7</v>
      </c>
      <c r="U66" s="23">
        <v>3063.7</v>
      </c>
      <c r="V66" s="23">
        <v>3127.1</v>
      </c>
      <c r="W66" s="23">
        <v>2892.9</v>
      </c>
      <c r="X66" s="23">
        <v>2387.4999999999995</v>
      </c>
      <c r="Y66" s="23">
        <v>3959.1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3373.9000000000005</v>
      </c>
      <c r="E67" s="23">
        <v>3450.1999999999994</v>
      </c>
      <c r="F67" s="23">
        <v>3575.7</v>
      </c>
      <c r="G67" s="23">
        <v>3577.7000000000007</v>
      </c>
      <c r="H67" s="23">
        <v>3800.7000000000007</v>
      </c>
      <c r="I67" s="23">
        <v>3761.0999999999995</v>
      </c>
      <c r="J67" s="23">
        <v>3952.4999999999995</v>
      </c>
      <c r="K67" s="23">
        <v>4365.1000000000004</v>
      </c>
      <c r="L67" s="23">
        <v>4441.8999999999987</v>
      </c>
      <c r="M67" s="23">
        <v>3490.0000000000005</v>
      </c>
      <c r="N67" s="23">
        <v>3554</v>
      </c>
      <c r="O67" s="23">
        <v>3813.7999999999993</v>
      </c>
      <c r="P67" s="23">
        <v>3849.2999999999993</v>
      </c>
      <c r="Q67" s="23">
        <v>3674.1999999999994</v>
      </c>
      <c r="R67" s="23">
        <v>3606.7</v>
      </c>
      <c r="S67" s="23">
        <v>3686.2</v>
      </c>
      <c r="T67" s="23">
        <v>3933.3</v>
      </c>
      <c r="U67" s="23">
        <v>3996.1</v>
      </c>
      <c r="V67" s="23">
        <v>3902.7000000000007</v>
      </c>
      <c r="W67" s="23">
        <v>3984.4</v>
      </c>
      <c r="X67" s="23">
        <v>3694.4</v>
      </c>
      <c r="Y67" s="23">
        <v>4160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2091.6</v>
      </c>
      <c r="E68" s="23">
        <v>1744.7</v>
      </c>
      <c r="F68" s="23">
        <v>1763.7</v>
      </c>
      <c r="G68" s="23">
        <v>1724.8999999999996</v>
      </c>
      <c r="H68" s="23">
        <v>1637.6</v>
      </c>
      <c r="I68" s="23">
        <v>1641.1</v>
      </c>
      <c r="J68" s="23">
        <v>1697.6</v>
      </c>
      <c r="K68" s="23">
        <v>1813.9</v>
      </c>
      <c r="L68" s="23">
        <v>1601</v>
      </c>
      <c r="M68" s="23">
        <v>1024.4000000000001</v>
      </c>
      <c r="N68" s="23">
        <v>1125.9000000000001</v>
      </c>
      <c r="O68" s="23">
        <v>1215.0999999999999</v>
      </c>
      <c r="P68" s="23">
        <v>1294.4000000000001</v>
      </c>
      <c r="Q68" s="23">
        <v>1271.9000000000001</v>
      </c>
      <c r="R68" s="23">
        <v>1321.4</v>
      </c>
      <c r="S68" s="23">
        <v>1315.2</v>
      </c>
      <c r="T68" s="23">
        <v>1502.6</v>
      </c>
      <c r="U68" s="23">
        <v>1512.4</v>
      </c>
      <c r="V68" s="23">
        <v>1425</v>
      </c>
      <c r="W68" s="23">
        <v>1522.9</v>
      </c>
      <c r="X68" s="23">
        <v>1330.9</v>
      </c>
      <c r="Y68" s="23">
        <v>1412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1707.1999999999998</v>
      </c>
      <c r="E69" s="23">
        <v>1701.5</v>
      </c>
      <c r="F69" s="23">
        <v>1586.4</v>
      </c>
      <c r="G69" s="23">
        <v>1562.3</v>
      </c>
      <c r="H69" s="23">
        <v>1634.8</v>
      </c>
      <c r="I69" s="23">
        <v>1692.5</v>
      </c>
      <c r="J69" s="23">
        <v>1742</v>
      </c>
      <c r="K69" s="23">
        <v>1432.8</v>
      </c>
      <c r="L69" s="23">
        <v>1596.3</v>
      </c>
      <c r="M69" s="23">
        <v>1678.2</v>
      </c>
      <c r="N69" s="23">
        <v>1775.5</v>
      </c>
      <c r="O69" s="23">
        <v>1705.5</v>
      </c>
      <c r="P69" s="23">
        <v>1491.5</v>
      </c>
      <c r="Q69" s="23">
        <v>1454.5</v>
      </c>
      <c r="R69" s="23">
        <v>1467.9</v>
      </c>
      <c r="S69" s="23">
        <v>1403.4</v>
      </c>
      <c r="T69" s="23">
        <v>1112.8</v>
      </c>
      <c r="U69" s="23">
        <v>1095.7</v>
      </c>
      <c r="V69" s="23">
        <v>1102.8000000000002</v>
      </c>
      <c r="W69" s="23">
        <v>1191.6999999999998</v>
      </c>
      <c r="X69" s="23">
        <v>1080.8</v>
      </c>
      <c r="Y69" s="23">
        <v>1189.8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2682.8</v>
      </c>
      <c r="E70" s="23">
        <v>2640.6</v>
      </c>
      <c r="F70" s="23">
        <v>2691.1</v>
      </c>
      <c r="G70" s="23">
        <v>2563.5</v>
      </c>
      <c r="H70" s="23">
        <v>2674.1</v>
      </c>
      <c r="I70" s="23">
        <v>2846.6</v>
      </c>
      <c r="J70" s="23">
        <v>3223.2</v>
      </c>
      <c r="K70" s="23">
        <v>3567.3</v>
      </c>
      <c r="L70" s="23">
        <v>3626.7</v>
      </c>
      <c r="M70" s="23">
        <v>2820.1</v>
      </c>
      <c r="N70" s="23">
        <v>3140.4</v>
      </c>
      <c r="O70" s="23">
        <v>3598.6</v>
      </c>
      <c r="P70" s="23">
        <v>3568.9</v>
      </c>
      <c r="Q70" s="23">
        <v>3474.9</v>
      </c>
      <c r="R70" s="23">
        <v>3617.3</v>
      </c>
      <c r="S70" s="23">
        <v>3545.2</v>
      </c>
      <c r="T70" s="23">
        <v>3466.7</v>
      </c>
      <c r="U70" s="23">
        <v>3642.1</v>
      </c>
      <c r="V70" s="23">
        <v>3534.2</v>
      </c>
      <c r="W70" s="23">
        <v>3435.7</v>
      </c>
      <c r="X70" s="23">
        <v>3290.6</v>
      </c>
      <c r="Y70" s="23">
        <v>3752.7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3464.4</v>
      </c>
      <c r="E71" s="23">
        <v>3475.4</v>
      </c>
      <c r="F71" s="23">
        <v>3567.8999999999996</v>
      </c>
      <c r="G71" s="23">
        <v>3608.2</v>
      </c>
      <c r="H71" s="23">
        <v>3418.4</v>
      </c>
      <c r="I71" s="23">
        <v>3362.5</v>
      </c>
      <c r="J71" s="23">
        <v>3316.8</v>
      </c>
      <c r="K71" s="23">
        <v>3106.4</v>
      </c>
      <c r="L71" s="23">
        <v>3012.3</v>
      </c>
      <c r="M71" s="23">
        <v>2369.8000000000002</v>
      </c>
      <c r="N71" s="23">
        <v>2702.9</v>
      </c>
      <c r="O71" s="23">
        <v>2744.8</v>
      </c>
      <c r="P71" s="23">
        <v>2717.5</v>
      </c>
      <c r="Q71" s="23">
        <v>2816.7</v>
      </c>
      <c r="R71" s="23">
        <v>2844.7</v>
      </c>
      <c r="S71" s="23">
        <v>2308.9</v>
      </c>
      <c r="T71" s="23">
        <v>2226.4</v>
      </c>
      <c r="U71" s="23">
        <v>2363.3999999999996</v>
      </c>
      <c r="V71" s="23">
        <v>2426.6999999999998</v>
      </c>
      <c r="W71" s="23">
        <v>2349.9</v>
      </c>
      <c r="X71" s="23">
        <v>2169.5</v>
      </c>
      <c r="Y71" s="23">
        <v>2146.8000000000002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612.4000000000002</v>
      </c>
      <c r="E72" s="23">
        <v>675.99999999999943</v>
      </c>
      <c r="F72" s="23">
        <v>554.49999999999966</v>
      </c>
      <c r="G72" s="23">
        <v>469.30000000000058</v>
      </c>
      <c r="H72" s="23">
        <v>501.8000000000003</v>
      </c>
      <c r="I72" s="23">
        <v>509.29999999999978</v>
      </c>
      <c r="J72" s="23">
        <v>509.30000000000013</v>
      </c>
      <c r="K72" s="23">
        <v>572.79999999999995</v>
      </c>
      <c r="L72" s="23">
        <v>554.79999999999995</v>
      </c>
      <c r="M72" s="23">
        <v>533.09999999999991</v>
      </c>
      <c r="N72" s="23">
        <v>555.69999999999982</v>
      </c>
      <c r="O72" s="23">
        <v>762.60000000000014</v>
      </c>
      <c r="P72" s="23">
        <v>864.6</v>
      </c>
      <c r="Q72" s="23">
        <v>796.10000000000014</v>
      </c>
      <c r="R72" s="23">
        <v>874.19999999999982</v>
      </c>
      <c r="S72" s="23">
        <v>931</v>
      </c>
      <c r="T72" s="23">
        <v>840.6999999999997</v>
      </c>
      <c r="U72" s="23">
        <v>906.4</v>
      </c>
      <c r="V72" s="23">
        <v>864.40000000000009</v>
      </c>
      <c r="W72" s="23">
        <v>951.09999999999991</v>
      </c>
      <c r="X72" s="23">
        <v>530.19999999999982</v>
      </c>
      <c r="Y72" s="23">
        <v>564.19999999999982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1189.9999999999998</v>
      </c>
      <c r="E73" s="23">
        <v>1285.0999999999999</v>
      </c>
      <c r="F73" s="23">
        <v>1202.5999999999999</v>
      </c>
      <c r="G73" s="23">
        <v>1139.3</v>
      </c>
      <c r="H73" s="23">
        <v>1214.4999999999998</v>
      </c>
      <c r="I73" s="23">
        <v>1207.7</v>
      </c>
      <c r="J73" s="23">
        <v>1221.9000000000001</v>
      </c>
      <c r="K73" s="23">
        <v>1291.4000000000001</v>
      </c>
      <c r="L73" s="23">
        <v>1335.4</v>
      </c>
      <c r="M73" s="23">
        <v>1287.0999999999999</v>
      </c>
      <c r="N73" s="23">
        <v>1279.9000000000001</v>
      </c>
      <c r="O73" s="23">
        <v>1324.6</v>
      </c>
      <c r="P73" s="23">
        <v>1288.4999999999998</v>
      </c>
      <c r="Q73" s="23">
        <v>1274.7</v>
      </c>
      <c r="R73" s="23">
        <v>1320.6</v>
      </c>
      <c r="S73" s="23">
        <v>1403.6</v>
      </c>
      <c r="T73" s="23">
        <v>1394</v>
      </c>
      <c r="U73" s="23">
        <v>1330.3</v>
      </c>
      <c r="V73" s="23">
        <v>1342.1</v>
      </c>
      <c r="W73" s="23">
        <v>1507.7</v>
      </c>
      <c r="X73" s="23">
        <v>1477</v>
      </c>
      <c r="Y73" s="23">
        <v>1581.2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465.59999999997586</v>
      </c>
      <c r="E74" s="23">
        <v>440.4999999999585</v>
      </c>
      <c r="F74" s="23">
        <v>399.59999999997819</v>
      </c>
      <c r="G74" s="23">
        <v>500.60000000000616</v>
      </c>
      <c r="H74" s="23">
        <v>544.20000000005962</v>
      </c>
      <c r="I74" s="23">
        <v>554.39999999999577</v>
      </c>
      <c r="J74" s="23">
        <v>564.09999999994113</v>
      </c>
      <c r="K74" s="23">
        <v>540.90000000006887</v>
      </c>
      <c r="L74" s="23">
        <v>542.59999999997922</v>
      </c>
      <c r="M74" s="23">
        <v>1299.199999999983</v>
      </c>
      <c r="N74" s="23">
        <v>1319.3999999999467</v>
      </c>
      <c r="O74" s="23">
        <v>1464.5999999999754</v>
      </c>
      <c r="P74" s="23">
        <v>1436.0999999999992</v>
      </c>
      <c r="Q74" s="23">
        <v>1526.2999999999772</v>
      </c>
      <c r="R74" s="23">
        <v>1547.8000000000241</v>
      </c>
      <c r="S74" s="23">
        <v>1653.4000000000146</v>
      </c>
      <c r="T74" s="23">
        <v>1739.2999999999811</v>
      </c>
      <c r="U74" s="23">
        <v>1924.1000000000392</v>
      </c>
      <c r="V74" s="23">
        <v>1884.1999999999791</v>
      </c>
      <c r="W74" s="23">
        <v>2071.5000000000327</v>
      </c>
      <c r="X74" s="23">
        <v>1637.9000000000385</v>
      </c>
      <c r="Y74" s="23">
        <v>1733.3999999999426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44958.099999999977</v>
      </c>
      <c r="E75" s="30">
        <f t="shared" ref="E75:S75" si="6">SUM(E56:E74)</f>
        <v>45044.099999999948</v>
      </c>
      <c r="F75" s="30">
        <f t="shared" si="6"/>
        <v>45892.199999999968</v>
      </c>
      <c r="G75" s="30">
        <f t="shared" si="6"/>
        <v>45555.100000000013</v>
      </c>
      <c r="H75" s="30">
        <f t="shared" si="6"/>
        <v>47758.100000000064</v>
      </c>
      <c r="I75" s="30">
        <f t="shared" si="6"/>
        <v>49205.69999999999</v>
      </c>
      <c r="J75" s="30">
        <f t="shared" si="6"/>
        <v>48832.999999999949</v>
      </c>
      <c r="K75" s="30">
        <f t="shared" si="6"/>
        <v>51750.100000000079</v>
      </c>
      <c r="L75" s="30">
        <f t="shared" si="6"/>
        <v>49218.499999999985</v>
      </c>
      <c r="M75" s="30">
        <f t="shared" si="6"/>
        <v>44757.499999999985</v>
      </c>
      <c r="N75" s="30">
        <f t="shared" si="6"/>
        <v>48437.799999999952</v>
      </c>
      <c r="O75" s="30">
        <f t="shared" si="6"/>
        <v>48609.099999999977</v>
      </c>
      <c r="P75" s="30">
        <f t="shared" si="6"/>
        <v>48751.5</v>
      </c>
      <c r="Q75" s="30">
        <f t="shared" si="6"/>
        <v>49356.099999999969</v>
      </c>
      <c r="R75" s="30">
        <f t="shared" si="6"/>
        <v>50636.10000000002</v>
      </c>
      <c r="S75" s="30">
        <f t="shared" si="6"/>
        <v>52893.3</v>
      </c>
      <c r="T75" s="30">
        <f t="shared" ref="T75:Y75" si="7">SUM(T56:T74)</f>
        <v>53145.39999999998</v>
      </c>
      <c r="U75" s="30">
        <f t="shared" si="7"/>
        <v>55315.800000000047</v>
      </c>
      <c r="V75" s="30">
        <f t="shared" si="7"/>
        <v>56005.099999999977</v>
      </c>
      <c r="W75" s="30">
        <f t="shared" si="7"/>
        <v>59094.800000000032</v>
      </c>
      <c r="X75" s="30">
        <f t="shared" si="7"/>
        <v>56474.000000000036</v>
      </c>
      <c r="Y75" s="30">
        <f t="shared" si="7"/>
        <v>61190.299999999937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329613.14459829521</v>
      </c>
      <c r="E2" s="19">
        <v>333238.65713601361</v>
      </c>
      <c r="F2" s="19">
        <v>338926.25024806516</v>
      </c>
      <c r="G2" s="19">
        <v>342442.64211603097</v>
      </c>
      <c r="H2" s="19">
        <v>354674.14683108689</v>
      </c>
      <c r="I2" s="19">
        <v>362909.95072046446</v>
      </c>
      <c r="J2" s="19">
        <v>372171.66861250374</v>
      </c>
      <c r="K2" s="19">
        <v>385854.53769622924</v>
      </c>
      <c r="L2" s="19">
        <v>387578.61912422592</v>
      </c>
      <c r="M2" s="19">
        <v>379746.15839891275</v>
      </c>
      <c r="N2" s="19">
        <v>390624.43526526395</v>
      </c>
      <c r="O2" s="19">
        <v>397244.19931532902</v>
      </c>
      <c r="P2" s="19">
        <v>400181.03626943007</v>
      </c>
      <c r="Q2" s="19">
        <v>402017.8660963705</v>
      </c>
      <c r="R2" s="19">
        <v>408365.13421220629</v>
      </c>
      <c r="S2" s="19">
        <v>416701.4</v>
      </c>
      <c r="T2" s="19">
        <v>421979.08183789405</v>
      </c>
      <c r="U2" s="19">
        <v>428815.15811381111</v>
      </c>
      <c r="V2" s="19">
        <v>436501.54181887186</v>
      </c>
      <c r="W2" s="19">
        <v>446284.84588562162</v>
      </c>
      <c r="X2" s="19">
        <v>422805.16453465965</v>
      </c>
      <c r="Y2" s="19">
        <v>451774.0816508049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175859.98452722814</v>
      </c>
      <c r="E3" s="23">
        <v>177517.78048311657</v>
      </c>
      <c r="F3" s="23">
        <v>178604.2765827922</v>
      </c>
      <c r="G3" s="23">
        <v>179886.66183490367</v>
      </c>
      <c r="H3" s="23">
        <v>181799.9951236163</v>
      </c>
      <c r="I3" s="23">
        <v>184426.75800926861</v>
      </c>
      <c r="J3" s="23">
        <v>187698.12800609003</v>
      </c>
      <c r="K3" s="23">
        <v>191626.77060984241</v>
      </c>
      <c r="L3" s="23">
        <v>194261.20093636017</v>
      </c>
      <c r="M3" s="23">
        <v>195396.90206711821</v>
      </c>
      <c r="N3" s="23">
        <v>201276.13033920951</v>
      </c>
      <c r="O3" s="23">
        <v>203019.03594514466</v>
      </c>
      <c r="P3" s="23">
        <v>205997.00134528687</v>
      </c>
      <c r="Q3" s="23">
        <v>209435.33308946062</v>
      </c>
      <c r="R3" s="23">
        <v>210592.64339529394</v>
      </c>
      <c r="S3" s="23">
        <v>213930.1</v>
      </c>
      <c r="T3" s="23">
        <v>217288.10220344158</v>
      </c>
      <c r="U3" s="23">
        <v>221400.83311587269</v>
      </c>
      <c r="V3" s="23">
        <v>225705.90687714377</v>
      </c>
      <c r="W3" s="23">
        <v>229537.21958010594</v>
      </c>
      <c r="X3" s="23">
        <v>210728.04920979007</v>
      </c>
      <c r="Y3" s="23">
        <v>223992.9140192153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292262.67481400043</v>
      </c>
      <c r="E4" s="27">
        <v>296706.21844106697</v>
      </c>
      <c r="F4" s="27">
        <v>301550.78235780075</v>
      </c>
      <c r="G4" s="27">
        <v>304911.20177233277</v>
      </c>
      <c r="H4" s="27">
        <v>314584.32811887545</v>
      </c>
      <c r="I4" s="27">
        <v>322276.07161982817</v>
      </c>
      <c r="J4" s="27">
        <v>330175.20691264694</v>
      </c>
      <c r="K4" s="27">
        <v>342488.54978886934</v>
      </c>
      <c r="L4" s="27">
        <v>345185.29919416015</v>
      </c>
      <c r="M4" s="27">
        <v>338208.70895481616</v>
      </c>
      <c r="N4" s="27">
        <v>347963.26692628715</v>
      </c>
      <c r="O4" s="27">
        <v>354868.55163967313</v>
      </c>
      <c r="P4" s="27">
        <v>357665.58179066732</v>
      </c>
      <c r="Q4" s="27">
        <v>359142.68756907206</v>
      </c>
      <c r="R4" s="27">
        <v>365183.7148065627</v>
      </c>
      <c r="S4" s="27">
        <v>373301.6</v>
      </c>
      <c r="T4" s="27">
        <v>376816.6609429426</v>
      </c>
      <c r="U4" s="27">
        <v>382705.79503392969</v>
      </c>
      <c r="V4" s="27">
        <v>389598.81467973557</v>
      </c>
      <c r="W4" s="27">
        <v>398673.68833495042</v>
      </c>
      <c r="X4" s="27">
        <v>379426.94382269843</v>
      </c>
      <c r="Y4" s="27">
        <v>403955.4687639327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3854.2172679160381</v>
      </c>
      <c r="E6" s="19">
        <v>3674.1802508426154</v>
      </c>
      <c r="F6" s="19">
        <v>3480.9681754848893</v>
      </c>
      <c r="G6" s="19">
        <v>3504.4732031524281</v>
      </c>
      <c r="H6" s="19">
        <v>3606.4093883999099</v>
      </c>
      <c r="I6" s="19">
        <v>3034.1800740413055</v>
      </c>
      <c r="J6" s="19">
        <v>3358.4171040198544</v>
      </c>
      <c r="K6" s="19">
        <v>3406.8008668647644</v>
      </c>
      <c r="L6" s="19">
        <v>2754.5871307483426</v>
      </c>
      <c r="M6" s="19">
        <v>2442.987488389881</v>
      </c>
      <c r="N6" s="19">
        <v>2980.7001169364789</v>
      </c>
      <c r="O6" s="19">
        <v>2572.3757839390164</v>
      </c>
      <c r="P6" s="19">
        <v>3127.0341424988083</v>
      </c>
      <c r="Q6" s="19">
        <v>2738.5289181777248</v>
      </c>
      <c r="R6" s="19">
        <v>2603.3016001620417</v>
      </c>
      <c r="S6" s="19">
        <v>2860.3</v>
      </c>
      <c r="T6" s="19">
        <v>2652.0139331796104</v>
      </c>
      <c r="U6" s="19">
        <v>2853.1770512029611</v>
      </c>
      <c r="V6" s="19">
        <v>2634.9631486969074</v>
      </c>
      <c r="W6" s="19">
        <v>2992.0143294275695</v>
      </c>
      <c r="X6" s="19">
        <v>2870.509668660331</v>
      </c>
      <c r="Y6" s="19">
        <v>2905.9440372371728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66671.055659243691</v>
      </c>
      <c r="E7" s="23">
        <v>65449.750034456345</v>
      </c>
      <c r="F7" s="23">
        <v>65317.690287419362</v>
      </c>
      <c r="G7" s="23">
        <v>64094.040168032661</v>
      </c>
      <c r="H7" s="23">
        <v>65356.40047987274</v>
      </c>
      <c r="I7" s="23">
        <v>65594.891615637142</v>
      </c>
      <c r="J7" s="23">
        <v>64472.386980726034</v>
      </c>
      <c r="K7" s="23">
        <v>66888.782144373283</v>
      </c>
      <c r="L7" s="23">
        <v>63686.744868679962</v>
      </c>
      <c r="M7" s="23">
        <v>58809.047697098809</v>
      </c>
      <c r="N7" s="23">
        <v>62390.975507708092</v>
      </c>
      <c r="O7" s="23">
        <v>62569.630677618901</v>
      </c>
      <c r="P7" s="23">
        <v>60817.803022450709</v>
      </c>
      <c r="Q7" s="23">
        <v>60771.04907699232</v>
      </c>
      <c r="R7" s="23">
        <v>61051.448247923865</v>
      </c>
      <c r="S7" s="23">
        <v>62670.700000000012</v>
      </c>
      <c r="T7" s="23">
        <v>62088.407005838177</v>
      </c>
      <c r="U7" s="23">
        <v>63094.829580505902</v>
      </c>
      <c r="V7" s="23">
        <v>62056.739609452139</v>
      </c>
      <c r="W7" s="23">
        <v>64894.768266288564</v>
      </c>
      <c r="X7" s="23">
        <v>61966.205555351742</v>
      </c>
      <c r="Y7" s="23">
        <v>65821.60754730436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15079.385370592898</v>
      </c>
      <c r="E8" s="23">
        <v>15072.358446830636</v>
      </c>
      <c r="F8" s="23">
        <v>14829.656847634431</v>
      </c>
      <c r="G8" s="23">
        <v>14975.000907957339</v>
      </c>
      <c r="H8" s="23">
        <v>15592.179500884915</v>
      </c>
      <c r="I8" s="23">
        <v>15881.976297469091</v>
      </c>
      <c r="J8" s="23">
        <v>17482.439463108643</v>
      </c>
      <c r="K8" s="23">
        <v>18641.502267700351</v>
      </c>
      <c r="L8" s="23">
        <v>19822.121568584342</v>
      </c>
      <c r="M8" s="23">
        <v>19181.992023165603</v>
      </c>
      <c r="N8" s="23">
        <v>19010.331176981752</v>
      </c>
      <c r="O8" s="23">
        <v>19908.355681314271</v>
      </c>
      <c r="P8" s="23">
        <v>19537.822094156181</v>
      </c>
      <c r="Q8" s="23">
        <v>19149.33895460685</v>
      </c>
      <c r="R8" s="23">
        <v>19250.557018432246</v>
      </c>
      <c r="S8" s="23">
        <v>19294</v>
      </c>
      <c r="T8" s="23">
        <v>19308.639552568318</v>
      </c>
      <c r="U8" s="23">
        <v>19422.713602714375</v>
      </c>
      <c r="V8" s="23">
        <v>20674.150900387511</v>
      </c>
      <c r="W8" s="23">
        <v>21109.784312262109</v>
      </c>
      <c r="X8" s="23">
        <v>19959.729204124316</v>
      </c>
      <c r="Y8" s="23">
        <v>21756.460328500347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55272.287986091578</v>
      </c>
      <c r="E9" s="23">
        <v>57276.31529488416</v>
      </c>
      <c r="F9" s="23">
        <v>60120.83698104832</v>
      </c>
      <c r="G9" s="23">
        <v>63576.383424330837</v>
      </c>
      <c r="H9" s="23">
        <v>65981.541531554016</v>
      </c>
      <c r="I9" s="23">
        <v>68318.936412954907</v>
      </c>
      <c r="J9" s="23">
        <v>69599.039151174307</v>
      </c>
      <c r="K9" s="23">
        <v>72182.801224334777</v>
      </c>
      <c r="L9" s="23">
        <v>73700.816833588018</v>
      </c>
      <c r="M9" s="23">
        <v>69926.569414850019</v>
      </c>
      <c r="N9" s="23">
        <v>71201.549140141418</v>
      </c>
      <c r="O9" s="23">
        <v>72128.407627172332</v>
      </c>
      <c r="P9" s="23">
        <v>71167.934658678656</v>
      </c>
      <c r="Q9" s="23">
        <v>70343.825467643561</v>
      </c>
      <c r="R9" s="23">
        <v>71473.161839173597</v>
      </c>
      <c r="S9" s="23">
        <v>72885.899999999994</v>
      </c>
      <c r="T9" s="23">
        <v>74413.187460138346</v>
      </c>
      <c r="U9" s="23">
        <v>73124.036088834051</v>
      </c>
      <c r="V9" s="23">
        <v>74756.572448902065</v>
      </c>
      <c r="W9" s="23">
        <v>75454.698111799386</v>
      </c>
      <c r="X9" s="23">
        <v>67087.751807140492</v>
      </c>
      <c r="Y9" s="23">
        <v>74358.603962691486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11428.425331731138</v>
      </c>
      <c r="E10" s="23">
        <v>12467.45436092769</v>
      </c>
      <c r="F10" s="23">
        <v>12742.136348503718</v>
      </c>
      <c r="G10" s="23">
        <v>12663.825769039868</v>
      </c>
      <c r="H10" s="23">
        <v>13151.480597227668</v>
      </c>
      <c r="I10" s="23">
        <v>13210.202798668188</v>
      </c>
      <c r="J10" s="23">
        <v>13422.853174557998</v>
      </c>
      <c r="K10" s="23">
        <v>14019.86192721017</v>
      </c>
      <c r="L10" s="23">
        <v>14236.540935126044</v>
      </c>
      <c r="M10" s="23">
        <v>14708.517729333989</v>
      </c>
      <c r="N10" s="23">
        <v>15045.862701554504</v>
      </c>
      <c r="O10" s="23">
        <v>15332.791350803473</v>
      </c>
      <c r="P10" s="23">
        <v>15628.226124090466</v>
      </c>
      <c r="Q10" s="23">
        <v>14971.552535712823</v>
      </c>
      <c r="R10" s="23">
        <v>14813.854567551145</v>
      </c>
      <c r="S10" s="23">
        <v>15314.2</v>
      </c>
      <c r="T10" s="23">
        <v>15568.16955305892</v>
      </c>
      <c r="U10" s="23">
        <v>16193.129241209132</v>
      </c>
      <c r="V10" s="23">
        <v>16535.882531722513</v>
      </c>
      <c r="W10" s="23">
        <v>17388.237928203598</v>
      </c>
      <c r="X10" s="23">
        <v>17443.675925586173</v>
      </c>
      <c r="Y10" s="23">
        <v>18333.779180710855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18146.396338813182</v>
      </c>
      <c r="E11" s="23">
        <v>17195.875255290623</v>
      </c>
      <c r="F11" s="23">
        <v>17850.827979926264</v>
      </c>
      <c r="G11" s="23">
        <v>16542.37739549411</v>
      </c>
      <c r="H11" s="23">
        <v>18140.73097435532</v>
      </c>
      <c r="I11" s="23">
        <v>17920.556939626069</v>
      </c>
      <c r="J11" s="23">
        <v>18323.979098122702</v>
      </c>
      <c r="K11" s="23">
        <v>17837.529882258317</v>
      </c>
      <c r="L11" s="23">
        <v>16143.292180165126</v>
      </c>
      <c r="M11" s="23">
        <v>19260.121291591546</v>
      </c>
      <c r="N11" s="23">
        <v>20569.98487335458</v>
      </c>
      <c r="O11" s="23">
        <v>19996.938150642993</v>
      </c>
      <c r="P11" s="23">
        <v>21219.241692406562</v>
      </c>
      <c r="Q11" s="23">
        <v>20905.71405181941</v>
      </c>
      <c r="R11" s="23">
        <v>22360.441563702654</v>
      </c>
      <c r="S11" s="23">
        <v>23690.1</v>
      </c>
      <c r="T11" s="23">
        <v>23938.576264534167</v>
      </c>
      <c r="U11" s="23">
        <v>24777.336520666257</v>
      </c>
      <c r="V11" s="23">
        <v>25553.719322239951</v>
      </c>
      <c r="W11" s="23">
        <v>25389.581312038212</v>
      </c>
      <c r="X11" s="23">
        <v>24949.546838880124</v>
      </c>
      <c r="Y11" s="23">
        <v>26016.264512332138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24773.221179658933</v>
      </c>
      <c r="E12" s="23">
        <v>25394.369197228451</v>
      </c>
      <c r="F12" s="23">
        <v>25035.942836709786</v>
      </c>
      <c r="G12" s="23">
        <v>25041.221263150252</v>
      </c>
      <c r="H12" s="23">
        <v>24759.172813550467</v>
      </c>
      <c r="I12" s="23">
        <v>26747.1885259261</v>
      </c>
      <c r="J12" s="23">
        <v>28190.89470508544</v>
      </c>
      <c r="K12" s="23">
        <v>29311.088272749614</v>
      </c>
      <c r="L12" s="23">
        <v>29680.522421697213</v>
      </c>
      <c r="M12" s="23">
        <v>28798.120526689614</v>
      </c>
      <c r="N12" s="23">
        <v>29350.627058457514</v>
      </c>
      <c r="O12" s="23">
        <v>30877.27263128999</v>
      </c>
      <c r="P12" s="23">
        <v>31701.527809448788</v>
      </c>
      <c r="Q12" s="23">
        <v>32571.220989726167</v>
      </c>
      <c r="R12" s="23">
        <v>32765.647154142192</v>
      </c>
      <c r="S12" s="23">
        <v>33821.300000000003</v>
      </c>
      <c r="T12" s="23">
        <v>33898.935387332582</v>
      </c>
      <c r="U12" s="23">
        <v>34805.289944478718</v>
      </c>
      <c r="V12" s="23">
        <v>35628.181749107207</v>
      </c>
      <c r="W12" s="23">
        <v>36253.358459586532</v>
      </c>
      <c r="X12" s="23">
        <v>36436.539096613211</v>
      </c>
      <c r="Y12" s="23">
        <v>37391.703671999006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33257.996062690152</v>
      </c>
      <c r="E13" s="23">
        <v>34956.083747854304</v>
      </c>
      <c r="F13" s="23">
        <v>34478.119875217322</v>
      </c>
      <c r="G13" s="23">
        <v>35307.192232727626</v>
      </c>
      <c r="H13" s="23">
        <v>37386.713228569053</v>
      </c>
      <c r="I13" s="23">
        <v>38978.788796013876</v>
      </c>
      <c r="J13" s="23">
        <v>41160.304648276964</v>
      </c>
      <c r="K13" s="23">
        <v>44115.820281954468</v>
      </c>
      <c r="L13" s="23">
        <v>45716.18605776102</v>
      </c>
      <c r="M13" s="23">
        <v>44402.229142763477</v>
      </c>
      <c r="N13" s="23">
        <v>45523.049360067802</v>
      </c>
      <c r="O13" s="23">
        <v>47280.233122875186</v>
      </c>
      <c r="P13" s="23">
        <v>47891.332739070051</v>
      </c>
      <c r="Q13" s="23">
        <v>49799.63980189104</v>
      </c>
      <c r="R13" s="23">
        <v>52170.548916345964</v>
      </c>
      <c r="S13" s="23">
        <v>54223.7</v>
      </c>
      <c r="T13" s="23">
        <v>55875.582593337582</v>
      </c>
      <c r="U13" s="23">
        <v>58229.487970388647</v>
      </c>
      <c r="V13" s="23">
        <v>59835.498822277943</v>
      </c>
      <c r="W13" s="23">
        <v>61583.04724233153</v>
      </c>
      <c r="X13" s="23">
        <v>58921.036216196379</v>
      </c>
      <c r="Y13" s="23">
        <v>63631.070212045015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57374.274537877434</v>
      </c>
      <c r="E14" s="23">
        <v>58850.158499454956</v>
      </c>
      <c r="F14" s="23">
        <v>61056.337159837734</v>
      </c>
      <c r="G14" s="23">
        <v>62499.061777417286</v>
      </c>
      <c r="H14" s="23">
        <v>63570.300157977887</v>
      </c>
      <c r="I14" s="23">
        <v>65373.699038394378</v>
      </c>
      <c r="J14" s="23">
        <v>66904.222497979252</v>
      </c>
      <c r="K14" s="23">
        <v>68693.782256082573</v>
      </c>
      <c r="L14" s="23">
        <v>71873.660140060034</v>
      </c>
      <c r="M14" s="23">
        <v>73768.781074140847</v>
      </c>
      <c r="N14" s="23">
        <v>74955.317391351011</v>
      </c>
      <c r="O14" s="23">
        <v>77084.697088075685</v>
      </c>
      <c r="P14" s="23">
        <v>79297.352764360796</v>
      </c>
      <c r="Q14" s="23">
        <v>80573.55409111375</v>
      </c>
      <c r="R14" s="23">
        <v>81198.906218351229</v>
      </c>
      <c r="S14" s="23">
        <v>80894.8</v>
      </c>
      <c r="T14" s="23">
        <v>81330.716773782071</v>
      </c>
      <c r="U14" s="23">
        <v>82381.535317705115</v>
      </c>
      <c r="V14" s="23">
        <v>83843.647899095813</v>
      </c>
      <c r="W14" s="23">
        <v>85345.454884692896</v>
      </c>
      <c r="X14" s="23">
        <v>82921.329761861081</v>
      </c>
      <c r="Y14" s="23">
        <v>86154.477199365108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6405.4150793853705</v>
      </c>
      <c r="E15" s="23">
        <v>6369.6733532971639</v>
      </c>
      <c r="F15" s="23">
        <v>6638.2658660189145</v>
      </c>
      <c r="G15" s="23">
        <v>6707.6256310303506</v>
      </c>
      <c r="H15" s="23">
        <v>7039.3994464835077</v>
      </c>
      <c r="I15" s="23">
        <v>7215.6511210971157</v>
      </c>
      <c r="J15" s="23">
        <v>7260.6700895957374</v>
      </c>
      <c r="K15" s="23">
        <v>7390.5806653410491</v>
      </c>
      <c r="L15" s="23">
        <v>7570.8270577500252</v>
      </c>
      <c r="M15" s="23">
        <v>6910.3425667923293</v>
      </c>
      <c r="N15" s="23">
        <v>6934.8695997339428</v>
      </c>
      <c r="O15" s="23">
        <v>7117.8495259412548</v>
      </c>
      <c r="P15" s="23">
        <v>7277.3067435062922</v>
      </c>
      <c r="Q15" s="23">
        <v>7318.2636813884001</v>
      </c>
      <c r="R15" s="23">
        <v>7495.8476807778006</v>
      </c>
      <c r="S15" s="23">
        <v>7646.6</v>
      </c>
      <c r="T15" s="23">
        <v>7742.4324191728392</v>
      </c>
      <c r="U15" s="23">
        <v>7824.2597162245529</v>
      </c>
      <c r="V15" s="23">
        <v>8079.4582478535076</v>
      </c>
      <c r="W15" s="23">
        <v>8262.743488320024</v>
      </c>
      <c r="X15" s="23">
        <v>6870.6197482845928</v>
      </c>
      <c r="Y15" s="23">
        <v>7585.5581117471866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292262.67481400043</v>
      </c>
      <c r="E16" s="30">
        <f t="shared" ref="E16:S16" si="0">SUM(E6:E15)</f>
        <v>296706.21844106697</v>
      </c>
      <c r="F16" s="30">
        <f t="shared" si="0"/>
        <v>301550.78235780069</v>
      </c>
      <c r="G16" s="30">
        <f t="shared" si="0"/>
        <v>304911.20177233277</v>
      </c>
      <c r="H16" s="30">
        <f t="shared" si="0"/>
        <v>314584.32811887551</v>
      </c>
      <c r="I16" s="30">
        <f t="shared" si="0"/>
        <v>322276.07161982812</v>
      </c>
      <c r="J16" s="30">
        <f t="shared" si="0"/>
        <v>330175.20691264694</v>
      </c>
      <c r="K16" s="30">
        <f t="shared" si="0"/>
        <v>342488.54978886939</v>
      </c>
      <c r="L16" s="30">
        <f t="shared" si="0"/>
        <v>345185.29919416009</v>
      </c>
      <c r="M16" s="30">
        <f t="shared" si="0"/>
        <v>338208.7089548161</v>
      </c>
      <c r="N16" s="30">
        <f t="shared" si="0"/>
        <v>347963.26692628709</v>
      </c>
      <c r="O16" s="30">
        <f t="shared" si="0"/>
        <v>354868.55163967313</v>
      </c>
      <c r="P16" s="30">
        <f t="shared" si="0"/>
        <v>357665.58179066726</v>
      </c>
      <c r="Q16" s="30">
        <f t="shared" si="0"/>
        <v>359142.68756907206</v>
      </c>
      <c r="R16" s="30">
        <f t="shared" si="0"/>
        <v>365183.7148065627</v>
      </c>
      <c r="S16" s="30">
        <f t="shared" si="0"/>
        <v>373301.60000000003</v>
      </c>
      <c r="T16" s="30">
        <f t="shared" ref="T16:Y16" si="1">SUM(T6:T15)</f>
        <v>376816.6609429426</v>
      </c>
      <c r="U16" s="30">
        <f t="shared" si="1"/>
        <v>382705.79503392975</v>
      </c>
      <c r="V16" s="30">
        <f t="shared" si="1"/>
        <v>389598.81467973551</v>
      </c>
      <c r="W16" s="30">
        <f t="shared" si="1"/>
        <v>398673.68833495048</v>
      </c>
      <c r="X16" s="30">
        <f t="shared" si="1"/>
        <v>379426.94382269843</v>
      </c>
      <c r="Y16" s="30">
        <f t="shared" si="1"/>
        <v>403955.4687639327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3854.2172679160381</v>
      </c>
      <c r="E18" s="19">
        <v>3674.1802508426154</v>
      </c>
      <c r="F18" s="19">
        <v>3480.9681754848893</v>
      </c>
      <c r="G18" s="19">
        <v>3504.4732031524281</v>
      </c>
      <c r="H18" s="19">
        <v>3606.4093883999099</v>
      </c>
      <c r="I18" s="19">
        <v>3034.1800740413055</v>
      </c>
      <c r="J18" s="19">
        <v>3358.4171040198544</v>
      </c>
      <c r="K18" s="19">
        <v>3406.8008668647644</v>
      </c>
      <c r="L18" s="19">
        <v>2754.5871307483426</v>
      </c>
      <c r="M18" s="19">
        <v>2442.987488389881</v>
      </c>
      <c r="N18" s="19">
        <v>2980.7001169364789</v>
      </c>
      <c r="O18" s="19">
        <v>2572.3757839390164</v>
      </c>
      <c r="P18" s="19">
        <v>3127.0341424988083</v>
      </c>
      <c r="Q18" s="19">
        <v>2738.5289181777248</v>
      </c>
      <c r="R18" s="19">
        <v>2603.3016001620417</v>
      </c>
      <c r="S18" s="19">
        <v>2860.3</v>
      </c>
      <c r="T18" s="19">
        <v>2652.0139331796104</v>
      </c>
      <c r="U18" s="19">
        <v>2853.1770512029611</v>
      </c>
      <c r="V18" s="19">
        <v>2634.9631486969074</v>
      </c>
      <c r="W18" s="19">
        <v>2992.0143294275695</v>
      </c>
      <c r="X18" s="19">
        <v>2870.509668660331</v>
      </c>
      <c r="Y18" s="19">
        <v>2905.9440372371728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446.65456497839591</v>
      </c>
      <c r="E19" s="23">
        <v>379.39632381501292</v>
      </c>
      <c r="F19" s="23">
        <v>387.91136977349237</v>
      </c>
      <c r="G19" s="23">
        <v>390.78483832306335</v>
      </c>
      <c r="H19" s="23">
        <v>366.67498129209281</v>
      </c>
      <c r="I19" s="23">
        <v>375.67812987496802</v>
      </c>
      <c r="J19" s="23">
        <v>416.3298762508681</v>
      </c>
      <c r="K19" s="23">
        <v>369.53461873589669</v>
      </c>
      <c r="L19" s="23">
        <v>375.21575180571892</v>
      </c>
      <c r="M19" s="23">
        <v>278.42430202699012</v>
      </c>
      <c r="N19" s="23">
        <v>267.45196485468767</v>
      </c>
      <c r="O19" s="23">
        <v>287.70825854678293</v>
      </c>
      <c r="P19" s="23">
        <v>252.3891457119758</v>
      </c>
      <c r="Q19" s="23">
        <v>231.57054561827186</v>
      </c>
      <c r="R19" s="23">
        <v>285.29471338869763</v>
      </c>
      <c r="S19" s="23">
        <v>223.2</v>
      </c>
      <c r="T19" s="23">
        <v>234.99975469754204</v>
      </c>
      <c r="U19" s="23">
        <v>237.70049352251698</v>
      </c>
      <c r="V19" s="23">
        <v>232.31517361902593</v>
      </c>
      <c r="W19" s="23">
        <v>262.89275319053661</v>
      </c>
      <c r="X19" s="23">
        <v>239.6066488093054</v>
      </c>
      <c r="Y19" s="23">
        <v>272.32357819271306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57472.068110346911</v>
      </c>
      <c r="E20" s="23">
        <v>56438.460863790649</v>
      </c>
      <c r="F20" s="23">
        <v>56586.478588426748</v>
      </c>
      <c r="G20" s="23">
        <v>55149.449777853122</v>
      </c>
      <c r="H20" s="23">
        <v>56727.244651914225</v>
      </c>
      <c r="I20" s="23">
        <v>57283.871568604613</v>
      </c>
      <c r="J20" s="23">
        <v>55593.756759525881</v>
      </c>
      <c r="K20" s="23">
        <v>57809.714247414013</v>
      </c>
      <c r="L20" s="23">
        <v>54109.453502050303</v>
      </c>
      <c r="M20" s="23">
        <v>48907.282959077718</v>
      </c>
      <c r="N20" s="23">
        <v>51964.640125304351</v>
      </c>
      <c r="O20" s="23">
        <v>51321.979855142818</v>
      </c>
      <c r="P20" s="23">
        <v>50531.209187586806</v>
      </c>
      <c r="Q20" s="23">
        <v>50505.607629650833</v>
      </c>
      <c r="R20" s="23">
        <v>51282.256431031012</v>
      </c>
      <c r="S20" s="23">
        <v>52893.30000000001</v>
      </c>
      <c r="T20" s="23">
        <v>52146.788990825669</v>
      </c>
      <c r="U20" s="23">
        <v>53319.517273288133</v>
      </c>
      <c r="V20" s="23">
        <v>53192.291619177842</v>
      </c>
      <c r="W20" s="23">
        <v>55129.860437346106</v>
      </c>
      <c r="X20" s="23">
        <v>51805.305837889442</v>
      </c>
      <c r="Y20" s="23">
        <v>54563.069570024745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6712.4741134661108</v>
      </c>
      <c r="E21" s="23">
        <v>6615.1282404681051</v>
      </c>
      <c r="F21" s="23">
        <v>6352.6960210108391</v>
      </c>
      <c r="G21" s="23">
        <v>6298.681645945062</v>
      </c>
      <c r="H21" s="23">
        <v>5849.3389872786238</v>
      </c>
      <c r="I21" s="23">
        <v>5491.047521478964</v>
      </c>
      <c r="J21" s="23">
        <v>5981.2839399355644</v>
      </c>
      <c r="K21" s="23">
        <v>6098.5500122880312</v>
      </c>
      <c r="L21" s="23">
        <v>6649.4431679510999</v>
      </c>
      <c r="M21" s="23">
        <v>6618.5871168660879</v>
      </c>
      <c r="N21" s="23">
        <v>6865.1368371364515</v>
      </c>
      <c r="O21" s="23">
        <v>7575.4376332960283</v>
      </c>
      <c r="P21" s="23">
        <v>6489.9769895727532</v>
      </c>
      <c r="Q21" s="23">
        <v>6599.1977405754978</v>
      </c>
      <c r="R21" s="23">
        <v>5953.4130038484909</v>
      </c>
      <c r="S21" s="23">
        <v>5955.9</v>
      </c>
      <c r="T21" s="23">
        <v>6092.6262081146051</v>
      </c>
      <c r="U21" s="23">
        <v>5721.7766810610738</v>
      </c>
      <c r="V21" s="23">
        <v>4907.8717422688242</v>
      </c>
      <c r="W21" s="23">
        <v>5692.9621613553254</v>
      </c>
      <c r="X21" s="23">
        <v>6206.747880967233</v>
      </c>
      <c r="Y21" s="23">
        <v>7068.28598434184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2039.8588704522792</v>
      </c>
      <c r="E22" s="23">
        <v>2016.7646063825787</v>
      </c>
      <c r="F22" s="23">
        <v>1990.6043082082836</v>
      </c>
      <c r="G22" s="23">
        <v>2255.1239059114077</v>
      </c>
      <c r="H22" s="23">
        <v>2413.1418593878061</v>
      </c>
      <c r="I22" s="23">
        <v>2444.2943956785957</v>
      </c>
      <c r="J22" s="23">
        <v>2481.0164050137187</v>
      </c>
      <c r="K22" s="23">
        <v>2610.9832659353428</v>
      </c>
      <c r="L22" s="23">
        <v>2552.6324468728358</v>
      </c>
      <c r="M22" s="23">
        <v>3004.7533191280118</v>
      </c>
      <c r="N22" s="23">
        <v>3293.7465804126036</v>
      </c>
      <c r="O22" s="23">
        <v>3384.5049306332749</v>
      </c>
      <c r="P22" s="23">
        <v>3544.227699579179</v>
      </c>
      <c r="Q22" s="23">
        <v>3434.6731611477221</v>
      </c>
      <c r="R22" s="23">
        <v>3530.4840996556613</v>
      </c>
      <c r="S22" s="23">
        <v>3598.3</v>
      </c>
      <c r="T22" s="23">
        <v>3613.9920522003627</v>
      </c>
      <c r="U22" s="23">
        <v>3815.8351326341763</v>
      </c>
      <c r="V22" s="23">
        <v>3724.2610743864448</v>
      </c>
      <c r="W22" s="23">
        <v>3809.0529143965969</v>
      </c>
      <c r="X22" s="23">
        <v>3714.5451876857592</v>
      </c>
      <c r="Y22" s="23">
        <v>3917.9284147450644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15079.385370592898</v>
      </c>
      <c r="E23" s="23">
        <v>15072.358446830636</v>
      </c>
      <c r="F23" s="23">
        <v>14829.656847634431</v>
      </c>
      <c r="G23" s="23">
        <v>14975.000907957339</v>
      </c>
      <c r="H23" s="23">
        <v>15592.179500884915</v>
      </c>
      <c r="I23" s="23">
        <v>15881.976297469091</v>
      </c>
      <c r="J23" s="23">
        <v>17482.439463108643</v>
      </c>
      <c r="K23" s="23">
        <v>18641.502267700351</v>
      </c>
      <c r="L23" s="23">
        <v>19822.121568584342</v>
      </c>
      <c r="M23" s="23">
        <v>19181.992023165603</v>
      </c>
      <c r="N23" s="23">
        <v>19010.331176981752</v>
      </c>
      <c r="O23" s="23">
        <v>19908.355681314271</v>
      </c>
      <c r="P23" s="23">
        <v>19537.822094156181</v>
      </c>
      <c r="Q23" s="23">
        <v>19149.33895460685</v>
      </c>
      <c r="R23" s="23">
        <v>19250.557018432246</v>
      </c>
      <c r="S23" s="23">
        <v>19294</v>
      </c>
      <c r="T23" s="23">
        <v>19308.639552568318</v>
      </c>
      <c r="U23" s="23">
        <v>19422.713602714375</v>
      </c>
      <c r="V23" s="23">
        <v>20674.150900387511</v>
      </c>
      <c r="W23" s="23">
        <v>21109.784312262109</v>
      </c>
      <c r="X23" s="23">
        <v>19959.729204124316</v>
      </c>
      <c r="Y23" s="23">
        <v>21756.460328500347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32885.485644159227</v>
      </c>
      <c r="E24" s="23">
        <v>34627.933492876924</v>
      </c>
      <c r="F24" s="23">
        <v>37631.225262327222</v>
      </c>
      <c r="G24" s="23">
        <v>40044.671501035067</v>
      </c>
      <c r="H24" s="23">
        <v>42074.380263454856</v>
      </c>
      <c r="I24" s="23">
        <v>42871.661738340823</v>
      </c>
      <c r="J24" s="23">
        <v>43266.999852001958</v>
      </c>
      <c r="K24" s="23">
        <v>45295.694720614854</v>
      </c>
      <c r="L24" s="23">
        <v>45897.472543177842</v>
      </c>
      <c r="M24" s="23">
        <v>43267.661039173901</v>
      </c>
      <c r="N24" s="23">
        <v>44236.53353073071</v>
      </c>
      <c r="O24" s="23">
        <v>44843.951263804716</v>
      </c>
      <c r="P24" s="23">
        <v>44347.312340637232</v>
      </c>
      <c r="Q24" s="23">
        <v>43912.447300560758</v>
      </c>
      <c r="R24" s="23">
        <v>44217.237188576066</v>
      </c>
      <c r="S24" s="23">
        <v>44586.7</v>
      </c>
      <c r="T24" s="23">
        <v>46337.830545062061</v>
      </c>
      <c r="U24" s="23">
        <v>44619.737045033922</v>
      </c>
      <c r="V24" s="23">
        <v>45372.69204467746</v>
      </c>
      <c r="W24" s="23">
        <v>45198.242406149715</v>
      </c>
      <c r="X24" s="23">
        <v>42205.170073019486</v>
      </c>
      <c r="Y24" s="23">
        <v>47065.610900076674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17608.851277069007</v>
      </c>
      <c r="E25" s="23">
        <v>17870.844871007754</v>
      </c>
      <c r="F25" s="23">
        <v>17316.062687266494</v>
      </c>
      <c r="G25" s="23">
        <v>18046.075808384685</v>
      </c>
      <c r="H25" s="23">
        <v>18259.273776859212</v>
      </c>
      <c r="I25" s="23">
        <v>19585.904211972342</v>
      </c>
      <c r="J25" s="23">
        <v>20322.635731281094</v>
      </c>
      <c r="K25" s="23">
        <v>20927.746375030718</v>
      </c>
      <c r="L25" s="23">
        <v>21535.603170589595</v>
      </c>
      <c r="M25" s="23">
        <v>20837.349068458723</v>
      </c>
      <c r="N25" s="23">
        <v>20792.056901934284</v>
      </c>
      <c r="O25" s="23">
        <v>20911.058555229429</v>
      </c>
      <c r="P25" s="23">
        <v>20531.934741599121</v>
      </c>
      <c r="Q25" s="23">
        <v>20012.586468011948</v>
      </c>
      <c r="R25" s="23">
        <v>20496.151509013573</v>
      </c>
      <c r="S25" s="23">
        <v>21369.200000000001</v>
      </c>
      <c r="T25" s="23">
        <v>21062.355884805966</v>
      </c>
      <c r="U25" s="23">
        <v>21268.410703269587</v>
      </c>
      <c r="V25" s="23">
        <v>21894.99278170352</v>
      </c>
      <c r="W25" s="23">
        <v>22516.232554668259</v>
      </c>
      <c r="X25" s="23">
        <v>20440.868895167503</v>
      </c>
      <c r="Y25" s="23">
        <v>21532.199097604909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4777.951064863345</v>
      </c>
      <c r="E26" s="23">
        <v>4777.5369309994858</v>
      </c>
      <c r="F26" s="23">
        <v>5173.5490314546059</v>
      </c>
      <c r="G26" s="23">
        <v>5485.6361149110808</v>
      </c>
      <c r="H26" s="23">
        <v>5647.8874912399478</v>
      </c>
      <c r="I26" s="23">
        <v>5861.3704626417384</v>
      </c>
      <c r="J26" s="23">
        <v>6009.403567891256</v>
      </c>
      <c r="K26" s="23">
        <v>5959.3601286892017</v>
      </c>
      <c r="L26" s="23">
        <v>6267.7411198205828</v>
      </c>
      <c r="M26" s="23">
        <v>5821.5593072173961</v>
      </c>
      <c r="N26" s="23">
        <v>6172.9587074764249</v>
      </c>
      <c r="O26" s="23">
        <v>6373.3978081381847</v>
      </c>
      <c r="P26" s="23">
        <v>6288.6875764422985</v>
      </c>
      <c r="Q26" s="23">
        <v>6418.7916990708527</v>
      </c>
      <c r="R26" s="23">
        <v>6759.773141583958</v>
      </c>
      <c r="S26" s="23">
        <v>6930</v>
      </c>
      <c r="T26" s="23">
        <v>7013.0010302703231</v>
      </c>
      <c r="U26" s="23">
        <v>7235.8883405305369</v>
      </c>
      <c r="V26" s="23">
        <v>7488.8876225210852</v>
      </c>
      <c r="W26" s="23">
        <v>7740.2231509814173</v>
      </c>
      <c r="X26" s="23">
        <v>4441.7128389535101</v>
      </c>
      <c r="Y26" s="23">
        <v>5760.7939650098979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11428.425331731138</v>
      </c>
      <c r="E27" s="23">
        <v>12467.45436092769</v>
      </c>
      <c r="F27" s="23">
        <v>12742.136348503718</v>
      </c>
      <c r="G27" s="23">
        <v>12663.825769039868</v>
      </c>
      <c r="H27" s="23">
        <v>13151.480597227668</v>
      </c>
      <c r="I27" s="23">
        <v>13210.202798668188</v>
      </c>
      <c r="J27" s="23">
        <v>13422.853174557998</v>
      </c>
      <c r="K27" s="23">
        <v>14019.86192721017</v>
      </c>
      <c r="L27" s="23">
        <v>14236.540935126044</v>
      </c>
      <c r="M27" s="23">
        <v>14708.517729333989</v>
      </c>
      <c r="N27" s="23">
        <v>15045.862701554504</v>
      </c>
      <c r="O27" s="23">
        <v>15332.791350803473</v>
      </c>
      <c r="P27" s="23">
        <v>15628.226124090466</v>
      </c>
      <c r="Q27" s="23">
        <v>14971.552535712823</v>
      </c>
      <c r="R27" s="23">
        <v>14813.854567551145</v>
      </c>
      <c r="S27" s="23">
        <v>15314.2</v>
      </c>
      <c r="T27" s="23">
        <v>15568.16955305892</v>
      </c>
      <c r="U27" s="23">
        <v>16193.129241209132</v>
      </c>
      <c r="V27" s="23">
        <v>16535.882531722513</v>
      </c>
      <c r="W27" s="23">
        <v>17388.237928203598</v>
      </c>
      <c r="X27" s="23">
        <v>17443.675925586173</v>
      </c>
      <c r="Y27" s="23">
        <v>18333.779180710855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18146.396338813182</v>
      </c>
      <c r="E28" s="23">
        <v>17195.875255290623</v>
      </c>
      <c r="F28" s="23">
        <v>17850.827979926264</v>
      </c>
      <c r="G28" s="23">
        <v>16542.37739549411</v>
      </c>
      <c r="H28" s="23">
        <v>18140.73097435532</v>
      </c>
      <c r="I28" s="23">
        <v>17920.556939626069</v>
      </c>
      <c r="J28" s="23">
        <v>18323.979098122702</v>
      </c>
      <c r="K28" s="23">
        <v>17837.529882258317</v>
      </c>
      <c r="L28" s="23">
        <v>16143.292180165126</v>
      </c>
      <c r="M28" s="23">
        <v>19260.121291591546</v>
      </c>
      <c r="N28" s="23">
        <v>20569.98487335458</v>
      </c>
      <c r="O28" s="23">
        <v>19996.938150642993</v>
      </c>
      <c r="P28" s="23">
        <v>21219.241692406562</v>
      </c>
      <c r="Q28" s="23">
        <v>20905.71405181941</v>
      </c>
      <c r="R28" s="23">
        <v>22360.441563702654</v>
      </c>
      <c r="S28" s="23">
        <v>23690.1</v>
      </c>
      <c r="T28" s="23">
        <v>23938.576264534167</v>
      </c>
      <c r="U28" s="23">
        <v>24777.336520666257</v>
      </c>
      <c r="V28" s="23">
        <v>25553.719322239951</v>
      </c>
      <c r="W28" s="23">
        <v>25389.581312038212</v>
      </c>
      <c r="X28" s="23">
        <v>24949.546838880124</v>
      </c>
      <c r="Y28" s="23">
        <v>26016.264512332138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24773.221179658933</v>
      </c>
      <c r="E29" s="23">
        <v>25394.369197228451</v>
      </c>
      <c r="F29" s="23">
        <v>25035.942836709786</v>
      </c>
      <c r="G29" s="23">
        <v>25041.221263150252</v>
      </c>
      <c r="H29" s="23">
        <v>24759.172813550467</v>
      </c>
      <c r="I29" s="23">
        <v>26747.1885259261</v>
      </c>
      <c r="J29" s="23">
        <v>28190.89470508544</v>
      </c>
      <c r="K29" s="23">
        <v>29311.088272749614</v>
      </c>
      <c r="L29" s="23">
        <v>29680.522421697213</v>
      </c>
      <c r="M29" s="23">
        <v>28798.120526689614</v>
      </c>
      <c r="N29" s="23">
        <v>29350.627058457514</v>
      </c>
      <c r="O29" s="23">
        <v>30877.27263128999</v>
      </c>
      <c r="P29" s="23">
        <v>31701.527809448788</v>
      </c>
      <c r="Q29" s="23">
        <v>32571.220989726167</v>
      </c>
      <c r="R29" s="23">
        <v>32765.647154142192</v>
      </c>
      <c r="S29" s="23">
        <v>33821.300000000003</v>
      </c>
      <c r="T29" s="23">
        <v>33898.935387332582</v>
      </c>
      <c r="U29" s="23">
        <v>34805.289944478718</v>
      </c>
      <c r="V29" s="23">
        <v>35628.181749107207</v>
      </c>
      <c r="W29" s="23">
        <v>36253.358459586532</v>
      </c>
      <c r="X29" s="23">
        <v>36436.539096613211</v>
      </c>
      <c r="Y29" s="23">
        <v>37391.703671999006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22266.126351852323</v>
      </c>
      <c r="E30" s="23">
        <v>23609.151620703909</v>
      </c>
      <c r="F30" s="23">
        <v>22897.251575196358</v>
      </c>
      <c r="G30" s="23">
        <v>23877.219955691682</v>
      </c>
      <c r="H30" s="23">
        <v>25132.855836273149</v>
      </c>
      <c r="I30" s="23">
        <v>26369.414887424617</v>
      </c>
      <c r="J30" s="23">
        <v>27958.196245403524</v>
      </c>
      <c r="K30" s="23">
        <v>29769.99039299359</v>
      </c>
      <c r="L30" s="23">
        <v>30985.037543562627</v>
      </c>
      <c r="M30" s="23">
        <v>31540.840299404466</v>
      </c>
      <c r="N30" s="23">
        <v>31940.287298981901</v>
      </c>
      <c r="O30" s="23">
        <v>32724.729184703428</v>
      </c>
      <c r="P30" s="23">
        <v>33214.618876842389</v>
      </c>
      <c r="Q30" s="23">
        <v>34787.257991895545</v>
      </c>
      <c r="R30" s="23">
        <v>35814.563500101278</v>
      </c>
      <c r="S30" s="23">
        <v>36634.899999999994</v>
      </c>
      <c r="T30" s="23">
        <v>37186.96953343472</v>
      </c>
      <c r="U30" s="23">
        <v>38878.296576187538</v>
      </c>
      <c r="V30" s="23">
        <v>39782.786262442067</v>
      </c>
      <c r="W30" s="23">
        <v>40702.011344130166</v>
      </c>
      <c r="X30" s="23">
        <v>39753.513374674338</v>
      </c>
      <c r="Y30" s="23">
        <v>42765.85879121859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10991.869710837829</v>
      </c>
      <c r="E31" s="23">
        <v>11346.932127150392</v>
      </c>
      <c r="F31" s="23">
        <v>11580.868300020964</v>
      </c>
      <c r="G31" s="23">
        <v>11429.972277035944</v>
      </c>
      <c r="H31" s="23">
        <v>12253.857392295906</v>
      </c>
      <c r="I31" s="23">
        <v>12609.373908589258</v>
      </c>
      <c r="J31" s="23">
        <v>13202.108402873439</v>
      </c>
      <c r="K31" s="23">
        <v>14345.82988896088</v>
      </c>
      <c r="L31" s="23">
        <v>14731.148514198392</v>
      </c>
      <c r="M31" s="23">
        <v>12861.388843359013</v>
      </c>
      <c r="N31" s="23">
        <v>13582.762061085901</v>
      </c>
      <c r="O31" s="23">
        <v>14555.50393817176</v>
      </c>
      <c r="P31" s="23">
        <v>14676.71386222766</v>
      </c>
      <c r="Q31" s="23">
        <v>15012.381809995497</v>
      </c>
      <c r="R31" s="23">
        <v>16355.985416244685</v>
      </c>
      <c r="S31" s="23">
        <v>17588.8</v>
      </c>
      <c r="T31" s="23">
        <v>18688.613059902858</v>
      </c>
      <c r="U31" s="23">
        <v>19351.191394201109</v>
      </c>
      <c r="V31" s="23">
        <v>20052.71255983588</v>
      </c>
      <c r="W31" s="23">
        <v>20881.03589820136</v>
      </c>
      <c r="X31" s="23">
        <v>19167.522841522037</v>
      </c>
      <c r="Y31" s="23">
        <v>20865.211420826421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21021.016030475803</v>
      </c>
      <c r="E32" s="23">
        <v>21271.128039994484</v>
      </c>
      <c r="F32" s="23">
        <v>22462.85495863183</v>
      </c>
      <c r="G32" s="23">
        <v>22995.048605982836</v>
      </c>
      <c r="H32" s="23">
        <v>23293.6606920144</v>
      </c>
      <c r="I32" s="23">
        <v>24186.244150038416</v>
      </c>
      <c r="J32" s="23">
        <v>24854.108084108422</v>
      </c>
      <c r="K32" s="23">
        <v>25300.163095690252</v>
      </c>
      <c r="L32" s="23">
        <v>26110.201075186073</v>
      </c>
      <c r="M32" s="23">
        <v>26869.802764574109</v>
      </c>
      <c r="N32" s="23">
        <v>27116.282063660667</v>
      </c>
      <c r="O32" s="23">
        <v>27703.612982241273</v>
      </c>
      <c r="P32" s="23">
        <v>28241.98262816394</v>
      </c>
      <c r="Q32" s="23">
        <v>28850.538250583279</v>
      </c>
      <c r="R32" s="23">
        <v>29000.60765647154</v>
      </c>
      <c r="S32" s="23">
        <v>28383.600000000006</v>
      </c>
      <c r="T32" s="23">
        <v>28602.757199627136</v>
      </c>
      <c r="U32" s="23">
        <v>28641.463602714372</v>
      </c>
      <c r="V32" s="23">
        <v>28963.509611731628</v>
      </c>
      <c r="W32" s="23">
        <v>29446.507202030007</v>
      </c>
      <c r="X32" s="23">
        <v>29765.713866363338</v>
      </c>
      <c r="Y32" s="23">
        <v>30107.627556934702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18239.332191343034</v>
      </c>
      <c r="E33" s="23">
        <v>18877.848918068936</v>
      </c>
      <c r="F33" s="23">
        <v>19467.330859052294</v>
      </c>
      <c r="G33" s="23">
        <v>19840.8048133845</v>
      </c>
      <c r="H33" s="23">
        <v>19954.388340519548</v>
      </c>
      <c r="I33" s="23">
        <v>20449.835851824257</v>
      </c>
      <c r="J33" s="23">
        <v>20815.583055362651</v>
      </c>
      <c r="K33" s="23">
        <v>21410.889430058756</v>
      </c>
      <c r="L33" s="23">
        <v>22513.164982794824</v>
      </c>
      <c r="M33" s="23">
        <v>22992.296344861497</v>
      </c>
      <c r="N33" s="23">
        <v>23421.947582418761</v>
      </c>
      <c r="O33" s="23">
        <v>24287.011423865533</v>
      </c>
      <c r="P33" s="23">
        <v>25010.572358465142</v>
      </c>
      <c r="Q33" s="23">
        <v>25429.781834554458</v>
      </c>
      <c r="R33" s="23">
        <v>25563.19627304031</v>
      </c>
      <c r="S33" s="23">
        <v>25857.200000000001</v>
      </c>
      <c r="T33" s="23">
        <v>26092.920571064122</v>
      </c>
      <c r="U33" s="23">
        <v>26766.752776064157</v>
      </c>
      <c r="V33" s="23">
        <v>27271.293974621989</v>
      </c>
      <c r="W33" s="23">
        <v>27622.490484364505</v>
      </c>
      <c r="X33" s="23">
        <v>27885.278684915422</v>
      </c>
      <c r="Y33" s="23">
        <v>28282.952579672925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18113.926316058598</v>
      </c>
      <c r="E34" s="23">
        <v>18701.181541391536</v>
      </c>
      <c r="F34" s="23">
        <v>19126.151342153611</v>
      </c>
      <c r="G34" s="23">
        <v>19663.208358049949</v>
      </c>
      <c r="H34" s="23">
        <v>20322.251125443941</v>
      </c>
      <c r="I34" s="23">
        <v>20737.619036531702</v>
      </c>
      <c r="J34" s="23">
        <v>21234.531358508179</v>
      </c>
      <c r="K34" s="23">
        <v>21982.729730333565</v>
      </c>
      <c r="L34" s="23">
        <v>23250.294082079134</v>
      </c>
      <c r="M34" s="23">
        <v>23906.68196470524</v>
      </c>
      <c r="N34" s="23">
        <v>24417.087745271583</v>
      </c>
      <c r="O34" s="23">
        <v>25094.072681968875</v>
      </c>
      <c r="P34" s="23">
        <v>26044.797777731714</v>
      </c>
      <c r="Q34" s="23">
        <v>26293.234005976014</v>
      </c>
      <c r="R34" s="23">
        <v>26635.102288839378</v>
      </c>
      <c r="S34" s="23">
        <v>26654</v>
      </c>
      <c r="T34" s="23">
        <v>26635.039003090809</v>
      </c>
      <c r="U34" s="23">
        <v>26973.31893892659</v>
      </c>
      <c r="V34" s="23">
        <v>27608.844312742192</v>
      </c>
      <c r="W34" s="23">
        <v>28276.457198298383</v>
      </c>
      <c r="X34" s="23">
        <v>25270.337210582322</v>
      </c>
      <c r="Y34" s="23">
        <v>27763.897062757478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1751.3358729834067</v>
      </c>
      <c r="E35" s="23">
        <v>1602.0348072320858</v>
      </c>
      <c r="F35" s="23">
        <v>1633.7653049900737</v>
      </c>
      <c r="G35" s="23">
        <v>1794.4868830429891</v>
      </c>
      <c r="H35" s="23">
        <v>2016.771787288126</v>
      </c>
      <c r="I35" s="23">
        <v>2102.8429067032998</v>
      </c>
      <c r="J35" s="23">
        <v>2206.7646489600293</v>
      </c>
      <c r="K35" s="23">
        <v>2288.5900042449562</v>
      </c>
      <c r="L35" s="23">
        <v>2357.9336199030354</v>
      </c>
      <c r="M35" s="23">
        <v>2021.4172540020768</v>
      </c>
      <c r="N35" s="23">
        <v>1980.5177389419921</v>
      </c>
      <c r="O35" s="23">
        <v>2092.1933399497443</v>
      </c>
      <c r="P35" s="23">
        <v>2174.4853749041231</v>
      </c>
      <c r="Q35" s="23">
        <v>2222.5860586959193</v>
      </c>
      <c r="R35" s="23">
        <v>2275.5722098440338</v>
      </c>
      <c r="S35" s="23">
        <v>2507.1000000000004</v>
      </c>
      <c r="T35" s="23">
        <v>2566.3543148702347</v>
      </c>
      <c r="U35" s="23">
        <v>2656.1536088834055</v>
      </c>
      <c r="V35" s="23">
        <v>2776.7646835346868</v>
      </c>
      <c r="W35" s="23">
        <v>2942.2904694380177</v>
      </c>
      <c r="X35" s="23">
        <v>2159.1200968700687</v>
      </c>
      <c r="Y35" s="23">
        <v>2446.8104078611805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4011.9653312197993</v>
      </c>
      <c r="E36" s="23">
        <v>4084.0235055318185</v>
      </c>
      <c r="F36" s="23">
        <v>4275.0397652310085</v>
      </c>
      <c r="G36" s="23">
        <v>4169.945401498735</v>
      </c>
      <c r="H36" s="23">
        <v>4244.2599389468933</v>
      </c>
      <c r="I36" s="23">
        <v>4362.4997089571352</v>
      </c>
      <c r="J36" s="23">
        <v>4392.5818827627818</v>
      </c>
      <c r="K36" s="23">
        <v>4510.2660917357407</v>
      </c>
      <c r="L36" s="23">
        <v>4642.7589846197825</v>
      </c>
      <c r="M36" s="23">
        <v>4343.550237665956</v>
      </c>
      <c r="N36" s="23">
        <v>4473.1957988692575</v>
      </c>
      <c r="O36" s="23">
        <v>4565.2173913043471</v>
      </c>
      <c r="P36" s="23">
        <v>4619.8096975476283</v>
      </c>
      <c r="Q36" s="23">
        <v>4678.4822561499732</v>
      </c>
      <c r="R36" s="23">
        <v>4801.0937816487758</v>
      </c>
      <c r="S36" s="23">
        <v>4715</v>
      </c>
      <c r="T36" s="23">
        <v>4727.7633321885878</v>
      </c>
      <c r="U36" s="23">
        <v>4711.8869524984575</v>
      </c>
      <c r="V36" s="23">
        <v>4842.9070739305525</v>
      </c>
      <c r="W36" s="23">
        <v>4858.3849541010522</v>
      </c>
      <c r="X36" s="23">
        <v>4292.2797490184576</v>
      </c>
      <c r="Y36" s="23">
        <v>4677.6523460489007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642.11387518216452</v>
      </c>
      <c r="E37" s="23">
        <v>683.61504053325973</v>
      </c>
      <c r="F37" s="23">
        <v>729.46079579783236</v>
      </c>
      <c r="G37" s="23">
        <v>743.19334648862639</v>
      </c>
      <c r="H37" s="23">
        <v>778.36772024848847</v>
      </c>
      <c r="I37" s="23">
        <v>750.30850543668078</v>
      </c>
      <c r="J37" s="23">
        <v>661.32355787292659</v>
      </c>
      <c r="K37" s="23">
        <v>591.72456936035223</v>
      </c>
      <c r="L37" s="23">
        <v>570.13445322720725</v>
      </c>
      <c r="M37" s="23">
        <v>545.37507512429659</v>
      </c>
      <c r="N37" s="23">
        <v>481.1560619226932</v>
      </c>
      <c r="O37" s="23">
        <v>460.43879468716347</v>
      </c>
      <c r="P37" s="23">
        <v>483.01167105454095</v>
      </c>
      <c r="Q37" s="23">
        <v>417.19536654250743</v>
      </c>
      <c r="R37" s="23">
        <v>419.18168928499091</v>
      </c>
      <c r="S37" s="23">
        <v>424.5</v>
      </c>
      <c r="T37" s="23">
        <v>448.31477211401653</v>
      </c>
      <c r="U37" s="23">
        <v>456.2191548426897</v>
      </c>
      <c r="V37" s="23">
        <v>459.78649038826836</v>
      </c>
      <c r="W37" s="23">
        <v>462.06806478095382</v>
      </c>
      <c r="X37" s="23">
        <v>419.21990239606646</v>
      </c>
      <c r="Y37" s="23">
        <v>461.09535783710521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292262.67481400043</v>
      </c>
      <c r="E39" s="30">
        <f t="shared" ref="E39:S39" si="2">SUM(E18:E38)</f>
        <v>296706.21844106691</v>
      </c>
      <c r="F39" s="30">
        <f t="shared" si="2"/>
        <v>301550.78235780069</v>
      </c>
      <c r="G39" s="30">
        <f t="shared" si="2"/>
        <v>304911.20177233277</v>
      </c>
      <c r="H39" s="30">
        <f t="shared" si="2"/>
        <v>314584.32811887551</v>
      </c>
      <c r="I39" s="30">
        <f t="shared" si="2"/>
        <v>322276.07161982817</v>
      </c>
      <c r="J39" s="30">
        <f t="shared" si="2"/>
        <v>330175.20691264689</v>
      </c>
      <c r="K39" s="30">
        <f t="shared" si="2"/>
        <v>342488.54978886939</v>
      </c>
      <c r="L39" s="30">
        <f t="shared" si="2"/>
        <v>345185.29919416021</v>
      </c>
      <c r="M39" s="30">
        <f t="shared" si="2"/>
        <v>338208.7089548161</v>
      </c>
      <c r="N39" s="30">
        <f t="shared" si="2"/>
        <v>347963.26692628703</v>
      </c>
      <c r="O39" s="30">
        <f t="shared" si="2"/>
        <v>354868.55163967307</v>
      </c>
      <c r="P39" s="30">
        <f t="shared" si="2"/>
        <v>357665.58179066726</v>
      </c>
      <c r="Q39" s="30">
        <f t="shared" si="2"/>
        <v>359142.68756907206</v>
      </c>
      <c r="R39" s="30">
        <f t="shared" si="2"/>
        <v>365183.71480656264</v>
      </c>
      <c r="S39" s="30">
        <f t="shared" si="2"/>
        <v>373301.60000000003</v>
      </c>
      <c r="T39" s="30">
        <f t="shared" ref="T39:Y39" si="3">SUM(T18:T38)</f>
        <v>376816.6609429426</v>
      </c>
      <c r="U39" s="30">
        <f t="shared" si="3"/>
        <v>382705.79503392964</v>
      </c>
      <c r="V39" s="30">
        <f t="shared" si="3"/>
        <v>389598.81467973551</v>
      </c>
      <c r="W39" s="30">
        <f t="shared" si="3"/>
        <v>398673.68833495036</v>
      </c>
      <c r="X39" s="30">
        <f t="shared" si="3"/>
        <v>379426.94382269843</v>
      </c>
      <c r="Y39" s="30">
        <f t="shared" si="3"/>
        <v>403955.46876393264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7011.2238897553243</v>
      </c>
      <c r="E41" s="19">
        <v>7061.4326345992404</v>
      </c>
      <c r="F41" s="19">
        <v>7197.0752518464633</v>
      </c>
      <c r="G41" s="19">
        <v>7242.8362166023035</v>
      </c>
      <c r="H41" s="19">
        <v>7600.0427609307635</v>
      </c>
      <c r="I41" s="19">
        <v>7422.1751379543184</v>
      </c>
      <c r="J41" s="19">
        <v>7212.3999590159274</v>
      </c>
      <c r="K41" s="19">
        <v>7329.1405080542463</v>
      </c>
      <c r="L41" s="19">
        <v>7320.2801200514505</v>
      </c>
      <c r="M41" s="19">
        <v>7877.6156914167077</v>
      </c>
      <c r="N41" s="19">
        <v>7446.2789525066255</v>
      </c>
      <c r="O41" s="19">
        <v>7220.4742699073004</v>
      </c>
      <c r="P41" s="19">
        <v>7402.2056841974345</v>
      </c>
      <c r="Q41" s="19">
        <v>7697.0856698456873</v>
      </c>
      <c r="R41" s="19">
        <v>7871.0755519546283</v>
      </c>
      <c r="S41" s="19">
        <v>8037.2</v>
      </c>
      <c r="T41" s="19">
        <v>8004.2192022764066</v>
      </c>
      <c r="U41" s="19">
        <v>7939.4471005552141</v>
      </c>
      <c r="V41" s="19">
        <v>8083.5422840209712</v>
      </c>
      <c r="W41" s="19">
        <v>8330.5657138592451</v>
      </c>
      <c r="X41" s="19">
        <v>7869.4088724177154</v>
      </c>
      <c r="Y41" s="19">
        <v>8316.3019635118508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3022.5244803518012</v>
      </c>
      <c r="E42" s="23">
        <v>2926.1630602297928</v>
      </c>
      <c r="F42" s="23">
        <v>2952.7379440450791</v>
      </c>
      <c r="G42" s="23">
        <v>2617.3383533285719</v>
      </c>
      <c r="H42" s="23">
        <v>2654.2659967454183</v>
      </c>
      <c r="I42" s="23">
        <v>2476.3091108058397</v>
      </c>
      <c r="J42" s="23">
        <v>2419.0849167226402</v>
      </c>
      <c r="K42" s="23">
        <v>2373.3774213007441</v>
      </c>
      <c r="L42" s="23">
        <v>2066.2701597387891</v>
      </c>
      <c r="M42" s="23">
        <v>1657.5424793749658</v>
      </c>
      <c r="N42" s="23">
        <v>1682.490639717636</v>
      </c>
      <c r="O42" s="23">
        <v>1538.1041873429483</v>
      </c>
      <c r="P42" s="23">
        <v>1434.0056800514108</v>
      </c>
      <c r="Q42" s="23">
        <v>1425.5454136138512</v>
      </c>
      <c r="R42" s="23">
        <v>1455.8436297346568</v>
      </c>
      <c r="S42" s="23">
        <v>1479.1</v>
      </c>
      <c r="T42" s="23">
        <v>1401.8544865819554</v>
      </c>
      <c r="U42" s="23">
        <v>1344.2705120296114</v>
      </c>
      <c r="V42" s="23">
        <v>1310.2157890737785</v>
      </c>
      <c r="W42" s="23">
        <v>1158.948428987238</v>
      </c>
      <c r="X42" s="23">
        <v>1022.0893112684842</v>
      </c>
      <c r="Y42" s="23">
        <v>1160.6298931749682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4137.1155370337228</v>
      </c>
      <c r="E43" s="23">
        <v>4074.5010086328948</v>
      </c>
      <c r="F43" s="23">
        <v>3980.2221920814786</v>
      </c>
      <c r="G43" s="23">
        <v>3886.4205900512093</v>
      </c>
      <c r="H43" s="23">
        <v>3898.8466426730338</v>
      </c>
      <c r="I43" s="23">
        <v>3751.0768585997348</v>
      </c>
      <c r="J43" s="23">
        <v>3759.2641081979532</v>
      </c>
      <c r="K43" s="23">
        <v>3830.5145333899327</v>
      </c>
      <c r="L43" s="23">
        <v>3584.1734369674914</v>
      </c>
      <c r="M43" s="23">
        <v>3245.4788832431841</v>
      </c>
      <c r="N43" s="23">
        <v>3100.4259062577112</v>
      </c>
      <c r="O43" s="23">
        <v>3119.3910087209915</v>
      </c>
      <c r="P43" s="23">
        <v>3021.7251601401358</v>
      </c>
      <c r="Q43" s="23">
        <v>2815.7873193893006</v>
      </c>
      <c r="R43" s="23">
        <v>2893.2550131658904</v>
      </c>
      <c r="S43" s="23">
        <v>2848.2</v>
      </c>
      <c r="T43" s="23">
        <v>2847.8634155914242</v>
      </c>
      <c r="U43" s="23">
        <v>2800.161937075879</v>
      </c>
      <c r="V43" s="23">
        <v>2709.995441075906</v>
      </c>
      <c r="W43" s="23">
        <v>2719.3260691096352</v>
      </c>
      <c r="X43" s="23">
        <v>2475.874215682677</v>
      </c>
      <c r="Y43" s="23">
        <v>2779.0558735933514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1449.9015672538542</v>
      </c>
      <c r="E44" s="23">
        <v>1387.9039230181302</v>
      </c>
      <c r="F44" s="23">
        <v>1345.4827930605047</v>
      </c>
      <c r="G44" s="23">
        <v>1432.6356185610696</v>
      </c>
      <c r="H44" s="23">
        <v>2018.6722730998113</v>
      </c>
      <c r="I44" s="23">
        <v>2330.7876784092764</v>
      </c>
      <c r="J44" s="23">
        <v>2162.7067703411926</v>
      </c>
      <c r="K44" s="23">
        <v>2280.4352197323442</v>
      </c>
      <c r="L44" s="23">
        <v>2007.0139950088501</v>
      </c>
      <c r="M44" s="23">
        <v>592.90826640441458</v>
      </c>
      <c r="N44" s="23">
        <v>1407.2071492173839</v>
      </c>
      <c r="O44" s="23">
        <v>834.61790231644738</v>
      </c>
      <c r="P44" s="23">
        <v>1209.9131408196688</v>
      </c>
      <c r="Q44" s="23">
        <v>936.92439932872162</v>
      </c>
      <c r="R44" s="23">
        <v>1004.7599756937412</v>
      </c>
      <c r="S44" s="23">
        <v>2155.9</v>
      </c>
      <c r="T44" s="23">
        <v>1918.3633420006868</v>
      </c>
      <c r="U44" s="23">
        <v>1880.7834669956817</v>
      </c>
      <c r="V44" s="23">
        <v>1234.1387432565916</v>
      </c>
      <c r="W44" s="23">
        <v>1632.3979401447871</v>
      </c>
      <c r="X44" s="23">
        <v>918.70619748284594</v>
      </c>
      <c r="Y44" s="23">
        <v>1558.9499402564513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9092.5012144299853</v>
      </c>
      <c r="E45" s="23">
        <v>8930.473243036673</v>
      </c>
      <c r="F45" s="23">
        <v>8976.9546614714982</v>
      </c>
      <c r="G45" s="23">
        <v>8535.0411002021719</v>
      </c>
      <c r="H45" s="23">
        <v>8620.2473007162462</v>
      </c>
      <c r="I45" s="23">
        <v>8713.4741204684633</v>
      </c>
      <c r="J45" s="23">
        <v>8250.4354557770475</v>
      </c>
      <c r="K45" s="23">
        <v>8143.5018655465938</v>
      </c>
      <c r="L45" s="23">
        <v>7551.478106001473</v>
      </c>
      <c r="M45" s="23">
        <v>7413.5387641370271</v>
      </c>
      <c r="N45" s="23">
        <v>8045.9807108450541</v>
      </c>
      <c r="O45" s="23">
        <v>8247.3551956416159</v>
      </c>
      <c r="P45" s="23">
        <v>7841.8914156595292</v>
      </c>
      <c r="Q45" s="23">
        <v>7802.5868773279844</v>
      </c>
      <c r="R45" s="23">
        <v>8284.2819526027961</v>
      </c>
      <c r="S45" s="23">
        <v>9208.1</v>
      </c>
      <c r="T45" s="23">
        <v>8315.1645979492714</v>
      </c>
      <c r="U45" s="23">
        <v>8780.6523750771121</v>
      </c>
      <c r="V45" s="23">
        <v>8739.6474432034029</v>
      </c>
      <c r="W45" s="23">
        <v>8001.9964176431085</v>
      </c>
      <c r="X45" s="23">
        <v>7795.1051260411696</v>
      </c>
      <c r="Y45" s="23">
        <v>8433.8273322276327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3657.0961061539642</v>
      </c>
      <c r="E46" s="23">
        <v>4065.9808798285949</v>
      </c>
      <c r="F46" s="23">
        <v>4266.0386431733268</v>
      </c>
      <c r="G46" s="23">
        <v>4500.0786896359696</v>
      </c>
      <c r="H46" s="23">
        <v>4222.5231324757397</v>
      </c>
      <c r="I46" s="23">
        <v>5115.8350601876637</v>
      </c>
      <c r="J46" s="23">
        <v>4009.2669543141428</v>
      </c>
      <c r="K46" s="23">
        <v>4992.0686342411582</v>
      </c>
      <c r="L46" s="23">
        <v>4289.3108035311834</v>
      </c>
      <c r="M46" s="23">
        <v>5151.2866743156856</v>
      </c>
      <c r="N46" s="23">
        <v>6204.6066535783639</v>
      </c>
      <c r="O46" s="23">
        <v>5223.5150030618488</v>
      </c>
      <c r="P46" s="23">
        <v>5688.1361553929401</v>
      </c>
      <c r="Q46" s="23">
        <v>6405.079611968401</v>
      </c>
      <c r="R46" s="23">
        <v>6084.6668017014381</v>
      </c>
      <c r="S46" s="23">
        <v>5799.6</v>
      </c>
      <c r="T46" s="23">
        <v>6304.3712898003232</v>
      </c>
      <c r="U46" s="23">
        <v>6705.1588525601483</v>
      </c>
      <c r="V46" s="23">
        <v>7845.6234328698429</v>
      </c>
      <c r="W46" s="23">
        <v>9982.8345398910369</v>
      </c>
      <c r="X46" s="23">
        <v>10899.992661358383</v>
      </c>
      <c r="Y46" s="23">
        <v>9146.291441513742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5010.6102830261043</v>
      </c>
      <c r="E47" s="23">
        <v>5210.0587638295465</v>
      </c>
      <c r="F47" s="23">
        <v>5314.7310144141256</v>
      </c>
      <c r="G47" s="23">
        <v>5000.1815914676226</v>
      </c>
      <c r="H47" s="23">
        <v>5077.8605280974953</v>
      </c>
      <c r="I47" s="23">
        <v>5031.8982979813272</v>
      </c>
      <c r="J47" s="23">
        <v>4995.0477578296668</v>
      </c>
      <c r="K47" s="23">
        <v>5277.8212203132334</v>
      </c>
      <c r="L47" s="23">
        <v>5026.6597772671803</v>
      </c>
      <c r="M47" s="23">
        <v>4690.7064415669565</v>
      </c>
      <c r="N47" s="23">
        <v>4558.2697692381962</v>
      </c>
      <c r="O47" s="23">
        <v>4681.250923833858</v>
      </c>
      <c r="P47" s="23">
        <v>4365.9694438110246</v>
      </c>
      <c r="Q47" s="23">
        <v>4214.6248618558384</v>
      </c>
      <c r="R47" s="23">
        <v>4286.2061980960098</v>
      </c>
      <c r="S47" s="23">
        <v>4470.3</v>
      </c>
      <c r="T47" s="23">
        <v>4739.9303341019477</v>
      </c>
      <c r="U47" s="23">
        <v>4750.6361813695248</v>
      </c>
      <c r="V47" s="23">
        <v>4644.7838310158795</v>
      </c>
      <c r="W47" s="23">
        <v>4731.696395253377</v>
      </c>
      <c r="X47" s="23">
        <v>4680.2186915201992</v>
      </c>
      <c r="Y47" s="23">
        <v>4888.9840029960942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8477.3604683864705</v>
      </c>
      <c r="E48" s="23">
        <v>7791.7830875443224</v>
      </c>
      <c r="F48" s="23">
        <v>8045.6467861062138</v>
      </c>
      <c r="G48" s="23">
        <v>7930.462573998524</v>
      </c>
      <c r="H48" s="23">
        <v>8826.0936701944447</v>
      </c>
      <c r="I48" s="23">
        <v>8688.6772683880881</v>
      </c>
      <c r="J48" s="23">
        <v>8811.234189824565</v>
      </c>
      <c r="K48" s="23">
        <v>9814.1155968632011</v>
      </c>
      <c r="L48" s="23">
        <v>8775.9589274524242</v>
      </c>
      <c r="M48" s="23">
        <v>6245.3149756870462</v>
      </c>
      <c r="N48" s="23">
        <v>6753.2425734607841</v>
      </c>
      <c r="O48" s="23">
        <v>6926.2199885972504</v>
      </c>
      <c r="P48" s="23">
        <v>6443.645183357864</v>
      </c>
      <c r="Q48" s="23">
        <v>6299.0667594449669</v>
      </c>
      <c r="R48" s="23">
        <v>6242.4549321450277</v>
      </c>
      <c r="S48" s="23">
        <v>6334.2</v>
      </c>
      <c r="T48" s="23">
        <v>6563.3125643918947</v>
      </c>
      <c r="U48" s="23">
        <v>6805.0200493522516</v>
      </c>
      <c r="V48" s="23">
        <v>6676.7342907073935</v>
      </c>
      <c r="W48" s="23">
        <v>6415.8705873572662</v>
      </c>
      <c r="X48" s="23">
        <v>5579.1105566359665</v>
      </c>
      <c r="Y48" s="23">
        <v>7239.7588857382343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2673.7913225781708</v>
      </c>
      <c r="E49" s="23">
        <v>2186.0395183621304</v>
      </c>
      <c r="F49" s="23">
        <v>2174.6957497441463</v>
      </c>
      <c r="G49" s="23">
        <v>2088.1808166773603</v>
      </c>
      <c r="H49" s="23">
        <v>1945.1472282602242</v>
      </c>
      <c r="I49" s="23">
        <v>1910.5217816480013</v>
      </c>
      <c r="J49" s="23">
        <v>1932.6267375539339</v>
      </c>
      <c r="K49" s="23">
        <v>2026.2963873187516</v>
      </c>
      <c r="L49" s="23">
        <v>1760.0949857631292</v>
      </c>
      <c r="M49" s="23">
        <v>1119.3793367207563</v>
      </c>
      <c r="N49" s="23">
        <v>1207.8787293617845</v>
      </c>
      <c r="O49" s="23">
        <v>1282.9148805878749</v>
      </c>
      <c r="P49" s="23">
        <v>1341.6530193411973</v>
      </c>
      <c r="Q49" s="23">
        <v>1301.5226556424216</v>
      </c>
      <c r="R49" s="23">
        <v>1338.2621024913917</v>
      </c>
      <c r="S49" s="23">
        <v>1315.2</v>
      </c>
      <c r="T49" s="23">
        <v>1474.3658931462492</v>
      </c>
      <c r="U49" s="23">
        <v>1457.8192473781617</v>
      </c>
      <c r="V49" s="23">
        <v>1353.4305903806703</v>
      </c>
      <c r="W49" s="23">
        <v>1420.7216956489292</v>
      </c>
      <c r="X49" s="23">
        <v>1220.8747660807985</v>
      </c>
      <c r="Y49" s="23">
        <v>1259.0729941326485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2182.3946002607827</v>
      </c>
      <c r="E50" s="23">
        <v>2131.9116412524586</v>
      </c>
      <c r="F50" s="23">
        <v>1956.0794564801913</v>
      </c>
      <c r="G50" s="23">
        <v>1891.3356657748509</v>
      </c>
      <c r="H50" s="23">
        <v>1941.8213780897743</v>
      </c>
      <c r="I50" s="23">
        <v>1970.360194649468</v>
      </c>
      <c r="J50" s="23">
        <v>1983.1737610856226</v>
      </c>
      <c r="K50" s="23">
        <v>1600.5719520096516</v>
      </c>
      <c r="L50" s="23">
        <v>1754.9279361484594</v>
      </c>
      <c r="M50" s="23">
        <v>1833.7977380757252</v>
      </c>
      <c r="N50" s="23">
        <v>1904.7772306437944</v>
      </c>
      <c r="O50" s="23">
        <v>1800.6841649597736</v>
      </c>
      <c r="P50" s="23">
        <v>1545.9482990940942</v>
      </c>
      <c r="Q50" s="23">
        <v>1488.3754246653841</v>
      </c>
      <c r="R50" s="23">
        <v>1486.6315576260888</v>
      </c>
      <c r="S50" s="23">
        <v>1403.4</v>
      </c>
      <c r="T50" s="23">
        <v>1091.8903007408132</v>
      </c>
      <c r="U50" s="23">
        <v>1056.1574645280691</v>
      </c>
      <c r="V50" s="23">
        <v>1047.412810576704</v>
      </c>
      <c r="W50" s="23">
        <v>1111.7434136875886</v>
      </c>
      <c r="X50" s="23">
        <v>991.4504825156863</v>
      </c>
      <c r="Y50" s="23">
        <v>1060.9384195602161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3429.5502774013758</v>
      </c>
      <c r="E51" s="23">
        <v>3308.5664883286763</v>
      </c>
      <c r="F51" s="23">
        <v>3318.2081601953118</v>
      </c>
      <c r="G51" s="23">
        <v>3103.3981816641044</v>
      </c>
      <c r="H51" s="23">
        <v>3176.30569314281</v>
      </c>
      <c r="I51" s="23">
        <v>3313.9304756804586</v>
      </c>
      <c r="J51" s="23">
        <v>3669.4406812463712</v>
      </c>
      <c r="K51" s="23">
        <v>3985.0086016220203</v>
      </c>
      <c r="L51" s="23">
        <v>3987.0933696859092</v>
      </c>
      <c r="M51" s="23">
        <v>3081.5713271048462</v>
      </c>
      <c r="N51" s="23">
        <v>3369.0579640178948</v>
      </c>
      <c r="O51" s="23">
        <v>3799.438309014507</v>
      </c>
      <c r="P51" s="23">
        <v>3699.185306494745</v>
      </c>
      <c r="Q51" s="23">
        <v>3555.8307068887889</v>
      </c>
      <c r="R51" s="23">
        <v>3663.4595908446427</v>
      </c>
      <c r="S51" s="23">
        <v>3545.2</v>
      </c>
      <c r="T51" s="23">
        <v>3401.5601236324387</v>
      </c>
      <c r="U51" s="23">
        <v>3510.6608574953734</v>
      </c>
      <c r="V51" s="23">
        <v>3356.6978193146419</v>
      </c>
      <c r="W51" s="23">
        <v>3205.1832226285546</v>
      </c>
      <c r="X51" s="23">
        <v>3018.5667632921145</v>
      </c>
      <c r="Y51" s="23">
        <v>3346.2629072815794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5211.5664868458061</v>
      </c>
      <c r="E52" s="23">
        <v>5201.5386350252456</v>
      </c>
      <c r="F52" s="23">
        <v>5083.0445987102494</v>
      </c>
      <c r="G52" s="23">
        <v>4936.261394864594</v>
      </c>
      <c r="H52" s="23">
        <v>4656.4277993562109</v>
      </c>
      <c r="I52" s="23">
        <v>4507.4390556241124</v>
      </c>
      <c r="J52" s="23">
        <v>4355.8100615899548</v>
      </c>
      <c r="K52" s="23">
        <v>4110.011394356442</v>
      </c>
      <c r="L52" s="23">
        <v>3921.5707830828596</v>
      </c>
      <c r="M52" s="23">
        <v>3172.0482980932088</v>
      </c>
      <c r="N52" s="23">
        <v>3495.8643107721027</v>
      </c>
      <c r="O52" s="23">
        <v>3703.1484257871066</v>
      </c>
      <c r="P52" s="23">
        <v>3712.8671821555176</v>
      </c>
      <c r="Q52" s="23">
        <v>3696.9424092341696</v>
      </c>
      <c r="R52" s="23">
        <v>3766.3560866923235</v>
      </c>
      <c r="S52" s="23">
        <v>3239.9</v>
      </c>
      <c r="T52" s="23">
        <v>3009.4686748761219</v>
      </c>
      <c r="U52" s="23">
        <v>3151.7967304133249</v>
      </c>
      <c r="V52" s="23">
        <v>3125.8073094749639</v>
      </c>
      <c r="W52" s="23">
        <v>3079.5208597656542</v>
      </c>
      <c r="X52" s="23">
        <v>2476.5163468242026</v>
      </c>
      <c r="Y52" s="23">
        <v>2417.3844809444831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2116.4318768695521</v>
      </c>
      <c r="E53" s="23">
        <v>2162.1079801029409</v>
      </c>
      <c r="F53" s="23">
        <v>1975.5613370981591</v>
      </c>
      <c r="G53" s="23">
        <v>1985.2789850247646</v>
      </c>
      <c r="H53" s="23">
        <v>2088.9902481322497</v>
      </c>
      <c r="I53" s="23">
        <v>2051.3865282078696</v>
      </c>
      <c r="J53" s="23">
        <v>2033.2654060268687</v>
      </c>
      <c r="K53" s="23">
        <v>2046.8509126656863</v>
      </c>
      <c r="L53" s="23">
        <v>2064.6211013511056</v>
      </c>
      <c r="M53" s="23">
        <v>2826.0940829372048</v>
      </c>
      <c r="N53" s="23">
        <v>2788.5595356870253</v>
      </c>
      <c r="O53" s="23">
        <v>2944.8655953713023</v>
      </c>
      <c r="P53" s="23">
        <v>2824.0635170712485</v>
      </c>
      <c r="Q53" s="23">
        <v>2866.2355204453124</v>
      </c>
      <c r="R53" s="23">
        <v>2905.0030382823825</v>
      </c>
      <c r="S53" s="23">
        <v>3057.0000000000146</v>
      </c>
      <c r="T53" s="23">
        <v>3074.4247657361338</v>
      </c>
      <c r="U53" s="23">
        <v>3136.9524984577802</v>
      </c>
      <c r="V53" s="23">
        <v>3064.2618342071073</v>
      </c>
      <c r="W53" s="23">
        <v>3339.0551533696853</v>
      </c>
      <c r="X53" s="23">
        <v>2857.3918467691983</v>
      </c>
      <c r="Y53" s="23">
        <v>2955.6114350934877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57472.068110346911</v>
      </c>
      <c r="E54" s="30">
        <f t="shared" ref="E54:S54" si="4">SUM(E41:E53)</f>
        <v>56438.460863790649</v>
      </c>
      <c r="F54" s="30">
        <f t="shared" si="4"/>
        <v>56586.478588426748</v>
      </c>
      <c r="G54" s="30">
        <f t="shared" si="4"/>
        <v>55149.449777853122</v>
      </c>
      <c r="H54" s="30">
        <f t="shared" si="4"/>
        <v>56727.244651914225</v>
      </c>
      <c r="I54" s="30">
        <f t="shared" si="4"/>
        <v>57283.871568604613</v>
      </c>
      <c r="J54" s="30">
        <f t="shared" si="4"/>
        <v>55593.756759525881</v>
      </c>
      <c r="K54" s="30">
        <f t="shared" si="4"/>
        <v>57809.714247414013</v>
      </c>
      <c r="L54" s="30">
        <f t="shared" si="4"/>
        <v>54109.453502050303</v>
      </c>
      <c r="M54" s="30">
        <f t="shared" si="4"/>
        <v>48907.282959077718</v>
      </c>
      <c r="N54" s="30">
        <f t="shared" si="4"/>
        <v>51964.640125304351</v>
      </c>
      <c r="O54" s="30">
        <f t="shared" si="4"/>
        <v>51321.979855142818</v>
      </c>
      <c r="P54" s="30">
        <f t="shared" si="4"/>
        <v>50531.209187586806</v>
      </c>
      <c r="Q54" s="30">
        <f t="shared" si="4"/>
        <v>50505.607629650833</v>
      </c>
      <c r="R54" s="30">
        <f t="shared" si="4"/>
        <v>51282.256431031012</v>
      </c>
      <c r="S54" s="30">
        <f t="shared" si="4"/>
        <v>52893.30000000001</v>
      </c>
      <c r="T54" s="30">
        <f t="shared" ref="T54:Y54" si="5">SUM(T41:T53)</f>
        <v>52146.788990825669</v>
      </c>
      <c r="U54" s="30">
        <f t="shared" si="5"/>
        <v>53319.517273288133</v>
      </c>
      <c r="V54" s="30">
        <f t="shared" si="5"/>
        <v>53192.291619177842</v>
      </c>
      <c r="W54" s="30">
        <f t="shared" si="5"/>
        <v>55129.860437346106</v>
      </c>
      <c r="X54" s="30">
        <f t="shared" si="5"/>
        <v>51805.305837889442</v>
      </c>
      <c r="Y54" s="30">
        <f t="shared" si="5"/>
        <v>54563.069570024745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7011.2238897553243</v>
      </c>
      <c r="E56" s="19">
        <v>7061.4326345992404</v>
      </c>
      <c r="F56" s="19">
        <v>7197.0752518464633</v>
      </c>
      <c r="G56" s="19">
        <v>7242.8362166023035</v>
      </c>
      <c r="H56" s="19">
        <v>7600.0427609307635</v>
      </c>
      <c r="I56" s="19">
        <v>7422.1751379543184</v>
      </c>
      <c r="J56" s="19">
        <v>7212.3999590159274</v>
      </c>
      <c r="K56" s="19">
        <v>7329.1405080542463</v>
      </c>
      <c r="L56" s="19">
        <v>7320.2801200514505</v>
      </c>
      <c r="M56" s="19">
        <v>7877.6156914167077</v>
      </c>
      <c r="N56" s="19">
        <v>7446.2789525066255</v>
      </c>
      <c r="O56" s="19">
        <v>7220.4742699073004</v>
      </c>
      <c r="P56" s="19">
        <v>7402.2056841974345</v>
      </c>
      <c r="Q56" s="19">
        <v>7697.0856698456873</v>
      </c>
      <c r="R56" s="19">
        <v>7871.0755519546283</v>
      </c>
      <c r="S56" s="19">
        <v>8037.2</v>
      </c>
      <c r="T56" s="19">
        <v>8004.2192022764066</v>
      </c>
      <c r="U56" s="19">
        <v>7939.4471005552141</v>
      </c>
      <c r="V56" s="19">
        <v>8083.5422840209712</v>
      </c>
      <c r="W56" s="19">
        <v>8330.5657138592451</v>
      </c>
      <c r="X56" s="19">
        <v>7869.4088724177154</v>
      </c>
      <c r="Y56" s="19">
        <v>8316.3019635118508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3022.5244803518012</v>
      </c>
      <c r="E57" s="23">
        <v>2926.1630602297928</v>
      </c>
      <c r="F57" s="23">
        <v>2952.7379440450791</v>
      </c>
      <c r="G57" s="23">
        <v>2617.3383533285719</v>
      </c>
      <c r="H57" s="23">
        <v>2654.2659967454183</v>
      </c>
      <c r="I57" s="23">
        <v>2476.3091108058397</v>
      </c>
      <c r="J57" s="23">
        <v>2419.0849167226402</v>
      </c>
      <c r="K57" s="23">
        <v>2373.3774213007441</v>
      </c>
      <c r="L57" s="23">
        <v>2066.2701597387891</v>
      </c>
      <c r="M57" s="23">
        <v>1657.5424793749658</v>
      </c>
      <c r="N57" s="23">
        <v>1682.490639717636</v>
      </c>
      <c r="O57" s="23">
        <v>1538.1041873429483</v>
      </c>
      <c r="P57" s="23">
        <v>1434.0056800514108</v>
      </c>
      <c r="Q57" s="23">
        <v>1425.5454136138512</v>
      </c>
      <c r="R57" s="23">
        <v>1455.8436297346568</v>
      </c>
      <c r="S57" s="23">
        <v>1479.1</v>
      </c>
      <c r="T57" s="23">
        <v>1401.8544865819554</v>
      </c>
      <c r="U57" s="23">
        <v>1344.2705120296114</v>
      </c>
      <c r="V57" s="23">
        <v>1310.2157890737785</v>
      </c>
      <c r="W57" s="23">
        <v>1158.948428987238</v>
      </c>
      <c r="X57" s="23">
        <v>1022.0893112684842</v>
      </c>
      <c r="Y57" s="23">
        <v>1160.6298931749682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859.30509037915783</v>
      </c>
      <c r="E58" s="23">
        <v>925.93752740850255</v>
      </c>
      <c r="F58" s="23">
        <v>905.90744873676033</v>
      </c>
      <c r="G58" s="23">
        <v>936.89091195235051</v>
      </c>
      <c r="H58" s="23">
        <v>1003.1001674803123</v>
      </c>
      <c r="I58" s="23">
        <v>985.35472304360985</v>
      </c>
      <c r="J58" s="23">
        <v>1029.8386821343595</v>
      </c>
      <c r="K58" s="23">
        <v>1129.8286378158582</v>
      </c>
      <c r="L58" s="23">
        <v>994.05239608183729</v>
      </c>
      <c r="M58" s="23">
        <v>910.01475168005243</v>
      </c>
      <c r="N58" s="23">
        <v>893.33032946048309</v>
      </c>
      <c r="O58" s="23">
        <v>886.1414363240915</v>
      </c>
      <c r="P58" s="23">
        <v>814.58985468189644</v>
      </c>
      <c r="Q58" s="23">
        <v>736.5642012197618</v>
      </c>
      <c r="R58" s="23">
        <v>755.82337451893864</v>
      </c>
      <c r="S58" s="23">
        <v>767.4</v>
      </c>
      <c r="T58" s="23">
        <v>840.99494676936661</v>
      </c>
      <c r="U58" s="23">
        <v>886.99105490438001</v>
      </c>
      <c r="V58" s="23">
        <v>899.3427551097941</v>
      </c>
      <c r="W58" s="23">
        <v>931.78595417568476</v>
      </c>
      <c r="X58" s="23">
        <v>886.23270832568892</v>
      </c>
      <c r="Y58" s="23">
        <v>1158.6681647138553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1591.9259581213407</v>
      </c>
      <c r="E59" s="23">
        <v>1540.7650574482213</v>
      </c>
      <c r="F59" s="23">
        <v>1520.9430216643445</v>
      </c>
      <c r="G59" s="23">
        <v>1401.8861300437031</v>
      </c>
      <c r="H59" s="23">
        <v>1393.8875625081662</v>
      </c>
      <c r="I59" s="23">
        <v>1303.1735313977044</v>
      </c>
      <c r="J59" s="23">
        <v>1312.1734081672148</v>
      </c>
      <c r="K59" s="23">
        <v>1252.1504055050382</v>
      </c>
      <c r="L59" s="23">
        <v>1180.8357427908663</v>
      </c>
      <c r="M59" s="23">
        <v>1063.1044091132601</v>
      </c>
      <c r="N59" s="23">
        <v>966.17424608155522</v>
      </c>
      <c r="O59" s="23">
        <v>1004.9200751736807</v>
      </c>
      <c r="P59" s="23">
        <v>1043.5539708534588</v>
      </c>
      <c r="Q59" s="23">
        <v>1007.7360730219802</v>
      </c>
      <c r="R59" s="23">
        <v>1083.9578691513066</v>
      </c>
      <c r="S59" s="23">
        <v>1078.4000000000001</v>
      </c>
      <c r="T59" s="23">
        <v>1041.3579944071039</v>
      </c>
      <c r="U59" s="23">
        <v>1007.6727328809378</v>
      </c>
      <c r="V59" s="23">
        <v>958.51379074538409</v>
      </c>
      <c r="W59" s="23">
        <v>980.76348981267267</v>
      </c>
      <c r="X59" s="23">
        <v>940.3551902542838</v>
      </c>
      <c r="Y59" s="23">
        <v>945.28560983004286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1685.8844885332244</v>
      </c>
      <c r="E60" s="23">
        <v>1607.7984237761711</v>
      </c>
      <c r="F60" s="23">
        <v>1553.3717216803739</v>
      </c>
      <c r="G60" s="23">
        <v>1547.6435480551556</v>
      </c>
      <c r="H60" s="23">
        <v>1501.8589126845552</v>
      </c>
      <c r="I60" s="23">
        <v>1462.5486041584206</v>
      </c>
      <c r="J60" s="23">
        <v>1417.2520178963787</v>
      </c>
      <c r="K60" s="23">
        <v>1448.5354900690363</v>
      </c>
      <c r="L60" s="23">
        <v>1409.2852980947878</v>
      </c>
      <c r="M60" s="23">
        <v>1272.3597224498715</v>
      </c>
      <c r="N60" s="23">
        <v>1240.9213307156729</v>
      </c>
      <c r="O60" s="23">
        <v>1228.3294972232193</v>
      </c>
      <c r="P60" s="23">
        <v>1163.5813346047807</v>
      </c>
      <c r="Q60" s="23">
        <v>1071.4870451475585</v>
      </c>
      <c r="R60" s="23">
        <v>1053.4737694956452</v>
      </c>
      <c r="S60" s="23">
        <v>1002.3999999999996</v>
      </c>
      <c r="T60" s="23">
        <v>965.51047441495371</v>
      </c>
      <c r="U60" s="23">
        <v>905.49814929056117</v>
      </c>
      <c r="V60" s="23">
        <v>852.13889522072782</v>
      </c>
      <c r="W60" s="23">
        <v>806.77662512127779</v>
      </c>
      <c r="X60" s="23">
        <v>649.28631710270429</v>
      </c>
      <c r="Y60" s="23">
        <v>675.10209904945327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1449.9015672538542</v>
      </c>
      <c r="E61" s="23">
        <v>1387.9039230181302</v>
      </c>
      <c r="F61" s="23">
        <v>1345.4827930605047</v>
      </c>
      <c r="G61" s="23">
        <v>1432.6356185610696</v>
      </c>
      <c r="H61" s="23">
        <v>2018.6722730998113</v>
      </c>
      <c r="I61" s="23">
        <v>2330.7876784092764</v>
      </c>
      <c r="J61" s="23">
        <v>2162.7067703411926</v>
      </c>
      <c r="K61" s="23">
        <v>2280.4352197323442</v>
      </c>
      <c r="L61" s="23">
        <v>2007.0139950088501</v>
      </c>
      <c r="M61" s="23">
        <v>592.90826640441458</v>
      </c>
      <c r="N61" s="23">
        <v>1407.2071492173839</v>
      </c>
      <c r="O61" s="23">
        <v>834.61790231644738</v>
      </c>
      <c r="P61" s="23">
        <v>1209.9131408196688</v>
      </c>
      <c r="Q61" s="23">
        <v>936.92439932872162</v>
      </c>
      <c r="R61" s="23">
        <v>1004.7599756937412</v>
      </c>
      <c r="S61" s="23">
        <v>2155.9</v>
      </c>
      <c r="T61" s="23">
        <v>1918.3633420006868</v>
      </c>
      <c r="U61" s="23">
        <v>1880.7834669956817</v>
      </c>
      <c r="V61" s="23">
        <v>1234.1387432565916</v>
      </c>
      <c r="W61" s="23">
        <v>1632.3979401447871</v>
      </c>
      <c r="X61" s="23">
        <v>918.70619748284594</v>
      </c>
      <c r="Y61" s="23">
        <v>1558.9499402564513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9092.5012144299853</v>
      </c>
      <c r="E62" s="23">
        <v>8930.473243036673</v>
      </c>
      <c r="F62" s="23">
        <v>8976.9546614714982</v>
      </c>
      <c r="G62" s="23">
        <v>8535.0411002021719</v>
      </c>
      <c r="H62" s="23">
        <v>8620.2473007162462</v>
      </c>
      <c r="I62" s="23">
        <v>8713.4741204684633</v>
      </c>
      <c r="J62" s="23">
        <v>8250.4354557770475</v>
      </c>
      <c r="K62" s="23">
        <v>8143.5018655465938</v>
      </c>
      <c r="L62" s="23">
        <v>7551.478106001473</v>
      </c>
      <c r="M62" s="23">
        <v>7413.5387641370271</v>
      </c>
      <c r="N62" s="23">
        <v>8045.9807108450541</v>
      </c>
      <c r="O62" s="23">
        <v>8247.3551956416159</v>
      </c>
      <c r="P62" s="23">
        <v>7841.8914156595292</v>
      </c>
      <c r="Q62" s="23">
        <v>7802.5868773279844</v>
      </c>
      <c r="R62" s="23">
        <v>8284.2819526027961</v>
      </c>
      <c r="S62" s="23">
        <v>9208.1</v>
      </c>
      <c r="T62" s="23">
        <v>8315.1645979492714</v>
      </c>
      <c r="U62" s="23">
        <v>8780.6523750771121</v>
      </c>
      <c r="V62" s="23">
        <v>8739.6474432034029</v>
      </c>
      <c r="W62" s="23">
        <v>8001.9964176431085</v>
      </c>
      <c r="X62" s="23">
        <v>7795.1051260411696</v>
      </c>
      <c r="Y62" s="23">
        <v>8433.8273322276327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3657.0961061539642</v>
      </c>
      <c r="E63" s="23">
        <v>4065.9808798285949</v>
      </c>
      <c r="F63" s="23">
        <v>4266.0386431733268</v>
      </c>
      <c r="G63" s="23">
        <v>4500.0786896359696</v>
      </c>
      <c r="H63" s="23">
        <v>4222.5231324757397</v>
      </c>
      <c r="I63" s="23">
        <v>5115.8350601876637</v>
      </c>
      <c r="J63" s="23">
        <v>4009.2669543141428</v>
      </c>
      <c r="K63" s="23">
        <v>4992.0686342411582</v>
      </c>
      <c r="L63" s="23">
        <v>4289.3108035311834</v>
      </c>
      <c r="M63" s="23">
        <v>5151.2866743156856</v>
      </c>
      <c r="N63" s="23">
        <v>6204.6066535783639</v>
      </c>
      <c r="O63" s="23">
        <v>5223.5150030618488</v>
      </c>
      <c r="P63" s="23">
        <v>5688.1361553929401</v>
      </c>
      <c r="Q63" s="23">
        <v>6405.079611968401</v>
      </c>
      <c r="R63" s="23">
        <v>6084.6668017014381</v>
      </c>
      <c r="S63" s="23">
        <v>5799.6</v>
      </c>
      <c r="T63" s="23">
        <v>6304.3712898003232</v>
      </c>
      <c r="U63" s="23">
        <v>6705.1588525601483</v>
      </c>
      <c r="V63" s="23">
        <v>7845.6234328698429</v>
      </c>
      <c r="W63" s="23">
        <v>9982.8345398910369</v>
      </c>
      <c r="X63" s="23">
        <v>10899.992661358383</v>
      </c>
      <c r="Y63" s="23">
        <v>9146.291441513742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2109.4009664305986</v>
      </c>
      <c r="E64" s="23">
        <v>2269.4866622395407</v>
      </c>
      <c r="F64" s="23">
        <v>2373.3369502225619</v>
      </c>
      <c r="G64" s="23">
        <v>2146.169025338063</v>
      </c>
      <c r="H64" s="23">
        <v>2251.3630046680682</v>
      </c>
      <c r="I64" s="23">
        <v>2276.0716198281684</v>
      </c>
      <c r="J64" s="23">
        <v>2188.0941267546305</v>
      </c>
      <c r="K64" s="23">
        <v>2261.3329162849927</v>
      </c>
      <c r="L64" s="23">
        <v>2169.1714031288134</v>
      </c>
      <c r="M64" s="23">
        <v>2026.4437523903184</v>
      </c>
      <c r="N64" s="23">
        <v>2088.4425992082652</v>
      </c>
      <c r="O64" s="23">
        <v>2097.2612285406594</v>
      </c>
      <c r="P64" s="23">
        <v>1996.2063890213315</v>
      </c>
      <c r="Q64" s="23">
        <v>1965.4332610208342</v>
      </c>
      <c r="R64" s="23">
        <v>1962.4265748430221</v>
      </c>
      <c r="S64" s="23">
        <v>2075.1</v>
      </c>
      <c r="T64" s="23">
        <v>2329.2940195260753</v>
      </c>
      <c r="U64" s="23">
        <v>2314.4471005552127</v>
      </c>
      <c r="V64" s="23">
        <v>2140.4148620925462</v>
      </c>
      <c r="W64" s="23">
        <v>2238.8797671468024</v>
      </c>
      <c r="X64" s="23">
        <v>2314.2406340586358</v>
      </c>
      <c r="Y64" s="23">
        <v>2301.9991796408253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2901.2093165955057</v>
      </c>
      <c r="E65" s="23">
        <v>2940.5721015900058</v>
      </c>
      <c r="F65" s="23">
        <v>2941.3940641915638</v>
      </c>
      <c r="G65" s="23">
        <v>2854.0125661295597</v>
      </c>
      <c r="H65" s="23">
        <v>2826.497523429427</v>
      </c>
      <c r="I65" s="23">
        <v>2755.8266781531588</v>
      </c>
      <c r="J65" s="23">
        <v>2806.9536310750364</v>
      </c>
      <c r="K65" s="23">
        <v>3016.4883040282407</v>
      </c>
      <c r="L65" s="23">
        <v>2857.4883741383669</v>
      </c>
      <c r="M65" s="23">
        <v>2664.2626891766381</v>
      </c>
      <c r="N65" s="23">
        <v>2469.827170029931</v>
      </c>
      <c r="O65" s="23">
        <v>2583.9896952931986</v>
      </c>
      <c r="P65" s="23">
        <v>2369.7630547896933</v>
      </c>
      <c r="Q65" s="23">
        <v>2249.1916008350045</v>
      </c>
      <c r="R65" s="23">
        <v>2323.7796232529877</v>
      </c>
      <c r="S65" s="23">
        <v>2395.2000000000003</v>
      </c>
      <c r="T65" s="23">
        <v>2410.6363145758723</v>
      </c>
      <c r="U65" s="23">
        <v>2436.1890808143121</v>
      </c>
      <c r="V65" s="23">
        <v>2504.3689689233333</v>
      </c>
      <c r="W65" s="23">
        <v>2492.8166281065746</v>
      </c>
      <c r="X65" s="23">
        <v>2365.9780574615634</v>
      </c>
      <c r="Y65" s="23">
        <v>2586.9848233552689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4164.3443356428807</v>
      </c>
      <c r="E66" s="23">
        <v>3468.820087456616</v>
      </c>
      <c r="F66" s="23">
        <v>3636.6999173869622</v>
      </c>
      <c r="G66" s="23">
        <v>3599.263949251238</v>
      </c>
      <c r="H66" s="23">
        <v>4311.6084048985022</v>
      </c>
      <c r="I66" s="23">
        <v>4310.111993294373</v>
      </c>
      <c r="J66" s="23">
        <v>4311.52449367593</v>
      </c>
      <c r="K66" s="23">
        <v>4937.8895864518863</v>
      </c>
      <c r="L66" s="23">
        <v>3892.6572926858767</v>
      </c>
      <c r="M66" s="23">
        <v>2431.7325028683822</v>
      </c>
      <c r="N66" s="23">
        <v>2940.4696769763877</v>
      </c>
      <c r="O66" s="23">
        <v>2899.5713410900184</v>
      </c>
      <c r="P66" s="23">
        <v>2453.8236696448935</v>
      </c>
      <c r="Q66" s="23">
        <v>2539.2943391592648</v>
      </c>
      <c r="R66" s="23">
        <v>2589.7306056309503</v>
      </c>
      <c r="S66" s="23">
        <v>2648</v>
      </c>
      <c r="T66" s="23">
        <v>2703.9199332777312</v>
      </c>
      <c r="U66" s="23">
        <v>2953.1346391116595</v>
      </c>
      <c r="V66" s="23">
        <v>2970.0440695995744</v>
      </c>
      <c r="W66" s="23">
        <v>2698.8021494141358</v>
      </c>
      <c r="X66" s="23">
        <v>2190.1258577037388</v>
      </c>
      <c r="Y66" s="23">
        <v>3530.3087047241988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4313.0161327435899</v>
      </c>
      <c r="E67" s="23">
        <v>4322.963000087706</v>
      </c>
      <c r="F67" s="23">
        <v>4408.9468687192511</v>
      </c>
      <c r="G67" s="23">
        <v>4331.198624747286</v>
      </c>
      <c r="H67" s="23">
        <v>4514.4852652959426</v>
      </c>
      <c r="I67" s="23">
        <v>4378.5652750937152</v>
      </c>
      <c r="J67" s="23">
        <v>4499.709696148635</v>
      </c>
      <c r="K67" s="23">
        <v>4876.2260104113147</v>
      </c>
      <c r="L67" s="23">
        <v>4883.3016347665471</v>
      </c>
      <c r="M67" s="23">
        <v>3813.582472818664</v>
      </c>
      <c r="N67" s="23">
        <v>3812.7728964843964</v>
      </c>
      <c r="O67" s="23">
        <v>4026.648647507232</v>
      </c>
      <c r="P67" s="23">
        <v>3989.8215137129705</v>
      </c>
      <c r="Q67" s="23">
        <v>3759.7724202857021</v>
      </c>
      <c r="R67" s="23">
        <v>3652.7243265140773</v>
      </c>
      <c r="S67" s="23">
        <v>3686.2</v>
      </c>
      <c r="T67" s="23">
        <v>3859.3926311141636</v>
      </c>
      <c r="U67" s="23">
        <v>3851.8854102405921</v>
      </c>
      <c r="V67" s="23">
        <v>3706.6902211078191</v>
      </c>
      <c r="W67" s="23">
        <v>3717.0684379431304</v>
      </c>
      <c r="X67" s="23">
        <v>3388.9846989322277</v>
      </c>
      <c r="Y67" s="23">
        <v>3709.4501810140355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2673.7913225781708</v>
      </c>
      <c r="E68" s="23">
        <v>2186.0395183621304</v>
      </c>
      <c r="F68" s="23">
        <v>2174.6957497441463</v>
      </c>
      <c r="G68" s="23">
        <v>2088.1808166773603</v>
      </c>
      <c r="H68" s="23">
        <v>1945.1472282602242</v>
      </c>
      <c r="I68" s="23">
        <v>1910.5217816480013</v>
      </c>
      <c r="J68" s="23">
        <v>1932.6267375539339</v>
      </c>
      <c r="K68" s="23">
        <v>2026.2963873187516</v>
      </c>
      <c r="L68" s="23">
        <v>1760.0949857631292</v>
      </c>
      <c r="M68" s="23">
        <v>1119.3793367207563</v>
      </c>
      <c r="N68" s="23">
        <v>1207.8787293617845</v>
      </c>
      <c r="O68" s="23">
        <v>1282.9148805878749</v>
      </c>
      <c r="P68" s="23">
        <v>1341.6530193411973</v>
      </c>
      <c r="Q68" s="23">
        <v>1301.5226556424216</v>
      </c>
      <c r="R68" s="23">
        <v>1338.2621024913917</v>
      </c>
      <c r="S68" s="23">
        <v>1315.2</v>
      </c>
      <c r="T68" s="23">
        <v>1474.3658931462492</v>
      </c>
      <c r="U68" s="23">
        <v>1457.8192473781617</v>
      </c>
      <c r="V68" s="23">
        <v>1353.4305903806703</v>
      </c>
      <c r="W68" s="23">
        <v>1420.7216956489292</v>
      </c>
      <c r="X68" s="23">
        <v>1220.8747660807985</v>
      </c>
      <c r="Y68" s="23">
        <v>1259.0729941326485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2182.3946002607827</v>
      </c>
      <c r="E69" s="23">
        <v>2131.9116412524586</v>
      </c>
      <c r="F69" s="23">
        <v>1956.0794564801913</v>
      </c>
      <c r="G69" s="23">
        <v>1891.3356657748509</v>
      </c>
      <c r="H69" s="23">
        <v>1941.8213780897743</v>
      </c>
      <c r="I69" s="23">
        <v>1970.360194649468</v>
      </c>
      <c r="J69" s="23">
        <v>1983.1737610856226</v>
      </c>
      <c r="K69" s="23">
        <v>1600.5719520096516</v>
      </c>
      <c r="L69" s="23">
        <v>1754.9279361484594</v>
      </c>
      <c r="M69" s="23">
        <v>1833.7977380757252</v>
      </c>
      <c r="N69" s="23">
        <v>1904.7772306437944</v>
      </c>
      <c r="O69" s="23">
        <v>1800.6841649597736</v>
      </c>
      <c r="P69" s="23">
        <v>1545.9482990940942</v>
      </c>
      <c r="Q69" s="23">
        <v>1488.3754246653841</v>
      </c>
      <c r="R69" s="23">
        <v>1486.6315576260888</v>
      </c>
      <c r="S69" s="23">
        <v>1403.4</v>
      </c>
      <c r="T69" s="23">
        <v>1091.8903007408132</v>
      </c>
      <c r="U69" s="23">
        <v>1056.1574645280691</v>
      </c>
      <c r="V69" s="23">
        <v>1047.412810576704</v>
      </c>
      <c r="W69" s="23">
        <v>1111.7434136875886</v>
      </c>
      <c r="X69" s="23">
        <v>991.4504825156863</v>
      </c>
      <c r="Y69" s="23">
        <v>1060.9384195602161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3429.5502774013758</v>
      </c>
      <c r="E70" s="23">
        <v>3308.5664883286763</v>
      </c>
      <c r="F70" s="23">
        <v>3318.2081601953118</v>
      </c>
      <c r="G70" s="23">
        <v>3103.3981816641044</v>
      </c>
      <c r="H70" s="23">
        <v>3176.30569314281</v>
      </c>
      <c r="I70" s="23">
        <v>3313.9304756804586</v>
      </c>
      <c r="J70" s="23">
        <v>3669.4406812463712</v>
      </c>
      <c r="K70" s="23">
        <v>3985.0086016220203</v>
      </c>
      <c r="L70" s="23">
        <v>3987.0933696859092</v>
      </c>
      <c r="M70" s="23">
        <v>3081.5713271048462</v>
      </c>
      <c r="N70" s="23">
        <v>3369.0579640178948</v>
      </c>
      <c r="O70" s="23">
        <v>3799.438309014507</v>
      </c>
      <c r="P70" s="23">
        <v>3699.185306494745</v>
      </c>
      <c r="Q70" s="23">
        <v>3555.8307068887889</v>
      </c>
      <c r="R70" s="23">
        <v>3663.4595908446427</v>
      </c>
      <c r="S70" s="23">
        <v>3545.2</v>
      </c>
      <c r="T70" s="23">
        <v>3401.5601236324387</v>
      </c>
      <c r="U70" s="23">
        <v>3510.6608574953734</v>
      </c>
      <c r="V70" s="23">
        <v>3356.6978193146419</v>
      </c>
      <c r="W70" s="23">
        <v>3205.1832226285546</v>
      </c>
      <c r="X70" s="23">
        <v>3018.5667632921145</v>
      </c>
      <c r="Y70" s="23">
        <v>3346.2629072815794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4428.7065681486974</v>
      </c>
      <c r="E71" s="23">
        <v>4354.5375950683483</v>
      </c>
      <c r="F71" s="23">
        <v>4399.3292314521395</v>
      </c>
      <c r="G71" s="23">
        <v>4368.1222231638076</v>
      </c>
      <c r="H71" s="23">
        <v>4060.3879366663105</v>
      </c>
      <c r="I71" s="23">
        <v>3914.5265314675548</v>
      </c>
      <c r="J71" s="23">
        <v>3775.9992713942556</v>
      </c>
      <c r="K71" s="23">
        <v>3470.1400835586137</v>
      </c>
      <c r="L71" s="23">
        <v>3311.6390541001088</v>
      </c>
      <c r="M71" s="23">
        <v>2589.5208435775558</v>
      </c>
      <c r="N71" s="23">
        <v>2899.7028311501617</v>
      </c>
      <c r="O71" s="23">
        <v>2897.9876259053572</v>
      </c>
      <c r="P71" s="23">
        <v>2816.7043263749251</v>
      </c>
      <c r="Q71" s="23">
        <v>2882.3011747370142</v>
      </c>
      <c r="R71" s="23">
        <v>2881.0006076564719</v>
      </c>
      <c r="S71" s="23">
        <v>2308.9</v>
      </c>
      <c r="T71" s="23">
        <v>2184.5655693470048</v>
      </c>
      <c r="U71" s="23">
        <v>2278.1076495990128</v>
      </c>
      <c r="V71" s="23">
        <v>2304.8210622293136</v>
      </c>
      <c r="W71" s="23">
        <v>2192.2344951115756</v>
      </c>
      <c r="X71" s="23">
        <v>1990.1478736285912</v>
      </c>
      <c r="Y71" s="23">
        <v>1914.2903001444547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782.8599186971087</v>
      </c>
      <c r="E72" s="23">
        <v>847.00103995689733</v>
      </c>
      <c r="F72" s="23">
        <v>683.71536725810984</v>
      </c>
      <c r="G72" s="23">
        <v>568.13917170078639</v>
      </c>
      <c r="H72" s="23">
        <v>596.03986268990047</v>
      </c>
      <c r="I72" s="23">
        <v>592.91252415655754</v>
      </c>
      <c r="J72" s="23">
        <v>579.81079019569916</v>
      </c>
      <c r="K72" s="23">
        <v>639.8713107978283</v>
      </c>
      <c r="L72" s="23">
        <v>609.93172898275088</v>
      </c>
      <c r="M72" s="23">
        <v>582.52745451565306</v>
      </c>
      <c r="N72" s="23">
        <v>596.161479621941</v>
      </c>
      <c r="O72" s="23">
        <v>805.16079988174943</v>
      </c>
      <c r="P72" s="23">
        <v>896.16285578059251</v>
      </c>
      <c r="Q72" s="23">
        <v>814.64123449715544</v>
      </c>
      <c r="R72" s="23">
        <v>885.35547903585166</v>
      </c>
      <c r="S72" s="23">
        <v>931</v>
      </c>
      <c r="T72" s="23">
        <v>824.90310552911706</v>
      </c>
      <c r="U72" s="23">
        <v>873.68908081431209</v>
      </c>
      <c r="V72" s="23">
        <v>820.98624724565025</v>
      </c>
      <c r="W72" s="23">
        <v>887.28636465407862</v>
      </c>
      <c r="X72" s="23">
        <v>486.36847319561139</v>
      </c>
      <c r="Y72" s="23">
        <v>503.09418080002843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1521.233349525733</v>
      </c>
      <c r="E73" s="23">
        <v>1610.1790480009017</v>
      </c>
      <c r="F73" s="23">
        <v>1482.8423817215569</v>
      </c>
      <c r="G73" s="23">
        <v>1379.2477270801303</v>
      </c>
      <c r="H73" s="23">
        <v>1442.58751143261</v>
      </c>
      <c r="I73" s="23">
        <v>1405.9698712426366</v>
      </c>
      <c r="J73" s="23">
        <v>1391.0677489497832</v>
      </c>
      <c r="K73" s="23">
        <v>1442.6148930941265</v>
      </c>
      <c r="L73" s="23">
        <v>1468.1017139213509</v>
      </c>
      <c r="M73" s="23">
        <v>1406.436103371032</v>
      </c>
      <c r="N73" s="23">
        <v>1373.0917361312265</v>
      </c>
      <c r="O73" s="23">
        <v>1398.526089068142</v>
      </c>
      <c r="P73" s="23">
        <v>1335.5376355231244</v>
      </c>
      <c r="Q73" s="23">
        <v>1304.3878678727845</v>
      </c>
      <c r="R73" s="23">
        <v>1337.4518938626697</v>
      </c>
      <c r="S73" s="23">
        <v>1403.6</v>
      </c>
      <c r="T73" s="23">
        <v>1367.8065054211843</v>
      </c>
      <c r="U73" s="23">
        <v>1282.2910240592228</v>
      </c>
      <c r="V73" s="23">
        <v>1274.6941721753667</v>
      </c>
      <c r="W73" s="23">
        <v>1406.5415329502202</v>
      </c>
      <c r="X73" s="23">
        <v>1354.8967086192347</v>
      </c>
      <c r="Y73" s="23">
        <v>1409.9477466873541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595.19852734381902</v>
      </c>
      <c r="E74" s="23">
        <v>551.9289321020392</v>
      </c>
      <c r="F74" s="23">
        <v>492.71895537660225</v>
      </c>
      <c r="G74" s="23">
        <v>606.03125794463426</v>
      </c>
      <c r="H74" s="23">
        <v>646.40273669963972</v>
      </c>
      <c r="I74" s="23">
        <v>645.41665696523296</v>
      </c>
      <c r="J74" s="23">
        <v>642.19765707708552</v>
      </c>
      <c r="K74" s="23">
        <v>604.23601957155984</v>
      </c>
      <c r="L74" s="23">
        <v>596.51938742975472</v>
      </c>
      <c r="M74" s="23">
        <v>1419.6579795661728</v>
      </c>
      <c r="N74" s="23">
        <v>1415.4677995557988</v>
      </c>
      <c r="O74" s="23">
        <v>1546.3395063031603</v>
      </c>
      <c r="P74" s="23">
        <v>1488.5258815481241</v>
      </c>
      <c r="Q74" s="23">
        <v>1561.847652572528</v>
      </c>
      <c r="R74" s="23">
        <v>1567.5511444197127</v>
      </c>
      <c r="S74" s="23">
        <v>1653.4000000000146</v>
      </c>
      <c r="T74" s="23">
        <v>1706.6182603149496</v>
      </c>
      <c r="U74" s="23">
        <v>1854.6614743985574</v>
      </c>
      <c r="V74" s="23">
        <v>1789.5676620317406</v>
      </c>
      <c r="W74" s="23">
        <v>1932.513620419465</v>
      </c>
      <c r="X74" s="23">
        <v>1502.4951381499636</v>
      </c>
      <c r="Y74" s="23">
        <v>1545.6636884061336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57472.068110346925</v>
      </c>
      <c r="E75" s="30">
        <f t="shared" ref="E75:S75" si="6">SUM(E56:E74)</f>
        <v>56438.460863790649</v>
      </c>
      <c r="F75" s="30">
        <f t="shared" si="6"/>
        <v>56586.478588426748</v>
      </c>
      <c r="G75" s="30">
        <f t="shared" si="6"/>
        <v>55149.449777853122</v>
      </c>
      <c r="H75" s="30">
        <f t="shared" si="6"/>
        <v>56727.24465191421</v>
      </c>
      <c r="I75" s="30">
        <f t="shared" si="6"/>
        <v>57283.871568604613</v>
      </c>
      <c r="J75" s="30">
        <f t="shared" si="6"/>
        <v>55593.756759525881</v>
      </c>
      <c r="K75" s="30">
        <f t="shared" si="6"/>
        <v>57809.714247414013</v>
      </c>
      <c r="L75" s="30">
        <f t="shared" si="6"/>
        <v>54109.453502050303</v>
      </c>
      <c r="M75" s="30">
        <f t="shared" si="6"/>
        <v>48907.282959077718</v>
      </c>
      <c r="N75" s="30">
        <f t="shared" si="6"/>
        <v>51964.640125304359</v>
      </c>
      <c r="O75" s="30">
        <f t="shared" si="6"/>
        <v>51321.979855142825</v>
      </c>
      <c r="P75" s="30">
        <f t="shared" si="6"/>
        <v>50531.209187586806</v>
      </c>
      <c r="Q75" s="30">
        <f t="shared" si="6"/>
        <v>50505.607629650825</v>
      </c>
      <c r="R75" s="30">
        <f t="shared" si="6"/>
        <v>51282.256431031026</v>
      </c>
      <c r="S75" s="30">
        <f t="shared" si="6"/>
        <v>52893.3</v>
      </c>
      <c r="T75" s="30">
        <f t="shared" ref="T75:Y75" si="7">SUM(T56:T74)</f>
        <v>52146.788990825662</v>
      </c>
      <c r="U75" s="30">
        <f t="shared" si="7"/>
        <v>53319.517273288126</v>
      </c>
      <c r="V75" s="30">
        <f t="shared" si="7"/>
        <v>53192.291619177849</v>
      </c>
      <c r="W75" s="30">
        <f t="shared" si="7"/>
        <v>55129.860437346106</v>
      </c>
      <c r="X75" s="30">
        <f t="shared" si="7"/>
        <v>51805.305837889442</v>
      </c>
      <c r="Y75" s="30">
        <f t="shared" si="7"/>
        <v>54563.069570024745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10239085</v>
      </c>
      <c r="E3" s="42">
        <v>10263414</v>
      </c>
      <c r="F3" s="42">
        <v>10309725</v>
      </c>
      <c r="G3" s="42">
        <v>10355844</v>
      </c>
      <c r="H3" s="42">
        <v>10396421</v>
      </c>
      <c r="I3" s="42">
        <v>10445852</v>
      </c>
      <c r="J3" s="42">
        <v>10511382</v>
      </c>
      <c r="K3" s="42">
        <v>10584534</v>
      </c>
      <c r="L3" s="42">
        <v>10666866</v>
      </c>
      <c r="M3" s="42">
        <v>10753080</v>
      </c>
      <c r="N3" s="42">
        <v>10839905</v>
      </c>
      <c r="O3" s="42">
        <v>11000638</v>
      </c>
      <c r="P3" s="42">
        <v>11075889</v>
      </c>
      <c r="Q3" s="42">
        <v>11137974</v>
      </c>
      <c r="R3" s="42">
        <v>11180840</v>
      </c>
      <c r="S3" s="42">
        <v>11237274</v>
      </c>
      <c r="T3" s="42">
        <v>11311117</v>
      </c>
      <c r="U3" s="42">
        <v>11351727</v>
      </c>
      <c r="V3" s="42">
        <v>11398589</v>
      </c>
      <c r="W3" s="42">
        <v>11455519</v>
      </c>
      <c r="X3" s="42">
        <v>11522440</v>
      </c>
      <c r="Y3" s="42">
        <v>11554767</v>
      </c>
    </row>
    <row r="4" spans="1:25" x14ac:dyDescent="0.25">
      <c r="A4" s="43" t="s">
        <v>239</v>
      </c>
      <c r="B4" s="44"/>
      <c r="C4" s="44"/>
      <c r="D4" s="45">
        <v>4373926</v>
      </c>
      <c r="E4" s="45">
        <v>4400571</v>
      </c>
      <c r="F4" s="45">
        <v>4436875</v>
      </c>
      <c r="G4" s="45">
        <v>4473367</v>
      </c>
      <c r="H4" s="45">
        <v>4508622</v>
      </c>
      <c r="I4" s="45">
        <v>4551569</v>
      </c>
      <c r="J4" s="45">
        <v>4574144</v>
      </c>
      <c r="K4" s="45">
        <v>4611997</v>
      </c>
      <c r="L4" s="45">
        <v>4655987</v>
      </c>
      <c r="M4" s="45">
        <v>4716263</v>
      </c>
      <c r="N4" s="45">
        <v>4758518</v>
      </c>
      <c r="O4" s="45">
        <v>4839700</v>
      </c>
      <c r="P4" s="45">
        <v>4859978</v>
      </c>
      <c r="Q4" s="45">
        <v>4878657</v>
      </c>
      <c r="R4" s="45">
        <v>4897433</v>
      </c>
      <c r="S4" s="45">
        <v>4932956</v>
      </c>
      <c r="T4" s="45">
        <v>4950161</v>
      </c>
      <c r="U4" s="45">
        <v>4965760</v>
      </c>
      <c r="V4" s="45">
        <v>4999381</v>
      </c>
      <c r="W4" s="45">
        <v>5042042</v>
      </c>
      <c r="X4" s="45">
        <v>5073730</v>
      </c>
      <c r="Y4" s="45">
        <v>5126339</v>
      </c>
    </row>
    <row r="5" spans="1:25" x14ac:dyDescent="0.25">
      <c r="A5" s="46" t="s">
        <v>240</v>
      </c>
      <c r="B5" s="47"/>
      <c r="C5" s="47"/>
      <c r="D5" s="48">
        <f>D3/D4</f>
        <v>2.3409369522941175</v>
      </c>
      <c r="E5" s="48">
        <f t="shared" ref="E5:S5" si="0">E3/E4</f>
        <v>2.3322914230903216</v>
      </c>
      <c r="F5" s="48">
        <f t="shared" si="0"/>
        <v>2.323645583885054</v>
      </c>
      <c r="G5" s="48">
        <f t="shared" si="0"/>
        <v>2.3149998647551162</v>
      </c>
      <c r="H5" s="48">
        <f t="shared" si="0"/>
        <v>2.305897677827061</v>
      </c>
      <c r="I5" s="48">
        <f t="shared" si="0"/>
        <v>2.2950002515616044</v>
      </c>
      <c r="J5" s="48">
        <f t="shared" si="0"/>
        <v>2.2979998006184328</v>
      </c>
      <c r="K5" s="48">
        <f t="shared" si="0"/>
        <v>2.2950001918908445</v>
      </c>
      <c r="L5" s="48">
        <f t="shared" si="0"/>
        <v>2.2909999533933405</v>
      </c>
      <c r="M5" s="48">
        <f t="shared" si="0"/>
        <v>2.2800000763316208</v>
      </c>
      <c r="N5" s="48">
        <f t="shared" si="0"/>
        <v>2.2780002093088645</v>
      </c>
      <c r="O5" s="48">
        <f t="shared" si="0"/>
        <v>2.2729999793375621</v>
      </c>
      <c r="P5" s="48">
        <f t="shared" si="0"/>
        <v>2.278999822632942</v>
      </c>
      <c r="Q5" s="48">
        <f t="shared" si="0"/>
        <v>2.2830000141432367</v>
      </c>
      <c r="R5" s="48">
        <f t="shared" si="0"/>
        <v>2.2830000941309456</v>
      </c>
      <c r="S5" s="48">
        <f t="shared" si="0"/>
        <v>2.2780000470306243</v>
      </c>
      <c r="T5" s="48">
        <f t="shared" ref="T5:Y5" si="1">T3/T4</f>
        <v>2.2849998212179363</v>
      </c>
      <c r="U5" s="48">
        <f t="shared" si="1"/>
        <v>2.2859999275035441</v>
      </c>
      <c r="V5" s="48">
        <f t="shared" si="1"/>
        <v>2.2800000640079241</v>
      </c>
      <c r="W5" s="48">
        <f t="shared" si="1"/>
        <v>2.2719999159070867</v>
      </c>
      <c r="X5" s="48">
        <f t="shared" si="1"/>
        <v>2.2709998364122645</v>
      </c>
      <c r="Y5" s="48">
        <f t="shared" si="1"/>
        <v>2.2539997842514903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2515.89</v>
      </c>
      <c r="E8" s="42">
        <v>2719.01</v>
      </c>
      <c r="F8" s="42">
        <v>2527.94</v>
      </c>
      <c r="G8" s="42">
        <v>2687.09</v>
      </c>
      <c r="H8" s="42">
        <v>2773.96</v>
      </c>
      <c r="I8" s="42">
        <v>2661.22</v>
      </c>
      <c r="J8" s="42">
        <v>2588.67</v>
      </c>
      <c r="K8" s="42">
        <v>2439.16</v>
      </c>
      <c r="L8" s="42">
        <v>2698.26</v>
      </c>
      <c r="M8" s="42">
        <v>2692.13</v>
      </c>
      <c r="N8" s="42">
        <v>3193.64</v>
      </c>
      <c r="O8" s="42">
        <v>2404.6799999999998</v>
      </c>
      <c r="P8" s="42">
        <v>2766.54</v>
      </c>
      <c r="Q8" s="42">
        <v>3021.71</v>
      </c>
      <c r="R8" s="42">
        <v>2323.21</v>
      </c>
      <c r="S8" s="42">
        <v>2632.63</v>
      </c>
      <c r="T8" s="42">
        <v>2695.22</v>
      </c>
      <c r="U8" s="42">
        <v>2584.09</v>
      </c>
      <c r="V8" s="42">
        <v>2511.15</v>
      </c>
      <c r="W8" s="42">
        <v>2532.36</v>
      </c>
      <c r="X8" s="42">
        <v>2339.71</v>
      </c>
      <c r="Y8" s="42">
        <v>2770.92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2633.7271428571426</v>
      </c>
      <c r="E9" s="45">
        <f t="shared" si="2"/>
        <v>2633.7271428571426</v>
      </c>
      <c r="F9" s="45">
        <f t="shared" si="2"/>
        <v>2633.7271428571426</v>
      </c>
      <c r="G9" s="45">
        <f t="shared" si="2"/>
        <v>2633.7271428571426</v>
      </c>
      <c r="H9" s="45">
        <f t="shared" si="2"/>
        <v>2633.7271428571426</v>
      </c>
      <c r="I9" s="45">
        <f t="shared" si="2"/>
        <v>2633.7271428571426</v>
      </c>
      <c r="J9" s="45">
        <f t="shared" si="2"/>
        <v>2633.7271428571426</v>
      </c>
      <c r="K9" s="45">
        <f t="shared" si="2"/>
        <v>2633.7271428571426</v>
      </c>
      <c r="L9" s="45">
        <f t="shared" si="2"/>
        <v>2633.7271428571426</v>
      </c>
      <c r="M9" s="45">
        <f t="shared" si="2"/>
        <v>2633.7271428571426</v>
      </c>
      <c r="N9" s="45">
        <f t="shared" si="2"/>
        <v>2633.7271428571426</v>
      </c>
      <c r="O9" s="45">
        <f t="shared" si="2"/>
        <v>2633.7271428571426</v>
      </c>
      <c r="P9" s="45">
        <f t="shared" si="2"/>
        <v>2633.7271428571426</v>
      </c>
      <c r="Q9" s="45">
        <f t="shared" si="2"/>
        <v>2633.7271428571426</v>
      </c>
      <c r="R9" s="45">
        <f t="shared" si="2"/>
        <v>2633.7271428571426</v>
      </c>
      <c r="S9" s="45">
        <f t="shared" si="2"/>
        <v>2633.7271428571426</v>
      </c>
      <c r="T9" s="45">
        <f t="shared" si="2"/>
        <v>2633.7271428571426</v>
      </c>
      <c r="U9" s="45">
        <f t="shared" si="2"/>
        <v>2633.7271428571426</v>
      </c>
      <c r="V9" s="45">
        <f t="shared" si="2"/>
        <v>2633.7271428571426</v>
      </c>
      <c r="W9" s="45">
        <f t="shared" si="2"/>
        <v>2633.7271428571426</v>
      </c>
      <c r="X9" s="45">
        <f>AVERAGE($D8:$X8)</f>
        <v>2633.7271428571426</v>
      </c>
      <c r="Y9" s="45">
        <f t="shared" ref="Y9" si="3">AVERAGE($D8:$X8)</f>
        <v>2633.7271428571426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0.95525840891425462</v>
      </c>
      <c r="E10" s="53">
        <f t="shared" si="4"/>
        <v>1.0323810525984634</v>
      </c>
      <c r="F10" s="53">
        <f t="shared" si="4"/>
        <v>0.95983367405995534</v>
      </c>
      <c r="G10" s="53">
        <f t="shared" si="4"/>
        <v>1.0202613460880263</v>
      </c>
      <c r="H10" s="53">
        <f t="shared" si="4"/>
        <v>1.0532450210429654</v>
      </c>
      <c r="I10" s="53">
        <f t="shared" si="4"/>
        <v>1.0104387644017794</v>
      </c>
      <c r="J10" s="53">
        <f t="shared" si="4"/>
        <v>0.98289225101417943</v>
      </c>
      <c r="K10" s="53">
        <f t="shared" si="4"/>
        <v>0.92612479110266877</v>
      </c>
      <c r="L10" s="53">
        <f t="shared" si="4"/>
        <v>1.0245024839865722</v>
      </c>
      <c r="M10" s="53">
        <f t="shared" si="4"/>
        <v>1.0221749839580954</v>
      </c>
      <c r="N10" s="53">
        <f t="shared" si="4"/>
        <v>1.2125933427315663</v>
      </c>
      <c r="O10" s="53">
        <f t="shared" si="4"/>
        <v>0.91303307805505407</v>
      </c>
      <c r="P10" s="53">
        <f t="shared" si="4"/>
        <v>1.0504277208453638</v>
      </c>
      <c r="Q10" s="53">
        <f t="shared" si="4"/>
        <v>1.1473132318186776</v>
      </c>
      <c r="R10" s="53">
        <f t="shared" si="4"/>
        <v>0.88209972938947478</v>
      </c>
      <c r="S10" s="53">
        <f t="shared" si="4"/>
        <v>0.9995834257697811</v>
      </c>
      <c r="T10" s="53">
        <f t="shared" ref="T10:Y10" si="5">IF(T8=0,0,T8/T9)</f>
        <v>1.0233482262236733</v>
      </c>
      <c r="U10" s="53">
        <f t="shared" si="5"/>
        <v>0.98115327056875956</v>
      </c>
      <c r="V10" s="53">
        <f t="shared" si="5"/>
        <v>0.9534586780602613</v>
      </c>
      <c r="W10" s="53">
        <f t="shared" si="5"/>
        <v>0.96151190409680165</v>
      </c>
      <c r="X10" s="53">
        <f t="shared" si="5"/>
        <v>0.8883646152736292</v>
      </c>
      <c r="Y10" s="53">
        <f t="shared" si="5"/>
        <v>1.0520907632800667</v>
      </c>
    </row>
    <row r="11" spans="1:25" x14ac:dyDescent="0.25">
      <c r="A11" s="43" t="s">
        <v>251</v>
      </c>
      <c r="B11" s="44"/>
      <c r="C11" s="44"/>
      <c r="D11" s="45">
        <v>5.66</v>
      </c>
      <c r="E11" s="45">
        <v>14.51</v>
      </c>
      <c r="F11" s="45">
        <v>13</v>
      </c>
      <c r="G11" s="45">
        <v>44.24</v>
      </c>
      <c r="H11" s="45">
        <v>7.96</v>
      </c>
      <c r="I11" s="45">
        <v>12.73</v>
      </c>
      <c r="J11" s="45">
        <v>42.57</v>
      </c>
      <c r="K11" s="45">
        <v>2.64</v>
      </c>
      <c r="L11" s="45">
        <v>1.44</v>
      </c>
      <c r="M11" s="45">
        <v>7.66</v>
      </c>
      <c r="N11" s="45">
        <v>22.07</v>
      </c>
      <c r="O11" s="45">
        <v>8.51</v>
      </c>
      <c r="P11" s="45">
        <v>13.3</v>
      </c>
      <c r="Q11" s="45">
        <v>16.75</v>
      </c>
      <c r="R11" s="45">
        <v>8.1999999999999993</v>
      </c>
      <c r="S11" s="45">
        <v>30.08</v>
      </c>
      <c r="T11" s="45">
        <v>25.37</v>
      </c>
      <c r="U11" s="45">
        <v>16.760000000000002</v>
      </c>
      <c r="V11" s="45">
        <v>35.770000000000003</v>
      </c>
      <c r="W11" s="45">
        <v>39.72</v>
      </c>
      <c r="X11" s="45">
        <v>52.49</v>
      </c>
      <c r="Y11" s="45">
        <v>4.18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20.068095238095236</v>
      </c>
      <c r="E12" s="45">
        <f t="shared" ref="E12" si="7">AVERAGE($D11:$X11)</f>
        <v>20.068095238095236</v>
      </c>
      <c r="F12" s="45">
        <f t="shared" ref="F12" si="8">AVERAGE($D11:$X11)</f>
        <v>20.068095238095236</v>
      </c>
      <c r="G12" s="45">
        <f t="shared" ref="G12" si="9">AVERAGE($D11:$X11)</f>
        <v>20.068095238095236</v>
      </c>
      <c r="H12" s="45">
        <f t="shared" ref="H12" si="10">AVERAGE($D11:$X11)</f>
        <v>20.068095238095236</v>
      </c>
      <c r="I12" s="45">
        <f t="shared" ref="I12" si="11">AVERAGE($D11:$X11)</f>
        <v>20.068095238095236</v>
      </c>
      <c r="J12" s="45">
        <f t="shared" ref="J12" si="12">AVERAGE($D11:$X11)</f>
        <v>20.068095238095236</v>
      </c>
      <c r="K12" s="45">
        <f t="shared" ref="K12" si="13">AVERAGE($D11:$X11)</f>
        <v>20.068095238095236</v>
      </c>
      <c r="L12" s="45">
        <f t="shared" ref="L12" si="14">AVERAGE($D11:$X11)</f>
        <v>20.068095238095236</v>
      </c>
      <c r="M12" s="45">
        <f t="shared" ref="M12" si="15">AVERAGE($D11:$X11)</f>
        <v>20.068095238095236</v>
      </c>
      <c r="N12" s="45">
        <f t="shared" ref="N12" si="16">AVERAGE($D11:$X11)</f>
        <v>20.068095238095236</v>
      </c>
      <c r="O12" s="45">
        <f t="shared" ref="O12" si="17">AVERAGE($D11:$X11)</f>
        <v>20.068095238095236</v>
      </c>
      <c r="P12" s="45">
        <f t="shared" ref="P12" si="18">AVERAGE($D11:$X11)</f>
        <v>20.068095238095236</v>
      </c>
      <c r="Q12" s="45">
        <f t="shared" ref="Q12" si="19">AVERAGE($D11:$X11)</f>
        <v>20.068095238095236</v>
      </c>
      <c r="R12" s="45">
        <f t="shared" ref="R12" si="20">AVERAGE($D11:$X11)</f>
        <v>20.068095238095236</v>
      </c>
      <c r="S12" s="45">
        <f t="shared" ref="S12" si="21">AVERAGE($D11:$X11)</f>
        <v>20.068095238095236</v>
      </c>
      <c r="T12" s="45">
        <f t="shared" ref="T12" si="22">AVERAGE($D11:$X11)</f>
        <v>20.068095238095236</v>
      </c>
      <c r="U12" s="45">
        <f t="shared" ref="U12" si="23">AVERAGE($D11:$X11)</f>
        <v>20.068095238095236</v>
      </c>
      <c r="V12" s="45">
        <f t="shared" ref="V12" si="24">AVERAGE($D11:$X11)</f>
        <v>20.068095238095236</v>
      </c>
      <c r="W12" s="45">
        <f t="shared" ref="W12" si="25">AVERAGE($D11:$X11)</f>
        <v>20.068095238095236</v>
      </c>
      <c r="X12" s="45">
        <f>AVERAGE($D11:$X11)</f>
        <v>20.068095238095236</v>
      </c>
      <c r="Y12" s="45">
        <f t="shared" ref="Y12" si="26">AVERAGE($D11:$X11)</f>
        <v>20.068095238095236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0.28203972189924786</v>
      </c>
      <c r="E13" s="55">
        <f t="shared" si="27"/>
        <v>0.72303822698906117</v>
      </c>
      <c r="F13" s="55">
        <f t="shared" ref="F13" si="28">IF(F11=0,0,F11/F12)</f>
        <v>0.64779441425622297</v>
      </c>
      <c r="G13" s="55">
        <f t="shared" ref="G13" si="29">IF(G11=0,0,G11/G12)</f>
        <v>2.2044942220534849</v>
      </c>
      <c r="H13" s="55">
        <f t="shared" ref="H13" si="30">IF(H11=0,0,H11/H12)</f>
        <v>0.39664950288304113</v>
      </c>
      <c r="I13" s="55">
        <f t="shared" ref="I13" si="31">IF(I11=0,0,I11/I12)</f>
        <v>0.63434022257551681</v>
      </c>
      <c r="J13" s="55">
        <f t="shared" ref="J13" si="32">IF(J11=0,0,J11/J12)</f>
        <v>2.1212775549913392</v>
      </c>
      <c r="K13" s="55">
        <f t="shared" ref="K13" si="33">IF(K11=0,0,K11/K12)</f>
        <v>0.13155209643357144</v>
      </c>
      <c r="L13" s="55">
        <f t="shared" ref="L13" si="34">IF(L11=0,0,L11/L12)</f>
        <v>7.1755688963766232E-2</v>
      </c>
      <c r="M13" s="55">
        <f t="shared" ref="M13" si="35">IF(M11=0,0,M11/M12)</f>
        <v>0.38170040101558983</v>
      </c>
      <c r="N13" s="55">
        <f t="shared" ref="N13" si="36">IF(N11=0,0,N11/N12)</f>
        <v>1.0997555940488339</v>
      </c>
      <c r="O13" s="55">
        <f t="shared" ref="O13" si="37">IF(O11=0,0,O11/O12)</f>
        <v>0.42405618964003516</v>
      </c>
      <c r="P13" s="55">
        <f t="shared" ref="P13" si="38">IF(P11=0,0,P11/P12)</f>
        <v>0.66274351612367433</v>
      </c>
      <c r="Q13" s="55">
        <f t="shared" ref="Q13" si="39">IF(Q11=0,0,Q11/Q12)</f>
        <v>0.83465818759936417</v>
      </c>
      <c r="R13" s="55">
        <f t="shared" ref="R13" si="40">IF(R11=0,0,R11/R12)</f>
        <v>0.40860878437700215</v>
      </c>
      <c r="S13" s="55">
        <f t="shared" ref="S13:Y13" si="41">IF(S11=0,0,S11/S12)</f>
        <v>1.4988966139097835</v>
      </c>
      <c r="T13" s="55">
        <f t="shared" si="41"/>
        <v>1.2641957145907983</v>
      </c>
      <c r="U13" s="55">
        <f t="shared" si="41"/>
        <v>0.83515649099494593</v>
      </c>
      <c r="V13" s="55">
        <f t="shared" si="41"/>
        <v>1.7824312459957767</v>
      </c>
      <c r="W13" s="55">
        <f t="shared" si="41"/>
        <v>1.9792610872505518</v>
      </c>
      <c r="X13" s="55">
        <f t="shared" si="41"/>
        <v>2.6155945234083955</v>
      </c>
      <c r="Y13" s="55">
        <f t="shared" si="41"/>
        <v>0.20829081935315474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329613.14459829521</v>
      </c>
      <c r="E16" s="42">
        <v>333238.65713601361</v>
      </c>
      <c r="F16" s="42">
        <v>338926.25024806516</v>
      </c>
      <c r="G16" s="42">
        <v>342442.64211603097</v>
      </c>
      <c r="H16" s="42">
        <v>354674.14683108689</v>
      </c>
      <c r="I16" s="42">
        <v>362909.95072046446</v>
      </c>
      <c r="J16" s="42">
        <v>372171.66861250374</v>
      </c>
      <c r="K16" s="42">
        <v>385854.53769622924</v>
      </c>
      <c r="L16" s="42">
        <v>387578.61912422592</v>
      </c>
      <c r="M16" s="42">
        <v>379746.15839891275</v>
      </c>
      <c r="N16" s="42">
        <v>390624.43526526395</v>
      </c>
      <c r="O16" s="42">
        <v>397244.19931532902</v>
      </c>
      <c r="P16" s="42">
        <v>400181.03626943007</v>
      </c>
      <c r="Q16" s="42">
        <v>402017.8660963705</v>
      </c>
      <c r="R16" s="42">
        <v>408365.13421220629</v>
      </c>
      <c r="S16" s="42">
        <v>416701.4</v>
      </c>
      <c r="T16" s="42">
        <v>421979.08183789405</v>
      </c>
      <c r="U16" s="42">
        <v>428815.15811381111</v>
      </c>
      <c r="V16" s="42">
        <v>436501.54181887186</v>
      </c>
      <c r="W16" s="42">
        <v>446284.84588562162</v>
      </c>
      <c r="X16" s="42">
        <v>422805.16453465965</v>
      </c>
      <c r="Y16" s="42">
        <v>451774.0816508049</v>
      </c>
    </row>
    <row r="17" spans="1:25" x14ac:dyDescent="0.25">
      <c r="A17" s="46" t="s">
        <v>141</v>
      </c>
      <c r="B17" s="47"/>
      <c r="C17" s="47"/>
      <c r="D17" s="57">
        <v>175859.98452722814</v>
      </c>
      <c r="E17" s="57">
        <v>177517.78048311657</v>
      </c>
      <c r="F17" s="57">
        <v>178604.2765827922</v>
      </c>
      <c r="G17" s="57">
        <v>179886.66183490367</v>
      </c>
      <c r="H17" s="57">
        <v>181799.9951236163</v>
      </c>
      <c r="I17" s="57">
        <v>184426.75800926861</v>
      </c>
      <c r="J17" s="57">
        <v>187698.12800609003</v>
      </c>
      <c r="K17" s="57">
        <v>191626.77060984241</v>
      </c>
      <c r="L17" s="57">
        <v>194261.20093636017</v>
      </c>
      <c r="M17" s="57">
        <v>195396.90206711821</v>
      </c>
      <c r="N17" s="57">
        <v>201276.13033920951</v>
      </c>
      <c r="O17" s="57">
        <v>203019.03594514466</v>
      </c>
      <c r="P17" s="57">
        <v>205997.00134528687</v>
      </c>
      <c r="Q17" s="57">
        <v>209435.33308946062</v>
      </c>
      <c r="R17" s="57">
        <v>210592.64339529394</v>
      </c>
      <c r="S17" s="57">
        <v>213930.1</v>
      </c>
      <c r="T17" s="57">
        <v>217288.10220344158</v>
      </c>
      <c r="U17" s="57">
        <v>221400.83311587269</v>
      </c>
      <c r="V17" s="57">
        <v>225705.90687714377</v>
      </c>
      <c r="W17" s="57">
        <v>229537.21958010594</v>
      </c>
      <c r="X17" s="57">
        <v>210728.04920979007</v>
      </c>
      <c r="Y17" s="57">
        <v>223992.9140192153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32191.660153060086</v>
      </c>
      <c r="E20" s="42">
        <f t="shared" ref="E20:S20" si="42">1000000*E16/E$3</f>
        <v>32468.597401996412</v>
      </c>
      <c r="F20" s="42">
        <f t="shared" si="42"/>
        <v>32874.421989729621</v>
      </c>
      <c r="G20" s="42">
        <f t="shared" si="42"/>
        <v>33067.574416535332</v>
      </c>
      <c r="H20" s="42">
        <f t="shared" si="42"/>
        <v>34115.0235096373</v>
      </c>
      <c r="I20" s="42">
        <f t="shared" si="42"/>
        <v>34742.015368441411</v>
      </c>
      <c r="J20" s="42">
        <f t="shared" si="42"/>
        <v>35406.540130736728</v>
      </c>
      <c r="K20" s="42">
        <f t="shared" si="42"/>
        <v>36454.560748373922</v>
      </c>
      <c r="L20" s="42">
        <f t="shared" si="42"/>
        <v>36334.816536012164</v>
      </c>
      <c r="M20" s="42">
        <f t="shared" si="42"/>
        <v>35315.105848641761</v>
      </c>
      <c r="N20" s="42">
        <f t="shared" si="42"/>
        <v>36035.78031959357</v>
      </c>
      <c r="O20" s="42">
        <f t="shared" si="42"/>
        <v>36111.014589820064</v>
      </c>
      <c r="P20" s="42">
        <f t="shared" si="42"/>
        <v>36130.827626516482</v>
      </c>
      <c r="Q20" s="42">
        <f t="shared" si="42"/>
        <v>36094.344096724453</v>
      </c>
      <c r="R20" s="42">
        <f t="shared" si="42"/>
        <v>36523.654234584013</v>
      </c>
      <c r="S20" s="42">
        <f t="shared" si="42"/>
        <v>37082.071683933311</v>
      </c>
      <c r="T20" s="42">
        <f t="shared" ref="T20:Y20" si="43">1000000*T16/T$3</f>
        <v>37306.579167901284</v>
      </c>
      <c r="U20" s="42">
        <f t="shared" si="43"/>
        <v>37775.323359503898</v>
      </c>
      <c r="V20" s="42">
        <f t="shared" si="43"/>
        <v>38294.34869691958</v>
      </c>
      <c r="W20" s="42">
        <f t="shared" si="43"/>
        <v>38958.064308183821</v>
      </c>
      <c r="X20" s="42">
        <f t="shared" si="43"/>
        <v>36694.065192325557</v>
      </c>
      <c r="Y20" s="42">
        <f t="shared" si="43"/>
        <v>39098.502085832188</v>
      </c>
    </row>
    <row r="21" spans="1:25" x14ac:dyDescent="0.25">
      <c r="A21" s="46" t="s">
        <v>141</v>
      </c>
      <c r="B21" s="47"/>
      <c r="C21" s="47"/>
      <c r="D21" s="57">
        <f>1000000*D17/D$3</f>
        <v>17175.361326449398</v>
      </c>
      <c r="E21" s="57">
        <f t="shared" ref="E21:S21" si="44">1000000*E17/E$3</f>
        <v>17296.172646169838</v>
      </c>
      <c r="F21" s="57">
        <f t="shared" si="44"/>
        <v>17323.864272111256</v>
      </c>
      <c r="G21" s="57">
        <f t="shared" si="44"/>
        <v>17370.545735809046</v>
      </c>
      <c r="H21" s="57">
        <f t="shared" si="44"/>
        <v>17486.786570456919</v>
      </c>
      <c r="I21" s="57">
        <f t="shared" si="44"/>
        <v>17655.501725399576</v>
      </c>
      <c r="J21" s="57">
        <f t="shared" si="44"/>
        <v>17856.655576411362</v>
      </c>
      <c r="K21" s="57">
        <f t="shared" si="44"/>
        <v>18104.412590090637</v>
      </c>
      <c r="L21" s="57">
        <f t="shared" si="44"/>
        <v>18211.647257625638</v>
      </c>
      <c r="M21" s="57">
        <f t="shared" si="44"/>
        <v>18171.24973190176</v>
      </c>
      <c r="N21" s="57">
        <f t="shared" si="44"/>
        <v>18568.071430442378</v>
      </c>
      <c r="O21" s="57">
        <f t="shared" si="44"/>
        <v>18455.205593088751</v>
      </c>
      <c r="P21" s="57">
        <f t="shared" si="44"/>
        <v>18598.687775336759</v>
      </c>
      <c r="Q21" s="57">
        <f t="shared" si="44"/>
        <v>18803.718978825109</v>
      </c>
      <c r="R21" s="57">
        <f t="shared" si="44"/>
        <v>18835.136125308469</v>
      </c>
      <c r="S21" s="57">
        <f t="shared" si="44"/>
        <v>19037.544158841371</v>
      </c>
      <c r="T21" s="57">
        <f t="shared" ref="T21:Y21" si="45">1000000*T17/T$3</f>
        <v>19210.13655887757</v>
      </c>
      <c r="U21" s="57">
        <f t="shared" si="45"/>
        <v>19503.713674216502</v>
      </c>
      <c r="V21" s="57">
        <f t="shared" si="45"/>
        <v>19801.214595696343</v>
      </c>
      <c r="W21" s="57">
        <f t="shared" si="45"/>
        <v>20037.260606010601</v>
      </c>
      <c r="X21" s="57">
        <f t="shared" si="45"/>
        <v>18288.49177863283</v>
      </c>
      <c r="Y21" s="57">
        <f t="shared" si="45"/>
        <v>19385.32503677619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292262.67481400043</v>
      </c>
      <c r="E23" s="60">
        <v>296706.21844106697</v>
      </c>
      <c r="F23" s="60">
        <v>301550.78235780075</v>
      </c>
      <c r="G23" s="60">
        <v>304911.20177233277</v>
      </c>
      <c r="H23" s="60">
        <v>314584.32811887545</v>
      </c>
      <c r="I23" s="60">
        <v>322276.07161982817</v>
      </c>
      <c r="J23" s="60">
        <v>330175.20691264694</v>
      </c>
      <c r="K23" s="60">
        <v>342488.54978886934</v>
      </c>
      <c r="L23" s="60">
        <v>345185.29919416015</v>
      </c>
      <c r="M23" s="60">
        <v>338208.70895481616</v>
      </c>
      <c r="N23" s="60">
        <v>347963.26692628715</v>
      </c>
      <c r="O23" s="60">
        <v>354868.55163967313</v>
      </c>
      <c r="P23" s="60">
        <v>357665.58179066732</v>
      </c>
      <c r="Q23" s="60">
        <v>359142.68756907206</v>
      </c>
      <c r="R23" s="60">
        <v>365183.7148065627</v>
      </c>
      <c r="S23" s="60">
        <v>373301.6</v>
      </c>
      <c r="T23" s="60">
        <v>376816.6609429426</v>
      </c>
      <c r="U23" s="60">
        <v>382705.79503392969</v>
      </c>
      <c r="V23" s="60">
        <v>389598.81467973557</v>
      </c>
      <c r="W23" s="60">
        <v>398673.68833495042</v>
      </c>
      <c r="X23" s="60">
        <v>379426.94382269843</v>
      </c>
      <c r="Y23" s="60">
        <v>403955.4687639327</v>
      </c>
    </row>
    <row r="24" spans="1:25" x14ac:dyDescent="0.25">
      <c r="A24" s="61" t="s">
        <v>33</v>
      </c>
      <c r="B24" s="62"/>
      <c r="C24" s="62"/>
      <c r="D24" s="63">
        <v>3854.2172679160381</v>
      </c>
      <c r="E24" s="63">
        <v>3674.1802508426154</v>
      </c>
      <c r="F24" s="63">
        <v>3480.9681754848893</v>
      </c>
      <c r="G24" s="63">
        <v>3504.4732031524281</v>
      </c>
      <c r="H24" s="63">
        <v>3606.4093883999099</v>
      </c>
      <c r="I24" s="63">
        <v>3034.1800740413055</v>
      </c>
      <c r="J24" s="63">
        <v>3358.4171040198544</v>
      </c>
      <c r="K24" s="63">
        <v>3406.8008668647644</v>
      </c>
      <c r="L24" s="63">
        <v>2754.5871307483426</v>
      </c>
      <c r="M24" s="63">
        <v>2442.987488389881</v>
      </c>
      <c r="N24" s="63">
        <v>2980.7001169364789</v>
      </c>
      <c r="O24" s="63">
        <v>2572.3757839390164</v>
      </c>
      <c r="P24" s="63">
        <v>3127.0341424988083</v>
      </c>
      <c r="Q24" s="63">
        <v>2738.5289181777248</v>
      </c>
      <c r="R24" s="63">
        <v>2603.3016001620417</v>
      </c>
      <c r="S24" s="63">
        <v>2860.3</v>
      </c>
      <c r="T24" s="63">
        <v>2652.0139331796104</v>
      </c>
      <c r="U24" s="63">
        <v>2853.1770512029611</v>
      </c>
      <c r="V24" s="63">
        <v>2634.9631486969074</v>
      </c>
      <c r="W24" s="63">
        <v>2992.0143294275695</v>
      </c>
      <c r="X24" s="63">
        <v>2870.509668660331</v>
      </c>
      <c r="Y24" s="63">
        <v>2905.9440372371728</v>
      </c>
    </row>
    <row r="25" spans="1:25" x14ac:dyDescent="0.25">
      <c r="A25" s="64" t="s">
        <v>56</v>
      </c>
      <c r="B25" s="65"/>
      <c r="C25" s="65"/>
      <c r="D25" s="66">
        <v>446.65456497839591</v>
      </c>
      <c r="E25" s="66">
        <v>379.39632381501292</v>
      </c>
      <c r="F25" s="66">
        <v>387.91136977349237</v>
      </c>
      <c r="G25" s="66">
        <v>390.78483832306335</v>
      </c>
      <c r="H25" s="66">
        <v>366.67498129209281</v>
      </c>
      <c r="I25" s="66">
        <v>375.67812987496802</v>
      </c>
      <c r="J25" s="66">
        <v>416.3298762508681</v>
      </c>
      <c r="K25" s="66">
        <v>369.53461873589669</v>
      </c>
      <c r="L25" s="66">
        <v>375.21575180571892</v>
      </c>
      <c r="M25" s="66">
        <v>278.42430202699012</v>
      </c>
      <c r="N25" s="66">
        <v>267.45196485468767</v>
      </c>
      <c r="O25" s="66">
        <v>287.70825854678293</v>
      </c>
      <c r="P25" s="66">
        <v>252.3891457119758</v>
      </c>
      <c r="Q25" s="66">
        <v>231.57054561827186</v>
      </c>
      <c r="R25" s="66">
        <v>285.29471338869763</v>
      </c>
      <c r="S25" s="66">
        <v>223.2</v>
      </c>
      <c r="T25" s="66">
        <v>234.99975469754204</v>
      </c>
      <c r="U25" s="66">
        <v>237.70049352251698</v>
      </c>
      <c r="V25" s="66">
        <v>232.31517361902593</v>
      </c>
      <c r="W25" s="66">
        <v>262.89275319053661</v>
      </c>
      <c r="X25" s="66">
        <v>239.6066488093054</v>
      </c>
      <c r="Y25" s="66">
        <v>272.32357819271306</v>
      </c>
    </row>
    <row r="26" spans="1:25" x14ac:dyDescent="0.25">
      <c r="A26" s="67" t="s">
        <v>146</v>
      </c>
      <c r="B26" s="44"/>
      <c r="C26" s="44"/>
      <c r="D26" s="45">
        <v>209293.0739140439</v>
      </c>
      <c r="E26" s="45">
        <v>215078.62324742199</v>
      </c>
      <c r="F26" s="45">
        <v>220405.79031084693</v>
      </c>
      <c r="G26" s="45">
        <v>225198.84265704639</v>
      </c>
      <c r="H26" s="45">
        <v>233088.88334580534</v>
      </c>
      <c r="I26" s="45">
        <v>240854.73468532448</v>
      </c>
      <c r="J26" s="45">
        <v>247985.17742688322</v>
      </c>
      <c r="K26" s="45">
        <v>256766.68379543792</v>
      </c>
      <c r="L26" s="45">
        <v>262070.99746045007</v>
      </c>
      <c r="M26" s="45">
        <v>262199.09304485604</v>
      </c>
      <c r="N26" s="45">
        <v>268290.47450462921</v>
      </c>
      <c r="O26" s="45">
        <v>274749.03393373737</v>
      </c>
      <c r="P26" s="45">
        <v>279215.6761126889</v>
      </c>
      <c r="Q26" s="45">
        <v>281480.29143301543</v>
      </c>
      <c r="R26" s="45">
        <v>287376.44318411988</v>
      </c>
      <c r="S26" s="45">
        <v>293728.3</v>
      </c>
      <c r="T26" s="45">
        <v>298088.21076387179</v>
      </c>
      <c r="U26" s="45">
        <v>303005.57140653918</v>
      </c>
      <c r="V26" s="45">
        <v>309746.78975761711</v>
      </c>
      <c r="W26" s="45">
        <v>315418.68796178821</v>
      </c>
      <c r="X26" s="45">
        <v>299847.53972039773</v>
      </c>
      <c r="Y26" s="45">
        <v>318935.04895404202</v>
      </c>
    </row>
    <row r="27" spans="1:25" x14ac:dyDescent="0.25">
      <c r="A27" s="68" t="s">
        <v>148</v>
      </c>
      <c r="B27" s="69"/>
      <c r="C27" s="69"/>
      <c r="D27" s="70">
        <v>81512.412752793185</v>
      </c>
      <c r="E27" s="70">
        <v>83100.575108694291</v>
      </c>
      <c r="F27" s="70">
        <v>85179.714183548902</v>
      </c>
      <c r="G27" s="70">
        <v>87825.26058375604</v>
      </c>
      <c r="H27" s="70">
        <v>89494.233213365194</v>
      </c>
      <c r="I27" s="70">
        <v>92923.816619711753</v>
      </c>
      <c r="J27" s="70">
        <v>95443.026446111631</v>
      </c>
      <c r="K27" s="70">
        <v>97869.478764047439</v>
      </c>
      <c r="L27" s="70">
        <v>102034.93805037324</v>
      </c>
      <c r="M27" s="70">
        <v>102449.10670381905</v>
      </c>
      <c r="N27" s="70">
        <v>103900.8507397037</v>
      </c>
      <c r="O27" s="70">
        <v>106461.34679139305</v>
      </c>
      <c r="P27" s="70">
        <v>108292.46045730634</v>
      </c>
      <c r="Q27" s="70">
        <v>109227.51831689249</v>
      </c>
      <c r="R27" s="70">
        <v>110730.40307879279</v>
      </c>
      <c r="S27" s="70">
        <v>111701.1</v>
      </c>
      <c r="T27" s="70">
        <v>111972.42800372859</v>
      </c>
      <c r="U27" s="70">
        <v>113541.98797038865</v>
      </c>
      <c r="V27" s="70">
        <v>116004.2929868551</v>
      </c>
      <c r="W27" s="70">
        <v>118544.20105978058</v>
      </c>
      <c r="X27" s="70">
        <v>109963.03159285217</v>
      </c>
      <c r="Y27" s="70">
        <v>115894.28066984109</v>
      </c>
    </row>
    <row r="28" spans="1:25" x14ac:dyDescent="0.25">
      <c r="A28" s="68" t="s">
        <v>150</v>
      </c>
      <c r="B28" s="71"/>
      <c r="C28" s="71"/>
      <c r="D28" s="70">
        <v>92260.118119295381</v>
      </c>
      <c r="E28" s="70">
        <v>94781.421107366128</v>
      </c>
      <c r="F28" s="70">
        <v>95111.527601385926</v>
      </c>
      <c r="G28" s="70">
        <v>94467.7554083992</v>
      </c>
      <c r="H28" s="70">
        <v>98460.725272897878</v>
      </c>
      <c r="I28" s="70">
        <v>101969.54527462805</v>
      </c>
      <c r="J28" s="70">
        <v>106151.9370666788</v>
      </c>
      <c r="K28" s="70">
        <v>110386.29102526866</v>
      </c>
      <c r="L28" s="70">
        <v>110989.43503259638</v>
      </c>
      <c r="M28" s="70">
        <v>112057.91400316889</v>
      </c>
      <c r="N28" s="70">
        <v>115443.87585422635</v>
      </c>
      <c r="O28" s="70">
        <v>118512.89144160315</v>
      </c>
      <c r="P28" s="70">
        <v>121543.14973361802</v>
      </c>
      <c r="Q28" s="70">
        <v>123343.80500184193</v>
      </c>
      <c r="R28" s="70">
        <v>127330.76767267572</v>
      </c>
      <c r="S28" s="70">
        <v>132188.79999999999</v>
      </c>
      <c r="T28" s="70">
        <v>134457.34190256585</v>
      </c>
      <c r="U28" s="70">
        <v>139173.3497840839</v>
      </c>
      <c r="V28" s="70">
        <v>142855.97598966642</v>
      </c>
      <c r="W28" s="70">
        <v>145934.67796104189</v>
      </c>
      <c r="X28" s="70">
        <v>142462.29772869041</v>
      </c>
      <c r="Y28" s="70">
        <v>150511.56528097301</v>
      </c>
    </row>
    <row r="29" spans="1:25" x14ac:dyDescent="0.25">
      <c r="A29" s="68" t="s">
        <v>152</v>
      </c>
      <c r="B29" s="71"/>
      <c r="C29" s="71"/>
      <c r="D29" s="70">
        <v>35520.543041955323</v>
      </c>
      <c r="E29" s="70">
        <v>37196.627031361546</v>
      </c>
      <c r="F29" s="70">
        <v>40114.548525912105</v>
      </c>
      <c r="G29" s="70">
        <v>42905.826664891109</v>
      </c>
      <c r="H29" s="70">
        <v>45133.924859542298</v>
      </c>
      <c r="I29" s="70">
        <v>45961.372790984649</v>
      </c>
      <c r="J29" s="70">
        <v>46390.213914092761</v>
      </c>
      <c r="K29" s="70">
        <v>48510.914006121755</v>
      </c>
      <c r="L29" s="70">
        <v>49046.624377480432</v>
      </c>
      <c r="M29" s="70">
        <v>47692.072337868085</v>
      </c>
      <c r="N29" s="70">
        <v>48945.747910699116</v>
      </c>
      <c r="O29" s="70">
        <v>49774.795700741146</v>
      </c>
      <c r="P29" s="70">
        <v>49380.06592176453</v>
      </c>
      <c r="Q29" s="70">
        <v>48908.968114281008</v>
      </c>
      <c r="R29" s="70">
        <v>49315.272432651436</v>
      </c>
      <c r="S29" s="70">
        <v>49838.400000000016</v>
      </c>
      <c r="T29" s="70">
        <v>51658.44085757737</v>
      </c>
      <c r="U29" s="70">
        <v>50290.233652066658</v>
      </c>
      <c r="V29" s="70">
        <v>50886.520781095642</v>
      </c>
      <c r="W29" s="70">
        <v>50939.808940965777</v>
      </c>
      <c r="X29" s="70">
        <v>47422.210398855212</v>
      </c>
      <c r="Y29" s="70">
        <v>52529.203003227871</v>
      </c>
    </row>
    <row r="30" spans="1:25" x14ac:dyDescent="0.25">
      <c r="A30" s="64" t="s">
        <v>154</v>
      </c>
      <c r="B30" s="65"/>
      <c r="C30" s="65"/>
      <c r="D30" s="66">
        <v>8162.3756807199652</v>
      </c>
      <c r="E30" s="66">
        <v>8003.0321634862357</v>
      </c>
      <c r="F30" s="66">
        <v>7698.1788140713434</v>
      </c>
      <c r="G30" s="66">
        <v>7731.3172645061313</v>
      </c>
      <c r="H30" s="66">
        <v>7868.0112603784346</v>
      </c>
      <c r="I30" s="66">
        <v>7821.8351998882408</v>
      </c>
      <c r="J30" s="66">
        <v>8143.9907102767575</v>
      </c>
      <c r="K30" s="66">
        <v>8378.9852320203754</v>
      </c>
      <c r="L30" s="66">
        <v>8656.4571629599504</v>
      </c>
      <c r="M30" s="66">
        <v>7211.4953832705023</v>
      </c>
      <c r="N30" s="66">
        <v>8272.3439863538351</v>
      </c>
      <c r="O30" s="66">
        <v>8410.0555356124751</v>
      </c>
      <c r="P30" s="66">
        <v>7699.8901303924222</v>
      </c>
      <c r="Q30" s="66">
        <v>7536.1221399042197</v>
      </c>
      <c r="R30" s="66">
        <v>6958.1729795422325</v>
      </c>
      <c r="S30" s="66">
        <v>8111.7999999999993</v>
      </c>
      <c r="T30" s="66">
        <v>8010.9895501152914</v>
      </c>
      <c r="U30" s="66">
        <v>7602.5601480567557</v>
      </c>
      <c r="V30" s="66">
        <v>6142.0104855254158</v>
      </c>
      <c r="W30" s="66">
        <v>7325.3601015001123</v>
      </c>
      <c r="X30" s="66">
        <v>7125.4540784500787</v>
      </c>
      <c r="Y30" s="66">
        <v>8627.2359245982916</v>
      </c>
    </row>
    <row r="31" spans="1:25" x14ac:dyDescent="0.25">
      <c r="A31" s="64" t="s">
        <v>37</v>
      </c>
      <c r="B31" s="65"/>
      <c r="C31" s="65"/>
      <c r="D31" s="66">
        <v>15079.385370592898</v>
      </c>
      <c r="E31" s="66">
        <v>15072.358446830636</v>
      </c>
      <c r="F31" s="66">
        <v>14829.656847634431</v>
      </c>
      <c r="G31" s="66">
        <v>14975.000907957339</v>
      </c>
      <c r="H31" s="66">
        <v>15592.179500884915</v>
      </c>
      <c r="I31" s="66">
        <v>15881.976297469091</v>
      </c>
      <c r="J31" s="66">
        <v>17482.439463108643</v>
      </c>
      <c r="K31" s="66">
        <v>18641.502267700351</v>
      </c>
      <c r="L31" s="66">
        <v>19822.121568584342</v>
      </c>
      <c r="M31" s="66">
        <v>19181.992023165603</v>
      </c>
      <c r="N31" s="66">
        <v>19010.331176981752</v>
      </c>
      <c r="O31" s="66">
        <v>19908.355681314271</v>
      </c>
      <c r="P31" s="66">
        <v>19537.822094156181</v>
      </c>
      <c r="Q31" s="66">
        <v>19149.33895460685</v>
      </c>
      <c r="R31" s="66">
        <v>19250.557018432246</v>
      </c>
      <c r="S31" s="66">
        <v>19294</v>
      </c>
      <c r="T31" s="66">
        <v>19308.639552568318</v>
      </c>
      <c r="U31" s="66">
        <v>19422.713602714375</v>
      </c>
      <c r="V31" s="66">
        <v>20674.150900387511</v>
      </c>
      <c r="W31" s="66">
        <v>21109.784312262109</v>
      </c>
      <c r="X31" s="66">
        <v>19959.729204124316</v>
      </c>
      <c r="Y31" s="66">
        <v>21756.460328500347</v>
      </c>
    </row>
    <row r="32" spans="1:25" x14ac:dyDescent="0.25">
      <c r="A32" s="64" t="s">
        <v>58</v>
      </c>
      <c r="B32" s="65"/>
      <c r="C32" s="65"/>
      <c r="D32" s="66">
        <v>55426.96801574924</v>
      </c>
      <c r="E32" s="66">
        <v>54498.628008670479</v>
      </c>
      <c r="F32" s="66">
        <v>54748.276839989645</v>
      </c>
      <c r="G32" s="66">
        <v>53110.782901347418</v>
      </c>
      <c r="H32" s="66">
        <v>54062.169642114779</v>
      </c>
      <c r="I32" s="66">
        <v>54307.66723323011</v>
      </c>
      <c r="J32" s="66">
        <v>52788.852332107599</v>
      </c>
      <c r="K32" s="66">
        <v>54925.043008110108</v>
      </c>
      <c r="L32" s="66">
        <v>51505.920119611699</v>
      </c>
      <c r="M32" s="66">
        <v>46894.716713107126</v>
      </c>
      <c r="N32" s="66">
        <v>49141.965176531165</v>
      </c>
      <c r="O32" s="66">
        <v>48941.022446523217</v>
      </c>
      <c r="P32" s="66">
        <v>47832.770165219015</v>
      </c>
      <c r="Q32" s="66">
        <v>48006.835577749582</v>
      </c>
      <c r="R32" s="66">
        <v>48709.945310917559</v>
      </c>
      <c r="S32" s="66">
        <v>49083.999999999993</v>
      </c>
      <c r="T32" s="66">
        <v>48521.807388510031</v>
      </c>
      <c r="U32" s="66">
        <v>49584.072331893898</v>
      </c>
      <c r="V32" s="66">
        <v>50168.585213889513</v>
      </c>
      <c r="W32" s="66">
        <v>51564.948876781855</v>
      </c>
      <c r="X32" s="66">
        <v>49384.104502256632</v>
      </c>
      <c r="Y32" s="66">
        <v>51458.455941362161</v>
      </c>
    </row>
    <row r="33" spans="1:25" x14ac:dyDescent="0.25">
      <c r="A33" s="72" t="s">
        <v>158</v>
      </c>
      <c r="B33" s="65"/>
      <c r="C33" s="65"/>
      <c r="D33" s="66">
        <v>4164.3443356428807</v>
      </c>
      <c r="E33" s="66">
        <v>3468.820087456616</v>
      </c>
      <c r="F33" s="66">
        <v>3636.6999173869622</v>
      </c>
      <c r="G33" s="66">
        <v>3599.263949251238</v>
      </c>
      <c r="H33" s="66">
        <v>4311.6084048985022</v>
      </c>
      <c r="I33" s="66">
        <v>4310.111993294373</v>
      </c>
      <c r="J33" s="66">
        <v>4311.52449367593</v>
      </c>
      <c r="K33" s="66">
        <v>4937.8895864518863</v>
      </c>
      <c r="L33" s="66">
        <v>3892.6572926858767</v>
      </c>
      <c r="M33" s="66">
        <v>2431.7325028683822</v>
      </c>
      <c r="N33" s="66">
        <v>2940.4696769763877</v>
      </c>
      <c r="O33" s="66">
        <v>2899.5713410900184</v>
      </c>
      <c r="P33" s="66">
        <v>2453.8236696448935</v>
      </c>
      <c r="Q33" s="66">
        <v>2539.2943391592648</v>
      </c>
      <c r="R33" s="66">
        <v>2589.7306056309503</v>
      </c>
      <c r="S33" s="66">
        <v>2648</v>
      </c>
      <c r="T33" s="66">
        <v>2703.9199332777312</v>
      </c>
      <c r="U33" s="66">
        <v>2953.1346391116595</v>
      </c>
      <c r="V33" s="66">
        <v>2970.0440695995744</v>
      </c>
      <c r="W33" s="66">
        <v>2698.8021494141358</v>
      </c>
      <c r="X33" s="66">
        <v>2190.1258577037388</v>
      </c>
      <c r="Y33" s="66">
        <v>3530.3087047241988</v>
      </c>
    </row>
    <row r="34" spans="1:25" x14ac:dyDescent="0.25">
      <c r="A34" s="73" t="s">
        <v>5</v>
      </c>
      <c r="B34" s="65"/>
      <c r="C34" s="65"/>
      <c r="D34" s="66">
        <v>2942.4712955848877</v>
      </c>
      <c r="E34" s="66">
        <v>2451.0229496460784</v>
      </c>
      <c r="F34" s="66">
        <v>2569.6446439305059</v>
      </c>
      <c r="G34" s="66">
        <v>2543.1928779900713</v>
      </c>
      <c r="H34" s="66">
        <v>3046.5261627453369</v>
      </c>
      <c r="I34" s="66">
        <v>3045.4688178582096</v>
      </c>
      <c r="J34" s="66">
        <v>3046.4668721718649</v>
      </c>
      <c r="K34" s="66">
        <v>3489.048262542191</v>
      </c>
      <c r="L34" s="66">
        <v>2750.5007809372541</v>
      </c>
      <c r="M34" s="66">
        <v>1796.4971876954698</v>
      </c>
      <c r="N34" s="66">
        <v>1903.0020254583856</v>
      </c>
      <c r="O34" s="66">
        <v>1863.4804723059442</v>
      </c>
      <c r="P34" s="66">
        <v>1384.8313695065028</v>
      </c>
      <c r="Q34" s="66">
        <v>1554.6942366917137</v>
      </c>
      <c r="R34" s="66">
        <v>1676.6152728993582</v>
      </c>
      <c r="S34" s="66">
        <v>1618.783801713719</v>
      </c>
      <c r="T34" s="66">
        <v>1673.2951535109673</v>
      </c>
      <c r="U34" s="66">
        <v>1883.2243653021612</v>
      </c>
      <c r="V34" s="66">
        <v>1835.9893851425013</v>
      </c>
      <c r="W34" s="66">
        <v>1603.8744317426497</v>
      </c>
      <c r="X34" s="66">
        <v>1170.6843456183622</v>
      </c>
      <c r="Y34" s="66">
        <v>2206.3551637554597</v>
      </c>
    </row>
    <row r="35" spans="1:25" x14ac:dyDescent="0.25">
      <c r="A35" s="74" t="s">
        <v>270</v>
      </c>
      <c r="B35" s="44"/>
      <c r="C35" s="44"/>
      <c r="D35" s="45">
        <v>2336.6496386935041</v>
      </c>
      <c r="E35" s="45">
        <v>1903.5762246663717</v>
      </c>
      <c r="F35" s="45">
        <v>1988.1002844699467</v>
      </c>
      <c r="G35" s="45">
        <v>1980.5429416068184</v>
      </c>
      <c r="H35" s="45">
        <v>2382.6216264541099</v>
      </c>
      <c r="I35" s="45">
        <v>2356.0958833292502</v>
      </c>
      <c r="J35" s="45">
        <v>2236.9999705533469</v>
      </c>
      <c r="K35" s="45">
        <v>2437.7681226251175</v>
      </c>
      <c r="L35" s="45">
        <v>1997.8707591966906</v>
      </c>
      <c r="M35" s="45">
        <v>1108.8393659184317</v>
      </c>
      <c r="N35" s="45">
        <v>1302.9271055812778</v>
      </c>
      <c r="O35" s="45">
        <v>1285.8721036544971</v>
      </c>
      <c r="P35" s="45">
        <v>935.30011084176124</v>
      </c>
      <c r="Q35" s="45">
        <v>1089.4663198364574</v>
      </c>
      <c r="R35" s="45">
        <v>1191.0878484202533</v>
      </c>
      <c r="S35" s="45">
        <v>1130.5660807651459</v>
      </c>
      <c r="T35" s="45">
        <v>1218.4106471190239</v>
      </c>
      <c r="U35" s="45">
        <v>1355.9881595759523</v>
      </c>
      <c r="V35" s="45">
        <v>1282.0108401489783</v>
      </c>
      <c r="W35" s="45">
        <v>1141.3005307632852</v>
      </c>
      <c r="X35" s="45">
        <v>841.9311448439189</v>
      </c>
      <c r="Y35" s="45">
        <v>1570.5877991011032</v>
      </c>
    </row>
    <row r="36" spans="1:25" x14ac:dyDescent="0.25">
      <c r="A36" s="74" t="s">
        <v>15</v>
      </c>
      <c r="B36" s="44"/>
      <c r="C36" s="44"/>
      <c r="D36" s="45">
        <v>605.82165689138355</v>
      </c>
      <c r="E36" s="45">
        <v>547.44672497970669</v>
      </c>
      <c r="F36" s="45">
        <v>581.54435946055924</v>
      </c>
      <c r="G36" s="45">
        <v>562.64993638325291</v>
      </c>
      <c r="H36" s="45">
        <v>663.90453629122703</v>
      </c>
      <c r="I36" s="45">
        <v>689.37293452895938</v>
      </c>
      <c r="J36" s="45">
        <v>809.46690161851802</v>
      </c>
      <c r="K36" s="45">
        <v>1051.2801399170735</v>
      </c>
      <c r="L36" s="45">
        <v>752.63002174056351</v>
      </c>
      <c r="M36" s="45">
        <v>687.65782177703818</v>
      </c>
      <c r="N36" s="45">
        <v>600.07491987710773</v>
      </c>
      <c r="O36" s="45">
        <v>577.60836865144711</v>
      </c>
      <c r="P36" s="45">
        <v>449.53125866474159</v>
      </c>
      <c r="Q36" s="45">
        <v>465.22791685525635</v>
      </c>
      <c r="R36" s="45">
        <v>485.52742447910487</v>
      </c>
      <c r="S36" s="45">
        <v>488.21772094857306</v>
      </c>
      <c r="T36" s="45">
        <v>454.88450639194343</v>
      </c>
      <c r="U36" s="45">
        <v>527.23620572620894</v>
      </c>
      <c r="V36" s="45">
        <v>553.97854499352297</v>
      </c>
      <c r="W36" s="45">
        <v>462.57390097936445</v>
      </c>
      <c r="X36" s="45">
        <v>328.75320077444326</v>
      </c>
      <c r="Y36" s="45">
        <v>635.76736465435647</v>
      </c>
    </row>
    <row r="37" spans="1:25" x14ac:dyDescent="0.25">
      <c r="A37" s="73" t="s">
        <v>269</v>
      </c>
      <c r="B37" s="65"/>
      <c r="C37" s="65"/>
      <c r="D37" s="66">
        <v>1221.873040057993</v>
      </c>
      <c r="E37" s="66">
        <v>1017.7971378105376</v>
      </c>
      <c r="F37" s="66">
        <v>1067.0552734564567</v>
      </c>
      <c r="G37" s="66">
        <v>1056.0710712611667</v>
      </c>
      <c r="H37" s="66">
        <v>1265.0822421531652</v>
      </c>
      <c r="I37" s="66">
        <v>1264.6431754361633</v>
      </c>
      <c r="J37" s="66">
        <v>1265.0576215040651</v>
      </c>
      <c r="K37" s="66">
        <v>1448.8413239096953</v>
      </c>
      <c r="L37" s="66">
        <v>1142.1565117486225</v>
      </c>
      <c r="M37" s="66">
        <v>635.23531517291212</v>
      </c>
      <c r="N37" s="66">
        <v>1037.4676515180022</v>
      </c>
      <c r="O37" s="66">
        <v>1036.0908687840742</v>
      </c>
      <c r="P37" s="66">
        <v>1068.9923001383906</v>
      </c>
      <c r="Q37" s="66">
        <v>984.60010246755098</v>
      </c>
      <c r="R37" s="66">
        <v>913.11533273159239</v>
      </c>
      <c r="S37" s="66">
        <v>1029.2161982862813</v>
      </c>
      <c r="T37" s="66">
        <v>1030.6247797667638</v>
      </c>
      <c r="U37" s="66">
        <v>1069.9102738094982</v>
      </c>
      <c r="V37" s="66">
        <v>1134.0546844570731</v>
      </c>
      <c r="W37" s="66">
        <v>1094.9277176714861</v>
      </c>
      <c r="X37" s="66">
        <v>1019.4415120853768</v>
      </c>
      <c r="Y37" s="66">
        <v>1323.9535409687392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1221.873040057993</v>
      </c>
      <c r="E42" s="45">
        <v>1017.7971378105376</v>
      </c>
      <c r="F42" s="45">
        <v>1067.0552734564567</v>
      </c>
      <c r="G42" s="45">
        <v>1056.0710712611667</v>
      </c>
      <c r="H42" s="45">
        <v>1265.0822421531652</v>
      </c>
      <c r="I42" s="45">
        <v>1264.6431754361633</v>
      </c>
      <c r="J42" s="45">
        <v>1265.0576215040651</v>
      </c>
      <c r="K42" s="45">
        <v>1448.8413239096953</v>
      </c>
      <c r="L42" s="45">
        <v>1142.1565117486225</v>
      </c>
      <c r="M42" s="45">
        <v>635.23531517291212</v>
      </c>
      <c r="N42" s="45">
        <v>1037.4676515180022</v>
      </c>
      <c r="O42" s="45">
        <v>1036.0908687840742</v>
      </c>
      <c r="P42" s="45">
        <v>1068.9923001383906</v>
      </c>
      <c r="Q42" s="45">
        <v>984.60010246755098</v>
      </c>
      <c r="R42" s="45">
        <v>913.11533273159239</v>
      </c>
      <c r="S42" s="45">
        <v>1029.2161982862813</v>
      </c>
      <c r="T42" s="45">
        <v>1030.6247797667638</v>
      </c>
      <c r="U42" s="45">
        <v>1069.9102738094982</v>
      </c>
      <c r="V42" s="45">
        <v>1134.0546844570731</v>
      </c>
      <c r="W42" s="45">
        <v>1094.9277176714861</v>
      </c>
      <c r="X42" s="45">
        <v>1019.4415120853768</v>
      </c>
      <c r="Y42" s="45">
        <v>1323.9535409687392</v>
      </c>
    </row>
    <row r="43" spans="1:25" x14ac:dyDescent="0.25">
      <c r="A43" s="72" t="s">
        <v>271</v>
      </c>
      <c r="B43" s="65"/>
      <c r="C43" s="65"/>
      <c r="D43" s="66">
        <v>12749.597320583949</v>
      </c>
      <c r="E43" s="66">
        <v>12996.454122865267</v>
      </c>
      <c r="F43" s="66">
        <v>13242.993304644824</v>
      </c>
      <c r="G43" s="66">
        <v>13035.119789838142</v>
      </c>
      <c r="H43" s="66">
        <v>12842.770433191985</v>
      </c>
      <c r="I43" s="66">
        <v>13829.309180656128</v>
      </c>
      <c r="J43" s="66">
        <v>12259.702410091191</v>
      </c>
      <c r="K43" s="66">
        <v>13135.570499787751</v>
      </c>
      <c r="L43" s="66">
        <v>11840.788909532657</v>
      </c>
      <c r="M43" s="66">
        <v>12564.825438452714</v>
      </c>
      <c r="N43" s="66">
        <v>14250.587364423418</v>
      </c>
      <c r="O43" s="66">
        <v>13470.870198703466</v>
      </c>
      <c r="P43" s="66">
        <v>13530.027571052469</v>
      </c>
      <c r="Q43" s="66">
        <v>14207.666489296385</v>
      </c>
      <c r="R43" s="66">
        <v>14368.948754304234</v>
      </c>
      <c r="S43" s="66">
        <v>15007.7</v>
      </c>
      <c r="T43" s="66">
        <v>14619.535887749595</v>
      </c>
      <c r="U43" s="66">
        <v>15485.811227637259</v>
      </c>
      <c r="V43" s="66">
        <v>16585.270876073246</v>
      </c>
      <c r="W43" s="66">
        <v>17984.830957534145</v>
      </c>
      <c r="X43" s="66">
        <v>18695.097787399551</v>
      </c>
      <c r="Y43" s="66">
        <v>17580.118773741375</v>
      </c>
    </row>
    <row r="44" spans="1:25" x14ac:dyDescent="0.25">
      <c r="A44" s="73" t="s">
        <v>272</v>
      </c>
      <c r="B44" s="65"/>
      <c r="C44" s="65"/>
      <c r="D44" s="66">
        <v>9092.5012144299853</v>
      </c>
      <c r="E44" s="66">
        <v>8930.473243036673</v>
      </c>
      <c r="F44" s="66">
        <v>8976.9546614714982</v>
      </c>
      <c r="G44" s="66">
        <v>8535.0411002021719</v>
      </c>
      <c r="H44" s="66">
        <v>8620.2473007162462</v>
      </c>
      <c r="I44" s="66">
        <v>8713.4741204684633</v>
      </c>
      <c r="J44" s="66">
        <v>8250.4354557770475</v>
      </c>
      <c r="K44" s="66">
        <v>8143.5018655465938</v>
      </c>
      <c r="L44" s="66">
        <v>7551.478106001473</v>
      </c>
      <c r="M44" s="66">
        <v>7413.5387641370271</v>
      </c>
      <c r="N44" s="66">
        <v>8045.9807108450541</v>
      </c>
      <c r="O44" s="66">
        <v>8247.3551956416159</v>
      </c>
      <c r="P44" s="66">
        <v>7841.8914156595292</v>
      </c>
      <c r="Q44" s="66">
        <v>7802.5868773279844</v>
      </c>
      <c r="R44" s="66">
        <v>8284.2819526027961</v>
      </c>
      <c r="S44" s="66">
        <v>9208.1</v>
      </c>
      <c r="T44" s="66">
        <v>8315.1645979492714</v>
      </c>
      <c r="U44" s="66">
        <v>8780.6523750771121</v>
      </c>
      <c r="V44" s="66">
        <v>8739.6474432034029</v>
      </c>
      <c r="W44" s="66">
        <v>8001.9964176431085</v>
      </c>
      <c r="X44" s="66">
        <v>7795.1051260411696</v>
      </c>
      <c r="Y44" s="66">
        <v>8433.8273322276327</v>
      </c>
    </row>
    <row r="45" spans="1:25" x14ac:dyDescent="0.25">
      <c r="A45" s="74" t="s">
        <v>20</v>
      </c>
      <c r="B45" s="44"/>
      <c r="C45" s="44"/>
      <c r="D45" s="45">
        <v>2037.5970378902271</v>
      </c>
      <c r="E45" s="45">
        <v>2019.3604842832601</v>
      </c>
      <c r="F45" s="45">
        <v>2249.5653977730176</v>
      </c>
      <c r="G45" s="45">
        <v>2437.2181645711939</v>
      </c>
      <c r="H45" s="45">
        <v>2425.1024293857431</v>
      </c>
      <c r="I45" s="45">
        <v>2438.1807433707513</v>
      </c>
      <c r="J45" s="45">
        <v>3389.3047449489977</v>
      </c>
      <c r="K45" s="45">
        <v>4489.691710985926</v>
      </c>
      <c r="L45" s="45">
        <v>5086.3703477806412</v>
      </c>
      <c r="M45" s="45">
        <v>4502.2583426454557</v>
      </c>
      <c r="N45" s="45">
        <v>4888.0964170226434</v>
      </c>
      <c r="O45" s="45">
        <v>5352.6512936505051</v>
      </c>
      <c r="P45" s="45">
        <v>5126.3855425354941</v>
      </c>
      <c r="Q45" s="45">
        <v>5101.5731573094172</v>
      </c>
      <c r="R45" s="45">
        <v>5420.7471330833168</v>
      </c>
      <c r="S45" s="45">
        <v>6258.7990751161506</v>
      </c>
      <c r="T45" s="45">
        <v>5984.6434424240306</v>
      </c>
      <c r="U45" s="45">
        <v>6338.4332954178735</v>
      </c>
      <c r="V45" s="45">
        <v>5806.6533982291603</v>
      </c>
      <c r="W45" s="45">
        <v>5251.1326739980541</v>
      </c>
      <c r="X45" s="45">
        <v>5189.9985960452104</v>
      </c>
      <c r="Y45" s="45">
        <v>5781.2104396575505</v>
      </c>
    </row>
    <row r="46" spans="1:25" x14ac:dyDescent="0.25">
      <c r="A46" s="74" t="s">
        <v>12</v>
      </c>
      <c r="B46" s="44"/>
      <c r="C46" s="44"/>
      <c r="D46" s="45">
        <v>7054.9041765397578</v>
      </c>
      <c r="E46" s="45">
        <v>6911.1127587534129</v>
      </c>
      <c r="F46" s="45">
        <v>6727.3892636984801</v>
      </c>
      <c r="G46" s="45">
        <v>6097.8229356309785</v>
      </c>
      <c r="H46" s="45">
        <v>6195.1448713305035</v>
      </c>
      <c r="I46" s="45">
        <v>6275.2933770977124</v>
      </c>
      <c r="J46" s="45">
        <v>4861.1307108280498</v>
      </c>
      <c r="K46" s="45">
        <v>3653.8101545606678</v>
      </c>
      <c r="L46" s="45">
        <v>2465.1077582208318</v>
      </c>
      <c r="M46" s="45">
        <v>2911.2804214915714</v>
      </c>
      <c r="N46" s="45">
        <v>3157.8842938224107</v>
      </c>
      <c r="O46" s="45">
        <v>2894.7039019911108</v>
      </c>
      <c r="P46" s="45">
        <v>2715.5058731240351</v>
      </c>
      <c r="Q46" s="45">
        <v>2701.0137200185673</v>
      </c>
      <c r="R46" s="45">
        <v>2863.5348195194792</v>
      </c>
      <c r="S46" s="45">
        <v>2949.3009248838498</v>
      </c>
      <c r="T46" s="45">
        <v>2330.5211555252408</v>
      </c>
      <c r="U46" s="45">
        <v>2442.2190796592386</v>
      </c>
      <c r="V46" s="45">
        <v>2932.9940449742426</v>
      </c>
      <c r="W46" s="45">
        <v>2750.8637436450545</v>
      </c>
      <c r="X46" s="45">
        <v>2605.1065299959591</v>
      </c>
      <c r="Y46" s="45">
        <v>2652.6168925700822</v>
      </c>
    </row>
    <row r="47" spans="1:25" x14ac:dyDescent="0.25">
      <c r="A47" s="73" t="s">
        <v>11</v>
      </c>
      <c r="B47" s="65"/>
      <c r="C47" s="65"/>
      <c r="D47" s="66">
        <v>3657.0961061539642</v>
      </c>
      <c r="E47" s="66">
        <v>4065.9808798285949</v>
      </c>
      <c r="F47" s="66">
        <v>4266.0386431733268</v>
      </c>
      <c r="G47" s="66">
        <v>4500.0786896359696</v>
      </c>
      <c r="H47" s="66">
        <v>4222.5231324757397</v>
      </c>
      <c r="I47" s="66">
        <v>5115.8350601876637</v>
      </c>
      <c r="J47" s="66">
        <v>4009.2669543141428</v>
      </c>
      <c r="K47" s="66">
        <v>4992.0686342411582</v>
      </c>
      <c r="L47" s="66">
        <v>4289.3108035311834</v>
      </c>
      <c r="M47" s="66">
        <v>5151.2866743156856</v>
      </c>
      <c r="N47" s="66">
        <v>6204.6066535783639</v>
      </c>
      <c r="O47" s="66">
        <v>5223.5150030618488</v>
      </c>
      <c r="P47" s="66">
        <v>5688.1361553929401</v>
      </c>
      <c r="Q47" s="66">
        <v>6405.079611968401</v>
      </c>
      <c r="R47" s="66">
        <v>6084.6668017014381</v>
      </c>
      <c r="S47" s="66">
        <v>5799.6</v>
      </c>
      <c r="T47" s="66">
        <v>6304.3712898003232</v>
      </c>
      <c r="U47" s="66">
        <v>6705.1588525601483</v>
      </c>
      <c r="V47" s="66">
        <v>7845.6234328698429</v>
      </c>
      <c r="W47" s="66">
        <v>9982.8345398910369</v>
      </c>
      <c r="X47" s="66">
        <v>10899.992661358383</v>
      </c>
      <c r="Y47" s="66">
        <v>9146.291441513742</v>
      </c>
    </row>
    <row r="48" spans="1:25" x14ac:dyDescent="0.25">
      <c r="A48" s="72" t="s">
        <v>4</v>
      </c>
      <c r="B48" s="65"/>
      <c r="C48" s="65"/>
      <c r="D48" s="66">
        <v>2901.2093165955057</v>
      </c>
      <c r="E48" s="66">
        <v>2940.5721015900058</v>
      </c>
      <c r="F48" s="66">
        <v>2941.3940641915638</v>
      </c>
      <c r="G48" s="66">
        <v>2854.0125661295597</v>
      </c>
      <c r="H48" s="66">
        <v>2826.497523429427</v>
      </c>
      <c r="I48" s="66">
        <v>2755.8266781531588</v>
      </c>
      <c r="J48" s="66">
        <v>2806.9536310750364</v>
      </c>
      <c r="K48" s="66">
        <v>3016.4883040282407</v>
      </c>
      <c r="L48" s="66">
        <v>2857.4883741383669</v>
      </c>
      <c r="M48" s="66">
        <v>2664.2626891766381</v>
      </c>
      <c r="N48" s="66">
        <v>2469.827170029931</v>
      </c>
      <c r="O48" s="66">
        <v>2583.9896952931986</v>
      </c>
      <c r="P48" s="66">
        <v>2369.7630547896933</v>
      </c>
      <c r="Q48" s="66">
        <v>2249.1916008350045</v>
      </c>
      <c r="R48" s="66">
        <v>2323.7796232529877</v>
      </c>
      <c r="S48" s="66">
        <v>2395.2000000000003</v>
      </c>
      <c r="T48" s="66">
        <v>2410.6363145758723</v>
      </c>
      <c r="U48" s="66">
        <v>2436.1890808143121</v>
      </c>
      <c r="V48" s="66">
        <v>2504.3689689233333</v>
      </c>
      <c r="W48" s="66">
        <v>2492.8166281065746</v>
      </c>
      <c r="X48" s="66">
        <v>2365.9780574615634</v>
      </c>
      <c r="Y48" s="66">
        <v>2586.9848233552689</v>
      </c>
    </row>
    <row r="49" spans="1:25" x14ac:dyDescent="0.25">
      <c r="A49" s="77" t="s">
        <v>10</v>
      </c>
      <c r="B49" s="44"/>
      <c r="C49" s="44"/>
      <c r="D49" s="45">
        <v>1734.8197179028102</v>
      </c>
      <c r="E49" s="45">
        <v>1745.1692447544965</v>
      </c>
      <c r="F49" s="45">
        <v>1711.7415250852393</v>
      </c>
      <c r="G49" s="45">
        <v>1534.7413748008914</v>
      </c>
      <c r="H49" s="45">
        <v>1575.2368981105428</v>
      </c>
      <c r="I49" s="45">
        <v>1605.9289498251826</v>
      </c>
      <c r="J49" s="45">
        <v>1676.6449197572856</v>
      </c>
      <c r="K49" s="45">
        <v>1684.3983880094061</v>
      </c>
      <c r="L49" s="45">
        <v>1594.1815449603457</v>
      </c>
      <c r="M49" s="45">
        <v>1533.8915040950753</v>
      </c>
      <c r="N49" s="45">
        <v>1368.7477457789373</v>
      </c>
      <c r="O49" s="45">
        <v>1448.9051861003863</v>
      </c>
      <c r="P49" s="45">
        <v>1302.4962457012778</v>
      </c>
      <c r="Q49" s="45">
        <v>1314.9867695651467</v>
      </c>
      <c r="R49" s="45">
        <v>1200.077123003422</v>
      </c>
      <c r="S49" s="45">
        <v>1315.7103006822285</v>
      </c>
      <c r="T49" s="45">
        <v>1240.7512096555224</v>
      </c>
      <c r="U49" s="45">
        <v>1249.4161082346372</v>
      </c>
      <c r="V49" s="45">
        <v>1345.0804048127989</v>
      </c>
      <c r="W49" s="45">
        <v>1257.5767037466067</v>
      </c>
      <c r="X49" s="45">
        <v>1290.7412181576856</v>
      </c>
      <c r="Y49" s="45">
        <v>1239.6997101961417</v>
      </c>
    </row>
    <row r="50" spans="1:25" x14ac:dyDescent="0.25">
      <c r="A50" s="77" t="s">
        <v>18</v>
      </c>
      <c r="B50" s="44"/>
      <c r="C50" s="44"/>
      <c r="D50" s="45">
        <v>783.50436993796961</v>
      </c>
      <c r="E50" s="45">
        <v>811.1968983013453</v>
      </c>
      <c r="F50" s="45">
        <v>864.35564311645885</v>
      </c>
      <c r="G50" s="45">
        <v>852.1480735481814</v>
      </c>
      <c r="H50" s="45">
        <v>880.2360394611801</v>
      </c>
      <c r="I50" s="45">
        <v>822.6551020115952</v>
      </c>
      <c r="J50" s="45">
        <v>807.8359876073705</v>
      </c>
      <c r="K50" s="45">
        <v>942.35399242321387</v>
      </c>
      <c r="L50" s="45">
        <v>887.68484243458158</v>
      </c>
      <c r="M50" s="45">
        <v>724.73615220024283</v>
      </c>
      <c r="N50" s="45">
        <v>706.31168611190594</v>
      </c>
      <c r="O50" s="45">
        <v>650.69124843894735</v>
      </c>
      <c r="P50" s="45">
        <v>518.23467308704483</v>
      </c>
      <c r="Q50" s="45">
        <v>399.96627635070274</v>
      </c>
      <c r="R50" s="45">
        <v>452.93822493587936</v>
      </c>
      <c r="S50" s="45">
        <v>501.08277417712907</v>
      </c>
      <c r="T50" s="45">
        <v>578.62646303486281</v>
      </c>
      <c r="U50" s="45">
        <v>625.51331927663114</v>
      </c>
      <c r="V50" s="45">
        <v>639.9722918267455</v>
      </c>
      <c r="W50" s="45">
        <v>654.64626038095571</v>
      </c>
      <c r="X50" s="45">
        <v>459.97489590102839</v>
      </c>
      <c r="Y50" s="45">
        <v>538.30590268195817</v>
      </c>
    </row>
    <row r="51" spans="1:25" x14ac:dyDescent="0.25">
      <c r="A51" s="77" t="s">
        <v>9</v>
      </c>
      <c r="B51" s="44"/>
      <c r="C51" s="44"/>
      <c r="D51" s="45">
        <v>382.88522875472586</v>
      </c>
      <c r="E51" s="45">
        <v>384.20595853416398</v>
      </c>
      <c r="F51" s="45">
        <v>365.29689598986556</v>
      </c>
      <c r="G51" s="45">
        <v>467.12311778048684</v>
      </c>
      <c r="H51" s="45">
        <v>371.0245858577041</v>
      </c>
      <c r="I51" s="45">
        <v>327.24262631638101</v>
      </c>
      <c r="J51" s="45">
        <v>322.47272371038025</v>
      </c>
      <c r="K51" s="45">
        <v>389.73592359562076</v>
      </c>
      <c r="L51" s="45">
        <v>375.62198674343961</v>
      </c>
      <c r="M51" s="45">
        <v>405.63503288131994</v>
      </c>
      <c r="N51" s="45">
        <v>394.76773813908778</v>
      </c>
      <c r="O51" s="45">
        <v>484.39326075386487</v>
      </c>
      <c r="P51" s="45">
        <v>549.03213600137076</v>
      </c>
      <c r="Q51" s="45">
        <v>534.23855491915504</v>
      </c>
      <c r="R51" s="45">
        <v>670.76427531368631</v>
      </c>
      <c r="S51" s="45">
        <v>578.40692514064267</v>
      </c>
      <c r="T51" s="45">
        <v>591.25864188548712</v>
      </c>
      <c r="U51" s="45">
        <v>561.25965330304371</v>
      </c>
      <c r="V51" s="45">
        <v>519.31627228378898</v>
      </c>
      <c r="W51" s="45">
        <v>580.59366397901226</v>
      </c>
      <c r="X51" s="45">
        <v>615.2619434028494</v>
      </c>
      <c r="Y51" s="45">
        <v>808.97921047716898</v>
      </c>
    </row>
    <row r="52" spans="1:25" x14ac:dyDescent="0.25">
      <c r="A52" s="72" t="s">
        <v>3</v>
      </c>
      <c r="B52" s="65"/>
      <c r="C52" s="65"/>
      <c r="D52" s="66">
        <v>3277.8104466545651</v>
      </c>
      <c r="E52" s="66">
        <v>3148.5634812243925</v>
      </c>
      <c r="F52" s="66">
        <v>3074.3147433447184</v>
      </c>
      <c r="G52" s="66">
        <v>2949.5296780988588</v>
      </c>
      <c r="H52" s="66">
        <v>2895.7464751927214</v>
      </c>
      <c r="I52" s="66">
        <v>2765.7221355561251</v>
      </c>
      <c r="J52" s="66">
        <v>2729.4254260635935</v>
      </c>
      <c r="K52" s="66">
        <v>2700.6858955740745</v>
      </c>
      <c r="L52" s="66">
        <v>2590.1210408856541</v>
      </c>
      <c r="M52" s="66">
        <v>2335.4641315631316</v>
      </c>
      <c r="N52" s="66">
        <v>2207.0955767972282</v>
      </c>
      <c r="O52" s="66">
        <v>2233.2495723969</v>
      </c>
      <c r="P52" s="66">
        <v>2207.1353054582396</v>
      </c>
      <c r="Q52" s="66">
        <v>2079.2231181695388</v>
      </c>
      <c r="R52" s="66">
        <v>2137.4316386469518</v>
      </c>
      <c r="S52" s="66">
        <v>2080.7999999999997</v>
      </c>
      <c r="T52" s="66">
        <v>2006.8684688220576</v>
      </c>
      <c r="U52" s="66">
        <v>1913.170882171499</v>
      </c>
      <c r="V52" s="66">
        <v>1810.6526859661119</v>
      </c>
      <c r="W52" s="66">
        <v>1787.5401149339505</v>
      </c>
      <c r="X52" s="66">
        <v>1589.6415073569881</v>
      </c>
      <c r="Y52" s="66">
        <v>1620.3877088794961</v>
      </c>
    </row>
    <row r="53" spans="1:25" x14ac:dyDescent="0.25">
      <c r="A53" s="73" t="s">
        <v>21</v>
      </c>
      <c r="B53" s="65"/>
      <c r="C53" s="65"/>
      <c r="D53" s="66">
        <v>1591.9259581213407</v>
      </c>
      <c r="E53" s="66">
        <v>1540.7650574482213</v>
      </c>
      <c r="F53" s="66">
        <v>1520.9430216643445</v>
      </c>
      <c r="G53" s="66">
        <v>1401.8861300437031</v>
      </c>
      <c r="H53" s="66">
        <v>1393.8875625081662</v>
      </c>
      <c r="I53" s="66">
        <v>1303.1735313977044</v>
      </c>
      <c r="J53" s="66">
        <v>1312.1734081672148</v>
      </c>
      <c r="K53" s="66">
        <v>1252.1504055050382</v>
      </c>
      <c r="L53" s="66">
        <v>1180.8357427908663</v>
      </c>
      <c r="M53" s="66">
        <v>1063.1044091132601</v>
      </c>
      <c r="N53" s="66">
        <v>966.17424608155522</v>
      </c>
      <c r="O53" s="66">
        <v>1004.9200751736807</v>
      </c>
      <c r="P53" s="66">
        <v>1043.5539708534588</v>
      </c>
      <c r="Q53" s="66">
        <v>1007.7360730219802</v>
      </c>
      <c r="R53" s="66">
        <v>1083.9578691513066</v>
      </c>
      <c r="S53" s="66">
        <v>1078.4000000000001</v>
      </c>
      <c r="T53" s="66">
        <v>1041.3579944071039</v>
      </c>
      <c r="U53" s="66">
        <v>1007.6727328809378</v>
      </c>
      <c r="V53" s="66">
        <v>958.51379074538409</v>
      </c>
      <c r="W53" s="66">
        <v>980.76348981267267</v>
      </c>
      <c r="X53" s="66">
        <v>940.3551902542838</v>
      </c>
      <c r="Y53" s="66">
        <v>945.28560983004286</v>
      </c>
    </row>
    <row r="54" spans="1:25" x14ac:dyDescent="0.25">
      <c r="A54" s="74" t="s">
        <v>8</v>
      </c>
      <c r="B54" s="44"/>
      <c r="C54" s="44"/>
      <c r="D54" s="45">
        <v>51.778143147541499</v>
      </c>
      <c r="E54" s="45">
        <v>48.878902795544917</v>
      </c>
      <c r="F54" s="45">
        <v>55.778012577326685</v>
      </c>
      <c r="G54" s="45">
        <v>48.100879950610882</v>
      </c>
      <c r="H54" s="45">
        <v>50.813874966281837</v>
      </c>
      <c r="I54" s="45">
        <v>46.890673103057694</v>
      </c>
      <c r="J54" s="45">
        <v>49.440730106575934</v>
      </c>
      <c r="K54" s="45">
        <v>45.913659832223082</v>
      </c>
      <c r="L54" s="45">
        <v>72.457104256712356</v>
      </c>
      <c r="M54" s="45">
        <v>52.666335366314826</v>
      </c>
      <c r="N54" s="45">
        <v>34.381243732995046</v>
      </c>
      <c r="O54" s="45">
        <v>38.07367460798266</v>
      </c>
      <c r="P54" s="45">
        <v>40.627200234578694</v>
      </c>
      <c r="Q54" s="45">
        <v>39.887855485245161</v>
      </c>
      <c r="R54" s="45">
        <v>41.977887310742183</v>
      </c>
      <c r="S54" s="45">
        <v>39.861188081582561</v>
      </c>
      <c r="T54" s="45">
        <v>39.730165509748012</v>
      </c>
      <c r="U54" s="45">
        <v>38.226449310211102</v>
      </c>
      <c r="V54" s="45">
        <v>37.199970915886425</v>
      </c>
      <c r="W54" s="45">
        <v>39.492651400382101</v>
      </c>
      <c r="X54" s="45">
        <v>42.545076001979709</v>
      </c>
      <c r="Y54" s="45">
        <v>42.293723196226487</v>
      </c>
    </row>
    <row r="55" spans="1:25" x14ac:dyDescent="0.25">
      <c r="A55" s="74" t="s">
        <v>17</v>
      </c>
      <c r="B55" s="44"/>
      <c r="C55" s="44"/>
      <c r="D55" s="45">
        <v>1540.1478149737993</v>
      </c>
      <c r="E55" s="45">
        <v>1491.8861546526764</v>
      </c>
      <c r="F55" s="45">
        <v>1465.1650090870178</v>
      </c>
      <c r="G55" s="45">
        <v>1353.7852500930921</v>
      </c>
      <c r="H55" s="45">
        <v>1343.0736875418843</v>
      </c>
      <c r="I55" s="45">
        <v>1256.2828582946468</v>
      </c>
      <c r="J55" s="45">
        <v>1262.7326780606388</v>
      </c>
      <c r="K55" s="45">
        <v>1206.236745672815</v>
      </c>
      <c r="L55" s="45">
        <v>1108.3786385341539</v>
      </c>
      <c r="M55" s="45">
        <v>1010.4380737469453</v>
      </c>
      <c r="N55" s="45">
        <v>931.79300234856021</v>
      </c>
      <c r="O55" s="45">
        <v>966.8464005656981</v>
      </c>
      <c r="P55" s="45">
        <v>1002.9267706188801</v>
      </c>
      <c r="Q55" s="45">
        <v>967.84821753673509</v>
      </c>
      <c r="R55" s="45">
        <v>1041.9799818405643</v>
      </c>
      <c r="S55" s="45">
        <v>1038.5388119184174</v>
      </c>
      <c r="T55" s="45">
        <v>1001.6278288973559</v>
      </c>
      <c r="U55" s="45">
        <v>969.44628357072668</v>
      </c>
      <c r="V55" s="45">
        <v>921.31381982949767</v>
      </c>
      <c r="W55" s="45">
        <v>941.27083841229057</v>
      </c>
      <c r="X55" s="45">
        <v>897.81011425230406</v>
      </c>
      <c r="Y55" s="45">
        <v>902.99188663381642</v>
      </c>
    </row>
    <row r="56" spans="1:25" x14ac:dyDescent="0.25">
      <c r="A56" s="73" t="s">
        <v>16</v>
      </c>
      <c r="B56" s="65"/>
      <c r="C56" s="65"/>
      <c r="D56" s="66">
        <v>1685.8844885332244</v>
      </c>
      <c r="E56" s="66">
        <v>1607.7984237761711</v>
      </c>
      <c r="F56" s="66">
        <v>1553.3717216803739</v>
      </c>
      <c r="G56" s="66">
        <v>1547.6435480551556</v>
      </c>
      <c r="H56" s="66">
        <v>1501.8589126845552</v>
      </c>
      <c r="I56" s="66">
        <v>1462.5486041584206</v>
      </c>
      <c r="J56" s="66">
        <v>1417.2520178963787</v>
      </c>
      <c r="K56" s="66">
        <v>1448.5354900690363</v>
      </c>
      <c r="L56" s="66">
        <v>1409.2852980947878</v>
      </c>
      <c r="M56" s="66">
        <v>1272.3597224498715</v>
      </c>
      <c r="N56" s="66">
        <v>1240.9213307156729</v>
      </c>
      <c r="O56" s="66">
        <v>1228.3294972232193</v>
      </c>
      <c r="P56" s="66">
        <v>1163.5813346047807</v>
      </c>
      <c r="Q56" s="66">
        <v>1071.4870451475585</v>
      </c>
      <c r="R56" s="66">
        <v>1053.4737694956452</v>
      </c>
      <c r="S56" s="66">
        <v>1002.3999999999996</v>
      </c>
      <c r="T56" s="66">
        <v>965.51047441495371</v>
      </c>
      <c r="U56" s="66">
        <v>905.49814929056117</v>
      </c>
      <c r="V56" s="66">
        <v>852.13889522072782</v>
      </c>
      <c r="W56" s="66">
        <v>806.77662512127779</v>
      </c>
      <c r="X56" s="66">
        <v>649.28631710270429</v>
      </c>
      <c r="Y56" s="66">
        <v>675.10209904945327</v>
      </c>
    </row>
    <row r="57" spans="1:25" x14ac:dyDescent="0.25">
      <c r="A57" s="72" t="s">
        <v>2</v>
      </c>
      <c r="B57" s="65"/>
      <c r="C57" s="65"/>
      <c r="D57" s="66">
        <v>7011.2238897553243</v>
      </c>
      <c r="E57" s="66">
        <v>7061.4326345992404</v>
      </c>
      <c r="F57" s="66">
        <v>7197.0752518464633</v>
      </c>
      <c r="G57" s="66">
        <v>7242.8362166023035</v>
      </c>
      <c r="H57" s="66">
        <v>7600.0427609307635</v>
      </c>
      <c r="I57" s="66">
        <v>7422.1751379543184</v>
      </c>
      <c r="J57" s="66">
        <v>7212.3999590159274</v>
      </c>
      <c r="K57" s="66">
        <v>7329.1405080542463</v>
      </c>
      <c r="L57" s="66">
        <v>7320.2801200514505</v>
      </c>
      <c r="M57" s="66">
        <v>7877.6156914167077</v>
      </c>
      <c r="N57" s="66">
        <v>7446.2789525066255</v>
      </c>
      <c r="O57" s="66">
        <v>7220.4742699073004</v>
      </c>
      <c r="P57" s="66">
        <v>7402.2056841974345</v>
      </c>
      <c r="Q57" s="66">
        <v>7697.0856698456873</v>
      </c>
      <c r="R57" s="66">
        <v>7871.0755519546283</v>
      </c>
      <c r="S57" s="66">
        <v>8037.2</v>
      </c>
      <c r="T57" s="66">
        <v>8004.2192022764066</v>
      </c>
      <c r="U57" s="66">
        <v>7939.4471005552141</v>
      </c>
      <c r="V57" s="66">
        <v>8083.5422840209712</v>
      </c>
      <c r="W57" s="66">
        <v>8330.5657138592451</v>
      </c>
      <c r="X57" s="66">
        <v>7869.4088724177154</v>
      </c>
      <c r="Y57" s="66">
        <v>8316.3019635118508</v>
      </c>
    </row>
    <row r="58" spans="1:25" x14ac:dyDescent="0.25">
      <c r="A58" s="72" t="s">
        <v>275</v>
      </c>
      <c r="B58" s="65"/>
      <c r="C58" s="65"/>
      <c r="D58" s="66">
        <v>5211.5664868458061</v>
      </c>
      <c r="E58" s="66">
        <v>5201.5386350252456</v>
      </c>
      <c r="F58" s="66">
        <v>5083.0445987102494</v>
      </c>
      <c r="G58" s="66">
        <v>4936.261394864594</v>
      </c>
      <c r="H58" s="66">
        <v>4656.4277993562109</v>
      </c>
      <c r="I58" s="66">
        <v>4507.4390556241124</v>
      </c>
      <c r="J58" s="66">
        <v>4355.8100615899548</v>
      </c>
      <c r="K58" s="66">
        <v>4110.011394356442</v>
      </c>
      <c r="L58" s="66">
        <v>3921.5707830828596</v>
      </c>
      <c r="M58" s="66">
        <v>3172.0482980932088</v>
      </c>
      <c r="N58" s="66">
        <v>3495.8643107721027</v>
      </c>
      <c r="O58" s="66">
        <v>3703.1484257871066</v>
      </c>
      <c r="P58" s="66">
        <v>3712.8671821555176</v>
      </c>
      <c r="Q58" s="66">
        <v>3696.9424092341696</v>
      </c>
      <c r="R58" s="66">
        <v>3766.3560866923235</v>
      </c>
      <c r="S58" s="66">
        <v>3239.9</v>
      </c>
      <c r="T58" s="66">
        <v>3009.4686748761219</v>
      </c>
      <c r="U58" s="66">
        <v>3151.7967304133249</v>
      </c>
      <c r="V58" s="66">
        <v>3125.8073094749639</v>
      </c>
      <c r="W58" s="66">
        <v>3079.5208597656542</v>
      </c>
      <c r="X58" s="66">
        <v>2476.5163468242026</v>
      </c>
      <c r="Y58" s="66">
        <v>2417.3844809444831</v>
      </c>
    </row>
    <row r="59" spans="1:25" x14ac:dyDescent="0.25">
      <c r="A59" s="72" t="s">
        <v>276</v>
      </c>
      <c r="B59" s="65"/>
      <c r="C59" s="65"/>
      <c r="D59" s="66">
        <v>12598.752332983917</v>
      </c>
      <c r="E59" s="66">
        <v>11949.480648030971</v>
      </c>
      <c r="F59" s="66">
        <v>11857.930235138901</v>
      </c>
      <c r="G59" s="66">
        <v>11414.113288863602</v>
      </c>
      <c r="H59" s="66">
        <v>11577.75956478875</v>
      </c>
      <c r="I59" s="66">
        <v>11573.377727071642</v>
      </c>
      <c r="J59" s="66">
        <v>12084.950876034563</v>
      </c>
      <c r="K59" s="66">
        <v>12488.10295136174</v>
      </c>
      <c r="L59" s="66">
        <v>12385.417926364045</v>
      </c>
      <c r="M59" s="66">
        <v>9848.3308747199917</v>
      </c>
      <c r="N59" s="66">
        <v>10294.486820507871</v>
      </c>
      <c r="O59" s="66">
        <v>10909.686002069388</v>
      </c>
      <c r="P59" s="66">
        <v>10576.608138643007</v>
      </c>
      <c r="Q59" s="66">
        <v>10105.501207482297</v>
      </c>
      <c r="R59" s="66">
        <v>10141.077577476201</v>
      </c>
      <c r="S59" s="66">
        <v>9950</v>
      </c>
      <c r="T59" s="66">
        <v>9827.2089486336645</v>
      </c>
      <c r="U59" s="66">
        <v>9876.5229796421954</v>
      </c>
      <c r="V59" s="66">
        <v>9464.2314413798358</v>
      </c>
      <c r="W59" s="66">
        <v>9454.716769908202</v>
      </c>
      <c r="X59" s="66">
        <v>8619.8767108208267</v>
      </c>
      <c r="Y59" s="66">
        <v>9375.7245019884795</v>
      </c>
    </row>
    <row r="60" spans="1:25" x14ac:dyDescent="0.25">
      <c r="A60" s="72" t="s">
        <v>1</v>
      </c>
      <c r="B60" s="65"/>
      <c r="C60" s="65"/>
      <c r="D60" s="66">
        <v>3022.5244803518012</v>
      </c>
      <c r="E60" s="66">
        <v>2926.1630602297928</v>
      </c>
      <c r="F60" s="66">
        <v>2952.7379440450791</v>
      </c>
      <c r="G60" s="66">
        <v>2617.3383533285719</v>
      </c>
      <c r="H60" s="66">
        <v>2654.2659967454183</v>
      </c>
      <c r="I60" s="66">
        <v>2476.3091108058397</v>
      </c>
      <c r="J60" s="66">
        <v>2419.0849167226402</v>
      </c>
      <c r="K60" s="66">
        <v>2373.3774213007441</v>
      </c>
      <c r="L60" s="66">
        <v>2066.2701597387891</v>
      </c>
      <c r="M60" s="66">
        <v>1657.5424793749658</v>
      </c>
      <c r="N60" s="66">
        <v>1682.490639717636</v>
      </c>
      <c r="O60" s="66">
        <v>1538.1041873429483</v>
      </c>
      <c r="P60" s="66">
        <v>1434.0056800514108</v>
      </c>
      <c r="Q60" s="66">
        <v>1425.5454136138512</v>
      </c>
      <c r="R60" s="66">
        <v>1455.8436297346568</v>
      </c>
      <c r="S60" s="66">
        <v>1479.1</v>
      </c>
      <c r="T60" s="66">
        <v>1401.8544865819554</v>
      </c>
      <c r="U60" s="66">
        <v>1344.2705120296114</v>
      </c>
      <c r="V60" s="66">
        <v>1310.2157890737785</v>
      </c>
      <c r="W60" s="66">
        <v>1158.948428987238</v>
      </c>
      <c r="X60" s="66">
        <v>1022.0893112684842</v>
      </c>
      <c r="Y60" s="66">
        <v>1160.6298931749682</v>
      </c>
    </row>
    <row r="61" spans="1:25" x14ac:dyDescent="0.25">
      <c r="A61" s="72" t="s">
        <v>0</v>
      </c>
      <c r="B61" s="65"/>
      <c r="C61" s="65"/>
      <c r="D61" s="66">
        <v>859.30509037915783</v>
      </c>
      <c r="E61" s="66">
        <v>925.93752740850255</v>
      </c>
      <c r="F61" s="66">
        <v>905.90744873676033</v>
      </c>
      <c r="G61" s="66">
        <v>936.89091195235051</v>
      </c>
      <c r="H61" s="66">
        <v>1003.1001674803123</v>
      </c>
      <c r="I61" s="66">
        <v>985.35472304360985</v>
      </c>
      <c r="J61" s="66">
        <v>1029.8386821343595</v>
      </c>
      <c r="K61" s="66">
        <v>1129.8286378158582</v>
      </c>
      <c r="L61" s="66">
        <v>994.05239608183729</v>
      </c>
      <c r="M61" s="66">
        <v>910.01475168005243</v>
      </c>
      <c r="N61" s="66">
        <v>893.33032946048309</v>
      </c>
      <c r="O61" s="66">
        <v>886.1414363240915</v>
      </c>
      <c r="P61" s="66">
        <v>814.58985468189644</v>
      </c>
      <c r="Q61" s="66">
        <v>736.5642012197618</v>
      </c>
      <c r="R61" s="66">
        <v>755.82337451893864</v>
      </c>
      <c r="S61" s="66">
        <v>767.4</v>
      </c>
      <c r="T61" s="66">
        <v>840.99494676936661</v>
      </c>
      <c r="U61" s="66">
        <v>886.99105490438001</v>
      </c>
      <c r="V61" s="66">
        <v>899.3427551097941</v>
      </c>
      <c r="W61" s="66">
        <v>931.78595417568476</v>
      </c>
      <c r="X61" s="66">
        <v>886.23270832568892</v>
      </c>
      <c r="Y61" s="66">
        <v>1158.6681647138553</v>
      </c>
    </row>
    <row r="62" spans="1:25" x14ac:dyDescent="0.25">
      <c r="A62" s="78" t="s">
        <v>277</v>
      </c>
      <c r="B62" s="79"/>
      <c r="C62" s="79"/>
      <c r="D62" s="80">
        <v>3630.6343159563316</v>
      </c>
      <c r="E62" s="80">
        <v>3879.6657102404424</v>
      </c>
      <c r="F62" s="80">
        <v>3856.1793319441185</v>
      </c>
      <c r="G62" s="80">
        <v>3525.416752418193</v>
      </c>
      <c r="H62" s="80">
        <v>3693.9505161006782</v>
      </c>
      <c r="I62" s="80">
        <v>3682.041491070805</v>
      </c>
      <c r="J62" s="80">
        <v>3579.1618757044134</v>
      </c>
      <c r="K62" s="80">
        <v>3703.9478093791195</v>
      </c>
      <c r="L62" s="80">
        <v>3637.2731170501643</v>
      </c>
      <c r="M62" s="80">
        <v>3432.8798557613504</v>
      </c>
      <c r="N62" s="80">
        <v>3461.5343353394919</v>
      </c>
      <c r="O62" s="80">
        <v>3495.7873176088015</v>
      </c>
      <c r="P62" s="80">
        <v>3331.7440245444559</v>
      </c>
      <c r="Q62" s="80">
        <v>3269.8211288936186</v>
      </c>
      <c r="R62" s="80">
        <v>3299.8784687056918</v>
      </c>
      <c r="S62" s="80">
        <v>3478.7</v>
      </c>
      <c r="T62" s="80">
        <v>3697.1005249472596</v>
      </c>
      <c r="U62" s="80">
        <v>3596.7381246144355</v>
      </c>
      <c r="V62" s="80">
        <v>3415.1090342679126</v>
      </c>
      <c r="W62" s="80">
        <v>3645.4213000970226</v>
      </c>
      <c r="X62" s="80">
        <v>3669.1373426778705</v>
      </c>
      <c r="Y62" s="80">
        <v>3711.9469263281794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1.3187511098941763E-2</v>
      </c>
      <c r="E66" s="83">
        <f t="shared" ref="E66:S66" si="49">E24/E$23</f>
        <v>1.2383226311019822E-2</v>
      </c>
      <c r="F66" s="83">
        <f t="shared" si="49"/>
        <v>1.1543555444517456E-2</v>
      </c>
      <c r="G66" s="83">
        <f t="shared" si="49"/>
        <v>1.1493422290759602E-2</v>
      </c>
      <c r="H66" s="83">
        <f t="shared" si="49"/>
        <v>1.1464046572075632E-2</v>
      </c>
      <c r="I66" s="83">
        <f t="shared" si="49"/>
        <v>9.4148475212288349E-3</v>
      </c>
      <c r="J66" s="83">
        <f t="shared" si="49"/>
        <v>1.0171621108148125E-2</v>
      </c>
      <c r="K66" s="83">
        <f t="shared" si="49"/>
        <v>9.947196392302524E-3</v>
      </c>
      <c r="L66" s="83">
        <f t="shared" si="49"/>
        <v>7.9800244598450861E-3</v>
      </c>
      <c r="M66" s="83">
        <f t="shared" si="49"/>
        <v>7.2233133674752831E-3</v>
      </c>
      <c r="N66" s="83">
        <f t="shared" si="49"/>
        <v>8.5661344177686231E-3</v>
      </c>
      <c r="O66" s="83">
        <f t="shared" si="49"/>
        <v>7.2488130381047639E-3</v>
      </c>
      <c r="P66" s="83">
        <f t="shared" si="49"/>
        <v>8.7428992380065886E-3</v>
      </c>
      <c r="Q66" s="83">
        <f t="shared" si="49"/>
        <v>7.6251835634298902E-3</v>
      </c>
      <c r="R66" s="83">
        <f t="shared" si="49"/>
        <v>7.1287450524484836E-3</v>
      </c>
      <c r="S66" s="83">
        <f t="shared" si="49"/>
        <v>7.6621691415198869E-3</v>
      </c>
      <c r="T66" s="83">
        <f t="shared" ref="T66:Y66" si="50">T24/T$23</f>
        <v>7.0379423418891161E-3</v>
      </c>
      <c r="U66" s="83">
        <f t="shared" si="50"/>
        <v>7.4552752747054848E-3</v>
      </c>
      <c r="V66" s="83">
        <f t="shared" si="50"/>
        <v>6.7632730116567296E-3</v>
      </c>
      <c r="W66" s="83">
        <f t="shared" si="50"/>
        <v>7.5049204825220197E-3</v>
      </c>
      <c r="X66" s="83">
        <f t="shared" si="50"/>
        <v>7.5653817299851144E-3</v>
      </c>
      <c r="Y66" s="83">
        <f t="shared" si="50"/>
        <v>7.1937237194215969E-3</v>
      </c>
    </row>
    <row r="67" spans="1:25" x14ac:dyDescent="0.25">
      <c r="A67" s="64" t="s">
        <v>56</v>
      </c>
      <c r="B67" s="65"/>
      <c r="C67" s="65"/>
      <c r="D67" s="83">
        <f t="shared" si="46"/>
        <v>1.528264138630266E-3</v>
      </c>
      <c r="E67" s="83">
        <f t="shared" ref="E67:S67" si="51">E25/E$23</f>
        <v>1.2786935366855825E-3</v>
      </c>
      <c r="F67" s="83">
        <f t="shared" si="51"/>
        <v>1.2863882054639198E-3</v>
      </c>
      <c r="G67" s="83">
        <f t="shared" si="51"/>
        <v>1.2816349023964347E-3</v>
      </c>
      <c r="H67" s="83">
        <f t="shared" si="51"/>
        <v>1.1655856586521795E-3</v>
      </c>
      <c r="I67" s="83">
        <f t="shared" si="51"/>
        <v>1.1657028335573588E-3</v>
      </c>
      <c r="J67" s="83">
        <f t="shared" si="51"/>
        <v>1.2609362166948372E-3</v>
      </c>
      <c r="K67" s="83">
        <f t="shared" si="51"/>
        <v>1.0789692647059301E-3</v>
      </c>
      <c r="L67" s="83">
        <f t="shared" si="51"/>
        <v>1.0869980635955971E-3</v>
      </c>
      <c r="M67" s="83">
        <f t="shared" si="51"/>
        <v>8.2323220737697477E-4</v>
      </c>
      <c r="N67" s="83">
        <f t="shared" si="51"/>
        <v>7.6862126056353227E-4</v>
      </c>
      <c r="O67" s="83">
        <f t="shared" si="51"/>
        <v>8.10745999377585E-4</v>
      </c>
      <c r="P67" s="83">
        <f t="shared" si="51"/>
        <v>7.0565678824442441E-4</v>
      </c>
      <c r="Q67" s="83">
        <f t="shared" si="51"/>
        <v>6.4478702653171819E-4</v>
      </c>
      <c r="R67" s="83">
        <f t="shared" si="51"/>
        <v>7.8123613354395566E-4</v>
      </c>
      <c r="S67" s="83">
        <f t="shared" si="51"/>
        <v>5.979079650341708E-4</v>
      </c>
      <c r="T67" s="83">
        <f t="shared" ref="T67:Y67" si="52">T25/T$23</f>
        <v>6.2364480941336502E-4</v>
      </c>
      <c r="U67" s="83">
        <f t="shared" si="52"/>
        <v>6.2110502795350425E-4</v>
      </c>
      <c r="V67" s="83">
        <f t="shared" si="52"/>
        <v>5.9629332756055086E-4</v>
      </c>
      <c r="W67" s="83">
        <f t="shared" si="52"/>
        <v>6.5941836866260451E-4</v>
      </c>
      <c r="X67" s="83">
        <f t="shared" si="52"/>
        <v>6.3149613571267791E-4</v>
      </c>
      <c r="Y67" s="83">
        <f t="shared" si="52"/>
        <v>6.7414257077889959E-4</v>
      </c>
    </row>
    <row r="68" spans="1:25" x14ac:dyDescent="0.25">
      <c r="A68" s="64" t="s">
        <v>146</v>
      </c>
      <c r="B68" s="65"/>
      <c r="C68" s="65"/>
      <c r="D68" s="83">
        <f t="shared" si="46"/>
        <v>0.71611290783963633</v>
      </c>
      <c r="E68" s="83">
        <f t="shared" ref="E68:S68" si="53">E26/E$23</f>
        <v>0.72488748088082888</v>
      </c>
      <c r="F68" s="83">
        <f t="shared" si="53"/>
        <v>0.73090770512187764</v>
      </c>
      <c r="G68" s="83">
        <f t="shared" si="53"/>
        <v>0.73857189026854775</v>
      </c>
      <c r="H68" s="83">
        <f t="shared" si="53"/>
        <v>0.74094245170956352</v>
      </c>
      <c r="I68" s="83">
        <f t="shared" si="53"/>
        <v>0.74735531395408072</v>
      </c>
      <c r="J68" s="83">
        <f t="shared" si="53"/>
        <v>0.75107146822351079</v>
      </c>
      <c r="K68" s="83">
        <f t="shared" si="53"/>
        <v>0.74970881202809392</v>
      </c>
      <c r="L68" s="83">
        <f t="shared" si="53"/>
        <v>0.75921830411740721</v>
      </c>
      <c r="M68" s="83">
        <f t="shared" si="53"/>
        <v>0.7752582535652125</v>
      </c>
      <c r="N68" s="83">
        <f t="shared" si="53"/>
        <v>0.77103102541413981</v>
      </c>
      <c r="O68" s="83">
        <f t="shared" si="53"/>
        <v>0.77422761939387741</v>
      </c>
      <c r="P68" s="83">
        <f t="shared" si="53"/>
        <v>0.78066129459475586</v>
      </c>
      <c r="Q68" s="83">
        <f t="shared" si="53"/>
        <v>0.78375615368440377</v>
      </c>
      <c r="R68" s="83">
        <f t="shared" si="53"/>
        <v>0.78693663362382626</v>
      </c>
      <c r="S68" s="83">
        <f t="shared" si="53"/>
        <v>0.7868391134675019</v>
      </c>
      <c r="T68" s="83">
        <f t="shared" ref="T68:Y68" si="54">T26/T$23</f>
        <v>0.79106961464479453</v>
      </c>
      <c r="U68" s="83">
        <f t="shared" si="54"/>
        <v>0.79174544869297181</v>
      </c>
      <c r="V68" s="83">
        <f t="shared" si="54"/>
        <v>0.79504038022353907</v>
      </c>
      <c r="W68" s="83">
        <f t="shared" si="54"/>
        <v>0.79117006512048882</v>
      </c>
      <c r="X68" s="83">
        <f t="shared" si="54"/>
        <v>0.79026422504278671</v>
      </c>
      <c r="Y68" s="83">
        <f t="shared" si="54"/>
        <v>0.78953021710525295</v>
      </c>
    </row>
    <row r="69" spans="1:25" x14ac:dyDescent="0.25">
      <c r="A69" s="68" t="s">
        <v>148</v>
      </c>
      <c r="B69" s="69"/>
      <c r="C69" s="69"/>
      <c r="D69" s="84">
        <f t="shared" si="46"/>
        <v>0.27890120695250836</v>
      </c>
      <c r="E69" s="84">
        <f t="shared" ref="E69:S69" si="55">E27/E$23</f>
        <v>0.28007695809449329</v>
      </c>
      <c r="F69" s="84">
        <f t="shared" si="55"/>
        <v>0.28247220424213704</v>
      </c>
      <c r="G69" s="84">
        <f t="shared" si="55"/>
        <v>0.28803553320855785</v>
      </c>
      <c r="H69" s="84">
        <f t="shared" si="55"/>
        <v>0.28448408014637977</v>
      </c>
      <c r="I69" s="84">
        <f t="shared" si="55"/>
        <v>0.28833607209079115</v>
      </c>
      <c r="J69" s="84">
        <f t="shared" si="55"/>
        <v>0.28906781747353488</v>
      </c>
      <c r="K69" s="84">
        <f t="shared" si="55"/>
        <v>0.285759856276597</v>
      </c>
      <c r="L69" s="84">
        <f t="shared" si="55"/>
        <v>0.29559467998369343</v>
      </c>
      <c r="M69" s="84">
        <f t="shared" si="55"/>
        <v>0.30291682026882993</v>
      </c>
      <c r="N69" s="84">
        <f t="shared" si="55"/>
        <v>0.29859718141373282</v>
      </c>
      <c r="O69" s="84">
        <f t="shared" si="55"/>
        <v>0.30000220165886071</v>
      </c>
      <c r="P69" s="84">
        <f t="shared" si="55"/>
        <v>0.3027757379257342</v>
      </c>
      <c r="Q69" s="84">
        <f t="shared" si="55"/>
        <v>0.30413404503992669</v>
      </c>
      <c r="R69" s="84">
        <f t="shared" si="55"/>
        <v>0.30321834898209121</v>
      </c>
      <c r="S69" s="84">
        <f t="shared" si="55"/>
        <v>0.2992248091087743</v>
      </c>
      <c r="T69" s="84">
        <f t="shared" ref="T69:Y69" si="56">T27/T$23</f>
        <v>0.29715360176359984</v>
      </c>
      <c r="U69" s="84">
        <f t="shared" si="56"/>
        <v>0.29668217582208894</v>
      </c>
      <c r="V69" s="84">
        <f t="shared" si="56"/>
        <v>0.2977531979459816</v>
      </c>
      <c r="W69" s="84">
        <f t="shared" si="56"/>
        <v>0.29734643777189596</v>
      </c>
      <c r="X69" s="84">
        <f t="shared" si="56"/>
        <v>0.28981344994897501</v>
      </c>
      <c r="Y69" s="84">
        <f t="shared" si="56"/>
        <v>0.28689865500389716</v>
      </c>
    </row>
    <row r="70" spans="1:25" x14ac:dyDescent="0.25">
      <c r="A70" s="68" t="s">
        <v>150</v>
      </c>
      <c r="B70" s="71"/>
      <c r="C70" s="71"/>
      <c r="D70" s="84">
        <f t="shared" si="46"/>
        <v>0.31567533616124899</v>
      </c>
      <c r="E70" s="84">
        <f t="shared" ref="E70:S70" si="57">E28/E$23</f>
        <v>0.31944534767542127</v>
      </c>
      <c r="F70" s="84">
        <f t="shared" si="57"/>
        <v>0.31540799482500664</v>
      </c>
      <c r="G70" s="84">
        <f t="shared" si="57"/>
        <v>0.30982054729145431</v>
      </c>
      <c r="H70" s="84">
        <f t="shared" si="57"/>
        <v>0.31298674623006473</v>
      </c>
      <c r="I70" s="84">
        <f t="shared" si="57"/>
        <v>0.31640433235426818</v>
      </c>
      <c r="J70" s="84">
        <f t="shared" si="57"/>
        <v>0.32150184158062167</v>
      </c>
      <c r="K70" s="84">
        <f t="shared" si="57"/>
        <v>0.32230651533698701</v>
      </c>
      <c r="L70" s="84">
        <f t="shared" si="57"/>
        <v>0.32153581074194859</v>
      </c>
      <c r="M70" s="84">
        <f t="shared" si="57"/>
        <v>0.33132770102067227</v>
      </c>
      <c r="N70" s="84">
        <f t="shared" si="57"/>
        <v>0.33177029539351371</v>
      </c>
      <c r="O70" s="84">
        <f t="shared" si="57"/>
        <v>0.33396278958508252</v>
      </c>
      <c r="P70" s="84">
        <f t="shared" si="57"/>
        <v>0.33982344380218887</v>
      </c>
      <c r="Q70" s="84">
        <f t="shared" si="57"/>
        <v>0.34343955556138073</v>
      </c>
      <c r="R70" s="84">
        <f t="shared" si="57"/>
        <v>0.34867591984522817</v>
      </c>
      <c r="S70" s="84">
        <f t="shared" si="57"/>
        <v>0.35410724197271054</v>
      </c>
      <c r="T70" s="84">
        <f t="shared" ref="T70:Y70" si="58">T28/T$23</f>
        <v>0.35682430168056001</v>
      </c>
      <c r="U70" s="84">
        <f t="shared" si="58"/>
        <v>0.36365623826455296</v>
      </c>
      <c r="V70" s="84">
        <f t="shared" si="58"/>
        <v>0.3666745652373179</v>
      </c>
      <c r="W70" s="84">
        <f t="shared" si="58"/>
        <v>0.3660504373151236</v>
      </c>
      <c r="X70" s="84">
        <f t="shared" si="58"/>
        <v>0.37546700372249076</v>
      </c>
      <c r="Y70" s="84">
        <f t="shared" si="58"/>
        <v>0.37259444894142618</v>
      </c>
    </row>
    <row r="71" spans="1:25" x14ac:dyDescent="0.25">
      <c r="A71" s="68" t="s">
        <v>152</v>
      </c>
      <c r="B71" s="71"/>
      <c r="C71" s="71"/>
      <c r="D71" s="84">
        <f t="shared" si="46"/>
        <v>0.12153636472587899</v>
      </c>
      <c r="E71" s="84">
        <f t="shared" ref="E71:S71" si="59">E29/E$23</f>
        <v>0.12536517511091427</v>
      </c>
      <c r="F71" s="84">
        <f t="shared" si="59"/>
        <v>0.13302750605473396</v>
      </c>
      <c r="G71" s="84">
        <f t="shared" si="59"/>
        <v>0.14071580976853545</v>
      </c>
      <c r="H71" s="84">
        <f t="shared" si="59"/>
        <v>0.14347162533311908</v>
      </c>
      <c r="I71" s="84">
        <f t="shared" si="59"/>
        <v>0.14261490950902125</v>
      </c>
      <c r="J71" s="84">
        <f t="shared" si="59"/>
        <v>0.1405018091693542</v>
      </c>
      <c r="K71" s="84">
        <f t="shared" si="59"/>
        <v>0.14164244041450968</v>
      </c>
      <c r="L71" s="84">
        <f t="shared" si="59"/>
        <v>0.1420878133917651</v>
      </c>
      <c r="M71" s="84">
        <f t="shared" si="59"/>
        <v>0.14101373227571035</v>
      </c>
      <c r="N71" s="84">
        <f t="shared" si="59"/>
        <v>0.14066354860689312</v>
      </c>
      <c r="O71" s="84">
        <f t="shared" si="59"/>
        <v>0.14026262814993407</v>
      </c>
      <c r="P71" s="84">
        <f t="shared" si="59"/>
        <v>0.13806211286683279</v>
      </c>
      <c r="Q71" s="84">
        <f t="shared" si="59"/>
        <v>0.13618255308309624</v>
      </c>
      <c r="R71" s="84">
        <f t="shared" si="59"/>
        <v>0.13504236479650705</v>
      </c>
      <c r="S71" s="84">
        <f t="shared" si="59"/>
        <v>0.13350706238601714</v>
      </c>
      <c r="T71" s="84">
        <f t="shared" ref="T71:Y71" si="60">T29/T$23</f>
        <v>0.13709171120063471</v>
      </c>
      <c r="U71" s="84">
        <f t="shared" si="60"/>
        <v>0.13140703460633005</v>
      </c>
      <c r="V71" s="84">
        <f t="shared" si="60"/>
        <v>0.13061261704023977</v>
      </c>
      <c r="W71" s="84">
        <f t="shared" si="60"/>
        <v>0.1277731900334694</v>
      </c>
      <c r="X71" s="84">
        <f t="shared" si="60"/>
        <v>0.12498377137132104</v>
      </c>
      <c r="Y71" s="84">
        <f t="shared" si="60"/>
        <v>0.13003711315992947</v>
      </c>
    </row>
    <row r="72" spans="1:25" x14ac:dyDescent="0.25">
      <c r="A72" s="64" t="s">
        <v>154</v>
      </c>
      <c r="B72" s="65"/>
      <c r="C72" s="65"/>
      <c r="D72" s="83">
        <f t="shared" si="46"/>
        <v>2.7928217949536666E-2</v>
      </c>
      <c r="E72" s="83">
        <f t="shared" ref="E72:S72" si="61">E30/E$23</f>
        <v>2.6972916865494787E-2</v>
      </c>
      <c r="F72" s="83">
        <f t="shared" si="61"/>
        <v>2.5528631542189734E-2</v>
      </c>
      <c r="G72" s="83">
        <f t="shared" si="61"/>
        <v>2.5355963374146067E-2</v>
      </c>
      <c r="H72" s="83">
        <f t="shared" si="61"/>
        <v>2.5010817631720236E-2</v>
      </c>
      <c r="I72" s="83">
        <f t="shared" si="61"/>
        <v>2.4270604890316651E-2</v>
      </c>
      <c r="J72" s="83">
        <f t="shared" si="61"/>
        <v>2.4665663986185912E-2</v>
      </c>
      <c r="K72" s="83">
        <f t="shared" si="61"/>
        <v>2.4465008354836063E-2</v>
      </c>
      <c r="L72" s="83">
        <f t="shared" si="61"/>
        <v>2.5077710966163881E-2</v>
      </c>
      <c r="M72" s="83">
        <f t="shared" si="61"/>
        <v>2.1322618821840982E-2</v>
      </c>
      <c r="N72" s="83">
        <f t="shared" si="61"/>
        <v>2.3773612828236423E-2</v>
      </c>
      <c r="O72" s="83">
        <f t="shared" si="61"/>
        <v>2.3699072506576709E-2</v>
      </c>
      <c r="P72" s="83">
        <f t="shared" si="61"/>
        <v>2.1528183091709882E-2</v>
      </c>
      <c r="Q72" s="83">
        <f t="shared" si="61"/>
        <v>2.0983643551018526E-2</v>
      </c>
      <c r="R72" s="83">
        <f t="shared" si="61"/>
        <v>1.9053897250670027E-2</v>
      </c>
      <c r="S72" s="83">
        <f t="shared" si="61"/>
        <v>2.1729882754319831E-2</v>
      </c>
      <c r="T72" s="83">
        <f t="shared" ref="T72:Y72" si="62">T30/T$23</f>
        <v>2.1259647941438319E-2</v>
      </c>
      <c r="U72" s="83">
        <f t="shared" si="62"/>
        <v>1.9865286198194967E-2</v>
      </c>
      <c r="V72" s="83">
        <f t="shared" si="62"/>
        <v>1.5764961940591047E-2</v>
      </c>
      <c r="W72" s="83">
        <f t="shared" si="62"/>
        <v>1.8374325459235282E-2</v>
      </c>
      <c r="X72" s="83">
        <f t="shared" si="62"/>
        <v>1.8779515251767982E-2</v>
      </c>
      <c r="Y72" s="83">
        <f t="shared" si="62"/>
        <v>2.1356898449714903E-2</v>
      </c>
    </row>
    <row r="73" spans="1:25" x14ac:dyDescent="0.25">
      <c r="A73" s="64" t="s">
        <v>37</v>
      </c>
      <c r="B73" s="65"/>
      <c r="C73" s="65"/>
      <c r="D73" s="83">
        <f t="shared" si="46"/>
        <v>5.1595317055760211E-2</v>
      </c>
      <c r="E73" s="83">
        <f t="shared" ref="E73:S73" si="63">E31/E$23</f>
        <v>5.0798930086544077E-2</v>
      </c>
      <c r="F73" s="83">
        <f t="shared" si="63"/>
        <v>4.9177975038507828E-2</v>
      </c>
      <c r="G73" s="83">
        <f t="shared" si="63"/>
        <v>4.9112662378139466E-2</v>
      </c>
      <c r="H73" s="83">
        <f t="shared" si="63"/>
        <v>4.9564387374672163E-2</v>
      </c>
      <c r="I73" s="83">
        <f t="shared" si="63"/>
        <v>4.9280656232536579E-2</v>
      </c>
      <c r="J73" s="83">
        <f t="shared" si="63"/>
        <v>5.2948977079717248E-2</v>
      </c>
      <c r="K73" s="83">
        <f t="shared" si="63"/>
        <v>5.4429563496917195E-2</v>
      </c>
      <c r="L73" s="83">
        <f t="shared" si="63"/>
        <v>5.7424582144313091E-2</v>
      </c>
      <c r="M73" s="83">
        <f t="shared" si="63"/>
        <v>5.6716434306037546E-2</v>
      </c>
      <c r="N73" s="83">
        <f t="shared" si="63"/>
        <v>5.4633155231896699E-2</v>
      </c>
      <c r="O73" s="83">
        <f t="shared" si="63"/>
        <v>5.6100647942252273E-2</v>
      </c>
      <c r="P73" s="83">
        <f t="shared" si="63"/>
        <v>5.4625949738689637E-2</v>
      </c>
      <c r="Q73" s="83">
        <f t="shared" si="63"/>
        <v>5.33195847149859E-2</v>
      </c>
      <c r="R73" s="83">
        <f t="shared" si="63"/>
        <v>5.2714719298556999E-2</v>
      </c>
      <c r="S73" s="83">
        <f t="shared" si="63"/>
        <v>5.168475034663661E-2</v>
      </c>
      <c r="T73" s="83">
        <f t="shared" ref="T73:Y73" si="64">T31/T$23</f>
        <v>5.1241469801920521E-2</v>
      </c>
      <c r="U73" s="83">
        <f t="shared" si="64"/>
        <v>5.0751030830333804E-2</v>
      </c>
      <c r="V73" s="83">
        <f t="shared" si="64"/>
        <v>5.3065230491993194E-2</v>
      </c>
      <c r="W73" s="83">
        <f t="shared" si="64"/>
        <v>5.2950031391403168E-2</v>
      </c>
      <c r="X73" s="83">
        <f t="shared" si="64"/>
        <v>5.2604933648178802E-2</v>
      </c>
      <c r="Y73" s="83">
        <f t="shared" si="64"/>
        <v>5.3858561180204226E-2</v>
      </c>
    </row>
    <row r="74" spans="1:25" x14ac:dyDescent="0.25">
      <c r="A74" s="64" t="s">
        <v>58</v>
      </c>
      <c r="B74" s="65"/>
      <c r="C74" s="65"/>
      <c r="D74" s="83">
        <f t="shared" si="46"/>
        <v>0.18964778191749476</v>
      </c>
      <c r="E74" s="83">
        <f t="shared" ref="E74:S74" si="65">E32/E$23</f>
        <v>0.18367875231942679</v>
      </c>
      <c r="F74" s="83">
        <f t="shared" si="65"/>
        <v>0.18155574464744337</v>
      </c>
      <c r="G74" s="83">
        <f t="shared" si="65"/>
        <v>0.17418442678601065</v>
      </c>
      <c r="H74" s="83">
        <f t="shared" si="65"/>
        <v>0.1718527110533164</v>
      </c>
      <c r="I74" s="83">
        <f t="shared" si="65"/>
        <v>0.16851287456827996</v>
      </c>
      <c r="J74" s="83">
        <f t="shared" si="65"/>
        <v>0.15988133338574306</v>
      </c>
      <c r="K74" s="83">
        <f t="shared" si="65"/>
        <v>0.1603704504631446</v>
      </c>
      <c r="L74" s="83">
        <f t="shared" si="65"/>
        <v>0.14921238024867509</v>
      </c>
      <c r="M74" s="83">
        <f t="shared" si="65"/>
        <v>0.13865614773205662</v>
      </c>
      <c r="N74" s="83">
        <f t="shared" si="65"/>
        <v>0.14122745084739488</v>
      </c>
      <c r="O74" s="83">
        <f t="shared" si="65"/>
        <v>0.13791310111981131</v>
      </c>
      <c r="P74" s="83">
        <f t="shared" si="65"/>
        <v>0.13373601654859352</v>
      </c>
      <c r="Q74" s="83">
        <f t="shared" si="65"/>
        <v>0.13367064745963031</v>
      </c>
      <c r="R74" s="83">
        <f t="shared" si="65"/>
        <v>0.13338476864095419</v>
      </c>
      <c r="S74" s="83">
        <f t="shared" si="65"/>
        <v>0.1314861763249876</v>
      </c>
      <c r="T74" s="83">
        <f t="shared" ref="T74:Y74" si="66">T32/T$23</f>
        <v>0.12876768046054413</v>
      </c>
      <c r="U74" s="83">
        <f t="shared" si="66"/>
        <v>0.12956185397584039</v>
      </c>
      <c r="V74" s="83">
        <f t="shared" si="66"/>
        <v>0.12876986100465918</v>
      </c>
      <c r="W74" s="83">
        <f t="shared" si="66"/>
        <v>0.12934123917768797</v>
      </c>
      <c r="X74" s="83">
        <f t="shared" si="66"/>
        <v>0.13015444819156866</v>
      </c>
      <c r="Y74" s="83">
        <f t="shared" si="66"/>
        <v>0.12738645697462742</v>
      </c>
    </row>
    <row r="75" spans="1:25" x14ac:dyDescent="0.25">
      <c r="A75" s="85" t="s">
        <v>158</v>
      </c>
      <c r="B75" s="86"/>
      <c r="C75" s="86"/>
      <c r="D75" s="87">
        <f t="shared" si="46"/>
        <v>1.4248635540932898E-2</v>
      </c>
      <c r="E75" s="87">
        <f t="shared" ref="E75:S75" si="67">E33/E$23</f>
        <v>1.1691093316757053E-2</v>
      </c>
      <c r="F75" s="87">
        <f t="shared" si="67"/>
        <v>1.2059991650334662E-2</v>
      </c>
      <c r="G75" s="87">
        <f t="shared" si="67"/>
        <v>1.1804302132326023E-2</v>
      </c>
      <c r="H75" s="87">
        <f t="shared" si="67"/>
        <v>1.3705731721223021E-2</v>
      </c>
      <c r="I75" s="87">
        <f t="shared" si="67"/>
        <v>1.3373974591507312E-2</v>
      </c>
      <c r="J75" s="87">
        <f t="shared" si="67"/>
        <v>1.3058292698569011E-2</v>
      </c>
      <c r="K75" s="87">
        <f t="shared" si="67"/>
        <v>1.4417677874182655E-2</v>
      </c>
      <c r="L75" s="87">
        <f t="shared" si="67"/>
        <v>1.1277007745617611E-2</v>
      </c>
      <c r="M75" s="87">
        <f t="shared" si="67"/>
        <v>7.1900351424518038E-3</v>
      </c>
      <c r="N75" s="87">
        <f t="shared" si="67"/>
        <v>8.4505175013180334E-3</v>
      </c>
      <c r="O75" s="87">
        <f t="shared" si="67"/>
        <v>8.1708320663877506E-3</v>
      </c>
      <c r="P75" s="87">
        <f t="shared" si="67"/>
        <v>6.8606648069398377E-3</v>
      </c>
      <c r="Q75" s="87">
        <f t="shared" si="67"/>
        <v>7.0704330814779443E-3</v>
      </c>
      <c r="R75" s="87">
        <f t="shared" si="67"/>
        <v>7.0915829502493748E-3</v>
      </c>
      <c r="S75" s="87">
        <f t="shared" si="67"/>
        <v>7.0934600869645356E-3</v>
      </c>
      <c r="T75" s="87">
        <f t="shared" ref="T75:Y75" si="68">T33/T$23</f>
        <v>7.1756910283941964E-3</v>
      </c>
      <c r="U75" s="87">
        <f t="shared" si="68"/>
        <v>7.7164617767281063E-3</v>
      </c>
      <c r="V75" s="87">
        <f t="shared" si="68"/>
        <v>7.6233395936819237E-3</v>
      </c>
      <c r="W75" s="87">
        <f t="shared" si="68"/>
        <v>6.7694513793614217E-3</v>
      </c>
      <c r="X75" s="87">
        <f t="shared" si="68"/>
        <v>5.7721938132236543E-3</v>
      </c>
      <c r="Y75" s="87">
        <f t="shared" si="68"/>
        <v>8.7393511852349101E-3</v>
      </c>
    </row>
    <row r="76" spans="1:25" x14ac:dyDescent="0.25">
      <c r="A76" s="88" t="s">
        <v>5</v>
      </c>
      <c r="B76" s="44"/>
      <c r="C76" s="44"/>
      <c r="D76" s="89">
        <f t="shared" si="46"/>
        <v>1.0067899698302265E-2</v>
      </c>
      <c r="E76" s="89">
        <f t="shared" ref="E76:S76" si="69">E34/E$23</f>
        <v>8.2607737799499838E-3</v>
      </c>
      <c r="F76" s="89">
        <f t="shared" si="69"/>
        <v>8.5214325223720733E-3</v>
      </c>
      <c r="G76" s="89">
        <f t="shared" si="69"/>
        <v>8.3407656498267653E-3</v>
      </c>
      <c r="H76" s="89">
        <f t="shared" si="69"/>
        <v>9.6842909529622611E-3</v>
      </c>
      <c r="I76" s="89">
        <f t="shared" si="69"/>
        <v>9.4498756998961618E-3</v>
      </c>
      <c r="J76" s="89">
        <f t="shared" si="69"/>
        <v>9.2268189990953979E-3</v>
      </c>
      <c r="K76" s="89">
        <f t="shared" si="69"/>
        <v>1.0187342802242736E-2</v>
      </c>
      <c r="L76" s="89">
        <f t="shared" si="69"/>
        <v>7.9681863258902856E-3</v>
      </c>
      <c r="M76" s="89">
        <f t="shared" si="69"/>
        <v>5.3118004951654791E-3</v>
      </c>
      <c r="N76" s="89">
        <f t="shared" si="69"/>
        <v>5.4689739013788468E-3</v>
      </c>
      <c r="O76" s="89">
        <f t="shared" si="69"/>
        <v>5.251185160521317E-3</v>
      </c>
      <c r="P76" s="89">
        <f t="shared" si="69"/>
        <v>3.8718608667160205E-3</v>
      </c>
      <c r="Q76" s="89">
        <f t="shared" si="69"/>
        <v>4.3289040554186625E-3</v>
      </c>
      <c r="R76" s="89">
        <f t="shared" si="69"/>
        <v>4.5911556428179139E-3</v>
      </c>
      <c r="S76" s="89">
        <f t="shared" si="69"/>
        <v>4.3363966340184959E-3</v>
      </c>
      <c r="T76" s="89">
        <f t="shared" ref="T76:Y76" si="70">T34/T$23</f>
        <v>4.4406081974287673E-3</v>
      </c>
      <c r="U76" s="89">
        <f t="shared" si="70"/>
        <v>4.9208148654639513E-3</v>
      </c>
      <c r="V76" s="89">
        <f t="shared" si="70"/>
        <v>4.7125127591872975E-3</v>
      </c>
      <c r="W76" s="89">
        <f t="shared" si="70"/>
        <v>4.0230255436248799E-3</v>
      </c>
      <c r="X76" s="89">
        <f t="shared" si="70"/>
        <v>3.0854011942952806E-3</v>
      </c>
      <c r="Y76" s="89">
        <f t="shared" si="70"/>
        <v>5.4618771977681287E-3</v>
      </c>
    </row>
    <row r="77" spans="1:25" x14ac:dyDescent="0.25">
      <c r="A77" s="88" t="s">
        <v>269</v>
      </c>
      <c r="B77" s="44"/>
      <c r="C77" s="44"/>
      <c r="D77" s="89">
        <f>D37/D$23</f>
        <v>4.1807358426306333E-3</v>
      </c>
      <c r="E77" s="89">
        <f t="shared" ref="E77:S77" si="71">E37/E$23</f>
        <v>3.4303195368070682E-3</v>
      </c>
      <c r="F77" s="89">
        <f t="shared" si="71"/>
        <v>3.5385591279625916E-3</v>
      </c>
      <c r="G77" s="89">
        <f t="shared" si="71"/>
        <v>3.4635364824992573E-3</v>
      </c>
      <c r="H77" s="89">
        <f t="shared" si="71"/>
        <v>4.0214407682607591E-3</v>
      </c>
      <c r="I77" s="89">
        <f t="shared" si="71"/>
        <v>3.9240988916111504E-3</v>
      </c>
      <c r="J77" s="89">
        <f t="shared" si="71"/>
        <v>3.8314736994736133E-3</v>
      </c>
      <c r="K77" s="89">
        <f t="shared" si="71"/>
        <v>4.2303350719399202E-3</v>
      </c>
      <c r="L77" s="89">
        <f t="shared" si="71"/>
        <v>3.3088214197273254E-3</v>
      </c>
      <c r="M77" s="89">
        <f t="shared" si="71"/>
        <v>1.878234647286324E-3</v>
      </c>
      <c r="N77" s="89">
        <f t="shared" si="71"/>
        <v>2.9815435999391861E-3</v>
      </c>
      <c r="O77" s="89">
        <f t="shared" si="71"/>
        <v>2.9196469058664332E-3</v>
      </c>
      <c r="P77" s="89">
        <f t="shared" si="71"/>
        <v>2.9888039402238176E-3</v>
      </c>
      <c r="Q77" s="89">
        <f t="shared" si="71"/>
        <v>2.7415290260592814E-3</v>
      </c>
      <c r="R77" s="89">
        <f t="shared" si="71"/>
        <v>2.5004273074314617E-3</v>
      </c>
      <c r="S77" s="89">
        <f t="shared" si="71"/>
        <v>2.7570634529460398E-3</v>
      </c>
      <c r="T77" s="89">
        <f t="shared" ref="T77:Y77" si="72">T37/T$23</f>
        <v>2.7350828309654295E-3</v>
      </c>
      <c r="U77" s="89">
        <f t="shared" si="72"/>
        <v>2.7956469112641546E-3</v>
      </c>
      <c r="V77" s="89">
        <f t="shared" si="72"/>
        <v>2.9108268344946258E-3</v>
      </c>
      <c r="W77" s="89">
        <f t="shared" si="72"/>
        <v>2.7464258357365427E-3</v>
      </c>
      <c r="X77" s="89">
        <f t="shared" si="72"/>
        <v>2.6867926189283733E-3</v>
      </c>
      <c r="Y77" s="89">
        <f t="shared" si="72"/>
        <v>3.277473987466781E-3</v>
      </c>
    </row>
    <row r="78" spans="1:25" x14ac:dyDescent="0.25">
      <c r="A78" s="68" t="s">
        <v>271</v>
      </c>
      <c r="B78" s="44"/>
      <c r="C78" s="44"/>
      <c r="D78" s="89">
        <f>D43/D$23</f>
        <v>4.3623761839235713E-2</v>
      </c>
      <c r="E78" s="89">
        <f t="shared" ref="E78:S78" si="73">E43/E$23</f>
        <v>4.3802432558206317E-2</v>
      </c>
      <c r="F78" s="89">
        <f t="shared" si="73"/>
        <v>4.3916295627220561E-2</v>
      </c>
      <c r="G78" s="89">
        <f t="shared" si="73"/>
        <v>4.2750544138981945E-2</v>
      </c>
      <c r="H78" s="89">
        <f t="shared" si="73"/>
        <v>4.0824571618008086E-2</v>
      </c>
      <c r="I78" s="89">
        <f t="shared" si="73"/>
        <v>4.291137443480391E-2</v>
      </c>
      <c r="J78" s="89">
        <f t="shared" si="73"/>
        <v>3.7130899454042555E-2</v>
      </c>
      <c r="K78" s="89">
        <f t="shared" si="73"/>
        <v>3.8353312856401513E-2</v>
      </c>
      <c r="L78" s="89">
        <f t="shared" si="73"/>
        <v>3.430270332246229E-2</v>
      </c>
      <c r="M78" s="89">
        <f t="shared" si="73"/>
        <v>3.7151099619174337E-2</v>
      </c>
      <c r="N78" s="89">
        <f t="shared" si="73"/>
        <v>4.0954286612794322E-2</v>
      </c>
      <c r="O78" s="89">
        <f t="shared" si="73"/>
        <v>3.7960169015995353E-2</v>
      </c>
      <c r="P78" s="89">
        <f t="shared" si="73"/>
        <v>3.7828710001431599E-2</v>
      </c>
      <c r="Q78" s="89">
        <f t="shared" si="73"/>
        <v>3.9559949237624105E-2</v>
      </c>
      <c r="R78" s="89">
        <f t="shared" si="73"/>
        <v>3.934717834259243E-2</v>
      </c>
      <c r="S78" s="89">
        <f t="shared" si="73"/>
        <v>4.0202613650731744E-2</v>
      </c>
      <c r="T78" s="89">
        <f t="shared" ref="T78:Y78" si="74">T43/T$23</f>
        <v>3.8797477402314963E-2</v>
      </c>
      <c r="U78" s="89">
        <f t="shared" si="74"/>
        <v>4.0464010288279874E-2</v>
      </c>
      <c r="V78" s="89">
        <f t="shared" si="74"/>
        <v>4.2570126630664784E-2</v>
      </c>
      <c r="W78" s="89">
        <f t="shared" si="74"/>
        <v>4.5111657688389949E-2</v>
      </c>
      <c r="X78" s="89">
        <f t="shared" si="74"/>
        <v>4.927192992423738E-2</v>
      </c>
      <c r="Y78" s="89">
        <f t="shared" si="74"/>
        <v>4.3519942501422132E-2</v>
      </c>
    </row>
    <row r="79" spans="1:25" x14ac:dyDescent="0.25">
      <c r="A79" s="88" t="s">
        <v>272</v>
      </c>
      <c r="B79" s="44"/>
      <c r="C79" s="44"/>
      <c r="D79" s="89">
        <f>D44/D$23</f>
        <v>3.1110716482070675E-2</v>
      </c>
      <c r="E79" s="89">
        <f t="shared" ref="E79:S79" si="75">E44/E$23</f>
        <v>3.0098706019572288E-2</v>
      </c>
      <c r="F79" s="89">
        <f t="shared" si="75"/>
        <v>2.9769296538650732E-2</v>
      </c>
      <c r="G79" s="89">
        <f t="shared" si="75"/>
        <v>2.7991890919688178E-2</v>
      </c>
      <c r="H79" s="89">
        <f t="shared" si="75"/>
        <v>2.7402023973231174E-2</v>
      </c>
      <c r="I79" s="89">
        <f t="shared" si="75"/>
        <v>2.7037297794628955E-2</v>
      </c>
      <c r="J79" s="89">
        <f t="shared" si="75"/>
        <v>2.4988052655206879E-2</v>
      </c>
      <c r="K79" s="89">
        <f t="shared" si="75"/>
        <v>2.3777442692804594E-2</v>
      </c>
      <c r="L79" s="89">
        <f t="shared" si="75"/>
        <v>2.1876592437831226E-2</v>
      </c>
      <c r="M79" s="89">
        <f t="shared" si="75"/>
        <v>2.192001142444696E-2</v>
      </c>
      <c r="N79" s="89">
        <f t="shared" si="75"/>
        <v>2.3123074978341096E-2</v>
      </c>
      <c r="O79" s="89">
        <f t="shared" si="75"/>
        <v>2.3240591924910341E-2</v>
      </c>
      <c r="P79" s="89">
        <f t="shared" si="75"/>
        <v>2.1925205596800175E-2</v>
      </c>
      <c r="Q79" s="89">
        <f t="shared" si="75"/>
        <v>2.1725590266479678E-2</v>
      </c>
      <c r="R79" s="89">
        <f t="shared" si="75"/>
        <v>2.2685244759588934E-2</v>
      </c>
      <c r="S79" s="89">
        <f t="shared" si="75"/>
        <v>2.4666650236698694E-2</v>
      </c>
      <c r="T79" s="89">
        <f t="shared" ref="T79:Y79" si="76">T44/T$23</f>
        <v>2.2066870868027649E-2</v>
      </c>
      <c r="U79" s="89">
        <f t="shared" si="76"/>
        <v>2.2943609657906126E-2</v>
      </c>
      <c r="V79" s="89">
        <f t="shared" si="76"/>
        <v>2.2432428215644628E-2</v>
      </c>
      <c r="W79" s="89">
        <f t="shared" si="76"/>
        <v>2.0071543850970514E-2</v>
      </c>
      <c r="X79" s="89">
        <f t="shared" si="76"/>
        <v>2.0544416396753643E-2</v>
      </c>
      <c r="Y79" s="89">
        <f t="shared" si="76"/>
        <v>2.0878111535497672E-2</v>
      </c>
    </row>
    <row r="80" spans="1:25" x14ac:dyDescent="0.25">
      <c r="A80" s="88" t="s">
        <v>11</v>
      </c>
      <c r="B80" s="44"/>
      <c r="C80" s="44"/>
      <c r="D80" s="89">
        <f>D47/D$23</f>
        <v>1.2513045357165041E-2</v>
      </c>
      <c r="E80" s="89">
        <f t="shared" ref="E80:S80" si="77">E47/E$23</f>
        <v>1.3703726538634029E-2</v>
      </c>
      <c r="F80" s="89">
        <f t="shared" si="77"/>
        <v>1.4146999088569831E-2</v>
      </c>
      <c r="G80" s="89">
        <f t="shared" si="77"/>
        <v>1.4758653219293764E-2</v>
      </c>
      <c r="H80" s="89">
        <f t="shared" si="77"/>
        <v>1.3422547644776914E-2</v>
      </c>
      <c r="I80" s="89">
        <f t="shared" si="77"/>
        <v>1.5874076640174949E-2</v>
      </c>
      <c r="J80" s="89">
        <f t="shared" si="77"/>
        <v>1.2142846798835679E-2</v>
      </c>
      <c r="K80" s="89">
        <f t="shared" si="77"/>
        <v>1.4575870163596918E-2</v>
      </c>
      <c r="L80" s="89">
        <f t="shared" si="77"/>
        <v>1.2426110884631063E-2</v>
      </c>
      <c r="M80" s="89">
        <f t="shared" si="77"/>
        <v>1.523108819472737E-2</v>
      </c>
      <c r="N80" s="89">
        <f t="shared" si="77"/>
        <v>1.7831211634453222E-2</v>
      </c>
      <c r="O80" s="89">
        <f t="shared" si="77"/>
        <v>1.4719577091085005E-2</v>
      </c>
      <c r="P80" s="89">
        <f t="shared" si="77"/>
        <v>1.5903504404631428E-2</v>
      </c>
      <c r="Q80" s="89">
        <f t="shared" si="77"/>
        <v>1.7834358971144427E-2</v>
      </c>
      <c r="R80" s="89">
        <f t="shared" si="77"/>
        <v>1.6661933583003496E-2</v>
      </c>
      <c r="S80" s="89">
        <f t="shared" si="77"/>
        <v>1.5535963414033052E-2</v>
      </c>
      <c r="T80" s="89">
        <f t="shared" ref="T80:Y80" si="78">T47/T$23</f>
        <v>1.6730606534287314E-2</v>
      </c>
      <c r="U80" s="89">
        <f t="shared" si="78"/>
        <v>1.7520400630373748E-2</v>
      </c>
      <c r="V80" s="89">
        <f t="shared" si="78"/>
        <v>2.0137698415020156E-2</v>
      </c>
      <c r="W80" s="89">
        <f t="shared" si="78"/>
        <v>2.5040113837419439E-2</v>
      </c>
      <c r="X80" s="89">
        <f t="shared" si="78"/>
        <v>2.872751352748374E-2</v>
      </c>
      <c r="Y80" s="89">
        <f t="shared" si="78"/>
        <v>2.264183096592446E-2</v>
      </c>
    </row>
    <row r="81" spans="1:25" x14ac:dyDescent="0.25">
      <c r="A81" s="68" t="s">
        <v>4</v>
      </c>
      <c r="B81" s="44"/>
      <c r="C81" s="44"/>
      <c r="D81" s="89">
        <f>D48/D$23</f>
        <v>9.9267185535815376E-3</v>
      </c>
      <c r="E81" s="89">
        <f t="shared" ref="E81:S81" si="79">E48/E$23</f>
        <v>9.9107194889279833E-3</v>
      </c>
      <c r="F81" s="89">
        <f t="shared" si="79"/>
        <v>9.7542246158111266E-3</v>
      </c>
      <c r="G81" s="89">
        <f t="shared" si="79"/>
        <v>9.3601433779417452E-3</v>
      </c>
      <c r="H81" s="89">
        <f t="shared" si="79"/>
        <v>8.9848643774821085E-3</v>
      </c>
      <c r="I81" s="89">
        <f t="shared" si="79"/>
        <v>8.551136497046731E-3</v>
      </c>
      <c r="J81" s="89">
        <f t="shared" si="79"/>
        <v>8.5014064421186537E-3</v>
      </c>
      <c r="K81" s="89">
        <f t="shared" si="79"/>
        <v>8.8075595691820552E-3</v>
      </c>
      <c r="L81" s="89">
        <f t="shared" si="79"/>
        <v>8.2781288218507949E-3</v>
      </c>
      <c r="M81" s="89">
        <f t="shared" si="79"/>
        <v>7.8775697332281788E-3</v>
      </c>
      <c r="N81" s="89">
        <f t="shared" si="79"/>
        <v>7.0979537347347112E-3</v>
      </c>
      <c r="O81" s="89">
        <f t="shared" si="79"/>
        <v>7.2815403995475292E-3</v>
      </c>
      <c r="P81" s="89">
        <f t="shared" si="79"/>
        <v>6.6256390758243442E-3</v>
      </c>
      <c r="Q81" s="89">
        <f t="shared" si="79"/>
        <v>6.2626685122258796E-3</v>
      </c>
      <c r="R81" s="89">
        <f t="shared" si="79"/>
        <v>6.3633166787951936E-3</v>
      </c>
      <c r="S81" s="89">
        <f t="shared" si="79"/>
        <v>6.4162596677860484E-3</v>
      </c>
      <c r="T81" s="89">
        <f t="shared" ref="T81:Y81" si="80">T48/T$23</f>
        <v>6.3973718904666204E-3</v>
      </c>
      <c r="U81" s="89">
        <f t="shared" si="80"/>
        <v>6.3656968680035949E-3</v>
      </c>
      <c r="V81" s="89">
        <f t="shared" si="80"/>
        <v>6.4280713250681109E-3</v>
      </c>
      <c r="W81" s="89">
        <f t="shared" si="80"/>
        <v>6.2527743892950502E-3</v>
      </c>
      <c r="X81" s="89">
        <f t="shared" si="80"/>
        <v>6.2356616892424912E-3</v>
      </c>
      <c r="Y81" s="89">
        <f t="shared" si="80"/>
        <v>6.4041336815446742E-3</v>
      </c>
    </row>
    <row r="82" spans="1:25" x14ac:dyDescent="0.25">
      <c r="A82" s="68" t="s">
        <v>3</v>
      </c>
      <c r="B82" s="44"/>
      <c r="C82" s="44"/>
      <c r="D82" s="89">
        <f>D52/D$23</f>
        <v>1.1215289289816443E-2</v>
      </c>
      <c r="E82" s="89">
        <f t="shared" ref="E82:S82" si="81">E52/E$23</f>
        <v>1.0611720569145312E-2</v>
      </c>
      <c r="F82" s="89">
        <f t="shared" si="81"/>
        <v>1.0195014979921141E-2</v>
      </c>
      <c r="G82" s="89">
        <f t="shared" si="81"/>
        <v>9.6734054405163382E-3</v>
      </c>
      <c r="H82" s="89">
        <f t="shared" si="81"/>
        <v>9.2049927995728822E-3</v>
      </c>
      <c r="I82" s="89">
        <f t="shared" si="81"/>
        <v>8.5818414058946926E-3</v>
      </c>
      <c r="J82" s="89">
        <f t="shared" si="81"/>
        <v>8.2665971548424172E-3</v>
      </c>
      <c r="K82" s="89">
        <f t="shared" si="81"/>
        <v>7.8854779152148034E-3</v>
      </c>
      <c r="L82" s="89">
        <f t="shared" si="81"/>
        <v>7.503567060741948E-3</v>
      </c>
      <c r="M82" s="89">
        <f t="shared" si="81"/>
        <v>6.9053932371538774E-3</v>
      </c>
      <c r="N82" s="89">
        <f t="shared" si="81"/>
        <v>6.3428981923680508E-3</v>
      </c>
      <c r="O82" s="89">
        <f t="shared" si="81"/>
        <v>6.2931740839760287E-3</v>
      </c>
      <c r="P82" s="89">
        <f t="shared" si="81"/>
        <v>6.1709468783888201E-3</v>
      </c>
      <c r="Q82" s="89">
        <f t="shared" si="81"/>
        <v>5.7894068016341067E-3</v>
      </c>
      <c r="R82" s="89">
        <f t="shared" si="81"/>
        <v>5.8530310963596675E-3</v>
      </c>
      <c r="S82" s="89">
        <f t="shared" si="81"/>
        <v>5.5740452224153332E-3</v>
      </c>
      <c r="T82" s="89">
        <f t="shared" ref="T82:Y82" si="82">T52/T$23</f>
        <v>5.3258485540424042E-3</v>
      </c>
      <c r="U82" s="89">
        <f t="shared" si="82"/>
        <v>4.9990643125795422E-3</v>
      </c>
      <c r="V82" s="89">
        <f t="shared" si="82"/>
        <v>4.6474799659093789E-3</v>
      </c>
      <c r="W82" s="89">
        <f t="shared" si="82"/>
        <v>4.4837173037417192E-3</v>
      </c>
      <c r="X82" s="89">
        <f t="shared" si="82"/>
        <v>4.1895851974597994E-3</v>
      </c>
      <c r="Y82" s="89">
        <f t="shared" si="82"/>
        <v>4.0113028147328623E-3</v>
      </c>
    </row>
    <row r="83" spans="1:25" x14ac:dyDescent="0.25">
      <c r="A83" s="88" t="s">
        <v>21</v>
      </c>
      <c r="B83" s="44"/>
      <c r="C83" s="44"/>
      <c r="D83" s="89">
        <f>D53/D$23</f>
        <v>5.446901350418633E-3</v>
      </c>
      <c r="E83" s="89">
        <f t="shared" ref="E83:S83" si="83">E53/E$23</f>
        <v>5.1928977611038997E-3</v>
      </c>
      <c r="F83" s="89">
        <f t="shared" si="83"/>
        <v>5.0437376078822154E-3</v>
      </c>
      <c r="G83" s="89">
        <f t="shared" si="83"/>
        <v>4.5976865457715973E-3</v>
      </c>
      <c r="H83" s="89">
        <f t="shared" si="83"/>
        <v>4.4308868494600997E-3</v>
      </c>
      <c r="I83" s="89">
        <f t="shared" si="83"/>
        <v>4.0436558781658119E-3</v>
      </c>
      <c r="J83" s="89">
        <f t="shared" si="83"/>
        <v>3.9741730472039076E-3</v>
      </c>
      <c r="K83" s="89">
        <f t="shared" si="83"/>
        <v>3.6560358186483589E-3</v>
      </c>
      <c r="L83" s="89">
        <f t="shared" si="83"/>
        <v>3.4208749490419891E-3</v>
      </c>
      <c r="M83" s="89">
        <f t="shared" si="83"/>
        <v>3.143338361683904E-3</v>
      </c>
      <c r="N83" s="89">
        <f t="shared" si="83"/>
        <v>2.7766558654774053E-3</v>
      </c>
      <c r="O83" s="89">
        <f t="shared" si="83"/>
        <v>2.8318093292021484E-3</v>
      </c>
      <c r="P83" s="89">
        <f t="shared" si="83"/>
        <v>2.917680716240191E-3</v>
      </c>
      <c r="Q83" s="89">
        <f t="shared" si="83"/>
        <v>2.8059490222202216E-3</v>
      </c>
      <c r="R83" s="89">
        <f t="shared" si="83"/>
        <v>2.9682535808736093E-3</v>
      </c>
      <c r="S83" s="89">
        <f t="shared" si="83"/>
        <v>2.8888169780145602E-3</v>
      </c>
      <c r="T83" s="89">
        <f t="shared" ref="T83:Y83" si="84">T53/T$23</f>
        <v>2.7635667483524189E-3</v>
      </c>
      <c r="U83" s="89">
        <f t="shared" si="84"/>
        <v>2.6330218824922686E-3</v>
      </c>
      <c r="V83" s="89">
        <f t="shared" si="84"/>
        <v>2.4602584880380534E-3</v>
      </c>
      <c r="W83" s="89">
        <f t="shared" si="84"/>
        <v>2.4600657593151034E-3</v>
      </c>
      <c r="X83" s="89">
        <f t="shared" si="84"/>
        <v>2.4783563886641119E-3</v>
      </c>
      <c r="Y83" s="89">
        <f t="shared" si="84"/>
        <v>2.3400738024974177E-3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5.7683879393978111E-3</v>
      </c>
      <c r="E84" s="89">
        <f t="shared" ref="E84:S84" si="86">E56/E$23</f>
        <v>5.4188228080414118E-3</v>
      </c>
      <c r="F84" s="89">
        <f t="shared" si="86"/>
        <v>5.1512773720389258E-3</v>
      </c>
      <c r="G84" s="89">
        <f t="shared" si="86"/>
        <v>5.0757188947447409E-3</v>
      </c>
      <c r="H84" s="89">
        <f t="shared" si="86"/>
        <v>4.7741059501127826E-3</v>
      </c>
      <c r="I84" s="89">
        <f t="shared" si="86"/>
        <v>4.5381855277288816E-3</v>
      </c>
      <c r="J84" s="89">
        <f t="shared" si="86"/>
        <v>4.2924241076385088E-3</v>
      </c>
      <c r="K84" s="89">
        <f t="shared" si="86"/>
        <v>4.2294420965664431E-3</v>
      </c>
      <c r="L84" s="89">
        <f t="shared" si="86"/>
        <v>4.0826921116999589E-3</v>
      </c>
      <c r="M84" s="89">
        <f t="shared" si="86"/>
        <v>3.7620548754699738E-3</v>
      </c>
      <c r="N84" s="89">
        <f t="shared" si="86"/>
        <v>3.566242326890645E-3</v>
      </c>
      <c r="O84" s="89">
        <f t="shared" si="86"/>
        <v>3.4613647547738803E-3</v>
      </c>
      <c r="P84" s="89">
        <f t="shared" si="86"/>
        <v>3.2532661621486286E-3</v>
      </c>
      <c r="Q84" s="89">
        <f t="shared" si="86"/>
        <v>2.9834577794138856E-3</v>
      </c>
      <c r="R84" s="89">
        <f t="shared" si="86"/>
        <v>2.8847775154860582E-3</v>
      </c>
      <c r="S84" s="89">
        <f t="shared" si="86"/>
        <v>2.6852282444007731E-3</v>
      </c>
      <c r="T84" s="89">
        <f t="shared" ref="T84:Y84" si="87">T56/T$23</f>
        <v>2.5622818056899848E-3</v>
      </c>
      <c r="U84" s="89">
        <f t="shared" si="87"/>
        <v>2.366042430087274E-3</v>
      </c>
      <c r="V84" s="89">
        <f t="shared" si="87"/>
        <v>2.1872214778713255E-3</v>
      </c>
      <c r="W84" s="89">
        <f t="shared" si="87"/>
        <v>2.0236515444266162E-3</v>
      </c>
      <c r="X84" s="89">
        <f t="shared" si="87"/>
        <v>1.7112288087956871E-3</v>
      </c>
      <c r="Y84" s="89">
        <f t="shared" si="87"/>
        <v>1.6712290122354446E-3</v>
      </c>
    </row>
    <row r="85" spans="1:25" x14ac:dyDescent="0.25">
      <c r="A85" s="68" t="s">
        <v>2</v>
      </c>
      <c r="B85" s="44"/>
      <c r="C85" s="44"/>
      <c r="D85" s="89">
        <f t="shared" si="85"/>
        <v>2.398946048864212E-2</v>
      </c>
      <c r="E85" s="89">
        <f t="shared" ref="E85:S85" si="88">E57/E$23</f>
        <v>2.3799408963185623E-2</v>
      </c>
      <c r="F85" s="89">
        <f t="shared" si="88"/>
        <v>2.3866876403281476E-2</v>
      </c>
      <c r="G85" s="89">
        <f t="shared" si="88"/>
        <v>2.3753919746150529E-2</v>
      </c>
      <c r="H85" s="89">
        <f t="shared" si="88"/>
        <v>2.4158999929770348E-2</v>
      </c>
      <c r="I85" s="89">
        <f t="shared" si="88"/>
        <v>2.3030487807080696E-2</v>
      </c>
      <c r="J85" s="89">
        <f t="shared" si="88"/>
        <v>2.184415973100028E-2</v>
      </c>
      <c r="K85" s="89">
        <f t="shared" si="88"/>
        <v>2.1399665806557246E-2</v>
      </c>
      <c r="L85" s="89">
        <f t="shared" si="88"/>
        <v>2.1206813086017122E-2</v>
      </c>
      <c r="M85" s="89">
        <f t="shared" si="88"/>
        <v>2.3292172799929695E-2</v>
      </c>
      <c r="N85" s="89">
        <f t="shared" si="88"/>
        <v>2.1399612143784282E-2</v>
      </c>
      <c r="O85" s="89">
        <f t="shared" si="88"/>
        <v>2.0346898130434603E-2</v>
      </c>
      <c r="P85" s="89">
        <f t="shared" si="88"/>
        <v>2.0695884818265124E-2</v>
      </c>
      <c r="Q85" s="89">
        <f t="shared" si="88"/>
        <v>2.1431831793499476E-2</v>
      </c>
      <c r="R85" s="89">
        <f t="shared" si="88"/>
        <v>2.155374194636233E-2</v>
      </c>
      <c r="S85" s="89">
        <f t="shared" si="88"/>
        <v>2.1530044339483141E-2</v>
      </c>
      <c r="T85" s="89">
        <f t="shared" ref="T85:Y85" si="89">T57/T$23</f>
        <v>2.1241680721459398E-2</v>
      </c>
      <c r="U85" s="89">
        <f t="shared" si="89"/>
        <v>2.074556278890766E-2</v>
      </c>
      <c r="V85" s="89">
        <f t="shared" si="89"/>
        <v>2.0748374942223421E-2</v>
      </c>
      <c r="W85" s="89">
        <f t="shared" si="89"/>
        <v>2.0895699810668772E-2</v>
      </c>
      <c r="X85" s="89">
        <f t="shared" si="89"/>
        <v>2.0740247893663011E-2</v>
      </c>
      <c r="Y85" s="89">
        <f t="shared" si="89"/>
        <v>2.0587175088776454E-2</v>
      </c>
    </row>
    <row r="86" spans="1:25" x14ac:dyDescent="0.25">
      <c r="A86" s="68" t="s">
        <v>275</v>
      </c>
      <c r="B86" s="44"/>
      <c r="C86" s="44"/>
      <c r="D86" s="89">
        <f t="shared" si="85"/>
        <v>1.7831789468711702E-2</v>
      </c>
      <c r="E86" s="89">
        <f t="shared" ref="E86:S86" si="90">E58/E$23</f>
        <v>1.7530939062736218E-2</v>
      </c>
      <c r="F86" s="89">
        <f t="shared" si="90"/>
        <v>1.6856346911012274E-2</v>
      </c>
      <c r="G86" s="89">
        <f t="shared" si="90"/>
        <v>1.6189176934700941E-2</v>
      </c>
      <c r="H86" s="89">
        <f t="shared" si="90"/>
        <v>1.4801842886453757E-2</v>
      </c>
      <c r="I86" s="89">
        <f t="shared" si="90"/>
        <v>1.398626659735786E-2</v>
      </c>
      <c r="J86" s="89">
        <f t="shared" si="90"/>
        <v>1.3192420176910354E-2</v>
      </c>
      <c r="K86" s="89">
        <f t="shared" si="90"/>
        <v>1.2000434457998966E-2</v>
      </c>
      <c r="L86" s="89">
        <f t="shared" si="90"/>
        <v>1.1360769975540154E-2</v>
      </c>
      <c r="M86" s="89">
        <f t="shared" si="90"/>
        <v>9.3789669340448197E-3</v>
      </c>
      <c r="N86" s="89">
        <f t="shared" si="90"/>
        <v>1.0046647571890598E-2</v>
      </c>
      <c r="O86" s="89">
        <f t="shared" si="90"/>
        <v>1.043526795675942E-2</v>
      </c>
      <c r="P86" s="89">
        <f t="shared" si="90"/>
        <v>1.0380834419590772E-2</v>
      </c>
      <c r="Q86" s="89">
        <f t="shared" si="90"/>
        <v>1.0293798362588563E-2</v>
      </c>
      <c r="R86" s="89">
        <f t="shared" si="90"/>
        <v>1.0313592676736302E-2</v>
      </c>
      <c r="S86" s="89">
        <f t="shared" si="90"/>
        <v>8.6790412899382177E-3</v>
      </c>
      <c r="T86" s="89">
        <f t="shared" ref="T86:Y86" si="91">T58/T$23</f>
        <v>7.9865594778777953E-3</v>
      </c>
      <c r="U86" s="89">
        <f t="shared" si="91"/>
        <v>8.2355605044702671E-3</v>
      </c>
      <c r="V86" s="89">
        <f t="shared" si="91"/>
        <v>8.0231437871403476E-3</v>
      </c>
      <c r="W86" s="89">
        <f t="shared" si="91"/>
        <v>7.724414602396229E-3</v>
      </c>
      <c r="X86" s="89">
        <f t="shared" si="91"/>
        <v>6.5269912618051932E-3</v>
      </c>
      <c r="Y86" s="89">
        <f t="shared" si="91"/>
        <v>5.9842845755782477E-3</v>
      </c>
    </row>
    <row r="87" spans="1:25" x14ac:dyDescent="0.25">
      <c r="A87" s="68" t="s">
        <v>276</v>
      </c>
      <c r="B87" s="44"/>
      <c r="C87" s="44"/>
      <c r="D87" s="89">
        <f t="shared" si="85"/>
        <v>4.3107633709990226E-2</v>
      </c>
      <c r="E87" s="89">
        <f t="shared" ref="E87:S87" si="92">E59/E$23</f>
        <v>4.0273778927907525E-2</v>
      </c>
      <c r="F87" s="89">
        <f t="shared" si="92"/>
        <v>3.9323161898048221E-2</v>
      </c>
      <c r="G87" s="89">
        <f t="shared" si="92"/>
        <v>3.7434220922411852E-2</v>
      </c>
      <c r="H87" s="89">
        <f t="shared" si="92"/>
        <v>3.6803357732473355E-2</v>
      </c>
      <c r="I87" s="89">
        <f t="shared" si="92"/>
        <v>3.5911377685911898E-2</v>
      </c>
      <c r="J87" s="89">
        <f t="shared" si="92"/>
        <v>3.6601630355703324E-2</v>
      </c>
      <c r="K87" s="89">
        <f t="shared" si="92"/>
        <v>3.6462833455483873E-2</v>
      </c>
      <c r="L87" s="89">
        <f t="shared" si="92"/>
        <v>3.5880490725642068E-2</v>
      </c>
      <c r="M87" s="89">
        <f t="shared" si="92"/>
        <v>2.9119093074672139E-2</v>
      </c>
      <c r="N87" s="89">
        <f t="shared" si="92"/>
        <v>2.958498151670896E-2</v>
      </c>
      <c r="O87" s="89">
        <f t="shared" si="92"/>
        <v>3.0742893253462703E-2</v>
      </c>
      <c r="P87" s="89">
        <f t="shared" si="92"/>
        <v>2.9571221490451462E-2</v>
      </c>
      <c r="Q87" s="89">
        <f t="shared" si="92"/>
        <v>2.8137844810048537E-2</v>
      </c>
      <c r="R87" s="89">
        <f t="shared" si="92"/>
        <v>2.7769796861965533E-2</v>
      </c>
      <c r="S87" s="89">
        <f t="shared" si="92"/>
        <v>2.665405130864695E-2</v>
      </c>
      <c r="T87" s="89">
        <f t="shared" ref="T87:Y87" si="93">T59/T$23</f>
        <v>2.607954999665393E-2</v>
      </c>
      <c r="U87" s="89">
        <f t="shared" si="93"/>
        <v>2.5807090218653649E-2</v>
      </c>
      <c r="V87" s="89">
        <f t="shared" si="93"/>
        <v>2.4292249064360678E-2</v>
      </c>
      <c r="W87" s="89">
        <f t="shared" si="93"/>
        <v>2.3715427043594382E-2</v>
      </c>
      <c r="X87" s="89">
        <f t="shared" si="93"/>
        <v>2.2718146012447628E-2</v>
      </c>
      <c r="Y87" s="89">
        <f t="shared" si="93"/>
        <v>2.3209797185509955E-2</v>
      </c>
    </row>
    <row r="88" spans="1:25" x14ac:dyDescent="0.25">
      <c r="A88" s="68" t="s">
        <v>1</v>
      </c>
      <c r="B88" s="44"/>
      <c r="C88" s="44"/>
      <c r="D88" s="89">
        <f t="shared" si="85"/>
        <v>1.034180804057642E-2</v>
      </c>
      <c r="E88" s="89">
        <f t="shared" ref="E88:S88" si="94">E60/E$23</f>
        <v>9.8621561610816033E-3</v>
      </c>
      <c r="F88" s="89">
        <f t="shared" si="94"/>
        <v>9.7918430884438908E-3</v>
      </c>
      <c r="G88" s="89">
        <f t="shared" si="94"/>
        <v>8.5839363661124289E-3</v>
      </c>
      <c r="H88" s="89">
        <f t="shared" si="94"/>
        <v>8.4373751630196329E-3</v>
      </c>
      <c r="I88" s="89">
        <f t="shared" si="94"/>
        <v>7.6838131306472207E-3</v>
      </c>
      <c r="J88" s="89">
        <f t="shared" si="94"/>
        <v>7.3266704043064238E-3</v>
      </c>
      <c r="K88" s="89">
        <f t="shared" si="94"/>
        <v>6.9298007853513281E-3</v>
      </c>
      <c r="L88" s="89">
        <f t="shared" si="94"/>
        <v>5.9859738075825515E-3</v>
      </c>
      <c r="M88" s="89">
        <f t="shared" si="94"/>
        <v>4.9009455862250115E-3</v>
      </c>
      <c r="N88" s="89">
        <f t="shared" si="94"/>
        <v>4.8352536018523365E-3</v>
      </c>
      <c r="O88" s="89">
        <f t="shared" si="94"/>
        <v>4.3342927408927196E-3</v>
      </c>
      <c r="P88" s="89">
        <f t="shared" si="94"/>
        <v>4.0093477065140095E-3</v>
      </c>
      <c r="Q88" s="89">
        <f t="shared" si="94"/>
        <v>3.9693009574075858E-3</v>
      </c>
      <c r="R88" s="89">
        <f t="shared" si="94"/>
        <v>3.9866061127775514E-3</v>
      </c>
      <c r="S88" s="89">
        <f t="shared" si="94"/>
        <v>3.9622117880019798E-3</v>
      </c>
      <c r="T88" s="89">
        <f t="shared" ref="T88:Y88" si="95">T60/T$23</f>
        <v>3.7202561136069922E-3</v>
      </c>
      <c r="U88" s="89">
        <f t="shared" si="95"/>
        <v>3.5125428709811722E-3</v>
      </c>
      <c r="V88" s="89">
        <f t="shared" si="95"/>
        <v>3.3629871029017982E-3</v>
      </c>
      <c r="W88" s="89">
        <f t="shared" si="95"/>
        <v>2.907010075903313E-3</v>
      </c>
      <c r="X88" s="89">
        <f t="shared" si="95"/>
        <v>2.693771035264417E-3</v>
      </c>
      <c r="Y88" s="89">
        <f t="shared" si="95"/>
        <v>2.8731629670131487E-3</v>
      </c>
    </row>
    <row r="89" spans="1:25" x14ac:dyDescent="0.25">
      <c r="A89" s="68" t="s">
        <v>0</v>
      </c>
      <c r="B89" s="44"/>
      <c r="C89" s="44"/>
      <c r="D89" s="89">
        <f t="shared" si="85"/>
        <v>2.9401807498204489E-3</v>
      </c>
      <c r="E89" s="89">
        <f t="shared" ref="E89:S89" si="96">E61/E$23</f>
        <v>3.1207216763891859E-3</v>
      </c>
      <c r="F89" s="89">
        <f t="shared" si="96"/>
        <v>3.0041621568796624E-3</v>
      </c>
      <c r="G89" s="89">
        <f t="shared" si="96"/>
        <v>3.0726680637069423E-3</v>
      </c>
      <c r="H89" s="89">
        <f t="shared" si="96"/>
        <v>3.1886527007831738E-3</v>
      </c>
      <c r="I89" s="89">
        <f t="shared" si="96"/>
        <v>3.057486452813599E-3</v>
      </c>
      <c r="J89" s="89">
        <f t="shared" si="96"/>
        <v>3.1190672726884049E-3</v>
      </c>
      <c r="K89" s="89">
        <f t="shared" si="96"/>
        <v>3.2988800312079131E-3</v>
      </c>
      <c r="L89" s="89">
        <f t="shared" si="96"/>
        <v>2.8797645739910313E-3</v>
      </c>
      <c r="M89" s="89">
        <f t="shared" si="96"/>
        <v>2.6906898834519015E-3</v>
      </c>
      <c r="N89" s="89">
        <f t="shared" si="96"/>
        <v>2.5673121687575344E-3</v>
      </c>
      <c r="O89" s="89">
        <f t="shared" si="96"/>
        <v>2.4970976780829619E-3</v>
      </c>
      <c r="P89" s="89">
        <f t="shared" si="96"/>
        <v>2.2775181514632162E-3</v>
      </c>
      <c r="Q89" s="89">
        <f t="shared" si="96"/>
        <v>2.0508957211556821E-3</v>
      </c>
      <c r="R89" s="89">
        <f t="shared" si="96"/>
        <v>2.0697072291936602E-3</v>
      </c>
      <c r="S89" s="89">
        <f t="shared" si="96"/>
        <v>2.0557104496739366E-3</v>
      </c>
      <c r="T89" s="89">
        <f t="shared" ref="T89:Y89" si="97">T61/T$23</f>
        <v>2.2318411947732579E-3</v>
      </c>
      <c r="U89" s="89">
        <f t="shared" si="97"/>
        <v>2.3176838877648604E-3</v>
      </c>
      <c r="V89" s="89">
        <f t="shared" si="97"/>
        <v>2.3083816511328113E-3</v>
      </c>
      <c r="W89" s="89">
        <f t="shared" si="97"/>
        <v>2.3372145728183442E-3</v>
      </c>
      <c r="X89" s="89">
        <f t="shared" si="97"/>
        <v>2.3357136933844494E-3</v>
      </c>
      <c r="Y89" s="89">
        <f t="shared" si="97"/>
        <v>2.8683066682059668E-3</v>
      </c>
    </row>
    <row r="90" spans="1:25" x14ac:dyDescent="0.25">
      <c r="A90" s="90" t="s">
        <v>278</v>
      </c>
      <c r="B90" s="47"/>
      <c r="C90" s="47"/>
      <c r="D90" s="91">
        <f t="shared" si="85"/>
        <v>1.2422504236187232E-2</v>
      </c>
      <c r="E90" s="91">
        <f t="shared" ref="E90:S90" si="98">E62/E$23</f>
        <v>1.3075781595089951E-2</v>
      </c>
      <c r="F90" s="91">
        <f t="shared" si="98"/>
        <v>1.2787827316490342E-2</v>
      </c>
      <c r="G90" s="91">
        <f t="shared" si="98"/>
        <v>1.1562109663161887E-2</v>
      </c>
      <c r="H90" s="91">
        <f t="shared" si="98"/>
        <v>1.1742322124530007E-2</v>
      </c>
      <c r="I90" s="91">
        <f t="shared" si="98"/>
        <v>1.1425115965216035E-2</v>
      </c>
      <c r="J90" s="91">
        <f t="shared" si="98"/>
        <v>1.0840189695561657E-2</v>
      </c>
      <c r="K90" s="91">
        <f t="shared" si="98"/>
        <v>1.0814807711564246E-2</v>
      </c>
      <c r="L90" s="91">
        <f t="shared" si="98"/>
        <v>1.0537161129229514E-2</v>
      </c>
      <c r="M90" s="91">
        <f t="shared" si="98"/>
        <v>1.0150181721724896E-2</v>
      </c>
      <c r="N90" s="91">
        <f t="shared" si="98"/>
        <v>9.9479878031860942E-3</v>
      </c>
      <c r="O90" s="91">
        <f t="shared" si="98"/>
        <v>9.8509357942722364E-3</v>
      </c>
      <c r="P90" s="91">
        <f t="shared" si="98"/>
        <v>9.3152491997243441E-3</v>
      </c>
      <c r="Q90" s="91">
        <f t="shared" si="98"/>
        <v>9.104518181968415E-3</v>
      </c>
      <c r="R90" s="91">
        <f t="shared" si="98"/>
        <v>9.0362147459221529E-3</v>
      </c>
      <c r="S90" s="91">
        <f t="shared" si="98"/>
        <v>9.3187385213457426E-3</v>
      </c>
      <c r="T90" s="91">
        <f t="shared" ref="T90:Y90" si="99">T62/T$23</f>
        <v>9.8114040809545652E-3</v>
      </c>
      <c r="U90" s="91">
        <f t="shared" si="99"/>
        <v>9.3981804594716369E-3</v>
      </c>
      <c r="V90" s="91">
        <f t="shared" si="99"/>
        <v>8.7657069415759299E-3</v>
      </c>
      <c r="W90" s="91">
        <f t="shared" si="99"/>
        <v>9.1438723115187838E-3</v>
      </c>
      <c r="X90" s="91">
        <f t="shared" si="99"/>
        <v>9.6702076708406175E-3</v>
      </c>
      <c r="Y90" s="91">
        <f t="shared" si="99"/>
        <v>9.1890003066090482E-3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1.0999295984196467E-2</v>
      </c>
      <c r="F93" s="92">
        <f t="shared" ref="F93:F94" si="101">IF(E16=0,"",F16/E16-1)</f>
        <v>1.7067627030228127E-2</v>
      </c>
      <c r="G93" s="92">
        <f t="shared" ref="G93:G94" si="102">IF(F16=0,"",G16/F16-1)</f>
        <v>1.037509447967544E-2</v>
      </c>
      <c r="H93" s="92">
        <f t="shared" ref="H93:H94" si="103">IF(G16=0,"",H16/G16-1)</f>
        <v>3.5718404225229206E-2</v>
      </c>
      <c r="I93" s="92">
        <f t="shared" ref="I93:I94" si="104">IF(H16=0,"",I16/H16-1)</f>
        <v>2.3220761825924363E-2</v>
      </c>
      <c r="J93" s="92">
        <f t="shared" ref="J93:J94" si="105">IF(I16=0,"",J16/I16-1)</f>
        <v>2.5520705270419164E-2</v>
      </c>
      <c r="K93" s="92">
        <f t="shared" ref="K93:K94" si="106">IF(J16=0,"",K16/J16-1)</f>
        <v>3.676494004698605E-2</v>
      </c>
      <c r="L93" s="92">
        <f t="shared" ref="L93:L94" si="107">IF(K16=0,"",L16/K16-1)</f>
        <v>4.4682160232984991E-3</v>
      </c>
      <c r="M93" s="92">
        <f t="shared" ref="M93:M94" si="108">IF(L16=0,"",M16/L16-1)</f>
        <v>-2.0208701767428283E-2</v>
      </c>
      <c r="N93" s="92">
        <f t="shared" ref="N93:N94" si="109">IF(M16=0,"",N16/M16-1)</f>
        <v>2.8646180154175083E-2</v>
      </c>
      <c r="O93" s="92">
        <f t="shared" ref="O93:O94" si="110">IF(N16=0,"",O16/N16-1)</f>
        <v>1.6946620468250462E-2</v>
      </c>
      <c r="P93" s="92">
        <f t="shared" ref="P93:P94" si="111">IF(O16=0,"",P16/O16-1)</f>
        <v>7.3930266550470414E-3</v>
      </c>
      <c r="Q93" s="92">
        <f t="shared" ref="Q93:Q94" si="112">IF(P16=0,"",Q16/P16-1)</f>
        <v>4.5899971774367998E-3</v>
      </c>
      <c r="R93" s="92">
        <f t="shared" ref="R93:R94" si="113">IF(Q16=0,"",R16/Q16-1)</f>
        <v>1.5788522479033951E-2</v>
      </c>
      <c r="S93" s="92">
        <f t="shared" ref="S93:S94" si="114">IF(R16=0,"",S16/R16-1)</f>
        <v>2.0413754969252018E-2</v>
      </c>
      <c r="T93" s="92">
        <f t="shared" ref="T93:T94" si="115">IF(S16=0,"",T16/S16-1)</f>
        <v>1.2665380624816702E-2</v>
      </c>
      <c r="U93" s="92">
        <f t="shared" ref="U93:U94" si="116">IF(T16=0,"",U16/T16-1)</f>
        <v>1.6200035902592891E-2</v>
      </c>
      <c r="V93" s="92">
        <f t="shared" ref="V93:V94" si="117">IF(U16=0,"",V16/U16-1)</f>
        <v>1.7924701493459594E-2</v>
      </c>
      <c r="W93" s="92">
        <f t="shared" ref="W93:W94" si="118">IF(V16=0,"",W16/V16-1)</f>
        <v>2.2412988568112358E-2</v>
      </c>
      <c r="X93" s="92">
        <f t="shared" ref="X93:X94" si="119">IF(W16=0,"",X16/W16-1)</f>
        <v>-5.2611424222501091E-2</v>
      </c>
      <c r="Y93" s="92">
        <f t="shared" ref="Y93:Y94" si="120">IF(X16=0,"",Y16/X16-1)</f>
        <v>6.8515996364492127E-2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9.4267946192827523E-3</v>
      </c>
      <c r="F94" s="93">
        <f t="shared" si="101"/>
        <v>6.1204916866284265E-3</v>
      </c>
      <c r="G94" s="93">
        <f t="shared" si="102"/>
        <v>7.1800366522412062E-3</v>
      </c>
      <c r="H94" s="93">
        <f t="shared" si="103"/>
        <v>1.0636326613635561E-2</v>
      </c>
      <c r="I94" s="93">
        <f t="shared" si="104"/>
        <v>1.4448641122714045E-2</v>
      </c>
      <c r="J94" s="93">
        <f t="shared" si="105"/>
        <v>1.7738044262844976E-2</v>
      </c>
      <c r="K94" s="93">
        <f t="shared" si="106"/>
        <v>2.0930643504472934E-2</v>
      </c>
      <c r="L94" s="93">
        <f t="shared" si="107"/>
        <v>1.3747715510384229E-2</v>
      </c>
      <c r="M94" s="93">
        <f t="shared" si="108"/>
        <v>5.846258158004991E-3</v>
      </c>
      <c r="N94" s="93">
        <f t="shared" si="109"/>
        <v>3.0088646288116694E-2</v>
      </c>
      <c r="O94" s="93">
        <f t="shared" si="110"/>
        <v>8.6592762042763116E-3</v>
      </c>
      <c r="P94" s="93">
        <f t="shared" si="111"/>
        <v>1.4668404794055068E-2</v>
      </c>
      <c r="Q94" s="93">
        <f t="shared" si="112"/>
        <v>1.6691173763303979E-2</v>
      </c>
      <c r="R94" s="93">
        <f t="shared" si="113"/>
        <v>5.525859886015283E-3</v>
      </c>
      <c r="S94" s="93">
        <f t="shared" si="114"/>
        <v>1.5847925886192993E-2</v>
      </c>
      <c r="T94" s="93">
        <f t="shared" si="115"/>
        <v>1.5696726189730059E-2</v>
      </c>
      <c r="U94" s="93">
        <f t="shared" si="116"/>
        <v>1.8927547669317146E-2</v>
      </c>
      <c r="V94" s="93">
        <f t="shared" si="117"/>
        <v>1.9444704433510207E-2</v>
      </c>
      <c r="W94" s="93">
        <f t="shared" si="118"/>
        <v>1.6974800331865714E-2</v>
      </c>
      <c r="X94" s="93">
        <f t="shared" si="119"/>
        <v>-8.1943879971725808E-2</v>
      </c>
      <c r="Y94" s="93">
        <f t="shared" si="120"/>
        <v>6.2947789148939615E-2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8.6027638096197734E-3</v>
      </c>
      <c r="F95" s="92">
        <f t="shared" ref="F95:F96" si="122">IF(E20=0,"",F20/E20-1)</f>
        <v>1.2498987335629597E-2</v>
      </c>
      <c r="G95" s="92">
        <f t="shared" ref="G95:G96" si="123">IF(F20=0,"",G20/F20-1)</f>
        <v>5.875462293026823E-3</v>
      </c>
      <c r="H95" s="92">
        <f t="shared" ref="H95:H96" si="124">IF(G20=0,"",H20/G20-1)</f>
        <v>3.16760183225957E-2</v>
      </c>
      <c r="I95" s="92">
        <f t="shared" ref="I95:I96" si="125">IF(H20=0,"",I20/H20-1)</f>
        <v>1.8378760859625087E-2</v>
      </c>
      <c r="J95" s="92">
        <f t="shared" ref="J95:J96" si="126">IF(I20=0,"",J20/I20-1)</f>
        <v>1.9127409715527177E-2</v>
      </c>
      <c r="K95" s="92">
        <f t="shared" ref="K95:K96" si="127">IF(J20=0,"",K20/J20-1)</f>
        <v>2.9599633676926196E-2</v>
      </c>
      <c r="L95" s="92">
        <f t="shared" ref="L95:L96" si="128">IF(K20=0,"",L20/K20-1)</f>
        <v>-3.284752577003669E-3</v>
      </c>
      <c r="M95" s="92">
        <f t="shared" ref="M95:M96" si="129">IF(L20=0,"",M20/L20-1)</f>
        <v>-2.8064286119616089E-2</v>
      </c>
      <c r="N95" s="92">
        <f t="shared" ref="N95:N96" si="130">IF(M20=0,"",N20/M20-1)</f>
        <v>2.0406974682182E-2</v>
      </c>
      <c r="O95" s="92">
        <f t="shared" ref="O95:O96" si="131">IF(N20=0,"",O20/N20-1)</f>
        <v>2.0877658138453992E-3</v>
      </c>
      <c r="P95" s="92">
        <f t="shared" ref="P95:P96" si="132">IF(O20=0,"",P20/O20-1)</f>
        <v>5.4867017505522142E-4</v>
      </c>
      <c r="Q95" s="92">
        <f t="shared" ref="Q95:Q96" si="133">IF(P20=0,"",Q20/P20-1)</f>
        <v>-1.0097618069854208E-3</v>
      </c>
      <c r="R95" s="92">
        <f t="shared" ref="R95:R96" si="134">IF(Q20=0,"",R20/Q20-1)</f>
        <v>1.1894111074829627E-2</v>
      </c>
      <c r="S95" s="92">
        <f t="shared" ref="S95:S96" si="135">IF(R20=0,"",S20/R20-1)</f>
        <v>1.5289199863811387E-2</v>
      </c>
      <c r="T95" s="92">
        <f t="shared" ref="T95:T96" si="136">IF(S20=0,"",T20/S20-1)</f>
        <v>6.0543403799429019E-3</v>
      </c>
      <c r="U95" s="92">
        <f t="shared" ref="U95:U96" si="137">IF(T20=0,"",U20/T20-1)</f>
        <v>1.2564652188907344E-2</v>
      </c>
      <c r="V95" s="92">
        <f t="shared" ref="V95:V96" si="138">IF(U20=0,"",V20/U20-1)</f>
        <v>1.3739798663698233E-2</v>
      </c>
      <c r="W95" s="92">
        <f t="shared" ref="W95:W96" si="139">IF(V20=0,"",W20/V20-1)</f>
        <v>1.7331946719272295E-2</v>
      </c>
      <c r="X95" s="92">
        <f t="shared" ref="X95:X96" si="140">IF(W20=0,"",X20/W20-1)</f>
        <v>-5.8113747591475473E-2</v>
      </c>
      <c r="Y95" s="92">
        <f t="shared" ref="Y95:Y96" si="141">IF(X20=0,"",Y20/X20-1)</f>
        <v>6.5526588043712142E-2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7.0339899943994144E-3</v>
      </c>
      <c r="F96" s="93">
        <f t="shared" si="122"/>
        <v>1.6010262216912263E-3</v>
      </c>
      <c r="G96" s="93">
        <f t="shared" si="123"/>
        <v>2.6946334238453495E-3</v>
      </c>
      <c r="H96" s="93">
        <f t="shared" si="124"/>
        <v>6.6918355022229647E-3</v>
      </c>
      <c r="I96" s="93">
        <f t="shared" si="125"/>
        <v>9.648150863103222E-3</v>
      </c>
      <c r="J96" s="93">
        <f t="shared" si="126"/>
        <v>1.1393267330511492E-2</v>
      </c>
      <c r="K96" s="93">
        <f t="shared" si="127"/>
        <v>1.3874771376929163E-2</v>
      </c>
      <c r="L96" s="93">
        <f t="shared" si="128"/>
        <v>5.9231232718202076E-3</v>
      </c>
      <c r="M96" s="93">
        <f t="shared" si="129"/>
        <v>-2.2182246972174413E-3</v>
      </c>
      <c r="N96" s="93">
        <f t="shared" si="130"/>
        <v>2.1837887013569146E-2</v>
      </c>
      <c r="O96" s="93">
        <f t="shared" si="131"/>
        <v>-6.0784900454757818E-3</v>
      </c>
      <c r="P96" s="93">
        <f t="shared" si="132"/>
        <v>7.7746184687175202E-3</v>
      </c>
      <c r="Q96" s="93">
        <f t="shared" si="133"/>
        <v>1.1023960720510484E-2</v>
      </c>
      <c r="R96" s="93">
        <f t="shared" si="134"/>
        <v>1.6707942997200576E-3</v>
      </c>
      <c r="S96" s="93">
        <f t="shared" si="135"/>
        <v>1.0746300540983578E-2</v>
      </c>
      <c r="T96" s="93">
        <f t="shared" si="136"/>
        <v>9.0658962414562616E-3</v>
      </c>
      <c r="U96" s="93">
        <f t="shared" si="137"/>
        <v>1.5282406475307431E-2</v>
      </c>
      <c r="V96" s="93">
        <f t="shared" si="138"/>
        <v>1.5253552551539595E-2</v>
      </c>
      <c r="W96" s="93">
        <f t="shared" si="139"/>
        <v>1.1920784413172347E-2</v>
      </c>
      <c r="X96" s="93">
        <f t="shared" si="140"/>
        <v>-8.7275843827333888E-2</v>
      </c>
      <c r="Y96" s="93">
        <f t="shared" si="141"/>
        <v>5.9973959111534469E-2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1.5203938135085027E-2</v>
      </c>
      <c r="F97" s="89">
        <f t="shared" ref="F97:F106" si="143">IF(E23=0,"",F23/E23-1)</f>
        <v>1.6327813896815924E-2</v>
      </c>
      <c r="G97" s="89">
        <f t="shared" ref="G97:G106" si="144">IF(F23=0,"",G23/F23-1)</f>
        <v>1.1143792724585877E-2</v>
      </c>
      <c r="H97" s="89">
        <f t="shared" ref="H97:H106" si="145">IF(G23=0,"",H23/G23-1)</f>
        <v>3.172440464737436E-2</v>
      </c>
      <c r="I97" s="89">
        <f t="shared" ref="I97:I106" si="146">IF(H23=0,"",I23/H23-1)</f>
        <v>2.4450498049114922E-2</v>
      </c>
      <c r="J97" s="89">
        <f t="shared" ref="J97:J106" si="147">IF(I23=0,"",J23/I23-1)</f>
        <v>2.4510461645867787E-2</v>
      </c>
      <c r="K97" s="89">
        <f t="shared" ref="K97:K106" si="148">IF(J23=0,"",K23/J23-1)</f>
        <v>3.7293360065888015E-2</v>
      </c>
      <c r="L97" s="89">
        <f t="shared" ref="L97:L106" si="149">IF(K23=0,"",L23/K23-1)</f>
        <v>7.8739841286759038E-3</v>
      </c>
      <c r="M97" s="89">
        <f t="shared" ref="M97:M106" si="150">IF(L23=0,"",M23/L23-1)</f>
        <v>-2.0211145305524147E-2</v>
      </c>
      <c r="N97" s="89">
        <f t="shared" ref="N97:N106" si="151">IF(M23=0,"",N23/M23-1)</f>
        <v>2.8841829654877804E-2</v>
      </c>
      <c r="O97" s="89">
        <f t="shared" ref="O97:O106" si="152">IF(N23=0,"",O23/N23-1)</f>
        <v>1.9844866886046253E-2</v>
      </c>
      <c r="P97" s="89">
        <f t="shared" ref="P97:P106" si="153">IF(O23=0,"",P23/O23-1)</f>
        <v>7.8818766500172721E-3</v>
      </c>
      <c r="Q97" s="89">
        <f t="shared" ref="Q97:Q106" si="154">IF(P23=0,"",Q23/P23-1)</f>
        <v>4.1298516088954518E-3</v>
      </c>
      <c r="R97" s="89">
        <f t="shared" ref="R97:R106" si="155">IF(Q23=0,"",R23/Q23-1)</f>
        <v>1.6820688396527173E-2</v>
      </c>
      <c r="S97" s="89">
        <f t="shared" ref="S97:S106" si="156">IF(R23=0,"",S23/R23-1)</f>
        <v>2.2229592570241818E-2</v>
      </c>
      <c r="T97" s="89">
        <f t="shared" ref="T97:T106" si="157">IF(S23=0,"",T23/S23-1)</f>
        <v>9.4161421835390335E-3</v>
      </c>
      <c r="U97" s="89">
        <f t="shared" ref="U97:U106" si="158">IF(T23=0,"",U23/T23-1)</f>
        <v>1.5628645708632316E-2</v>
      </c>
      <c r="V97" s="89">
        <f t="shared" ref="V97:V106" si="159">IF(U23=0,"",V23/U23-1)</f>
        <v>1.8011275855372766E-2</v>
      </c>
      <c r="W97" s="89">
        <f t="shared" ref="W97:W106" si="160">IF(V23=0,"",W23/V23-1)</f>
        <v>2.3292867722594979E-2</v>
      </c>
      <c r="X97" s="89">
        <f t="shared" ref="X97:X106" si="161">IF(W23=0,"",X23/W23-1)</f>
        <v>-4.8276936942178161E-2</v>
      </c>
      <c r="Y97" s="89">
        <f t="shared" ref="Y97:Y106" si="162">IF(X23=0,"",Y23/X23-1)</f>
        <v>6.4646239126065153E-2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-4.6711693856005154E-2</v>
      </c>
      <c r="F98" s="83">
        <f t="shared" si="143"/>
        <v>-5.2586444367669682E-2</v>
      </c>
      <c r="G98" s="83">
        <f t="shared" si="144"/>
        <v>6.7524396899332206E-3</v>
      </c>
      <c r="H98" s="83">
        <f t="shared" si="145"/>
        <v>2.9087448908379665E-2</v>
      </c>
      <c r="I98" s="83">
        <f t="shared" si="146"/>
        <v>-0.15867009336188831</v>
      </c>
      <c r="J98" s="83">
        <f t="shared" si="147"/>
        <v>0.10686149868049499</v>
      </c>
      <c r="K98" s="83">
        <f t="shared" si="148"/>
        <v>1.4406716422149302E-2</v>
      </c>
      <c r="L98" s="83">
        <f t="shared" si="149"/>
        <v>-0.19144463137249512</v>
      </c>
      <c r="M98" s="83">
        <f t="shared" si="150"/>
        <v>-0.11312027086752885</v>
      </c>
      <c r="N98" s="83">
        <f t="shared" si="151"/>
        <v>0.22010453639326344</v>
      </c>
      <c r="O98" s="83">
        <f t="shared" si="152"/>
        <v>-0.13698940415956118</v>
      </c>
      <c r="P98" s="83">
        <f t="shared" si="153"/>
        <v>0.21562104651384062</v>
      </c>
      <c r="Q98" s="83">
        <f t="shared" si="154"/>
        <v>-0.1242408002653369</v>
      </c>
      <c r="R98" s="83">
        <f t="shared" si="155"/>
        <v>-4.9379547215322561E-2</v>
      </c>
      <c r="S98" s="83">
        <f t="shared" si="156"/>
        <v>9.872017895351104E-2</v>
      </c>
      <c r="T98" s="83">
        <f t="shared" si="157"/>
        <v>-7.2819657665416093E-2</v>
      </c>
      <c r="U98" s="83">
        <f t="shared" si="158"/>
        <v>7.5852964234681686E-2</v>
      </c>
      <c r="V98" s="83">
        <f t="shared" si="159"/>
        <v>-7.6481023991851527E-2</v>
      </c>
      <c r="W98" s="83">
        <f t="shared" si="160"/>
        <v>0.13550518947759782</v>
      </c>
      <c r="X98" s="83">
        <f t="shared" si="161"/>
        <v>-4.0609652023452902E-2</v>
      </c>
      <c r="Y98" s="83">
        <f t="shared" si="162"/>
        <v>1.2344277730086617E-2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-0.15058223163270745</v>
      </c>
      <c r="F99" s="83">
        <f t="shared" si="143"/>
        <v>2.2443670178078134E-2</v>
      </c>
      <c r="G99" s="83">
        <f t="shared" si="144"/>
        <v>7.4075388696361877E-3</v>
      </c>
      <c r="H99" s="83">
        <f t="shared" si="145"/>
        <v>-6.1695988857783712E-2</v>
      </c>
      <c r="I99" s="83">
        <f t="shared" si="146"/>
        <v>2.4553484808671255E-2</v>
      </c>
      <c r="J99" s="83">
        <f t="shared" si="147"/>
        <v>0.108208977694362</v>
      </c>
      <c r="K99" s="83">
        <f t="shared" si="148"/>
        <v>-0.11239947019025354</v>
      </c>
      <c r="L99" s="83">
        <f t="shared" si="149"/>
        <v>1.5373750608958403E-2</v>
      </c>
      <c r="M99" s="83">
        <f t="shared" si="150"/>
        <v>-0.2579621172963068</v>
      </c>
      <c r="N99" s="83">
        <f t="shared" si="151"/>
        <v>-3.9408690593534468E-2</v>
      </c>
      <c r="O99" s="83">
        <f t="shared" si="152"/>
        <v>7.5738062732501943E-2</v>
      </c>
      <c r="P99" s="83">
        <f t="shared" si="153"/>
        <v>-0.12276016341416229</v>
      </c>
      <c r="Q99" s="83">
        <f t="shared" si="154"/>
        <v>-8.2486114983177372E-2</v>
      </c>
      <c r="R99" s="83">
        <f t="shared" si="155"/>
        <v>0.23199914145811262</v>
      </c>
      <c r="S99" s="83">
        <f t="shared" si="156"/>
        <v>-0.2176511182108628</v>
      </c>
      <c r="T99" s="83">
        <f t="shared" si="157"/>
        <v>5.2866284487195658E-2</v>
      </c>
      <c r="U99" s="83">
        <f t="shared" si="158"/>
        <v>1.1492517634543731E-2</v>
      </c>
      <c r="V99" s="83">
        <f t="shared" si="159"/>
        <v>-2.2655905436649415E-2</v>
      </c>
      <c r="W99" s="83">
        <f t="shared" si="160"/>
        <v>0.13162110375818536</v>
      </c>
      <c r="X99" s="83">
        <f t="shared" si="161"/>
        <v>-8.8576440767669795E-2</v>
      </c>
      <c r="Y99" s="83">
        <f t="shared" si="162"/>
        <v>0.13654433024288037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2.7643290937349407E-2</v>
      </c>
      <c r="F100" s="83">
        <f t="shared" si="143"/>
        <v>2.476846365757468E-2</v>
      </c>
      <c r="G100" s="83">
        <f t="shared" si="144"/>
        <v>2.1746490141840713E-2</v>
      </c>
      <c r="H100" s="83">
        <f t="shared" si="145"/>
        <v>3.5035884712669718E-2</v>
      </c>
      <c r="I100" s="83">
        <f t="shared" si="146"/>
        <v>3.3317124472203696E-2</v>
      </c>
      <c r="J100" s="83">
        <f t="shared" si="147"/>
        <v>2.9604743917011289E-2</v>
      </c>
      <c r="K100" s="83">
        <f t="shared" si="148"/>
        <v>3.5411416358317904E-2</v>
      </c>
      <c r="L100" s="83">
        <f t="shared" si="149"/>
        <v>2.065810714460925E-2</v>
      </c>
      <c r="M100" s="83">
        <f t="shared" si="150"/>
        <v>4.8878199284629886E-4</v>
      </c>
      <c r="N100" s="83">
        <f t="shared" si="151"/>
        <v>2.3231893707317486E-2</v>
      </c>
      <c r="O100" s="83">
        <f t="shared" si="152"/>
        <v>2.4073010571967757E-2</v>
      </c>
      <c r="P100" s="83">
        <f t="shared" si="153"/>
        <v>1.6257171553981875E-2</v>
      </c>
      <c r="Q100" s="83">
        <f t="shared" si="154"/>
        <v>8.1106310070231391E-3</v>
      </c>
      <c r="R100" s="83">
        <f t="shared" si="155"/>
        <v>2.0946943464805967E-2</v>
      </c>
      <c r="S100" s="83">
        <f t="shared" si="156"/>
        <v>2.2102914022811948E-2</v>
      </c>
      <c r="T100" s="83">
        <f t="shared" si="157"/>
        <v>1.484334592162817E-2</v>
      </c>
      <c r="U100" s="83">
        <f t="shared" si="158"/>
        <v>1.6496327144459366E-2</v>
      </c>
      <c r="V100" s="83">
        <f t="shared" si="159"/>
        <v>2.2247836301443114E-2</v>
      </c>
      <c r="W100" s="83">
        <f t="shared" si="160"/>
        <v>1.8311402706092439E-2</v>
      </c>
      <c r="X100" s="83">
        <f t="shared" si="161"/>
        <v>-4.9366600127627391E-2</v>
      </c>
      <c r="Y100" s="83">
        <f t="shared" si="162"/>
        <v>6.3657381519431677E-2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1.948368723568028E-2</v>
      </c>
      <c r="F101" s="84">
        <f t="shared" si="143"/>
        <v>2.5019550973445437E-2</v>
      </c>
      <c r="G101" s="84">
        <f t="shared" si="144"/>
        <v>3.1058408983462904E-2</v>
      </c>
      <c r="H101" s="84">
        <f t="shared" si="145"/>
        <v>1.9003332509529125E-2</v>
      </c>
      <c r="I101" s="84">
        <f t="shared" si="146"/>
        <v>3.8321836873779436E-2</v>
      </c>
      <c r="J101" s="84">
        <f t="shared" si="147"/>
        <v>2.7110485966258535E-2</v>
      </c>
      <c r="K101" s="84">
        <f t="shared" si="148"/>
        <v>2.5423044598295697E-2</v>
      </c>
      <c r="L101" s="84">
        <f t="shared" si="149"/>
        <v>4.2561371930551095E-2</v>
      </c>
      <c r="M101" s="84">
        <f t="shared" si="150"/>
        <v>4.0590866360044053E-3</v>
      </c>
      <c r="N101" s="84">
        <f t="shared" si="151"/>
        <v>1.4170392330326909E-2</v>
      </c>
      <c r="O101" s="84">
        <f t="shared" si="152"/>
        <v>2.4643648569384613E-2</v>
      </c>
      <c r="P101" s="84">
        <f t="shared" si="153"/>
        <v>1.7199798059114313E-2</v>
      </c>
      <c r="Q101" s="84">
        <f t="shared" si="154"/>
        <v>8.63456103626703E-3</v>
      </c>
      <c r="R101" s="84">
        <f t="shared" si="155"/>
        <v>1.3759213658412595E-2</v>
      </c>
      <c r="S101" s="84">
        <f t="shared" si="156"/>
        <v>8.7663089288718687E-3</v>
      </c>
      <c r="T101" s="84">
        <f t="shared" si="157"/>
        <v>2.4290539997242622E-3</v>
      </c>
      <c r="U101" s="84">
        <f t="shared" si="158"/>
        <v>1.4017379051634027E-2</v>
      </c>
      <c r="V101" s="84">
        <f t="shared" si="159"/>
        <v>2.1686294739780454E-2</v>
      </c>
      <c r="W101" s="84">
        <f t="shared" si="160"/>
        <v>2.189494894997801E-2</v>
      </c>
      <c r="X101" s="84">
        <f t="shared" si="161"/>
        <v>-7.2387931170087461E-2</v>
      </c>
      <c r="Y101" s="84">
        <f t="shared" si="162"/>
        <v>5.3938573637637433E-2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2.7328200304389538E-2</v>
      </c>
      <c r="F102" s="84">
        <f t="shared" si="143"/>
        <v>3.4828185752338037E-3</v>
      </c>
      <c r="G102" s="84">
        <f t="shared" si="144"/>
        <v>-6.7686032305651622E-3</v>
      </c>
      <c r="H102" s="84">
        <f t="shared" si="145"/>
        <v>4.2268071758839065E-2</v>
      </c>
      <c r="I102" s="84">
        <f t="shared" si="146"/>
        <v>3.5636747464585339E-2</v>
      </c>
      <c r="J102" s="84">
        <f t="shared" si="147"/>
        <v>4.1016087507172783E-2</v>
      </c>
      <c r="K102" s="84">
        <f t="shared" si="148"/>
        <v>3.9889559018881249E-2</v>
      </c>
      <c r="L102" s="84">
        <f t="shared" si="149"/>
        <v>5.4639394233262362E-3</v>
      </c>
      <c r="M102" s="84">
        <f t="shared" si="150"/>
        <v>9.6268529545961989E-3</v>
      </c>
      <c r="N102" s="84">
        <f t="shared" si="151"/>
        <v>3.0216177778944919E-2</v>
      </c>
      <c r="O102" s="84">
        <f t="shared" si="152"/>
        <v>2.6584481547138106E-2</v>
      </c>
      <c r="P102" s="84">
        <f t="shared" si="153"/>
        <v>2.5569018316526471E-2</v>
      </c>
      <c r="Q102" s="84">
        <f t="shared" si="154"/>
        <v>1.4814946561532594E-2</v>
      </c>
      <c r="R102" s="84">
        <f t="shared" si="155"/>
        <v>3.2323979877013187E-2</v>
      </c>
      <c r="S102" s="84">
        <f t="shared" si="156"/>
        <v>3.8152855088509519E-2</v>
      </c>
      <c r="T102" s="84">
        <f t="shared" si="157"/>
        <v>1.7161377533995825E-2</v>
      </c>
      <c r="U102" s="84">
        <f t="shared" si="158"/>
        <v>3.5074379835170921E-2</v>
      </c>
      <c r="V102" s="84">
        <f t="shared" si="159"/>
        <v>2.6460714003764485E-2</v>
      </c>
      <c r="W102" s="84">
        <f t="shared" si="160"/>
        <v>2.1551089830488923E-2</v>
      </c>
      <c r="X102" s="84">
        <f t="shared" si="161"/>
        <v>-2.3794071983894383E-2</v>
      </c>
      <c r="Y102" s="84">
        <f t="shared" si="162"/>
        <v>5.6501036980407759E-2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4.7186327850520238E-2</v>
      </c>
      <c r="F103" s="84">
        <f t="shared" si="143"/>
        <v>7.8445862634006547E-2</v>
      </c>
      <c r="G103" s="84">
        <f t="shared" si="144"/>
        <v>6.9582688614231003E-2</v>
      </c>
      <c r="H103" s="84">
        <f t="shared" si="145"/>
        <v>5.1929967741989547E-2</v>
      </c>
      <c r="I103" s="84">
        <f t="shared" si="146"/>
        <v>1.8333170315176117E-2</v>
      </c>
      <c r="J103" s="84">
        <f t="shared" si="147"/>
        <v>9.3304681097825526E-3</v>
      </c>
      <c r="K103" s="84">
        <f t="shared" si="148"/>
        <v>4.571438484754986E-2</v>
      </c>
      <c r="L103" s="84">
        <f t="shared" si="149"/>
        <v>1.1043089629089842E-2</v>
      </c>
      <c r="M103" s="84">
        <f t="shared" si="150"/>
        <v>-2.761764049625981E-2</v>
      </c>
      <c r="N103" s="84">
        <f t="shared" si="151"/>
        <v>2.6286875603759308E-2</v>
      </c>
      <c r="O103" s="84">
        <f t="shared" si="152"/>
        <v>1.6938096268436231E-2</v>
      </c>
      <c r="P103" s="84">
        <f t="shared" si="153"/>
        <v>-7.9303143974680523E-3</v>
      </c>
      <c r="Q103" s="84">
        <f t="shared" si="154"/>
        <v>-9.5402425794632872E-3</v>
      </c>
      <c r="R103" s="84">
        <f t="shared" si="155"/>
        <v>8.3073582215240638E-3</v>
      </c>
      <c r="S103" s="84">
        <f t="shared" si="156"/>
        <v>1.0607820692119185E-2</v>
      </c>
      <c r="T103" s="84">
        <f t="shared" si="157"/>
        <v>3.6518846062019605E-2</v>
      </c>
      <c r="U103" s="84">
        <f t="shared" si="158"/>
        <v>-2.6485646542892538E-2</v>
      </c>
      <c r="V103" s="84">
        <f t="shared" si="159"/>
        <v>1.1856917053804095E-2</v>
      </c>
      <c r="W103" s="84">
        <f t="shared" si="160"/>
        <v>1.047195977484261E-3</v>
      </c>
      <c r="X103" s="84">
        <f t="shared" si="161"/>
        <v>-6.9054019150074031E-2</v>
      </c>
      <c r="Y103" s="84">
        <f t="shared" si="162"/>
        <v>0.10769199835729171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-1.9521708319565456E-2</v>
      </c>
      <c r="F104" s="83">
        <f t="shared" si="143"/>
        <v>-3.8092230942889715E-2</v>
      </c>
      <c r="G104" s="83">
        <f t="shared" si="144"/>
        <v>4.304713002277305E-3</v>
      </c>
      <c r="H104" s="83">
        <f t="shared" si="145"/>
        <v>1.7680557037783817E-2</v>
      </c>
      <c r="I104" s="83">
        <f t="shared" si="146"/>
        <v>-5.8688350794217081E-3</v>
      </c>
      <c r="J104" s="83">
        <f t="shared" si="147"/>
        <v>4.1186691122451657E-2</v>
      </c>
      <c r="K104" s="83">
        <f t="shared" si="148"/>
        <v>2.8854959454593043E-2</v>
      </c>
      <c r="L104" s="83">
        <f t="shared" si="149"/>
        <v>3.3115218998025275E-2</v>
      </c>
      <c r="M104" s="83">
        <f t="shared" si="150"/>
        <v>-0.16692299776775699</v>
      </c>
      <c r="N104" s="83">
        <f t="shared" si="151"/>
        <v>0.14710521836349355</v>
      </c>
      <c r="O104" s="83">
        <f t="shared" si="152"/>
        <v>1.6647222297067277E-2</v>
      </c>
      <c r="P104" s="83">
        <f t="shared" si="153"/>
        <v>-8.4442415655027414E-2</v>
      </c>
      <c r="Q104" s="83">
        <f t="shared" si="154"/>
        <v>-2.1268873674156752E-2</v>
      </c>
      <c r="R104" s="83">
        <f t="shared" si="155"/>
        <v>-7.6690524600405818E-2</v>
      </c>
      <c r="S104" s="83">
        <f t="shared" si="156"/>
        <v>0.16579453023797375</v>
      </c>
      <c r="T104" s="83">
        <f t="shared" si="157"/>
        <v>-1.2427630104872911E-2</v>
      </c>
      <c r="U104" s="83">
        <f t="shared" si="158"/>
        <v>-5.0983639349855059E-2</v>
      </c>
      <c r="V104" s="83">
        <f t="shared" si="159"/>
        <v>-0.19211287172843505</v>
      </c>
      <c r="W104" s="83">
        <f t="shared" si="160"/>
        <v>0.19266486417817763</v>
      </c>
      <c r="X104" s="83">
        <f t="shared" si="161"/>
        <v>-2.7289583075799428E-2</v>
      </c>
      <c r="Y104" s="83">
        <f t="shared" si="162"/>
        <v>0.21076296747040146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-4.6599536980895806E-4</v>
      </c>
      <c r="F105" s="83">
        <f t="shared" si="143"/>
        <v>-1.610243015732149E-2</v>
      </c>
      <c r="G105" s="83">
        <f t="shared" si="144"/>
        <v>9.800905160262996E-3</v>
      </c>
      <c r="H105" s="83">
        <f t="shared" si="145"/>
        <v>4.1213926911992438E-2</v>
      </c>
      <c r="I105" s="83">
        <f t="shared" si="146"/>
        <v>1.8586035170242265E-2</v>
      </c>
      <c r="J105" s="83">
        <f t="shared" si="147"/>
        <v>0.10077229279674715</v>
      </c>
      <c r="K105" s="83">
        <f t="shared" si="148"/>
        <v>6.6298688294477159E-2</v>
      </c>
      <c r="L105" s="83">
        <f t="shared" si="149"/>
        <v>6.3332841094551728E-2</v>
      </c>
      <c r="M105" s="83">
        <f t="shared" si="150"/>
        <v>-3.2293694860254796E-2</v>
      </c>
      <c r="N105" s="83">
        <f t="shared" si="151"/>
        <v>-8.9490625361818843E-3</v>
      </c>
      <c r="O105" s="83">
        <f t="shared" si="152"/>
        <v>4.7238761701315024E-2</v>
      </c>
      <c r="P105" s="83">
        <f t="shared" si="153"/>
        <v>-1.8611963393132869E-2</v>
      </c>
      <c r="Q105" s="83">
        <f t="shared" si="154"/>
        <v>-1.988364607258486E-2</v>
      </c>
      <c r="R105" s="83">
        <f t="shared" si="155"/>
        <v>5.285721040571234E-3</v>
      </c>
      <c r="S105" s="83">
        <f t="shared" si="156"/>
        <v>2.2567129629629257E-3</v>
      </c>
      <c r="T105" s="83">
        <f t="shared" si="157"/>
        <v>7.5876192434520817E-4</v>
      </c>
      <c r="U105" s="83">
        <f t="shared" si="158"/>
        <v>5.9079278908018562E-3</v>
      </c>
      <c r="V105" s="83">
        <f t="shared" si="159"/>
        <v>6.4431640360399722E-2</v>
      </c>
      <c r="W105" s="83">
        <f t="shared" si="160"/>
        <v>2.1071405252557796E-2</v>
      </c>
      <c r="X105" s="83">
        <f t="shared" si="161"/>
        <v>-5.4479718557321144E-2</v>
      </c>
      <c r="Y105" s="83">
        <f t="shared" si="162"/>
        <v>9.0017810662720299E-2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-1.6748886693837894E-2</v>
      </c>
      <c r="F106" s="83">
        <f t="shared" si="143"/>
        <v>4.5808278197287944E-3</v>
      </c>
      <c r="G106" s="83">
        <f t="shared" si="144"/>
        <v>-2.9909506438495881E-2</v>
      </c>
      <c r="H106" s="83">
        <f t="shared" si="145"/>
        <v>1.7913250168700268E-2</v>
      </c>
      <c r="I106" s="83">
        <f t="shared" si="146"/>
        <v>4.5410236537026805E-3</v>
      </c>
      <c r="J106" s="83">
        <f t="shared" si="147"/>
        <v>-2.7966859533844368E-2</v>
      </c>
      <c r="K106" s="83">
        <f t="shared" si="148"/>
        <v>4.0466700479927287E-2</v>
      </c>
      <c r="L106" s="83">
        <f t="shared" si="149"/>
        <v>-6.2250709352991263E-2</v>
      </c>
      <c r="M106" s="83">
        <f t="shared" si="150"/>
        <v>-8.9527638683010058E-2</v>
      </c>
      <c r="N106" s="83">
        <f t="shared" si="151"/>
        <v>4.7921143807569511E-2</v>
      </c>
      <c r="O106" s="83">
        <f t="shared" si="152"/>
        <v>-4.0890251190831561E-3</v>
      </c>
      <c r="P106" s="83">
        <f t="shared" si="153"/>
        <v>-2.2644649128758298E-2</v>
      </c>
      <c r="Q106" s="83">
        <f t="shared" si="154"/>
        <v>3.6390410158000375E-3</v>
      </c>
      <c r="R106" s="83">
        <f t="shared" si="155"/>
        <v>1.4646033730535191E-2</v>
      </c>
      <c r="S106" s="83">
        <f t="shared" si="156"/>
        <v>7.679226217455648E-3</v>
      </c>
      <c r="T106" s="83">
        <f t="shared" si="157"/>
        <v>-1.1453683715466623E-2</v>
      </c>
      <c r="U106" s="83">
        <f t="shared" si="158"/>
        <v>2.1892526279542635E-2</v>
      </c>
      <c r="V106" s="83">
        <f t="shared" si="159"/>
        <v>1.1788319403923664E-2</v>
      </c>
      <c r="W106" s="83">
        <f t="shared" si="160"/>
        <v>2.7833427172384129E-2</v>
      </c>
      <c r="X106" s="83">
        <f t="shared" si="161"/>
        <v>-4.2293154982786962E-2</v>
      </c>
      <c r="Y106" s="83">
        <f t="shared" si="162"/>
        <v>4.2004435638004489E-2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-0.16701890913131978</v>
      </c>
      <c r="F107" s="87">
        <f t="shared" ref="F107:F108" si="164">IF(E33=0,"",F33/E33-1)</f>
        <v>4.8396810932168632E-2</v>
      </c>
      <c r="G107" s="87">
        <f t="shared" ref="G107:G108" si="165">IF(F33=0,"",G33/F33-1)</f>
        <v>-1.0293939281804332E-2</v>
      </c>
      <c r="H107" s="87">
        <f t="shared" ref="H107:H108" si="166">IF(G33=0,"",H33/G33-1)</f>
        <v>0.19791392509445016</v>
      </c>
      <c r="I107" s="87">
        <f t="shared" ref="I107:I108" si="167">IF(H33=0,"",I33/H33-1)</f>
        <v>-3.4706574985543526E-4</v>
      </c>
      <c r="J107" s="87">
        <f t="shared" ref="J107:J108" si="168">IF(I33=0,"",J33/I33-1)</f>
        <v>3.2771779103524246E-4</v>
      </c>
      <c r="K107" s="87">
        <f t="shared" ref="K107:K108" si="169">IF(J33=0,"",K33/J33-1)</f>
        <v>0.1452769417626405</v>
      </c>
      <c r="L107" s="87">
        <f t="shared" ref="L107:L108" si="170">IF(K33=0,"",L33/K33-1)</f>
        <v>-0.21167591447038814</v>
      </c>
      <c r="M107" s="87">
        <f t="shared" ref="M107:M108" si="171">IF(L33=0,"",M33/L33-1)</f>
        <v>-0.37530269940857741</v>
      </c>
      <c r="N107" s="87">
        <f t="shared" ref="N107:N108" si="172">IF(M33=0,"",N33/M33-1)</f>
        <v>0.20920770418124435</v>
      </c>
      <c r="O107" s="87">
        <f t="shared" ref="O107:O108" si="173">IF(N33=0,"",O33/N33-1)</f>
        <v>-1.3908776617082452E-2</v>
      </c>
      <c r="P107" s="87">
        <f t="shared" ref="P107:P108" si="174">IF(O33=0,"",P33/O33-1)</f>
        <v>-0.15372881678350347</v>
      </c>
      <c r="Q107" s="87">
        <f t="shared" ref="Q107:Q108" si="175">IF(P33=0,"",Q33/P33-1)</f>
        <v>3.4831626482248579E-2</v>
      </c>
      <c r="R107" s="87">
        <f t="shared" ref="R107:R108" si="176">IF(Q33=0,"",R33/Q33-1)</f>
        <v>1.9862315956796328E-2</v>
      </c>
      <c r="S107" s="87">
        <f t="shared" ref="S107:S108" si="177">IF(R33=0,"",S33/R33-1)</f>
        <v>2.2500175980602943E-2</v>
      </c>
      <c r="T107" s="87">
        <f t="shared" ref="T107:T108" si="178">IF(S33=0,"",T33/S33-1)</f>
        <v>2.1117799576182428E-2</v>
      </c>
      <c r="U107" s="87">
        <f t="shared" ref="U107:U108" si="179">IF(T33=0,"",U33/T33-1)</f>
        <v>9.2167930997803849E-2</v>
      </c>
      <c r="V107" s="87">
        <f t="shared" ref="V107:V108" si="180">IF(U33=0,"",V33/U33-1)</f>
        <v>5.7259260258453182E-3</v>
      </c>
      <c r="W107" s="87">
        <f t="shared" ref="W107:W108" si="181">IF(V33=0,"",W33/V33-1)</f>
        <v>-9.1325890737374738E-2</v>
      </c>
      <c r="X107" s="87">
        <f t="shared" ref="X107:X108" si="182">IF(W33=0,"",X33/W33-1)</f>
        <v>-0.18848224639987854</v>
      </c>
      <c r="Y107" s="87">
        <f t="shared" ref="Y107:Y108" si="183">IF(X33=0,"",Y33/X33-1)</f>
        <v>0.6119204712854216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-0.16701890913131989</v>
      </c>
      <c r="F108" s="89">
        <f t="shared" si="164"/>
        <v>4.8396810932168632E-2</v>
      </c>
      <c r="G108" s="89">
        <f t="shared" si="165"/>
        <v>-1.0293939281804443E-2</v>
      </c>
      <c r="H108" s="89">
        <f t="shared" si="166"/>
        <v>0.19791392509444994</v>
      </c>
      <c r="I108" s="89">
        <f t="shared" si="167"/>
        <v>-3.4706574985543526E-4</v>
      </c>
      <c r="J108" s="89">
        <f t="shared" si="168"/>
        <v>3.2771779103524246E-4</v>
      </c>
      <c r="K108" s="89">
        <f t="shared" si="169"/>
        <v>0.14527694176264072</v>
      </c>
      <c r="L108" s="89">
        <f t="shared" si="170"/>
        <v>-0.21167591447038803</v>
      </c>
      <c r="M108" s="89">
        <f t="shared" si="171"/>
        <v>-0.34684723591196376</v>
      </c>
      <c r="N108" s="89">
        <f t="shared" si="172"/>
        <v>5.9284722788538913E-2</v>
      </c>
      <c r="O108" s="89">
        <f t="shared" si="173"/>
        <v>-2.0768003724495054E-2</v>
      </c>
      <c r="P108" s="89">
        <f t="shared" si="174"/>
        <v>-0.25685758982338147</v>
      </c>
      <c r="Q108" s="89">
        <f t="shared" si="175"/>
        <v>0.12265960385179819</v>
      </c>
      <c r="R108" s="89">
        <f t="shared" si="176"/>
        <v>7.8421231217197018E-2</v>
      </c>
      <c r="S108" s="89">
        <f t="shared" si="177"/>
        <v>-3.449298841566184E-2</v>
      </c>
      <c r="T108" s="89">
        <f t="shared" si="178"/>
        <v>3.3674263196567855E-2</v>
      </c>
      <c r="U108" s="89">
        <f t="shared" si="179"/>
        <v>0.12545856679899714</v>
      </c>
      <c r="V108" s="89">
        <f t="shared" si="180"/>
        <v>-2.5081971659856483E-2</v>
      </c>
      <c r="W108" s="89">
        <f t="shared" si="181"/>
        <v>-0.12642499748539449</v>
      </c>
      <c r="X108" s="89">
        <f t="shared" si="182"/>
        <v>-0.27008977607655715</v>
      </c>
      <c r="Y108" s="89">
        <f t="shared" si="183"/>
        <v>0.8846712796779137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-0.16701890913131978</v>
      </c>
      <c r="F109" s="89">
        <f t="shared" ref="F109" si="185">IF(E37=0,"",F37/E37-1)</f>
        <v>4.8396810932168632E-2</v>
      </c>
      <c r="G109" s="89">
        <f t="shared" ref="G109" si="186">IF(F37=0,"",G37/F37-1)</f>
        <v>-1.0293939281804443E-2</v>
      </c>
      <c r="H109" s="89">
        <f t="shared" ref="H109" si="187">IF(G37=0,"",H37/G37-1)</f>
        <v>0.19791392509445038</v>
      </c>
      <c r="I109" s="89">
        <f t="shared" ref="I109" si="188">IF(H37=0,"",I37/H37-1)</f>
        <v>-3.4706574985554628E-4</v>
      </c>
      <c r="J109" s="89">
        <f t="shared" ref="J109" si="189">IF(I37=0,"",J37/I37-1)</f>
        <v>3.2771779103524246E-4</v>
      </c>
      <c r="K109" s="89">
        <f t="shared" ref="K109" si="190">IF(J37=0,"",K37/J37-1)</f>
        <v>0.14527694176264028</v>
      </c>
      <c r="L109" s="89">
        <f t="shared" ref="L109" si="191">IF(K37=0,"",L37/K37-1)</f>
        <v>-0.21167591447038836</v>
      </c>
      <c r="M109" s="89">
        <f t="shared" ref="M109" si="192">IF(L37=0,"",M37/L37-1)</f>
        <v>-0.4438281368283078</v>
      </c>
      <c r="N109" s="89">
        <f t="shared" ref="N109" si="193">IF(M37=0,"",N37/M37-1)</f>
        <v>0.63320210123330711</v>
      </c>
      <c r="O109" s="89">
        <f t="shared" ref="O109" si="194">IF(N37=0,"",O37/N37-1)</f>
        <v>-1.3270608793569671E-3</v>
      </c>
      <c r="P109" s="89">
        <f t="shared" ref="P109" si="195">IF(O37=0,"",P37/O37-1)</f>
        <v>3.1755353073354087E-2</v>
      </c>
      <c r="Q109" s="89">
        <f t="shared" ref="Q109" si="196">IF(P37=0,"",Q37/P37-1)</f>
        <v>-7.894556177805423E-2</v>
      </c>
      <c r="R109" s="89">
        <f t="shared" ref="R109" si="197">IF(Q37=0,"",R37/Q37-1)</f>
        <v>-7.2602846126876619E-2</v>
      </c>
      <c r="S109" s="89">
        <f t="shared" ref="S109" si="198">IF(R37=0,"",S37/R37-1)</f>
        <v>0.12714808457697457</v>
      </c>
      <c r="T109" s="89">
        <f t="shared" ref="T109" si="199">IF(S37=0,"",T37/S37-1)</f>
        <v>1.3685962996190515E-3</v>
      </c>
      <c r="U109" s="89">
        <f t="shared" ref="U109" si="200">IF(T37=0,"",U37/T37-1)</f>
        <v>3.8118134566514916E-2</v>
      </c>
      <c r="V109" s="89">
        <f t="shared" ref="V109" si="201">IF(U37=0,"",V37/U37-1)</f>
        <v>5.9953074774376836E-2</v>
      </c>
      <c r="W109" s="89">
        <f t="shared" ref="W109" si="202">IF(V37=0,"",W37/V37-1)</f>
        <v>-3.4501834278228838E-2</v>
      </c>
      <c r="X109" s="89">
        <f t="shared" ref="X109" si="203">IF(W37=0,"",X37/W37-1)</f>
        <v>-6.8941724981299357E-2</v>
      </c>
      <c r="Y109" s="89">
        <f t="shared" ref="Y109" si="204">IF(X37=0,"",Y37/X37-1)</f>
        <v>0.29870475674514219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1.9361929327977423E-2</v>
      </c>
      <c r="F110" s="89">
        <f t="shared" ref="F110:F111" si="206">IF(E43=0,"",F43/E43-1)</f>
        <v>1.8969726623033978E-2</v>
      </c>
      <c r="G110" s="89">
        <f t="shared" ref="G110:G111" si="207">IF(F43=0,"",G43/F43-1)</f>
        <v>-1.569686777186341E-2</v>
      </c>
      <c r="H110" s="89">
        <f t="shared" ref="H110:H111" si="208">IF(G43=0,"",H43/G43-1)</f>
        <v>-1.4756240045918689E-2</v>
      </c>
      <c r="I110" s="89">
        <f t="shared" ref="I110:I111" si="209">IF(H43=0,"",I43/H43-1)</f>
        <v>7.6816661373502848E-2</v>
      </c>
      <c r="J110" s="89">
        <f t="shared" ref="J110:J111" si="210">IF(I43=0,"",J43/I43-1)</f>
        <v>-0.11349856670790459</v>
      </c>
      <c r="K110" s="89">
        <f t="shared" ref="K110:K111" si="211">IF(J43=0,"",K43/J43-1)</f>
        <v>7.1442850764111165E-2</v>
      </c>
      <c r="L110" s="89">
        <f t="shared" ref="L110:L111" si="212">IF(K43=0,"",L43/K43-1)</f>
        <v>-9.8570639948680983E-2</v>
      </c>
      <c r="M110" s="89">
        <f t="shared" ref="M110:M111" si="213">IF(L43=0,"",M43/L43-1)</f>
        <v>6.1147659539573018E-2</v>
      </c>
      <c r="N110" s="89">
        <f t="shared" ref="N110:N111" si="214">IF(M43=0,"",N43/M43-1)</f>
        <v>0.13416516880622065</v>
      </c>
      <c r="O110" s="89">
        <f t="shared" ref="O110:O111" si="215">IF(N43=0,"",O43/N43-1)</f>
        <v>-5.4714738823082865E-2</v>
      </c>
      <c r="P110" s="89">
        <f t="shared" ref="P110:P111" si="216">IF(O43=0,"",P43/O43-1)</f>
        <v>4.3915034052288693E-3</v>
      </c>
      <c r="Q110" s="89">
        <f t="shared" ref="Q110:Q111" si="217">IF(P43=0,"",Q43/P43-1)</f>
        <v>5.0084075193884026E-2</v>
      </c>
      <c r="R110" s="89">
        <f t="shared" ref="R110:R111" si="218">IF(Q43=0,"",R43/Q43-1)</f>
        <v>1.13517772344498E-2</v>
      </c>
      <c r="S110" s="89">
        <f t="shared" ref="S110:S111" si="219">IF(R43=0,"",S43/R43-1)</f>
        <v>4.4453582277856452E-2</v>
      </c>
      <c r="T110" s="89">
        <f t="shared" ref="T110:T111" si="220">IF(S43=0,"",T43/S43-1)</f>
        <v>-2.5864330460390716E-2</v>
      </c>
      <c r="U110" s="89">
        <f t="shared" ref="U110:U111" si="221">IF(T43=0,"",U43/T43-1)</f>
        <v>5.9254640266217962E-2</v>
      </c>
      <c r="V110" s="89">
        <f t="shared" ref="V110:V111" si="222">IF(U43=0,"",V43/U43-1)</f>
        <v>7.0997872328044442E-2</v>
      </c>
      <c r="W110" s="89">
        <f t="shared" ref="W110:W111" si="223">IF(V43=0,"",W43/V43-1)</f>
        <v>8.4385723448145544E-2</v>
      </c>
      <c r="X110" s="89">
        <f t="shared" ref="X110:X111" si="224">IF(W43=0,"",X43/W43-1)</f>
        <v>3.9492549668245003E-2</v>
      </c>
      <c r="Y110" s="89">
        <f t="shared" ref="Y110:Y111" si="225">IF(X43=0,"",Y43/X43-1)</f>
        <v>-5.9640180882587823E-2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-1.7819955980448055E-2</v>
      </c>
      <c r="F111" s="89">
        <f t="shared" si="206"/>
        <v>5.2048102233628324E-3</v>
      </c>
      <c r="G111" s="89">
        <f t="shared" si="207"/>
        <v>-4.9227558557913942E-2</v>
      </c>
      <c r="H111" s="89">
        <f t="shared" si="208"/>
        <v>9.9831037148792046E-3</v>
      </c>
      <c r="I111" s="89">
        <f t="shared" si="209"/>
        <v>1.0814866035742554E-2</v>
      </c>
      <c r="J111" s="89">
        <f t="shared" si="210"/>
        <v>-5.3140533648193267E-2</v>
      </c>
      <c r="K111" s="89">
        <f t="shared" si="211"/>
        <v>-1.296096318838269E-2</v>
      </c>
      <c r="L111" s="89">
        <f t="shared" si="212"/>
        <v>-7.269891618123725E-2</v>
      </c>
      <c r="M111" s="89">
        <f t="shared" si="213"/>
        <v>-1.8266535362768233E-2</v>
      </c>
      <c r="N111" s="89">
        <f t="shared" si="214"/>
        <v>8.5309049676446369E-2</v>
      </c>
      <c r="O111" s="89">
        <f t="shared" si="215"/>
        <v>2.5027960174591524E-2</v>
      </c>
      <c r="P111" s="89">
        <f t="shared" si="216"/>
        <v>-4.9162885599538297E-2</v>
      </c>
      <c r="Q111" s="89">
        <f t="shared" si="217"/>
        <v>-5.0121247857445317E-3</v>
      </c>
      <c r="R111" s="89">
        <f t="shared" si="218"/>
        <v>6.1735304309712413E-2</v>
      </c>
      <c r="S111" s="89">
        <f t="shared" si="219"/>
        <v>0.11151455885768757</v>
      </c>
      <c r="T111" s="89">
        <f t="shared" si="220"/>
        <v>-9.6972817633467101E-2</v>
      </c>
      <c r="U111" s="89">
        <f t="shared" si="221"/>
        <v>5.5980584827225455E-2</v>
      </c>
      <c r="V111" s="89">
        <f t="shared" si="222"/>
        <v>-4.6699186030979556E-3</v>
      </c>
      <c r="W111" s="89">
        <f t="shared" si="223"/>
        <v>-8.4402835509565843E-2</v>
      </c>
      <c r="X111" s="89">
        <f t="shared" si="224"/>
        <v>-2.5854959288131751E-2</v>
      </c>
      <c r="Y111" s="89">
        <f t="shared" si="225"/>
        <v>8.1938882909055266E-2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0.11180585956890265</v>
      </c>
      <c r="F112" s="89">
        <f t="shared" ref="F112:F113" si="227">IF(E47=0,"",F47/E47-1)</f>
        <v>4.9202829343645504E-2</v>
      </c>
      <c r="G112" s="89">
        <f t="shared" ref="G112:G113" si="228">IF(F47=0,"",G47/F47-1)</f>
        <v>5.4861211076266736E-2</v>
      </c>
      <c r="H112" s="89">
        <f t="shared" ref="H112:H113" si="229">IF(G47=0,"",H47/G47-1)</f>
        <v>-6.1677934165787374E-2</v>
      </c>
      <c r="I112" s="89">
        <f t="shared" ref="I112:I113" si="230">IF(H47=0,"",I47/H47-1)</f>
        <v>0.21155880019730278</v>
      </c>
      <c r="J112" s="89">
        <f t="shared" ref="J112:J113" si="231">IF(I47=0,"",J47/I47-1)</f>
        <v>-0.21630253768051089</v>
      </c>
      <c r="K112" s="89">
        <f t="shared" ref="K112:K113" si="232">IF(J47=0,"",K47/J47-1)</f>
        <v>0.24513251203427067</v>
      </c>
      <c r="L112" s="89">
        <f t="shared" ref="L112:L113" si="233">IF(K47=0,"",L47/K47-1)</f>
        <v>-0.14077487354434193</v>
      </c>
      <c r="M112" s="89">
        <f t="shared" ref="M112:M113" si="234">IF(L47=0,"",M47/L47-1)</f>
        <v>0.20095906085305804</v>
      </c>
      <c r="N112" s="89">
        <f t="shared" ref="N112:N113" si="235">IF(M47=0,"",N47/M47-1)</f>
        <v>0.20447706483013883</v>
      </c>
      <c r="O112" s="89">
        <f t="shared" ref="O112:O113" si="236">IF(N47=0,"",O47/N47-1)</f>
        <v>-0.15812310196178081</v>
      </c>
      <c r="P112" s="89">
        <f t="shared" ref="P112:P113" si="237">IF(O47=0,"",P47/O47-1)</f>
        <v>8.8947988482610985E-2</v>
      </c>
      <c r="Q112" s="89">
        <f t="shared" ref="Q112:Q113" si="238">IF(P47=0,"",Q47/P47-1)</f>
        <v>0.12604189439026081</v>
      </c>
      <c r="R112" s="89">
        <f t="shared" ref="R112:R113" si="239">IF(Q47=0,"",R47/Q47-1)</f>
        <v>-5.0024797454233938E-2</v>
      </c>
      <c r="S112" s="89">
        <f t="shared" ref="S112:S113" si="240">IF(R47=0,"",S47/R47-1)</f>
        <v>-4.6850026631158337E-2</v>
      </c>
      <c r="T112" s="89">
        <f t="shared" ref="T112:T113" si="241">IF(S47=0,"",T47/S47-1)</f>
        <v>8.7035535174895262E-2</v>
      </c>
      <c r="U112" s="89">
        <f t="shared" ref="U112:U113" si="242">IF(T47=0,"",U47/T47-1)</f>
        <v>6.3572963002393124E-2</v>
      </c>
      <c r="V112" s="89">
        <f t="shared" ref="V112:V113" si="243">IF(U47=0,"",V47/U47-1)</f>
        <v>0.17008763034364871</v>
      </c>
      <c r="W112" s="89">
        <f t="shared" ref="W112:W113" si="244">IF(V47=0,"",W47/V47-1)</f>
        <v>0.27240806614133217</v>
      </c>
      <c r="X112" s="89">
        <f t="shared" ref="X112:X113" si="245">IF(W47=0,"",X47/W47-1)</f>
        <v>9.1873517266304994E-2</v>
      </c>
      <c r="Y112" s="89">
        <f t="shared" ref="Y112:Y113" si="246">IF(X47=0,"",Y47/X47-1)</f>
        <v>-0.16089012849170947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1.3567716320686429E-2</v>
      </c>
      <c r="F113" s="89">
        <f t="shared" si="227"/>
        <v>2.7952472279579865E-4</v>
      </c>
      <c r="G113" s="89">
        <f t="shared" si="228"/>
        <v>-2.9707511525158603E-2</v>
      </c>
      <c r="H113" s="89">
        <f t="shared" si="229"/>
        <v>-9.6408274534848237E-3</v>
      </c>
      <c r="I113" s="89">
        <f t="shared" si="230"/>
        <v>-2.5002974419918278E-2</v>
      </c>
      <c r="J113" s="89">
        <f t="shared" si="231"/>
        <v>1.8552310755675316E-2</v>
      </c>
      <c r="K113" s="89">
        <f t="shared" si="232"/>
        <v>7.4648426904349918E-2</v>
      </c>
      <c r="L113" s="89">
        <f t="shared" si="233"/>
        <v>-5.2710275613382707E-2</v>
      </c>
      <c r="M113" s="89">
        <f t="shared" si="234"/>
        <v>-6.7620812287641607E-2</v>
      </c>
      <c r="N113" s="89">
        <f t="shared" si="235"/>
        <v>-7.2979109731403868E-2</v>
      </c>
      <c r="O113" s="89">
        <f t="shared" si="236"/>
        <v>4.622288014666398E-2</v>
      </c>
      <c r="P113" s="89">
        <f t="shared" si="237"/>
        <v>-8.2905377251977552E-2</v>
      </c>
      <c r="Q113" s="89">
        <f t="shared" si="238"/>
        <v>-5.0879117940079932E-2</v>
      </c>
      <c r="R113" s="89">
        <f t="shared" si="239"/>
        <v>3.3162146964399453E-2</v>
      </c>
      <c r="S113" s="89">
        <f t="shared" si="240"/>
        <v>3.0734573981259672E-2</v>
      </c>
      <c r="T113" s="89">
        <f t="shared" si="241"/>
        <v>6.4446871141750073E-3</v>
      </c>
      <c r="U113" s="89">
        <f t="shared" si="242"/>
        <v>1.0600008837473807E-2</v>
      </c>
      <c r="V113" s="89">
        <f t="shared" si="243"/>
        <v>2.7986287536528875E-2</v>
      </c>
      <c r="W113" s="89">
        <f t="shared" si="244"/>
        <v>-4.6128749238276701E-3</v>
      </c>
      <c r="X113" s="89">
        <f t="shared" si="245"/>
        <v>-5.0881628923244104E-2</v>
      </c>
      <c r="Y113" s="89">
        <f t="shared" si="246"/>
        <v>9.3410319337797088E-2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-3.9430884590073267E-2</v>
      </c>
      <c r="F114" s="89">
        <f t="shared" ref="F114:F115" si="248">IF(E52=0,"",F52/E52-1)</f>
        <v>-2.358178208012518E-2</v>
      </c>
      <c r="G114" s="89">
        <f t="shared" ref="G114:G115" si="249">IF(F52=0,"",G52/F52-1)</f>
        <v>-4.0589554311572851E-2</v>
      </c>
      <c r="H114" s="89">
        <f t="shared" ref="H114:H115" si="250">IF(G52=0,"",H52/G52-1)</f>
        <v>-1.8234501353044053E-2</v>
      </c>
      <c r="I114" s="89">
        <f t="shared" ref="I114:I115" si="251">IF(H52=0,"",I52/H52-1)</f>
        <v>-4.4901838179028708E-2</v>
      </c>
      <c r="J114" s="89">
        <f t="shared" ref="J114:J115" si="252">IF(I52=0,"",J52/I52-1)</f>
        <v>-1.3123773001597283E-2</v>
      </c>
      <c r="K114" s="89">
        <f t="shared" ref="K114:K115" si="253">IF(J52=0,"",K52/J52-1)</f>
        <v>-1.0529516657638571E-2</v>
      </c>
      <c r="L114" s="89">
        <f t="shared" ref="L114:L115" si="254">IF(K52=0,"",L52/K52-1)</f>
        <v>-4.0939546087020218E-2</v>
      </c>
      <c r="M114" s="89">
        <f t="shared" ref="M114:M115" si="255">IF(L52=0,"",M52/L52-1)</f>
        <v>-9.831853620070452E-2</v>
      </c>
      <c r="N114" s="89">
        <f t="shared" ref="N114:N115" si="256">IF(M52=0,"",N52/M52-1)</f>
        <v>-5.4964900993784926E-2</v>
      </c>
      <c r="O114" s="89">
        <f t="shared" ref="O114:O115" si="257">IF(N52=0,"",O52/N52-1)</f>
        <v>1.1849960588306008E-2</v>
      </c>
      <c r="P114" s="89">
        <f t="shared" ref="P114:P115" si="258">IF(O52=0,"",P52/O52-1)</f>
        <v>-1.1693393905201743E-2</v>
      </c>
      <c r="Q114" s="89">
        <f t="shared" ref="Q114:Q115" si="259">IF(P52=0,"",Q52/P52-1)</f>
        <v>-5.7953940101621471E-2</v>
      </c>
      <c r="R114" s="89">
        <f t="shared" ref="R114:R115" si="260">IF(Q52=0,"",R52/Q52-1)</f>
        <v>2.799532189150411E-2</v>
      </c>
      <c r="S114" s="89">
        <f t="shared" ref="S114:S115" si="261">IF(R52=0,"",S52/R52-1)</f>
        <v>-2.6495181236674048E-2</v>
      </c>
      <c r="T114" s="89">
        <f t="shared" ref="T114:T115" si="262">IF(S52=0,"",T52/S52-1)</f>
        <v>-3.5530339858680371E-2</v>
      </c>
      <c r="U114" s="89">
        <f t="shared" ref="U114:U115" si="263">IF(T52=0,"",U52/T52-1)</f>
        <v>-4.6688454229167786E-2</v>
      </c>
      <c r="V114" s="89">
        <f t="shared" ref="V114:V115" si="264">IF(U52=0,"",V52/U52-1)</f>
        <v>-5.3585488447862151E-2</v>
      </c>
      <c r="W114" s="89">
        <f t="shared" ref="W114:W115" si="265">IF(V52=0,"",W52/V52-1)</f>
        <v>-1.2764773283855502E-2</v>
      </c>
      <c r="X114" s="89">
        <f t="shared" ref="X114:X115" si="266">IF(W52=0,"",X52/W52-1)</f>
        <v>-0.11071002318975909</v>
      </c>
      <c r="Y114" s="89">
        <f t="shared" ref="Y114:Y115" si="267">IF(X52=0,"",Y52/X52-1)</f>
        <v>1.9341594554628916E-2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-3.2137738826430895E-2</v>
      </c>
      <c r="F115" s="89">
        <f t="shared" si="248"/>
        <v>-1.2865060567187059E-2</v>
      </c>
      <c r="G115" s="89">
        <f t="shared" si="249"/>
        <v>-7.8278337797532571E-2</v>
      </c>
      <c r="H115" s="89">
        <f t="shared" si="250"/>
        <v>-5.7055757697578313E-3</v>
      </c>
      <c r="I115" s="89">
        <f t="shared" si="251"/>
        <v>-6.5079876993256569E-2</v>
      </c>
      <c r="J115" s="89">
        <f t="shared" si="252"/>
        <v>6.9061230547382557E-3</v>
      </c>
      <c r="K115" s="89">
        <f t="shared" si="253"/>
        <v>-4.5743193916735536E-2</v>
      </c>
      <c r="L115" s="89">
        <f t="shared" si="254"/>
        <v>-5.6953751243172812E-2</v>
      </c>
      <c r="M115" s="89">
        <f t="shared" si="255"/>
        <v>-9.9701702287019245E-2</v>
      </c>
      <c r="N115" s="89">
        <f t="shared" si="256"/>
        <v>-9.1176522457050768E-2</v>
      </c>
      <c r="O115" s="89">
        <f t="shared" si="257"/>
        <v>4.0102320310507311E-2</v>
      </c>
      <c r="P115" s="89">
        <f t="shared" si="258"/>
        <v>3.8444744646086493E-2</v>
      </c>
      <c r="Q115" s="89">
        <f t="shared" si="259"/>
        <v>-3.4322995103152509E-2</v>
      </c>
      <c r="R115" s="89">
        <f t="shared" si="260"/>
        <v>7.5636665362939448E-2</v>
      </c>
      <c r="S115" s="89">
        <f t="shared" si="261"/>
        <v>-5.1273848453704529E-3</v>
      </c>
      <c r="T115" s="89">
        <f t="shared" si="262"/>
        <v>-3.434904079459955E-2</v>
      </c>
      <c r="U115" s="89">
        <f t="shared" si="263"/>
        <v>-3.2347436431161891E-2</v>
      </c>
      <c r="V115" s="89">
        <f t="shared" si="264"/>
        <v>-4.8784630695531739E-2</v>
      </c>
      <c r="W115" s="89">
        <f t="shared" si="265"/>
        <v>2.3212706256407811E-2</v>
      </c>
      <c r="X115" s="89">
        <f t="shared" si="266"/>
        <v>-4.120086032781145E-2</v>
      </c>
      <c r="Y115" s="89">
        <f t="shared" si="267"/>
        <v>5.2431460227553295E-3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-4.6317565223576329E-2</v>
      </c>
      <c r="F116" s="89">
        <f t="shared" ref="F116:F122" si="269">IF(E56=0,"",F56/E56-1)</f>
        <v>-3.3851695144698213E-2</v>
      </c>
      <c r="G116" s="89">
        <f t="shared" ref="G116:G122" si="270">IF(F56=0,"",G56/F56-1)</f>
        <v>-3.687574290989204E-3</v>
      </c>
      <c r="H116" s="89">
        <f t="shared" ref="H116:H122" si="271">IF(G56=0,"",H56/G56-1)</f>
        <v>-2.9583449902360059E-2</v>
      </c>
      <c r="I116" s="89">
        <f t="shared" ref="I116:I122" si="272">IF(H56=0,"",I56/H56-1)</f>
        <v>-2.6174435024570841E-2</v>
      </c>
      <c r="J116" s="89">
        <f t="shared" ref="J116:J122" si="273">IF(I56=0,"",J56/I56-1)</f>
        <v>-3.0970995516491961E-2</v>
      </c>
      <c r="K116" s="89">
        <f t="shared" ref="K116:K122" si="274">IF(J56=0,"",K56/J56-1)</f>
        <v>2.2073330485774534E-2</v>
      </c>
      <c r="L116" s="89">
        <f t="shared" ref="L116:L122" si="275">IF(K56=0,"",L56/K56-1)</f>
        <v>-2.7096465529041214E-2</v>
      </c>
      <c r="M116" s="89">
        <f t="shared" ref="M116:M122" si="276">IF(L56=0,"",M56/L56-1)</f>
        <v>-9.7159585663758707E-2</v>
      </c>
      <c r="N116" s="89">
        <f t="shared" ref="N116:N122" si="277">IF(M56=0,"",N56/M56-1)</f>
        <v>-2.470872912706279E-2</v>
      </c>
      <c r="O116" s="89">
        <f t="shared" ref="O116:O122" si="278">IF(N56=0,"",O56/N56-1)</f>
        <v>-1.0147164998115965E-2</v>
      </c>
      <c r="P116" s="89">
        <f t="shared" ref="P116:P122" si="279">IF(O56=0,"",P56/O56-1)</f>
        <v>-5.2712372995038614E-2</v>
      </c>
      <c r="Q116" s="89">
        <f t="shared" ref="Q116:Q122" si="280">IF(P56=0,"",Q56/P56-1)</f>
        <v>-7.9147272922268641E-2</v>
      </c>
      <c r="R116" s="89">
        <f t="shared" ref="R116:R122" si="281">IF(Q56=0,"",R56/Q56-1)</f>
        <v>-1.6811473114388131E-2</v>
      </c>
      <c r="S116" s="89">
        <f t="shared" ref="S116:S122" si="282">IF(R56=0,"",S56/R56-1)</f>
        <v>-4.8481292059219805E-2</v>
      </c>
      <c r="T116" s="89">
        <f t="shared" ref="T116:T122" si="283">IF(S56=0,"",T56/S56-1)</f>
        <v>-3.6801202698569346E-2</v>
      </c>
      <c r="U116" s="89">
        <f t="shared" ref="U116:U122" si="284">IF(T56=0,"",U56/T56-1)</f>
        <v>-6.2156058079801513E-2</v>
      </c>
      <c r="V116" s="89">
        <f t="shared" ref="V116:V122" si="285">IF(U56=0,"",V56/U56-1)</f>
        <v>-5.8928065299348464E-2</v>
      </c>
      <c r="W116" s="89">
        <f t="shared" ref="W116:W122" si="286">IF(V56=0,"",W56/V56-1)</f>
        <v>-5.3233422806853503E-2</v>
      </c>
      <c r="X116" s="89">
        <f t="shared" ref="X116:X122" si="287">IF(W56=0,"",X56/W56-1)</f>
        <v>-0.1952093096337526</v>
      </c>
      <c r="Y116" s="89">
        <f t="shared" ref="Y116:Y122" si="288">IF(X56=0,"",Y56/X56-1)</f>
        <v>3.9760243311373289E-2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7.1611954821868551E-3</v>
      </c>
      <c r="F117" s="89">
        <f t="shared" si="269"/>
        <v>1.9208937373785595E-2</v>
      </c>
      <c r="G117" s="89">
        <f t="shared" si="270"/>
        <v>6.358272375170726E-3</v>
      </c>
      <c r="H117" s="89">
        <f t="shared" si="271"/>
        <v>4.931860028943591E-2</v>
      </c>
      <c r="I117" s="89">
        <f t="shared" si="272"/>
        <v>-2.3403502923799557E-2</v>
      </c>
      <c r="J117" s="89">
        <f t="shared" si="273"/>
        <v>-2.8263302204454388E-2</v>
      </c>
      <c r="K117" s="89">
        <f t="shared" si="274"/>
        <v>1.6186089193845454E-2</v>
      </c>
      <c r="L117" s="89">
        <f t="shared" si="275"/>
        <v>-1.2089259297265453E-3</v>
      </c>
      <c r="M117" s="89">
        <f t="shared" si="276"/>
        <v>7.6135825709541249E-2</v>
      </c>
      <c r="N117" s="89">
        <f t="shared" si="277"/>
        <v>-5.4754732371630976E-2</v>
      </c>
      <c r="O117" s="89">
        <f t="shared" si="278"/>
        <v>-3.0324499530508864E-2</v>
      </c>
      <c r="P117" s="89">
        <f t="shared" si="279"/>
        <v>2.516890269210359E-2</v>
      </c>
      <c r="Q117" s="89">
        <f t="shared" si="280"/>
        <v>3.9836772744342497E-2</v>
      </c>
      <c r="R117" s="89">
        <f t="shared" si="281"/>
        <v>2.2604644091538173E-2</v>
      </c>
      <c r="S117" s="89">
        <f t="shared" si="282"/>
        <v>2.1105685868320512E-2</v>
      </c>
      <c r="T117" s="89">
        <f t="shared" si="283"/>
        <v>-4.1035183550979237E-3</v>
      </c>
      <c r="U117" s="89">
        <f t="shared" si="284"/>
        <v>-8.0922448629057175E-3</v>
      </c>
      <c r="V117" s="89">
        <f t="shared" si="285"/>
        <v>1.8149271812098799E-2</v>
      </c>
      <c r="W117" s="89">
        <f t="shared" si="286"/>
        <v>3.0558809635544693E-2</v>
      </c>
      <c r="X117" s="89">
        <f t="shared" si="287"/>
        <v>-5.5357205894711381E-2</v>
      </c>
      <c r="Y117" s="89">
        <f t="shared" si="288"/>
        <v>5.6788648085181581E-2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-1.9241531017346603E-3</v>
      </c>
      <c r="F118" s="89">
        <f t="shared" si="269"/>
        <v>-2.2780574101113338E-2</v>
      </c>
      <c r="G118" s="89">
        <f t="shared" si="270"/>
        <v>-2.8877024585402977E-2</v>
      </c>
      <c r="H118" s="89">
        <f t="shared" si="271"/>
        <v>-5.6689379496698833E-2</v>
      </c>
      <c r="I118" s="89">
        <f t="shared" si="272"/>
        <v>-3.199636076236323E-2</v>
      </c>
      <c r="J118" s="89">
        <f t="shared" si="273"/>
        <v>-3.363972139456084E-2</v>
      </c>
      <c r="K118" s="89">
        <f t="shared" si="274"/>
        <v>-5.6430070126563647E-2</v>
      </c>
      <c r="L118" s="89">
        <f t="shared" si="275"/>
        <v>-4.5849170036933451E-2</v>
      </c>
      <c r="M118" s="89">
        <f t="shared" si="276"/>
        <v>-0.19112812861187978</v>
      </c>
      <c r="N118" s="89">
        <f t="shared" si="277"/>
        <v>0.10208419993905737</v>
      </c>
      <c r="O118" s="89">
        <f t="shared" si="278"/>
        <v>5.9294096277215935E-2</v>
      </c>
      <c r="P118" s="89">
        <f t="shared" si="279"/>
        <v>2.6244576913887485E-3</v>
      </c>
      <c r="Q118" s="89">
        <f t="shared" si="280"/>
        <v>-4.289076915512724E-3</v>
      </c>
      <c r="R118" s="89">
        <f t="shared" si="281"/>
        <v>1.877596937533399E-2</v>
      </c>
      <c r="S118" s="89">
        <f t="shared" si="282"/>
        <v>-0.13977862808895103</v>
      </c>
      <c r="T118" s="89">
        <f t="shared" si="283"/>
        <v>-7.1122974512755954E-2</v>
      </c>
      <c r="U118" s="89">
        <f t="shared" si="284"/>
        <v>4.7293416517472764E-2</v>
      </c>
      <c r="V118" s="89">
        <f t="shared" si="285"/>
        <v>-8.2459064341223742E-3</v>
      </c>
      <c r="W118" s="89">
        <f t="shared" si="286"/>
        <v>-1.4807838464324319E-2</v>
      </c>
      <c r="X118" s="89">
        <f t="shared" si="287"/>
        <v>-0.19581114738327798</v>
      </c>
      <c r="Y118" s="89">
        <f t="shared" si="288"/>
        <v>-2.3877034349297999E-2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-5.1534601823478465E-2</v>
      </c>
      <c r="F119" s="89">
        <f t="shared" si="269"/>
        <v>-7.6614553877832892E-3</v>
      </c>
      <c r="G119" s="89">
        <f t="shared" si="270"/>
        <v>-3.7427859455617773E-2</v>
      </c>
      <c r="H119" s="89">
        <f t="shared" si="271"/>
        <v>1.433718693547692E-2</v>
      </c>
      <c r="I119" s="89">
        <f t="shared" si="272"/>
        <v>-3.784702638354176E-4</v>
      </c>
      <c r="J119" s="89">
        <f t="shared" si="273"/>
        <v>4.4202579491230631E-2</v>
      </c>
      <c r="K119" s="89">
        <f t="shared" si="274"/>
        <v>3.3359843946627832E-2</v>
      </c>
      <c r="L119" s="89">
        <f t="shared" si="275"/>
        <v>-8.2226280002357655E-3</v>
      </c>
      <c r="M119" s="89">
        <f t="shared" si="276"/>
        <v>-0.20484468644723886</v>
      </c>
      <c r="N119" s="89">
        <f t="shared" si="277"/>
        <v>4.5302696615639793E-2</v>
      </c>
      <c r="O119" s="89">
        <f t="shared" si="278"/>
        <v>5.9760063059769442E-2</v>
      </c>
      <c r="P119" s="89">
        <f t="shared" si="279"/>
        <v>-3.0530472037710421E-2</v>
      </c>
      <c r="Q119" s="89">
        <f t="shared" si="280"/>
        <v>-4.4542345238211101E-2</v>
      </c>
      <c r="R119" s="89">
        <f t="shared" si="281"/>
        <v>3.5204953483713997E-3</v>
      </c>
      <c r="S119" s="89">
        <f t="shared" si="282"/>
        <v>-1.8841940219508135E-2</v>
      </c>
      <c r="T119" s="89">
        <f t="shared" si="283"/>
        <v>-1.234080918254632E-2</v>
      </c>
      <c r="U119" s="89">
        <f t="shared" si="284"/>
        <v>5.0181115784035946E-3</v>
      </c>
      <c r="V119" s="89">
        <f t="shared" si="285"/>
        <v>-4.1744603755004439E-2</v>
      </c>
      <c r="W119" s="89">
        <f t="shared" si="286"/>
        <v>-1.0053295431928788E-3</v>
      </c>
      <c r="X119" s="89">
        <f t="shared" si="287"/>
        <v>-8.8298790900267377E-2</v>
      </c>
      <c r="Y119" s="89">
        <f t="shared" si="288"/>
        <v>8.7686612758487659E-2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-3.1881104933447091E-2</v>
      </c>
      <c r="F120" s="89">
        <f t="shared" si="269"/>
        <v>9.0818191837878093E-3</v>
      </c>
      <c r="G120" s="89">
        <f t="shared" si="270"/>
        <v>-0.11358935234768219</v>
      </c>
      <c r="H120" s="89">
        <f t="shared" si="271"/>
        <v>1.4108853511386465E-2</v>
      </c>
      <c r="I120" s="89">
        <f t="shared" si="272"/>
        <v>-6.7045611162477314E-2</v>
      </c>
      <c r="J120" s="89">
        <f t="shared" si="273"/>
        <v>-2.3108663548298991E-2</v>
      </c>
      <c r="K120" s="89">
        <f t="shared" si="274"/>
        <v>-1.8894539462393167E-2</v>
      </c>
      <c r="L120" s="89">
        <f t="shared" si="275"/>
        <v>-0.12939672333852537</v>
      </c>
      <c r="M120" s="89">
        <f t="shared" si="276"/>
        <v>-0.19780940959602944</v>
      </c>
      <c r="N120" s="89">
        <f t="shared" si="277"/>
        <v>1.5051294704723217E-2</v>
      </c>
      <c r="O120" s="89">
        <f t="shared" si="278"/>
        <v>-8.5817091023412395E-2</v>
      </c>
      <c r="P120" s="89">
        <f t="shared" si="279"/>
        <v>-6.7679750271901984E-2</v>
      </c>
      <c r="Q120" s="89">
        <f t="shared" si="280"/>
        <v>-5.8997440214157981E-3</v>
      </c>
      <c r="R120" s="89">
        <f t="shared" si="281"/>
        <v>2.1253771245349329E-2</v>
      </c>
      <c r="S120" s="89">
        <f t="shared" si="282"/>
        <v>1.5974497391304077E-2</v>
      </c>
      <c r="T120" s="89">
        <f t="shared" si="283"/>
        <v>-5.2224672718575227E-2</v>
      </c>
      <c r="U120" s="89">
        <f t="shared" si="284"/>
        <v>-4.1076998435655709E-2</v>
      </c>
      <c r="V120" s="89">
        <f t="shared" si="285"/>
        <v>-2.5333236615014521E-2</v>
      </c>
      <c r="W120" s="89">
        <f t="shared" si="286"/>
        <v>-0.1154522494294431</v>
      </c>
      <c r="X120" s="89">
        <f t="shared" si="287"/>
        <v>-0.11808904891337568</v>
      </c>
      <c r="Y120" s="89">
        <f t="shared" si="288"/>
        <v>0.13554645409073451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7.7542234737541182E-2</v>
      </c>
      <c r="F121" s="89">
        <f t="shared" si="269"/>
        <v>-2.1632213922468391E-2</v>
      </c>
      <c r="G121" s="89">
        <f t="shared" si="270"/>
        <v>3.420157683745173E-2</v>
      </c>
      <c r="H121" s="89">
        <f t="shared" si="271"/>
        <v>7.0669119193387031E-2</v>
      </c>
      <c r="I121" s="89">
        <f t="shared" si="272"/>
        <v>-1.7690600611978025E-2</v>
      </c>
      <c r="J121" s="89">
        <f t="shared" si="273"/>
        <v>4.514512190426756E-2</v>
      </c>
      <c r="K121" s="89">
        <f t="shared" si="274"/>
        <v>9.7092833485597607E-2</v>
      </c>
      <c r="L121" s="89">
        <f t="shared" si="275"/>
        <v>-0.12017419030597276</v>
      </c>
      <c r="M121" s="89">
        <f t="shared" si="276"/>
        <v>-8.4540457558402449E-2</v>
      </c>
      <c r="N121" s="89">
        <f t="shared" si="277"/>
        <v>-1.8334232702015951E-2</v>
      </c>
      <c r="O121" s="89">
        <f t="shared" si="278"/>
        <v>-8.0472954956463116E-3</v>
      </c>
      <c r="P121" s="89">
        <f t="shared" si="279"/>
        <v>-8.0745103105669735E-2</v>
      </c>
      <c r="Q121" s="89">
        <f t="shared" si="280"/>
        <v>-9.5785201612416659E-2</v>
      </c>
      <c r="R121" s="89">
        <f t="shared" si="281"/>
        <v>2.6147311079310231E-2</v>
      </c>
      <c r="S121" s="89">
        <f t="shared" si="282"/>
        <v>1.5316575103845542E-2</v>
      </c>
      <c r="T121" s="89">
        <f t="shared" si="283"/>
        <v>9.5901676790939083E-2</v>
      </c>
      <c r="U121" s="89">
        <f t="shared" si="284"/>
        <v>5.469249049795688E-2</v>
      </c>
      <c r="V121" s="89">
        <f t="shared" si="285"/>
        <v>1.392539432852069E-2</v>
      </c>
      <c r="W121" s="89">
        <f t="shared" si="286"/>
        <v>3.6074343048362989E-2</v>
      </c>
      <c r="X121" s="89">
        <f t="shared" si="287"/>
        <v>-4.8888101012742879E-2</v>
      </c>
      <c r="Y121" s="89">
        <f t="shared" si="288"/>
        <v>0.30740848744215699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6.8591703986721875E-2</v>
      </c>
      <c r="F122" s="91">
        <f t="shared" si="269"/>
        <v>-6.0537118531452938E-3</v>
      </c>
      <c r="G122" s="91">
        <f t="shared" si="270"/>
        <v>-8.5774688118347764E-2</v>
      </c>
      <c r="H122" s="91">
        <f t="shared" si="271"/>
        <v>4.7805344876427069E-2</v>
      </c>
      <c r="I122" s="91">
        <f t="shared" si="272"/>
        <v>-3.2239265193092503E-3</v>
      </c>
      <c r="J122" s="91">
        <f t="shared" si="273"/>
        <v>-2.794091691141487E-2</v>
      </c>
      <c r="K122" s="91">
        <f t="shared" si="274"/>
        <v>3.4864568300685406E-2</v>
      </c>
      <c r="L122" s="91">
        <f t="shared" si="275"/>
        <v>-1.8000980510611386E-2</v>
      </c>
      <c r="M122" s="91">
        <f t="shared" si="276"/>
        <v>-5.619409230796979E-2</v>
      </c>
      <c r="N122" s="91">
        <f t="shared" si="277"/>
        <v>8.3470674133996337E-3</v>
      </c>
      <c r="O122" s="91">
        <f t="shared" si="278"/>
        <v>9.8953177842593387E-3</v>
      </c>
      <c r="P122" s="91">
        <f t="shared" si="279"/>
        <v>-4.6925993534570942E-2</v>
      </c>
      <c r="Q122" s="91">
        <f t="shared" si="280"/>
        <v>-1.8585730234573994E-2</v>
      </c>
      <c r="R122" s="91">
        <f t="shared" si="281"/>
        <v>9.192349864790117E-3</v>
      </c>
      <c r="S122" s="91">
        <f t="shared" si="282"/>
        <v>5.4190338520087034E-2</v>
      </c>
      <c r="T122" s="91">
        <f t="shared" si="283"/>
        <v>6.2782224666473097E-2</v>
      </c>
      <c r="U122" s="91">
        <f t="shared" si="284"/>
        <v>-2.714624599888471E-2</v>
      </c>
      <c r="V122" s="91">
        <f t="shared" si="285"/>
        <v>-5.0498280401215845E-2</v>
      </c>
      <c r="W122" s="91">
        <f t="shared" si="286"/>
        <v>6.7439213072879589E-2</v>
      </c>
      <c r="X122" s="91">
        <f t="shared" si="287"/>
        <v>6.5057069206833074E-3</v>
      </c>
      <c r="Y122" s="91">
        <f t="shared" si="288"/>
        <v>1.1667479206179054E-2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2024-05-20T16:46:07Z</dcterms:created>
  <dcterms:modified xsi:type="dcterms:W3CDTF">2024-05-20T16:46:07Z</dcterms:modified>
</cp:coreProperties>
</file>