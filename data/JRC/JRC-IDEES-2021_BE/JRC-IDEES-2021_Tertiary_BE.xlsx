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BE\"/>
    </mc:Choice>
  </mc:AlternateContent>
  <bookViews>
    <workbookView xWindow="480" yWindow="120" windowWidth="27795" windowHeight="12075" tabRatio="710"/>
  </bookViews>
  <sheets>
    <sheet name="cover" sheetId="41" r:id="rId1"/>
    <sheet name="index" sheetId="4" r:id="rId2"/>
    <sheet name="SER_summary" sheetId="6" r:id="rId3"/>
    <sheet name="SER_hh_num" sheetId="7" r:id="rId4"/>
    <sheet name="SER_hh_fec" sheetId="8" r:id="rId5"/>
    <sheet name="SER_hh_tes" sheetId="9" r:id="rId6"/>
    <sheet name="SER_hh_eff" sheetId="10" r:id="rId7"/>
    <sheet name="SER_hh_emi" sheetId="11" r:id="rId8"/>
    <sheet name="SER_hh_fech" sheetId="12" r:id="rId9"/>
    <sheet name="SER_hh_tesh" sheetId="13" r:id="rId10"/>
    <sheet name="SER_hh_emih" sheetId="14" r:id="rId11"/>
    <sheet name="SER_hh_fecs" sheetId="15" r:id="rId12"/>
    <sheet name="SER_hh_tess" sheetId="16" r:id="rId13"/>
    <sheet name="SER_hh_emis" sheetId="17" r:id="rId14"/>
    <sheet name="SER_hh_num_in" sheetId="18" r:id="rId15"/>
    <sheet name="SER_hh_fec_in" sheetId="19" r:id="rId16"/>
    <sheet name="SER_hh_tes_in" sheetId="20" r:id="rId17"/>
    <sheet name="SER_hh_eff_in" sheetId="21" r:id="rId18"/>
    <sheet name="SER_hh_emi_in" sheetId="22" r:id="rId19"/>
    <sheet name="SER_hh_fech_in" sheetId="23" r:id="rId20"/>
    <sheet name="SER_hh_tesh_in" sheetId="24" r:id="rId21"/>
    <sheet name="SER_hh_emih_in" sheetId="25" r:id="rId22"/>
    <sheet name="SER_hh_fecs_in" sheetId="26" r:id="rId23"/>
    <sheet name="SER_hh_tess_in" sheetId="27" r:id="rId24"/>
    <sheet name="SER_hh_emis_in" sheetId="28" r:id="rId25"/>
    <sheet name="SER_se-appl" sheetId="29" r:id="rId26"/>
    <sheet name="SER_VE" sheetId="30" r:id="rId27"/>
    <sheet name="SER_SL" sheetId="31" r:id="rId28"/>
    <sheet name="SER_BL" sheetId="32" r:id="rId29"/>
    <sheet name="SER_CR" sheetId="33" r:id="rId30"/>
    <sheet name="SER_BT" sheetId="34" r:id="rId31"/>
    <sheet name="SER_IT" sheetId="35" r:id="rId32"/>
    <sheet name="AGR" sheetId="36" r:id="rId33"/>
    <sheet name="AGR_fec" sheetId="37" r:id="rId34"/>
    <sheet name="AGR_ued" sheetId="38" r:id="rId35"/>
    <sheet name="AGR_emi" sheetId="39" r:id="rId36"/>
  </sheets>
  <definedNames>
    <definedName name="_xlnm.Print_Area" localSheetId="32">AGR!$A$1:$L$34</definedName>
    <definedName name="_xlnm.Print_Titles" localSheetId="32">AGR!$1:$1</definedName>
    <definedName name="_xlnm.Print_Titles" localSheetId="35">AGR_emi!$1:$1</definedName>
    <definedName name="_xlnm.Print_Titles" localSheetId="33">AGR_fec!$1:$1</definedName>
    <definedName name="_xlnm.Print_Titles" localSheetId="34">AGR_ued!$1:$1</definedName>
    <definedName name="_xlnm.Print_Titles" localSheetId="28">SER_BL!$1:$1</definedName>
    <definedName name="_xlnm.Print_Titles" localSheetId="30">SER_BT!$1:$1</definedName>
    <definedName name="_xlnm.Print_Titles" localSheetId="29">SER_CR!$1:$1</definedName>
    <definedName name="_xlnm.Print_Titles" localSheetId="6">SER_hh_eff!$1:$1</definedName>
    <definedName name="_xlnm.Print_Titles" localSheetId="17">SER_hh_eff_in!$1:$1</definedName>
    <definedName name="_xlnm.Print_Titles" localSheetId="7">SER_hh_emi!$1:$1</definedName>
    <definedName name="_xlnm.Print_Titles" localSheetId="18">SER_hh_emi_in!$1:$1</definedName>
    <definedName name="_xlnm.Print_Titles" localSheetId="10">SER_hh_emih!$1:$1</definedName>
    <definedName name="_xlnm.Print_Titles" localSheetId="21">SER_hh_emih_in!$1:$1</definedName>
    <definedName name="_xlnm.Print_Titles" localSheetId="13">SER_hh_emis!$1:$1</definedName>
    <definedName name="_xlnm.Print_Titles" localSheetId="24">SER_hh_emis_in!$1:$1</definedName>
    <definedName name="_xlnm.Print_Titles" localSheetId="4">SER_hh_fec!$1:$1</definedName>
    <definedName name="_xlnm.Print_Titles" localSheetId="15">SER_hh_fec_in!$1:$1</definedName>
    <definedName name="_xlnm.Print_Titles" localSheetId="8">SER_hh_fech!$1:$1</definedName>
    <definedName name="_xlnm.Print_Titles" localSheetId="19">SER_hh_fech_in!$1:$1</definedName>
    <definedName name="_xlnm.Print_Titles" localSheetId="11">SER_hh_fecs!$1:$1</definedName>
    <definedName name="_xlnm.Print_Titles" localSheetId="22">SER_hh_fecs_in!$1:$1</definedName>
    <definedName name="_xlnm.Print_Titles" localSheetId="3">SER_hh_num!$1:$1</definedName>
    <definedName name="_xlnm.Print_Titles" localSheetId="14">SER_hh_num_in!$1:$1</definedName>
    <definedName name="_xlnm.Print_Titles" localSheetId="5">SER_hh_tes!$1:$1</definedName>
    <definedName name="_xlnm.Print_Titles" localSheetId="16">SER_hh_tes_in!$1:$1</definedName>
    <definedName name="_xlnm.Print_Titles" localSheetId="9">SER_hh_tesh!$1:$1</definedName>
    <definedName name="_xlnm.Print_Titles" localSheetId="20">SER_hh_tesh_in!$1:$1</definedName>
    <definedName name="_xlnm.Print_Titles" localSheetId="12">SER_hh_tess!$1:$1</definedName>
    <definedName name="_xlnm.Print_Titles" localSheetId="23">SER_hh_tess_in!$1:$1</definedName>
    <definedName name="_xlnm.Print_Titles" localSheetId="31">SER_IT!$1:$1</definedName>
    <definedName name="_xlnm.Print_Titles" localSheetId="25">'SER_se-appl'!$1:$1</definedName>
    <definedName name="_xlnm.Print_Titles" localSheetId="27">SER_SL!$1:$1</definedName>
    <definedName name="_xlnm.Print_Titles" localSheetId="2">SER_summary!$1:$1</definedName>
    <definedName name="_xlnm.Print_Titles" localSheetId="26">SER_VE!$1:$1</definedName>
  </definedNames>
  <calcPr calcId="162913"/>
</workbook>
</file>

<file path=xl/calcChain.xml><?xml version="1.0" encoding="utf-8"?>
<calcChain xmlns="http://schemas.openxmlformats.org/spreadsheetml/2006/main">
  <c r="H9" i="36" l="1"/>
  <c r="C17" i="39"/>
  <c r="P9" i="36"/>
  <c r="C9" i="39"/>
  <c r="V9" i="39"/>
  <c r="K9" i="39"/>
  <c r="S17" i="39"/>
  <c r="N9" i="39"/>
  <c r="F9" i="39"/>
  <c r="T9" i="39"/>
  <c r="D9" i="39"/>
  <c r="L9" i="39"/>
  <c r="J17" i="39"/>
  <c r="R17" i="39"/>
  <c r="E17" i="39"/>
  <c r="M17" i="39"/>
  <c r="U17" i="39"/>
  <c r="H9" i="39"/>
  <c r="P9" i="39"/>
  <c r="S9" i="39"/>
  <c r="J9" i="39"/>
  <c r="J5" i="39" s="1"/>
  <c r="R9" i="39"/>
  <c r="R5" i="39" s="1"/>
  <c r="E9" i="39"/>
  <c r="E5" i="39" s="1"/>
  <c r="M9" i="39"/>
  <c r="M5" i="39" s="1"/>
  <c r="U9" i="39"/>
  <c r="U5" i="39" s="1"/>
  <c r="H17" i="37"/>
  <c r="K9" i="36"/>
  <c r="S9" i="36"/>
  <c r="C9" i="36"/>
  <c r="E9" i="36"/>
  <c r="M9" i="36"/>
  <c r="U9" i="36"/>
  <c r="K17" i="39"/>
  <c r="C17" i="38"/>
  <c r="B17" i="39"/>
  <c r="I17" i="39"/>
  <c r="Q17" i="39"/>
  <c r="Q9" i="36"/>
  <c r="B9" i="36"/>
  <c r="J9" i="36"/>
  <c r="R9" i="36"/>
  <c r="D9" i="36"/>
  <c r="L9" i="36"/>
  <c r="T9" i="36"/>
  <c r="I9" i="39"/>
  <c r="I5" i="39" s="1"/>
  <c r="Q9" i="39"/>
  <c r="I9" i="36"/>
  <c r="K9" i="38"/>
  <c r="K17" i="38"/>
  <c r="C9" i="38"/>
  <c r="S9" i="38"/>
  <c r="S17" i="38"/>
  <c r="F9" i="36"/>
  <c r="N9" i="36"/>
  <c r="V9" i="36"/>
  <c r="H9" i="38"/>
  <c r="P9" i="38"/>
  <c r="F17" i="39"/>
  <c r="N17" i="39"/>
  <c r="V17" i="39"/>
  <c r="D17" i="39"/>
  <c r="L17" i="39"/>
  <c r="T17" i="39"/>
  <c r="G17" i="39"/>
  <c r="O17" i="39"/>
  <c r="W17" i="39"/>
  <c r="H17" i="39"/>
  <c r="P17" i="39"/>
  <c r="B17" i="38"/>
  <c r="G9" i="39"/>
  <c r="O9" i="39"/>
  <c r="W9" i="39"/>
  <c r="B9" i="38"/>
  <c r="F17" i="38"/>
  <c r="N17" i="38"/>
  <c r="V17" i="38"/>
  <c r="D17" i="38"/>
  <c r="L17" i="38"/>
  <c r="T17" i="38"/>
  <c r="H17" i="38"/>
  <c r="P17" i="38"/>
  <c r="B9" i="39"/>
  <c r="G17" i="38"/>
  <c r="O17" i="38"/>
  <c r="W17" i="38"/>
  <c r="J17" i="38"/>
  <c r="R17" i="38"/>
  <c r="E17" i="38"/>
  <c r="M17" i="38"/>
  <c r="U17" i="38"/>
  <c r="B17" i="37"/>
  <c r="N9" i="38"/>
  <c r="D9" i="38"/>
  <c r="D5" i="38" s="1"/>
  <c r="G9" i="36"/>
  <c r="O9" i="36"/>
  <c r="W9" i="36"/>
  <c r="P17" i="37"/>
  <c r="G9" i="38"/>
  <c r="O9" i="38"/>
  <c r="W9" i="38"/>
  <c r="J9" i="38"/>
  <c r="R9" i="38"/>
  <c r="E9" i="38"/>
  <c r="M9" i="38"/>
  <c r="U9" i="38"/>
  <c r="I17" i="38"/>
  <c r="Q17" i="38"/>
  <c r="F9" i="38"/>
  <c r="Q9" i="38"/>
  <c r="T9" i="38"/>
  <c r="V9" i="38"/>
  <c r="L9" i="38"/>
  <c r="B9" i="37"/>
  <c r="I9" i="38"/>
  <c r="I5" i="38" s="1"/>
  <c r="H9" i="37"/>
  <c r="P9" i="37"/>
  <c r="G9" i="37"/>
  <c r="O9" i="37"/>
  <c r="W9" i="37"/>
  <c r="C17" i="37"/>
  <c r="K17" i="37"/>
  <c r="S17" i="37"/>
  <c r="F17" i="37"/>
  <c r="N17" i="37"/>
  <c r="V17" i="37"/>
  <c r="I17" i="37"/>
  <c r="Q17" i="37"/>
  <c r="D17" i="37"/>
  <c r="L17" i="37"/>
  <c r="T17" i="37"/>
  <c r="E17" i="37"/>
  <c r="M17" i="37"/>
  <c r="U17" i="37"/>
  <c r="C9" i="37"/>
  <c r="K9" i="37"/>
  <c r="S9" i="37"/>
  <c r="F9" i="37"/>
  <c r="N9" i="37"/>
  <c r="V9" i="37"/>
  <c r="I9" i="37"/>
  <c r="Q9" i="37"/>
  <c r="D9" i="37"/>
  <c r="L9" i="37"/>
  <c r="T9" i="37"/>
  <c r="J9" i="37"/>
  <c r="R9" i="37"/>
  <c r="G17" i="37"/>
  <c r="O17" i="37"/>
  <c r="W17" i="37"/>
  <c r="J17" i="37"/>
  <c r="R17" i="37"/>
  <c r="E9" i="37"/>
  <c r="M9" i="37"/>
  <c r="U9" i="37"/>
  <c r="B5" i="38" l="1"/>
  <c r="Q5" i="39"/>
  <c r="S5" i="38"/>
  <c r="C5" i="39"/>
  <c r="S5" i="39"/>
  <c r="V5" i="39"/>
  <c r="N5" i="39"/>
  <c r="T5" i="39"/>
  <c r="K5" i="39"/>
  <c r="W5" i="38"/>
  <c r="N5" i="38"/>
  <c r="D5" i="39"/>
  <c r="F5" i="39"/>
  <c r="C5" i="38"/>
  <c r="P5" i="39"/>
  <c r="G5" i="38"/>
  <c r="B5" i="37"/>
  <c r="K5" i="38"/>
  <c r="V5" i="38"/>
  <c r="O5" i="38"/>
  <c r="L5" i="39"/>
  <c r="H5" i="39"/>
  <c r="U5" i="38"/>
  <c r="B5" i="39"/>
  <c r="F5" i="38"/>
  <c r="L5" i="38"/>
  <c r="R5" i="38"/>
  <c r="T5" i="38"/>
  <c r="W5" i="39"/>
  <c r="M5" i="38"/>
  <c r="P5" i="38"/>
  <c r="O5" i="39"/>
  <c r="Q5" i="38"/>
  <c r="J5" i="38"/>
  <c r="E5" i="38"/>
  <c r="H5" i="38"/>
  <c r="G5" i="39"/>
  <c r="B33" i="36"/>
  <c r="N14" i="36" l="1"/>
  <c r="F14" i="36"/>
  <c r="B14" i="36"/>
  <c r="S14" i="36"/>
  <c r="K14" i="36"/>
  <c r="V14" i="36"/>
  <c r="G14" i="36"/>
  <c r="O14" i="36"/>
  <c r="W14" i="36"/>
  <c r="H14" i="36"/>
  <c r="P14" i="36"/>
  <c r="I14" i="36"/>
  <c r="Q14" i="36"/>
  <c r="C14" i="36"/>
  <c r="D14" i="36"/>
  <c r="L14" i="36"/>
  <c r="T14" i="36"/>
  <c r="E19" i="36"/>
  <c r="F19" i="36"/>
  <c r="N19" i="36"/>
  <c r="V19" i="36"/>
  <c r="U19" i="36"/>
  <c r="G19" i="36"/>
  <c r="O19" i="36"/>
  <c r="W19" i="36"/>
  <c r="H19" i="36"/>
  <c r="P19" i="36"/>
  <c r="U14" i="36"/>
  <c r="I19" i="36"/>
  <c r="Q19" i="36"/>
  <c r="J14" i="36"/>
  <c r="R14" i="36"/>
  <c r="B19" i="36"/>
  <c r="J19" i="36"/>
  <c r="R19" i="36"/>
  <c r="E14" i="36"/>
  <c r="C19" i="36"/>
  <c r="K19" i="36"/>
  <c r="S19" i="36"/>
  <c r="M14" i="36"/>
  <c r="M19" i="36"/>
  <c r="D19" i="36"/>
  <c r="L19" i="36"/>
  <c r="T19" i="36"/>
  <c r="S12" i="36" l="1"/>
  <c r="N12" i="36"/>
  <c r="O12" i="36"/>
  <c r="G12" i="36"/>
  <c r="H12" i="36"/>
  <c r="Q12" i="36"/>
  <c r="B12" i="36"/>
  <c r="B31" i="36" s="1"/>
  <c r="W12" i="36"/>
  <c r="C12" i="36"/>
  <c r="P12" i="36"/>
  <c r="D12" i="36"/>
  <c r="M12" i="36"/>
  <c r="T12" i="36"/>
  <c r="L12" i="36"/>
  <c r="U12" i="36"/>
  <c r="J12" i="36"/>
  <c r="F12" i="36"/>
  <c r="E12" i="36"/>
  <c r="I12" i="36"/>
  <c r="K12" i="36"/>
  <c r="R12" i="36"/>
  <c r="V12" i="36"/>
  <c r="B32" i="36" l="1"/>
  <c r="T5" i="37"/>
  <c r="N5" i="37"/>
  <c r="C5" i="37"/>
  <c r="R5" i="37"/>
  <c r="O5" i="37"/>
  <c r="G5" i="37"/>
  <c r="M5" i="37"/>
  <c r="L5" i="37"/>
  <c r="D5" i="37"/>
  <c r="J5" i="37"/>
  <c r="W5" i="37"/>
  <c r="I5" i="37"/>
  <c r="H5" i="37" l="1"/>
  <c r="U5" i="37"/>
  <c r="P5" i="37"/>
  <c r="K5" i="37"/>
  <c r="E5" i="37"/>
  <c r="F5" i="37"/>
  <c r="V5" i="37"/>
  <c r="Q5" i="37"/>
  <c r="S5" i="37" l="1"/>
  <c r="I67" i="6" l="1"/>
  <c r="Q67" i="6"/>
  <c r="C33" i="6"/>
  <c r="K33" i="6"/>
  <c r="E33" i="6"/>
  <c r="M33" i="6"/>
  <c r="U33" i="6"/>
  <c r="G67" i="6"/>
  <c r="O67" i="6"/>
  <c r="W67" i="6"/>
  <c r="O33" i="6"/>
  <c r="E71" i="6"/>
  <c r="M71" i="6"/>
  <c r="U71" i="6"/>
  <c r="K37" i="6"/>
  <c r="S37" i="6"/>
  <c r="F67" i="6"/>
  <c r="V67" i="6"/>
  <c r="I33" i="6"/>
  <c r="Q33" i="6"/>
  <c r="H71" i="6"/>
  <c r="P71" i="6"/>
  <c r="H67" i="6"/>
  <c r="P67" i="6"/>
  <c r="C67" i="6"/>
  <c r="K67" i="6"/>
  <c r="S67" i="6"/>
  <c r="S33" i="6"/>
  <c r="F33" i="6"/>
  <c r="N33" i="6"/>
  <c r="V33" i="6"/>
  <c r="J67" i="6"/>
  <c r="R67" i="6"/>
  <c r="J33" i="6"/>
  <c r="R33" i="6"/>
  <c r="I37" i="6"/>
  <c r="Q37" i="6"/>
  <c r="C37" i="6"/>
  <c r="G33" i="6"/>
  <c r="W33" i="6"/>
  <c r="N67" i="6"/>
  <c r="C71" i="6"/>
  <c r="K71" i="6"/>
  <c r="S71" i="6"/>
  <c r="J71" i="6"/>
  <c r="R71" i="6"/>
  <c r="F37" i="6"/>
  <c r="N37" i="6"/>
  <c r="V37" i="6"/>
  <c r="H33" i="6"/>
  <c r="P33" i="6"/>
  <c r="D37" i="6"/>
  <c r="T37" i="6"/>
  <c r="D33" i="6"/>
  <c r="L33" i="6"/>
  <c r="T33" i="6"/>
  <c r="G37" i="6"/>
  <c r="O37" i="6"/>
  <c r="W37" i="6"/>
  <c r="J37" i="6"/>
  <c r="R37" i="6"/>
  <c r="L37" i="6"/>
  <c r="T71" i="6"/>
  <c r="W71" i="6"/>
  <c r="E67" i="6"/>
  <c r="M67" i="6"/>
  <c r="U67" i="6"/>
  <c r="D71" i="6"/>
  <c r="G71" i="6"/>
  <c r="F71" i="6"/>
  <c r="N71" i="6"/>
  <c r="V71" i="6"/>
  <c r="I71" i="6"/>
  <c r="Q71" i="6"/>
  <c r="L71" i="6"/>
  <c r="O71" i="6"/>
  <c r="E37" i="6"/>
  <c r="E31" i="6" s="1"/>
  <c r="M37" i="6"/>
  <c r="U37" i="6"/>
  <c r="H37" i="6"/>
  <c r="P37" i="6"/>
  <c r="D67" i="6"/>
  <c r="L67" i="6"/>
  <c r="T67" i="6"/>
  <c r="N31" i="6" l="1"/>
  <c r="K31" i="6"/>
  <c r="H31" i="6"/>
  <c r="T31" i="6"/>
  <c r="S31" i="6"/>
  <c r="F31" i="6"/>
  <c r="U31" i="6"/>
  <c r="M31" i="6"/>
  <c r="C31" i="6"/>
  <c r="W31" i="6"/>
  <c r="V31" i="6"/>
  <c r="D31" i="6"/>
  <c r="Q31" i="6"/>
  <c r="I31" i="6"/>
  <c r="O31" i="6"/>
  <c r="P31" i="6"/>
  <c r="G31" i="6"/>
  <c r="L31" i="6"/>
  <c r="R31" i="6"/>
  <c r="J31" i="6"/>
  <c r="W50" i="39" l="1"/>
  <c r="W46" i="39"/>
  <c r="W45" i="39"/>
  <c r="W39" i="39"/>
  <c r="W35" i="39"/>
  <c r="W32" i="39"/>
  <c r="W53" i="39"/>
  <c r="W52" i="39"/>
  <c r="W38" i="39"/>
  <c r="W37" i="39"/>
  <c r="W49" i="39"/>
  <c r="W48" i="39"/>
  <c r="W34" i="39"/>
  <c r="W33" i="39"/>
  <c r="W44" i="39"/>
  <c r="W49" i="38"/>
  <c r="W47" i="38"/>
  <c r="W45" i="38"/>
  <c r="W38" i="38"/>
  <c r="W36" i="38"/>
  <c r="W34" i="38"/>
  <c r="W32" i="38"/>
  <c r="W53" i="38"/>
  <c r="W39" i="38"/>
  <c r="W51" i="38"/>
  <c r="W50" i="38"/>
  <c r="W35" i="38"/>
  <c r="W46" i="38"/>
  <c r="W33" i="36"/>
  <c r="W49" i="37"/>
  <c r="W47" i="37"/>
  <c r="W45" i="37"/>
  <c r="W38" i="37"/>
  <c r="W36" i="37"/>
  <c r="W34" i="37"/>
  <c r="W32" i="37"/>
  <c r="W53" i="37"/>
  <c r="W39" i="37"/>
  <c r="W51" i="37"/>
  <c r="W50" i="37"/>
  <c r="W35" i="37"/>
  <c r="W46" i="37"/>
  <c r="W34" i="36"/>
  <c r="W32" i="36"/>
  <c r="W31" i="36"/>
  <c r="W36" i="39" l="1"/>
  <c r="W40" i="39"/>
  <c r="W47" i="39"/>
  <c r="W51" i="39"/>
  <c r="W33" i="38"/>
  <c r="W37" i="38"/>
  <c r="W44" i="38"/>
  <c r="W48" i="38"/>
  <c r="W52" i="38"/>
  <c r="W40" i="38"/>
  <c r="W33" i="37"/>
  <c r="W37" i="37"/>
  <c r="W48" i="37"/>
  <c r="W52" i="37"/>
  <c r="W40" i="37"/>
  <c r="W31" i="38" l="1"/>
  <c r="W44" i="37"/>
  <c r="W31" i="39"/>
  <c r="W31" i="37"/>
  <c r="T31" i="36" l="1"/>
  <c r="T34" i="36"/>
  <c r="V31" i="36"/>
  <c r="V34" i="36"/>
  <c r="U34" i="36"/>
  <c r="U31" i="36"/>
  <c r="S34" i="36"/>
  <c r="S31" i="36"/>
  <c r="R34" i="36"/>
  <c r="R31" i="36"/>
  <c r="S32" i="36" l="1"/>
  <c r="S51" i="37"/>
  <c r="S49" i="37"/>
  <c r="R45" i="37" l="1"/>
  <c r="R32" i="36"/>
  <c r="R49" i="37"/>
  <c r="R51" i="37"/>
  <c r="R46" i="37"/>
  <c r="V32" i="36"/>
  <c r="V49" i="37"/>
  <c r="V51" i="37"/>
  <c r="V48" i="37"/>
  <c r="R47" i="37"/>
  <c r="V52" i="37"/>
  <c r="U32" i="36"/>
  <c r="U49" i="37"/>
  <c r="U51" i="37"/>
  <c r="R52" i="37" l="1"/>
  <c r="T32" i="36"/>
  <c r="T51" i="37"/>
  <c r="T49" i="37"/>
  <c r="V46" i="37"/>
  <c r="T52" i="37"/>
  <c r="U52" i="37"/>
  <c r="V45" i="37"/>
  <c r="V50" i="37"/>
  <c r="T45" i="37"/>
  <c r="V47" i="37"/>
  <c r="T47" i="37" l="1"/>
  <c r="R50" i="37"/>
  <c r="U47" i="37"/>
  <c r="U48" i="37"/>
  <c r="T48" i="37"/>
  <c r="U45" i="37"/>
  <c r="U46" i="37"/>
  <c r="T46" i="37"/>
  <c r="S45" i="37"/>
  <c r="S52" i="37"/>
  <c r="S48" i="37" l="1"/>
  <c r="T50" i="37"/>
  <c r="S46" i="37"/>
  <c r="R48" i="37"/>
  <c r="S47" i="37"/>
  <c r="U50" i="37" l="1"/>
  <c r="S50" i="37" l="1"/>
  <c r="N31" i="36" l="1"/>
  <c r="N34" i="36"/>
  <c r="P34" i="36"/>
  <c r="P31" i="36"/>
  <c r="K34" i="36"/>
  <c r="K31" i="36"/>
  <c r="J34" i="36"/>
  <c r="J31" i="36"/>
  <c r="M34" i="36"/>
  <c r="M31" i="36"/>
  <c r="I34" i="36"/>
  <c r="I31" i="36"/>
  <c r="F34" i="36"/>
  <c r="F31" i="36"/>
  <c r="H34" i="36"/>
  <c r="H31" i="36"/>
  <c r="Q34" i="36"/>
  <c r="Q31" i="36"/>
  <c r="L34" i="36"/>
  <c r="L31" i="36"/>
  <c r="C34" i="36"/>
  <c r="C31" i="36"/>
  <c r="G34" i="36"/>
  <c r="G31" i="36"/>
  <c r="D31" i="36"/>
  <c r="D34" i="36"/>
  <c r="O34" i="36"/>
  <c r="O31" i="36"/>
  <c r="Q32" i="36" l="1"/>
  <c r="P32" i="36"/>
  <c r="O32" i="36"/>
  <c r="N32" i="36"/>
  <c r="M32" i="36"/>
  <c r="S53" i="37" l="1"/>
  <c r="S44" i="37" s="1"/>
  <c r="T53" i="37"/>
  <c r="T44" i="37" s="1"/>
  <c r="V53" i="37" l="1"/>
  <c r="V44" i="37" s="1"/>
  <c r="R53" i="37"/>
  <c r="R44" i="37" s="1"/>
  <c r="U53" i="37"/>
  <c r="U44" i="37" s="1"/>
  <c r="V36" i="37" l="1"/>
  <c r="V38" i="37"/>
  <c r="V35" i="37"/>
  <c r="V39" i="37"/>
  <c r="V37" i="37"/>
  <c r="V34" i="37"/>
  <c r="V32" i="37"/>
  <c r="V33" i="37"/>
  <c r="V40" i="37"/>
  <c r="S40" i="37"/>
  <c r="S38" i="37"/>
  <c r="S36" i="37"/>
  <c r="S32" i="37"/>
  <c r="S39" i="37"/>
  <c r="S35" i="37"/>
  <c r="S34" i="37"/>
  <c r="S33" i="37"/>
  <c r="S37" i="37"/>
  <c r="U36" i="37"/>
  <c r="U38" i="37"/>
  <c r="U39" i="37"/>
  <c r="U35" i="37"/>
  <c r="U32" i="37"/>
  <c r="U34" i="37"/>
  <c r="U33" i="37"/>
  <c r="U37" i="37"/>
  <c r="U40" i="37"/>
  <c r="R36" i="37"/>
  <c r="R38" i="37"/>
  <c r="R32" i="37"/>
  <c r="R34" i="37"/>
  <c r="R33" i="37"/>
  <c r="R39" i="37"/>
  <c r="R37" i="37"/>
  <c r="R35" i="37"/>
  <c r="R40" i="37"/>
  <c r="T40" i="37"/>
  <c r="T38" i="37"/>
  <c r="T36" i="37"/>
  <c r="T39" i="37"/>
  <c r="T32" i="37"/>
  <c r="T33" i="37"/>
  <c r="T34" i="37"/>
  <c r="T35" i="37"/>
  <c r="T37" i="37"/>
  <c r="R31" i="37" l="1"/>
  <c r="S31" i="37"/>
  <c r="V31" i="37"/>
  <c r="T31" i="37"/>
  <c r="U31" i="37"/>
  <c r="H32" i="36" l="1"/>
  <c r="F32" i="36"/>
  <c r="I32" i="36"/>
  <c r="D32" i="36"/>
  <c r="G32" i="36"/>
  <c r="C32" i="36"/>
  <c r="J32" i="36"/>
  <c r="L32" i="36"/>
  <c r="K32" i="36"/>
  <c r="D8" i="36" l="1"/>
  <c r="S49" i="39" l="1"/>
  <c r="R49" i="39"/>
  <c r="R47" i="39" l="1"/>
  <c r="R34" i="39"/>
  <c r="T32" i="39"/>
  <c r="T45" i="39"/>
  <c r="V49" i="39"/>
  <c r="S46" i="39"/>
  <c r="S33" i="39"/>
  <c r="V53" i="39"/>
  <c r="V40" i="39"/>
  <c r="T52" i="39"/>
  <c r="T39" i="39"/>
  <c r="V33" i="39"/>
  <c r="V46" i="39"/>
  <c r="U47" i="39"/>
  <c r="U34" i="39"/>
  <c r="S40" i="39"/>
  <c r="S53" i="39"/>
  <c r="R46" i="39"/>
  <c r="R33" i="39"/>
  <c r="T53" i="39"/>
  <c r="T40" i="39"/>
  <c r="T49" i="39"/>
  <c r="U40" i="39"/>
  <c r="U53" i="39"/>
  <c r="R52" i="39"/>
  <c r="R39" i="39"/>
  <c r="U52" i="39"/>
  <c r="U39" i="39"/>
  <c r="V52" i="39"/>
  <c r="V39" i="39"/>
  <c r="T51" i="39"/>
  <c r="S34" i="39"/>
  <c r="S47" i="39"/>
  <c r="T47" i="39"/>
  <c r="T34" i="39"/>
  <c r="U33" i="39"/>
  <c r="U46" i="39"/>
  <c r="U32" i="39"/>
  <c r="U45" i="39"/>
  <c r="S52" i="39"/>
  <c r="S39" i="39"/>
  <c r="S51" i="39"/>
  <c r="R51" i="39"/>
  <c r="V34" i="39"/>
  <c r="V47" i="39"/>
  <c r="R40" i="39"/>
  <c r="R53" i="39"/>
  <c r="T33" i="39"/>
  <c r="T46" i="39"/>
  <c r="V51" i="39"/>
  <c r="S32" i="39" l="1"/>
  <c r="S45" i="39"/>
  <c r="V45" i="39"/>
  <c r="V32" i="39"/>
  <c r="U49" i="39"/>
  <c r="R32" i="39"/>
  <c r="R45" i="39"/>
  <c r="U51" i="39"/>
  <c r="U50" i="39" l="1"/>
  <c r="V50" i="39"/>
  <c r="R48" i="39"/>
  <c r="R50" i="39"/>
  <c r="S50" i="39" l="1"/>
  <c r="S48" i="39"/>
  <c r="T50" i="39"/>
  <c r="V48" i="39"/>
  <c r="T48" i="39"/>
  <c r="U48" i="39"/>
  <c r="V35" i="39"/>
  <c r="U44" i="39" l="1"/>
  <c r="U38" i="39"/>
  <c r="U36" i="39"/>
  <c r="U37" i="39"/>
  <c r="U35" i="39"/>
  <c r="V44" i="39"/>
  <c r="V36" i="39"/>
  <c r="V38" i="39"/>
  <c r="V37" i="39"/>
  <c r="U31" i="39" l="1"/>
  <c r="V31" i="39"/>
  <c r="R36" i="39"/>
  <c r="R44" i="39"/>
  <c r="R38" i="39"/>
  <c r="R37" i="39"/>
  <c r="R35" i="39"/>
  <c r="T44" i="39"/>
  <c r="T38" i="39"/>
  <c r="T36" i="39"/>
  <c r="T35" i="39"/>
  <c r="T37" i="39"/>
  <c r="S36" i="39"/>
  <c r="S44" i="39"/>
  <c r="S38" i="39"/>
  <c r="S37" i="39"/>
  <c r="S35" i="39"/>
  <c r="S31" i="39" l="1"/>
  <c r="R31" i="39"/>
  <c r="T31" i="39"/>
  <c r="E34" i="36" l="1"/>
  <c r="E31" i="36"/>
  <c r="E32" i="36" l="1"/>
  <c r="E8" i="36" l="1"/>
  <c r="F8" i="36" l="1"/>
  <c r="G8" i="36" l="1"/>
  <c r="H8" i="36" l="1"/>
  <c r="I8" i="36" l="1"/>
  <c r="J8" i="36" l="1"/>
  <c r="K8" i="36" l="1"/>
  <c r="L8" i="36" l="1"/>
  <c r="M8" i="36" l="1"/>
  <c r="L33" i="36"/>
  <c r="G33" i="36"/>
  <c r="F33" i="36"/>
  <c r="I33" i="36" l="1"/>
  <c r="E33" i="36"/>
  <c r="D33" i="36"/>
  <c r="J33" i="36"/>
  <c r="C33" i="36"/>
  <c r="K33" i="36"/>
  <c r="H33" i="36"/>
  <c r="N8" i="36" l="1"/>
  <c r="M33" i="36"/>
  <c r="O8" i="36"/>
  <c r="N33" i="36" l="1"/>
  <c r="P8" i="36" l="1"/>
  <c r="O33" i="36" l="1"/>
  <c r="P33" i="36" l="1"/>
  <c r="Q8" i="36"/>
  <c r="R8" i="36" l="1"/>
  <c r="Q33" i="36" l="1"/>
  <c r="R49" i="38" l="1"/>
  <c r="R47" i="38" l="1"/>
  <c r="S8" i="36"/>
  <c r="R51" i="38"/>
  <c r="R53" i="38"/>
  <c r="R52" i="38"/>
  <c r="R45" i="38"/>
  <c r="R46" i="38"/>
  <c r="R36" i="38" l="1"/>
  <c r="R44" i="38"/>
  <c r="R33" i="36"/>
  <c r="R32" i="38"/>
  <c r="R39" i="38"/>
  <c r="R33" i="38"/>
  <c r="R38" i="38"/>
  <c r="R34" i="38"/>
  <c r="R48" i="38"/>
  <c r="R35" i="38"/>
  <c r="R37" i="38"/>
  <c r="R50" i="38"/>
  <c r="R40" i="38"/>
  <c r="T8" i="36" l="1"/>
  <c r="R31" i="38"/>
  <c r="S53" i="38"/>
  <c r="S47" i="38" l="1"/>
  <c r="S52" i="38"/>
  <c r="S45" i="38"/>
  <c r="S46" i="38"/>
  <c r="S51" i="38"/>
  <c r="S49" i="38"/>
  <c r="S36" i="38"/>
  <c r="U8" i="36"/>
  <c r="S39" i="38"/>
  <c r="S48" i="38" l="1"/>
  <c r="S35" i="38"/>
  <c r="S38" i="38"/>
  <c r="S40" i="38"/>
  <c r="S44" i="38"/>
  <c r="S33" i="36"/>
  <c r="S32" i="38"/>
  <c r="S34" i="38"/>
  <c r="S37" i="38"/>
  <c r="S50" i="38"/>
  <c r="S33" i="38"/>
  <c r="T53" i="38"/>
  <c r="T51" i="38" l="1"/>
  <c r="S31" i="38"/>
  <c r="T47" i="38"/>
  <c r="T52" i="38"/>
  <c r="T49" i="38"/>
  <c r="T46" i="38"/>
  <c r="T45" i="38"/>
  <c r="W8" i="36"/>
  <c r="V8" i="36"/>
  <c r="U45" i="38" l="1"/>
  <c r="U46" i="38"/>
  <c r="T50" i="38"/>
  <c r="U52" i="38"/>
  <c r="U49" i="38"/>
  <c r="U53" i="38"/>
  <c r="U51" i="38"/>
  <c r="T48" i="38"/>
  <c r="U47" i="38"/>
  <c r="T35" i="38"/>
  <c r="V47" i="38"/>
  <c r="V52" i="38" l="1"/>
  <c r="T40" i="38"/>
  <c r="T44" i="38"/>
  <c r="T33" i="36"/>
  <c r="T38" i="38"/>
  <c r="T39" i="38"/>
  <c r="T33" i="38"/>
  <c r="T32" i="38"/>
  <c r="T34" i="38"/>
  <c r="T36" i="38"/>
  <c r="V45" i="38"/>
  <c r="V38" i="38"/>
  <c r="V51" i="38"/>
  <c r="U48" i="38"/>
  <c r="U50" i="38"/>
  <c r="V49" i="38"/>
  <c r="V53" i="38"/>
  <c r="V46" i="38"/>
  <c r="T37" i="38"/>
  <c r="V34" i="38" l="1"/>
  <c r="V33" i="36"/>
  <c r="V44" i="38"/>
  <c r="V35" i="38"/>
  <c r="V48" i="38"/>
  <c r="T31" i="38"/>
  <c r="U44" i="38"/>
  <c r="U33" i="36"/>
  <c r="U38" i="38"/>
  <c r="U34" i="38"/>
  <c r="U32" i="38"/>
  <c r="U39" i="38"/>
  <c r="U40" i="38"/>
  <c r="U36" i="38"/>
  <c r="U33" i="38"/>
  <c r="V40" i="38"/>
  <c r="U37" i="38"/>
  <c r="U35" i="38"/>
  <c r="V39" i="38"/>
  <c r="V50" i="38"/>
  <c r="V37" i="38"/>
  <c r="V33" i="38"/>
  <c r="V36" i="38"/>
  <c r="V32" i="38"/>
  <c r="V31" i="38" l="1"/>
  <c r="U31" i="38"/>
  <c r="R15" i="30" l="1"/>
  <c r="V12" i="30"/>
  <c r="T10" i="30"/>
  <c r="R9" i="30"/>
  <c r="V14" i="31"/>
  <c r="T12" i="31"/>
  <c r="R10" i="31"/>
  <c r="V8" i="31"/>
  <c r="V15" i="32"/>
  <c r="T14" i="32"/>
  <c r="R12" i="32"/>
  <c r="V9" i="32"/>
  <c r="T8" i="32"/>
  <c r="T15" i="33"/>
  <c r="R14" i="33"/>
  <c r="V10" i="33"/>
  <c r="T9" i="33"/>
  <c r="R8" i="33"/>
  <c r="R15" i="34"/>
  <c r="V12" i="34"/>
  <c r="T10" i="34"/>
  <c r="R9" i="34"/>
  <c r="V14" i="35"/>
  <c r="T12" i="35"/>
  <c r="R10" i="35"/>
  <c r="V8" i="35"/>
  <c r="W15" i="35"/>
  <c r="V15" i="35"/>
  <c r="U15" i="35"/>
  <c r="T15" i="35"/>
  <c r="S15" i="35"/>
  <c r="R15" i="35"/>
  <c r="W15" i="34"/>
  <c r="V15" i="34"/>
  <c r="U15" i="34"/>
  <c r="T15" i="34"/>
  <c r="S15" i="34"/>
  <c r="W15" i="33"/>
  <c r="V15" i="33"/>
  <c r="U15" i="33"/>
  <c r="S15" i="33"/>
  <c r="R15" i="33"/>
  <c r="W15" i="32"/>
  <c r="U15" i="32"/>
  <c r="T15" i="32"/>
  <c r="S15" i="32"/>
  <c r="R15" i="32"/>
  <c r="W15" i="31"/>
  <c r="V15" i="31"/>
  <c r="U15" i="31"/>
  <c r="T15" i="31"/>
  <c r="S15" i="31"/>
  <c r="R15" i="31"/>
  <c r="W15" i="30"/>
  <c r="V15" i="30"/>
  <c r="U15" i="30"/>
  <c r="T15" i="30"/>
  <c r="S15" i="30"/>
  <c r="W14" i="35"/>
  <c r="U14" i="35"/>
  <c r="T14" i="35"/>
  <c r="S14" i="35"/>
  <c r="R14" i="35"/>
  <c r="W14" i="34"/>
  <c r="V14" i="34"/>
  <c r="U14" i="34"/>
  <c r="T14" i="34"/>
  <c r="S14" i="34"/>
  <c r="R14" i="34"/>
  <c r="W14" i="33"/>
  <c r="V14" i="33"/>
  <c r="U14" i="33"/>
  <c r="T14" i="33"/>
  <c r="S14" i="33"/>
  <c r="W14" i="32"/>
  <c r="V14" i="32"/>
  <c r="U14" i="32"/>
  <c r="S14" i="32"/>
  <c r="R14" i="32"/>
  <c r="W14" i="31"/>
  <c r="U14" i="31"/>
  <c r="T14" i="31"/>
  <c r="S14" i="31"/>
  <c r="R14" i="31"/>
  <c r="W14" i="30"/>
  <c r="V14" i="30"/>
  <c r="U14" i="30"/>
  <c r="T14" i="30"/>
  <c r="S14" i="30"/>
  <c r="R14" i="30"/>
  <c r="W12" i="35"/>
  <c r="V12" i="35"/>
  <c r="U12" i="35"/>
  <c r="S12" i="35"/>
  <c r="R12" i="35"/>
  <c r="W12" i="34"/>
  <c r="U12" i="34"/>
  <c r="T12" i="34"/>
  <c r="S12" i="34"/>
  <c r="R12" i="34"/>
  <c r="W12" i="33"/>
  <c r="V12" i="33"/>
  <c r="U12" i="33"/>
  <c r="T12" i="33"/>
  <c r="S12" i="33"/>
  <c r="R12" i="33"/>
  <c r="W12" i="32"/>
  <c r="V12" i="32"/>
  <c r="U12" i="32"/>
  <c r="T12" i="32"/>
  <c r="S12" i="32"/>
  <c r="W12" i="31"/>
  <c r="V12" i="31"/>
  <c r="U12" i="31"/>
  <c r="S12" i="31"/>
  <c r="R12" i="31"/>
  <c r="W12" i="30"/>
  <c r="U12" i="30"/>
  <c r="T12" i="30"/>
  <c r="S12" i="30"/>
  <c r="R12" i="30"/>
  <c r="W10" i="35"/>
  <c r="V10" i="35"/>
  <c r="U10" i="35"/>
  <c r="T10" i="35"/>
  <c r="S10" i="35"/>
  <c r="W10" i="34"/>
  <c r="V10" i="34"/>
  <c r="U10" i="34"/>
  <c r="S10" i="34"/>
  <c r="R10" i="34"/>
  <c r="W10" i="33"/>
  <c r="U10" i="33"/>
  <c r="T10" i="33"/>
  <c r="S10" i="33"/>
  <c r="R10" i="33"/>
  <c r="W10" i="32"/>
  <c r="V10" i="32"/>
  <c r="U10" i="32"/>
  <c r="T10" i="32"/>
  <c r="S10" i="32"/>
  <c r="R10" i="32"/>
  <c r="W10" i="31"/>
  <c r="V10" i="31"/>
  <c r="U10" i="31"/>
  <c r="T10" i="31"/>
  <c r="S10" i="31"/>
  <c r="W10" i="30"/>
  <c r="V10" i="30"/>
  <c r="U10" i="30"/>
  <c r="S10" i="30"/>
  <c r="R10" i="30"/>
  <c r="W9" i="35"/>
  <c r="V9" i="35"/>
  <c r="U9" i="35"/>
  <c r="T9" i="35"/>
  <c r="S9" i="35"/>
  <c r="R9" i="35"/>
  <c r="W9" i="34"/>
  <c r="V9" i="34"/>
  <c r="U9" i="34"/>
  <c r="T9" i="34"/>
  <c r="S9" i="34"/>
  <c r="W9" i="33"/>
  <c r="V9" i="33"/>
  <c r="U9" i="33"/>
  <c r="S9" i="33"/>
  <c r="R9" i="33"/>
  <c r="W9" i="32"/>
  <c r="U9" i="32"/>
  <c r="T9" i="32"/>
  <c r="S9" i="32"/>
  <c r="R9" i="32"/>
  <c r="W9" i="31"/>
  <c r="V9" i="31"/>
  <c r="U9" i="31"/>
  <c r="T9" i="31"/>
  <c r="S9" i="31"/>
  <c r="R9" i="31"/>
  <c r="W9" i="30"/>
  <c r="V9" i="30"/>
  <c r="U9" i="30"/>
  <c r="T9" i="30"/>
  <c r="S9" i="30"/>
  <c r="W73" i="29"/>
  <c r="W6" i="35" s="1"/>
  <c r="V73" i="29"/>
  <c r="V6" i="35" s="1"/>
  <c r="T73" i="29"/>
  <c r="T6" i="35" s="1"/>
  <c r="S73" i="29"/>
  <c r="S6" i="35" s="1"/>
  <c r="R73" i="29"/>
  <c r="R6" i="35" s="1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W72" i="29"/>
  <c r="W6" i="34" s="1"/>
  <c r="V72" i="29"/>
  <c r="V6" i="34" s="1"/>
  <c r="U72" i="29"/>
  <c r="U6" i="34" s="1"/>
  <c r="T72" i="29"/>
  <c r="T6" i="34" s="1"/>
  <c r="S72" i="29"/>
  <c r="S6" i="34" s="1"/>
  <c r="R72" i="29"/>
  <c r="R6" i="34" s="1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W71" i="29"/>
  <c r="W6" i="33" s="1"/>
  <c r="V71" i="29"/>
  <c r="V6" i="33" s="1"/>
  <c r="T71" i="29"/>
  <c r="T6" i="33" s="1"/>
  <c r="S71" i="29"/>
  <c r="S6" i="33" s="1"/>
  <c r="R71" i="29"/>
  <c r="R6" i="33" s="1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W70" i="29"/>
  <c r="W6" i="32" s="1"/>
  <c r="V70" i="29"/>
  <c r="V6" i="32" s="1"/>
  <c r="U70" i="29"/>
  <c r="U6" i="32" s="1"/>
  <c r="T70" i="29"/>
  <c r="T6" i="32" s="1"/>
  <c r="S70" i="29"/>
  <c r="S6" i="32" s="1"/>
  <c r="R70" i="29"/>
  <c r="R6" i="32" s="1"/>
  <c r="Q70" i="29"/>
  <c r="P70" i="29"/>
  <c r="O70" i="29"/>
  <c r="N70" i="29"/>
  <c r="M70" i="29"/>
  <c r="L70" i="29"/>
  <c r="K70" i="29"/>
  <c r="J70" i="29"/>
  <c r="I70" i="29"/>
  <c r="H70" i="29"/>
  <c r="G70" i="29"/>
  <c r="F70" i="29"/>
  <c r="E70" i="29"/>
  <c r="D70" i="29"/>
  <c r="W69" i="29"/>
  <c r="W6" i="31" s="1"/>
  <c r="V69" i="29"/>
  <c r="V6" i="31" s="1"/>
  <c r="T69" i="29"/>
  <c r="T6" i="31" s="1"/>
  <c r="S69" i="29"/>
  <c r="S6" i="31" s="1"/>
  <c r="R69" i="29"/>
  <c r="R6" i="31" s="1"/>
  <c r="Q69" i="29"/>
  <c r="P69" i="29"/>
  <c r="O69" i="29"/>
  <c r="N69" i="29"/>
  <c r="M69" i="29"/>
  <c r="L69" i="29"/>
  <c r="K69" i="29"/>
  <c r="J69" i="29"/>
  <c r="I69" i="29"/>
  <c r="H69" i="29"/>
  <c r="G69" i="29"/>
  <c r="F69" i="29"/>
  <c r="E69" i="29"/>
  <c r="D69" i="29"/>
  <c r="W68" i="29"/>
  <c r="W6" i="30" s="1"/>
  <c r="V68" i="29"/>
  <c r="V6" i="30" s="1"/>
  <c r="U68" i="29"/>
  <c r="U6" i="30" s="1"/>
  <c r="T68" i="29"/>
  <c r="T6" i="30" s="1"/>
  <c r="S68" i="29"/>
  <c r="S6" i="30" s="1"/>
  <c r="R68" i="29"/>
  <c r="R6" i="30" s="1"/>
  <c r="Q68" i="29"/>
  <c r="P68" i="29"/>
  <c r="O68" i="29"/>
  <c r="N68" i="29"/>
  <c r="M68" i="29"/>
  <c r="L68" i="29"/>
  <c r="K68" i="29"/>
  <c r="J68" i="29"/>
  <c r="I68" i="29"/>
  <c r="H68" i="29"/>
  <c r="G68" i="29"/>
  <c r="F68" i="29"/>
  <c r="E68" i="29"/>
  <c r="D68" i="29"/>
  <c r="W17" i="29"/>
  <c r="W5" i="35" s="1"/>
  <c r="V17" i="29"/>
  <c r="V5" i="35" s="1"/>
  <c r="U17" i="29"/>
  <c r="T17" i="29"/>
  <c r="T5" i="35" s="1"/>
  <c r="S17" i="29"/>
  <c r="S5" i="35" s="1"/>
  <c r="R17" i="29"/>
  <c r="R5" i="35" s="1"/>
  <c r="Q17" i="29"/>
  <c r="P17" i="29"/>
  <c r="P9" i="29" s="1"/>
  <c r="O17" i="29"/>
  <c r="O9" i="29" s="1"/>
  <c r="N17" i="29"/>
  <c r="N9" i="29" s="1"/>
  <c r="M17" i="29"/>
  <c r="M9" i="29" s="1"/>
  <c r="L17" i="29"/>
  <c r="L9" i="29" s="1"/>
  <c r="K17" i="29"/>
  <c r="K9" i="29" s="1"/>
  <c r="J17" i="29"/>
  <c r="I17" i="29"/>
  <c r="H17" i="29"/>
  <c r="H9" i="29" s="1"/>
  <c r="G17" i="29"/>
  <c r="G9" i="29" s="1"/>
  <c r="F17" i="29"/>
  <c r="F9" i="29" s="1"/>
  <c r="E17" i="29"/>
  <c r="E9" i="29" s="1"/>
  <c r="D17" i="29"/>
  <c r="W16" i="29"/>
  <c r="W5" i="34" s="1"/>
  <c r="V16" i="29"/>
  <c r="V5" i="34" s="1"/>
  <c r="U16" i="29"/>
  <c r="U5" i="34" s="1"/>
  <c r="T16" i="29"/>
  <c r="T8" i="29" s="1"/>
  <c r="S16" i="29"/>
  <c r="S5" i="34" s="1"/>
  <c r="R16" i="29"/>
  <c r="R5" i="34" s="1"/>
  <c r="Q16" i="29"/>
  <c r="Q8" i="29" s="1"/>
  <c r="P16" i="29"/>
  <c r="P8" i="29" s="1"/>
  <c r="O16" i="29"/>
  <c r="O8" i="29" s="1"/>
  <c r="N16" i="29"/>
  <c r="M16" i="29"/>
  <c r="L16" i="29"/>
  <c r="L8" i="29" s="1"/>
  <c r="K16" i="29"/>
  <c r="K8" i="29" s="1"/>
  <c r="J16" i="29"/>
  <c r="J8" i="29" s="1"/>
  <c r="I16" i="29"/>
  <c r="I8" i="29" s="1"/>
  <c r="H16" i="29"/>
  <c r="G16" i="29"/>
  <c r="F16" i="29"/>
  <c r="E16" i="29"/>
  <c r="D16" i="29"/>
  <c r="D8" i="29" s="1"/>
  <c r="W15" i="29"/>
  <c r="W5" i="33" s="1"/>
  <c r="V15" i="29"/>
  <c r="V5" i="33" s="1"/>
  <c r="U15" i="29"/>
  <c r="T15" i="29"/>
  <c r="T5" i="33" s="1"/>
  <c r="S15" i="29"/>
  <c r="S5" i="33" s="1"/>
  <c r="R15" i="29"/>
  <c r="R5" i="33" s="1"/>
  <c r="Q15" i="29"/>
  <c r="P15" i="29"/>
  <c r="P7" i="29" s="1"/>
  <c r="O15" i="29"/>
  <c r="O7" i="29" s="1"/>
  <c r="N15" i="29"/>
  <c r="N7" i="29" s="1"/>
  <c r="M15" i="29"/>
  <c r="M7" i="29" s="1"/>
  <c r="L15" i="29"/>
  <c r="K15" i="29"/>
  <c r="J15" i="29"/>
  <c r="I15" i="29"/>
  <c r="H15" i="29"/>
  <c r="H7" i="29" s="1"/>
  <c r="G15" i="29"/>
  <c r="F15" i="29"/>
  <c r="F7" i="29" s="1"/>
  <c r="E15" i="29"/>
  <c r="E7" i="29" s="1"/>
  <c r="D15" i="29"/>
  <c r="D7" i="29" s="1"/>
  <c r="W14" i="29"/>
  <c r="W5" i="32" s="1"/>
  <c r="V14" i="29"/>
  <c r="V5" i="32" s="1"/>
  <c r="U14" i="29"/>
  <c r="U5" i="32" s="1"/>
  <c r="T14" i="29"/>
  <c r="T6" i="29" s="1"/>
  <c r="S14" i="29"/>
  <c r="S5" i="32" s="1"/>
  <c r="R14" i="29"/>
  <c r="R5" i="32" s="1"/>
  <c r="Q14" i="29"/>
  <c r="Q6" i="29" s="1"/>
  <c r="P14" i="29"/>
  <c r="O14" i="29"/>
  <c r="O6" i="29" s="1"/>
  <c r="N14" i="29"/>
  <c r="M14" i="29"/>
  <c r="L14" i="29"/>
  <c r="L6" i="29" s="1"/>
  <c r="K14" i="29"/>
  <c r="K6" i="29" s="1"/>
  <c r="J14" i="29"/>
  <c r="J6" i="29" s="1"/>
  <c r="I14" i="29"/>
  <c r="I6" i="29" s="1"/>
  <c r="H14" i="29"/>
  <c r="H6" i="29" s="1"/>
  <c r="G14" i="29"/>
  <c r="F14" i="29"/>
  <c r="E14" i="29"/>
  <c r="D14" i="29"/>
  <c r="D6" i="29" s="1"/>
  <c r="W13" i="29"/>
  <c r="W5" i="31" s="1"/>
  <c r="V13" i="29"/>
  <c r="V5" i="31" s="1"/>
  <c r="U13" i="29"/>
  <c r="T13" i="29"/>
  <c r="T5" i="31" s="1"/>
  <c r="S13" i="29"/>
  <c r="S5" i="31" s="1"/>
  <c r="R13" i="29"/>
  <c r="R5" i="31" s="1"/>
  <c r="Q13" i="29"/>
  <c r="P13" i="29"/>
  <c r="P5" i="29" s="1"/>
  <c r="O13" i="29"/>
  <c r="O5" i="29" s="1"/>
  <c r="N13" i="29"/>
  <c r="N11" i="29" s="1"/>
  <c r="M13" i="29"/>
  <c r="L13" i="29"/>
  <c r="L5" i="29" s="1"/>
  <c r="K13" i="29"/>
  <c r="J13" i="29"/>
  <c r="I13" i="29"/>
  <c r="H13" i="29"/>
  <c r="H5" i="29" s="1"/>
  <c r="G13" i="29"/>
  <c r="F13" i="29"/>
  <c r="F5" i="29" s="1"/>
  <c r="E13" i="29"/>
  <c r="D13" i="29"/>
  <c r="W12" i="29"/>
  <c r="W5" i="30" s="1"/>
  <c r="V12" i="29"/>
  <c r="V5" i="30" s="1"/>
  <c r="U12" i="29"/>
  <c r="U5" i="30" s="1"/>
  <c r="T12" i="29"/>
  <c r="S12" i="29"/>
  <c r="S5" i="30" s="1"/>
  <c r="R12" i="29"/>
  <c r="R5" i="30" s="1"/>
  <c r="Q12" i="29"/>
  <c r="P12" i="29"/>
  <c r="P4" i="29" s="1"/>
  <c r="O12" i="29"/>
  <c r="N12" i="29"/>
  <c r="M12" i="29"/>
  <c r="L12" i="29"/>
  <c r="K12" i="29"/>
  <c r="J12" i="29"/>
  <c r="J11" i="29" s="1"/>
  <c r="I12" i="29"/>
  <c r="H12" i="29"/>
  <c r="G12" i="29"/>
  <c r="G4" i="29" s="1"/>
  <c r="F12" i="29"/>
  <c r="E12" i="29"/>
  <c r="D12" i="29"/>
  <c r="U11" i="29"/>
  <c r="T9" i="29"/>
  <c r="S9" i="29"/>
  <c r="R9" i="29"/>
  <c r="Q9" i="29"/>
  <c r="J9" i="29"/>
  <c r="I9" i="29"/>
  <c r="D9" i="29"/>
  <c r="W8" i="29"/>
  <c r="V8" i="29"/>
  <c r="U8" i="29"/>
  <c r="N8" i="29"/>
  <c r="M8" i="29"/>
  <c r="H8" i="29"/>
  <c r="G8" i="29"/>
  <c r="F8" i="29"/>
  <c r="E8" i="29"/>
  <c r="R7" i="29"/>
  <c r="Q7" i="29"/>
  <c r="L7" i="29"/>
  <c r="K7" i="29"/>
  <c r="J7" i="29"/>
  <c r="I7" i="29"/>
  <c r="G7" i="29"/>
  <c r="W6" i="29"/>
  <c r="V6" i="29"/>
  <c r="U6" i="29"/>
  <c r="P6" i="29"/>
  <c r="N6" i="29"/>
  <c r="M6" i="29"/>
  <c r="G6" i="29"/>
  <c r="F6" i="29"/>
  <c r="E6" i="29"/>
  <c r="T5" i="29"/>
  <c r="R5" i="29"/>
  <c r="Q5" i="29"/>
  <c r="K5" i="29"/>
  <c r="J5" i="29"/>
  <c r="I5" i="29"/>
  <c r="D5" i="29"/>
  <c r="V4" i="29"/>
  <c r="U4" i="29"/>
  <c r="O4" i="29"/>
  <c r="N4" i="29"/>
  <c r="M4" i="29"/>
  <c r="H4" i="29"/>
  <c r="F4" i="29"/>
  <c r="E4" i="29"/>
  <c r="C73" i="29"/>
  <c r="C72" i="29"/>
  <c r="C70" i="29"/>
  <c r="C17" i="29"/>
  <c r="C9" i="29" s="1"/>
  <c r="C16" i="29"/>
  <c r="C71" i="29"/>
  <c r="C14" i="29"/>
  <c r="C6" i="29" s="1"/>
  <c r="C13" i="29"/>
  <c r="C5" i="29" s="1"/>
  <c r="C68" i="29"/>
  <c r="C15" i="29"/>
  <c r="C7" i="29" s="1"/>
  <c r="B73" i="29"/>
  <c r="B70" i="29"/>
  <c r="B17" i="29"/>
  <c r="B9" i="29" s="1"/>
  <c r="B15" i="29"/>
  <c r="B12" i="29"/>
  <c r="B4" i="29" s="1"/>
  <c r="B68" i="29"/>
  <c r="B13" i="29"/>
  <c r="B5" i="29" s="1"/>
  <c r="B14" i="29"/>
  <c r="B6" i="29" s="1"/>
  <c r="B71" i="29"/>
  <c r="W28" i="25"/>
  <c r="W28" i="28" s="1"/>
  <c r="V28" i="25"/>
  <c r="V28" i="28" s="1"/>
  <c r="U28" i="25"/>
  <c r="U28" i="28" s="1"/>
  <c r="T28" i="25"/>
  <c r="T28" i="28" s="1"/>
  <c r="S28" i="25"/>
  <c r="S28" i="28" s="1"/>
  <c r="R28" i="25"/>
  <c r="R28" i="28" s="1"/>
  <c r="W27" i="25"/>
  <c r="W27" i="28" s="1"/>
  <c r="V27" i="25"/>
  <c r="V27" i="28" s="1"/>
  <c r="U27" i="25"/>
  <c r="U27" i="28" s="1"/>
  <c r="T27" i="25"/>
  <c r="T27" i="28" s="1"/>
  <c r="S27" i="25"/>
  <c r="S27" i="28" s="1"/>
  <c r="R27" i="25"/>
  <c r="R27" i="28" s="1"/>
  <c r="W15" i="25"/>
  <c r="W15" i="28" s="1"/>
  <c r="V15" i="25"/>
  <c r="V15" i="28" s="1"/>
  <c r="U15" i="25"/>
  <c r="U15" i="28" s="1"/>
  <c r="T15" i="25"/>
  <c r="T15" i="28" s="1"/>
  <c r="S15" i="25"/>
  <c r="S15" i="28" s="1"/>
  <c r="R15" i="25"/>
  <c r="R15" i="28" s="1"/>
  <c r="U10" i="24"/>
  <c r="R5" i="23"/>
  <c r="W33" i="25"/>
  <c r="W33" i="28" s="1"/>
  <c r="V33" i="25"/>
  <c r="V33" i="28" s="1"/>
  <c r="U33" i="25"/>
  <c r="U33" i="28" s="1"/>
  <c r="T33" i="25"/>
  <c r="T33" i="28" s="1"/>
  <c r="S33" i="25"/>
  <c r="S33" i="28" s="1"/>
  <c r="R33" i="25"/>
  <c r="R33" i="28" s="1"/>
  <c r="S29" i="22"/>
  <c r="W26" i="25"/>
  <c r="W26" i="28" s="1"/>
  <c r="V26" i="25"/>
  <c r="V26" i="28" s="1"/>
  <c r="U26" i="25"/>
  <c r="U26" i="28" s="1"/>
  <c r="T26" i="25"/>
  <c r="T26" i="28" s="1"/>
  <c r="S26" i="25"/>
  <c r="S26" i="28" s="1"/>
  <c r="R26" i="25"/>
  <c r="R26" i="28" s="1"/>
  <c r="W25" i="25"/>
  <c r="W25" i="28" s="1"/>
  <c r="V25" i="25"/>
  <c r="V25" i="28" s="1"/>
  <c r="U25" i="25"/>
  <c r="U25" i="28" s="1"/>
  <c r="T25" i="25"/>
  <c r="T25" i="28" s="1"/>
  <c r="S25" i="25"/>
  <c r="S25" i="28" s="1"/>
  <c r="R25" i="25"/>
  <c r="R25" i="28" s="1"/>
  <c r="W23" i="25"/>
  <c r="U22" i="25"/>
  <c r="W19" i="22"/>
  <c r="W18" i="25"/>
  <c r="W18" i="28" s="1"/>
  <c r="V18" i="25"/>
  <c r="V18" i="28" s="1"/>
  <c r="U18" i="25"/>
  <c r="U18" i="28" s="1"/>
  <c r="T18" i="25"/>
  <c r="T18" i="28" s="1"/>
  <c r="S18" i="25"/>
  <c r="S18" i="28" s="1"/>
  <c r="R18" i="25"/>
  <c r="R18" i="28" s="1"/>
  <c r="U16" i="22"/>
  <c r="R16" i="22"/>
  <c r="W14" i="25"/>
  <c r="W14" i="28" s="1"/>
  <c r="V14" i="25"/>
  <c r="V14" i="28" s="1"/>
  <c r="U14" i="25"/>
  <c r="U14" i="28" s="1"/>
  <c r="T14" i="25"/>
  <c r="T14" i="28" s="1"/>
  <c r="S14" i="25"/>
  <c r="S14" i="28" s="1"/>
  <c r="R14" i="25"/>
  <c r="R14" i="28" s="1"/>
  <c r="W13" i="25"/>
  <c r="W13" i="28" s="1"/>
  <c r="V13" i="25"/>
  <c r="V13" i="28" s="1"/>
  <c r="U13" i="25"/>
  <c r="U13" i="28" s="1"/>
  <c r="T13" i="25"/>
  <c r="T13" i="28" s="1"/>
  <c r="S13" i="25"/>
  <c r="S13" i="28" s="1"/>
  <c r="R13" i="25"/>
  <c r="R13" i="28" s="1"/>
  <c r="W12" i="25"/>
  <c r="W12" i="28" s="1"/>
  <c r="V12" i="25"/>
  <c r="V12" i="28" s="1"/>
  <c r="U12" i="25"/>
  <c r="U12" i="28" s="1"/>
  <c r="T12" i="25"/>
  <c r="T12" i="28" s="1"/>
  <c r="S12" i="25"/>
  <c r="S12" i="28" s="1"/>
  <c r="R12" i="25"/>
  <c r="R12" i="28" s="1"/>
  <c r="W11" i="25"/>
  <c r="W11" i="28" s="1"/>
  <c r="V11" i="25"/>
  <c r="V11" i="28" s="1"/>
  <c r="U11" i="25"/>
  <c r="U11" i="28" s="1"/>
  <c r="T11" i="25"/>
  <c r="T11" i="28" s="1"/>
  <c r="S11" i="25"/>
  <c r="S11" i="28" s="1"/>
  <c r="R11" i="25"/>
  <c r="R11" i="28" s="1"/>
  <c r="W10" i="25"/>
  <c r="U9" i="25"/>
  <c r="S8" i="25"/>
  <c r="T4" i="22"/>
  <c r="V33" i="21"/>
  <c r="T32" i="21"/>
  <c r="R31" i="21"/>
  <c r="T27" i="21"/>
  <c r="R18" i="21"/>
  <c r="T15" i="21"/>
  <c r="T7" i="21"/>
  <c r="R6" i="21"/>
  <c r="W33" i="21"/>
  <c r="U33" i="21"/>
  <c r="V32" i="21"/>
  <c r="U32" i="21"/>
  <c r="S32" i="21"/>
  <c r="T31" i="21"/>
  <c r="S31" i="21"/>
  <c r="W30" i="21"/>
  <c r="R30" i="21"/>
  <c r="W27" i="21"/>
  <c r="V27" i="21"/>
  <c r="U27" i="21"/>
  <c r="S27" i="21"/>
  <c r="V26" i="21"/>
  <c r="U26" i="21"/>
  <c r="T26" i="21"/>
  <c r="S26" i="21"/>
  <c r="W25" i="21"/>
  <c r="T25" i="21"/>
  <c r="S25" i="21"/>
  <c r="R25" i="21"/>
  <c r="W24" i="21"/>
  <c r="U24" i="21"/>
  <c r="R24" i="21"/>
  <c r="W23" i="21"/>
  <c r="V23" i="21"/>
  <c r="U23" i="21"/>
  <c r="S23" i="21"/>
  <c r="V22" i="21"/>
  <c r="U22" i="21"/>
  <c r="T22" i="21"/>
  <c r="S22" i="21"/>
  <c r="W21" i="21"/>
  <c r="T21" i="21"/>
  <c r="S21" i="21"/>
  <c r="R21" i="21"/>
  <c r="W20" i="21"/>
  <c r="U20" i="21"/>
  <c r="R20" i="21"/>
  <c r="W19" i="20"/>
  <c r="W17" i="21"/>
  <c r="W16" i="20"/>
  <c r="V15" i="21"/>
  <c r="U15" i="21"/>
  <c r="S15" i="21"/>
  <c r="T14" i="21"/>
  <c r="S14" i="21"/>
  <c r="W13" i="21"/>
  <c r="V13" i="21"/>
  <c r="R13" i="21"/>
  <c r="W12" i="21"/>
  <c r="U12" i="21"/>
  <c r="V11" i="21"/>
  <c r="U11" i="21"/>
  <c r="S11" i="21"/>
  <c r="U10" i="21"/>
  <c r="T10" i="21"/>
  <c r="S10" i="21"/>
  <c r="W9" i="21"/>
  <c r="R9" i="21"/>
  <c r="W8" i="21"/>
  <c r="U8" i="21"/>
  <c r="V7" i="21"/>
  <c r="U7" i="21"/>
  <c r="T7" i="24"/>
  <c r="S7" i="21"/>
  <c r="T6" i="21"/>
  <c r="S6" i="21"/>
  <c r="W5" i="21"/>
  <c r="R5" i="21"/>
  <c r="R33" i="23"/>
  <c r="T30" i="23"/>
  <c r="R26" i="23"/>
  <c r="V24" i="23"/>
  <c r="V21" i="23"/>
  <c r="U18" i="23"/>
  <c r="T18" i="23"/>
  <c r="R17" i="23"/>
  <c r="T16" i="19"/>
  <c r="T14" i="23"/>
  <c r="R14" i="23"/>
  <c r="R13" i="23"/>
  <c r="V12" i="23"/>
  <c r="V11" i="23"/>
  <c r="T11" i="23"/>
  <c r="T10" i="23"/>
  <c r="R10" i="23"/>
  <c r="R9" i="23"/>
  <c r="V8" i="21"/>
  <c r="V7" i="23"/>
  <c r="T6" i="23"/>
  <c r="S4" i="19"/>
  <c r="U29" i="18"/>
  <c r="T29" i="18"/>
  <c r="W29" i="18"/>
  <c r="R29" i="18"/>
  <c r="R19" i="18"/>
  <c r="T19" i="18"/>
  <c r="S19" i="18"/>
  <c r="V19" i="18"/>
  <c r="T16" i="18"/>
  <c r="S16" i="18"/>
  <c r="W16" i="18"/>
  <c r="V16" i="18"/>
  <c r="R16" i="18"/>
  <c r="U16" i="18"/>
  <c r="W4" i="18"/>
  <c r="W3" i="18" s="1"/>
  <c r="V4" i="18"/>
  <c r="V3" i="18" s="1"/>
  <c r="U4" i="18"/>
  <c r="U3" i="18" s="1"/>
  <c r="W28" i="14"/>
  <c r="W28" i="17" s="1"/>
  <c r="V28" i="14"/>
  <c r="V28" i="17" s="1"/>
  <c r="U28" i="14"/>
  <c r="U28" i="17" s="1"/>
  <c r="T28" i="14"/>
  <c r="T28" i="17" s="1"/>
  <c r="S28" i="14"/>
  <c r="S28" i="17" s="1"/>
  <c r="R28" i="14"/>
  <c r="R28" i="17" s="1"/>
  <c r="W27" i="14"/>
  <c r="W27" i="17" s="1"/>
  <c r="V27" i="14"/>
  <c r="V27" i="17" s="1"/>
  <c r="U27" i="14"/>
  <c r="U27" i="17" s="1"/>
  <c r="T27" i="14"/>
  <c r="T27" i="17" s="1"/>
  <c r="S27" i="14"/>
  <c r="S27" i="17" s="1"/>
  <c r="R27" i="14"/>
  <c r="R27" i="17" s="1"/>
  <c r="W15" i="14"/>
  <c r="W15" i="17" s="1"/>
  <c r="V15" i="14"/>
  <c r="V15" i="17" s="1"/>
  <c r="U15" i="14"/>
  <c r="U15" i="17" s="1"/>
  <c r="T15" i="14"/>
  <c r="T15" i="17" s="1"/>
  <c r="S15" i="14"/>
  <c r="S15" i="17" s="1"/>
  <c r="R15" i="14"/>
  <c r="R15" i="17" s="1"/>
  <c r="S30" i="13"/>
  <c r="L14" i="24"/>
  <c r="D14" i="24"/>
  <c r="K13" i="24"/>
  <c r="C13" i="24"/>
  <c r="J12" i="24"/>
  <c r="Q11" i="24"/>
  <c r="I11" i="24"/>
  <c r="P10" i="24"/>
  <c r="H10" i="24"/>
  <c r="O9" i="24"/>
  <c r="G9" i="24"/>
  <c r="N8" i="24"/>
  <c r="F8" i="24"/>
  <c r="M7" i="24"/>
  <c r="E7" i="24"/>
  <c r="N6" i="24"/>
  <c r="L6" i="24"/>
  <c r="D6" i="24"/>
  <c r="K5" i="24"/>
  <c r="C5" i="24"/>
  <c r="L14" i="23"/>
  <c r="D14" i="23"/>
  <c r="K13" i="23"/>
  <c r="C13" i="23"/>
  <c r="J12" i="23"/>
  <c r="Q11" i="23"/>
  <c r="I11" i="23"/>
  <c r="P10" i="23"/>
  <c r="H10" i="23"/>
  <c r="O9" i="23"/>
  <c r="G9" i="23"/>
  <c r="N8" i="23"/>
  <c r="F8" i="23"/>
  <c r="M7" i="23"/>
  <c r="E7" i="23"/>
  <c r="N6" i="23"/>
  <c r="L6" i="23"/>
  <c r="D6" i="23"/>
  <c r="K5" i="23"/>
  <c r="C5" i="23"/>
  <c r="W33" i="14"/>
  <c r="W33" i="17" s="1"/>
  <c r="V33" i="14"/>
  <c r="V33" i="17" s="1"/>
  <c r="U33" i="14"/>
  <c r="U33" i="17" s="1"/>
  <c r="T33" i="14"/>
  <c r="T33" i="17" s="1"/>
  <c r="S33" i="14"/>
  <c r="S33" i="17" s="1"/>
  <c r="R33" i="14"/>
  <c r="R33" i="17" s="1"/>
  <c r="S29" i="11"/>
  <c r="W26" i="14"/>
  <c r="W26" i="17" s="1"/>
  <c r="V26" i="14"/>
  <c r="V26" i="17" s="1"/>
  <c r="U26" i="14"/>
  <c r="U26" i="17" s="1"/>
  <c r="T26" i="14"/>
  <c r="T26" i="17" s="1"/>
  <c r="S26" i="14"/>
  <c r="S26" i="17" s="1"/>
  <c r="R26" i="14"/>
  <c r="R26" i="17" s="1"/>
  <c r="W25" i="14"/>
  <c r="W25" i="17" s="1"/>
  <c r="V25" i="14"/>
  <c r="V25" i="17" s="1"/>
  <c r="U25" i="14"/>
  <c r="U25" i="17" s="1"/>
  <c r="T25" i="14"/>
  <c r="T25" i="17" s="1"/>
  <c r="S25" i="14"/>
  <c r="S25" i="17" s="1"/>
  <c r="R25" i="14"/>
  <c r="R25" i="17" s="1"/>
  <c r="R19" i="11"/>
  <c r="W18" i="14"/>
  <c r="W18" i="17" s="1"/>
  <c r="U18" i="14"/>
  <c r="U18" i="17" s="1"/>
  <c r="T18" i="14"/>
  <c r="T18" i="17" s="1"/>
  <c r="S18" i="14"/>
  <c r="S18" i="17" s="1"/>
  <c r="R18" i="14"/>
  <c r="R18" i="17" s="1"/>
  <c r="U16" i="11"/>
  <c r="S16" i="11"/>
  <c r="W14" i="14"/>
  <c r="W14" i="17" s="1"/>
  <c r="V14" i="14"/>
  <c r="V14" i="17" s="1"/>
  <c r="U14" i="14"/>
  <c r="U14" i="17" s="1"/>
  <c r="T14" i="14"/>
  <c r="T14" i="17" s="1"/>
  <c r="S14" i="14"/>
  <c r="S14" i="17" s="1"/>
  <c r="R14" i="14"/>
  <c r="R14" i="17" s="1"/>
  <c r="W13" i="14"/>
  <c r="W13" i="17" s="1"/>
  <c r="V13" i="14"/>
  <c r="V13" i="17" s="1"/>
  <c r="U13" i="14"/>
  <c r="U13" i="17" s="1"/>
  <c r="T13" i="14"/>
  <c r="T13" i="17" s="1"/>
  <c r="S13" i="14"/>
  <c r="S13" i="17" s="1"/>
  <c r="R13" i="14"/>
  <c r="R13" i="17" s="1"/>
  <c r="W12" i="14"/>
  <c r="W12" i="17" s="1"/>
  <c r="V12" i="14"/>
  <c r="V12" i="17" s="1"/>
  <c r="U12" i="14"/>
  <c r="U12" i="17" s="1"/>
  <c r="T12" i="14"/>
  <c r="T12" i="17" s="1"/>
  <c r="S12" i="14"/>
  <c r="S12" i="17" s="1"/>
  <c r="R12" i="14"/>
  <c r="R12" i="17" s="1"/>
  <c r="W11" i="14"/>
  <c r="W11" i="17" s="1"/>
  <c r="V11" i="14"/>
  <c r="V11" i="17" s="1"/>
  <c r="U11" i="14"/>
  <c r="U11" i="17" s="1"/>
  <c r="T11" i="14"/>
  <c r="T11" i="17" s="1"/>
  <c r="S11" i="14"/>
  <c r="S11" i="17" s="1"/>
  <c r="R11" i="14"/>
  <c r="R11" i="17" s="1"/>
  <c r="W4" i="11"/>
  <c r="R32" i="10"/>
  <c r="V30" i="10"/>
  <c r="R23" i="10"/>
  <c r="V17" i="10"/>
  <c r="R15" i="10"/>
  <c r="V13" i="10"/>
  <c r="T12" i="10"/>
  <c r="R11" i="10"/>
  <c r="V9" i="10"/>
  <c r="T8" i="10"/>
  <c r="R7" i="10"/>
  <c r="V5" i="10"/>
  <c r="W29" i="9"/>
  <c r="W31" i="10"/>
  <c r="R31" i="10"/>
  <c r="U30" i="10"/>
  <c r="S30" i="10"/>
  <c r="V25" i="10"/>
  <c r="W24" i="10"/>
  <c r="T24" i="10"/>
  <c r="U19" i="9"/>
  <c r="W18" i="10"/>
  <c r="R18" i="10"/>
  <c r="U17" i="10"/>
  <c r="W16" i="9"/>
  <c r="W15" i="10"/>
  <c r="U15" i="10"/>
  <c r="T15" i="10"/>
  <c r="S15" i="10"/>
  <c r="U14" i="10"/>
  <c r="S14" i="13"/>
  <c r="R14" i="10"/>
  <c r="W13" i="10"/>
  <c r="S13" i="10"/>
  <c r="W12" i="10"/>
  <c r="V12" i="10"/>
  <c r="U12" i="10"/>
  <c r="W11" i="10"/>
  <c r="U11" i="10"/>
  <c r="T11" i="10"/>
  <c r="S11" i="10"/>
  <c r="U10" i="10"/>
  <c r="S10" i="10"/>
  <c r="R10" i="10"/>
  <c r="W9" i="10"/>
  <c r="S9" i="10"/>
  <c r="W8" i="13"/>
  <c r="V8" i="10"/>
  <c r="U8" i="10"/>
  <c r="W7" i="10"/>
  <c r="U7" i="10"/>
  <c r="T7" i="10"/>
  <c r="S7" i="10"/>
  <c r="U6" i="10"/>
  <c r="S6" i="10"/>
  <c r="R6" i="10"/>
  <c r="W5" i="10"/>
  <c r="S5" i="10"/>
  <c r="N33" i="13"/>
  <c r="F33" i="13"/>
  <c r="N32" i="13"/>
  <c r="F32" i="13"/>
  <c r="N31" i="13"/>
  <c r="F31" i="13"/>
  <c r="N30" i="13"/>
  <c r="F30" i="13"/>
  <c r="N26" i="13"/>
  <c r="F26" i="13"/>
  <c r="N25" i="13"/>
  <c r="M25" i="13"/>
  <c r="F25" i="13"/>
  <c r="N24" i="13"/>
  <c r="F24" i="13"/>
  <c r="N23" i="13"/>
  <c r="K23" i="13"/>
  <c r="F23" i="13"/>
  <c r="N22" i="13"/>
  <c r="F22" i="13"/>
  <c r="B22" i="13"/>
  <c r="N21" i="13"/>
  <c r="I21" i="13"/>
  <c r="F21" i="13"/>
  <c r="N20" i="13"/>
  <c r="F20" i="13"/>
  <c r="N18" i="13"/>
  <c r="F18" i="13"/>
  <c r="N17" i="13"/>
  <c r="F17" i="13"/>
  <c r="E17" i="13"/>
  <c r="N14" i="13"/>
  <c r="F14" i="13"/>
  <c r="N13" i="13"/>
  <c r="F13" i="13"/>
  <c r="N12" i="13"/>
  <c r="F12" i="13"/>
  <c r="N11" i="13"/>
  <c r="F11" i="13"/>
  <c r="N10" i="13"/>
  <c r="F10" i="13"/>
  <c r="N9" i="13"/>
  <c r="F9" i="13"/>
  <c r="N8" i="13"/>
  <c r="F8" i="13"/>
  <c r="N7" i="13"/>
  <c r="F7" i="13"/>
  <c r="N6" i="13"/>
  <c r="J6" i="13"/>
  <c r="F6" i="13"/>
  <c r="N5" i="13"/>
  <c r="F5" i="13"/>
  <c r="U33" i="12"/>
  <c r="S32" i="12"/>
  <c r="W31" i="12"/>
  <c r="R29" i="8"/>
  <c r="V26" i="12"/>
  <c r="U26" i="12"/>
  <c r="T25" i="12"/>
  <c r="R24" i="12"/>
  <c r="S21" i="12"/>
  <c r="U19" i="8"/>
  <c r="S16" i="8"/>
  <c r="R16" i="8"/>
  <c r="V15" i="10"/>
  <c r="V14" i="12"/>
  <c r="T14" i="10"/>
  <c r="T13" i="12"/>
  <c r="R13" i="10"/>
  <c r="R12" i="12"/>
  <c r="V11" i="10"/>
  <c r="V10" i="12"/>
  <c r="U10" i="12"/>
  <c r="T10" i="10"/>
  <c r="T9" i="12"/>
  <c r="R9" i="10"/>
  <c r="R8" i="12"/>
  <c r="V7" i="10"/>
  <c r="T6" i="10"/>
  <c r="S5" i="12"/>
  <c r="R5" i="10"/>
  <c r="W4" i="8"/>
  <c r="M33" i="12"/>
  <c r="I33" i="12"/>
  <c r="E33" i="12"/>
  <c r="Q32" i="12"/>
  <c r="N32" i="12"/>
  <c r="M32" i="12"/>
  <c r="I32" i="12"/>
  <c r="E32" i="12"/>
  <c r="Q31" i="12"/>
  <c r="M31" i="12"/>
  <c r="I31" i="12"/>
  <c r="E31" i="12"/>
  <c r="Q30" i="12"/>
  <c r="M30" i="12"/>
  <c r="I30" i="12"/>
  <c r="E30" i="12"/>
  <c r="J28" i="12"/>
  <c r="Q26" i="12"/>
  <c r="M26" i="12"/>
  <c r="I26" i="12"/>
  <c r="E26" i="12"/>
  <c r="Q25" i="12"/>
  <c r="M25" i="12"/>
  <c r="I25" i="12"/>
  <c r="E25" i="12"/>
  <c r="Q24" i="12"/>
  <c r="M24" i="12"/>
  <c r="I24" i="12"/>
  <c r="F24" i="12"/>
  <c r="E24" i="12"/>
  <c r="Q23" i="12"/>
  <c r="M23" i="12"/>
  <c r="I23" i="12"/>
  <c r="E23" i="12"/>
  <c r="Q22" i="12"/>
  <c r="M22" i="12"/>
  <c r="I22" i="12"/>
  <c r="E22" i="12"/>
  <c r="Q21" i="12"/>
  <c r="M21" i="12"/>
  <c r="I21" i="12"/>
  <c r="E21" i="12"/>
  <c r="Q20" i="12"/>
  <c r="M20" i="12"/>
  <c r="I20" i="12"/>
  <c r="E20" i="12"/>
  <c r="Q18" i="12"/>
  <c r="M18" i="12"/>
  <c r="I18" i="12"/>
  <c r="E18" i="12"/>
  <c r="Q17" i="12"/>
  <c r="O17" i="12"/>
  <c r="M17" i="12"/>
  <c r="I17" i="12"/>
  <c r="E17" i="12"/>
  <c r="Q14" i="12"/>
  <c r="M14" i="12"/>
  <c r="I14" i="12"/>
  <c r="E14" i="12"/>
  <c r="Q13" i="12"/>
  <c r="M13" i="12"/>
  <c r="I13" i="12"/>
  <c r="F13" i="12"/>
  <c r="E13" i="12"/>
  <c r="Q12" i="12"/>
  <c r="M12" i="12"/>
  <c r="I12" i="12"/>
  <c r="E12" i="12"/>
  <c r="Q11" i="12"/>
  <c r="M11" i="12"/>
  <c r="I11" i="12"/>
  <c r="E11" i="12"/>
  <c r="B11" i="12"/>
  <c r="Q10" i="12"/>
  <c r="M10" i="12"/>
  <c r="K10" i="12"/>
  <c r="I10" i="12"/>
  <c r="E10" i="12"/>
  <c r="C10" i="12"/>
  <c r="Q9" i="12"/>
  <c r="M9" i="12"/>
  <c r="J9" i="12"/>
  <c r="I9" i="12"/>
  <c r="E9" i="12"/>
  <c r="Q8" i="12"/>
  <c r="M8" i="12"/>
  <c r="I8" i="12"/>
  <c r="E8" i="12"/>
  <c r="Q7" i="12"/>
  <c r="M7" i="12"/>
  <c r="I7" i="12"/>
  <c r="E7" i="12"/>
  <c r="Q6" i="12"/>
  <c r="O6" i="12"/>
  <c r="M6" i="12"/>
  <c r="I6" i="12"/>
  <c r="G6" i="12"/>
  <c r="E6" i="12"/>
  <c r="Q5" i="12"/>
  <c r="N5" i="12"/>
  <c r="M5" i="12"/>
  <c r="I5" i="12"/>
  <c r="F5" i="12"/>
  <c r="E5" i="12"/>
  <c r="W29" i="7"/>
  <c r="U29" i="7"/>
  <c r="S29" i="7"/>
  <c r="W19" i="7"/>
  <c r="S19" i="7"/>
  <c r="V16" i="7"/>
  <c r="R16" i="7"/>
  <c r="U16" i="7"/>
  <c r="T16" i="7"/>
  <c r="S16" i="7"/>
  <c r="W9" i="14"/>
  <c r="W15" i="7"/>
  <c r="W15" i="12" s="1"/>
  <c r="U15" i="7"/>
  <c r="S15" i="7"/>
  <c r="W4" i="7"/>
  <c r="W3" i="7" s="1"/>
  <c r="D22" i="12"/>
  <c r="L11" i="12"/>
  <c r="H7" i="12"/>
  <c r="W119" i="6"/>
  <c r="W173" i="6" s="1"/>
  <c r="V119" i="6"/>
  <c r="V149" i="6" s="1"/>
  <c r="U119" i="6"/>
  <c r="U173" i="6" s="1"/>
  <c r="T119" i="6"/>
  <c r="T173" i="6" s="1"/>
  <c r="S119" i="6"/>
  <c r="S173" i="6" s="1"/>
  <c r="R119" i="6"/>
  <c r="R173" i="6" s="1"/>
  <c r="Q119" i="6"/>
  <c r="Q149" i="6" s="1"/>
  <c r="P119" i="6"/>
  <c r="P149" i="6" s="1"/>
  <c r="O119" i="6"/>
  <c r="O173" i="6" s="1"/>
  <c r="N119" i="6"/>
  <c r="N149" i="6" s="1"/>
  <c r="M119" i="6"/>
  <c r="M173" i="6" s="1"/>
  <c r="L119" i="6"/>
  <c r="L173" i="6" s="1"/>
  <c r="K119" i="6"/>
  <c r="K173" i="6" s="1"/>
  <c r="J119" i="6"/>
  <c r="J173" i="6" s="1"/>
  <c r="I119" i="6"/>
  <c r="I149" i="6" s="1"/>
  <c r="H119" i="6"/>
  <c r="H149" i="6" s="1"/>
  <c r="G119" i="6"/>
  <c r="G173" i="6" s="1"/>
  <c r="F119" i="6"/>
  <c r="F149" i="6" s="1"/>
  <c r="E119" i="6"/>
  <c r="E173" i="6" s="1"/>
  <c r="D119" i="6"/>
  <c r="D173" i="6" s="1"/>
  <c r="C119" i="6"/>
  <c r="C173" i="6" s="1"/>
  <c r="V105" i="6"/>
  <c r="U105" i="6"/>
  <c r="Q105" i="6"/>
  <c r="P105" i="6"/>
  <c r="N105" i="6"/>
  <c r="M105" i="6"/>
  <c r="I105" i="6"/>
  <c r="H105" i="6"/>
  <c r="F105" i="6"/>
  <c r="E105" i="6"/>
  <c r="W95" i="6"/>
  <c r="V95" i="6"/>
  <c r="U95" i="6"/>
  <c r="T95" i="6"/>
  <c r="S95" i="6"/>
  <c r="R95" i="6"/>
  <c r="Q95" i="6"/>
  <c r="P95" i="6"/>
  <c r="O95" i="6"/>
  <c r="N95" i="6"/>
  <c r="M95" i="6"/>
  <c r="L95" i="6"/>
  <c r="K95" i="6"/>
  <c r="J95" i="6"/>
  <c r="I95" i="6"/>
  <c r="H95" i="6"/>
  <c r="G95" i="6"/>
  <c r="F95" i="6"/>
  <c r="E95" i="6"/>
  <c r="D95" i="6"/>
  <c r="C95" i="6"/>
  <c r="S105" i="6"/>
  <c r="R105" i="6"/>
  <c r="O105" i="6"/>
  <c r="L105" i="6"/>
  <c r="K105" i="6"/>
  <c r="J105" i="6"/>
  <c r="G105" i="6"/>
  <c r="D105" i="6"/>
  <c r="C105" i="6"/>
  <c r="B105" i="6"/>
  <c r="V11" i="29" l="1"/>
  <c r="S7" i="29"/>
  <c r="W11" i="29"/>
  <c r="K11" i="29"/>
  <c r="G11" i="29"/>
  <c r="T7" i="29"/>
  <c r="D11" i="29"/>
  <c r="L11" i="29"/>
  <c r="T11" i="29"/>
  <c r="W4" i="29"/>
  <c r="S5" i="29"/>
  <c r="W9" i="29"/>
  <c r="O11" i="29"/>
  <c r="G5" i="29"/>
  <c r="W5" i="29"/>
  <c r="S4" i="29"/>
  <c r="W7" i="29"/>
  <c r="S6" i="29"/>
  <c r="S8" i="29"/>
  <c r="K4" i="29"/>
  <c r="S11" i="29"/>
  <c r="H173" i="6"/>
  <c r="P173" i="6"/>
  <c r="R4" i="29"/>
  <c r="V7" i="29"/>
  <c r="F11" i="29"/>
  <c r="J4" i="29"/>
  <c r="V5" i="29"/>
  <c r="N5" i="29"/>
  <c r="R8" i="29"/>
  <c r="R6" i="29"/>
  <c r="R3" i="32" s="1"/>
  <c r="V9" i="29"/>
  <c r="V3" i="35" s="1"/>
  <c r="R11" i="29"/>
  <c r="T5" i="34"/>
  <c r="T5" i="30"/>
  <c r="V3" i="32"/>
  <c r="G149" i="6"/>
  <c r="O149" i="6"/>
  <c r="W149" i="6"/>
  <c r="F173" i="6"/>
  <c r="N173" i="6"/>
  <c r="V173" i="6"/>
  <c r="J149" i="6"/>
  <c r="R149" i="6"/>
  <c r="I173" i="6"/>
  <c r="Q173" i="6"/>
  <c r="C149" i="6"/>
  <c r="K149" i="6"/>
  <c r="S149" i="6"/>
  <c r="D149" i="6"/>
  <c r="L149" i="6"/>
  <c r="T149" i="6"/>
  <c r="E149" i="6"/>
  <c r="M149" i="6"/>
  <c r="U149" i="6"/>
  <c r="G107" i="6"/>
  <c r="W17" i="12"/>
  <c r="W16" i="8"/>
  <c r="W107" i="6"/>
  <c r="W105" i="6"/>
  <c r="O107" i="6"/>
  <c r="V107" i="6"/>
  <c r="I107" i="6"/>
  <c r="D107" i="6"/>
  <c r="J107" i="6"/>
  <c r="L107" i="6"/>
  <c r="F107" i="6"/>
  <c r="Q107" i="6"/>
  <c r="N107" i="6"/>
  <c r="T107" i="6"/>
  <c r="R107" i="6"/>
  <c r="T105" i="6"/>
  <c r="E107" i="6"/>
  <c r="M107" i="6"/>
  <c r="U107" i="6"/>
  <c r="H107" i="6"/>
  <c r="P107" i="6"/>
  <c r="C107" i="6"/>
  <c r="K107" i="6"/>
  <c r="S107" i="6"/>
  <c r="R15" i="7"/>
  <c r="R15" i="13" s="1"/>
  <c r="R4" i="7"/>
  <c r="R3" i="7" s="1"/>
  <c r="D11" i="12"/>
  <c r="L30" i="12"/>
  <c r="S29" i="8"/>
  <c r="S29" i="12" s="1"/>
  <c r="W17" i="10"/>
  <c r="R30" i="13"/>
  <c r="R29" i="9"/>
  <c r="R30" i="10"/>
  <c r="T31" i="13"/>
  <c r="T31" i="10"/>
  <c r="V32" i="13"/>
  <c r="V32" i="10"/>
  <c r="E28" i="12"/>
  <c r="M28" i="12"/>
  <c r="T4" i="8"/>
  <c r="T5" i="12"/>
  <c r="V4" i="8"/>
  <c r="V6" i="12"/>
  <c r="R16" i="12"/>
  <c r="W29" i="13"/>
  <c r="L8" i="13"/>
  <c r="D32" i="13"/>
  <c r="T20" i="13"/>
  <c r="V21" i="13"/>
  <c r="V19" i="9"/>
  <c r="R23" i="13"/>
  <c r="T24" i="13"/>
  <c r="V25" i="13"/>
  <c r="R28" i="13"/>
  <c r="R27" i="10"/>
  <c r="S16" i="12"/>
  <c r="U4" i="9"/>
  <c r="U5" i="13"/>
  <c r="U5" i="10"/>
  <c r="W6" i="13"/>
  <c r="W4" i="9"/>
  <c r="W6" i="10"/>
  <c r="S8" i="13"/>
  <c r="S8" i="10"/>
  <c r="U9" i="13"/>
  <c r="U9" i="10"/>
  <c r="W10" i="13"/>
  <c r="W10" i="10"/>
  <c r="S12" i="13"/>
  <c r="S12" i="10"/>
  <c r="U13" i="13"/>
  <c r="U13" i="10"/>
  <c r="W14" i="13"/>
  <c r="W14" i="10"/>
  <c r="R16" i="9"/>
  <c r="R17" i="13"/>
  <c r="R17" i="10"/>
  <c r="T18" i="13"/>
  <c r="T18" i="10"/>
  <c r="P7" i="12"/>
  <c r="P13" i="12"/>
  <c r="H26" i="12"/>
  <c r="W30" i="12"/>
  <c r="W29" i="8"/>
  <c r="W29" i="12" s="1"/>
  <c r="F28" i="13"/>
  <c r="N28" i="13"/>
  <c r="R29" i="7"/>
  <c r="R29" i="12" s="1"/>
  <c r="W30" i="10"/>
  <c r="S32" i="10"/>
  <c r="T20" i="10"/>
  <c r="R19" i="8"/>
  <c r="R20" i="12"/>
  <c r="T19" i="8"/>
  <c r="T21" i="12"/>
  <c r="V19" i="8"/>
  <c r="V22" i="12"/>
  <c r="P12" i="13"/>
  <c r="V21" i="10"/>
  <c r="S4" i="7"/>
  <c r="S3" i="7" s="1"/>
  <c r="D5" i="12"/>
  <c r="L5" i="12"/>
  <c r="D6" i="12"/>
  <c r="L6" i="12"/>
  <c r="D7" i="12"/>
  <c r="L7" i="12"/>
  <c r="D8" i="12"/>
  <c r="L8" i="12"/>
  <c r="D9" i="12"/>
  <c r="L9" i="12"/>
  <c r="D10" i="12"/>
  <c r="L10" i="12"/>
  <c r="D12" i="12"/>
  <c r="L12" i="12"/>
  <c r="D13" i="12"/>
  <c r="L13" i="12"/>
  <c r="D14" i="12"/>
  <c r="L14" i="12"/>
  <c r="D17" i="12"/>
  <c r="L17" i="12"/>
  <c r="D18" i="12"/>
  <c r="L18" i="12"/>
  <c r="D20" i="12"/>
  <c r="L20" i="12"/>
  <c r="D21" i="12"/>
  <c r="L21" i="12"/>
  <c r="L22" i="12"/>
  <c r="D23" i="12"/>
  <c r="L23" i="12"/>
  <c r="D24" i="12"/>
  <c r="L24" i="12"/>
  <c r="D25" i="12"/>
  <c r="L25" i="12"/>
  <c r="D26" i="12"/>
  <c r="L26" i="12"/>
  <c r="D28" i="12"/>
  <c r="L28" i="12"/>
  <c r="D30" i="12"/>
  <c r="D31" i="12"/>
  <c r="L31" i="12"/>
  <c r="D32" i="12"/>
  <c r="L32" i="12"/>
  <c r="D33" i="12"/>
  <c r="L33" i="12"/>
  <c r="U6" i="12"/>
  <c r="W7" i="12"/>
  <c r="S9" i="12"/>
  <c r="W11" i="12"/>
  <c r="S13" i="12"/>
  <c r="U14" i="12"/>
  <c r="V17" i="12"/>
  <c r="U22" i="12"/>
  <c r="W23" i="12"/>
  <c r="S25" i="12"/>
  <c r="W28" i="12"/>
  <c r="W27" i="12"/>
  <c r="V29" i="8"/>
  <c r="V30" i="12"/>
  <c r="R32" i="12"/>
  <c r="T33" i="12"/>
  <c r="E5" i="13"/>
  <c r="M5" i="13"/>
  <c r="E6" i="13"/>
  <c r="M6" i="13"/>
  <c r="E7" i="13"/>
  <c r="M7" i="13"/>
  <c r="E8" i="13"/>
  <c r="M8" i="13"/>
  <c r="E9" i="13"/>
  <c r="M9" i="13"/>
  <c r="E10" i="13"/>
  <c r="M10" i="13"/>
  <c r="E11" i="13"/>
  <c r="M11" i="13"/>
  <c r="E12" i="13"/>
  <c r="M12" i="13"/>
  <c r="E13" i="13"/>
  <c r="M13" i="13"/>
  <c r="E14" i="13"/>
  <c r="M14" i="13"/>
  <c r="M17" i="13"/>
  <c r="E18" i="13"/>
  <c r="M18" i="13"/>
  <c r="E20" i="13"/>
  <c r="M20" i="13"/>
  <c r="E21" i="13"/>
  <c r="M21" i="13"/>
  <c r="E22" i="13"/>
  <c r="M22" i="13"/>
  <c r="E23" i="13"/>
  <c r="M23" i="13"/>
  <c r="E24" i="13"/>
  <c r="M24" i="13"/>
  <c r="E25" i="13"/>
  <c r="E26" i="13"/>
  <c r="M26" i="13"/>
  <c r="E28" i="13"/>
  <c r="M28" i="13"/>
  <c r="E30" i="13"/>
  <c r="M30" i="13"/>
  <c r="E31" i="13"/>
  <c r="M31" i="13"/>
  <c r="E32" i="13"/>
  <c r="M32" i="13"/>
  <c r="E33" i="13"/>
  <c r="M33" i="13"/>
  <c r="T4" i="9"/>
  <c r="T5" i="13"/>
  <c r="V4" i="9"/>
  <c r="V6" i="13"/>
  <c r="R8" i="13"/>
  <c r="T9" i="13"/>
  <c r="V10" i="13"/>
  <c r="R12" i="13"/>
  <c r="T13" i="13"/>
  <c r="V14" i="13"/>
  <c r="S16" i="9"/>
  <c r="S18" i="13"/>
  <c r="S19" i="9"/>
  <c r="S20" i="13"/>
  <c r="U21" i="13"/>
  <c r="W22" i="13"/>
  <c r="S24" i="13"/>
  <c r="U25" i="13"/>
  <c r="W26" i="13"/>
  <c r="S29" i="9"/>
  <c r="S31" i="13"/>
  <c r="U32" i="13"/>
  <c r="U32" i="10"/>
  <c r="W33" i="13"/>
  <c r="W33" i="10"/>
  <c r="S20" i="10"/>
  <c r="U21" i="10"/>
  <c r="W22" i="10"/>
  <c r="S24" i="10"/>
  <c r="U25" i="10"/>
  <c r="W26" i="10"/>
  <c r="W4" i="14"/>
  <c r="S4" i="11"/>
  <c r="S6" i="14"/>
  <c r="U7" i="14"/>
  <c r="W8" i="14"/>
  <c r="S10" i="14"/>
  <c r="W24" i="13"/>
  <c r="W16" i="7"/>
  <c r="W16" i="13" s="1"/>
  <c r="F6" i="12"/>
  <c r="N6" i="12"/>
  <c r="F7" i="12"/>
  <c r="N7" i="12"/>
  <c r="F8" i="12"/>
  <c r="N8" i="12"/>
  <c r="F9" i="12"/>
  <c r="N9" i="12"/>
  <c r="F10" i="12"/>
  <c r="N10" i="12"/>
  <c r="F11" i="12"/>
  <c r="N11" i="12"/>
  <c r="F12" i="12"/>
  <c r="N12" i="12"/>
  <c r="N13" i="12"/>
  <c r="F14" i="12"/>
  <c r="N14" i="12"/>
  <c r="F17" i="12"/>
  <c r="N17" i="12"/>
  <c r="F18" i="12"/>
  <c r="N18" i="12"/>
  <c r="F20" i="12"/>
  <c r="N20" i="12"/>
  <c r="F21" i="12"/>
  <c r="N21" i="12"/>
  <c r="F22" i="12"/>
  <c r="N22" i="12"/>
  <c r="F23" i="12"/>
  <c r="N23" i="12"/>
  <c r="N24" i="12"/>
  <c r="F25" i="12"/>
  <c r="N25" i="12"/>
  <c r="F26" i="12"/>
  <c r="N26" i="12"/>
  <c r="F28" i="12"/>
  <c r="N28" i="12"/>
  <c r="F30" i="12"/>
  <c r="N30" i="12"/>
  <c r="F31" i="12"/>
  <c r="N31" i="12"/>
  <c r="F32" i="12"/>
  <c r="F33" i="12"/>
  <c r="N33" i="12"/>
  <c r="U4" i="8"/>
  <c r="U5" i="12"/>
  <c r="W6" i="12"/>
  <c r="S8" i="12"/>
  <c r="U9" i="12"/>
  <c r="W10" i="12"/>
  <c r="S12" i="12"/>
  <c r="U13" i="12"/>
  <c r="W14" i="12"/>
  <c r="R18" i="12"/>
  <c r="S19" i="8"/>
  <c r="S19" i="12" s="1"/>
  <c r="S20" i="12"/>
  <c r="U21" i="12"/>
  <c r="W22" i="12"/>
  <c r="S24" i="12"/>
  <c r="U25" i="12"/>
  <c r="W26" i="12"/>
  <c r="R31" i="12"/>
  <c r="T32" i="12"/>
  <c r="V33" i="12"/>
  <c r="G5" i="13"/>
  <c r="O5" i="13"/>
  <c r="G6" i="13"/>
  <c r="O6" i="13"/>
  <c r="G7" i="13"/>
  <c r="O7" i="13"/>
  <c r="G8" i="13"/>
  <c r="O8" i="13"/>
  <c r="G9" i="13"/>
  <c r="O9" i="13"/>
  <c r="G10" i="13"/>
  <c r="O10" i="13"/>
  <c r="G11" i="13"/>
  <c r="O11" i="13"/>
  <c r="G12" i="13"/>
  <c r="O12" i="13"/>
  <c r="G13" i="13"/>
  <c r="O13" i="13"/>
  <c r="G14" i="13"/>
  <c r="O14" i="13"/>
  <c r="G17" i="13"/>
  <c r="O17" i="13"/>
  <c r="G18" i="13"/>
  <c r="O18" i="13"/>
  <c r="G20" i="13"/>
  <c r="O20" i="13"/>
  <c r="G21" i="13"/>
  <c r="O21" i="13"/>
  <c r="G22" i="13"/>
  <c r="O22" i="13"/>
  <c r="G23" i="13"/>
  <c r="O23" i="13"/>
  <c r="G24" i="13"/>
  <c r="O24" i="13"/>
  <c r="G25" i="13"/>
  <c r="O25" i="13"/>
  <c r="G26" i="13"/>
  <c r="O26" i="13"/>
  <c r="G28" i="13"/>
  <c r="O28" i="13"/>
  <c r="G30" i="13"/>
  <c r="O30" i="13"/>
  <c r="G31" i="13"/>
  <c r="O31" i="13"/>
  <c r="G32" i="13"/>
  <c r="O32" i="13"/>
  <c r="G33" i="13"/>
  <c r="O33" i="13"/>
  <c r="V5" i="13"/>
  <c r="R7" i="13"/>
  <c r="T8" i="13"/>
  <c r="V9" i="13"/>
  <c r="R11" i="13"/>
  <c r="T12" i="13"/>
  <c r="V13" i="13"/>
  <c r="S17" i="13"/>
  <c r="U18" i="13"/>
  <c r="U20" i="13"/>
  <c r="W21" i="13"/>
  <c r="S23" i="13"/>
  <c r="U24" i="13"/>
  <c r="W25" i="13"/>
  <c r="S27" i="13"/>
  <c r="S28" i="13"/>
  <c r="U31" i="13"/>
  <c r="W32" i="13"/>
  <c r="U20" i="10"/>
  <c r="W21" i="10"/>
  <c r="S23" i="10"/>
  <c r="U24" i="10"/>
  <c r="W25" i="10"/>
  <c r="S27" i="10"/>
  <c r="T15" i="7"/>
  <c r="T15" i="13" s="1"/>
  <c r="V4" i="7"/>
  <c r="V3" i="7" s="1"/>
  <c r="R19" i="7"/>
  <c r="R27" i="13" s="1"/>
  <c r="T19" i="7"/>
  <c r="T27" i="12" s="1"/>
  <c r="V19" i="7"/>
  <c r="V27" i="12" s="1"/>
  <c r="G5" i="12"/>
  <c r="O5" i="12"/>
  <c r="G7" i="12"/>
  <c r="O7" i="12"/>
  <c r="G8" i="12"/>
  <c r="O8" i="12"/>
  <c r="G9" i="12"/>
  <c r="O9" i="12"/>
  <c r="G10" i="12"/>
  <c r="O10" i="12"/>
  <c r="G11" i="12"/>
  <c r="O11" i="12"/>
  <c r="G12" i="12"/>
  <c r="O12" i="12"/>
  <c r="G13" i="12"/>
  <c r="O13" i="12"/>
  <c r="G14" i="12"/>
  <c r="O14" i="12"/>
  <c r="G17" i="12"/>
  <c r="G18" i="12"/>
  <c r="O18" i="12"/>
  <c r="G20" i="12"/>
  <c r="O20" i="12"/>
  <c r="G21" i="12"/>
  <c r="O21" i="12"/>
  <c r="G22" i="12"/>
  <c r="O22" i="12"/>
  <c r="G23" i="12"/>
  <c r="O23" i="12"/>
  <c r="G24" i="12"/>
  <c r="O24" i="12"/>
  <c r="G25" i="12"/>
  <c r="O25" i="12"/>
  <c r="G26" i="12"/>
  <c r="O26" i="12"/>
  <c r="G28" i="12"/>
  <c r="O28" i="12"/>
  <c r="G30" i="12"/>
  <c r="O30" i="12"/>
  <c r="G31" i="12"/>
  <c r="O31" i="12"/>
  <c r="G32" i="12"/>
  <c r="O32" i="12"/>
  <c r="G33" i="12"/>
  <c r="O33" i="12"/>
  <c r="V5" i="12"/>
  <c r="R7" i="12"/>
  <c r="T8" i="12"/>
  <c r="V9" i="12"/>
  <c r="R11" i="12"/>
  <c r="T12" i="12"/>
  <c r="V13" i="12"/>
  <c r="S18" i="12"/>
  <c r="T20" i="12"/>
  <c r="V21" i="12"/>
  <c r="R23" i="12"/>
  <c r="T24" i="12"/>
  <c r="V25" i="12"/>
  <c r="R28" i="12"/>
  <c r="S31" i="12"/>
  <c r="U32" i="12"/>
  <c r="W33" i="12"/>
  <c r="H5" i="13"/>
  <c r="P5" i="13"/>
  <c r="H6" i="13"/>
  <c r="P6" i="13"/>
  <c r="H7" i="13"/>
  <c r="P7" i="13"/>
  <c r="H8" i="13"/>
  <c r="P8" i="13"/>
  <c r="H9" i="13"/>
  <c r="P9" i="13"/>
  <c r="H10" i="13"/>
  <c r="P10" i="13"/>
  <c r="H11" i="13"/>
  <c r="P11" i="13"/>
  <c r="H12" i="13"/>
  <c r="H13" i="13"/>
  <c r="P13" i="13"/>
  <c r="H14" i="13"/>
  <c r="P14" i="13"/>
  <c r="H17" i="13"/>
  <c r="P17" i="13"/>
  <c r="H18" i="13"/>
  <c r="P18" i="13"/>
  <c r="H20" i="13"/>
  <c r="P20" i="13"/>
  <c r="H21" i="13"/>
  <c r="P21" i="13"/>
  <c r="H22" i="13"/>
  <c r="P22" i="13"/>
  <c r="H23" i="13"/>
  <c r="P23" i="13"/>
  <c r="H24" i="13"/>
  <c r="P24" i="13"/>
  <c r="H25" i="13"/>
  <c r="P25" i="13"/>
  <c r="H26" i="13"/>
  <c r="P26" i="13"/>
  <c r="H28" i="13"/>
  <c r="P28" i="13"/>
  <c r="H30" i="13"/>
  <c r="P30" i="13"/>
  <c r="H31" i="13"/>
  <c r="P31" i="13"/>
  <c r="H32" i="13"/>
  <c r="P32" i="13"/>
  <c r="H33" i="13"/>
  <c r="P33" i="13"/>
  <c r="W5" i="13"/>
  <c r="S7" i="13"/>
  <c r="U8" i="13"/>
  <c r="W9" i="13"/>
  <c r="S11" i="13"/>
  <c r="U12" i="13"/>
  <c r="W13" i="13"/>
  <c r="S15" i="13"/>
  <c r="T16" i="9"/>
  <c r="T17" i="13"/>
  <c r="V16" i="9"/>
  <c r="V18" i="13"/>
  <c r="V20" i="13"/>
  <c r="R22" i="13"/>
  <c r="T23" i="13"/>
  <c r="V24" i="13"/>
  <c r="R26" i="13"/>
  <c r="T28" i="13"/>
  <c r="T29" i="9"/>
  <c r="T30" i="13"/>
  <c r="V29" i="9"/>
  <c r="V31" i="13"/>
  <c r="R33" i="10"/>
  <c r="R33" i="13"/>
  <c r="V20" i="10"/>
  <c r="R22" i="10"/>
  <c r="T23" i="10"/>
  <c r="V24" i="10"/>
  <c r="R26" i="10"/>
  <c r="T27" i="10"/>
  <c r="T21" i="14"/>
  <c r="U19" i="7"/>
  <c r="U19" i="12" s="1"/>
  <c r="H5" i="12"/>
  <c r="P5" i="12"/>
  <c r="H6" i="12"/>
  <c r="P6" i="12"/>
  <c r="H8" i="12"/>
  <c r="P8" i="12"/>
  <c r="H9" i="12"/>
  <c r="P9" i="12"/>
  <c r="H10" i="12"/>
  <c r="P10" i="12"/>
  <c r="H11" i="12"/>
  <c r="P11" i="12"/>
  <c r="H12" i="12"/>
  <c r="P12" i="12"/>
  <c r="H13" i="12"/>
  <c r="H14" i="12"/>
  <c r="P14" i="12"/>
  <c r="H17" i="12"/>
  <c r="P17" i="12"/>
  <c r="H18" i="12"/>
  <c r="P18" i="12"/>
  <c r="H20" i="12"/>
  <c r="P20" i="12"/>
  <c r="H21" i="12"/>
  <c r="P21" i="12"/>
  <c r="H22" i="12"/>
  <c r="P22" i="12"/>
  <c r="H23" i="12"/>
  <c r="P23" i="12"/>
  <c r="H24" i="12"/>
  <c r="P24" i="12"/>
  <c r="H25" i="12"/>
  <c r="P25" i="12"/>
  <c r="P26" i="12"/>
  <c r="H28" i="12"/>
  <c r="P28" i="12"/>
  <c r="H30" i="12"/>
  <c r="P30" i="12"/>
  <c r="H31" i="12"/>
  <c r="P31" i="12"/>
  <c r="H32" i="12"/>
  <c r="P32" i="12"/>
  <c r="H33" i="12"/>
  <c r="P33" i="12"/>
  <c r="W5" i="12"/>
  <c r="S7" i="12"/>
  <c r="U8" i="12"/>
  <c r="W9" i="12"/>
  <c r="S11" i="12"/>
  <c r="U12" i="12"/>
  <c r="W13" i="12"/>
  <c r="S15" i="12"/>
  <c r="R17" i="12"/>
  <c r="T18" i="12"/>
  <c r="U20" i="12"/>
  <c r="W21" i="12"/>
  <c r="S23" i="12"/>
  <c r="U24" i="12"/>
  <c r="W25" i="12"/>
  <c r="S27" i="12"/>
  <c r="S28" i="12"/>
  <c r="R30" i="12"/>
  <c r="T31" i="12"/>
  <c r="V32" i="12"/>
  <c r="I5" i="13"/>
  <c r="Q5" i="13"/>
  <c r="I6" i="13"/>
  <c r="Q6" i="13"/>
  <c r="I7" i="13"/>
  <c r="Q7" i="13"/>
  <c r="I8" i="13"/>
  <c r="Q8" i="13"/>
  <c r="I9" i="13"/>
  <c r="Q9" i="13"/>
  <c r="I10" i="13"/>
  <c r="Q10" i="13"/>
  <c r="I11" i="13"/>
  <c r="Q11" i="13"/>
  <c r="I12" i="13"/>
  <c r="Q12" i="13"/>
  <c r="I13" i="13"/>
  <c r="Q13" i="13"/>
  <c r="I14" i="13"/>
  <c r="Q14" i="13"/>
  <c r="I17" i="13"/>
  <c r="Q17" i="13"/>
  <c r="I18" i="13"/>
  <c r="Q18" i="13"/>
  <c r="I20" i="13"/>
  <c r="Q20" i="13"/>
  <c r="Q21" i="13"/>
  <c r="I22" i="13"/>
  <c r="Q22" i="13"/>
  <c r="I23" i="13"/>
  <c r="Q23" i="13"/>
  <c r="I24" i="13"/>
  <c r="Q24" i="13"/>
  <c r="I25" i="13"/>
  <c r="Q25" i="13"/>
  <c r="I26" i="13"/>
  <c r="Q26" i="13"/>
  <c r="I28" i="13"/>
  <c r="Q28" i="13"/>
  <c r="I30" i="13"/>
  <c r="Q30" i="13"/>
  <c r="I31" i="13"/>
  <c r="Q31" i="13"/>
  <c r="I32" i="13"/>
  <c r="Q32" i="13"/>
  <c r="I33" i="13"/>
  <c r="Q33" i="13"/>
  <c r="R6" i="13"/>
  <c r="T7" i="13"/>
  <c r="V8" i="13"/>
  <c r="R10" i="13"/>
  <c r="T11" i="13"/>
  <c r="V12" i="13"/>
  <c r="R14" i="13"/>
  <c r="U16" i="9"/>
  <c r="U17" i="13"/>
  <c r="W18" i="13"/>
  <c r="W19" i="9"/>
  <c r="W20" i="13"/>
  <c r="S22" i="13"/>
  <c r="U23" i="13"/>
  <c r="S26" i="13"/>
  <c r="U28" i="13"/>
  <c r="U29" i="9"/>
  <c r="U30" i="13"/>
  <c r="W31" i="13"/>
  <c r="S33" i="13"/>
  <c r="S33" i="10"/>
  <c r="W8" i="10"/>
  <c r="S14" i="10"/>
  <c r="W16" i="10"/>
  <c r="S18" i="10"/>
  <c r="U19" i="10"/>
  <c r="W20" i="10"/>
  <c r="S22" i="10"/>
  <c r="U23" i="10"/>
  <c r="S26" i="10"/>
  <c r="U27" i="10"/>
  <c r="S31" i="10"/>
  <c r="W32" i="10"/>
  <c r="U4" i="11"/>
  <c r="I28" i="12"/>
  <c r="Q28" i="12"/>
  <c r="Q33" i="12"/>
  <c r="R6" i="12"/>
  <c r="T7" i="12"/>
  <c r="V8" i="12"/>
  <c r="R10" i="12"/>
  <c r="T11" i="12"/>
  <c r="V12" i="12"/>
  <c r="R14" i="12"/>
  <c r="S17" i="12"/>
  <c r="U18" i="12"/>
  <c r="V20" i="12"/>
  <c r="R22" i="12"/>
  <c r="T23" i="12"/>
  <c r="V24" i="12"/>
  <c r="R26" i="12"/>
  <c r="T28" i="12"/>
  <c r="S30" i="12"/>
  <c r="U31" i="12"/>
  <c r="W32" i="12"/>
  <c r="B5" i="13"/>
  <c r="J5" i="13"/>
  <c r="B6" i="13"/>
  <c r="B7" i="13"/>
  <c r="J7" i="13"/>
  <c r="B8" i="13"/>
  <c r="J8" i="13"/>
  <c r="B9" i="13"/>
  <c r="J9" i="13"/>
  <c r="B10" i="13"/>
  <c r="J10" i="13"/>
  <c r="B11" i="13"/>
  <c r="J11" i="13"/>
  <c r="B12" i="13"/>
  <c r="J12" i="13"/>
  <c r="B13" i="13"/>
  <c r="J13" i="13"/>
  <c r="B14" i="13"/>
  <c r="J14" i="13"/>
  <c r="B17" i="13"/>
  <c r="J17" i="13"/>
  <c r="B18" i="13"/>
  <c r="J18" i="13"/>
  <c r="B20" i="13"/>
  <c r="J20" i="13"/>
  <c r="B21" i="13"/>
  <c r="J21" i="13"/>
  <c r="J22" i="13"/>
  <c r="B23" i="13"/>
  <c r="J23" i="13"/>
  <c r="B24" i="13"/>
  <c r="J24" i="13"/>
  <c r="B25" i="13"/>
  <c r="J25" i="13"/>
  <c r="B26" i="13"/>
  <c r="J26" i="13"/>
  <c r="B28" i="13"/>
  <c r="J28" i="13"/>
  <c r="B30" i="13"/>
  <c r="J30" i="13"/>
  <c r="B31" i="13"/>
  <c r="J31" i="13"/>
  <c r="B32" i="13"/>
  <c r="J32" i="13"/>
  <c r="B33" i="13"/>
  <c r="J33" i="13"/>
  <c r="S4" i="9"/>
  <c r="S6" i="13"/>
  <c r="U7" i="13"/>
  <c r="S10" i="13"/>
  <c r="U11" i="13"/>
  <c r="W12" i="13"/>
  <c r="U15" i="13"/>
  <c r="V17" i="13"/>
  <c r="R21" i="13"/>
  <c r="T22" i="13"/>
  <c r="V23" i="13"/>
  <c r="R25" i="13"/>
  <c r="T26" i="13"/>
  <c r="V28" i="13"/>
  <c r="V30" i="13"/>
  <c r="R32" i="13"/>
  <c r="T33" i="13"/>
  <c r="R21" i="10"/>
  <c r="T22" i="10"/>
  <c r="V23" i="10"/>
  <c r="R25" i="10"/>
  <c r="T26" i="10"/>
  <c r="V27" i="10"/>
  <c r="T33" i="10"/>
  <c r="R29" i="11"/>
  <c r="R30" i="14"/>
  <c r="T29" i="11"/>
  <c r="T31" i="14"/>
  <c r="V29" i="11"/>
  <c r="V32" i="14"/>
  <c r="F17" i="23"/>
  <c r="N17" i="23"/>
  <c r="G18" i="23"/>
  <c r="O18" i="23"/>
  <c r="H20" i="23"/>
  <c r="P20" i="23"/>
  <c r="I21" i="23"/>
  <c r="Q21" i="23"/>
  <c r="J22" i="23"/>
  <c r="C23" i="23"/>
  <c r="K23" i="23"/>
  <c r="D24" i="23"/>
  <c r="L24" i="23"/>
  <c r="E25" i="23"/>
  <c r="M25" i="23"/>
  <c r="F26" i="23"/>
  <c r="N26" i="23"/>
  <c r="G28" i="23"/>
  <c r="O28" i="23"/>
  <c r="H30" i="23"/>
  <c r="P30" i="23"/>
  <c r="I31" i="23"/>
  <c r="Q31" i="23"/>
  <c r="J32" i="23"/>
  <c r="C33" i="23"/>
  <c r="K33" i="23"/>
  <c r="F17" i="24"/>
  <c r="N17" i="24"/>
  <c r="G18" i="24"/>
  <c r="O18" i="24"/>
  <c r="H20" i="24"/>
  <c r="P20" i="24"/>
  <c r="I21" i="24"/>
  <c r="Q21" i="24"/>
  <c r="J22" i="24"/>
  <c r="C23" i="24"/>
  <c r="K23" i="24"/>
  <c r="D24" i="24"/>
  <c r="L24" i="24"/>
  <c r="E25" i="24"/>
  <c r="M25" i="24"/>
  <c r="F26" i="24"/>
  <c r="N26" i="24"/>
  <c r="G28" i="24"/>
  <c r="O28" i="24"/>
  <c r="H30" i="24"/>
  <c r="P30" i="24"/>
  <c r="I31" i="24"/>
  <c r="Q31" i="24"/>
  <c r="J32" i="24"/>
  <c r="C33" i="24"/>
  <c r="K33" i="24"/>
  <c r="B5" i="12"/>
  <c r="J5" i="12"/>
  <c r="B6" i="12"/>
  <c r="J6" i="12"/>
  <c r="B7" i="12"/>
  <c r="J7" i="12"/>
  <c r="B8" i="12"/>
  <c r="J8" i="12"/>
  <c r="B9" i="12"/>
  <c r="B10" i="12"/>
  <c r="J10" i="12"/>
  <c r="J11" i="12"/>
  <c r="B12" i="12"/>
  <c r="J12" i="12"/>
  <c r="B13" i="12"/>
  <c r="J13" i="12"/>
  <c r="B14" i="12"/>
  <c r="J14" i="12"/>
  <c r="B17" i="12"/>
  <c r="J17" i="12"/>
  <c r="B18" i="12"/>
  <c r="J18" i="12"/>
  <c r="B20" i="12"/>
  <c r="J20" i="12"/>
  <c r="B21" i="12"/>
  <c r="J21" i="12"/>
  <c r="B22" i="12"/>
  <c r="J22" i="12"/>
  <c r="B23" i="12"/>
  <c r="J23" i="12"/>
  <c r="B24" i="12"/>
  <c r="J24" i="12"/>
  <c r="B25" i="12"/>
  <c r="J25" i="12"/>
  <c r="B26" i="12"/>
  <c r="J26" i="12"/>
  <c r="B28" i="12"/>
  <c r="B30" i="12"/>
  <c r="J30" i="12"/>
  <c r="B31" i="12"/>
  <c r="J31" i="12"/>
  <c r="B32" i="12"/>
  <c r="J32" i="12"/>
  <c r="B33" i="12"/>
  <c r="J33" i="12"/>
  <c r="W4" i="12"/>
  <c r="S4" i="8"/>
  <c r="S6" i="12"/>
  <c r="U7" i="12"/>
  <c r="W8" i="12"/>
  <c r="S10" i="12"/>
  <c r="U11" i="12"/>
  <c r="W12" i="12"/>
  <c r="S14" i="12"/>
  <c r="U15" i="12"/>
  <c r="T16" i="8"/>
  <c r="T16" i="12" s="1"/>
  <c r="T17" i="12"/>
  <c r="V16" i="8"/>
  <c r="V16" i="12" s="1"/>
  <c r="V18" i="12"/>
  <c r="W19" i="8"/>
  <c r="W19" i="12" s="1"/>
  <c r="W20" i="12"/>
  <c r="S22" i="12"/>
  <c r="U23" i="12"/>
  <c r="W24" i="12"/>
  <c r="S26" i="12"/>
  <c r="U28" i="12"/>
  <c r="T29" i="8"/>
  <c r="T30" i="12"/>
  <c r="V31" i="12"/>
  <c r="R33" i="12"/>
  <c r="C5" i="13"/>
  <c r="K5" i="13"/>
  <c r="C6" i="13"/>
  <c r="K6" i="13"/>
  <c r="C7" i="13"/>
  <c r="K7" i="13"/>
  <c r="C8" i="13"/>
  <c r="K8" i="13"/>
  <c r="C9" i="13"/>
  <c r="K9" i="13"/>
  <c r="C10" i="13"/>
  <c r="K10" i="13"/>
  <c r="C11" i="13"/>
  <c r="K11" i="13"/>
  <c r="C12" i="13"/>
  <c r="K12" i="13"/>
  <c r="C13" i="13"/>
  <c r="K13" i="13"/>
  <c r="C14" i="13"/>
  <c r="K14" i="13"/>
  <c r="C17" i="13"/>
  <c r="K17" i="13"/>
  <c r="C18" i="13"/>
  <c r="K18" i="13"/>
  <c r="C20" i="13"/>
  <c r="K20" i="13"/>
  <c r="C21" i="13"/>
  <c r="K21" i="13"/>
  <c r="C22" i="13"/>
  <c r="K22" i="13"/>
  <c r="C23" i="13"/>
  <c r="C24" i="13"/>
  <c r="K24" i="13"/>
  <c r="C25" i="13"/>
  <c r="K25" i="13"/>
  <c r="C26" i="13"/>
  <c r="K26" i="13"/>
  <c r="C28" i="13"/>
  <c r="K28" i="13"/>
  <c r="C30" i="13"/>
  <c r="K30" i="13"/>
  <c r="C31" i="13"/>
  <c r="K31" i="13"/>
  <c r="C32" i="13"/>
  <c r="K32" i="13"/>
  <c r="C33" i="13"/>
  <c r="K33" i="13"/>
  <c r="R4" i="9"/>
  <c r="R5" i="13"/>
  <c r="T6" i="13"/>
  <c r="V7" i="13"/>
  <c r="R9" i="13"/>
  <c r="T10" i="13"/>
  <c r="V11" i="13"/>
  <c r="R13" i="13"/>
  <c r="T14" i="13"/>
  <c r="W17" i="13"/>
  <c r="S21" i="13"/>
  <c r="U22" i="13"/>
  <c r="W23" i="13"/>
  <c r="S25" i="13"/>
  <c r="U26" i="13"/>
  <c r="W27" i="13"/>
  <c r="W28" i="13"/>
  <c r="W30" i="13"/>
  <c r="S32" i="13"/>
  <c r="U33" i="13"/>
  <c r="U33" i="10"/>
  <c r="S17" i="10"/>
  <c r="U18" i="10"/>
  <c r="S21" i="10"/>
  <c r="U22" i="10"/>
  <c r="W23" i="10"/>
  <c r="S25" i="10"/>
  <c r="U26" i="10"/>
  <c r="W27" i="10"/>
  <c r="U31" i="10"/>
  <c r="W5" i="14"/>
  <c r="S7" i="14"/>
  <c r="U8" i="14"/>
  <c r="U19" i="11"/>
  <c r="U20" i="14"/>
  <c r="W19" i="11"/>
  <c r="W19" i="14" s="1"/>
  <c r="W21" i="14"/>
  <c r="S23" i="14"/>
  <c r="S19" i="11"/>
  <c r="S19" i="14" s="1"/>
  <c r="U24" i="14"/>
  <c r="S29" i="14"/>
  <c r="T29" i="7"/>
  <c r="V29" i="7"/>
  <c r="C5" i="12"/>
  <c r="K5" i="12"/>
  <c r="C6" i="12"/>
  <c r="K6" i="12"/>
  <c r="C7" i="12"/>
  <c r="K7" i="12"/>
  <c r="C8" i="12"/>
  <c r="K8" i="12"/>
  <c r="C9" i="12"/>
  <c r="K9" i="12"/>
  <c r="C11" i="12"/>
  <c r="K11" i="12"/>
  <c r="C12" i="12"/>
  <c r="K12" i="12"/>
  <c r="C13" i="12"/>
  <c r="K13" i="12"/>
  <c r="C14" i="12"/>
  <c r="K14" i="12"/>
  <c r="C17" i="12"/>
  <c r="K17" i="12"/>
  <c r="C18" i="12"/>
  <c r="K18" i="12"/>
  <c r="C20" i="12"/>
  <c r="K20" i="12"/>
  <c r="C21" i="12"/>
  <c r="K21" i="12"/>
  <c r="C22" i="12"/>
  <c r="K22" i="12"/>
  <c r="C23" i="12"/>
  <c r="K23" i="12"/>
  <c r="C24" i="12"/>
  <c r="K24" i="12"/>
  <c r="C25" i="12"/>
  <c r="K25" i="12"/>
  <c r="C26" i="12"/>
  <c r="K26" i="12"/>
  <c r="C28" i="12"/>
  <c r="K28" i="12"/>
  <c r="C30" i="12"/>
  <c r="K30" i="12"/>
  <c r="C31" i="12"/>
  <c r="K31" i="12"/>
  <c r="C32" i="12"/>
  <c r="K32" i="12"/>
  <c r="C33" i="12"/>
  <c r="K33" i="12"/>
  <c r="R4" i="8"/>
  <c r="R3" i="8" s="1"/>
  <c r="R5" i="12"/>
  <c r="T6" i="12"/>
  <c r="V7" i="12"/>
  <c r="R9" i="12"/>
  <c r="T10" i="12"/>
  <c r="V11" i="12"/>
  <c r="R13" i="12"/>
  <c r="T14" i="12"/>
  <c r="U16" i="8"/>
  <c r="U16" i="12" s="1"/>
  <c r="U17" i="12"/>
  <c r="W18" i="12"/>
  <c r="R21" i="12"/>
  <c r="T22" i="12"/>
  <c r="V23" i="12"/>
  <c r="R25" i="12"/>
  <c r="T26" i="12"/>
  <c r="V28" i="12"/>
  <c r="U29" i="8"/>
  <c r="U29" i="12" s="1"/>
  <c r="U30" i="12"/>
  <c r="S33" i="12"/>
  <c r="D5" i="13"/>
  <c r="L5" i="13"/>
  <c r="D6" i="13"/>
  <c r="L6" i="13"/>
  <c r="D7" i="13"/>
  <c r="L7" i="13"/>
  <c r="D8" i="13"/>
  <c r="D9" i="13"/>
  <c r="L9" i="13"/>
  <c r="D10" i="13"/>
  <c r="L10" i="13"/>
  <c r="D11" i="13"/>
  <c r="L11" i="13"/>
  <c r="D12" i="13"/>
  <c r="L12" i="13"/>
  <c r="D13" i="13"/>
  <c r="L13" i="13"/>
  <c r="D14" i="13"/>
  <c r="L14" i="13"/>
  <c r="D17" i="13"/>
  <c r="L17" i="13"/>
  <c r="D18" i="13"/>
  <c r="L18" i="13"/>
  <c r="D20" i="13"/>
  <c r="L20" i="13"/>
  <c r="D21" i="13"/>
  <c r="L21" i="13"/>
  <c r="D22" i="13"/>
  <c r="L22" i="13"/>
  <c r="D23" i="13"/>
  <c r="L23" i="13"/>
  <c r="D24" i="13"/>
  <c r="L24" i="13"/>
  <c r="D25" i="13"/>
  <c r="L25" i="13"/>
  <c r="D26" i="13"/>
  <c r="L26" i="13"/>
  <c r="D28" i="13"/>
  <c r="L28" i="13"/>
  <c r="D30" i="13"/>
  <c r="L30" i="13"/>
  <c r="D31" i="13"/>
  <c r="L31" i="13"/>
  <c r="L32" i="13"/>
  <c r="D33" i="13"/>
  <c r="L33" i="13"/>
  <c r="S5" i="13"/>
  <c r="U6" i="13"/>
  <c r="W7" i="13"/>
  <c r="S9" i="13"/>
  <c r="U10" i="13"/>
  <c r="W11" i="13"/>
  <c r="S13" i="13"/>
  <c r="U14" i="13"/>
  <c r="W15" i="13"/>
  <c r="R18" i="13"/>
  <c r="R19" i="9"/>
  <c r="R20" i="13"/>
  <c r="T19" i="9"/>
  <c r="T21" i="13"/>
  <c r="V22" i="13"/>
  <c r="R24" i="13"/>
  <c r="T25" i="13"/>
  <c r="V26" i="13"/>
  <c r="R31" i="13"/>
  <c r="T32" i="13"/>
  <c r="T32" i="10"/>
  <c r="V33" i="13"/>
  <c r="V33" i="10"/>
  <c r="T5" i="10"/>
  <c r="V6" i="10"/>
  <c r="R8" i="10"/>
  <c r="T9" i="10"/>
  <c r="V10" i="10"/>
  <c r="R12" i="10"/>
  <c r="T13" i="10"/>
  <c r="V14" i="10"/>
  <c r="T17" i="10"/>
  <c r="V18" i="10"/>
  <c r="R20" i="10"/>
  <c r="T21" i="10"/>
  <c r="V22" i="10"/>
  <c r="R24" i="10"/>
  <c r="T25" i="10"/>
  <c r="V26" i="10"/>
  <c r="T30" i="10"/>
  <c r="V31" i="10"/>
  <c r="R6" i="14"/>
  <c r="T7" i="14"/>
  <c r="V8" i="14"/>
  <c r="R10" i="14"/>
  <c r="R17" i="14"/>
  <c r="R16" i="11"/>
  <c r="R16" i="14" s="1"/>
  <c r="U16" i="14"/>
  <c r="T20" i="14"/>
  <c r="V21" i="14"/>
  <c r="R23" i="14"/>
  <c r="T24" i="14"/>
  <c r="S31" i="14"/>
  <c r="U32" i="14"/>
  <c r="J5" i="23"/>
  <c r="C6" i="23"/>
  <c r="K6" i="23"/>
  <c r="D7" i="23"/>
  <c r="L7" i="23"/>
  <c r="E8" i="23"/>
  <c r="M8" i="23"/>
  <c r="F9" i="23"/>
  <c r="N9" i="23"/>
  <c r="G10" i="23"/>
  <c r="O10" i="23"/>
  <c r="H11" i="23"/>
  <c r="P11" i="23"/>
  <c r="I12" i="23"/>
  <c r="Q12" i="23"/>
  <c r="J13" i="23"/>
  <c r="C14" i="23"/>
  <c r="K14" i="23"/>
  <c r="E17" i="23"/>
  <c r="M17" i="23"/>
  <c r="F18" i="23"/>
  <c r="N18" i="23"/>
  <c r="G20" i="23"/>
  <c r="O20" i="23"/>
  <c r="H21" i="23"/>
  <c r="P21" i="23"/>
  <c r="I22" i="23"/>
  <c r="Q22" i="23"/>
  <c r="J23" i="23"/>
  <c r="C24" i="23"/>
  <c r="K24" i="23"/>
  <c r="D25" i="23"/>
  <c r="L25" i="23"/>
  <c r="E26" i="23"/>
  <c r="M26" i="23"/>
  <c r="F28" i="23"/>
  <c r="N28" i="23"/>
  <c r="G30" i="23"/>
  <c r="O30" i="23"/>
  <c r="H31" i="23"/>
  <c r="P31" i="23"/>
  <c r="I32" i="23"/>
  <c r="Q32" i="23"/>
  <c r="J33" i="23"/>
  <c r="J5" i="24"/>
  <c r="C6" i="24"/>
  <c r="K6" i="24"/>
  <c r="D7" i="24"/>
  <c r="L7" i="24"/>
  <c r="E8" i="24"/>
  <c r="M8" i="24"/>
  <c r="F9" i="24"/>
  <c r="N9" i="24"/>
  <c r="G10" i="24"/>
  <c r="O10" i="24"/>
  <c r="H11" i="24"/>
  <c r="P11" i="24"/>
  <c r="I12" i="24"/>
  <c r="Q12" i="24"/>
  <c r="J13" i="24"/>
  <c r="C14" i="24"/>
  <c r="K14" i="24"/>
  <c r="E17" i="24"/>
  <c r="M17" i="24"/>
  <c r="F18" i="24"/>
  <c r="N18" i="24"/>
  <c r="G20" i="24"/>
  <c r="O20" i="24"/>
  <c r="H21" i="24"/>
  <c r="P21" i="24"/>
  <c r="I22" i="24"/>
  <c r="Q22" i="24"/>
  <c r="J23" i="24"/>
  <c r="C24" i="24"/>
  <c r="K24" i="24"/>
  <c r="D25" i="24"/>
  <c r="L25" i="24"/>
  <c r="E26" i="24"/>
  <c r="M26" i="24"/>
  <c r="F28" i="24"/>
  <c r="N28" i="24"/>
  <c r="G30" i="24"/>
  <c r="O30" i="24"/>
  <c r="H31" i="24"/>
  <c r="P31" i="24"/>
  <c r="I32" i="24"/>
  <c r="Q32" i="24"/>
  <c r="J33" i="24"/>
  <c r="R5" i="14"/>
  <c r="T6" i="14"/>
  <c r="V7" i="14"/>
  <c r="R9" i="14"/>
  <c r="T10" i="14"/>
  <c r="S17" i="14"/>
  <c r="V20" i="14"/>
  <c r="R22" i="14"/>
  <c r="T23" i="14"/>
  <c r="V24" i="14"/>
  <c r="S30" i="14"/>
  <c r="U31" i="14"/>
  <c r="W32" i="14"/>
  <c r="D5" i="23"/>
  <c r="L5" i="23"/>
  <c r="E6" i="23"/>
  <c r="M6" i="23"/>
  <c r="F7" i="23"/>
  <c r="N7" i="23"/>
  <c r="G8" i="23"/>
  <c r="O8" i="23"/>
  <c r="H9" i="23"/>
  <c r="P9" i="23"/>
  <c r="I10" i="23"/>
  <c r="Q10" i="23"/>
  <c r="J11" i="23"/>
  <c r="C12" i="23"/>
  <c r="K12" i="23"/>
  <c r="D13" i="23"/>
  <c r="L13" i="23"/>
  <c r="E14" i="23"/>
  <c r="M14" i="23"/>
  <c r="G17" i="23"/>
  <c r="O17" i="23"/>
  <c r="H18" i="23"/>
  <c r="P18" i="23"/>
  <c r="I20" i="23"/>
  <c r="Q20" i="23"/>
  <c r="J21" i="23"/>
  <c r="C22" i="23"/>
  <c r="K22" i="23"/>
  <c r="D23" i="23"/>
  <c r="L23" i="23"/>
  <c r="E24" i="23"/>
  <c r="M24" i="23"/>
  <c r="F25" i="23"/>
  <c r="N25" i="23"/>
  <c r="G26" i="23"/>
  <c r="O26" i="23"/>
  <c r="H28" i="23"/>
  <c r="P28" i="23"/>
  <c r="I30" i="23"/>
  <c r="Q30" i="23"/>
  <c r="J31" i="23"/>
  <c r="C32" i="23"/>
  <c r="K32" i="23"/>
  <c r="D33" i="23"/>
  <c r="L33" i="23"/>
  <c r="D5" i="24"/>
  <c r="L5" i="24"/>
  <c r="E6" i="24"/>
  <c r="M6" i="24"/>
  <c r="F7" i="24"/>
  <c r="N7" i="24"/>
  <c r="G8" i="24"/>
  <c r="O8" i="24"/>
  <c r="H9" i="24"/>
  <c r="P9" i="24"/>
  <c r="I10" i="24"/>
  <c r="Q10" i="24"/>
  <c r="J11" i="24"/>
  <c r="C12" i="24"/>
  <c r="K12" i="24"/>
  <c r="D13" i="24"/>
  <c r="L13" i="24"/>
  <c r="E14" i="24"/>
  <c r="M14" i="24"/>
  <c r="G17" i="24"/>
  <c r="O17" i="24"/>
  <c r="H18" i="24"/>
  <c r="P18" i="24"/>
  <c r="I20" i="24"/>
  <c r="Q20" i="24"/>
  <c r="J21" i="24"/>
  <c r="C22" i="24"/>
  <c r="K22" i="24"/>
  <c r="D23" i="24"/>
  <c r="L23" i="24"/>
  <c r="E24" i="24"/>
  <c r="M24" i="24"/>
  <c r="F25" i="24"/>
  <c r="N25" i="24"/>
  <c r="G26" i="24"/>
  <c r="O26" i="24"/>
  <c r="H28" i="24"/>
  <c r="P28" i="24"/>
  <c r="I30" i="24"/>
  <c r="Q30" i="24"/>
  <c r="J31" i="24"/>
  <c r="C32" i="24"/>
  <c r="K32" i="24"/>
  <c r="D33" i="24"/>
  <c r="L33" i="24"/>
  <c r="S5" i="14"/>
  <c r="U6" i="14"/>
  <c r="W7" i="14"/>
  <c r="S9" i="14"/>
  <c r="U10" i="14"/>
  <c r="T16" i="11"/>
  <c r="T16" i="14" s="1"/>
  <c r="T17" i="14"/>
  <c r="V16" i="11"/>
  <c r="V16" i="14" s="1"/>
  <c r="V18" i="14"/>
  <c r="V18" i="17" s="1"/>
  <c r="W20" i="14"/>
  <c r="S22" i="14"/>
  <c r="U23" i="14"/>
  <c r="W24" i="14"/>
  <c r="T30" i="14"/>
  <c r="V31" i="14"/>
  <c r="E5" i="23"/>
  <c r="M5" i="23"/>
  <c r="F6" i="23"/>
  <c r="G7" i="23"/>
  <c r="O7" i="23"/>
  <c r="H8" i="23"/>
  <c r="P8" i="23"/>
  <c r="I9" i="23"/>
  <c r="Q9" i="23"/>
  <c r="J10" i="23"/>
  <c r="C11" i="23"/>
  <c r="K11" i="23"/>
  <c r="D12" i="23"/>
  <c r="L12" i="23"/>
  <c r="E13" i="23"/>
  <c r="M13" i="23"/>
  <c r="F14" i="23"/>
  <c r="N14" i="23"/>
  <c r="H17" i="23"/>
  <c r="P17" i="23"/>
  <c r="I18" i="23"/>
  <c r="Q18" i="23"/>
  <c r="J20" i="23"/>
  <c r="C21" i="23"/>
  <c r="K21" i="23"/>
  <c r="D22" i="23"/>
  <c r="L22" i="23"/>
  <c r="E23" i="23"/>
  <c r="M23" i="23"/>
  <c r="F24" i="23"/>
  <c r="N24" i="23"/>
  <c r="G25" i="23"/>
  <c r="O25" i="23"/>
  <c r="H26" i="23"/>
  <c r="P26" i="23"/>
  <c r="I28" i="23"/>
  <c r="Q28" i="23"/>
  <c r="J30" i="23"/>
  <c r="C31" i="23"/>
  <c r="K31" i="23"/>
  <c r="D32" i="23"/>
  <c r="L32" i="23"/>
  <c r="E33" i="23"/>
  <c r="M33" i="23"/>
  <c r="E5" i="24"/>
  <c r="M5" i="24"/>
  <c r="F6" i="24"/>
  <c r="G7" i="24"/>
  <c r="O7" i="24"/>
  <c r="H8" i="24"/>
  <c r="P8" i="24"/>
  <c r="I9" i="24"/>
  <c r="Q9" i="24"/>
  <c r="J10" i="24"/>
  <c r="C11" i="24"/>
  <c r="K11" i="24"/>
  <c r="D12" i="24"/>
  <c r="L12" i="24"/>
  <c r="E13" i="24"/>
  <c r="M13" i="24"/>
  <c r="F14" i="24"/>
  <c r="N14" i="24"/>
  <c r="H17" i="24"/>
  <c r="P17" i="24"/>
  <c r="I18" i="24"/>
  <c r="Q18" i="24"/>
  <c r="J20" i="24"/>
  <c r="C21" i="24"/>
  <c r="K21" i="24"/>
  <c r="D22" i="24"/>
  <c r="L22" i="24"/>
  <c r="E23" i="24"/>
  <c r="M23" i="24"/>
  <c r="F24" i="24"/>
  <c r="N24" i="24"/>
  <c r="G25" i="24"/>
  <c r="O25" i="24"/>
  <c r="H26" i="24"/>
  <c r="P26" i="24"/>
  <c r="I28" i="24"/>
  <c r="Q28" i="24"/>
  <c r="J30" i="24"/>
  <c r="C31" i="24"/>
  <c r="K31" i="24"/>
  <c r="D32" i="24"/>
  <c r="L32" i="24"/>
  <c r="E33" i="24"/>
  <c r="M33" i="24"/>
  <c r="R20" i="14"/>
  <c r="T5" i="14"/>
  <c r="V6" i="14"/>
  <c r="R8" i="14"/>
  <c r="T9" i="14"/>
  <c r="V10" i="14"/>
  <c r="U17" i="14"/>
  <c r="R21" i="14"/>
  <c r="T22" i="14"/>
  <c r="V23" i="14"/>
  <c r="U29" i="11"/>
  <c r="U29" i="14" s="1"/>
  <c r="U30" i="14"/>
  <c r="W29" i="11"/>
  <c r="W29" i="14" s="1"/>
  <c r="W31" i="14"/>
  <c r="F5" i="23"/>
  <c r="N5" i="23"/>
  <c r="G6" i="23"/>
  <c r="O6" i="23"/>
  <c r="H7" i="23"/>
  <c r="P7" i="23"/>
  <c r="I8" i="23"/>
  <c r="Q8" i="23"/>
  <c r="J9" i="23"/>
  <c r="C10" i="23"/>
  <c r="K10" i="23"/>
  <c r="D11" i="23"/>
  <c r="L11" i="23"/>
  <c r="E12" i="23"/>
  <c r="M12" i="23"/>
  <c r="F13" i="23"/>
  <c r="N13" i="23"/>
  <c r="G14" i="23"/>
  <c r="O14" i="23"/>
  <c r="I17" i="23"/>
  <c r="Q17" i="23"/>
  <c r="J18" i="23"/>
  <c r="C20" i="23"/>
  <c r="K20" i="23"/>
  <c r="D21" i="23"/>
  <c r="L21" i="23"/>
  <c r="E22" i="23"/>
  <c r="M22" i="23"/>
  <c r="F23" i="23"/>
  <c r="N23" i="23"/>
  <c r="G24" i="23"/>
  <c r="O24" i="23"/>
  <c r="H25" i="23"/>
  <c r="P25" i="23"/>
  <c r="I26" i="23"/>
  <c r="Q26" i="23"/>
  <c r="J28" i="23"/>
  <c r="C30" i="23"/>
  <c r="K30" i="23"/>
  <c r="D31" i="23"/>
  <c r="L31" i="23"/>
  <c r="E32" i="23"/>
  <c r="M32" i="23"/>
  <c r="F33" i="23"/>
  <c r="N33" i="23"/>
  <c r="F5" i="24"/>
  <c r="N5" i="24"/>
  <c r="G6" i="24"/>
  <c r="O6" i="24"/>
  <c r="H7" i="24"/>
  <c r="P7" i="24"/>
  <c r="I8" i="24"/>
  <c r="Q8" i="24"/>
  <c r="J9" i="24"/>
  <c r="C10" i="24"/>
  <c r="K10" i="24"/>
  <c r="D11" i="24"/>
  <c r="L11" i="24"/>
  <c r="E12" i="24"/>
  <c r="M12" i="24"/>
  <c r="F13" i="24"/>
  <c r="N13" i="24"/>
  <c r="G14" i="24"/>
  <c r="O14" i="24"/>
  <c r="I17" i="24"/>
  <c r="Q17" i="24"/>
  <c r="J18" i="24"/>
  <c r="C20" i="24"/>
  <c r="K20" i="24"/>
  <c r="D21" i="24"/>
  <c r="L21" i="24"/>
  <c r="E22" i="24"/>
  <c r="M22" i="24"/>
  <c r="F23" i="24"/>
  <c r="N23" i="24"/>
  <c r="G24" i="24"/>
  <c r="O24" i="24"/>
  <c r="H25" i="24"/>
  <c r="P25" i="24"/>
  <c r="I26" i="24"/>
  <c r="Q26" i="24"/>
  <c r="J28" i="24"/>
  <c r="C30" i="24"/>
  <c r="K30" i="24"/>
  <c r="D31" i="24"/>
  <c r="L31" i="24"/>
  <c r="E32" i="24"/>
  <c r="M32" i="24"/>
  <c r="F33" i="24"/>
  <c r="N33" i="24"/>
  <c r="U5" i="14"/>
  <c r="W6" i="14"/>
  <c r="S8" i="14"/>
  <c r="U9" i="14"/>
  <c r="W10" i="14"/>
  <c r="V17" i="14"/>
  <c r="S21" i="14"/>
  <c r="U22" i="14"/>
  <c r="W23" i="14"/>
  <c r="V30" i="14"/>
  <c r="R32" i="14"/>
  <c r="G5" i="23"/>
  <c r="O5" i="23"/>
  <c r="H6" i="23"/>
  <c r="P6" i="23"/>
  <c r="I7" i="23"/>
  <c r="Q7" i="23"/>
  <c r="J8" i="23"/>
  <c r="C9" i="23"/>
  <c r="K9" i="23"/>
  <c r="D10" i="23"/>
  <c r="L10" i="23"/>
  <c r="E11" i="23"/>
  <c r="M11" i="23"/>
  <c r="F12" i="23"/>
  <c r="N12" i="23"/>
  <c r="G13" i="23"/>
  <c r="O13" i="23"/>
  <c r="H14" i="23"/>
  <c r="P14" i="23"/>
  <c r="J17" i="23"/>
  <c r="C18" i="23"/>
  <c r="K18" i="23"/>
  <c r="D20" i="23"/>
  <c r="L20" i="23"/>
  <c r="E21" i="23"/>
  <c r="M21" i="23"/>
  <c r="F22" i="23"/>
  <c r="N22" i="23"/>
  <c r="G23" i="23"/>
  <c r="O23" i="23"/>
  <c r="H24" i="23"/>
  <c r="P24" i="23"/>
  <c r="I25" i="23"/>
  <c r="Q25" i="23"/>
  <c r="J26" i="23"/>
  <c r="C28" i="23"/>
  <c r="K28" i="23"/>
  <c r="D30" i="23"/>
  <c r="L30" i="23"/>
  <c r="E31" i="23"/>
  <c r="M31" i="23"/>
  <c r="F32" i="23"/>
  <c r="N32" i="23"/>
  <c r="G33" i="23"/>
  <c r="O33" i="23"/>
  <c r="G5" i="24"/>
  <c r="O5" i="24"/>
  <c r="H6" i="24"/>
  <c r="P6" i="24"/>
  <c r="I7" i="24"/>
  <c r="Q7" i="24"/>
  <c r="J8" i="24"/>
  <c r="C9" i="24"/>
  <c r="K9" i="24"/>
  <c r="D10" i="24"/>
  <c r="L10" i="24"/>
  <c r="E11" i="24"/>
  <c r="M11" i="24"/>
  <c r="F12" i="24"/>
  <c r="N12" i="24"/>
  <c r="G13" i="24"/>
  <c r="O13" i="24"/>
  <c r="H14" i="24"/>
  <c r="P14" i="24"/>
  <c r="J17" i="24"/>
  <c r="C18" i="24"/>
  <c r="K18" i="24"/>
  <c r="D20" i="24"/>
  <c r="L20" i="24"/>
  <c r="E21" i="24"/>
  <c r="M21" i="24"/>
  <c r="F22" i="24"/>
  <c r="N22" i="24"/>
  <c r="G23" i="24"/>
  <c r="O23" i="24"/>
  <c r="H24" i="24"/>
  <c r="P24" i="24"/>
  <c r="I25" i="24"/>
  <c r="Q25" i="24"/>
  <c r="J26" i="24"/>
  <c r="C28" i="24"/>
  <c r="K28" i="24"/>
  <c r="D30" i="24"/>
  <c r="L30" i="24"/>
  <c r="E31" i="24"/>
  <c r="M31" i="24"/>
  <c r="F32" i="24"/>
  <c r="N32" i="24"/>
  <c r="G33" i="24"/>
  <c r="O33" i="24"/>
  <c r="V4" i="11"/>
  <c r="V4" i="14" s="1"/>
  <c r="V5" i="14"/>
  <c r="R4" i="11"/>
  <c r="R7" i="14"/>
  <c r="T8" i="14"/>
  <c r="V9" i="14"/>
  <c r="W16" i="11"/>
  <c r="W17" i="14"/>
  <c r="T19" i="11"/>
  <c r="V19" i="11"/>
  <c r="V22" i="14"/>
  <c r="R24" i="14"/>
  <c r="W30" i="14"/>
  <c r="S32" i="14"/>
  <c r="H5" i="23"/>
  <c r="P5" i="23"/>
  <c r="I6" i="23"/>
  <c r="Q6" i="23"/>
  <c r="J7" i="23"/>
  <c r="C8" i="23"/>
  <c r="K8" i="23"/>
  <c r="D9" i="23"/>
  <c r="L9" i="23"/>
  <c r="E10" i="23"/>
  <c r="M10" i="23"/>
  <c r="F11" i="23"/>
  <c r="N11" i="23"/>
  <c r="G12" i="23"/>
  <c r="O12" i="23"/>
  <c r="H13" i="23"/>
  <c r="P13" i="23"/>
  <c r="I14" i="23"/>
  <c r="Q14" i="23"/>
  <c r="C17" i="23"/>
  <c r="K17" i="23"/>
  <c r="D18" i="23"/>
  <c r="L18" i="23"/>
  <c r="E20" i="23"/>
  <c r="M20" i="23"/>
  <c r="F21" i="23"/>
  <c r="N21" i="23"/>
  <c r="G22" i="23"/>
  <c r="O22" i="23"/>
  <c r="H23" i="23"/>
  <c r="P23" i="23"/>
  <c r="I24" i="23"/>
  <c r="Q24" i="23"/>
  <c r="J25" i="23"/>
  <c r="C26" i="23"/>
  <c r="K26" i="23"/>
  <c r="D28" i="23"/>
  <c r="L28" i="23"/>
  <c r="E30" i="23"/>
  <c r="M30" i="23"/>
  <c r="F31" i="23"/>
  <c r="N31" i="23"/>
  <c r="G32" i="23"/>
  <c r="O32" i="23"/>
  <c r="H33" i="23"/>
  <c r="P33" i="23"/>
  <c r="H5" i="24"/>
  <c r="P5" i="24"/>
  <c r="I6" i="24"/>
  <c r="Q6" i="24"/>
  <c r="J7" i="24"/>
  <c r="C8" i="24"/>
  <c r="K8" i="24"/>
  <c r="D9" i="24"/>
  <c r="L9" i="24"/>
  <c r="E10" i="24"/>
  <c r="M10" i="24"/>
  <c r="F11" i="24"/>
  <c r="N11" i="24"/>
  <c r="G12" i="24"/>
  <c r="O12" i="24"/>
  <c r="H13" i="24"/>
  <c r="P13" i="24"/>
  <c r="I14" i="24"/>
  <c r="Q14" i="24"/>
  <c r="C17" i="24"/>
  <c r="K17" i="24"/>
  <c r="D18" i="24"/>
  <c r="L18" i="24"/>
  <c r="E20" i="24"/>
  <c r="M20" i="24"/>
  <c r="F21" i="24"/>
  <c r="N21" i="24"/>
  <c r="G22" i="24"/>
  <c r="O22" i="24"/>
  <c r="H23" i="24"/>
  <c r="P23" i="24"/>
  <c r="I24" i="24"/>
  <c r="Q24" i="24"/>
  <c r="J25" i="24"/>
  <c r="C26" i="24"/>
  <c r="K26" i="24"/>
  <c r="D28" i="24"/>
  <c r="L28" i="24"/>
  <c r="E30" i="24"/>
  <c r="M30" i="24"/>
  <c r="F31" i="24"/>
  <c r="N31" i="24"/>
  <c r="G32" i="24"/>
  <c r="O32" i="24"/>
  <c r="H33" i="24"/>
  <c r="P33" i="24"/>
  <c r="T4" i="11"/>
  <c r="S16" i="14"/>
  <c r="S20" i="14"/>
  <c r="U21" i="14"/>
  <c r="W22" i="14"/>
  <c r="S24" i="14"/>
  <c r="R31" i="14"/>
  <c r="T32" i="14"/>
  <c r="I5" i="23"/>
  <c r="Q5" i="23"/>
  <c r="J6" i="23"/>
  <c r="C7" i="23"/>
  <c r="K7" i="23"/>
  <c r="D8" i="23"/>
  <c r="L8" i="23"/>
  <c r="E9" i="23"/>
  <c r="M9" i="23"/>
  <c r="F10" i="23"/>
  <c r="N10" i="23"/>
  <c r="G11" i="23"/>
  <c r="O11" i="23"/>
  <c r="H12" i="23"/>
  <c r="P12" i="23"/>
  <c r="I13" i="23"/>
  <c r="Q13" i="23"/>
  <c r="J14" i="23"/>
  <c r="D17" i="23"/>
  <c r="L17" i="23"/>
  <c r="E18" i="23"/>
  <c r="M18" i="23"/>
  <c r="F20" i="23"/>
  <c r="N20" i="23"/>
  <c r="G21" i="23"/>
  <c r="O21" i="23"/>
  <c r="H22" i="23"/>
  <c r="P22" i="23"/>
  <c r="I23" i="23"/>
  <c r="Q23" i="23"/>
  <c r="J24" i="23"/>
  <c r="C25" i="23"/>
  <c r="K25" i="23"/>
  <c r="D26" i="23"/>
  <c r="L26" i="23"/>
  <c r="E28" i="23"/>
  <c r="M28" i="23"/>
  <c r="F30" i="23"/>
  <c r="N30" i="23"/>
  <c r="G31" i="23"/>
  <c r="O31" i="23"/>
  <c r="H32" i="23"/>
  <c r="P32" i="23"/>
  <c r="I33" i="23"/>
  <c r="Q33" i="23"/>
  <c r="I5" i="24"/>
  <c r="Q5" i="24"/>
  <c r="J6" i="24"/>
  <c r="C7" i="24"/>
  <c r="K7" i="24"/>
  <c r="D8" i="24"/>
  <c r="L8" i="24"/>
  <c r="E9" i="24"/>
  <c r="M9" i="24"/>
  <c r="F10" i="24"/>
  <c r="N10" i="24"/>
  <c r="G11" i="24"/>
  <c r="O11" i="24"/>
  <c r="H12" i="24"/>
  <c r="P12" i="24"/>
  <c r="I13" i="24"/>
  <c r="Q13" i="24"/>
  <c r="J14" i="24"/>
  <c r="D17" i="24"/>
  <c r="L17" i="24"/>
  <c r="E18" i="24"/>
  <c r="M18" i="24"/>
  <c r="F20" i="24"/>
  <c r="N20" i="24"/>
  <c r="G21" i="24"/>
  <c r="O21" i="24"/>
  <c r="H22" i="24"/>
  <c r="P22" i="24"/>
  <c r="I23" i="24"/>
  <c r="Q23" i="24"/>
  <c r="J24" i="24"/>
  <c r="C25" i="24"/>
  <c r="K25" i="24"/>
  <c r="D26" i="24"/>
  <c r="L26" i="24"/>
  <c r="E28" i="24"/>
  <c r="M28" i="24"/>
  <c r="F30" i="24"/>
  <c r="N30" i="24"/>
  <c r="G31" i="24"/>
  <c r="O31" i="24"/>
  <c r="H32" i="24"/>
  <c r="P32" i="24"/>
  <c r="I33" i="24"/>
  <c r="Q33" i="24"/>
  <c r="S21" i="25"/>
  <c r="S19" i="22"/>
  <c r="S19" i="25" s="1"/>
  <c r="V31" i="23"/>
  <c r="V29" i="19"/>
  <c r="T5" i="24"/>
  <c r="T5" i="21"/>
  <c r="V6" i="24"/>
  <c r="V6" i="21"/>
  <c r="R8" i="24"/>
  <c r="R8" i="21"/>
  <c r="T9" i="24"/>
  <c r="T9" i="21"/>
  <c r="V10" i="24"/>
  <c r="V10" i="21"/>
  <c r="R12" i="24"/>
  <c r="R12" i="21"/>
  <c r="T13" i="24"/>
  <c r="T13" i="21"/>
  <c r="V14" i="24"/>
  <c r="V14" i="21"/>
  <c r="W16" i="24"/>
  <c r="S18" i="24"/>
  <c r="S18" i="21"/>
  <c r="T19" i="20"/>
  <c r="T20" i="24"/>
  <c r="T20" i="21"/>
  <c r="V21" i="24"/>
  <c r="V21" i="21"/>
  <c r="R23" i="24"/>
  <c r="R23" i="21"/>
  <c r="T24" i="24"/>
  <c r="T24" i="21"/>
  <c r="V25" i="24"/>
  <c r="V25" i="21"/>
  <c r="R28" i="24"/>
  <c r="R27" i="24"/>
  <c r="R27" i="21"/>
  <c r="T30" i="24"/>
  <c r="T30" i="21"/>
  <c r="V31" i="24"/>
  <c r="V31" i="21"/>
  <c r="R33" i="24"/>
  <c r="R33" i="21"/>
  <c r="R26" i="21"/>
  <c r="S4" i="22"/>
  <c r="U29" i="22"/>
  <c r="U29" i="25" s="1"/>
  <c r="U30" i="25"/>
  <c r="U4" i="22"/>
  <c r="U4" i="25" s="1"/>
  <c r="U5" i="25"/>
  <c r="W6" i="25"/>
  <c r="W4" i="22"/>
  <c r="W16" i="22"/>
  <c r="W16" i="25" s="1"/>
  <c r="W17" i="25"/>
  <c r="V19" i="19"/>
  <c r="V19" i="23" s="1"/>
  <c r="V20" i="23"/>
  <c r="R19" i="19"/>
  <c r="R19" i="23" s="1"/>
  <c r="R22" i="23"/>
  <c r="T23" i="23"/>
  <c r="T19" i="19"/>
  <c r="T19" i="23" s="1"/>
  <c r="T27" i="23"/>
  <c r="T28" i="23"/>
  <c r="S17" i="23"/>
  <c r="S16" i="19"/>
  <c r="S16" i="23" s="1"/>
  <c r="R10" i="21"/>
  <c r="V20" i="21"/>
  <c r="T11" i="21"/>
  <c r="R22" i="21"/>
  <c r="R4" i="19"/>
  <c r="R6" i="23"/>
  <c r="T4" i="19"/>
  <c r="T7" i="23"/>
  <c r="V8" i="23"/>
  <c r="V4" i="19"/>
  <c r="V4" i="23" s="1"/>
  <c r="V12" i="21"/>
  <c r="T23" i="21"/>
  <c r="R14" i="21"/>
  <c r="V24" i="21"/>
  <c r="U15" i="18"/>
  <c r="U15" i="23" s="1"/>
  <c r="W5" i="23"/>
  <c r="S7" i="23"/>
  <c r="U8" i="23"/>
  <c r="W9" i="23"/>
  <c r="S11" i="23"/>
  <c r="U12" i="23"/>
  <c r="W13" i="23"/>
  <c r="U20" i="23"/>
  <c r="W21" i="23"/>
  <c r="S23" i="23"/>
  <c r="U24" i="23"/>
  <c r="W25" i="23"/>
  <c r="S27" i="23"/>
  <c r="S28" i="23"/>
  <c r="S30" i="23"/>
  <c r="U31" i="23"/>
  <c r="W32" i="23"/>
  <c r="S4" i="20"/>
  <c r="S5" i="24"/>
  <c r="U4" i="20"/>
  <c r="U6" i="24"/>
  <c r="W4" i="20"/>
  <c r="W7" i="24"/>
  <c r="S9" i="24"/>
  <c r="W11" i="24"/>
  <c r="S13" i="24"/>
  <c r="U14" i="24"/>
  <c r="R18" i="24"/>
  <c r="S20" i="24"/>
  <c r="S20" i="27" s="1"/>
  <c r="U21" i="24"/>
  <c r="W22" i="24"/>
  <c r="S24" i="24"/>
  <c r="U25" i="24"/>
  <c r="W26" i="24"/>
  <c r="S29" i="20"/>
  <c r="S30" i="24"/>
  <c r="U31" i="24"/>
  <c r="W29" i="20"/>
  <c r="W32" i="24"/>
  <c r="T5" i="25"/>
  <c r="V6" i="25"/>
  <c r="R8" i="25"/>
  <c r="T9" i="25"/>
  <c r="V10" i="25"/>
  <c r="V16" i="22"/>
  <c r="V16" i="25" s="1"/>
  <c r="V17" i="25"/>
  <c r="R21" i="25"/>
  <c r="T22" i="25"/>
  <c r="V23" i="25"/>
  <c r="V31" i="25"/>
  <c r="S15" i="18"/>
  <c r="S15" i="23" s="1"/>
  <c r="S6" i="23"/>
  <c r="U7" i="23"/>
  <c r="W8" i="23"/>
  <c r="S10" i="23"/>
  <c r="U11" i="23"/>
  <c r="W12" i="23"/>
  <c r="S14" i="23"/>
  <c r="T17" i="23"/>
  <c r="V18" i="23"/>
  <c r="W19" i="19"/>
  <c r="W20" i="23"/>
  <c r="S22" i="23"/>
  <c r="U23" i="23"/>
  <c r="W24" i="23"/>
  <c r="S26" i="23"/>
  <c r="U28" i="23"/>
  <c r="U29" i="19"/>
  <c r="U29" i="23" s="1"/>
  <c r="U30" i="23"/>
  <c r="W29" i="19"/>
  <c r="W29" i="23" s="1"/>
  <c r="W31" i="23"/>
  <c r="S33" i="23"/>
  <c r="U5" i="24"/>
  <c r="W6" i="24"/>
  <c r="S8" i="24"/>
  <c r="U9" i="24"/>
  <c r="W10" i="24"/>
  <c r="S12" i="24"/>
  <c r="U13" i="24"/>
  <c r="W14" i="24"/>
  <c r="R16" i="20"/>
  <c r="R17" i="24"/>
  <c r="T16" i="20"/>
  <c r="T18" i="24"/>
  <c r="U20" i="24"/>
  <c r="W21" i="24"/>
  <c r="S23" i="24"/>
  <c r="U24" i="24"/>
  <c r="W25" i="24"/>
  <c r="S28" i="24"/>
  <c r="S27" i="24"/>
  <c r="U29" i="20"/>
  <c r="U30" i="24"/>
  <c r="W31" i="24"/>
  <c r="S33" i="24"/>
  <c r="V4" i="22"/>
  <c r="V4" i="25" s="1"/>
  <c r="V5" i="25"/>
  <c r="R4" i="22"/>
  <c r="R7" i="25"/>
  <c r="T8" i="25"/>
  <c r="V9" i="25"/>
  <c r="R16" i="25"/>
  <c r="R19" i="22"/>
  <c r="R19" i="25" s="1"/>
  <c r="R20" i="25"/>
  <c r="T21" i="25"/>
  <c r="V19" i="22"/>
  <c r="V19" i="25" s="1"/>
  <c r="V22" i="25"/>
  <c r="R24" i="25"/>
  <c r="V30" i="25"/>
  <c r="V13" i="24"/>
  <c r="U19" i="18"/>
  <c r="U27" i="23" s="1"/>
  <c r="U16" i="19"/>
  <c r="U16" i="23" s="1"/>
  <c r="U17" i="23"/>
  <c r="W16" i="19"/>
  <c r="W16" i="23" s="1"/>
  <c r="W18" i="23"/>
  <c r="R21" i="23"/>
  <c r="T22" i="23"/>
  <c r="V23" i="23"/>
  <c r="R25" i="23"/>
  <c r="T26" i="23"/>
  <c r="V27" i="23"/>
  <c r="V28" i="23"/>
  <c r="V30" i="23"/>
  <c r="R32" i="23"/>
  <c r="T33" i="23"/>
  <c r="V4" i="20"/>
  <c r="V5" i="24"/>
  <c r="R7" i="24"/>
  <c r="T8" i="24"/>
  <c r="V9" i="24"/>
  <c r="R11" i="24"/>
  <c r="T12" i="24"/>
  <c r="S16" i="20"/>
  <c r="S17" i="24"/>
  <c r="U16" i="20"/>
  <c r="U18" i="24"/>
  <c r="V20" i="24"/>
  <c r="R22" i="24"/>
  <c r="T23" i="24"/>
  <c r="V24" i="24"/>
  <c r="R26" i="24"/>
  <c r="T27" i="24"/>
  <c r="T28" i="24"/>
  <c r="V29" i="20"/>
  <c r="V30" i="24"/>
  <c r="R32" i="24"/>
  <c r="T33" i="24"/>
  <c r="R17" i="21"/>
  <c r="T18" i="21"/>
  <c r="W5" i="25"/>
  <c r="S7" i="25"/>
  <c r="U8" i="25"/>
  <c r="W9" i="25"/>
  <c r="U16" i="25"/>
  <c r="S20" i="25"/>
  <c r="S20" i="28" s="1"/>
  <c r="U21" i="25"/>
  <c r="W22" i="25"/>
  <c r="S24" i="25"/>
  <c r="W30" i="25"/>
  <c r="S32" i="25"/>
  <c r="S5" i="23"/>
  <c r="U6" i="23"/>
  <c r="W7" i="23"/>
  <c r="S9" i="23"/>
  <c r="U10" i="23"/>
  <c r="W11" i="23"/>
  <c r="S13" i="23"/>
  <c r="U14" i="23"/>
  <c r="V17" i="23"/>
  <c r="S21" i="23"/>
  <c r="U22" i="23"/>
  <c r="W23" i="23"/>
  <c r="S25" i="23"/>
  <c r="U26" i="23"/>
  <c r="W28" i="23"/>
  <c r="W30" i="23"/>
  <c r="S32" i="23"/>
  <c r="U33" i="23"/>
  <c r="W5" i="24"/>
  <c r="S7" i="24"/>
  <c r="U8" i="24"/>
  <c r="W9" i="24"/>
  <c r="S11" i="24"/>
  <c r="U12" i="24"/>
  <c r="W13" i="24"/>
  <c r="T17" i="24"/>
  <c r="V18" i="24"/>
  <c r="W20" i="24"/>
  <c r="S22" i="24"/>
  <c r="U23" i="24"/>
  <c r="W24" i="24"/>
  <c r="S26" i="24"/>
  <c r="U28" i="24"/>
  <c r="W30" i="24"/>
  <c r="S32" i="24"/>
  <c r="U33" i="24"/>
  <c r="S5" i="21"/>
  <c r="U6" i="21"/>
  <c r="W7" i="21"/>
  <c r="S9" i="21"/>
  <c r="W11" i="21"/>
  <c r="S13" i="21"/>
  <c r="U14" i="21"/>
  <c r="W15" i="21"/>
  <c r="S17" i="21"/>
  <c r="U18" i="21"/>
  <c r="S30" i="21"/>
  <c r="U31" i="21"/>
  <c r="W32" i="21"/>
  <c r="R6" i="25"/>
  <c r="T7" i="25"/>
  <c r="V8" i="25"/>
  <c r="R10" i="25"/>
  <c r="R17" i="25"/>
  <c r="T19" i="22"/>
  <c r="T19" i="25" s="1"/>
  <c r="T20" i="25"/>
  <c r="V21" i="25"/>
  <c r="R23" i="25"/>
  <c r="T24" i="25"/>
  <c r="R31" i="25"/>
  <c r="R15" i="18"/>
  <c r="R15" i="23" s="1"/>
  <c r="T4" i="18"/>
  <c r="T3" i="18" s="1"/>
  <c r="V15" i="18"/>
  <c r="V15" i="23" s="1"/>
  <c r="W19" i="18"/>
  <c r="W19" i="25" s="1"/>
  <c r="V29" i="18"/>
  <c r="T5" i="23"/>
  <c r="V6" i="23"/>
  <c r="R8" i="23"/>
  <c r="T9" i="23"/>
  <c r="V10" i="23"/>
  <c r="R12" i="23"/>
  <c r="T13" i="23"/>
  <c r="V14" i="23"/>
  <c r="W17" i="23"/>
  <c r="R20" i="23"/>
  <c r="T21" i="23"/>
  <c r="V22" i="23"/>
  <c r="R24" i="23"/>
  <c r="T25" i="23"/>
  <c r="V26" i="23"/>
  <c r="S29" i="19"/>
  <c r="R29" i="19"/>
  <c r="R29" i="23" s="1"/>
  <c r="R31" i="23"/>
  <c r="T29" i="19"/>
  <c r="T29" i="23" s="1"/>
  <c r="T32" i="23"/>
  <c r="V33" i="23"/>
  <c r="R6" i="24"/>
  <c r="V8" i="24"/>
  <c r="R10" i="24"/>
  <c r="T11" i="24"/>
  <c r="V12" i="24"/>
  <c r="R14" i="24"/>
  <c r="U17" i="24"/>
  <c r="W18" i="24"/>
  <c r="R19" i="20"/>
  <c r="R21" i="24"/>
  <c r="T22" i="24"/>
  <c r="V19" i="20"/>
  <c r="V23" i="24"/>
  <c r="R25" i="24"/>
  <c r="T26" i="24"/>
  <c r="V28" i="24"/>
  <c r="V27" i="24"/>
  <c r="R31" i="24"/>
  <c r="T32" i="24"/>
  <c r="V33" i="24"/>
  <c r="T17" i="21"/>
  <c r="V18" i="21"/>
  <c r="S6" i="25"/>
  <c r="U7" i="25"/>
  <c r="W8" i="25"/>
  <c r="S10" i="25"/>
  <c r="S16" i="22"/>
  <c r="S16" i="25" s="1"/>
  <c r="S17" i="25"/>
  <c r="U19" i="22"/>
  <c r="U19" i="25" s="1"/>
  <c r="U20" i="25"/>
  <c r="W21" i="25"/>
  <c r="S23" i="25"/>
  <c r="U24" i="25"/>
  <c r="W29" i="22"/>
  <c r="W29" i="25" s="1"/>
  <c r="S31" i="25"/>
  <c r="S29" i="18"/>
  <c r="S29" i="25" s="1"/>
  <c r="U4" i="19"/>
  <c r="U5" i="23"/>
  <c r="W4" i="19"/>
  <c r="W6" i="23"/>
  <c r="S8" i="23"/>
  <c r="U9" i="23"/>
  <c r="W10" i="23"/>
  <c r="S12" i="23"/>
  <c r="U13" i="23"/>
  <c r="W14" i="23"/>
  <c r="T16" i="23"/>
  <c r="R16" i="19"/>
  <c r="R16" i="23" s="1"/>
  <c r="R18" i="23"/>
  <c r="S19" i="19"/>
  <c r="S19" i="23" s="1"/>
  <c r="S20" i="23"/>
  <c r="S20" i="26" s="1"/>
  <c r="U19" i="19"/>
  <c r="U19" i="23" s="1"/>
  <c r="U21" i="23"/>
  <c r="W22" i="23"/>
  <c r="S24" i="23"/>
  <c r="U25" i="23"/>
  <c r="W26" i="23"/>
  <c r="S31" i="23"/>
  <c r="U32" i="23"/>
  <c r="W33" i="23"/>
  <c r="S6" i="24"/>
  <c r="U7" i="24"/>
  <c r="W8" i="24"/>
  <c r="S10" i="24"/>
  <c r="U11" i="24"/>
  <c r="W12" i="24"/>
  <c r="S14" i="24"/>
  <c r="U15" i="24"/>
  <c r="V16" i="20"/>
  <c r="V17" i="24"/>
  <c r="S19" i="20"/>
  <c r="S21" i="24"/>
  <c r="U19" i="20"/>
  <c r="U22" i="24"/>
  <c r="W23" i="24"/>
  <c r="S25" i="24"/>
  <c r="U26" i="24"/>
  <c r="W28" i="24"/>
  <c r="S31" i="24"/>
  <c r="U32" i="24"/>
  <c r="W33" i="24"/>
  <c r="U5" i="21"/>
  <c r="W6" i="21"/>
  <c r="S8" i="21"/>
  <c r="U9" i="21"/>
  <c r="W10" i="21"/>
  <c r="S12" i="21"/>
  <c r="U13" i="21"/>
  <c r="W14" i="21"/>
  <c r="U17" i="21"/>
  <c r="W18" i="21"/>
  <c r="S20" i="21"/>
  <c r="U21" i="21"/>
  <c r="W22" i="21"/>
  <c r="S24" i="21"/>
  <c r="U25" i="21"/>
  <c r="W26" i="21"/>
  <c r="U30" i="21"/>
  <c r="W31" i="21"/>
  <c r="S33" i="21"/>
  <c r="R5" i="25"/>
  <c r="T6" i="25"/>
  <c r="V7" i="25"/>
  <c r="R9" i="25"/>
  <c r="T10" i="25"/>
  <c r="T16" i="22"/>
  <c r="T16" i="25" s="1"/>
  <c r="T17" i="25"/>
  <c r="V20" i="25"/>
  <c r="R22" i="25"/>
  <c r="T23" i="25"/>
  <c r="V24" i="25"/>
  <c r="R29" i="22"/>
  <c r="R29" i="25" s="1"/>
  <c r="R30" i="25"/>
  <c r="T15" i="18"/>
  <c r="T15" i="23" s="1"/>
  <c r="V5" i="23"/>
  <c r="R7" i="23"/>
  <c r="T8" i="23"/>
  <c r="V9" i="23"/>
  <c r="R11" i="23"/>
  <c r="T12" i="23"/>
  <c r="V13" i="23"/>
  <c r="V16" i="19"/>
  <c r="V16" i="23" s="1"/>
  <c r="S18" i="23"/>
  <c r="T20" i="23"/>
  <c r="R23" i="23"/>
  <c r="T24" i="23"/>
  <c r="V25" i="23"/>
  <c r="R27" i="23"/>
  <c r="R28" i="23"/>
  <c r="R30" i="23"/>
  <c r="T31" i="23"/>
  <c r="V32" i="23"/>
  <c r="R4" i="20"/>
  <c r="R5" i="24"/>
  <c r="T4" i="20"/>
  <c r="T6" i="24"/>
  <c r="V7" i="24"/>
  <c r="R9" i="24"/>
  <c r="T10" i="24"/>
  <c r="V11" i="24"/>
  <c r="R13" i="24"/>
  <c r="T14" i="24"/>
  <c r="W17" i="24"/>
  <c r="R20" i="24"/>
  <c r="T21" i="24"/>
  <c r="V22" i="24"/>
  <c r="R24" i="24"/>
  <c r="T25" i="24"/>
  <c r="V26" i="24"/>
  <c r="R29" i="20"/>
  <c r="R30" i="24"/>
  <c r="T29" i="20"/>
  <c r="T31" i="24"/>
  <c r="V32" i="24"/>
  <c r="V5" i="21"/>
  <c r="R7" i="21"/>
  <c r="T8" i="21"/>
  <c r="V9" i="21"/>
  <c r="R11" i="21"/>
  <c r="T12" i="21"/>
  <c r="R15" i="21"/>
  <c r="V17" i="21"/>
  <c r="V30" i="21"/>
  <c r="R32" i="21"/>
  <c r="T33" i="21"/>
  <c r="S5" i="25"/>
  <c r="U6" i="25"/>
  <c r="W7" i="25"/>
  <c r="S9" i="25"/>
  <c r="U10" i="25"/>
  <c r="U17" i="25"/>
  <c r="W20" i="25"/>
  <c r="S22" i="25"/>
  <c r="U23" i="25"/>
  <c r="W24" i="25"/>
  <c r="S30" i="25"/>
  <c r="R32" i="25"/>
  <c r="T32" i="25"/>
  <c r="U32" i="25"/>
  <c r="U32" i="28" s="1"/>
  <c r="T31" i="25"/>
  <c r="V29" i="22"/>
  <c r="V32" i="25"/>
  <c r="V32" i="28" s="1"/>
  <c r="U31" i="25"/>
  <c r="W32" i="25"/>
  <c r="W32" i="28" s="1"/>
  <c r="T29" i="22"/>
  <c r="T29" i="25" s="1"/>
  <c r="T30" i="25"/>
  <c r="W31" i="25"/>
  <c r="B72" i="29"/>
  <c r="B16" i="29"/>
  <c r="B8" i="29" s="1"/>
  <c r="T3" i="31"/>
  <c r="K3" i="29"/>
  <c r="I11" i="29"/>
  <c r="I4" i="29"/>
  <c r="Q11" i="29"/>
  <c r="Q4" i="29"/>
  <c r="E5" i="29"/>
  <c r="E11" i="29"/>
  <c r="M5" i="29"/>
  <c r="M11" i="29"/>
  <c r="U5" i="31"/>
  <c r="U5" i="29"/>
  <c r="U7" i="29"/>
  <c r="U5" i="33"/>
  <c r="U5" i="35"/>
  <c r="U9" i="29"/>
  <c r="U69" i="29"/>
  <c r="U6" i="31" s="1"/>
  <c r="U8" i="31"/>
  <c r="U71" i="29"/>
  <c r="U6" i="33" s="1"/>
  <c r="U8" i="33"/>
  <c r="U73" i="29"/>
  <c r="U6" i="35" s="1"/>
  <c r="U8" i="35"/>
  <c r="V3" i="30"/>
  <c r="O3" i="29"/>
  <c r="F3" i="29"/>
  <c r="W3" i="35"/>
  <c r="W8" i="34"/>
  <c r="S3" i="33"/>
  <c r="U3" i="32"/>
  <c r="S8" i="32"/>
  <c r="W3" i="31"/>
  <c r="W8" i="30"/>
  <c r="N3" i="29"/>
  <c r="W8" i="35"/>
  <c r="S8" i="33"/>
  <c r="W3" i="32"/>
  <c r="U8" i="32"/>
  <c r="W8" i="31"/>
  <c r="B69" i="29"/>
  <c r="R3" i="35"/>
  <c r="T3" i="34"/>
  <c r="R8" i="34"/>
  <c r="T8" i="33"/>
  <c r="V8" i="32"/>
  <c r="R3" i="31"/>
  <c r="R8" i="30"/>
  <c r="P3" i="29"/>
  <c r="S3" i="35"/>
  <c r="U3" i="34"/>
  <c r="S8" i="34"/>
  <c r="W3" i="33"/>
  <c r="W8" i="32"/>
  <c r="S3" i="31"/>
  <c r="U3" i="30"/>
  <c r="S8" i="30"/>
  <c r="G3" i="29"/>
  <c r="P11" i="29"/>
  <c r="T3" i="35"/>
  <c r="R8" i="35"/>
  <c r="V3" i="34"/>
  <c r="T8" i="34"/>
  <c r="V8" i="33"/>
  <c r="T5" i="32"/>
  <c r="R8" i="31"/>
  <c r="T8" i="30"/>
  <c r="C69" i="29"/>
  <c r="H11" i="29"/>
  <c r="S8" i="35"/>
  <c r="W3" i="34"/>
  <c r="U8" i="34"/>
  <c r="W8" i="33"/>
  <c r="S8" i="31"/>
  <c r="W3" i="30"/>
  <c r="U8" i="30"/>
  <c r="B7" i="29"/>
  <c r="T8" i="35"/>
  <c r="V8" i="34"/>
  <c r="R3" i="33"/>
  <c r="T3" i="32"/>
  <c r="R8" i="32"/>
  <c r="V3" i="31"/>
  <c r="T8" i="31"/>
  <c r="V8" i="30"/>
  <c r="H3" i="29"/>
  <c r="D4" i="29"/>
  <c r="L4" i="29"/>
  <c r="T4" i="29"/>
  <c r="C8" i="29"/>
  <c r="C12" i="29"/>
  <c r="W15" i="18"/>
  <c r="W15" i="24" s="1"/>
  <c r="R4" i="18"/>
  <c r="R3" i="18" s="1"/>
  <c r="S4" i="18"/>
  <c r="S3" i="18" s="1"/>
  <c r="V15" i="7"/>
  <c r="V15" i="12" s="1"/>
  <c r="T4" i="7"/>
  <c r="T3" i="7" s="1"/>
  <c r="U4" i="7"/>
  <c r="U3" i="7" s="1"/>
  <c r="W3" i="29" l="1"/>
  <c r="T3" i="33"/>
  <c r="U27" i="24"/>
  <c r="W3" i="8"/>
  <c r="R3" i="29"/>
  <c r="S3" i="30"/>
  <c r="T15" i="12"/>
  <c r="T19" i="14"/>
  <c r="T3" i="11"/>
  <c r="T27" i="13"/>
  <c r="S3" i="32"/>
  <c r="S15" i="24"/>
  <c r="S3" i="29"/>
  <c r="S3" i="34"/>
  <c r="U3" i="22"/>
  <c r="V3" i="19"/>
  <c r="R19" i="14"/>
  <c r="S3" i="8"/>
  <c r="S3" i="12" s="1"/>
  <c r="V3" i="33"/>
  <c r="V3" i="29"/>
  <c r="W16" i="14"/>
  <c r="W27" i="24"/>
  <c r="W19" i="24"/>
  <c r="W27" i="23"/>
  <c r="U27" i="13"/>
  <c r="R3" i="30"/>
  <c r="R3" i="34"/>
  <c r="J3" i="29"/>
  <c r="T15" i="24"/>
  <c r="V27" i="13"/>
  <c r="U27" i="12"/>
  <c r="U19" i="13"/>
  <c r="R15" i="12"/>
  <c r="V3" i="22"/>
  <c r="V3" i="25" s="1"/>
  <c r="R4" i="12"/>
  <c r="R27" i="12"/>
  <c r="S29" i="23"/>
  <c r="W16" i="21"/>
  <c r="V19" i="14"/>
  <c r="R4" i="14"/>
  <c r="V15" i="24"/>
  <c r="T3" i="29"/>
  <c r="T3" i="30"/>
  <c r="V3" i="20"/>
  <c r="V4" i="24"/>
  <c r="V4" i="21"/>
  <c r="S4" i="13"/>
  <c r="S4" i="10"/>
  <c r="S19" i="13"/>
  <c r="S19" i="10"/>
  <c r="R3" i="12"/>
  <c r="E3" i="29"/>
  <c r="R3" i="20"/>
  <c r="R4" i="24"/>
  <c r="R4" i="21"/>
  <c r="S19" i="24"/>
  <c r="S19" i="21"/>
  <c r="S3" i="19"/>
  <c r="T3" i="19"/>
  <c r="T4" i="23"/>
  <c r="R19" i="13"/>
  <c r="R19" i="10"/>
  <c r="V15" i="13"/>
  <c r="R29" i="14"/>
  <c r="U29" i="13"/>
  <c r="U29" i="10"/>
  <c r="V16" i="13"/>
  <c r="V16" i="10"/>
  <c r="V19" i="12"/>
  <c r="W29" i="10"/>
  <c r="T3" i="8"/>
  <c r="T4" i="12"/>
  <c r="R4" i="13"/>
  <c r="R4" i="10"/>
  <c r="S3" i="9"/>
  <c r="R15" i="24"/>
  <c r="R3" i="19"/>
  <c r="R4" i="23"/>
  <c r="T4" i="14"/>
  <c r="U16" i="13"/>
  <c r="U16" i="10"/>
  <c r="T16" i="13"/>
  <c r="T16" i="10"/>
  <c r="S29" i="13"/>
  <c r="S29" i="10"/>
  <c r="T19" i="12"/>
  <c r="R29" i="13"/>
  <c r="R29" i="10"/>
  <c r="W16" i="12"/>
  <c r="S3" i="20"/>
  <c r="S4" i="24"/>
  <c r="S4" i="21"/>
  <c r="L3" i="29"/>
  <c r="R3" i="9"/>
  <c r="I3" i="29"/>
  <c r="V16" i="24"/>
  <c r="V16" i="21"/>
  <c r="U3" i="19"/>
  <c r="U4" i="23"/>
  <c r="U29" i="24"/>
  <c r="U29" i="21"/>
  <c r="W19" i="23"/>
  <c r="W19" i="21"/>
  <c r="W3" i="22"/>
  <c r="W4" i="25"/>
  <c r="V29" i="23"/>
  <c r="S16" i="13"/>
  <c r="S16" i="10"/>
  <c r="U3" i="9"/>
  <c r="U4" i="13"/>
  <c r="U4" i="10"/>
  <c r="V19" i="13"/>
  <c r="V19" i="10"/>
  <c r="V3" i="23"/>
  <c r="U3" i="33"/>
  <c r="T3" i="22"/>
  <c r="D3" i="29"/>
  <c r="U3" i="29"/>
  <c r="U3" i="31"/>
  <c r="T3" i="14"/>
  <c r="R3" i="22"/>
  <c r="T29" i="24"/>
  <c r="T29" i="21"/>
  <c r="V19" i="24"/>
  <c r="V19" i="21"/>
  <c r="W15" i="23"/>
  <c r="T16" i="24"/>
  <c r="T16" i="21"/>
  <c r="W29" i="24"/>
  <c r="W29" i="21"/>
  <c r="S4" i="12"/>
  <c r="V29" i="14"/>
  <c r="S3" i="11"/>
  <c r="S4" i="14"/>
  <c r="V3" i="9"/>
  <c r="V4" i="13"/>
  <c r="V4" i="10"/>
  <c r="V29" i="12"/>
  <c r="R19" i="12"/>
  <c r="W3" i="19"/>
  <c r="W4" i="23"/>
  <c r="S16" i="24"/>
  <c r="S16" i="21"/>
  <c r="R4" i="25"/>
  <c r="W3" i="20"/>
  <c r="W4" i="24"/>
  <c r="W4" i="21"/>
  <c r="V29" i="13"/>
  <c r="V29" i="10"/>
  <c r="R16" i="13"/>
  <c r="R16" i="10"/>
  <c r="R3" i="11"/>
  <c r="U3" i="25"/>
  <c r="T3" i="20"/>
  <c r="T4" i="24"/>
  <c r="T4" i="21"/>
  <c r="U19" i="24"/>
  <c r="U19" i="21"/>
  <c r="V29" i="24"/>
  <c r="V29" i="21"/>
  <c r="R16" i="24"/>
  <c r="R16" i="21"/>
  <c r="T19" i="24"/>
  <c r="T19" i="21"/>
  <c r="T19" i="13"/>
  <c r="T19" i="10"/>
  <c r="W3" i="12"/>
  <c r="T29" i="14"/>
  <c r="U3" i="8"/>
  <c r="U4" i="12"/>
  <c r="W3" i="11"/>
  <c r="T3" i="9"/>
  <c r="T4" i="13"/>
  <c r="T4" i="10"/>
  <c r="V4" i="12"/>
  <c r="Q3" i="29"/>
  <c r="S3" i="22"/>
  <c r="S4" i="25"/>
  <c r="V3" i="11"/>
  <c r="M3" i="29"/>
  <c r="R29" i="24"/>
  <c r="R29" i="21"/>
  <c r="V3" i="8"/>
  <c r="U3" i="35"/>
  <c r="V29" i="25"/>
  <c r="R19" i="24"/>
  <c r="R19" i="21"/>
  <c r="T4" i="25"/>
  <c r="U16" i="24"/>
  <c r="U16" i="21"/>
  <c r="S29" i="24"/>
  <c r="S29" i="21"/>
  <c r="U3" i="20"/>
  <c r="U4" i="24"/>
  <c r="U4" i="21"/>
  <c r="S4" i="23"/>
  <c r="U3" i="11"/>
  <c r="U19" i="14"/>
  <c r="T29" i="12"/>
  <c r="U4" i="14"/>
  <c r="W19" i="13"/>
  <c r="W19" i="10"/>
  <c r="T29" i="13"/>
  <c r="T29" i="10"/>
  <c r="W3" i="9"/>
  <c r="W4" i="13"/>
  <c r="W4" i="10"/>
  <c r="C11" i="29"/>
  <c r="C4" i="29"/>
  <c r="W3" i="13" l="1"/>
  <c r="W3" i="10"/>
  <c r="U3" i="14"/>
  <c r="U3" i="13"/>
  <c r="U3" i="10"/>
  <c r="S3" i="24"/>
  <c r="S3" i="21"/>
  <c r="R3" i="23"/>
  <c r="R3" i="24"/>
  <c r="R3" i="21"/>
  <c r="V3" i="14"/>
  <c r="S3" i="25"/>
  <c r="R3" i="14"/>
  <c r="V3" i="24"/>
  <c r="V3" i="21"/>
  <c r="V3" i="12"/>
  <c r="U3" i="12"/>
  <c r="R3" i="13"/>
  <c r="R3" i="10"/>
  <c r="W3" i="23"/>
  <c r="R3" i="25"/>
  <c r="T3" i="23"/>
  <c r="U3" i="24"/>
  <c r="U3" i="21"/>
  <c r="U3" i="23"/>
  <c r="S3" i="23"/>
  <c r="V3" i="13"/>
  <c r="V3" i="10"/>
  <c r="T3" i="24"/>
  <c r="T3" i="21"/>
  <c r="T3" i="13"/>
  <c r="T3" i="10"/>
  <c r="W3" i="24"/>
  <c r="W3" i="21"/>
  <c r="W3" i="25"/>
  <c r="C3" i="29"/>
  <c r="W3" i="14"/>
  <c r="S3" i="14"/>
  <c r="T3" i="25"/>
  <c r="S3" i="13"/>
  <c r="S3" i="10"/>
  <c r="T3" i="12"/>
  <c r="W118" i="6"/>
  <c r="V118" i="6"/>
  <c r="U118" i="6"/>
  <c r="T118" i="6"/>
  <c r="S118" i="6"/>
  <c r="R118" i="6"/>
  <c r="Q118" i="6"/>
  <c r="P118" i="6"/>
  <c r="O118" i="6"/>
  <c r="N118" i="6"/>
  <c r="M118" i="6"/>
  <c r="L118" i="6"/>
  <c r="K118" i="6"/>
  <c r="J118" i="6"/>
  <c r="I118" i="6"/>
  <c r="H118" i="6"/>
  <c r="G118" i="6"/>
  <c r="F118" i="6"/>
  <c r="E118" i="6"/>
  <c r="D118" i="6"/>
  <c r="C118" i="6"/>
  <c r="Q104" i="6"/>
  <c r="P104" i="6"/>
  <c r="O104" i="6"/>
  <c r="N104" i="6"/>
  <c r="M104" i="6"/>
  <c r="L104" i="6"/>
  <c r="K104" i="6"/>
  <c r="J104" i="6"/>
  <c r="I104" i="6"/>
  <c r="H104" i="6"/>
  <c r="G104" i="6"/>
  <c r="F104" i="6"/>
  <c r="E104" i="6"/>
  <c r="D104" i="6"/>
  <c r="C104" i="6"/>
  <c r="W117" i="6"/>
  <c r="V117" i="6"/>
  <c r="U117" i="6"/>
  <c r="T117" i="6"/>
  <c r="S117" i="6"/>
  <c r="R117" i="6"/>
  <c r="Q117" i="6"/>
  <c r="P117" i="6"/>
  <c r="O117" i="6"/>
  <c r="N117" i="6"/>
  <c r="M117" i="6"/>
  <c r="L117" i="6"/>
  <c r="K117" i="6"/>
  <c r="J117" i="6"/>
  <c r="I117" i="6"/>
  <c r="H117" i="6"/>
  <c r="G117" i="6"/>
  <c r="F117" i="6"/>
  <c r="E117" i="6"/>
  <c r="D117" i="6"/>
  <c r="C117" i="6"/>
  <c r="Q103" i="6"/>
  <c r="P103" i="6"/>
  <c r="O103" i="6"/>
  <c r="N103" i="6"/>
  <c r="M103" i="6"/>
  <c r="L103" i="6"/>
  <c r="K103" i="6"/>
  <c r="J103" i="6"/>
  <c r="I103" i="6"/>
  <c r="H103" i="6"/>
  <c r="G103" i="6"/>
  <c r="F103" i="6"/>
  <c r="E103" i="6"/>
  <c r="D103" i="6"/>
  <c r="C103" i="6"/>
  <c r="W116" i="6"/>
  <c r="V116" i="6"/>
  <c r="U116" i="6"/>
  <c r="T116" i="6"/>
  <c r="S116" i="6"/>
  <c r="R116" i="6"/>
  <c r="Q116" i="6"/>
  <c r="P116" i="6"/>
  <c r="O116" i="6"/>
  <c r="N116" i="6"/>
  <c r="M116" i="6"/>
  <c r="L116" i="6"/>
  <c r="K116" i="6"/>
  <c r="J116" i="6"/>
  <c r="I116" i="6"/>
  <c r="H116" i="6"/>
  <c r="G116" i="6"/>
  <c r="F116" i="6"/>
  <c r="E116" i="6"/>
  <c r="D116" i="6"/>
  <c r="C116" i="6"/>
  <c r="P124" i="6" l="1"/>
  <c r="F125" i="6"/>
  <c r="N125" i="6"/>
  <c r="V104" i="6"/>
  <c r="J124" i="6"/>
  <c r="R103" i="6"/>
  <c r="H125" i="6"/>
  <c r="P125" i="6"/>
  <c r="C124" i="6"/>
  <c r="I125" i="6"/>
  <c r="Q125" i="6"/>
  <c r="H124" i="6"/>
  <c r="I124" i="6"/>
  <c r="W104" i="6"/>
  <c r="S103" i="6"/>
  <c r="D124" i="6"/>
  <c r="L124" i="6"/>
  <c r="T103" i="6"/>
  <c r="J125" i="6"/>
  <c r="R104" i="6"/>
  <c r="K124" i="6"/>
  <c r="U103" i="6"/>
  <c r="C125" i="6"/>
  <c r="K125" i="6"/>
  <c r="S104" i="6"/>
  <c r="G125" i="6"/>
  <c r="E124" i="6"/>
  <c r="F124" i="6"/>
  <c r="N124" i="6"/>
  <c r="V103" i="6"/>
  <c r="D125" i="6"/>
  <c r="L125" i="6"/>
  <c r="T104" i="6"/>
  <c r="Q124" i="6"/>
  <c r="O125" i="6"/>
  <c r="M124" i="6"/>
  <c r="G124" i="6"/>
  <c r="O124" i="6"/>
  <c r="W103" i="6"/>
  <c r="E125" i="6"/>
  <c r="M125" i="6"/>
  <c r="U104" i="6"/>
  <c r="Q102" i="6"/>
  <c r="P102" i="6"/>
  <c r="O102" i="6"/>
  <c r="N102" i="6"/>
  <c r="M102" i="6"/>
  <c r="L102" i="6"/>
  <c r="K102" i="6"/>
  <c r="J102" i="6"/>
  <c r="I102" i="6"/>
  <c r="H102" i="6"/>
  <c r="G102" i="6"/>
  <c r="F102" i="6"/>
  <c r="E102" i="6"/>
  <c r="D102" i="6"/>
  <c r="C102" i="6"/>
  <c r="W115" i="6"/>
  <c r="V115" i="6"/>
  <c r="U115" i="6"/>
  <c r="T115" i="6"/>
  <c r="R115" i="6"/>
  <c r="Q115" i="6"/>
  <c r="P115" i="6"/>
  <c r="O115" i="6"/>
  <c r="N115" i="6"/>
  <c r="M115" i="6"/>
  <c r="L115" i="6"/>
  <c r="K115" i="6"/>
  <c r="J115" i="6"/>
  <c r="I115" i="6"/>
  <c r="H115" i="6"/>
  <c r="G115" i="6"/>
  <c r="F115" i="6"/>
  <c r="E115" i="6"/>
  <c r="D115" i="6"/>
  <c r="Q101" i="6"/>
  <c r="P101" i="6"/>
  <c r="O101" i="6"/>
  <c r="N101" i="6"/>
  <c r="M101" i="6"/>
  <c r="L101" i="6"/>
  <c r="K101" i="6"/>
  <c r="J101" i="6"/>
  <c r="I101" i="6"/>
  <c r="H101" i="6"/>
  <c r="G101" i="6"/>
  <c r="F101" i="6"/>
  <c r="E101" i="6"/>
  <c r="D101" i="6"/>
  <c r="C101" i="6"/>
  <c r="H122" i="6" l="1"/>
  <c r="P122" i="6"/>
  <c r="C82" i="6"/>
  <c r="C114" i="6" s="1"/>
  <c r="C115" i="6"/>
  <c r="S82" i="6"/>
  <c r="S114" i="6" s="1"/>
  <c r="S115" i="6"/>
  <c r="F123" i="6"/>
  <c r="N123" i="6"/>
  <c r="V102" i="6"/>
  <c r="Q122" i="6"/>
  <c r="J122" i="6"/>
  <c r="R101" i="6"/>
  <c r="H123" i="6"/>
  <c r="P123" i="6"/>
  <c r="U125" i="6"/>
  <c r="O123" i="6"/>
  <c r="S125" i="6"/>
  <c r="C122" i="6"/>
  <c r="K122" i="6"/>
  <c r="S101" i="6"/>
  <c r="I123" i="6"/>
  <c r="Q123" i="6"/>
  <c r="S124" i="6"/>
  <c r="T125" i="6"/>
  <c r="D122" i="6"/>
  <c r="L122" i="6"/>
  <c r="T101" i="6"/>
  <c r="J123" i="6"/>
  <c r="R102" i="6"/>
  <c r="R124" i="6"/>
  <c r="G123" i="6"/>
  <c r="U124" i="6"/>
  <c r="T124" i="6"/>
  <c r="E122" i="6"/>
  <c r="M122" i="6"/>
  <c r="U101" i="6"/>
  <c r="C123" i="6"/>
  <c r="K123" i="6"/>
  <c r="S102" i="6"/>
  <c r="V124" i="6"/>
  <c r="V125" i="6"/>
  <c r="I122" i="6"/>
  <c r="F122" i="6"/>
  <c r="N122" i="6"/>
  <c r="V101" i="6"/>
  <c r="D123" i="6"/>
  <c r="L123" i="6"/>
  <c r="T102" i="6"/>
  <c r="W124" i="6"/>
  <c r="R125" i="6"/>
  <c r="W102" i="6"/>
  <c r="G122" i="6"/>
  <c r="O122" i="6"/>
  <c r="W101" i="6"/>
  <c r="E123" i="6"/>
  <c r="M123" i="6"/>
  <c r="U102" i="6"/>
  <c r="W125" i="6"/>
  <c r="C81" i="6"/>
  <c r="C113" i="6" s="1"/>
  <c r="I48" i="6"/>
  <c r="I100" i="6" s="1"/>
  <c r="Q48" i="6"/>
  <c r="Q100" i="6" s="1"/>
  <c r="H82" i="6"/>
  <c r="H114" i="6" s="1"/>
  <c r="P82" i="6"/>
  <c r="P114" i="6" s="1"/>
  <c r="N48" i="6"/>
  <c r="N100" i="6" s="1"/>
  <c r="E82" i="6"/>
  <c r="E114" i="6" s="1"/>
  <c r="B67" i="6"/>
  <c r="B71" i="6"/>
  <c r="J48" i="6"/>
  <c r="J100" i="6" s="1"/>
  <c r="R48" i="6"/>
  <c r="R100" i="6" s="1"/>
  <c r="I82" i="6"/>
  <c r="I114" i="6" s="1"/>
  <c r="E48" i="6"/>
  <c r="E100" i="6" s="1"/>
  <c r="M48" i="6"/>
  <c r="M100" i="6" s="1"/>
  <c r="U48" i="6"/>
  <c r="U100" i="6" s="1"/>
  <c r="V48" i="6"/>
  <c r="V100" i="6" s="1"/>
  <c r="C48" i="6"/>
  <c r="C100" i="6" s="1"/>
  <c r="K48" i="6"/>
  <c r="K100" i="6" s="1"/>
  <c r="S48" i="6"/>
  <c r="S100" i="6" s="1"/>
  <c r="R82" i="6"/>
  <c r="R114" i="6" s="1"/>
  <c r="T48" i="6"/>
  <c r="T100" i="6" s="1"/>
  <c r="U82" i="6"/>
  <c r="U114" i="6" s="1"/>
  <c r="D82" i="6"/>
  <c r="D114" i="6" s="1"/>
  <c r="L82" i="6"/>
  <c r="L114" i="6" s="1"/>
  <c r="T82" i="6"/>
  <c r="T114" i="6" s="1"/>
  <c r="K82" i="6"/>
  <c r="K114" i="6" s="1"/>
  <c r="J82" i="6"/>
  <c r="J114" i="6" s="1"/>
  <c r="L48" i="6"/>
  <c r="L100" i="6" s="1"/>
  <c r="G48" i="6"/>
  <c r="G100" i="6" s="1"/>
  <c r="O48" i="6"/>
  <c r="O100" i="6" s="1"/>
  <c r="W48" i="6"/>
  <c r="W100" i="6" s="1"/>
  <c r="F82" i="6"/>
  <c r="F114" i="6" s="1"/>
  <c r="N82" i="6"/>
  <c r="N114" i="6" s="1"/>
  <c r="V82" i="6"/>
  <c r="V114" i="6" s="1"/>
  <c r="F48" i="6"/>
  <c r="F100" i="6" s="1"/>
  <c r="M82" i="6"/>
  <c r="M114" i="6" s="1"/>
  <c r="H48" i="6"/>
  <c r="H100" i="6" s="1"/>
  <c r="P48" i="6"/>
  <c r="P100" i="6" s="1"/>
  <c r="G82" i="6"/>
  <c r="G114" i="6" s="1"/>
  <c r="O82" i="6"/>
  <c r="O114" i="6" s="1"/>
  <c r="W82" i="6"/>
  <c r="W114" i="6" s="1"/>
  <c r="Q82" i="6"/>
  <c r="Q114" i="6" s="1"/>
  <c r="D48" i="6"/>
  <c r="D100" i="6" s="1"/>
  <c r="C90" i="6" l="1"/>
  <c r="S81" i="6"/>
  <c r="S113" i="6" s="1"/>
  <c r="S91" i="6"/>
  <c r="C91" i="6"/>
  <c r="H121" i="6"/>
  <c r="P121" i="6"/>
  <c r="W121" i="6"/>
  <c r="J121" i="6"/>
  <c r="N121" i="6"/>
  <c r="R123" i="6"/>
  <c r="O121" i="6"/>
  <c r="S121" i="6"/>
  <c r="S123" i="6"/>
  <c r="G121" i="6"/>
  <c r="D121" i="6"/>
  <c r="V122" i="6"/>
  <c r="T122" i="6"/>
  <c r="F121" i="6"/>
  <c r="C121" i="6"/>
  <c r="M121" i="6"/>
  <c r="I121" i="6"/>
  <c r="R122" i="6"/>
  <c r="U123" i="6"/>
  <c r="V121" i="6"/>
  <c r="K121" i="6"/>
  <c r="E121" i="6"/>
  <c r="W122" i="6"/>
  <c r="W123" i="6"/>
  <c r="S122" i="6"/>
  <c r="U121" i="6"/>
  <c r="L121" i="6"/>
  <c r="U122" i="6"/>
  <c r="V123" i="6"/>
  <c r="Q121" i="6"/>
  <c r="T121" i="6"/>
  <c r="R121" i="6"/>
  <c r="T123" i="6"/>
  <c r="Q47" i="6"/>
  <c r="Q99" i="6" s="1"/>
  <c r="G81" i="6"/>
  <c r="G113" i="6" s="1"/>
  <c r="G90" i="6"/>
  <c r="W47" i="6"/>
  <c r="W99" i="6" s="1"/>
  <c r="L47" i="6"/>
  <c r="L99" i="6" s="1"/>
  <c r="U47" i="6"/>
  <c r="U99" i="6" s="1"/>
  <c r="R47" i="6"/>
  <c r="R99" i="6" s="1"/>
  <c r="F47" i="6"/>
  <c r="F99" i="6" s="1"/>
  <c r="J81" i="6"/>
  <c r="J113" i="6" s="1"/>
  <c r="T81" i="6"/>
  <c r="T113" i="6" s="1"/>
  <c r="T90" i="6"/>
  <c r="J47" i="6"/>
  <c r="J99" i="6" s="1"/>
  <c r="E81" i="6"/>
  <c r="E113" i="6" s="1"/>
  <c r="P81" i="6"/>
  <c r="P113" i="6" s="1"/>
  <c r="I47" i="6"/>
  <c r="I99" i="6" s="1"/>
  <c r="P47" i="6"/>
  <c r="P99" i="6" s="1"/>
  <c r="V81" i="6"/>
  <c r="V113" i="6" s="1"/>
  <c r="V90" i="6"/>
  <c r="O47" i="6"/>
  <c r="O99" i="6" s="1"/>
  <c r="O56" i="6"/>
  <c r="S47" i="6"/>
  <c r="S99" i="6" s="1"/>
  <c r="M47" i="6"/>
  <c r="M99" i="6" s="1"/>
  <c r="Q81" i="6"/>
  <c r="Q113" i="6" s="1"/>
  <c r="N47" i="6"/>
  <c r="N99" i="6" s="1"/>
  <c r="H81" i="6"/>
  <c r="H113" i="6" s="1"/>
  <c r="R81" i="6"/>
  <c r="R113" i="6" s="1"/>
  <c r="R90" i="6"/>
  <c r="W81" i="6"/>
  <c r="W113" i="6" s="1"/>
  <c r="W90" i="6"/>
  <c r="H47" i="6"/>
  <c r="H99" i="6" s="1"/>
  <c r="N81" i="6"/>
  <c r="N113" i="6" s="1"/>
  <c r="G47" i="6"/>
  <c r="G99" i="6" s="1"/>
  <c r="L81" i="6"/>
  <c r="L113" i="6" s="1"/>
  <c r="L90" i="6"/>
  <c r="U81" i="6"/>
  <c r="U113" i="6" s="1"/>
  <c r="K47" i="6"/>
  <c r="K99" i="6" s="1"/>
  <c r="E47" i="6"/>
  <c r="E99" i="6" s="1"/>
  <c r="S93" i="6"/>
  <c r="S94" i="6"/>
  <c r="S92" i="6"/>
  <c r="D81" i="6"/>
  <c r="D113" i="6" s="1"/>
  <c r="V47" i="6"/>
  <c r="V99" i="6" s="1"/>
  <c r="I81" i="6"/>
  <c r="I113" i="6" s="1"/>
  <c r="M81" i="6"/>
  <c r="M113" i="6" s="1"/>
  <c r="D47" i="6"/>
  <c r="D99" i="6" s="1"/>
  <c r="O81" i="6"/>
  <c r="O113" i="6" s="1"/>
  <c r="F81" i="6"/>
  <c r="F113" i="6" s="1"/>
  <c r="K81" i="6"/>
  <c r="K113" i="6" s="1"/>
  <c r="T47" i="6"/>
  <c r="T99" i="6" s="1"/>
  <c r="T56" i="6"/>
  <c r="C47" i="6"/>
  <c r="C99" i="6" s="1"/>
  <c r="C89" i="6"/>
  <c r="C92" i="6"/>
  <c r="C93" i="6"/>
  <c r="C94" i="6"/>
  <c r="S90" i="6" l="1"/>
  <c r="S89" i="6"/>
  <c r="O90" i="6"/>
  <c r="C56" i="6"/>
  <c r="H56" i="6"/>
  <c r="Q90" i="6"/>
  <c r="I56" i="6"/>
  <c r="U56" i="6"/>
  <c r="U90" i="6"/>
  <c r="F90" i="6"/>
  <c r="S56" i="6"/>
  <c r="D56" i="6"/>
  <c r="W56" i="6"/>
  <c r="V56" i="6"/>
  <c r="N56" i="6"/>
  <c r="J56" i="6"/>
  <c r="M90" i="6"/>
  <c r="K56" i="6"/>
  <c r="N90" i="6"/>
  <c r="H90" i="6"/>
  <c r="E90" i="6"/>
  <c r="F56" i="6"/>
  <c r="R56" i="6"/>
  <c r="D90" i="6"/>
  <c r="E56" i="6"/>
  <c r="G56" i="6"/>
  <c r="P90" i="6"/>
  <c r="J90" i="6"/>
  <c r="Q56" i="6"/>
  <c r="K90" i="6"/>
  <c r="M56" i="6"/>
  <c r="P56" i="6"/>
  <c r="L55" i="6"/>
  <c r="L61" i="6"/>
  <c r="L60" i="6"/>
  <c r="L59" i="6"/>
  <c r="L58" i="6"/>
  <c r="L57" i="6"/>
  <c r="F89" i="6"/>
  <c r="F94" i="6"/>
  <c r="F93" i="6"/>
  <c r="F92" i="6"/>
  <c r="F91" i="6"/>
  <c r="D89" i="6"/>
  <c r="D94" i="6"/>
  <c r="D93" i="6"/>
  <c r="D92" i="6"/>
  <c r="D91" i="6"/>
  <c r="K55" i="6"/>
  <c r="K61" i="6"/>
  <c r="K59" i="6"/>
  <c r="K60" i="6"/>
  <c r="K57" i="6"/>
  <c r="K58" i="6"/>
  <c r="N89" i="6"/>
  <c r="N94" i="6"/>
  <c r="N93" i="6"/>
  <c r="N92" i="6"/>
  <c r="N91" i="6"/>
  <c r="S61" i="6"/>
  <c r="S55" i="6"/>
  <c r="S59" i="6"/>
  <c r="S60" i="6"/>
  <c r="S57" i="6"/>
  <c r="S58" i="6"/>
  <c r="I61" i="6"/>
  <c r="I55" i="6"/>
  <c r="I60" i="6"/>
  <c r="I59" i="6"/>
  <c r="I58" i="6"/>
  <c r="I57" i="6"/>
  <c r="T89" i="6"/>
  <c r="T93" i="6"/>
  <c r="T92" i="6"/>
  <c r="T94" i="6"/>
  <c r="T91" i="6"/>
  <c r="C55" i="6"/>
  <c r="C61" i="6"/>
  <c r="C59" i="6"/>
  <c r="C60" i="6"/>
  <c r="C58" i="6"/>
  <c r="C57" i="6"/>
  <c r="M89" i="6"/>
  <c r="M93" i="6"/>
  <c r="M94" i="6"/>
  <c r="M92" i="6"/>
  <c r="M91" i="6"/>
  <c r="W55" i="6"/>
  <c r="W61" i="6"/>
  <c r="W59" i="6"/>
  <c r="W60" i="6"/>
  <c r="W58" i="6"/>
  <c r="W57" i="6"/>
  <c r="O89" i="6"/>
  <c r="O94" i="6"/>
  <c r="O92" i="6"/>
  <c r="O93" i="6"/>
  <c r="O91" i="6"/>
  <c r="I89" i="6"/>
  <c r="I93" i="6"/>
  <c r="I92" i="6"/>
  <c r="I94" i="6"/>
  <c r="I91" i="6"/>
  <c r="U89" i="6"/>
  <c r="U92" i="6"/>
  <c r="U93" i="6"/>
  <c r="U94" i="6"/>
  <c r="U91" i="6"/>
  <c r="H61" i="6"/>
  <c r="H55" i="6"/>
  <c r="H60" i="6"/>
  <c r="H59" i="6"/>
  <c r="H57" i="6"/>
  <c r="H58" i="6"/>
  <c r="R89" i="6"/>
  <c r="R94" i="6"/>
  <c r="R92" i="6"/>
  <c r="R93" i="6"/>
  <c r="R91" i="6"/>
  <c r="O55" i="6"/>
  <c r="O61" i="6"/>
  <c r="O59" i="6"/>
  <c r="O60" i="6"/>
  <c r="O58" i="6"/>
  <c r="O57" i="6"/>
  <c r="P89" i="6"/>
  <c r="P94" i="6"/>
  <c r="P92" i="6"/>
  <c r="P93" i="6"/>
  <c r="P91" i="6"/>
  <c r="J89" i="6"/>
  <c r="J94" i="6"/>
  <c r="J92" i="6"/>
  <c r="J93" i="6"/>
  <c r="J91" i="6"/>
  <c r="I90" i="6"/>
  <c r="R61" i="6"/>
  <c r="R55" i="6"/>
  <c r="R59" i="6"/>
  <c r="R60" i="6"/>
  <c r="R57" i="6"/>
  <c r="R58" i="6"/>
  <c r="G89" i="6"/>
  <c r="G94" i="6"/>
  <c r="G92" i="6"/>
  <c r="G93" i="6"/>
  <c r="G91" i="6"/>
  <c r="Q61" i="6"/>
  <c r="Q55" i="6"/>
  <c r="Q59" i="6"/>
  <c r="Q60" i="6"/>
  <c r="Q57" i="6"/>
  <c r="Q58" i="6"/>
  <c r="T61" i="6"/>
  <c r="T55" i="6"/>
  <c r="T60" i="6"/>
  <c r="T59" i="6"/>
  <c r="T58" i="6"/>
  <c r="T57" i="6"/>
  <c r="D55" i="6"/>
  <c r="D61" i="6"/>
  <c r="D59" i="6"/>
  <c r="D60" i="6"/>
  <c r="D58" i="6"/>
  <c r="D57" i="6"/>
  <c r="L89" i="6"/>
  <c r="L92" i="6"/>
  <c r="L94" i="6"/>
  <c r="L93" i="6"/>
  <c r="L91" i="6"/>
  <c r="W89" i="6"/>
  <c r="W93" i="6"/>
  <c r="W94" i="6"/>
  <c r="W92" i="6"/>
  <c r="W91" i="6"/>
  <c r="H89" i="6"/>
  <c r="H92" i="6"/>
  <c r="H93" i="6"/>
  <c r="H94" i="6"/>
  <c r="H91" i="6"/>
  <c r="Q89" i="6"/>
  <c r="Q93" i="6"/>
  <c r="Q94" i="6"/>
  <c r="Q92" i="6"/>
  <c r="Q91" i="6"/>
  <c r="V89" i="6"/>
  <c r="V94" i="6"/>
  <c r="V93" i="6"/>
  <c r="V92" i="6"/>
  <c r="V91" i="6"/>
  <c r="E89" i="6"/>
  <c r="E93" i="6"/>
  <c r="E94" i="6"/>
  <c r="E92" i="6"/>
  <c r="E91" i="6"/>
  <c r="F55" i="6"/>
  <c r="F61" i="6"/>
  <c r="F60" i="6"/>
  <c r="F59" i="6"/>
  <c r="F58" i="6"/>
  <c r="F57" i="6"/>
  <c r="V55" i="6"/>
  <c r="V61" i="6"/>
  <c r="V60" i="6"/>
  <c r="V59" i="6"/>
  <c r="V58" i="6"/>
  <c r="V57" i="6"/>
  <c r="U55" i="6"/>
  <c r="U61" i="6"/>
  <c r="U60" i="6"/>
  <c r="U59" i="6"/>
  <c r="U58" i="6"/>
  <c r="U57" i="6"/>
  <c r="K89" i="6"/>
  <c r="K94" i="6"/>
  <c r="K92" i="6"/>
  <c r="K93" i="6"/>
  <c r="K91" i="6"/>
  <c r="E61" i="6"/>
  <c r="E55" i="6"/>
  <c r="E60" i="6"/>
  <c r="E59" i="6"/>
  <c r="E58" i="6"/>
  <c r="E57" i="6"/>
  <c r="G55" i="6"/>
  <c r="G61" i="6"/>
  <c r="G59" i="6"/>
  <c r="G60" i="6"/>
  <c r="G58" i="6"/>
  <c r="G57" i="6"/>
  <c r="N55" i="6"/>
  <c r="N61" i="6"/>
  <c r="N60" i="6"/>
  <c r="N59" i="6"/>
  <c r="N58" i="6"/>
  <c r="N57" i="6"/>
  <c r="M61" i="6"/>
  <c r="M55" i="6"/>
  <c r="M59" i="6"/>
  <c r="M60" i="6"/>
  <c r="M58" i="6"/>
  <c r="M57" i="6"/>
  <c r="P61" i="6"/>
  <c r="P55" i="6"/>
  <c r="P60" i="6"/>
  <c r="P59" i="6"/>
  <c r="P58" i="6"/>
  <c r="P57" i="6"/>
  <c r="J55" i="6"/>
  <c r="J61" i="6"/>
  <c r="J59" i="6"/>
  <c r="J60" i="6"/>
  <c r="J57" i="6"/>
  <c r="J58" i="6"/>
  <c r="L56" i="6"/>
  <c r="W27" i="6" l="1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W14" i="6"/>
  <c r="W15" i="6" s="1"/>
  <c r="V14" i="6"/>
  <c r="V15" i="6" s="1"/>
  <c r="U14" i="6"/>
  <c r="U15" i="6" s="1"/>
  <c r="T14" i="6"/>
  <c r="T15" i="6" s="1"/>
  <c r="S14" i="6"/>
  <c r="S15" i="6" s="1"/>
  <c r="R14" i="6"/>
  <c r="R15" i="6" s="1"/>
  <c r="Q14" i="6"/>
  <c r="Q15" i="6" s="1"/>
  <c r="P14" i="6"/>
  <c r="P15" i="6" s="1"/>
  <c r="O14" i="6"/>
  <c r="O15" i="6" s="1"/>
  <c r="N14" i="6"/>
  <c r="N15" i="6" s="1"/>
  <c r="M14" i="6"/>
  <c r="M15" i="6" s="1"/>
  <c r="L14" i="6"/>
  <c r="L15" i="6" s="1"/>
  <c r="K14" i="6"/>
  <c r="K15" i="6" s="1"/>
  <c r="J14" i="6"/>
  <c r="J15" i="6" s="1"/>
  <c r="I14" i="6"/>
  <c r="I15" i="6" s="1"/>
  <c r="H14" i="6"/>
  <c r="H15" i="6" s="1"/>
  <c r="G14" i="6"/>
  <c r="G15" i="6" s="1"/>
  <c r="F14" i="6"/>
  <c r="F15" i="6" s="1"/>
  <c r="E14" i="6"/>
  <c r="E15" i="6" s="1"/>
  <c r="D14" i="6"/>
  <c r="D15" i="6" s="1"/>
  <c r="C14" i="6"/>
  <c r="C15" i="6" s="1"/>
  <c r="B14" i="6"/>
  <c r="B15" i="6" s="1"/>
  <c r="B104" i="6"/>
  <c r="B103" i="6"/>
  <c r="B102" i="6"/>
  <c r="B101" i="6"/>
  <c r="H165" i="6" l="1"/>
  <c r="H164" i="6"/>
  <c r="H162" i="6"/>
  <c r="H163" i="6"/>
  <c r="H159" i="6"/>
  <c r="H161" i="6"/>
  <c r="H157" i="6"/>
  <c r="H170" i="6"/>
  <c r="H158" i="6"/>
  <c r="H171" i="6"/>
  <c r="H172" i="6"/>
  <c r="H156" i="6"/>
  <c r="H169" i="6"/>
  <c r="H155" i="6"/>
  <c r="H154" i="6"/>
  <c r="H168" i="6"/>
  <c r="H153" i="6"/>
  <c r="H167" i="6"/>
  <c r="P165" i="6"/>
  <c r="P164" i="6"/>
  <c r="P159" i="6"/>
  <c r="P163" i="6"/>
  <c r="P162" i="6"/>
  <c r="P161" i="6"/>
  <c r="P172" i="6"/>
  <c r="P170" i="6"/>
  <c r="P171" i="6"/>
  <c r="P158" i="6"/>
  <c r="P157" i="6"/>
  <c r="P155" i="6"/>
  <c r="P156" i="6"/>
  <c r="P169" i="6"/>
  <c r="P154" i="6"/>
  <c r="P168" i="6"/>
  <c r="P167" i="6"/>
  <c r="P153" i="6"/>
  <c r="D140" i="6"/>
  <c r="D138" i="6"/>
  <c r="D139" i="6"/>
  <c r="D141" i="6"/>
  <c r="D135" i="6"/>
  <c r="D137" i="6"/>
  <c r="D134" i="6"/>
  <c r="D148" i="6"/>
  <c r="D147" i="6"/>
  <c r="D146" i="6"/>
  <c r="D133" i="6"/>
  <c r="D131" i="6"/>
  <c r="D132" i="6"/>
  <c r="D145" i="6"/>
  <c r="D130" i="6"/>
  <c r="D144" i="6"/>
  <c r="D129" i="6"/>
  <c r="D143" i="6"/>
  <c r="L140" i="6"/>
  <c r="L141" i="6"/>
  <c r="L135" i="6"/>
  <c r="L139" i="6"/>
  <c r="L138" i="6"/>
  <c r="L137" i="6"/>
  <c r="L133" i="6"/>
  <c r="L134" i="6"/>
  <c r="L148" i="6"/>
  <c r="L146" i="6"/>
  <c r="L147" i="6"/>
  <c r="L145" i="6"/>
  <c r="L131" i="6"/>
  <c r="L132" i="6"/>
  <c r="L144" i="6"/>
  <c r="L130" i="6"/>
  <c r="L129" i="6"/>
  <c r="L143" i="6"/>
  <c r="T140" i="6"/>
  <c r="T13" i="15"/>
  <c r="T9" i="15"/>
  <c r="T25" i="15"/>
  <c r="T138" i="6"/>
  <c r="T141" i="6"/>
  <c r="T139" i="6"/>
  <c r="T32" i="15"/>
  <c r="T23" i="15"/>
  <c r="T24" i="15"/>
  <c r="T6" i="17"/>
  <c r="T30" i="16"/>
  <c r="T11" i="15"/>
  <c r="T21" i="16"/>
  <c r="T30" i="17"/>
  <c r="T22" i="15"/>
  <c r="T31" i="15"/>
  <c r="T6" i="16"/>
  <c r="T12" i="16"/>
  <c r="T5" i="17"/>
  <c r="T26" i="15"/>
  <c r="T22" i="16"/>
  <c r="T16" i="15"/>
  <c r="T14" i="15"/>
  <c r="T27" i="16"/>
  <c r="T5" i="15"/>
  <c r="T33" i="16"/>
  <c r="T17" i="17"/>
  <c r="T17" i="16"/>
  <c r="T5" i="16"/>
  <c r="T8" i="16"/>
  <c r="T135" i="6"/>
  <c r="T8" i="17"/>
  <c r="T33" i="15"/>
  <c r="T32" i="16"/>
  <c r="T10" i="17"/>
  <c r="T27" i="15"/>
  <c r="T23" i="16"/>
  <c r="T26" i="16"/>
  <c r="T6" i="15"/>
  <c r="T15" i="15"/>
  <c r="T137" i="6"/>
  <c r="T17" i="15"/>
  <c r="T32" i="17"/>
  <c r="T13" i="16"/>
  <c r="T19" i="17"/>
  <c r="T7" i="17"/>
  <c r="T30" i="15"/>
  <c r="T15" i="16"/>
  <c r="T10" i="16"/>
  <c r="T31" i="16"/>
  <c r="T20" i="16"/>
  <c r="T20" i="17"/>
  <c r="T31" i="17"/>
  <c r="T22" i="17"/>
  <c r="T14" i="16"/>
  <c r="T7" i="16"/>
  <c r="T7" i="15"/>
  <c r="T20" i="15"/>
  <c r="T21" i="15"/>
  <c r="T25" i="16"/>
  <c r="T8" i="15"/>
  <c r="T10" i="15"/>
  <c r="T21" i="17"/>
  <c r="T18" i="16"/>
  <c r="T18" i="15"/>
  <c r="T12" i="15"/>
  <c r="T24" i="16"/>
  <c r="T11" i="16"/>
  <c r="T23" i="17"/>
  <c r="T28" i="16"/>
  <c r="T24" i="17"/>
  <c r="T16" i="17"/>
  <c r="T28" i="15"/>
  <c r="T9" i="17"/>
  <c r="T9" i="16"/>
  <c r="T19" i="15"/>
  <c r="T29" i="15"/>
  <c r="T19" i="16"/>
  <c r="T4" i="15"/>
  <c r="T29" i="16"/>
  <c r="T4" i="17"/>
  <c r="T16" i="16"/>
  <c r="T4" i="16"/>
  <c r="T3" i="17"/>
  <c r="T29" i="17"/>
  <c r="T3" i="16"/>
  <c r="T146" i="6"/>
  <c r="T147" i="6"/>
  <c r="T3" i="15"/>
  <c r="T148" i="6"/>
  <c r="T145" i="6"/>
  <c r="T133" i="6"/>
  <c r="T134" i="6"/>
  <c r="T131" i="6"/>
  <c r="T130" i="6"/>
  <c r="T132" i="6"/>
  <c r="T144" i="6"/>
  <c r="T143" i="6"/>
  <c r="T129" i="6"/>
  <c r="Q164" i="6"/>
  <c r="Q162" i="6"/>
  <c r="Q159" i="6"/>
  <c r="Q165" i="6"/>
  <c r="Q163" i="6"/>
  <c r="Q161" i="6"/>
  <c r="Q158" i="6"/>
  <c r="Q172" i="6"/>
  <c r="Q170" i="6"/>
  <c r="Q171" i="6"/>
  <c r="Q157" i="6"/>
  <c r="Q155" i="6"/>
  <c r="Q156" i="6"/>
  <c r="Q169" i="6"/>
  <c r="Q154" i="6"/>
  <c r="Q168" i="6"/>
  <c r="Q153" i="6"/>
  <c r="Q167" i="6"/>
  <c r="E139" i="6"/>
  <c r="E138" i="6"/>
  <c r="E140" i="6"/>
  <c r="E141" i="6"/>
  <c r="E135" i="6"/>
  <c r="E137" i="6"/>
  <c r="E133" i="6"/>
  <c r="E148" i="6"/>
  <c r="E147" i="6"/>
  <c r="E146" i="6"/>
  <c r="E134" i="6"/>
  <c r="E131" i="6"/>
  <c r="E145" i="6"/>
  <c r="E132" i="6"/>
  <c r="E144" i="6"/>
  <c r="E130" i="6"/>
  <c r="E143" i="6"/>
  <c r="E129" i="6"/>
  <c r="M138" i="6"/>
  <c r="M135" i="6"/>
  <c r="M139" i="6"/>
  <c r="M140" i="6"/>
  <c r="M141" i="6"/>
  <c r="M137" i="6"/>
  <c r="M146" i="6"/>
  <c r="M134" i="6"/>
  <c r="M148" i="6"/>
  <c r="M147" i="6"/>
  <c r="M133" i="6"/>
  <c r="M131" i="6"/>
  <c r="M132" i="6"/>
  <c r="M145" i="6"/>
  <c r="M144" i="6"/>
  <c r="M130" i="6"/>
  <c r="M129" i="6"/>
  <c r="M143" i="6"/>
  <c r="U139" i="6"/>
  <c r="U138" i="6"/>
  <c r="U10" i="15"/>
  <c r="U33" i="15"/>
  <c r="U140" i="6"/>
  <c r="U141" i="6"/>
  <c r="U26" i="15"/>
  <c r="U135" i="6"/>
  <c r="U21" i="17"/>
  <c r="U23" i="15"/>
  <c r="U6" i="15"/>
  <c r="U33" i="16"/>
  <c r="U15" i="15"/>
  <c r="U24" i="16"/>
  <c r="U10" i="16"/>
  <c r="U27" i="16"/>
  <c r="U22" i="17"/>
  <c r="U28" i="16"/>
  <c r="U11" i="15"/>
  <c r="U16" i="17"/>
  <c r="U22" i="16"/>
  <c r="U30" i="16"/>
  <c r="U9" i="17"/>
  <c r="U29" i="17"/>
  <c r="U12" i="15"/>
  <c r="U30" i="17"/>
  <c r="U14" i="16"/>
  <c r="U5" i="16"/>
  <c r="U22" i="15"/>
  <c r="U29" i="15"/>
  <c r="U16" i="15"/>
  <c r="U7" i="17"/>
  <c r="U21" i="15"/>
  <c r="U23" i="17"/>
  <c r="U30" i="15"/>
  <c r="U17" i="15"/>
  <c r="U31" i="15"/>
  <c r="U19" i="15"/>
  <c r="U26" i="16"/>
  <c r="U32" i="15"/>
  <c r="U9" i="15"/>
  <c r="U20" i="17"/>
  <c r="U5" i="15"/>
  <c r="U11" i="16"/>
  <c r="U32" i="17"/>
  <c r="U24" i="15"/>
  <c r="U9" i="16"/>
  <c r="U8" i="17"/>
  <c r="U20" i="16"/>
  <c r="U23" i="16"/>
  <c r="U21" i="16"/>
  <c r="U137" i="6"/>
  <c r="U7" i="15"/>
  <c r="U8" i="16"/>
  <c r="U5" i="17"/>
  <c r="U17" i="16"/>
  <c r="U25" i="15"/>
  <c r="U24" i="17"/>
  <c r="U18" i="15"/>
  <c r="U20" i="15"/>
  <c r="U14" i="15"/>
  <c r="U12" i="16"/>
  <c r="U7" i="16"/>
  <c r="U13" i="15"/>
  <c r="U8" i="15"/>
  <c r="U6" i="16"/>
  <c r="U31" i="16"/>
  <c r="U32" i="16"/>
  <c r="U6" i="17"/>
  <c r="U17" i="17"/>
  <c r="U15" i="16"/>
  <c r="U10" i="17"/>
  <c r="U18" i="16"/>
  <c r="U28" i="15"/>
  <c r="U25" i="16"/>
  <c r="U13" i="16"/>
  <c r="U31" i="17"/>
  <c r="U19" i="16"/>
  <c r="U16" i="16"/>
  <c r="U29" i="16"/>
  <c r="U4" i="16"/>
  <c r="U4" i="17"/>
  <c r="U4" i="15"/>
  <c r="U19" i="17"/>
  <c r="U27" i="15"/>
  <c r="U3" i="16"/>
  <c r="U147" i="6"/>
  <c r="U146" i="6"/>
  <c r="U3" i="15"/>
  <c r="U3" i="17"/>
  <c r="U148" i="6"/>
  <c r="U134" i="6"/>
  <c r="U145" i="6"/>
  <c r="U133" i="6"/>
  <c r="U131" i="6"/>
  <c r="U130" i="6"/>
  <c r="U132" i="6"/>
  <c r="U144" i="6"/>
  <c r="U143" i="6"/>
  <c r="U129" i="6"/>
  <c r="F139" i="6"/>
  <c r="F141" i="6"/>
  <c r="F138" i="6"/>
  <c r="F140" i="6"/>
  <c r="F135" i="6"/>
  <c r="F137" i="6"/>
  <c r="F148" i="6"/>
  <c r="F146" i="6"/>
  <c r="F134" i="6"/>
  <c r="F133" i="6"/>
  <c r="F147" i="6"/>
  <c r="F131" i="6"/>
  <c r="F145" i="6"/>
  <c r="F132" i="6"/>
  <c r="F130" i="6"/>
  <c r="F144" i="6"/>
  <c r="F129" i="6"/>
  <c r="F143" i="6"/>
  <c r="N141" i="6"/>
  <c r="N135" i="6"/>
  <c r="N139" i="6"/>
  <c r="N138" i="6"/>
  <c r="N140" i="6"/>
  <c r="N137" i="6"/>
  <c r="N146" i="6"/>
  <c r="N147" i="6"/>
  <c r="N148" i="6"/>
  <c r="N134" i="6"/>
  <c r="N133" i="6"/>
  <c r="N131" i="6"/>
  <c r="N145" i="6"/>
  <c r="N132" i="6"/>
  <c r="N130" i="6"/>
  <c r="N144" i="6"/>
  <c r="N143" i="6"/>
  <c r="N129" i="6"/>
  <c r="V139" i="6"/>
  <c r="V141" i="6"/>
  <c r="V140" i="6"/>
  <c r="V138" i="6"/>
  <c r="V26" i="15"/>
  <c r="V135" i="6"/>
  <c r="V14" i="15"/>
  <c r="V10" i="15"/>
  <c r="V15" i="15"/>
  <c r="V24" i="17"/>
  <c r="V9" i="17"/>
  <c r="V30" i="17"/>
  <c r="V33" i="16"/>
  <c r="V27" i="15"/>
  <c r="V9" i="15"/>
  <c r="V6" i="16"/>
  <c r="V8" i="16"/>
  <c r="V21" i="15"/>
  <c r="V14" i="16"/>
  <c r="V31" i="15"/>
  <c r="V24" i="15"/>
  <c r="V20" i="16"/>
  <c r="V22" i="16"/>
  <c r="V23" i="17"/>
  <c r="V7" i="16"/>
  <c r="V12" i="15"/>
  <c r="V6" i="15"/>
  <c r="V21" i="16"/>
  <c r="V25" i="15"/>
  <c r="V6" i="17"/>
  <c r="V28" i="15"/>
  <c r="V9" i="16"/>
  <c r="V11" i="15"/>
  <c r="V5" i="15"/>
  <c r="V8" i="17"/>
  <c r="V31" i="16"/>
  <c r="V32" i="16"/>
  <c r="V4" i="17"/>
  <c r="V21" i="17"/>
  <c r="V33" i="15"/>
  <c r="V20" i="15"/>
  <c r="V22" i="15"/>
  <c r="V17" i="16"/>
  <c r="V11" i="16"/>
  <c r="V17" i="17"/>
  <c r="V7" i="15"/>
  <c r="V13" i="16"/>
  <c r="V22" i="17"/>
  <c r="V8" i="15"/>
  <c r="V23" i="15"/>
  <c r="V30" i="15"/>
  <c r="V26" i="16"/>
  <c r="V7" i="17"/>
  <c r="V23" i="16"/>
  <c r="V5" i="17"/>
  <c r="V10" i="17"/>
  <c r="V18" i="15"/>
  <c r="V13" i="15"/>
  <c r="V10" i="16"/>
  <c r="V137" i="6"/>
  <c r="V31" i="17"/>
  <c r="V17" i="15"/>
  <c r="V30" i="16"/>
  <c r="V16" i="17"/>
  <c r="V32" i="17"/>
  <c r="V18" i="16"/>
  <c r="V20" i="17"/>
  <c r="V32" i="15"/>
  <c r="V24" i="16"/>
  <c r="V28" i="16"/>
  <c r="V5" i="16"/>
  <c r="V25" i="16"/>
  <c r="V16" i="15"/>
  <c r="V12" i="16"/>
  <c r="V29" i="15"/>
  <c r="V29" i="16"/>
  <c r="V19" i="16"/>
  <c r="V4" i="16"/>
  <c r="V16" i="16"/>
  <c r="V15" i="16"/>
  <c r="V27" i="16"/>
  <c r="V19" i="17"/>
  <c r="V29" i="17"/>
  <c r="V19" i="15"/>
  <c r="V4" i="15"/>
  <c r="V3" i="16"/>
  <c r="V3" i="15"/>
  <c r="V147" i="6"/>
  <c r="V148" i="6"/>
  <c r="V146" i="6"/>
  <c r="V3" i="17"/>
  <c r="V134" i="6"/>
  <c r="V145" i="6"/>
  <c r="V133" i="6"/>
  <c r="V130" i="6"/>
  <c r="V131" i="6"/>
  <c r="V144" i="6"/>
  <c r="V132" i="6"/>
  <c r="V143" i="6"/>
  <c r="V129" i="6"/>
  <c r="R14" i="26"/>
  <c r="R26" i="26"/>
  <c r="R9" i="26"/>
  <c r="R17" i="26"/>
  <c r="R13" i="26"/>
  <c r="R10" i="26"/>
  <c r="R33" i="26"/>
  <c r="R5" i="26"/>
  <c r="R5" i="28"/>
  <c r="R20" i="26"/>
  <c r="R30" i="26"/>
  <c r="R23" i="28"/>
  <c r="R32" i="28"/>
  <c r="R9" i="28"/>
  <c r="R31" i="27"/>
  <c r="R21" i="26"/>
  <c r="R7" i="26"/>
  <c r="R7" i="27"/>
  <c r="R6" i="28"/>
  <c r="R21" i="27"/>
  <c r="R24" i="28"/>
  <c r="R24" i="26"/>
  <c r="R17" i="27"/>
  <c r="R25" i="27"/>
  <c r="R24" i="27"/>
  <c r="R10" i="27"/>
  <c r="R6" i="27"/>
  <c r="R7" i="28"/>
  <c r="R18" i="27"/>
  <c r="R5" i="27"/>
  <c r="R16" i="26"/>
  <c r="R32" i="27"/>
  <c r="R14" i="27"/>
  <c r="R26" i="27"/>
  <c r="R20" i="27"/>
  <c r="R30" i="27"/>
  <c r="R19" i="26"/>
  <c r="R17" i="28"/>
  <c r="R22" i="27"/>
  <c r="R13" i="27"/>
  <c r="R20" i="28"/>
  <c r="R8" i="28"/>
  <c r="R12" i="26"/>
  <c r="R23" i="26"/>
  <c r="R15" i="26"/>
  <c r="R25" i="26"/>
  <c r="R29" i="26"/>
  <c r="R16" i="28"/>
  <c r="R28" i="26"/>
  <c r="R27" i="26"/>
  <c r="R18" i="26"/>
  <c r="R8" i="27"/>
  <c r="R22" i="28"/>
  <c r="R31" i="28"/>
  <c r="R31" i="26"/>
  <c r="R9" i="27"/>
  <c r="R30" i="28"/>
  <c r="R29" i="28"/>
  <c r="R21" i="28"/>
  <c r="R11" i="27"/>
  <c r="R22" i="26"/>
  <c r="R12" i="27"/>
  <c r="R11" i="26"/>
  <c r="R8" i="26"/>
  <c r="R19" i="28"/>
  <c r="R6" i="26"/>
  <c r="R33" i="27"/>
  <c r="R27" i="27"/>
  <c r="R28" i="27"/>
  <c r="R10" i="28"/>
  <c r="R32" i="26"/>
  <c r="R23" i="27"/>
  <c r="R16" i="27"/>
  <c r="R29" i="27"/>
  <c r="R4" i="26"/>
  <c r="R4" i="28"/>
  <c r="R15" i="27"/>
  <c r="R4" i="27"/>
  <c r="R19" i="27"/>
  <c r="R3" i="28"/>
  <c r="R3" i="26"/>
  <c r="R3" i="27"/>
  <c r="R163" i="6"/>
  <c r="R164" i="6"/>
  <c r="R162" i="6"/>
  <c r="R159" i="6"/>
  <c r="R165" i="6"/>
  <c r="R161" i="6"/>
  <c r="R172" i="6"/>
  <c r="R170" i="6"/>
  <c r="R171" i="6"/>
  <c r="R157" i="6"/>
  <c r="R158" i="6"/>
  <c r="R169" i="6"/>
  <c r="R155" i="6"/>
  <c r="R168" i="6"/>
  <c r="R156" i="6"/>
  <c r="R154" i="6"/>
  <c r="R153" i="6"/>
  <c r="R167" i="6"/>
  <c r="K162" i="6"/>
  <c r="K165" i="6"/>
  <c r="K164" i="6"/>
  <c r="K159" i="6"/>
  <c r="K163" i="6"/>
  <c r="K161" i="6"/>
  <c r="K157" i="6"/>
  <c r="K170" i="6"/>
  <c r="K172" i="6"/>
  <c r="K158" i="6"/>
  <c r="K171" i="6"/>
  <c r="K156" i="6"/>
  <c r="K155" i="6"/>
  <c r="K169" i="6"/>
  <c r="K154" i="6"/>
  <c r="K168" i="6"/>
  <c r="K153" i="6"/>
  <c r="K167" i="6"/>
  <c r="S162" i="6"/>
  <c r="S165" i="6"/>
  <c r="S164" i="6"/>
  <c r="S159" i="6"/>
  <c r="S163" i="6"/>
  <c r="S161" i="6"/>
  <c r="S171" i="6"/>
  <c r="S170" i="6"/>
  <c r="S172" i="6"/>
  <c r="S158" i="6"/>
  <c r="S157" i="6"/>
  <c r="S155" i="6"/>
  <c r="S168" i="6"/>
  <c r="S167" i="6"/>
  <c r="S154" i="6"/>
  <c r="S156" i="6"/>
  <c r="S169" i="6"/>
  <c r="S153" i="6"/>
  <c r="G141" i="6"/>
  <c r="G138" i="6"/>
  <c r="G140" i="6"/>
  <c r="G135" i="6"/>
  <c r="G139" i="6"/>
  <c r="G137" i="6"/>
  <c r="G147" i="6"/>
  <c r="G148" i="6"/>
  <c r="G146" i="6"/>
  <c r="G133" i="6"/>
  <c r="G134" i="6"/>
  <c r="G131" i="6"/>
  <c r="G145" i="6"/>
  <c r="G132" i="6"/>
  <c r="G144" i="6"/>
  <c r="G130" i="6"/>
  <c r="G143" i="6"/>
  <c r="G129" i="6"/>
  <c r="O141" i="6"/>
  <c r="O135" i="6"/>
  <c r="O140" i="6"/>
  <c r="O138" i="6"/>
  <c r="O139" i="6"/>
  <c r="O137" i="6"/>
  <c r="O147" i="6"/>
  <c r="O148" i="6"/>
  <c r="O134" i="6"/>
  <c r="O146" i="6"/>
  <c r="O133" i="6"/>
  <c r="O145" i="6"/>
  <c r="O131" i="6"/>
  <c r="O132" i="6"/>
  <c r="O130" i="6"/>
  <c r="O144" i="6"/>
  <c r="O143" i="6"/>
  <c r="O129" i="6"/>
  <c r="W141" i="6"/>
  <c r="W139" i="6"/>
  <c r="W9" i="17"/>
  <c r="W138" i="6"/>
  <c r="W31" i="15"/>
  <c r="W8" i="16"/>
  <c r="W15" i="15"/>
  <c r="W140" i="6"/>
  <c r="W7" i="17"/>
  <c r="W19" i="17"/>
  <c r="W30" i="15"/>
  <c r="W18" i="16"/>
  <c r="W10" i="16"/>
  <c r="W6" i="17"/>
  <c r="W14" i="16"/>
  <c r="W23" i="17"/>
  <c r="W5" i="16"/>
  <c r="W32" i="16"/>
  <c r="W16" i="17"/>
  <c r="W6" i="15"/>
  <c r="W25" i="16"/>
  <c r="W11" i="16"/>
  <c r="W24" i="15"/>
  <c r="W7" i="15"/>
  <c r="W26" i="15"/>
  <c r="W31" i="16"/>
  <c r="W25" i="15"/>
  <c r="W14" i="15"/>
  <c r="W21" i="15"/>
  <c r="W9" i="16"/>
  <c r="W32" i="15"/>
  <c r="W20" i="15"/>
  <c r="W9" i="15"/>
  <c r="W32" i="17"/>
  <c r="W5" i="17"/>
  <c r="W33" i="16"/>
  <c r="W17" i="15"/>
  <c r="W12" i="16"/>
  <c r="W29" i="16"/>
  <c r="W8" i="15"/>
  <c r="W27" i="15"/>
  <c r="W26" i="16"/>
  <c r="W12" i="15"/>
  <c r="W22" i="16"/>
  <c r="W18" i="15"/>
  <c r="W11" i="15"/>
  <c r="W135" i="6"/>
  <c r="W23" i="15"/>
  <c r="W13" i="16"/>
  <c r="W16" i="16"/>
  <c r="W5" i="15"/>
  <c r="W8" i="17"/>
  <c r="W31" i="17"/>
  <c r="W22" i="17"/>
  <c r="W21" i="17"/>
  <c r="W29" i="15"/>
  <c r="W30" i="17"/>
  <c r="W28" i="16"/>
  <c r="W33" i="15"/>
  <c r="W19" i="15"/>
  <c r="W17" i="17"/>
  <c r="W23" i="16"/>
  <c r="W24" i="16"/>
  <c r="W28" i="15"/>
  <c r="W20" i="17"/>
  <c r="W30" i="16"/>
  <c r="W7" i="16"/>
  <c r="W22" i="15"/>
  <c r="W24" i="17"/>
  <c r="W10" i="17"/>
  <c r="W6" i="16"/>
  <c r="W20" i="16"/>
  <c r="W13" i="15"/>
  <c r="W17" i="16"/>
  <c r="W27" i="16"/>
  <c r="W10" i="15"/>
  <c r="W29" i="17"/>
  <c r="W15" i="16"/>
  <c r="W4" i="15"/>
  <c r="W21" i="16"/>
  <c r="W4" i="17"/>
  <c r="W137" i="6"/>
  <c r="W3" i="15"/>
  <c r="W16" i="15"/>
  <c r="W4" i="16"/>
  <c r="W19" i="16"/>
  <c r="W3" i="17"/>
  <c r="W3" i="16"/>
  <c r="W147" i="6"/>
  <c r="W148" i="6"/>
  <c r="W146" i="6"/>
  <c r="W145" i="6"/>
  <c r="W133" i="6"/>
  <c r="W134" i="6"/>
  <c r="W144" i="6"/>
  <c r="W132" i="6"/>
  <c r="W130" i="6"/>
  <c r="W131" i="6"/>
  <c r="W143" i="6"/>
  <c r="W129" i="6"/>
  <c r="S8" i="28"/>
  <c r="S30" i="27"/>
  <c r="S11" i="27"/>
  <c r="S33" i="26"/>
  <c r="S25" i="27"/>
  <c r="S23" i="27"/>
  <c r="S12" i="26"/>
  <c r="S12" i="27"/>
  <c r="S15" i="27"/>
  <c r="S19" i="28"/>
  <c r="S5" i="28"/>
  <c r="S10" i="27"/>
  <c r="S5" i="26"/>
  <c r="S28" i="27"/>
  <c r="S6" i="27"/>
  <c r="S29" i="28"/>
  <c r="S9" i="28"/>
  <c r="S9" i="26"/>
  <c r="S30" i="28"/>
  <c r="S31" i="27"/>
  <c r="S32" i="26"/>
  <c r="S7" i="26"/>
  <c r="S22" i="28"/>
  <c r="S5" i="27"/>
  <c r="S22" i="27"/>
  <c r="S14" i="26"/>
  <c r="S7" i="28"/>
  <c r="S17" i="28"/>
  <c r="S17" i="27"/>
  <c r="S22" i="26"/>
  <c r="S21" i="27"/>
  <c r="S21" i="26"/>
  <c r="S16" i="26"/>
  <c r="S14" i="27"/>
  <c r="S31" i="26"/>
  <c r="S27" i="27"/>
  <c r="S24" i="26"/>
  <c r="S32" i="27"/>
  <c r="S7" i="27"/>
  <c r="S19" i="26"/>
  <c r="S8" i="27"/>
  <c r="S23" i="28"/>
  <c r="S26" i="26"/>
  <c r="S13" i="26"/>
  <c r="S18" i="26"/>
  <c r="S25" i="26"/>
  <c r="S10" i="26"/>
  <c r="S6" i="28"/>
  <c r="S15" i="26"/>
  <c r="S33" i="27"/>
  <c r="S24" i="28"/>
  <c r="S16" i="28"/>
  <c r="S21" i="28"/>
  <c r="S18" i="27"/>
  <c r="S30" i="26"/>
  <c r="S28" i="26"/>
  <c r="S24" i="27"/>
  <c r="S10" i="28"/>
  <c r="S27" i="26"/>
  <c r="S6" i="26"/>
  <c r="S8" i="26"/>
  <c r="S11" i="26"/>
  <c r="S32" i="28"/>
  <c r="S31" i="28"/>
  <c r="S13" i="27"/>
  <c r="S9" i="27"/>
  <c r="S23" i="26"/>
  <c r="S26" i="27"/>
  <c r="S17" i="26"/>
  <c r="S4" i="26"/>
  <c r="S29" i="27"/>
  <c r="S19" i="27"/>
  <c r="S29" i="26"/>
  <c r="S4" i="27"/>
  <c r="S16" i="27"/>
  <c r="S4" i="28"/>
  <c r="S3" i="28"/>
  <c r="S3" i="26"/>
  <c r="S3" i="27"/>
  <c r="I164" i="6"/>
  <c r="I163" i="6"/>
  <c r="I159" i="6"/>
  <c r="I162" i="6"/>
  <c r="I165" i="6"/>
  <c r="I161" i="6"/>
  <c r="I157" i="6"/>
  <c r="I172" i="6"/>
  <c r="I171" i="6"/>
  <c r="I170" i="6"/>
  <c r="I158" i="6"/>
  <c r="I155" i="6"/>
  <c r="I156" i="6"/>
  <c r="I169" i="6"/>
  <c r="I154" i="6"/>
  <c r="I168" i="6"/>
  <c r="I153" i="6"/>
  <c r="I167" i="6"/>
  <c r="D165" i="6"/>
  <c r="D162" i="6"/>
  <c r="D164" i="6"/>
  <c r="D159" i="6"/>
  <c r="D163" i="6"/>
  <c r="D161" i="6"/>
  <c r="D157" i="6"/>
  <c r="D171" i="6"/>
  <c r="D172" i="6"/>
  <c r="D170" i="6"/>
  <c r="D158" i="6"/>
  <c r="D156" i="6"/>
  <c r="D169" i="6"/>
  <c r="D155" i="6"/>
  <c r="D168" i="6"/>
  <c r="D154" i="6"/>
  <c r="D153" i="6"/>
  <c r="D167" i="6"/>
  <c r="L162" i="6"/>
  <c r="L165" i="6"/>
  <c r="L159" i="6"/>
  <c r="L163" i="6"/>
  <c r="L164" i="6"/>
  <c r="L161" i="6"/>
  <c r="L158" i="6"/>
  <c r="L157" i="6"/>
  <c r="L171" i="6"/>
  <c r="L172" i="6"/>
  <c r="L170" i="6"/>
  <c r="L169" i="6"/>
  <c r="L155" i="6"/>
  <c r="L156" i="6"/>
  <c r="L154" i="6"/>
  <c r="L168" i="6"/>
  <c r="L153" i="6"/>
  <c r="L167" i="6"/>
  <c r="T162" i="6"/>
  <c r="T165" i="6"/>
  <c r="T164" i="6"/>
  <c r="T163" i="6"/>
  <c r="T161" i="6"/>
  <c r="T159" i="6"/>
  <c r="T172" i="6"/>
  <c r="T170" i="6"/>
  <c r="T171" i="6"/>
  <c r="T157" i="6"/>
  <c r="T158" i="6"/>
  <c r="T169" i="6"/>
  <c r="T155" i="6"/>
  <c r="T156" i="6"/>
  <c r="T154" i="6"/>
  <c r="T168" i="6"/>
  <c r="T153" i="6"/>
  <c r="T167" i="6"/>
  <c r="H139" i="6"/>
  <c r="H138" i="6"/>
  <c r="H140" i="6"/>
  <c r="H141" i="6"/>
  <c r="H135" i="6"/>
  <c r="H137" i="6"/>
  <c r="H134" i="6"/>
  <c r="H146" i="6"/>
  <c r="H147" i="6"/>
  <c r="H133" i="6"/>
  <c r="H148" i="6"/>
  <c r="H145" i="6"/>
  <c r="H132" i="6"/>
  <c r="H131" i="6"/>
  <c r="H144" i="6"/>
  <c r="H130" i="6"/>
  <c r="H143" i="6"/>
  <c r="H129" i="6"/>
  <c r="P139" i="6"/>
  <c r="P140" i="6"/>
  <c r="P135" i="6"/>
  <c r="P138" i="6"/>
  <c r="P141" i="6"/>
  <c r="P137" i="6"/>
  <c r="P148" i="6"/>
  <c r="P133" i="6"/>
  <c r="P146" i="6"/>
  <c r="P147" i="6"/>
  <c r="P134" i="6"/>
  <c r="P145" i="6"/>
  <c r="P131" i="6"/>
  <c r="P132" i="6"/>
  <c r="P144" i="6"/>
  <c r="P130" i="6"/>
  <c r="P129" i="6"/>
  <c r="P143" i="6"/>
  <c r="T6" i="26"/>
  <c r="T7" i="27"/>
  <c r="T11" i="26"/>
  <c r="T18" i="26"/>
  <c r="T10" i="26"/>
  <c r="T14" i="26"/>
  <c r="T30" i="26"/>
  <c r="T26" i="27"/>
  <c r="T9" i="28"/>
  <c r="T20" i="26"/>
  <c r="T10" i="28"/>
  <c r="T32" i="27"/>
  <c r="T21" i="28"/>
  <c r="T27" i="27"/>
  <c r="T22" i="27"/>
  <c r="T7" i="26"/>
  <c r="T14" i="27"/>
  <c r="T32" i="26"/>
  <c r="T26" i="26"/>
  <c r="T24" i="28"/>
  <c r="T30" i="28"/>
  <c r="T15" i="26"/>
  <c r="T31" i="27"/>
  <c r="T8" i="28"/>
  <c r="T31" i="28"/>
  <c r="T10" i="27"/>
  <c r="T7" i="28"/>
  <c r="T28" i="27"/>
  <c r="T32" i="28"/>
  <c r="T16" i="28"/>
  <c r="T21" i="27"/>
  <c r="T18" i="27"/>
  <c r="T25" i="26"/>
  <c r="T20" i="27"/>
  <c r="T24" i="26"/>
  <c r="T9" i="26"/>
  <c r="T29" i="26"/>
  <c r="T31" i="26"/>
  <c r="T11" i="27"/>
  <c r="T22" i="28"/>
  <c r="T33" i="26"/>
  <c r="T6" i="27"/>
  <c r="T13" i="26"/>
  <c r="T33" i="27"/>
  <c r="T13" i="27"/>
  <c r="T17" i="26"/>
  <c r="T16" i="26"/>
  <c r="T25" i="27"/>
  <c r="T21" i="26"/>
  <c r="T5" i="28"/>
  <c r="T22" i="26"/>
  <c r="T23" i="27"/>
  <c r="T23" i="26"/>
  <c r="T24" i="27"/>
  <c r="T6" i="28"/>
  <c r="T17" i="28"/>
  <c r="T5" i="26"/>
  <c r="T29" i="28"/>
  <c r="T23" i="28"/>
  <c r="T8" i="27"/>
  <c r="T12" i="26"/>
  <c r="T30" i="27"/>
  <c r="T5" i="27"/>
  <c r="T9" i="27"/>
  <c r="T20" i="28"/>
  <c r="T27" i="26"/>
  <c r="T8" i="26"/>
  <c r="T28" i="26"/>
  <c r="T19" i="26"/>
  <c r="T17" i="27"/>
  <c r="T12" i="27"/>
  <c r="T19" i="28"/>
  <c r="T4" i="27"/>
  <c r="T29" i="27"/>
  <c r="T16" i="27"/>
  <c r="T4" i="28"/>
  <c r="T4" i="26"/>
  <c r="T15" i="27"/>
  <c r="T19" i="27"/>
  <c r="T3" i="28"/>
  <c r="T3" i="26"/>
  <c r="T3" i="27"/>
  <c r="J162" i="6"/>
  <c r="J163" i="6"/>
  <c r="J164" i="6"/>
  <c r="J165" i="6"/>
  <c r="J159" i="6"/>
  <c r="J161" i="6"/>
  <c r="J157" i="6"/>
  <c r="J171" i="6"/>
  <c r="J172" i="6"/>
  <c r="J170" i="6"/>
  <c r="J158" i="6"/>
  <c r="J155" i="6"/>
  <c r="J169" i="6"/>
  <c r="J156" i="6"/>
  <c r="J168" i="6"/>
  <c r="J154" i="6"/>
  <c r="J167" i="6"/>
  <c r="J153" i="6"/>
  <c r="E165" i="6"/>
  <c r="E163" i="6"/>
  <c r="E164" i="6"/>
  <c r="E162" i="6"/>
  <c r="E159" i="6"/>
  <c r="E161" i="6"/>
  <c r="E157" i="6"/>
  <c r="E172" i="6"/>
  <c r="E170" i="6"/>
  <c r="E171" i="6"/>
  <c r="E158" i="6"/>
  <c r="E156" i="6"/>
  <c r="E155" i="6"/>
  <c r="E169" i="6"/>
  <c r="E154" i="6"/>
  <c r="E168" i="6"/>
  <c r="E167" i="6"/>
  <c r="E153" i="6"/>
  <c r="M165" i="6"/>
  <c r="M163" i="6"/>
  <c r="M164" i="6"/>
  <c r="M159" i="6"/>
  <c r="M162" i="6"/>
  <c r="M161" i="6"/>
  <c r="M157" i="6"/>
  <c r="M170" i="6"/>
  <c r="M158" i="6"/>
  <c r="M171" i="6"/>
  <c r="M172" i="6"/>
  <c r="M156" i="6"/>
  <c r="M155" i="6"/>
  <c r="M169" i="6"/>
  <c r="M154" i="6"/>
  <c r="M168" i="6"/>
  <c r="M153" i="6"/>
  <c r="M167" i="6"/>
  <c r="U163" i="6"/>
  <c r="U164" i="6"/>
  <c r="U165" i="6"/>
  <c r="U159" i="6"/>
  <c r="U162" i="6"/>
  <c r="U161" i="6"/>
  <c r="U171" i="6"/>
  <c r="U170" i="6"/>
  <c r="U172" i="6"/>
  <c r="U169" i="6"/>
  <c r="U158" i="6"/>
  <c r="U157" i="6"/>
  <c r="U155" i="6"/>
  <c r="U154" i="6"/>
  <c r="U156" i="6"/>
  <c r="U168" i="6"/>
  <c r="U167" i="6"/>
  <c r="U153" i="6"/>
  <c r="I139" i="6"/>
  <c r="I135" i="6"/>
  <c r="I141" i="6"/>
  <c r="I138" i="6"/>
  <c r="I140" i="6"/>
  <c r="I137" i="6"/>
  <c r="I147" i="6"/>
  <c r="I146" i="6"/>
  <c r="I148" i="6"/>
  <c r="I133" i="6"/>
  <c r="I134" i="6"/>
  <c r="I132" i="6"/>
  <c r="I131" i="6"/>
  <c r="I145" i="6"/>
  <c r="I130" i="6"/>
  <c r="I144" i="6"/>
  <c r="I129" i="6"/>
  <c r="I143" i="6"/>
  <c r="Q139" i="6"/>
  <c r="Q140" i="6"/>
  <c r="Q141" i="6"/>
  <c r="Q138" i="6"/>
  <c r="Q135" i="6"/>
  <c r="Q137" i="6"/>
  <c r="Q133" i="6"/>
  <c r="Q146" i="6"/>
  <c r="Q134" i="6"/>
  <c r="Q147" i="6"/>
  <c r="Q148" i="6"/>
  <c r="Q145" i="6"/>
  <c r="Q132" i="6"/>
  <c r="Q131" i="6"/>
  <c r="Q144" i="6"/>
  <c r="Q130" i="6"/>
  <c r="Q143" i="6"/>
  <c r="Q129" i="6"/>
  <c r="U18" i="26"/>
  <c r="U22" i="28"/>
  <c r="U10" i="27"/>
  <c r="U9" i="28"/>
  <c r="U23" i="28"/>
  <c r="U17" i="26"/>
  <c r="U5" i="26"/>
  <c r="U18" i="27"/>
  <c r="U30" i="27"/>
  <c r="U31" i="28"/>
  <c r="U17" i="27"/>
  <c r="U14" i="27"/>
  <c r="U20" i="28"/>
  <c r="U33" i="27"/>
  <c r="U17" i="28"/>
  <c r="U13" i="27"/>
  <c r="U20" i="27"/>
  <c r="U32" i="27"/>
  <c r="U33" i="26"/>
  <c r="U31" i="27"/>
  <c r="U5" i="28"/>
  <c r="U25" i="26"/>
  <c r="U16" i="28"/>
  <c r="U14" i="26"/>
  <c r="U21" i="26"/>
  <c r="U22" i="27"/>
  <c r="U22" i="26"/>
  <c r="U6" i="28"/>
  <c r="U31" i="26"/>
  <c r="U26" i="27"/>
  <c r="U16" i="26"/>
  <c r="U13" i="26"/>
  <c r="U23" i="26"/>
  <c r="U11" i="26"/>
  <c r="U30" i="26"/>
  <c r="U11" i="27"/>
  <c r="U6" i="26"/>
  <c r="U27" i="26"/>
  <c r="U5" i="27"/>
  <c r="U19" i="28"/>
  <c r="U10" i="28"/>
  <c r="U32" i="26"/>
  <c r="U21" i="28"/>
  <c r="U9" i="27"/>
  <c r="U4" i="28"/>
  <c r="U7" i="27"/>
  <c r="U15" i="27"/>
  <c r="U28" i="27"/>
  <c r="U9" i="26"/>
  <c r="U29" i="26"/>
  <c r="U28" i="26"/>
  <c r="U24" i="26"/>
  <c r="U23" i="27"/>
  <c r="U8" i="28"/>
  <c r="U26" i="26"/>
  <c r="U25" i="27"/>
  <c r="U19" i="26"/>
  <c r="U30" i="28"/>
  <c r="U29" i="28"/>
  <c r="U7" i="28"/>
  <c r="U15" i="26"/>
  <c r="U10" i="26"/>
  <c r="U21" i="27"/>
  <c r="U12" i="27"/>
  <c r="U6" i="27"/>
  <c r="U8" i="27"/>
  <c r="U7" i="26"/>
  <c r="U12" i="26"/>
  <c r="U27" i="27"/>
  <c r="U24" i="28"/>
  <c r="U24" i="27"/>
  <c r="U20" i="26"/>
  <c r="U8" i="26"/>
  <c r="U4" i="27"/>
  <c r="U4" i="26"/>
  <c r="U16" i="27"/>
  <c r="U29" i="27"/>
  <c r="U19" i="27"/>
  <c r="U3" i="28"/>
  <c r="U3" i="27"/>
  <c r="U3" i="26"/>
  <c r="F163" i="6"/>
  <c r="F162" i="6"/>
  <c r="F164" i="6"/>
  <c r="F165" i="6"/>
  <c r="F159" i="6"/>
  <c r="F161" i="6"/>
  <c r="F170" i="6"/>
  <c r="F158" i="6"/>
  <c r="F157" i="6"/>
  <c r="F171" i="6"/>
  <c r="F172" i="6"/>
  <c r="F156" i="6"/>
  <c r="F169" i="6"/>
  <c r="F155" i="6"/>
  <c r="F154" i="6"/>
  <c r="F168" i="6"/>
  <c r="F153" i="6"/>
  <c r="F167" i="6"/>
  <c r="N163" i="6"/>
  <c r="N162" i="6"/>
  <c r="N159" i="6"/>
  <c r="N165" i="6"/>
  <c r="N164" i="6"/>
  <c r="N161" i="6"/>
  <c r="N171" i="6"/>
  <c r="N170" i="6"/>
  <c r="N172" i="6"/>
  <c r="N157" i="6"/>
  <c r="N158" i="6"/>
  <c r="N155" i="6"/>
  <c r="N156" i="6"/>
  <c r="N169" i="6"/>
  <c r="N154" i="6"/>
  <c r="N168" i="6"/>
  <c r="N167" i="6"/>
  <c r="N153" i="6"/>
  <c r="V163" i="6"/>
  <c r="V159" i="6"/>
  <c r="V164" i="6"/>
  <c r="V162" i="6"/>
  <c r="V165" i="6"/>
  <c r="V161" i="6"/>
  <c r="V171" i="6"/>
  <c r="V172" i="6"/>
  <c r="V170" i="6"/>
  <c r="V169" i="6"/>
  <c r="V158" i="6"/>
  <c r="V157" i="6"/>
  <c r="V168" i="6"/>
  <c r="V156" i="6"/>
  <c r="V155" i="6"/>
  <c r="V154" i="6"/>
  <c r="V167" i="6"/>
  <c r="V153" i="6"/>
  <c r="J138" i="6"/>
  <c r="J140" i="6"/>
  <c r="J141" i="6"/>
  <c r="J135" i="6"/>
  <c r="J139" i="6"/>
  <c r="J137" i="6"/>
  <c r="J147" i="6"/>
  <c r="J146" i="6"/>
  <c r="J134" i="6"/>
  <c r="J148" i="6"/>
  <c r="J133" i="6"/>
  <c r="J145" i="6"/>
  <c r="J132" i="6"/>
  <c r="J131" i="6"/>
  <c r="J130" i="6"/>
  <c r="J144" i="6"/>
  <c r="J143" i="6"/>
  <c r="J129" i="6"/>
  <c r="R135" i="6"/>
  <c r="R141" i="6"/>
  <c r="R12" i="15"/>
  <c r="R8" i="15"/>
  <c r="R138" i="6"/>
  <c r="R140" i="6"/>
  <c r="R139" i="6"/>
  <c r="R24" i="15"/>
  <c r="R25" i="16"/>
  <c r="R5" i="17"/>
  <c r="R7" i="17"/>
  <c r="R10" i="17"/>
  <c r="R33" i="15"/>
  <c r="R32" i="17"/>
  <c r="R16" i="17"/>
  <c r="R20" i="16"/>
  <c r="R30" i="16"/>
  <c r="R23" i="16"/>
  <c r="R30" i="17"/>
  <c r="R24" i="16"/>
  <c r="R10" i="16"/>
  <c r="R31" i="15"/>
  <c r="R20" i="17"/>
  <c r="R32" i="16"/>
  <c r="R24" i="17"/>
  <c r="R21" i="16"/>
  <c r="R19" i="17"/>
  <c r="R9" i="17"/>
  <c r="R9" i="15"/>
  <c r="R137" i="6"/>
  <c r="R11" i="15"/>
  <c r="R5" i="15"/>
  <c r="R18" i="15"/>
  <c r="R22" i="15"/>
  <c r="R25" i="15"/>
  <c r="R6" i="15"/>
  <c r="R17" i="15"/>
  <c r="R22" i="17"/>
  <c r="R10" i="15"/>
  <c r="R13" i="15"/>
  <c r="R7" i="15"/>
  <c r="R33" i="16"/>
  <c r="R31" i="17"/>
  <c r="R23" i="17"/>
  <c r="R12" i="16"/>
  <c r="R6" i="17"/>
  <c r="R20" i="15"/>
  <c r="R26" i="16"/>
  <c r="R26" i="15"/>
  <c r="R22" i="16"/>
  <c r="R8" i="16"/>
  <c r="R17" i="17"/>
  <c r="R15" i="16"/>
  <c r="R21" i="17"/>
  <c r="R32" i="15"/>
  <c r="R31" i="16"/>
  <c r="R7" i="16"/>
  <c r="R18" i="16"/>
  <c r="R14" i="16"/>
  <c r="R14" i="15"/>
  <c r="R17" i="16"/>
  <c r="R23" i="15"/>
  <c r="R30" i="15"/>
  <c r="R9" i="16"/>
  <c r="R28" i="15"/>
  <c r="R8" i="17"/>
  <c r="R6" i="16"/>
  <c r="R27" i="16"/>
  <c r="R29" i="15"/>
  <c r="R5" i="16"/>
  <c r="R11" i="16"/>
  <c r="R13" i="16"/>
  <c r="R28" i="16"/>
  <c r="R21" i="15"/>
  <c r="R16" i="15"/>
  <c r="R19" i="16"/>
  <c r="R29" i="16"/>
  <c r="R4" i="17"/>
  <c r="R29" i="17"/>
  <c r="R16" i="16"/>
  <c r="R19" i="15"/>
  <c r="R4" i="15"/>
  <c r="R27" i="15"/>
  <c r="R3" i="15"/>
  <c r="R4" i="16"/>
  <c r="R15" i="15"/>
  <c r="R3" i="17"/>
  <c r="R148" i="6"/>
  <c r="R3" i="16"/>
  <c r="R146" i="6"/>
  <c r="R147" i="6"/>
  <c r="R133" i="6"/>
  <c r="R145" i="6"/>
  <c r="R134" i="6"/>
  <c r="R131" i="6"/>
  <c r="R130" i="6"/>
  <c r="R132" i="6"/>
  <c r="R144" i="6"/>
  <c r="R143" i="6"/>
  <c r="R129" i="6"/>
  <c r="V12" i="26"/>
  <c r="V21" i="26"/>
  <c r="V7" i="26"/>
  <c r="V11" i="26"/>
  <c r="V24" i="26"/>
  <c r="V17" i="26"/>
  <c r="V19" i="28"/>
  <c r="V8" i="28"/>
  <c r="V7" i="28"/>
  <c r="V16" i="28"/>
  <c r="V33" i="26"/>
  <c r="V6" i="26"/>
  <c r="V16" i="26"/>
  <c r="V27" i="27"/>
  <c r="V22" i="28"/>
  <c r="V5" i="28"/>
  <c r="V20" i="28"/>
  <c r="V8" i="27"/>
  <c r="V25" i="27"/>
  <c r="V8" i="26"/>
  <c r="V10" i="26"/>
  <c r="V26" i="27"/>
  <c r="V22" i="26"/>
  <c r="V31" i="28"/>
  <c r="V33" i="27"/>
  <c r="V18" i="27"/>
  <c r="V23" i="26"/>
  <c r="V14" i="26"/>
  <c r="V26" i="26"/>
  <c r="V30" i="27"/>
  <c r="V17" i="27"/>
  <c r="V5" i="27"/>
  <c r="V13" i="27"/>
  <c r="V7" i="27"/>
  <c r="V21" i="28"/>
  <c r="V9" i="26"/>
  <c r="V9" i="27"/>
  <c r="V20" i="27"/>
  <c r="V4" i="28"/>
  <c r="V23" i="27"/>
  <c r="V23" i="28"/>
  <c r="V32" i="27"/>
  <c r="V24" i="27"/>
  <c r="V25" i="26"/>
  <c r="V15" i="26"/>
  <c r="V31" i="27"/>
  <c r="V19" i="26"/>
  <c r="V28" i="27"/>
  <c r="V10" i="28"/>
  <c r="V27" i="26"/>
  <c r="V32" i="26"/>
  <c r="V9" i="28"/>
  <c r="V4" i="26"/>
  <c r="V10" i="27"/>
  <c r="V14" i="27"/>
  <c r="V5" i="26"/>
  <c r="V17" i="28"/>
  <c r="V30" i="26"/>
  <c r="V11" i="27"/>
  <c r="V12" i="27"/>
  <c r="V18" i="26"/>
  <c r="V6" i="27"/>
  <c r="V31" i="26"/>
  <c r="V28" i="26"/>
  <c r="V24" i="28"/>
  <c r="V13" i="26"/>
  <c r="V6" i="28"/>
  <c r="V22" i="27"/>
  <c r="V30" i="28"/>
  <c r="V20" i="26"/>
  <c r="V21" i="27"/>
  <c r="V4" i="27"/>
  <c r="V16" i="27"/>
  <c r="V15" i="27"/>
  <c r="V19" i="27"/>
  <c r="V3" i="28"/>
  <c r="V29" i="26"/>
  <c r="V29" i="27"/>
  <c r="V29" i="28"/>
  <c r="V3" i="26"/>
  <c r="V3" i="27"/>
  <c r="G163" i="6"/>
  <c r="G165" i="6"/>
  <c r="G162" i="6"/>
  <c r="G164" i="6"/>
  <c r="G159" i="6"/>
  <c r="G161" i="6"/>
  <c r="G157" i="6"/>
  <c r="G158" i="6"/>
  <c r="G171" i="6"/>
  <c r="G172" i="6"/>
  <c r="G170" i="6"/>
  <c r="G155" i="6"/>
  <c r="G169" i="6"/>
  <c r="G156" i="6"/>
  <c r="G154" i="6"/>
  <c r="G168" i="6"/>
  <c r="G167" i="6"/>
  <c r="G153" i="6"/>
  <c r="O163" i="6"/>
  <c r="O159" i="6"/>
  <c r="O162" i="6"/>
  <c r="O164" i="6"/>
  <c r="O165" i="6"/>
  <c r="O161" i="6"/>
  <c r="O171" i="6"/>
  <c r="O172" i="6"/>
  <c r="O157" i="6"/>
  <c r="O158" i="6"/>
  <c r="O170" i="6"/>
  <c r="O156" i="6"/>
  <c r="O169" i="6"/>
  <c r="O155" i="6"/>
  <c r="O154" i="6"/>
  <c r="O168" i="6"/>
  <c r="O167" i="6"/>
  <c r="O153" i="6"/>
  <c r="W163" i="6"/>
  <c r="W164" i="6"/>
  <c r="W165" i="6"/>
  <c r="W162" i="6"/>
  <c r="W159" i="6"/>
  <c r="W161" i="6"/>
  <c r="W171" i="6"/>
  <c r="W172" i="6"/>
  <c r="W170" i="6"/>
  <c r="W158" i="6"/>
  <c r="W169" i="6"/>
  <c r="W157" i="6"/>
  <c r="W154" i="6"/>
  <c r="W155" i="6"/>
  <c r="W156" i="6"/>
  <c r="W168" i="6"/>
  <c r="W167" i="6"/>
  <c r="W153" i="6"/>
  <c r="K141" i="6"/>
  <c r="K140" i="6"/>
  <c r="K138" i="6"/>
  <c r="K135" i="6"/>
  <c r="K139" i="6"/>
  <c r="K137" i="6"/>
  <c r="K147" i="6"/>
  <c r="K133" i="6"/>
  <c r="K134" i="6"/>
  <c r="K148" i="6"/>
  <c r="K146" i="6"/>
  <c r="K132" i="6"/>
  <c r="K145" i="6"/>
  <c r="K131" i="6"/>
  <c r="K144" i="6"/>
  <c r="K130" i="6"/>
  <c r="K129" i="6"/>
  <c r="K143" i="6"/>
  <c r="S140" i="6"/>
  <c r="S32" i="15"/>
  <c r="S138" i="6"/>
  <c r="S21" i="15"/>
  <c r="S30" i="16"/>
  <c r="S5" i="15"/>
  <c r="S135" i="6"/>
  <c r="S139" i="6"/>
  <c r="S14" i="16"/>
  <c r="S141" i="6"/>
  <c r="S15" i="15"/>
  <c r="S32" i="16"/>
  <c r="S18" i="16"/>
  <c r="S32" i="17"/>
  <c r="S10" i="16"/>
  <c r="S19" i="15"/>
  <c r="S21" i="16"/>
  <c r="S22" i="15"/>
  <c r="S12" i="15"/>
  <c r="S8" i="17"/>
  <c r="S25" i="15"/>
  <c r="S11" i="16"/>
  <c r="S10" i="17"/>
  <c r="S13" i="16"/>
  <c r="S26" i="15"/>
  <c r="S31" i="16"/>
  <c r="S5" i="17"/>
  <c r="S6" i="16"/>
  <c r="S29" i="17"/>
  <c r="S23" i="15"/>
  <c r="S27" i="15"/>
  <c r="S31" i="17"/>
  <c r="S8" i="16"/>
  <c r="S17" i="15"/>
  <c r="S15" i="16"/>
  <c r="S28" i="15"/>
  <c r="S17" i="16"/>
  <c r="S7" i="16"/>
  <c r="S24" i="15"/>
  <c r="S23" i="17"/>
  <c r="S29" i="15"/>
  <c r="S9" i="17"/>
  <c r="S27" i="16"/>
  <c r="S9" i="16"/>
  <c r="S24" i="16"/>
  <c r="S26" i="16"/>
  <c r="S18" i="15"/>
  <c r="S25" i="16"/>
  <c r="S30" i="17"/>
  <c r="S20" i="15"/>
  <c r="S20" i="17"/>
  <c r="S6" i="15"/>
  <c r="S23" i="16"/>
  <c r="S16" i="15"/>
  <c r="S30" i="15"/>
  <c r="S31" i="15"/>
  <c r="S8" i="15"/>
  <c r="S137" i="6"/>
  <c r="S7" i="17"/>
  <c r="S21" i="17"/>
  <c r="S10" i="15"/>
  <c r="S13" i="15"/>
  <c r="S33" i="16"/>
  <c r="S9" i="15"/>
  <c r="S14" i="15"/>
  <c r="S11" i="15"/>
  <c r="S6" i="17"/>
  <c r="S17" i="17"/>
  <c r="S33" i="15"/>
  <c r="S12" i="16"/>
  <c r="S22" i="16"/>
  <c r="S20" i="16"/>
  <c r="S22" i="17"/>
  <c r="S16" i="17"/>
  <c r="S19" i="17"/>
  <c r="S24" i="17"/>
  <c r="S7" i="15"/>
  <c r="S5" i="16"/>
  <c r="S28" i="16"/>
  <c r="S4" i="17"/>
  <c r="S29" i="16"/>
  <c r="S19" i="16"/>
  <c r="S3" i="15"/>
  <c r="S4" i="16"/>
  <c r="S4" i="15"/>
  <c r="S16" i="16"/>
  <c r="S147" i="6"/>
  <c r="S3" i="17"/>
  <c r="S146" i="6"/>
  <c r="S3" i="16"/>
  <c r="S148" i="6"/>
  <c r="S134" i="6"/>
  <c r="S133" i="6"/>
  <c r="S132" i="6"/>
  <c r="S144" i="6"/>
  <c r="S145" i="6"/>
  <c r="S143" i="6"/>
  <c r="S130" i="6"/>
  <c r="S131" i="6"/>
  <c r="S129" i="6"/>
  <c r="W23" i="28"/>
  <c r="W10" i="28"/>
  <c r="W28" i="27"/>
  <c r="W18" i="27"/>
  <c r="W31" i="28"/>
  <c r="W11" i="26"/>
  <c r="W11" i="27"/>
  <c r="W5" i="28"/>
  <c r="W23" i="26"/>
  <c r="W22" i="27"/>
  <c r="W8" i="28"/>
  <c r="W13" i="27"/>
  <c r="W18" i="26"/>
  <c r="W27" i="27"/>
  <c r="W28" i="26"/>
  <c r="W24" i="26"/>
  <c r="W30" i="28"/>
  <c r="W32" i="26"/>
  <c r="W29" i="26"/>
  <c r="W33" i="27"/>
  <c r="W24" i="28"/>
  <c r="W19" i="27"/>
  <c r="W31" i="26"/>
  <c r="W30" i="27"/>
  <c r="W22" i="28"/>
  <c r="W10" i="27"/>
  <c r="W7" i="28"/>
  <c r="W12" i="27"/>
  <c r="W16" i="27"/>
  <c r="W6" i="27"/>
  <c r="W8" i="27"/>
  <c r="W9" i="28"/>
  <c r="W25" i="27"/>
  <c r="W9" i="27"/>
  <c r="W7" i="26"/>
  <c r="W25" i="26"/>
  <c r="W6" i="26"/>
  <c r="W20" i="28"/>
  <c r="W27" i="26"/>
  <c r="W12" i="26"/>
  <c r="W23" i="27"/>
  <c r="W20" i="26"/>
  <c r="W17" i="27"/>
  <c r="W26" i="26"/>
  <c r="W9" i="26"/>
  <c r="W24" i="27"/>
  <c r="W26" i="27"/>
  <c r="W20" i="27"/>
  <c r="W10" i="26"/>
  <c r="W19" i="28"/>
  <c r="W30" i="26"/>
  <c r="W16" i="26"/>
  <c r="W14" i="26"/>
  <c r="W14" i="27"/>
  <c r="W21" i="27"/>
  <c r="W5" i="27"/>
  <c r="W32" i="27"/>
  <c r="W17" i="26"/>
  <c r="W8" i="26"/>
  <c r="W7" i="27"/>
  <c r="W31" i="27"/>
  <c r="W29" i="28"/>
  <c r="W22" i="26"/>
  <c r="W13" i="26"/>
  <c r="W6" i="28"/>
  <c r="W21" i="26"/>
  <c r="W16" i="28"/>
  <c r="W21" i="28"/>
  <c r="W5" i="26"/>
  <c r="W17" i="28"/>
  <c r="W15" i="27"/>
  <c r="W33" i="26"/>
  <c r="W29" i="27"/>
  <c r="W15" i="26"/>
  <c r="W4" i="26"/>
  <c r="W19" i="26"/>
  <c r="W4" i="28"/>
  <c r="W4" i="27"/>
  <c r="W3" i="26"/>
  <c r="W3" i="28"/>
  <c r="W3" i="27"/>
  <c r="B37" i="6" l="1"/>
  <c r="B33" i="6"/>
  <c r="C32" i="39" l="1"/>
  <c r="D32" i="39"/>
  <c r="E32" i="39"/>
  <c r="L45" i="39"/>
  <c r="M45" i="39"/>
  <c r="D33" i="39"/>
  <c r="E33" i="39"/>
  <c r="G33" i="39"/>
  <c r="L46" i="39"/>
  <c r="M46" i="39"/>
  <c r="D34" i="39"/>
  <c r="E34" i="39"/>
  <c r="L47" i="39"/>
  <c r="M47" i="39"/>
  <c r="D35" i="39"/>
  <c r="E35" i="39"/>
  <c r="L35" i="39"/>
  <c r="M35" i="39"/>
  <c r="D36" i="39"/>
  <c r="E36" i="39"/>
  <c r="L36" i="39"/>
  <c r="M36" i="39"/>
  <c r="D37" i="39"/>
  <c r="E37" i="39"/>
  <c r="L37" i="39"/>
  <c r="M37" i="39"/>
  <c r="C38" i="39"/>
  <c r="D38" i="39"/>
  <c r="E38" i="39"/>
  <c r="F38" i="39"/>
  <c r="I38" i="39"/>
  <c r="L38" i="39"/>
  <c r="M38" i="39"/>
  <c r="Q38" i="39"/>
  <c r="D39" i="39"/>
  <c r="E39" i="39"/>
  <c r="I52" i="39"/>
  <c r="L39" i="39"/>
  <c r="M39" i="39"/>
  <c r="Q52" i="39"/>
  <c r="C40" i="39"/>
  <c r="D40" i="39"/>
  <c r="E40" i="39"/>
  <c r="I40" i="39"/>
  <c r="L40" i="39"/>
  <c r="M53" i="39"/>
  <c r="Q40" i="39"/>
  <c r="H32" i="39"/>
  <c r="I32" i="39"/>
  <c r="P32" i="39"/>
  <c r="Q32" i="39"/>
  <c r="H33" i="39"/>
  <c r="I33" i="39"/>
  <c r="P33" i="39"/>
  <c r="Q33" i="39"/>
  <c r="H34" i="39"/>
  <c r="I34" i="39"/>
  <c r="P34" i="39"/>
  <c r="Q34" i="39"/>
  <c r="H35" i="39"/>
  <c r="I35" i="39"/>
  <c r="P35" i="39"/>
  <c r="Q35" i="39"/>
  <c r="H36" i="39"/>
  <c r="I36" i="39"/>
  <c r="P36" i="39"/>
  <c r="Q36" i="39"/>
  <c r="H37" i="39"/>
  <c r="I37" i="39"/>
  <c r="P37" i="39"/>
  <c r="Q37" i="39"/>
  <c r="H38" i="39"/>
  <c r="P38" i="39"/>
  <c r="H39" i="39"/>
  <c r="I39" i="39"/>
  <c r="P39" i="39"/>
  <c r="Q39" i="39"/>
  <c r="H40" i="39"/>
  <c r="P40" i="39"/>
  <c r="H45" i="39"/>
  <c r="I45" i="39"/>
  <c r="P45" i="39"/>
  <c r="Q45" i="39"/>
  <c r="H46" i="39"/>
  <c r="I46" i="39"/>
  <c r="P46" i="39"/>
  <c r="Q46" i="39"/>
  <c r="H47" i="39"/>
  <c r="I47" i="39"/>
  <c r="P47" i="39"/>
  <c r="Q47" i="39"/>
  <c r="H52" i="39"/>
  <c r="P52" i="39"/>
  <c r="D53" i="39"/>
  <c r="E53" i="39"/>
  <c r="H53" i="39"/>
  <c r="P53" i="39"/>
  <c r="B32" i="38"/>
  <c r="C32" i="38"/>
  <c r="D32" i="38"/>
  <c r="E32" i="38"/>
  <c r="F32" i="38"/>
  <c r="G32" i="38"/>
  <c r="H32" i="38"/>
  <c r="I32" i="38"/>
  <c r="J32" i="38"/>
  <c r="K32" i="38"/>
  <c r="L32" i="38"/>
  <c r="M32" i="38"/>
  <c r="N32" i="38"/>
  <c r="O32" i="38"/>
  <c r="P32" i="38"/>
  <c r="Q32" i="38"/>
  <c r="B33" i="38"/>
  <c r="C33" i="38"/>
  <c r="D33" i="38"/>
  <c r="E33" i="38"/>
  <c r="F33" i="38"/>
  <c r="G33" i="38"/>
  <c r="H33" i="38"/>
  <c r="I33" i="38"/>
  <c r="J33" i="38"/>
  <c r="K33" i="38"/>
  <c r="L33" i="38"/>
  <c r="M33" i="38"/>
  <c r="N33" i="38"/>
  <c r="O33" i="38"/>
  <c r="P33" i="38"/>
  <c r="Q33" i="38"/>
  <c r="B34" i="38"/>
  <c r="C34" i="38"/>
  <c r="D34" i="38"/>
  <c r="E34" i="38"/>
  <c r="F34" i="38"/>
  <c r="G34" i="38"/>
  <c r="H34" i="38"/>
  <c r="I34" i="38"/>
  <c r="J34" i="38"/>
  <c r="K34" i="38"/>
  <c r="L34" i="38"/>
  <c r="M34" i="38"/>
  <c r="N34" i="38"/>
  <c r="O34" i="38"/>
  <c r="P34" i="38"/>
  <c r="Q34" i="38"/>
  <c r="B35" i="38"/>
  <c r="C35" i="38"/>
  <c r="D35" i="38"/>
  <c r="E35" i="38"/>
  <c r="F35" i="38"/>
  <c r="G35" i="38"/>
  <c r="H35" i="38"/>
  <c r="I35" i="38"/>
  <c r="J35" i="38"/>
  <c r="K35" i="38"/>
  <c r="L35" i="38"/>
  <c r="M35" i="38"/>
  <c r="N35" i="38"/>
  <c r="O35" i="38"/>
  <c r="P35" i="38"/>
  <c r="Q35" i="38"/>
  <c r="B36" i="38"/>
  <c r="C36" i="38"/>
  <c r="D36" i="38"/>
  <c r="E36" i="38"/>
  <c r="F36" i="38"/>
  <c r="G36" i="38"/>
  <c r="H36" i="38"/>
  <c r="I36" i="38"/>
  <c r="J36" i="38"/>
  <c r="K36" i="38"/>
  <c r="L36" i="38"/>
  <c r="M36" i="38"/>
  <c r="N36" i="38"/>
  <c r="O36" i="38"/>
  <c r="P36" i="38"/>
  <c r="Q36" i="38"/>
  <c r="B37" i="38"/>
  <c r="C37" i="38"/>
  <c r="D37" i="38"/>
  <c r="E37" i="38"/>
  <c r="F37" i="38"/>
  <c r="G37" i="38"/>
  <c r="H37" i="38"/>
  <c r="I37" i="38"/>
  <c r="J37" i="38"/>
  <c r="K37" i="38"/>
  <c r="L37" i="38"/>
  <c r="M37" i="38"/>
  <c r="N37" i="38"/>
  <c r="O37" i="38"/>
  <c r="P37" i="38"/>
  <c r="Q37" i="38"/>
  <c r="B38" i="38"/>
  <c r="C38" i="38"/>
  <c r="D38" i="38"/>
  <c r="E38" i="38"/>
  <c r="F38" i="38"/>
  <c r="G38" i="38"/>
  <c r="H38" i="38"/>
  <c r="I38" i="38"/>
  <c r="J38" i="38"/>
  <c r="K38" i="38"/>
  <c r="L38" i="38"/>
  <c r="M38" i="38"/>
  <c r="N38" i="38"/>
  <c r="O38" i="38"/>
  <c r="P38" i="38"/>
  <c r="Q38" i="38"/>
  <c r="B39" i="38"/>
  <c r="C39" i="38"/>
  <c r="D39" i="38"/>
  <c r="E39" i="38"/>
  <c r="F39" i="38"/>
  <c r="G39" i="38"/>
  <c r="H39" i="38"/>
  <c r="I39" i="38"/>
  <c r="J39" i="38"/>
  <c r="K39" i="38"/>
  <c r="L39" i="38"/>
  <c r="M39" i="38"/>
  <c r="N39" i="38"/>
  <c r="O39" i="38"/>
  <c r="P39" i="38"/>
  <c r="Q39" i="38"/>
  <c r="B40" i="38"/>
  <c r="C40" i="38"/>
  <c r="D40" i="38"/>
  <c r="E40" i="38"/>
  <c r="F40" i="38"/>
  <c r="G40" i="38"/>
  <c r="H40" i="38"/>
  <c r="I40" i="38"/>
  <c r="J40" i="38"/>
  <c r="K40" i="38"/>
  <c r="L40" i="38"/>
  <c r="M40" i="38"/>
  <c r="N40" i="38"/>
  <c r="O40" i="38"/>
  <c r="P40" i="38"/>
  <c r="Q40" i="38"/>
  <c r="E32" i="37"/>
  <c r="F32" i="37"/>
  <c r="I32" i="37"/>
  <c r="J32" i="37"/>
  <c r="M32" i="37"/>
  <c r="N32" i="37"/>
  <c r="E33" i="37"/>
  <c r="I33" i="37"/>
  <c r="J33" i="37"/>
  <c r="M33" i="37"/>
  <c r="Q33" i="37"/>
  <c r="E34" i="37"/>
  <c r="I34" i="37"/>
  <c r="J34" i="37"/>
  <c r="M34" i="37"/>
  <c r="N34" i="37"/>
  <c r="F35" i="37"/>
  <c r="N35" i="37"/>
  <c r="F36" i="37"/>
  <c r="J36" i="37"/>
  <c r="Q36" i="37"/>
  <c r="B37" i="37"/>
  <c r="F37" i="37"/>
  <c r="N37" i="37"/>
  <c r="C38" i="37"/>
  <c r="J38" i="37"/>
  <c r="Q51" i="39"/>
  <c r="E39" i="37"/>
  <c r="F39" i="37"/>
  <c r="I39" i="37"/>
  <c r="M39" i="37"/>
  <c r="N39" i="37"/>
  <c r="Q39" i="37"/>
  <c r="C40" i="37"/>
  <c r="E40" i="37"/>
  <c r="I40" i="37"/>
  <c r="J40" i="37"/>
  <c r="M40" i="37"/>
  <c r="B32" i="37"/>
  <c r="C32" i="37"/>
  <c r="O32" i="37"/>
  <c r="F33" i="37"/>
  <c r="N33" i="37"/>
  <c r="O33" i="37"/>
  <c r="C34" i="37"/>
  <c r="O34" i="37"/>
  <c r="O35" i="37"/>
  <c r="C36" i="37"/>
  <c r="O36" i="37"/>
  <c r="M37" i="37"/>
  <c r="F38" i="37"/>
  <c r="Q38" i="37"/>
  <c r="O39" i="37"/>
  <c r="O40" i="37"/>
  <c r="F48" i="37"/>
  <c r="N48" i="37"/>
  <c r="A6" i="35"/>
  <c r="A8" i="35"/>
  <c r="A9" i="35"/>
  <c r="A10" i="35"/>
  <c r="A14" i="35"/>
  <c r="A15" i="35"/>
  <c r="A6" i="34"/>
  <c r="A8" i="34"/>
  <c r="A9" i="34"/>
  <c r="A10" i="34"/>
  <c r="A14" i="34"/>
  <c r="A15" i="34"/>
  <c r="A6" i="33"/>
  <c r="A8" i="33"/>
  <c r="A9" i="33"/>
  <c r="A10" i="33"/>
  <c r="A14" i="33"/>
  <c r="A15" i="33"/>
  <c r="A6" i="32"/>
  <c r="A8" i="32"/>
  <c r="A9" i="32"/>
  <c r="A10" i="32"/>
  <c r="A14" i="32"/>
  <c r="A15" i="32"/>
  <c r="A6" i="31"/>
  <c r="A8" i="31"/>
  <c r="A9" i="31"/>
  <c r="A10" i="31"/>
  <c r="A14" i="31"/>
  <c r="A15" i="31"/>
  <c r="A6" i="30"/>
  <c r="A8" i="30"/>
  <c r="A9" i="30"/>
  <c r="A10" i="30"/>
  <c r="A14" i="30"/>
  <c r="A15" i="30"/>
  <c r="B3" i="30"/>
  <c r="D3" i="30"/>
  <c r="F3" i="30"/>
  <c r="H3" i="30"/>
  <c r="J3" i="30"/>
  <c r="L3" i="30"/>
  <c r="O3" i="30"/>
  <c r="Q3" i="30"/>
  <c r="B3" i="31"/>
  <c r="C3" i="31"/>
  <c r="D3" i="31"/>
  <c r="E3" i="31"/>
  <c r="F3" i="31"/>
  <c r="G3" i="31"/>
  <c r="I3" i="31"/>
  <c r="J3" i="31"/>
  <c r="K3" i="31"/>
  <c r="L3" i="31"/>
  <c r="M3" i="31"/>
  <c r="N3" i="31"/>
  <c r="O3" i="31"/>
  <c r="P3" i="31"/>
  <c r="Q3" i="31"/>
  <c r="B3" i="32"/>
  <c r="C3" i="32"/>
  <c r="D3" i="32"/>
  <c r="E3" i="32"/>
  <c r="F3" i="32"/>
  <c r="G3" i="32"/>
  <c r="H3" i="32"/>
  <c r="I3" i="32"/>
  <c r="J3" i="32"/>
  <c r="K3" i="32"/>
  <c r="L3" i="32"/>
  <c r="M3" i="32"/>
  <c r="N3" i="32"/>
  <c r="O3" i="32"/>
  <c r="P3" i="32"/>
  <c r="Q3" i="32"/>
  <c r="B3" i="33"/>
  <c r="C3" i="33"/>
  <c r="D3" i="33"/>
  <c r="E3" i="33"/>
  <c r="F3" i="33"/>
  <c r="G3" i="33"/>
  <c r="H3" i="33"/>
  <c r="I3" i="33"/>
  <c r="J3" i="33"/>
  <c r="K3" i="33"/>
  <c r="L3" i="33"/>
  <c r="M3" i="33"/>
  <c r="N3" i="33"/>
  <c r="O3" i="33"/>
  <c r="P3" i="33"/>
  <c r="Q3" i="33"/>
  <c r="B3" i="34"/>
  <c r="C3" i="34"/>
  <c r="E3" i="34"/>
  <c r="F3" i="34"/>
  <c r="G3" i="34"/>
  <c r="H3" i="34"/>
  <c r="I3" i="34"/>
  <c r="J3" i="34"/>
  <c r="K3" i="34"/>
  <c r="L3" i="34"/>
  <c r="M3" i="34"/>
  <c r="N3" i="34"/>
  <c r="O3" i="34"/>
  <c r="P3" i="34"/>
  <c r="Q3" i="34"/>
  <c r="B3" i="35"/>
  <c r="C3" i="35"/>
  <c r="D3" i="35"/>
  <c r="E3" i="35"/>
  <c r="F3" i="35"/>
  <c r="G3" i="35"/>
  <c r="H3" i="35"/>
  <c r="I3" i="35"/>
  <c r="J3" i="35"/>
  <c r="K3" i="35"/>
  <c r="L3" i="35"/>
  <c r="M3" i="35"/>
  <c r="N3" i="35"/>
  <c r="O3" i="35"/>
  <c r="P3" i="35"/>
  <c r="Q3" i="35"/>
  <c r="G5" i="30"/>
  <c r="J5" i="30"/>
  <c r="K5" i="30"/>
  <c r="L5" i="30"/>
  <c r="N5" i="30"/>
  <c r="Q5" i="30"/>
  <c r="B5" i="31"/>
  <c r="C5" i="31"/>
  <c r="D5" i="31"/>
  <c r="E5" i="31"/>
  <c r="F5" i="31"/>
  <c r="G5" i="31"/>
  <c r="H5" i="31"/>
  <c r="I5" i="31"/>
  <c r="J5" i="31"/>
  <c r="K5" i="31"/>
  <c r="L5" i="31"/>
  <c r="M5" i="31"/>
  <c r="N5" i="31"/>
  <c r="O5" i="31"/>
  <c r="P5" i="31"/>
  <c r="Q5" i="31"/>
  <c r="B5" i="32"/>
  <c r="C5" i="32"/>
  <c r="D5" i="32"/>
  <c r="E5" i="32"/>
  <c r="F5" i="32"/>
  <c r="G5" i="32"/>
  <c r="H5" i="32"/>
  <c r="I5" i="32"/>
  <c r="J5" i="32"/>
  <c r="K5" i="32"/>
  <c r="L5" i="32"/>
  <c r="M5" i="32"/>
  <c r="N5" i="32"/>
  <c r="O5" i="32"/>
  <c r="P5" i="32"/>
  <c r="Q5" i="32"/>
  <c r="B5" i="33"/>
  <c r="C5" i="33"/>
  <c r="D5" i="33"/>
  <c r="E5" i="33"/>
  <c r="F5" i="33"/>
  <c r="G5" i="33"/>
  <c r="H5" i="33"/>
  <c r="I5" i="33"/>
  <c r="J5" i="33"/>
  <c r="K5" i="33"/>
  <c r="L5" i="33"/>
  <c r="M5" i="33"/>
  <c r="N5" i="33"/>
  <c r="O5" i="33"/>
  <c r="P5" i="33"/>
  <c r="Q5" i="33"/>
  <c r="B5" i="34"/>
  <c r="C5" i="34"/>
  <c r="D5" i="34"/>
  <c r="E5" i="34"/>
  <c r="F5" i="34"/>
  <c r="G5" i="34"/>
  <c r="H5" i="34"/>
  <c r="I5" i="34"/>
  <c r="J5" i="34"/>
  <c r="K5" i="34"/>
  <c r="L5" i="34"/>
  <c r="M5" i="34"/>
  <c r="N5" i="34"/>
  <c r="O5" i="34"/>
  <c r="P5" i="34"/>
  <c r="Q5" i="34"/>
  <c r="B5" i="35"/>
  <c r="C5" i="35"/>
  <c r="D5" i="35"/>
  <c r="E5" i="35"/>
  <c r="F5" i="35"/>
  <c r="G5" i="35"/>
  <c r="H5" i="35"/>
  <c r="I5" i="35"/>
  <c r="J5" i="35"/>
  <c r="K5" i="35"/>
  <c r="L5" i="35"/>
  <c r="M5" i="35"/>
  <c r="N5" i="35"/>
  <c r="O5" i="35"/>
  <c r="P5" i="35"/>
  <c r="Q5" i="35"/>
  <c r="D8" i="30"/>
  <c r="G8" i="30"/>
  <c r="I8" i="30"/>
  <c r="K8" i="30"/>
  <c r="M8" i="30"/>
  <c r="Q8" i="30"/>
  <c r="B8" i="31"/>
  <c r="E8" i="31"/>
  <c r="I8" i="31"/>
  <c r="M8" i="31"/>
  <c r="P8" i="31"/>
  <c r="Q8" i="31"/>
  <c r="B8" i="32"/>
  <c r="C8" i="32"/>
  <c r="D8" i="32"/>
  <c r="E8" i="32"/>
  <c r="F8" i="32"/>
  <c r="G8" i="32"/>
  <c r="H8" i="32"/>
  <c r="I8" i="32"/>
  <c r="L8" i="32"/>
  <c r="M8" i="32"/>
  <c r="O8" i="32"/>
  <c r="P8" i="32"/>
  <c r="Q8" i="32"/>
  <c r="C8" i="33"/>
  <c r="I8" i="33"/>
  <c r="K8" i="33"/>
  <c r="N8" i="33"/>
  <c r="O8" i="33"/>
  <c r="Q8" i="33"/>
  <c r="G8" i="34"/>
  <c r="I8" i="34"/>
  <c r="K8" i="34"/>
  <c r="M8" i="34"/>
  <c r="O8" i="34"/>
  <c r="Q8" i="34"/>
  <c r="B8" i="35"/>
  <c r="D8" i="35"/>
  <c r="E8" i="35"/>
  <c r="I8" i="35"/>
  <c r="M8" i="35"/>
  <c r="Q8" i="35"/>
  <c r="C9" i="30"/>
  <c r="D9" i="30"/>
  <c r="E9" i="30"/>
  <c r="F9" i="30"/>
  <c r="G9" i="30"/>
  <c r="H9" i="30"/>
  <c r="I9" i="30"/>
  <c r="J9" i="30"/>
  <c r="K9" i="30"/>
  <c r="L9" i="30"/>
  <c r="M9" i="30"/>
  <c r="N9" i="30"/>
  <c r="O9" i="30"/>
  <c r="P9" i="30"/>
  <c r="Q9" i="30"/>
  <c r="D9" i="31"/>
  <c r="E9" i="31"/>
  <c r="F9" i="31"/>
  <c r="G9" i="31"/>
  <c r="H9" i="31"/>
  <c r="I9" i="31"/>
  <c r="J9" i="31"/>
  <c r="K9" i="31"/>
  <c r="L9" i="31"/>
  <c r="M9" i="31"/>
  <c r="N9" i="31"/>
  <c r="O9" i="31"/>
  <c r="P9" i="31"/>
  <c r="C9" i="32"/>
  <c r="F9" i="32"/>
  <c r="G9" i="32"/>
  <c r="J9" i="32"/>
  <c r="K9" i="32"/>
  <c r="L9" i="32"/>
  <c r="N9" i="32"/>
  <c r="O9" i="32"/>
  <c r="P9" i="32"/>
  <c r="C9" i="33"/>
  <c r="E9" i="33"/>
  <c r="F9" i="33"/>
  <c r="G9" i="33"/>
  <c r="H9" i="33"/>
  <c r="I9" i="33"/>
  <c r="J9" i="33"/>
  <c r="K9" i="33"/>
  <c r="M9" i="33"/>
  <c r="N9" i="33"/>
  <c r="Q9" i="33"/>
  <c r="C9" i="34"/>
  <c r="D9" i="34"/>
  <c r="E9" i="34"/>
  <c r="F9" i="34"/>
  <c r="G9" i="34"/>
  <c r="H9" i="34"/>
  <c r="I9" i="34"/>
  <c r="J9" i="34"/>
  <c r="K9" i="34"/>
  <c r="L9" i="34"/>
  <c r="M9" i="34"/>
  <c r="N9" i="34"/>
  <c r="O9" i="34"/>
  <c r="P9" i="34"/>
  <c r="Q9" i="34"/>
  <c r="C9" i="35"/>
  <c r="D9" i="35"/>
  <c r="F9" i="35"/>
  <c r="G9" i="35"/>
  <c r="H9" i="35"/>
  <c r="I9" i="35"/>
  <c r="J9" i="35"/>
  <c r="K9" i="35"/>
  <c r="L9" i="35"/>
  <c r="M9" i="35"/>
  <c r="N9" i="35"/>
  <c r="O9" i="35"/>
  <c r="P9" i="35"/>
  <c r="Q9" i="35"/>
  <c r="E10" i="30"/>
  <c r="B12" i="30"/>
  <c r="C12" i="30"/>
  <c r="D12" i="30"/>
  <c r="E12" i="30"/>
  <c r="F12" i="30"/>
  <c r="G12" i="30"/>
  <c r="H12" i="30"/>
  <c r="I12" i="30"/>
  <c r="J12" i="30"/>
  <c r="K12" i="30"/>
  <c r="L12" i="30"/>
  <c r="M12" i="30"/>
  <c r="N12" i="30"/>
  <c r="O12" i="30"/>
  <c r="P12" i="30"/>
  <c r="Q12" i="30"/>
  <c r="B12" i="31"/>
  <c r="C12" i="31"/>
  <c r="D12" i="31"/>
  <c r="E12" i="31"/>
  <c r="F12" i="31"/>
  <c r="G12" i="31"/>
  <c r="H12" i="31"/>
  <c r="I12" i="31"/>
  <c r="J12" i="31"/>
  <c r="K12" i="31"/>
  <c r="L12" i="31"/>
  <c r="M12" i="31"/>
  <c r="N12" i="31"/>
  <c r="O12" i="31"/>
  <c r="P12" i="31"/>
  <c r="Q12" i="31"/>
  <c r="B12" i="32"/>
  <c r="C12" i="32"/>
  <c r="D12" i="32"/>
  <c r="E12" i="32"/>
  <c r="F12" i="32"/>
  <c r="G12" i="32"/>
  <c r="H12" i="32"/>
  <c r="I12" i="32"/>
  <c r="J12" i="32"/>
  <c r="K12" i="32"/>
  <c r="L12" i="32"/>
  <c r="M12" i="32"/>
  <c r="N12" i="32"/>
  <c r="O12" i="32"/>
  <c r="P12" i="32"/>
  <c r="Q12" i="32"/>
  <c r="B12" i="33"/>
  <c r="C12" i="33"/>
  <c r="D12" i="33"/>
  <c r="E12" i="33"/>
  <c r="F12" i="33"/>
  <c r="G12" i="33"/>
  <c r="H12" i="33"/>
  <c r="I12" i="33"/>
  <c r="J12" i="33"/>
  <c r="K12" i="33"/>
  <c r="L12" i="33"/>
  <c r="M12" i="33"/>
  <c r="N12" i="33"/>
  <c r="O12" i="33"/>
  <c r="P12" i="33"/>
  <c r="Q12" i="33"/>
  <c r="B12" i="34"/>
  <c r="C12" i="34"/>
  <c r="D12" i="34"/>
  <c r="E12" i="34"/>
  <c r="F12" i="34"/>
  <c r="G12" i="34"/>
  <c r="H12" i="34"/>
  <c r="I12" i="34"/>
  <c r="J12" i="34"/>
  <c r="K12" i="34"/>
  <c r="L12" i="34"/>
  <c r="M12" i="34"/>
  <c r="N12" i="34"/>
  <c r="O12" i="34"/>
  <c r="P12" i="34"/>
  <c r="Q12" i="34"/>
  <c r="B12" i="35"/>
  <c r="C12" i="35"/>
  <c r="D12" i="35"/>
  <c r="E12" i="35"/>
  <c r="F12" i="35"/>
  <c r="G12" i="35"/>
  <c r="H12" i="35"/>
  <c r="I12" i="35"/>
  <c r="J12" i="35"/>
  <c r="K12" i="35"/>
  <c r="L12" i="35"/>
  <c r="M12" i="35"/>
  <c r="N12" i="35"/>
  <c r="O12" i="35"/>
  <c r="P12" i="35"/>
  <c r="Q12" i="35"/>
  <c r="B14" i="30"/>
  <c r="C14" i="30"/>
  <c r="D14" i="30"/>
  <c r="E14" i="30"/>
  <c r="F14" i="30"/>
  <c r="G14" i="30"/>
  <c r="H14" i="30"/>
  <c r="I14" i="30"/>
  <c r="J14" i="30"/>
  <c r="K14" i="30"/>
  <c r="L14" i="30"/>
  <c r="M14" i="30"/>
  <c r="N14" i="30"/>
  <c r="O14" i="30"/>
  <c r="P14" i="30"/>
  <c r="Q14" i="30"/>
  <c r="B14" i="31"/>
  <c r="C14" i="31"/>
  <c r="D14" i="31"/>
  <c r="E14" i="31"/>
  <c r="F14" i="31"/>
  <c r="G14" i="31"/>
  <c r="H14" i="31"/>
  <c r="I14" i="31"/>
  <c r="J14" i="31"/>
  <c r="K14" i="31"/>
  <c r="L14" i="31"/>
  <c r="M14" i="31"/>
  <c r="N14" i="31"/>
  <c r="O14" i="31"/>
  <c r="P14" i="31"/>
  <c r="Q14" i="31"/>
  <c r="B14" i="32"/>
  <c r="C14" i="32"/>
  <c r="D14" i="32"/>
  <c r="E14" i="32"/>
  <c r="F14" i="32"/>
  <c r="G14" i="32"/>
  <c r="H14" i="32"/>
  <c r="I14" i="32"/>
  <c r="J14" i="32"/>
  <c r="K14" i="32"/>
  <c r="L14" i="32"/>
  <c r="M14" i="32"/>
  <c r="N14" i="32"/>
  <c r="O14" i="32"/>
  <c r="P14" i="32"/>
  <c r="Q14" i="32"/>
  <c r="B14" i="33"/>
  <c r="C14" i="33"/>
  <c r="D14" i="33"/>
  <c r="E14" i="33"/>
  <c r="F14" i="33"/>
  <c r="G14" i="33"/>
  <c r="H14" i="33"/>
  <c r="I14" i="33"/>
  <c r="J14" i="33"/>
  <c r="K14" i="33"/>
  <c r="L14" i="33"/>
  <c r="M14" i="33"/>
  <c r="N14" i="33"/>
  <c r="O14" i="33"/>
  <c r="P14" i="33"/>
  <c r="Q14" i="33"/>
  <c r="B14" i="34"/>
  <c r="C14" i="34"/>
  <c r="D14" i="34"/>
  <c r="E14" i="34"/>
  <c r="F14" i="34"/>
  <c r="G14" i="34"/>
  <c r="H14" i="34"/>
  <c r="I14" i="34"/>
  <c r="J14" i="34"/>
  <c r="K14" i="34"/>
  <c r="L14" i="34"/>
  <c r="M14" i="34"/>
  <c r="N14" i="34"/>
  <c r="O14" i="34"/>
  <c r="P14" i="34"/>
  <c r="Q14" i="34"/>
  <c r="B14" i="35"/>
  <c r="C14" i="35"/>
  <c r="D14" i="35"/>
  <c r="E14" i="35"/>
  <c r="F14" i="35"/>
  <c r="G14" i="35"/>
  <c r="H14" i="35"/>
  <c r="I14" i="35"/>
  <c r="J14" i="35"/>
  <c r="K14" i="35"/>
  <c r="L14" i="35"/>
  <c r="M14" i="35"/>
  <c r="N14" i="35"/>
  <c r="O14" i="35"/>
  <c r="P14" i="35"/>
  <c r="Q14" i="35"/>
  <c r="C15" i="30"/>
  <c r="D15" i="30"/>
  <c r="E15" i="30"/>
  <c r="F15" i="30"/>
  <c r="G15" i="30"/>
  <c r="H15" i="30"/>
  <c r="I15" i="30"/>
  <c r="J15" i="30"/>
  <c r="K15" i="30"/>
  <c r="L15" i="30"/>
  <c r="M15" i="30"/>
  <c r="N15" i="30"/>
  <c r="O15" i="30"/>
  <c r="P15" i="30"/>
  <c r="Q15" i="30"/>
  <c r="C15" i="31"/>
  <c r="D15" i="31"/>
  <c r="E15" i="31"/>
  <c r="F15" i="31"/>
  <c r="G15" i="31"/>
  <c r="H15" i="31"/>
  <c r="I15" i="31"/>
  <c r="J15" i="31"/>
  <c r="K15" i="31"/>
  <c r="L15" i="31"/>
  <c r="M15" i="31"/>
  <c r="N15" i="31"/>
  <c r="O15" i="31"/>
  <c r="P15" i="31"/>
  <c r="Q15" i="31"/>
  <c r="C15" i="32"/>
  <c r="D15" i="32"/>
  <c r="E15" i="32"/>
  <c r="F15" i="32"/>
  <c r="G15" i="32"/>
  <c r="H15" i="32"/>
  <c r="I15" i="32"/>
  <c r="J15" i="32"/>
  <c r="K15" i="32"/>
  <c r="L15" i="32"/>
  <c r="M15" i="32"/>
  <c r="N15" i="32"/>
  <c r="O15" i="32"/>
  <c r="P15" i="32"/>
  <c r="Q15" i="32"/>
  <c r="C15" i="33"/>
  <c r="D15" i="33"/>
  <c r="E15" i="33"/>
  <c r="F15" i="33"/>
  <c r="G15" i="33"/>
  <c r="H15" i="33"/>
  <c r="I15" i="33"/>
  <c r="J15" i="33"/>
  <c r="K15" i="33"/>
  <c r="L15" i="33"/>
  <c r="M15" i="33"/>
  <c r="N15" i="33"/>
  <c r="O15" i="33"/>
  <c r="P15" i="33"/>
  <c r="Q15" i="33"/>
  <c r="C15" i="34"/>
  <c r="D15" i="34"/>
  <c r="E15" i="34"/>
  <c r="F15" i="34"/>
  <c r="G15" i="34"/>
  <c r="H15" i="34"/>
  <c r="I15" i="34"/>
  <c r="J15" i="34"/>
  <c r="K15" i="34"/>
  <c r="L15" i="34"/>
  <c r="M15" i="34"/>
  <c r="N15" i="34"/>
  <c r="O15" i="34"/>
  <c r="P15" i="34"/>
  <c r="Q15" i="34"/>
  <c r="C15" i="35"/>
  <c r="D15" i="35"/>
  <c r="E15" i="35"/>
  <c r="F15" i="35"/>
  <c r="G15" i="35"/>
  <c r="H15" i="35"/>
  <c r="I15" i="35"/>
  <c r="J15" i="35"/>
  <c r="K15" i="35"/>
  <c r="L15" i="35"/>
  <c r="M15" i="35"/>
  <c r="N15" i="35"/>
  <c r="O15" i="35"/>
  <c r="P15" i="35"/>
  <c r="Q15" i="35"/>
  <c r="B6" i="30"/>
  <c r="C6" i="30"/>
  <c r="D6" i="30"/>
  <c r="E6" i="30"/>
  <c r="F6" i="30"/>
  <c r="G6" i="30"/>
  <c r="H6" i="30"/>
  <c r="I6" i="30"/>
  <c r="J6" i="30"/>
  <c r="K6" i="30"/>
  <c r="L6" i="30"/>
  <c r="M6" i="30"/>
  <c r="N6" i="30"/>
  <c r="O6" i="30"/>
  <c r="P6" i="30"/>
  <c r="Q6" i="30"/>
  <c r="B6" i="31"/>
  <c r="C6" i="31"/>
  <c r="D6" i="31"/>
  <c r="E6" i="31"/>
  <c r="F6" i="31"/>
  <c r="G6" i="31"/>
  <c r="H6" i="31"/>
  <c r="I6" i="31"/>
  <c r="J6" i="31"/>
  <c r="K6" i="31"/>
  <c r="L6" i="31"/>
  <c r="M6" i="31"/>
  <c r="N6" i="31"/>
  <c r="O6" i="31"/>
  <c r="P6" i="31"/>
  <c r="Q6" i="31"/>
  <c r="B6" i="32"/>
  <c r="C6" i="32"/>
  <c r="D6" i="32"/>
  <c r="E6" i="32"/>
  <c r="F6" i="32"/>
  <c r="G6" i="32"/>
  <c r="H6" i="32"/>
  <c r="I6" i="32"/>
  <c r="J6" i="32"/>
  <c r="K6" i="32"/>
  <c r="L6" i="32"/>
  <c r="M6" i="32"/>
  <c r="N6" i="32"/>
  <c r="O6" i="32"/>
  <c r="P6" i="32"/>
  <c r="Q6" i="32"/>
  <c r="B6" i="33"/>
  <c r="C6" i="33"/>
  <c r="D6" i="33"/>
  <c r="E6" i="33"/>
  <c r="F6" i="33"/>
  <c r="G6" i="33"/>
  <c r="H6" i="33"/>
  <c r="I6" i="33"/>
  <c r="J6" i="33"/>
  <c r="K6" i="33"/>
  <c r="L6" i="33"/>
  <c r="M6" i="33"/>
  <c r="N6" i="33"/>
  <c r="O6" i="33"/>
  <c r="P6" i="33"/>
  <c r="Q6" i="33"/>
  <c r="B6" i="34"/>
  <c r="C6" i="34"/>
  <c r="D6" i="34"/>
  <c r="E6" i="34"/>
  <c r="F6" i="34"/>
  <c r="G6" i="34"/>
  <c r="H6" i="34"/>
  <c r="I6" i="34"/>
  <c r="J6" i="34"/>
  <c r="K6" i="34"/>
  <c r="L6" i="34"/>
  <c r="M6" i="34"/>
  <c r="N6" i="34"/>
  <c r="O6" i="34"/>
  <c r="P6" i="34"/>
  <c r="Q6" i="34"/>
  <c r="B6" i="35"/>
  <c r="C6" i="35"/>
  <c r="D6" i="35"/>
  <c r="E6" i="35"/>
  <c r="F6" i="35"/>
  <c r="G6" i="35"/>
  <c r="H6" i="35"/>
  <c r="I6" i="35"/>
  <c r="J6" i="35"/>
  <c r="K6" i="35"/>
  <c r="L6" i="35"/>
  <c r="M6" i="35"/>
  <c r="N6" i="35"/>
  <c r="O6" i="35"/>
  <c r="P6" i="35"/>
  <c r="Q6" i="35"/>
  <c r="C15" i="25"/>
  <c r="C15" i="28" s="1"/>
  <c r="D15" i="25"/>
  <c r="D15" i="28" s="1"/>
  <c r="E15" i="25"/>
  <c r="E15" i="28" s="1"/>
  <c r="F15" i="25"/>
  <c r="F15" i="28" s="1"/>
  <c r="G15" i="25"/>
  <c r="G15" i="28" s="1"/>
  <c r="H15" i="25"/>
  <c r="H15" i="28" s="1"/>
  <c r="I15" i="25"/>
  <c r="I15" i="28" s="1"/>
  <c r="J15" i="25"/>
  <c r="J15" i="28" s="1"/>
  <c r="K15" i="25"/>
  <c r="K15" i="28" s="1"/>
  <c r="L15" i="25"/>
  <c r="L15" i="28" s="1"/>
  <c r="M15" i="25"/>
  <c r="M15" i="28" s="1"/>
  <c r="N15" i="25"/>
  <c r="N15" i="28" s="1"/>
  <c r="O15" i="25"/>
  <c r="O15" i="28" s="1"/>
  <c r="P15" i="25"/>
  <c r="P15" i="28" s="1"/>
  <c r="Q15" i="25"/>
  <c r="Q15" i="28" s="1"/>
  <c r="C27" i="25"/>
  <c r="C27" i="28" s="1"/>
  <c r="D27" i="25"/>
  <c r="D27" i="28" s="1"/>
  <c r="E27" i="25"/>
  <c r="E27" i="28" s="1"/>
  <c r="F27" i="25"/>
  <c r="F27" i="28" s="1"/>
  <c r="G27" i="25"/>
  <c r="G27" i="28" s="1"/>
  <c r="H27" i="25"/>
  <c r="H27" i="28" s="1"/>
  <c r="I27" i="25"/>
  <c r="I27" i="28" s="1"/>
  <c r="J27" i="25"/>
  <c r="J27" i="28" s="1"/>
  <c r="K27" i="25"/>
  <c r="K27" i="28" s="1"/>
  <c r="L27" i="25"/>
  <c r="L27" i="28" s="1"/>
  <c r="M27" i="25"/>
  <c r="M27" i="28" s="1"/>
  <c r="N27" i="25"/>
  <c r="N27" i="28" s="1"/>
  <c r="O27" i="25"/>
  <c r="O27" i="28" s="1"/>
  <c r="P27" i="25"/>
  <c r="P27" i="28" s="1"/>
  <c r="Q27" i="25"/>
  <c r="Q27" i="28" s="1"/>
  <c r="C28" i="25"/>
  <c r="C28" i="28" s="1"/>
  <c r="D28" i="25"/>
  <c r="D28" i="28" s="1"/>
  <c r="E28" i="25"/>
  <c r="E28" i="28" s="1"/>
  <c r="F28" i="25"/>
  <c r="F28" i="28" s="1"/>
  <c r="G28" i="25"/>
  <c r="G28" i="28" s="1"/>
  <c r="H28" i="25"/>
  <c r="H28" i="28" s="1"/>
  <c r="I28" i="25"/>
  <c r="I28" i="28" s="1"/>
  <c r="J28" i="25"/>
  <c r="J28" i="28" s="1"/>
  <c r="K28" i="25"/>
  <c r="K28" i="28" s="1"/>
  <c r="L28" i="25"/>
  <c r="L28" i="28" s="1"/>
  <c r="M28" i="25"/>
  <c r="M28" i="28" s="1"/>
  <c r="N28" i="25"/>
  <c r="N28" i="28" s="1"/>
  <c r="O28" i="25"/>
  <c r="O28" i="28" s="1"/>
  <c r="P28" i="25"/>
  <c r="P28" i="28" s="1"/>
  <c r="Q28" i="25"/>
  <c r="Q28" i="28" s="1"/>
  <c r="N6" i="25"/>
  <c r="N6" i="28" s="1"/>
  <c r="Q6" i="25"/>
  <c r="Q6" i="28" s="1"/>
  <c r="C11" i="25"/>
  <c r="C11" i="28" s="1"/>
  <c r="D11" i="25"/>
  <c r="D11" i="28" s="1"/>
  <c r="E11" i="25"/>
  <c r="E11" i="28" s="1"/>
  <c r="F11" i="25"/>
  <c r="F11" i="28" s="1"/>
  <c r="G11" i="25"/>
  <c r="G11" i="28" s="1"/>
  <c r="H11" i="25"/>
  <c r="H11" i="28" s="1"/>
  <c r="I11" i="25"/>
  <c r="I11" i="28" s="1"/>
  <c r="J11" i="25"/>
  <c r="J11" i="28" s="1"/>
  <c r="K11" i="25"/>
  <c r="K11" i="28" s="1"/>
  <c r="L11" i="25"/>
  <c r="L11" i="28" s="1"/>
  <c r="M11" i="25"/>
  <c r="M11" i="28" s="1"/>
  <c r="N11" i="25"/>
  <c r="N11" i="28" s="1"/>
  <c r="O11" i="25"/>
  <c r="O11" i="28" s="1"/>
  <c r="P11" i="25"/>
  <c r="P11" i="28" s="1"/>
  <c r="Q11" i="25"/>
  <c r="Q11" i="28" s="1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8" i="25"/>
  <c r="C18" i="28" s="1"/>
  <c r="D18" i="25"/>
  <c r="D18" i="28" s="1"/>
  <c r="E18" i="25"/>
  <c r="E18" i="28" s="1"/>
  <c r="G18" i="25"/>
  <c r="G18" i="28" s="1"/>
  <c r="H18" i="25"/>
  <c r="H18" i="28" s="1"/>
  <c r="I18" i="25"/>
  <c r="I18" i="28" s="1"/>
  <c r="J18" i="25"/>
  <c r="J18" i="28" s="1"/>
  <c r="K18" i="25"/>
  <c r="K18" i="28" s="1"/>
  <c r="L18" i="25"/>
  <c r="L18" i="28" s="1"/>
  <c r="M18" i="25"/>
  <c r="M18" i="28" s="1"/>
  <c r="O18" i="25"/>
  <c r="O18" i="28" s="1"/>
  <c r="P18" i="25"/>
  <c r="P18" i="28" s="1"/>
  <c r="Q18" i="25"/>
  <c r="Q18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G32" i="25"/>
  <c r="G32" i="28" s="1"/>
  <c r="K32" i="25"/>
  <c r="K32" i="28" s="1"/>
  <c r="M32" i="25"/>
  <c r="M32" i="28" s="1"/>
  <c r="C33" i="25"/>
  <c r="C33" i="28" s="1"/>
  <c r="D33" i="25"/>
  <c r="D33" i="28" s="1"/>
  <c r="F33" i="25"/>
  <c r="F33" i="28" s="1"/>
  <c r="G33" i="25"/>
  <c r="G33" i="28" s="1"/>
  <c r="H33" i="25"/>
  <c r="H33" i="28" s="1"/>
  <c r="I33" i="25"/>
  <c r="I33" i="28" s="1"/>
  <c r="J33" i="25"/>
  <c r="J33" i="28" s="1"/>
  <c r="K33" i="25"/>
  <c r="K33" i="28" s="1"/>
  <c r="L33" i="25"/>
  <c r="L33" i="28" s="1"/>
  <c r="M33" i="25"/>
  <c r="M33" i="28" s="1"/>
  <c r="N33" i="25"/>
  <c r="N33" i="28" s="1"/>
  <c r="O33" i="25"/>
  <c r="O33" i="28" s="1"/>
  <c r="P33" i="25"/>
  <c r="P33" i="28" s="1"/>
  <c r="Q33" i="25"/>
  <c r="Q33" i="28" s="1"/>
  <c r="N6" i="27"/>
  <c r="I5" i="21"/>
  <c r="C6" i="21"/>
  <c r="F6" i="21"/>
  <c r="N6" i="26"/>
  <c r="Q6" i="26"/>
  <c r="G7" i="21"/>
  <c r="L8" i="21"/>
  <c r="P8" i="21"/>
  <c r="E9" i="21"/>
  <c r="I9" i="21"/>
  <c r="P12" i="21"/>
  <c r="E13" i="21"/>
  <c r="I13" i="21"/>
  <c r="M13" i="21"/>
  <c r="E15" i="21"/>
  <c r="O15" i="21"/>
  <c r="J30" i="21"/>
  <c r="O31" i="21"/>
  <c r="B15" i="14"/>
  <c r="B15" i="17" s="1"/>
  <c r="C15" i="14"/>
  <c r="C15" i="17" s="1"/>
  <c r="D15" i="14"/>
  <c r="D15" i="17" s="1"/>
  <c r="E15" i="14"/>
  <c r="E15" i="17" s="1"/>
  <c r="F15" i="14"/>
  <c r="F15" i="17" s="1"/>
  <c r="G15" i="14"/>
  <c r="G15" i="17" s="1"/>
  <c r="H15" i="14"/>
  <c r="H15" i="17" s="1"/>
  <c r="I15" i="14"/>
  <c r="I15" i="17" s="1"/>
  <c r="J15" i="14"/>
  <c r="J15" i="17" s="1"/>
  <c r="K15" i="14"/>
  <c r="K15" i="17" s="1"/>
  <c r="L15" i="14"/>
  <c r="L15" i="17" s="1"/>
  <c r="M15" i="14"/>
  <c r="M15" i="17" s="1"/>
  <c r="N15" i="14"/>
  <c r="N15" i="17" s="1"/>
  <c r="O15" i="14"/>
  <c r="O15" i="17" s="1"/>
  <c r="P15" i="14"/>
  <c r="P15" i="17" s="1"/>
  <c r="Q15" i="14"/>
  <c r="Q15" i="17" s="1"/>
  <c r="B27" i="14"/>
  <c r="B27" i="17" s="1"/>
  <c r="C27" i="14"/>
  <c r="C27" i="17" s="1"/>
  <c r="D27" i="14"/>
  <c r="D27" i="17" s="1"/>
  <c r="E27" i="14"/>
  <c r="E27" i="17" s="1"/>
  <c r="F27" i="14"/>
  <c r="F27" i="17" s="1"/>
  <c r="G27" i="14"/>
  <c r="G27" i="17" s="1"/>
  <c r="H27" i="14"/>
  <c r="H27" i="17" s="1"/>
  <c r="I27" i="14"/>
  <c r="I27" i="17" s="1"/>
  <c r="J27" i="14"/>
  <c r="J27" i="17" s="1"/>
  <c r="K27" i="14"/>
  <c r="K27" i="17" s="1"/>
  <c r="L27" i="14"/>
  <c r="L27" i="17" s="1"/>
  <c r="M27" i="14"/>
  <c r="M27" i="17" s="1"/>
  <c r="N27" i="14"/>
  <c r="N27" i="17" s="1"/>
  <c r="O27" i="14"/>
  <c r="O27" i="17" s="1"/>
  <c r="P27" i="14"/>
  <c r="P27" i="17" s="1"/>
  <c r="Q27" i="14"/>
  <c r="Q27" i="17" s="1"/>
  <c r="B28" i="14"/>
  <c r="B28" i="17" s="1"/>
  <c r="C28" i="14"/>
  <c r="C28" i="17" s="1"/>
  <c r="D28" i="14"/>
  <c r="D28" i="17" s="1"/>
  <c r="E28" i="14"/>
  <c r="E28" i="17" s="1"/>
  <c r="F28" i="14"/>
  <c r="F28" i="17" s="1"/>
  <c r="G28" i="14"/>
  <c r="G28" i="17" s="1"/>
  <c r="H28" i="14"/>
  <c r="H28" i="17" s="1"/>
  <c r="I28" i="14"/>
  <c r="I28" i="17" s="1"/>
  <c r="J28" i="14"/>
  <c r="J28" i="17" s="1"/>
  <c r="K28" i="14"/>
  <c r="K28" i="17" s="1"/>
  <c r="L28" i="14"/>
  <c r="L28" i="17" s="1"/>
  <c r="M28" i="14"/>
  <c r="M28" i="17" s="1"/>
  <c r="N28" i="14"/>
  <c r="N28" i="17" s="1"/>
  <c r="O28" i="14"/>
  <c r="O28" i="17" s="1"/>
  <c r="P28" i="14"/>
  <c r="P28" i="17" s="1"/>
  <c r="Q28" i="14"/>
  <c r="Q28" i="17" s="1"/>
  <c r="B11" i="14"/>
  <c r="B11" i="17" s="1"/>
  <c r="C11" i="14"/>
  <c r="C11" i="17" s="1"/>
  <c r="D11" i="14"/>
  <c r="D11" i="17" s="1"/>
  <c r="E11" i="14"/>
  <c r="E11" i="17" s="1"/>
  <c r="F11" i="14"/>
  <c r="F11" i="17" s="1"/>
  <c r="G11" i="14"/>
  <c r="G11" i="17" s="1"/>
  <c r="H11" i="14"/>
  <c r="H11" i="17" s="1"/>
  <c r="I11" i="14"/>
  <c r="I11" i="17" s="1"/>
  <c r="J11" i="14"/>
  <c r="J11" i="17" s="1"/>
  <c r="K11" i="14"/>
  <c r="K11" i="17" s="1"/>
  <c r="L11" i="14"/>
  <c r="L11" i="17" s="1"/>
  <c r="M11" i="14"/>
  <c r="M11" i="17" s="1"/>
  <c r="N11" i="14"/>
  <c r="N11" i="17" s="1"/>
  <c r="O11" i="14"/>
  <c r="O11" i="17" s="1"/>
  <c r="P11" i="14"/>
  <c r="P11" i="17" s="1"/>
  <c r="Q11" i="14"/>
  <c r="Q11" i="17" s="1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8" i="14"/>
  <c r="B18" i="17" s="1"/>
  <c r="C18" i="14"/>
  <c r="C18" i="17" s="1"/>
  <c r="D18" i="14"/>
  <c r="D18" i="17" s="1"/>
  <c r="E18" i="14"/>
  <c r="E18" i="17" s="1"/>
  <c r="F18" i="14"/>
  <c r="F18" i="17" s="1"/>
  <c r="G18" i="14"/>
  <c r="G18" i="17" s="1"/>
  <c r="H18" i="14"/>
  <c r="H18" i="17" s="1"/>
  <c r="I18" i="14"/>
  <c r="I18" i="17" s="1"/>
  <c r="J18" i="14"/>
  <c r="J18" i="17" s="1"/>
  <c r="K18" i="14"/>
  <c r="K18" i="17" s="1"/>
  <c r="L18" i="14"/>
  <c r="L18" i="17" s="1"/>
  <c r="M18" i="14"/>
  <c r="M18" i="17" s="1"/>
  <c r="N18" i="14"/>
  <c r="N18" i="17" s="1"/>
  <c r="O18" i="14"/>
  <c r="O18" i="17" s="1"/>
  <c r="P18" i="14"/>
  <c r="P18" i="17" s="1"/>
  <c r="Q18" i="14"/>
  <c r="Q18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3" i="14"/>
  <c r="B33" i="17" s="1"/>
  <c r="C33" i="14"/>
  <c r="C33" i="17" s="1"/>
  <c r="D33" i="14"/>
  <c r="D33" i="17" s="1"/>
  <c r="E33" i="14"/>
  <c r="E33" i="17" s="1"/>
  <c r="F33" i="14"/>
  <c r="F33" i="17" s="1"/>
  <c r="G33" i="14"/>
  <c r="G33" i="17" s="1"/>
  <c r="H33" i="14"/>
  <c r="H33" i="17" s="1"/>
  <c r="I33" i="14"/>
  <c r="I33" i="17" s="1"/>
  <c r="J33" i="14"/>
  <c r="J33" i="17" s="1"/>
  <c r="K33" i="14"/>
  <c r="K33" i="17" s="1"/>
  <c r="L33" i="14"/>
  <c r="L33" i="17" s="1"/>
  <c r="M33" i="14"/>
  <c r="M33" i="17" s="1"/>
  <c r="N33" i="14"/>
  <c r="N33" i="17" s="1"/>
  <c r="O33" i="14"/>
  <c r="O33" i="17" s="1"/>
  <c r="P33" i="14"/>
  <c r="P33" i="17" s="1"/>
  <c r="Q33" i="14"/>
  <c r="Q33" i="17" s="1"/>
  <c r="M5" i="14"/>
  <c r="M7" i="14"/>
  <c r="M8" i="14"/>
  <c r="M9" i="14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M30" i="14"/>
  <c r="M31" i="14"/>
  <c r="B19" i="6"/>
  <c r="C19" i="6"/>
  <c r="B27" i="6"/>
  <c r="B95" i="6"/>
  <c r="O15" i="12" l="1"/>
  <c r="O15" i="13"/>
  <c r="N15" i="13"/>
  <c r="N15" i="12"/>
  <c r="F15" i="13"/>
  <c r="F15" i="12"/>
  <c r="L15" i="12"/>
  <c r="L15" i="15" s="1"/>
  <c r="L15" i="13"/>
  <c r="D15" i="12"/>
  <c r="D15" i="13"/>
  <c r="K15" i="13"/>
  <c r="K15" i="12"/>
  <c r="C15" i="12"/>
  <c r="C15" i="13"/>
  <c r="J15" i="13"/>
  <c r="J15" i="12"/>
  <c r="B15" i="12"/>
  <c r="B15" i="13"/>
  <c r="E15" i="12"/>
  <c r="E15" i="13"/>
  <c r="Q15" i="12"/>
  <c r="Q15" i="13"/>
  <c r="I15" i="12"/>
  <c r="I15" i="13"/>
  <c r="P15" i="12"/>
  <c r="P15" i="13"/>
  <c r="H15" i="13"/>
  <c r="H15" i="12"/>
  <c r="M15" i="12"/>
  <c r="M15" i="13"/>
  <c r="G15" i="12"/>
  <c r="G15" i="13"/>
  <c r="N47" i="37"/>
  <c r="L53" i="39"/>
  <c r="E52" i="39"/>
  <c r="E47" i="39"/>
  <c r="E46" i="39"/>
  <c r="E45" i="39"/>
  <c r="M34" i="39"/>
  <c r="M33" i="39"/>
  <c r="M32" i="39"/>
  <c r="O26" i="10"/>
  <c r="O18" i="10"/>
  <c r="G17" i="10"/>
  <c r="G15" i="10"/>
  <c r="O14" i="10"/>
  <c r="G13" i="10"/>
  <c r="O12" i="10"/>
  <c r="G11" i="10"/>
  <c r="O10" i="10"/>
  <c r="G9" i="10"/>
  <c r="O8" i="10"/>
  <c r="G7" i="10"/>
  <c r="O6" i="10"/>
  <c r="G5" i="10"/>
  <c r="D52" i="39"/>
  <c r="D47" i="39"/>
  <c r="D46" i="39"/>
  <c r="D45" i="39"/>
  <c r="L34" i="39"/>
  <c r="L33" i="39"/>
  <c r="L32" i="39"/>
  <c r="M40" i="39"/>
  <c r="J44" i="38"/>
  <c r="M52" i="39"/>
  <c r="Q31" i="14"/>
  <c r="Q7" i="14"/>
  <c r="I6" i="14"/>
  <c r="J47" i="37"/>
  <c r="L52" i="39"/>
  <c r="M50" i="39"/>
  <c r="E49" i="39"/>
  <c r="I8" i="21"/>
  <c r="J53" i="38"/>
  <c r="J52" i="38"/>
  <c r="J51" i="38"/>
  <c r="J50" i="38"/>
  <c r="J49" i="38"/>
  <c r="J47" i="38"/>
  <c r="L16" i="8"/>
  <c r="N16" i="19"/>
  <c r="F16" i="19"/>
  <c r="Q16" i="22"/>
  <c r="I16" i="22"/>
  <c r="E16" i="22"/>
  <c r="J14" i="21"/>
  <c r="B16" i="7"/>
  <c r="E29" i="9"/>
  <c r="O19" i="11"/>
  <c r="O16" i="11"/>
  <c r="G16" i="11"/>
  <c r="E32" i="25"/>
  <c r="K16" i="19"/>
  <c r="C16" i="19"/>
  <c r="H48" i="37"/>
  <c r="D46" i="37"/>
  <c r="E36" i="37"/>
  <c r="H15" i="18"/>
  <c r="D3" i="34"/>
  <c r="H3" i="31"/>
  <c r="M48" i="39"/>
  <c r="M35" i="37"/>
  <c r="Q44" i="39"/>
  <c r="M44" i="39"/>
  <c r="I44" i="39"/>
  <c r="E44" i="39"/>
  <c r="C21" i="14"/>
  <c r="G10" i="14"/>
  <c r="J10" i="25"/>
  <c r="Q9" i="25"/>
  <c r="M9" i="25"/>
  <c r="L8" i="25"/>
  <c r="O7" i="25"/>
  <c r="K7" i="25"/>
  <c r="G7" i="25"/>
  <c r="F6" i="25"/>
  <c r="F44" i="39"/>
  <c r="Q53" i="39"/>
  <c r="I53" i="39"/>
  <c r="O48" i="39"/>
  <c r="O44" i="39"/>
  <c r="K44" i="39"/>
  <c r="G44" i="39"/>
  <c r="C44" i="39"/>
  <c r="M12" i="21"/>
  <c r="H11" i="21"/>
  <c r="C10" i="21"/>
  <c r="H7" i="21"/>
  <c r="N5" i="21"/>
  <c r="G29" i="22"/>
  <c r="F16" i="22"/>
  <c r="O53" i="38"/>
  <c r="C53" i="38"/>
  <c r="O52" i="38"/>
  <c r="O51" i="38"/>
  <c r="C51" i="38"/>
  <c r="O50" i="38"/>
  <c r="O49" i="38"/>
  <c r="C49" i="38"/>
  <c r="O48" i="38"/>
  <c r="O47" i="38"/>
  <c r="C47" i="38"/>
  <c r="O46" i="38"/>
  <c r="O45" i="38"/>
  <c r="C45" i="38"/>
  <c r="O44" i="38"/>
  <c r="K44" i="38"/>
  <c r="G44" i="38"/>
  <c r="C44" i="38"/>
  <c r="C27" i="6"/>
  <c r="C8" i="26" s="1"/>
  <c r="B29" i="7"/>
  <c r="I28" i="15"/>
  <c r="M10" i="14"/>
  <c r="I33" i="21"/>
  <c r="Q53" i="38"/>
  <c r="Q40" i="37"/>
  <c r="M51" i="39"/>
  <c r="M38" i="37"/>
  <c r="I51" i="39"/>
  <c r="I38" i="37"/>
  <c r="E51" i="39"/>
  <c r="E38" i="37"/>
  <c r="Q50" i="39"/>
  <c r="Q37" i="37"/>
  <c r="I50" i="39"/>
  <c r="I37" i="37"/>
  <c r="E50" i="39"/>
  <c r="E37" i="37"/>
  <c r="Q49" i="39"/>
  <c r="Q49" i="38"/>
  <c r="M49" i="39"/>
  <c r="M36" i="37"/>
  <c r="I49" i="39"/>
  <c r="I36" i="37"/>
  <c r="Q48" i="39"/>
  <c r="Q35" i="37"/>
  <c r="I48" i="39"/>
  <c r="I35" i="37"/>
  <c r="E48" i="39"/>
  <c r="E35" i="37"/>
  <c r="Q47" i="38"/>
  <c r="Q34" i="37"/>
  <c r="Q45" i="38"/>
  <c r="Q32" i="37"/>
  <c r="L29" i="8"/>
  <c r="I24" i="14"/>
  <c r="E19" i="9"/>
  <c r="I10" i="34"/>
  <c r="G4" i="7"/>
  <c r="F20" i="10"/>
  <c r="P17" i="25"/>
  <c r="P16" i="18"/>
  <c r="B48" i="37"/>
  <c r="B51" i="37"/>
  <c r="B53" i="37"/>
  <c r="P15" i="21"/>
  <c r="H15" i="21"/>
  <c r="K14" i="21"/>
  <c r="G14" i="21"/>
  <c r="N13" i="21"/>
  <c r="J13" i="21"/>
  <c r="E12" i="21"/>
  <c r="L11" i="21"/>
  <c r="D11" i="21"/>
  <c r="K10" i="21"/>
  <c r="G10" i="21"/>
  <c r="F9" i="21"/>
  <c r="Q8" i="21"/>
  <c r="E8" i="21"/>
  <c r="O6" i="21"/>
  <c r="G6" i="21"/>
  <c r="O32" i="25"/>
  <c r="O32" i="28" s="1"/>
  <c r="C32" i="25"/>
  <c r="N31" i="25"/>
  <c r="J31" i="25"/>
  <c r="J31" i="28" s="1"/>
  <c r="F31" i="25"/>
  <c r="Q30" i="25"/>
  <c r="E30" i="25"/>
  <c r="B34" i="36"/>
  <c r="O38" i="37"/>
  <c r="Q25" i="21"/>
  <c r="M25" i="21"/>
  <c r="O23" i="21"/>
  <c r="K23" i="21"/>
  <c r="M21" i="21"/>
  <c r="I21" i="21"/>
  <c r="M33" i="21"/>
  <c r="P32" i="21"/>
  <c r="L32" i="21"/>
  <c r="K31" i="21"/>
  <c r="N30" i="21"/>
  <c r="F30" i="21"/>
  <c r="K21" i="21"/>
  <c r="H12" i="21"/>
  <c r="M9" i="21"/>
  <c r="D8" i="21"/>
  <c r="K7" i="21"/>
  <c r="M5" i="21"/>
  <c r="J21" i="25"/>
  <c r="J21" i="28" s="1"/>
  <c r="C29" i="18"/>
  <c r="Q29" i="18"/>
  <c r="M29" i="18"/>
  <c r="I29" i="18"/>
  <c r="P29" i="18"/>
  <c r="L29" i="18"/>
  <c r="H29" i="18"/>
  <c r="D29" i="18"/>
  <c r="O16" i="18"/>
  <c r="G16" i="18"/>
  <c r="E29" i="20"/>
  <c r="H27" i="21"/>
  <c r="I24" i="21"/>
  <c r="G22" i="21"/>
  <c r="L18" i="21"/>
  <c r="G17" i="21"/>
  <c r="N51" i="37"/>
  <c r="F51" i="37"/>
  <c r="J50" i="37"/>
  <c r="B45" i="38"/>
  <c r="B44" i="38"/>
  <c r="D19" i="8"/>
  <c r="G19" i="8"/>
  <c r="O19" i="7"/>
  <c r="O16" i="7"/>
  <c r="O16" i="14" s="1"/>
  <c r="G16" i="7"/>
  <c r="G16" i="14" s="1"/>
  <c r="J15" i="10"/>
  <c r="J14" i="10"/>
  <c r="F14" i="10"/>
  <c r="J13" i="10"/>
  <c r="J12" i="10"/>
  <c r="F12" i="10"/>
  <c r="J11" i="10"/>
  <c r="J10" i="10"/>
  <c r="F10" i="10"/>
  <c r="J9" i="10"/>
  <c r="F8" i="10"/>
  <c r="J7" i="10"/>
  <c r="B7" i="10"/>
  <c r="F6" i="10"/>
  <c r="G29" i="7"/>
  <c r="D29" i="8"/>
  <c r="Q25" i="15"/>
  <c r="I23" i="10"/>
  <c r="I21" i="10"/>
  <c r="P33" i="10"/>
  <c r="H32" i="10"/>
  <c r="D32" i="10"/>
  <c r="P31" i="10"/>
  <c r="H30" i="10"/>
  <c r="N26" i="10"/>
  <c r="J26" i="10"/>
  <c r="B25" i="10"/>
  <c r="J24" i="10"/>
  <c r="B23" i="10"/>
  <c r="N22" i="10"/>
  <c r="J22" i="10"/>
  <c r="J20" i="10"/>
  <c r="G29" i="11"/>
  <c r="O30" i="25"/>
  <c r="G30" i="25"/>
  <c r="O53" i="39"/>
  <c r="O40" i="39"/>
  <c r="O52" i="39"/>
  <c r="O39" i="39"/>
  <c r="G39" i="39"/>
  <c r="G52" i="39"/>
  <c r="C52" i="39"/>
  <c r="C39" i="39"/>
  <c r="O38" i="39"/>
  <c r="O51" i="39"/>
  <c r="O50" i="39"/>
  <c r="O37" i="39"/>
  <c r="C37" i="39"/>
  <c r="C50" i="39"/>
  <c r="O36" i="39"/>
  <c r="O49" i="39"/>
  <c r="C36" i="39"/>
  <c r="C49" i="39"/>
  <c r="C48" i="39"/>
  <c r="C35" i="39"/>
  <c r="O47" i="39"/>
  <c r="O34" i="39"/>
  <c r="C34" i="39"/>
  <c r="C47" i="39"/>
  <c r="O46" i="39"/>
  <c r="O33" i="39"/>
  <c r="C46" i="39"/>
  <c r="C33" i="39"/>
  <c r="O45" i="39"/>
  <c r="O32" i="39"/>
  <c r="D16" i="8"/>
  <c r="I18" i="16"/>
  <c r="Q17" i="16"/>
  <c r="I17" i="16"/>
  <c r="I15" i="16"/>
  <c r="I13" i="16"/>
  <c r="I12" i="16"/>
  <c r="I11" i="16"/>
  <c r="Q10" i="16"/>
  <c r="I10" i="16"/>
  <c r="Q9" i="16"/>
  <c r="Q8" i="16"/>
  <c r="Q7" i="16"/>
  <c r="Q6" i="16"/>
  <c r="M32" i="14"/>
  <c r="M24" i="14"/>
  <c r="Q22" i="14"/>
  <c r="Q22" i="17" s="1"/>
  <c r="M22" i="14"/>
  <c r="M20" i="14"/>
  <c r="F4" i="22"/>
  <c r="M13" i="26"/>
  <c r="D33" i="15"/>
  <c r="D32" i="15"/>
  <c r="D31" i="15"/>
  <c r="D30" i="15"/>
  <c r="I32" i="15"/>
  <c r="I30" i="15"/>
  <c r="D4" i="8"/>
  <c r="H29" i="9"/>
  <c r="H16" i="9"/>
  <c r="G4" i="11"/>
  <c r="K24" i="25"/>
  <c r="J23" i="25"/>
  <c r="J23" i="28" s="1"/>
  <c r="F23" i="25"/>
  <c r="Q22" i="25"/>
  <c r="I22" i="25"/>
  <c r="H21" i="25"/>
  <c r="D21" i="25"/>
  <c r="Q5" i="16"/>
  <c r="Q32" i="14"/>
  <c r="Q10" i="14"/>
  <c r="Q8" i="14"/>
  <c r="Q8" i="17" s="1"/>
  <c r="I7" i="14"/>
  <c r="I7" i="17" s="1"/>
  <c r="D32" i="26"/>
  <c r="E28" i="26"/>
  <c r="H16" i="18"/>
  <c r="D16" i="18"/>
  <c r="M10" i="25"/>
  <c r="E10" i="25"/>
  <c r="L9" i="25"/>
  <c r="H9" i="25"/>
  <c r="D9" i="25"/>
  <c r="D9" i="28" s="1"/>
  <c r="G8" i="25"/>
  <c r="J7" i="25"/>
  <c r="F7" i="25"/>
  <c r="I6" i="25"/>
  <c r="D5" i="25"/>
  <c r="K32" i="21"/>
  <c r="C32" i="21"/>
  <c r="M24" i="26"/>
  <c r="E24" i="26"/>
  <c r="P23" i="26"/>
  <c r="D23" i="26"/>
  <c r="Q20" i="26"/>
  <c r="P14" i="26"/>
  <c r="D14" i="26"/>
  <c r="E11" i="26"/>
  <c r="N8" i="26"/>
  <c r="J8" i="26"/>
  <c r="M7" i="26"/>
  <c r="E7" i="26"/>
  <c r="P6" i="26"/>
  <c r="M29" i="20"/>
  <c r="M29" i="24" s="1"/>
  <c r="N26" i="21"/>
  <c r="C18" i="21"/>
  <c r="F17" i="21"/>
  <c r="P16" i="22"/>
  <c r="L16" i="22"/>
  <c r="P10" i="25"/>
  <c r="L10" i="25"/>
  <c r="H10" i="25"/>
  <c r="D10" i="25"/>
  <c r="O9" i="25"/>
  <c r="K9" i="25"/>
  <c r="G9" i="25"/>
  <c r="C9" i="25"/>
  <c r="N8" i="25"/>
  <c r="J8" i="25"/>
  <c r="J8" i="28" s="1"/>
  <c r="F8" i="25"/>
  <c r="Q7" i="25"/>
  <c r="M7" i="25"/>
  <c r="M7" i="28" s="1"/>
  <c r="I7" i="25"/>
  <c r="E7" i="25"/>
  <c r="E7" i="28" s="1"/>
  <c r="P6" i="25"/>
  <c r="L6" i="25"/>
  <c r="H6" i="25"/>
  <c r="D6" i="25"/>
  <c r="D6" i="28" s="1"/>
  <c r="O5" i="25"/>
  <c r="K5" i="25"/>
  <c r="G5" i="25"/>
  <c r="N53" i="37"/>
  <c r="N40" i="37"/>
  <c r="F53" i="37"/>
  <c r="F40" i="37"/>
  <c r="B53" i="38"/>
  <c r="J39" i="37"/>
  <c r="J52" i="37"/>
  <c r="B52" i="38"/>
  <c r="B39" i="37"/>
  <c r="B51" i="38"/>
  <c r="B38" i="37"/>
  <c r="B50" i="38"/>
  <c r="N36" i="37"/>
  <c r="N49" i="37"/>
  <c r="B49" i="38"/>
  <c r="B36" i="37"/>
  <c r="B49" i="37"/>
  <c r="J35" i="37"/>
  <c r="J48" i="37"/>
  <c r="B48" i="38"/>
  <c r="B35" i="37"/>
  <c r="F34" i="37"/>
  <c r="F47" i="37"/>
  <c r="B47" i="38"/>
  <c r="B34" i="37"/>
  <c r="B46" i="38"/>
  <c r="B33" i="37"/>
  <c r="P33" i="27"/>
  <c r="E30" i="27"/>
  <c r="M32" i="27"/>
  <c r="N18" i="21"/>
  <c r="J18" i="21"/>
  <c r="F18" i="21"/>
  <c r="I16" i="20"/>
  <c r="E16" i="20"/>
  <c r="L15" i="21"/>
  <c r="O14" i="21"/>
  <c r="F13" i="21"/>
  <c r="I12" i="21"/>
  <c r="J9" i="21"/>
  <c r="P7" i="21"/>
  <c r="D7" i="21"/>
  <c r="F5" i="21"/>
  <c r="M32" i="21"/>
  <c r="D31" i="21"/>
  <c r="Q32" i="25"/>
  <c r="H31" i="25"/>
  <c r="C30" i="25"/>
  <c r="Q24" i="25"/>
  <c r="Q24" i="28" s="1"/>
  <c r="M24" i="25"/>
  <c r="M24" i="28" s="1"/>
  <c r="E24" i="25"/>
  <c r="P23" i="25"/>
  <c r="L23" i="25"/>
  <c r="D23" i="25"/>
  <c r="D23" i="28" s="1"/>
  <c r="O22" i="25"/>
  <c r="K22" i="25"/>
  <c r="K22" i="28" s="1"/>
  <c r="C22" i="25"/>
  <c r="N21" i="25"/>
  <c r="Q20" i="25"/>
  <c r="I20" i="25"/>
  <c r="O9" i="33"/>
  <c r="O10" i="33"/>
  <c r="C8" i="30"/>
  <c r="D10" i="30"/>
  <c r="O5" i="30"/>
  <c r="C5" i="30"/>
  <c r="F49" i="37"/>
  <c r="B40" i="37"/>
  <c r="N38" i="37"/>
  <c r="J37" i="37"/>
  <c r="D15" i="18"/>
  <c r="G4" i="18"/>
  <c r="G3" i="18" s="1"/>
  <c r="M32" i="26"/>
  <c r="P31" i="26"/>
  <c r="Q33" i="21"/>
  <c r="H32" i="21"/>
  <c r="G31" i="21"/>
  <c r="Q27" i="21"/>
  <c r="C25" i="21"/>
  <c r="Q13" i="21"/>
  <c r="D12" i="21"/>
  <c r="Q9" i="21"/>
  <c r="O7" i="21"/>
  <c r="O18" i="21"/>
  <c r="P24" i="25"/>
  <c r="P24" i="28" s="1"/>
  <c r="L24" i="25"/>
  <c r="H24" i="25"/>
  <c r="D24" i="25"/>
  <c r="O23" i="25"/>
  <c r="K23" i="25"/>
  <c r="C23" i="25"/>
  <c r="N22" i="25"/>
  <c r="J22" i="25"/>
  <c r="F22" i="25"/>
  <c r="Q21" i="25"/>
  <c r="M21" i="25"/>
  <c r="I21" i="25"/>
  <c r="E21" i="25"/>
  <c r="D20" i="25"/>
  <c r="J48" i="38"/>
  <c r="J46" i="38"/>
  <c r="J45" i="38"/>
  <c r="O37" i="37"/>
  <c r="Q51" i="38"/>
  <c r="M53" i="38"/>
  <c r="I53" i="38"/>
  <c r="E53" i="38"/>
  <c r="Q52" i="38"/>
  <c r="M52" i="38"/>
  <c r="I52" i="38"/>
  <c r="E52" i="38"/>
  <c r="M51" i="38"/>
  <c r="I51" i="38"/>
  <c r="E51" i="38"/>
  <c r="Q50" i="38"/>
  <c r="M50" i="38"/>
  <c r="I50" i="38"/>
  <c r="E50" i="38"/>
  <c r="M49" i="38"/>
  <c r="I49" i="38"/>
  <c r="E49" i="38"/>
  <c r="Q48" i="38"/>
  <c r="M48" i="38"/>
  <c r="I48" i="38"/>
  <c r="E48" i="38"/>
  <c r="M47" i="38"/>
  <c r="I47" i="38"/>
  <c r="E47" i="38"/>
  <c r="Q46" i="38"/>
  <c r="M46" i="38"/>
  <c r="I46" i="38"/>
  <c r="E46" i="38"/>
  <c r="M45" i="38"/>
  <c r="I45" i="38"/>
  <c r="E45" i="38"/>
  <c r="D31" i="39"/>
  <c r="N44" i="39"/>
  <c r="J44" i="39"/>
  <c r="B44" i="39"/>
  <c r="H50" i="37"/>
  <c r="P53" i="37"/>
  <c r="H53" i="37"/>
  <c r="P52" i="37"/>
  <c r="H52" i="37"/>
  <c r="P51" i="37"/>
  <c r="H51" i="37"/>
  <c r="P50" i="37"/>
  <c r="P49" i="37"/>
  <c r="H49" i="37"/>
  <c r="P48" i="37"/>
  <c r="P47" i="37"/>
  <c r="H47" i="37"/>
  <c r="D45" i="37"/>
  <c r="L10" i="34"/>
  <c r="B19" i="7"/>
  <c r="C16" i="7"/>
  <c r="B4" i="7"/>
  <c r="B3" i="7" s="1"/>
  <c r="O16" i="8"/>
  <c r="O16" i="12" s="1"/>
  <c r="L4" i="8"/>
  <c r="B19" i="11"/>
  <c r="O15" i="18"/>
  <c r="O4" i="18"/>
  <c r="O3" i="18" s="1"/>
  <c r="M19" i="19"/>
  <c r="E19" i="19"/>
  <c r="G26" i="21"/>
  <c r="J25" i="21"/>
  <c r="F25" i="21"/>
  <c r="M24" i="21"/>
  <c r="E24" i="21"/>
  <c r="O22" i="21"/>
  <c r="F21" i="21"/>
  <c r="E20" i="21"/>
  <c r="N16" i="20"/>
  <c r="Q24" i="21"/>
  <c r="C29" i="7"/>
  <c r="Q19" i="7"/>
  <c r="E19" i="7"/>
  <c r="G32" i="10"/>
  <c r="O31" i="10"/>
  <c r="H19" i="8"/>
  <c r="H32" i="14"/>
  <c r="Q23" i="14"/>
  <c r="Q23" i="17" s="1"/>
  <c r="I23" i="14"/>
  <c r="E22" i="14"/>
  <c r="I21" i="14"/>
  <c r="Q19" i="11"/>
  <c r="Q20" i="14"/>
  <c r="E20" i="14"/>
  <c r="K27" i="21"/>
  <c r="E21" i="21"/>
  <c r="F4" i="19"/>
  <c r="H20" i="21"/>
  <c r="G23" i="25"/>
  <c r="G19" i="22"/>
  <c r="J29" i="7"/>
  <c r="Q16" i="7"/>
  <c r="M16" i="7"/>
  <c r="I16" i="7"/>
  <c r="I17" i="14"/>
  <c r="E16" i="7"/>
  <c r="D14" i="15"/>
  <c r="H12" i="15"/>
  <c r="D10" i="15"/>
  <c r="D8" i="15"/>
  <c r="L6" i="15"/>
  <c r="D6" i="15"/>
  <c r="L4" i="7"/>
  <c r="L3" i="7" s="1"/>
  <c r="D4" i="7"/>
  <c r="E16" i="9"/>
  <c r="B4" i="9"/>
  <c r="O32" i="14"/>
  <c r="G31" i="14"/>
  <c r="C31" i="14"/>
  <c r="O29" i="11"/>
  <c r="D23" i="21"/>
  <c r="M30" i="25"/>
  <c r="M29" i="22"/>
  <c r="J19" i="7"/>
  <c r="K16" i="7"/>
  <c r="J4" i="7"/>
  <c r="J3" i="7" s="1"/>
  <c r="D11" i="26"/>
  <c r="L27" i="21"/>
  <c r="D27" i="21"/>
  <c r="K26" i="21"/>
  <c r="C26" i="21"/>
  <c r="N25" i="21"/>
  <c r="P23" i="21"/>
  <c r="L23" i="21"/>
  <c r="H23" i="21"/>
  <c r="C22" i="21"/>
  <c r="N21" i="21"/>
  <c r="J21" i="21"/>
  <c r="J21" i="27"/>
  <c r="Q20" i="21"/>
  <c r="M19" i="20"/>
  <c r="I20" i="21"/>
  <c r="F19" i="20"/>
  <c r="C6" i="25"/>
  <c r="O29" i="7"/>
  <c r="K29" i="7"/>
  <c r="M19" i="7"/>
  <c r="I19" i="7"/>
  <c r="O33" i="10"/>
  <c r="G33" i="10"/>
  <c r="O32" i="10"/>
  <c r="G31" i="10"/>
  <c r="O30" i="10"/>
  <c r="G30" i="10"/>
  <c r="C30" i="10"/>
  <c r="L19" i="8"/>
  <c r="M16" i="9"/>
  <c r="L32" i="14"/>
  <c r="L30" i="14"/>
  <c r="L30" i="17" s="1"/>
  <c r="Q24" i="14"/>
  <c r="Q24" i="17" s="1"/>
  <c r="E24" i="14"/>
  <c r="M23" i="14"/>
  <c r="E23" i="14"/>
  <c r="I22" i="14"/>
  <c r="Q21" i="14"/>
  <c r="M21" i="14"/>
  <c r="E21" i="14"/>
  <c r="M19" i="11"/>
  <c r="I19" i="11"/>
  <c r="I20" i="14"/>
  <c r="I9" i="25"/>
  <c r="E4" i="18"/>
  <c r="E3" i="18" s="1"/>
  <c r="O27" i="21"/>
  <c r="I25" i="21"/>
  <c r="N4" i="19"/>
  <c r="O33" i="21"/>
  <c r="I31" i="21"/>
  <c r="L24" i="21"/>
  <c r="J22" i="21"/>
  <c r="M20" i="21"/>
  <c r="J6" i="25"/>
  <c r="J6" i="28" s="1"/>
  <c r="G10" i="25"/>
  <c r="B107" i="6"/>
  <c r="B82" i="6"/>
  <c r="B81" i="6" s="1"/>
  <c r="B48" i="6"/>
  <c r="K19" i="7"/>
  <c r="G19" i="7"/>
  <c r="C19" i="7"/>
  <c r="L16" i="7"/>
  <c r="D16" i="7"/>
  <c r="O4" i="7"/>
  <c r="O3" i="7" s="1"/>
  <c r="C4" i="7"/>
  <c r="C3" i="7" s="1"/>
  <c r="G4" i="8"/>
  <c r="B19" i="9"/>
  <c r="C23" i="14"/>
  <c r="B4" i="11"/>
  <c r="O30" i="14"/>
  <c r="G6" i="14"/>
  <c r="K16" i="18"/>
  <c r="C16" i="18"/>
  <c r="I19" i="20"/>
  <c r="K18" i="21"/>
  <c r="J17" i="21"/>
  <c r="J16" i="20"/>
  <c r="O16" i="20"/>
  <c r="O16" i="24" s="1"/>
  <c r="N17" i="21"/>
  <c r="L6" i="21"/>
  <c r="G25" i="10"/>
  <c r="O24" i="10"/>
  <c r="G23" i="10"/>
  <c r="O22" i="10"/>
  <c r="G21" i="10"/>
  <c r="O20" i="10"/>
  <c r="I17" i="15"/>
  <c r="M4" i="9"/>
  <c r="J16" i="11"/>
  <c r="B16" i="11"/>
  <c r="D9" i="14"/>
  <c r="D9" i="17" s="1"/>
  <c r="D4" i="11"/>
  <c r="Q4" i="18"/>
  <c r="Q3" i="18" s="1"/>
  <c r="L15" i="18"/>
  <c r="K29" i="19"/>
  <c r="G29" i="19"/>
  <c r="G30" i="26"/>
  <c r="P14" i="21"/>
  <c r="H14" i="21"/>
  <c r="N12" i="21"/>
  <c r="J12" i="21"/>
  <c r="P10" i="21"/>
  <c r="L10" i="21"/>
  <c r="D10" i="21"/>
  <c r="N8" i="21"/>
  <c r="J8" i="21"/>
  <c r="F8" i="21"/>
  <c r="H6" i="21"/>
  <c r="D6" i="21"/>
  <c r="G4" i="20"/>
  <c r="C13" i="21"/>
  <c r="P10" i="32"/>
  <c r="Q29" i="7"/>
  <c r="M29" i="7"/>
  <c r="I29" i="7"/>
  <c r="E29" i="7"/>
  <c r="D28" i="15"/>
  <c r="D26" i="15"/>
  <c r="H22" i="15"/>
  <c r="D22" i="15"/>
  <c r="D20" i="15"/>
  <c r="J16" i="7"/>
  <c r="Q4" i="7"/>
  <c r="M4" i="7"/>
  <c r="M3" i="7" s="1"/>
  <c r="I4" i="7"/>
  <c r="I3" i="7" s="1"/>
  <c r="E4" i="7"/>
  <c r="E3" i="7" s="1"/>
  <c r="I15" i="10"/>
  <c r="I13" i="10"/>
  <c r="I11" i="10"/>
  <c r="I7" i="10"/>
  <c r="I5" i="10"/>
  <c r="I29" i="9"/>
  <c r="M29" i="9"/>
  <c r="D28" i="16"/>
  <c r="H26" i="10"/>
  <c r="D26" i="10"/>
  <c r="P25" i="10"/>
  <c r="H24" i="10"/>
  <c r="D24" i="10"/>
  <c r="P23" i="10"/>
  <c r="H22" i="10"/>
  <c r="D22" i="10"/>
  <c r="P21" i="10"/>
  <c r="P20" i="10"/>
  <c r="H19" i="9"/>
  <c r="J18" i="10"/>
  <c r="N17" i="10"/>
  <c r="J17" i="10"/>
  <c r="F17" i="10"/>
  <c r="B16" i="9"/>
  <c r="B16" i="13" s="1"/>
  <c r="P15" i="10"/>
  <c r="P14" i="10"/>
  <c r="P13" i="10"/>
  <c r="P12" i="10"/>
  <c r="P11" i="10"/>
  <c r="P10" i="10"/>
  <c r="P9" i="10"/>
  <c r="P7" i="10"/>
  <c r="D6" i="10"/>
  <c r="P4" i="9"/>
  <c r="H4" i="9"/>
  <c r="E4" i="9"/>
  <c r="I32" i="14"/>
  <c r="I32" i="17" s="1"/>
  <c r="E32" i="14"/>
  <c r="I31" i="14"/>
  <c r="E31" i="14"/>
  <c r="Q29" i="11"/>
  <c r="M29" i="11"/>
  <c r="I29" i="11"/>
  <c r="I30" i="14"/>
  <c r="E30" i="14"/>
  <c r="O24" i="14"/>
  <c r="G23" i="14"/>
  <c r="O22" i="14"/>
  <c r="G21" i="14"/>
  <c r="O20" i="14"/>
  <c r="G19" i="11"/>
  <c r="Q16" i="11"/>
  <c r="Q17" i="14"/>
  <c r="M16" i="11"/>
  <c r="M17" i="14"/>
  <c r="I16" i="11"/>
  <c r="E17" i="14"/>
  <c r="C10" i="14"/>
  <c r="O9" i="14"/>
  <c r="O9" i="17" s="1"/>
  <c r="G8" i="14"/>
  <c r="C8" i="14"/>
  <c r="O7" i="14"/>
  <c r="C6" i="14"/>
  <c r="O5" i="14"/>
  <c r="O4" i="11"/>
  <c r="Q30" i="14"/>
  <c r="P16" i="19"/>
  <c r="P17" i="26"/>
  <c r="L16" i="19"/>
  <c r="E27" i="21"/>
  <c r="K25" i="21"/>
  <c r="M23" i="21"/>
  <c r="I23" i="21"/>
  <c r="P22" i="21"/>
  <c r="P22" i="27"/>
  <c r="G21" i="21"/>
  <c r="P18" i="27"/>
  <c r="P18" i="21"/>
  <c r="C17" i="21"/>
  <c r="N4" i="20"/>
  <c r="J4" i="20"/>
  <c r="O25" i="21"/>
  <c r="E29" i="22"/>
  <c r="E33" i="25"/>
  <c r="E33" i="28" s="1"/>
  <c r="P29" i="22"/>
  <c r="P29" i="25" s="1"/>
  <c r="P29" i="28" s="1"/>
  <c r="C29" i="22"/>
  <c r="N29" i="22"/>
  <c r="D17" i="25"/>
  <c r="H9" i="32"/>
  <c r="H10" i="32"/>
  <c r="D9" i="32"/>
  <c r="D10" i="32"/>
  <c r="C9" i="31"/>
  <c r="C10" i="31"/>
  <c r="E8" i="34"/>
  <c r="F10" i="34"/>
  <c r="E8" i="30"/>
  <c r="F10" i="30"/>
  <c r="M5" i="30"/>
  <c r="I5" i="30"/>
  <c r="E5" i="30"/>
  <c r="M19" i="22"/>
  <c r="D16" i="22"/>
  <c r="D16" i="25" s="1"/>
  <c r="N10" i="25"/>
  <c r="P8" i="25"/>
  <c r="H8" i="25"/>
  <c r="M4" i="22"/>
  <c r="B33" i="10"/>
  <c r="J32" i="10"/>
  <c r="F32" i="10"/>
  <c r="B31" i="10"/>
  <c r="N30" i="10"/>
  <c r="J30" i="10"/>
  <c r="F30" i="10"/>
  <c r="B29" i="9"/>
  <c r="Q22" i="16"/>
  <c r="Q21" i="16"/>
  <c r="I20" i="16"/>
  <c r="M19" i="9"/>
  <c r="P18" i="10"/>
  <c r="P17" i="10"/>
  <c r="O4" i="9"/>
  <c r="O4" i="13" s="1"/>
  <c r="K4" i="9"/>
  <c r="G4" i="9"/>
  <c r="J29" i="11"/>
  <c r="B29" i="11"/>
  <c r="L24" i="14"/>
  <c r="H24" i="14"/>
  <c r="L22" i="14"/>
  <c r="H22" i="14"/>
  <c r="L20" i="14"/>
  <c r="H20" i="14"/>
  <c r="D19" i="11"/>
  <c r="G17" i="14"/>
  <c r="C16" i="11"/>
  <c r="I10" i="14"/>
  <c r="E10" i="14"/>
  <c r="Q9" i="14"/>
  <c r="I9" i="14"/>
  <c r="I9" i="17" s="1"/>
  <c r="E9" i="14"/>
  <c r="I8" i="14"/>
  <c r="E8" i="14"/>
  <c r="E7" i="14"/>
  <c r="Q6" i="14"/>
  <c r="Q6" i="17" s="1"/>
  <c r="M6" i="14"/>
  <c r="E6" i="14"/>
  <c r="Q4" i="11"/>
  <c r="Q5" i="14"/>
  <c r="M4" i="11"/>
  <c r="I4" i="11"/>
  <c r="I5" i="14"/>
  <c r="I5" i="17" s="1"/>
  <c r="E5" i="14"/>
  <c r="C17" i="14"/>
  <c r="N14" i="21"/>
  <c r="L12" i="21"/>
  <c r="K11" i="21"/>
  <c r="J10" i="21"/>
  <c r="H8" i="21"/>
  <c r="K4" i="19"/>
  <c r="Q5" i="26"/>
  <c r="F33" i="21"/>
  <c r="Q32" i="21"/>
  <c r="I32" i="21"/>
  <c r="E32" i="21"/>
  <c r="O30" i="21"/>
  <c r="K30" i="21"/>
  <c r="G30" i="21"/>
  <c r="C29" i="20"/>
  <c r="M20" i="25"/>
  <c r="P9" i="33"/>
  <c r="P10" i="33"/>
  <c r="L9" i="33"/>
  <c r="L10" i="33"/>
  <c r="D9" i="33"/>
  <c r="D10" i="33"/>
  <c r="P8" i="35"/>
  <c r="Q10" i="35"/>
  <c r="L8" i="35"/>
  <c r="M10" i="35"/>
  <c r="H8" i="35"/>
  <c r="I10" i="35"/>
  <c r="P8" i="34"/>
  <c r="P10" i="34"/>
  <c r="Q10" i="34"/>
  <c r="L8" i="34"/>
  <c r="M10" i="34"/>
  <c r="H8" i="34"/>
  <c r="H10" i="34"/>
  <c r="D8" i="34"/>
  <c r="E10" i="34"/>
  <c r="P8" i="33"/>
  <c r="Q10" i="33"/>
  <c r="L8" i="33"/>
  <c r="M10" i="33"/>
  <c r="H8" i="33"/>
  <c r="I10" i="33"/>
  <c r="E10" i="33"/>
  <c r="D8" i="33"/>
  <c r="L8" i="31"/>
  <c r="M10" i="31"/>
  <c r="I10" i="31"/>
  <c r="H8" i="31"/>
  <c r="D8" i="31"/>
  <c r="E10" i="31"/>
  <c r="P8" i="30"/>
  <c r="Q10" i="30"/>
  <c r="L8" i="30"/>
  <c r="L10" i="30"/>
  <c r="M10" i="30"/>
  <c r="H8" i="30"/>
  <c r="H10" i="30"/>
  <c r="I10" i="30"/>
  <c r="P5" i="30"/>
  <c r="H5" i="30"/>
  <c r="D5" i="30"/>
  <c r="C8" i="36"/>
  <c r="N19" i="18"/>
  <c r="C19" i="18"/>
  <c r="Q16" i="18"/>
  <c r="M16" i="18"/>
  <c r="I16" i="18"/>
  <c r="E16" i="18"/>
  <c r="P26" i="26"/>
  <c r="G25" i="26"/>
  <c r="E23" i="26"/>
  <c r="G18" i="26"/>
  <c r="J16" i="19"/>
  <c r="O16" i="19"/>
  <c r="P4" i="19"/>
  <c r="C4" i="19"/>
  <c r="F14" i="21"/>
  <c r="O11" i="21"/>
  <c r="F10" i="21"/>
  <c r="Q5" i="21"/>
  <c r="N6" i="21"/>
  <c r="I32" i="25"/>
  <c r="P31" i="25"/>
  <c r="L31" i="25"/>
  <c r="D31" i="25"/>
  <c r="D31" i="28" s="1"/>
  <c r="K30" i="25"/>
  <c r="N24" i="25"/>
  <c r="J24" i="25"/>
  <c r="J24" i="28" s="1"/>
  <c r="F24" i="25"/>
  <c r="Q23" i="25"/>
  <c r="M23" i="25"/>
  <c r="M23" i="28" s="1"/>
  <c r="I23" i="25"/>
  <c r="E23" i="25"/>
  <c r="E23" i="28" s="1"/>
  <c r="P22" i="25"/>
  <c r="P22" i="28" s="1"/>
  <c r="L22" i="25"/>
  <c r="H22" i="25"/>
  <c r="D22" i="25"/>
  <c r="D22" i="28" s="1"/>
  <c r="G21" i="25"/>
  <c r="C21" i="25"/>
  <c r="N17" i="25"/>
  <c r="J16" i="22"/>
  <c r="J17" i="25"/>
  <c r="F17" i="25"/>
  <c r="Q31" i="38"/>
  <c r="Q44" i="38"/>
  <c r="M44" i="38"/>
  <c r="E44" i="38"/>
  <c r="Q10" i="32"/>
  <c r="Q9" i="32"/>
  <c r="I10" i="32"/>
  <c r="K10" i="32"/>
  <c r="C19" i="19"/>
  <c r="C19" i="23" s="1"/>
  <c r="P18" i="26"/>
  <c r="D15" i="21"/>
  <c r="Q12" i="21"/>
  <c r="P11" i="21"/>
  <c r="O10" i="21"/>
  <c r="M8" i="21"/>
  <c r="L7" i="21"/>
  <c r="K6" i="21"/>
  <c r="N9" i="25"/>
  <c r="P7" i="25"/>
  <c r="P7" i="28" s="1"/>
  <c r="J5" i="25"/>
  <c r="C10" i="35"/>
  <c r="C10" i="32"/>
  <c r="I9" i="32"/>
  <c r="H31" i="39"/>
  <c r="K40" i="39"/>
  <c r="K53" i="39"/>
  <c r="G40" i="39"/>
  <c r="G53" i="39"/>
  <c r="K39" i="39"/>
  <c r="K52" i="39"/>
  <c r="K38" i="39"/>
  <c r="K51" i="39"/>
  <c r="G51" i="39"/>
  <c r="G38" i="39"/>
  <c r="K37" i="39"/>
  <c r="K50" i="39"/>
  <c r="G50" i="39"/>
  <c r="G37" i="39"/>
  <c r="K36" i="39"/>
  <c r="K49" i="39"/>
  <c r="G49" i="39"/>
  <c r="G36" i="39"/>
  <c r="K35" i="39"/>
  <c r="K48" i="39"/>
  <c r="G48" i="39"/>
  <c r="G35" i="39"/>
  <c r="K34" i="39"/>
  <c r="K47" i="39"/>
  <c r="G34" i="39"/>
  <c r="G47" i="39"/>
  <c r="K33" i="39"/>
  <c r="K46" i="39"/>
  <c r="K32" i="39"/>
  <c r="K45" i="39"/>
  <c r="G32" i="39"/>
  <c r="G45" i="39"/>
  <c r="P3" i="30"/>
  <c r="K53" i="38"/>
  <c r="K40" i="37"/>
  <c r="G53" i="38"/>
  <c r="G40" i="37"/>
  <c r="K52" i="38"/>
  <c r="K39" i="37"/>
  <c r="G52" i="38"/>
  <c r="G39" i="37"/>
  <c r="C52" i="38"/>
  <c r="C39" i="37"/>
  <c r="K51" i="38"/>
  <c r="K38" i="37"/>
  <c r="G51" i="38"/>
  <c r="G38" i="37"/>
  <c r="K50" i="38"/>
  <c r="K37" i="37"/>
  <c r="G50" i="38"/>
  <c r="G37" i="37"/>
  <c r="C50" i="38"/>
  <c r="C37" i="37"/>
  <c r="K49" i="38"/>
  <c r="K36" i="37"/>
  <c r="G49" i="38"/>
  <c r="G36" i="37"/>
  <c r="K48" i="38"/>
  <c r="K35" i="37"/>
  <c r="G48" i="38"/>
  <c r="G35" i="37"/>
  <c r="C48" i="38"/>
  <c r="C35" i="37"/>
  <c r="K47" i="38"/>
  <c r="K34" i="37"/>
  <c r="G47" i="38"/>
  <c r="G34" i="37"/>
  <c r="K46" i="38"/>
  <c r="K33" i="37"/>
  <c r="G46" i="38"/>
  <c r="G33" i="37"/>
  <c r="C46" i="38"/>
  <c r="C33" i="37"/>
  <c r="K45" i="38"/>
  <c r="K32" i="37"/>
  <c r="G45" i="38"/>
  <c r="G32" i="37"/>
  <c r="P31" i="38"/>
  <c r="L31" i="38"/>
  <c r="H31" i="38"/>
  <c r="D31" i="38"/>
  <c r="C53" i="39"/>
  <c r="C51" i="39"/>
  <c r="G46" i="39"/>
  <c r="C45" i="39"/>
  <c r="O35" i="39"/>
  <c r="I31" i="39"/>
  <c r="J53" i="37"/>
  <c r="F52" i="37"/>
  <c r="J51" i="37"/>
  <c r="F50" i="37"/>
  <c r="J49" i="37"/>
  <c r="O31" i="38"/>
  <c r="K31" i="38"/>
  <c r="G31" i="38"/>
  <c r="C31" i="38"/>
  <c r="Q31" i="39"/>
  <c r="N52" i="37"/>
  <c r="B52" i="37"/>
  <c r="N50" i="37"/>
  <c r="B50" i="37"/>
  <c r="N31" i="38"/>
  <c r="J31" i="38"/>
  <c r="F31" i="38"/>
  <c r="B31" i="38"/>
  <c r="N53" i="38"/>
  <c r="F53" i="38"/>
  <c r="N52" i="38"/>
  <c r="F52" i="38"/>
  <c r="N51" i="38"/>
  <c r="F51" i="38"/>
  <c r="N50" i="38"/>
  <c r="F50" i="38"/>
  <c r="N49" i="38"/>
  <c r="F49" i="38"/>
  <c r="N48" i="38"/>
  <c r="F48" i="38"/>
  <c r="N47" i="38"/>
  <c r="F47" i="38"/>
  <c r="N46" i="38"/>
  <c r="F46" i="38"/>
  <c r="N45" i="38"/>
  <c r="F45" i="38"/>
  <c r="N44" i="38"/>
  <c r="F44" i="38"/>
  <c r="P31" i="39"/>
  <c r="E31" i="39"/>
  <c r="N29" i="7"/>
  <c r="F29" i="7"/>
  <c r="P19" i="7"/>
  <c r="H19" i="7"/>
  <c r="L19" i="7"/>
  <c r="N16" i="7"/>
  <c r="F16" i="7"/>
  <c r="P4" i="7"/>
  <c r="P3" i="7" s="1"/>
  <c r="H4" i="7"/>
  <c r="H3" i="7" s="1"/>
  <c r="M29" i="8"/>
  <c r="E29" i="8"/>
  <c r="Q29" i="8"/>
  <c r="G29" i="8"/>
  <c r="O27" i="10"/>
  <c r="G27" i="10"/>
  <c r="G26" i="10"/>
  <c r="O25" i="10"/>
  <c r="G24" i="10"/>
  <c r="O23" i="10"/>
  <c r="G22" i="10"/>
  <c r="O21" i="10"/>
  <c r="K19" i="8"/>
  <c r="G20" i="10"/>
  <c r="C19" i="8"/>
  <c r="M16" i="8"/>
  <c r="E16" i="8"/>
  <c r="Q16" i="8"/>
  <c r="G16" i="8"/>
  <c r="O15" i="10"/>
  <c r="G14" i="10"/>
  <c r="O13" i="10"/>
  <c r="G12" i="10"/>
  <c r="O11" i="10"/>
  <c r="G10" i="10"/>
  <c r="O9" i="10"/>
  <c r="G8" i="10"/>
  <c r="O7" i="10"/>
  <c r="G6" i="10"/>
  <c r="O5" i="10"/>
  <c r="K4" i="8"/>
  <c r="C4" i="8"/>
  <c r="C4" i="12" s="1"/>
  <c r="L33" i="10"/>
  <c r="H33" i="10"/>
  <c r="H33" i="16"/>
  <c r="D33" i="10"/>
  <c r="P32" i="10"/>
  <c r="L32" i="10"/>
  <c r="L31" i="10"/>
  <c r="H31" i="10"/>
  <c r="D31" i="10"/>
  <c r="D31" i="16"/>
  <c r="P30" i="10"/>
  <c r="L30" i="10"/>
  <c r="L29" i="9"/>
  <c r="D30" i="10"/>
  <c r="D29" i="9"/>
  <c r="J27" i="10"/>
  <c r="B27" i="10"/>
  <c r="B26" i="10"/>
  <c r="J25" i="10"/>
  <c r="B24" i="10"/>
  <c r="J23" i="10"/>
  <c r="B22" i="10"/>
  <c r="J21" i="10"/>
  <c r="B21" i="10"/>
  <c r="N19" i="9"/>
  <c r="F19" i="9"/>
  <c r="B20" i="10"/>
  <c r="L18" i="10"/>
  <c r="H18" i="10"/>
  <c r="H18" i="16"/>
  <c r="D18" i="10"/>
  <c r="L17" i="10"/>
  <c r="L17" i="16"/>
  <c r="L16" i="9"/>
  <c r="H17" i="10"/>
  <c r="H17" i="16"/>
  <c r="D17" i="10"/>
  <c r="D17" i="16"/>
  <c r="D16" i="9"/>
  <c r="D16" i="13" s="1"/>
  <c r="B15" i="10"/>
  <c r="B14" i="10"/>
  <c r="B13" i="10"/>
  <c r="B12" i="10"/>
  <c r="B11" i="10"/>
  <c r="B10" i="10"/>
  <c r="B9" i="10"/>
  <c r="J8" i="10"/>
  <c r="B8" i="10"/>
  <c r="J6" i="10"/>
  <c r="B6" i="10"/>
  <c r="N4" i="9"/>
  <c r="J5" i="10"/>
  <c r="F4" i="9"/>
  <c r="B5" i="10"/>
  <c r="K33" i="10"/>
  <c r="Q32" i="10"/>
  <c r="K31" i="10"/>
  <c r="Q30" i="10"/>
  <c r="Q27" i="10"/>
  <c r="F27" i="10"/>
  <c r="K26" i="10"/>
  <c r="Q25" i="10"/>
  <c r="F25" i="10"/>
  <c r="K24" i="10"/>
  <c r="Q23" i="10"/>
  <c r="F23" i="10"/>
  <c r="K22" i="10"/>
  <c r="Q21" i="10"/>
  <c r="F21" i="10"/>
  <c r="K20" i="10"/>
  <c r="K18" i="10"/>
  <c r="Q17" i="10"/>
  <c r="Q15" i="10"/>
  <c r="F15" i="10"/>
  <c r="K14" i="10"/>
  <c r="Q13" i="10"/>
  <c r="F13" i="10"/>
  <c r="K12" i="10"/>
  <c r="Q11" i="10"/>
  <c r="F11" i="10"/>
  <c r="K10" i="10"/>
  <c r="Q9" i="10"/>
  <c r="F9" i="10"/>
  <c r="K8" i="10"/>
  <c r="Q7" i="10"/>
  <c r="F7" i="10"/>
  <c r="K6" i="10"/>
  <c r="Q5" i="10"/>
  <c r="F5" i="10"/>
  <c r="P32" i="14"/>
  <c r="D32" i="14"/>
  <c r="D32" i="17" s="1"/>
  <c r="P31" i="14"/>
  <c r="L31" i="14"/>
  <c r="H31" i="14"/>
  <c r="H31" i="17" s="1"/>
  <c r="D31" i="14"/>
  <c r="D31" i="17" s="1"/>
  <c r="P30" i="14"/>
  <c r="P29" i="11"/>
  <c r="H29" i="11"/>
  <c r="D30" i="14"/>
  <c r="D30" i="17" s="1"/>
  <c r="L29" i="11"/>
  <c r="N24" i="14"/>
  <c r="J24" i="14"/>
  <c r="F24" i="14"/>
  <c r="B24" i="14"/>
  <c r="N23" i="14"/>
  <c r="J23" i="14"/>
  <c r="F23" i="14"/>
  <c r="B23" i="14"/>
  <c r="N22" i="14"/>
  <c r="J22" i="14"/>
  <c r="F22" i="14"/>
  <c r="B22" i="14"/>
  <c r="N21" i="14"/>
  <c r="J21" i="14"/>
  <c r="F21" i="14"/>
  <c r="B21" i="14"/>
  <c r="N20" i="14"/>
  <c r="N19" i="11"/>
  <c r="J20" i="14"/>
  <c r="F20" i="14"/>
  <c r="F19" i="11"/>
  <c r="B20" i="14"/>
  <c r="P17" i="14"/>
  <c r="P16" i="11"/>
  <c r="L17" i="14"/>
  <c r="L17" i="17" s="1"/>
  <c r="H17" i="14"/>
  <c r="H17" i="17" s="1"/>
  <c r="H16" i="11"/>
  <c r="D17" i="14"/>
  <c r="L16" i="11"/>
  <c r="N10" i="14"/>
  <c r="J10" i="14"/>
  <c r="F10" i="14"/>
  <c r="B10" i="14"/>
  <c r="N9" i="14"/>
  <c r="J9" i="14"/>
  <c r="F9" i="14"/>
  <c r="B9" i="14"/>
  <c r="N8" i="14"/>
  <c r="J8" i="14"/>
  <c r="F8" i="14"/>
  <c r="B8" i="14"/>
  <c r="N7" i="14"/>
  <c r="J7" i="14"/>
  <c r="F7" i="14"/>
  <c r="B7" i="14"/>
  <c r="N6" i="14"/>
  <c r="J6" i="14"/>
  <c r="F6" i="14"/>
  <c r="B6" i="14"/>
  <c r="N5" i="14"/>
  <c r="N4" i="11"/>
  <c r="J5" i="14"/>
  <c r="F5" i="14"/>
  <c r="F4" i="11"/>
  <c r="B5" i="14"/>
  <c r="D7" i="14"/>
  <c r="D5" i="14"/>
  <c r="D5" i="17" s="1"/>
  <c r="P32" i="25"/>
  <c r="O29" i="18"/>
  <c r="K29" i="18"/>
  <c r="G29" i="18"/>
  <c r="C31" i="25"/>
  <c r="N29" i="18"/>
  <c r="J29" i="18"/>
  <c r="J30" i="26"/>
  <c r="F29" i="18"/>
  <c r="J19" i="18"/>
  <c r="J10" i="28"/>
  <c r="D29" i="7"/>
  <c r="O29" i="8"/>
  <c r="I19" i="8"/>
  <c r="I4" i="8"/>
  <c r="J29" i="9"/>
  <c r="J29" i="13" s="1"/>
  <c r="E27" i="10"/>
  <c r="M25" i="10"/>
  <c r="E25" i="10"/>
  <c r="E24" i="10"/>
  <c r="M23" i="10"/>
  <c r="E23" i="10"/>
  <c r="M21" i="10"/>
  <c r="E21" i="10"/>
  <c r="E20" i="10"/>
  <c r="P19" i="9"/>
  <c r="J16" i="9"/>
  <c r="J16" i="13" s="1"/>
  <c r="E15" i="10"/>
  <c r="E14" i="10"/>
  <c r="E13" i="10"/>
  <c r="E12" i="10"/>
  <c r="E11" i="10"/>
  <c r="E10" i="10"/>
  <c r="E9" i="10"/>
  <c r="I33" i="10"/>
  <c r="N32" i="10"/>
  <c r="C32" i="10"/>
  <c r="I31" i="10"/>
  <c r="N27" i="10"/>
  <c r="C27" i="10"/>
  <c r="I26" i="10"/>
  <c r="N25" i="10"/>
  <c r="C25" i="10"/>
  <c r="I24" i="10"/>
  <c r="N23" i="10"/>
  <c r="C23" i="10"/>
  <c r="I22" i="10"/>
  <c r="N21" i="10"/>
  <c r="C21" i="10"/>
  <c r="I20" i="10"/>
  <c r="I18" i="10"/>
  <c r="C17" i="10"/>
  <c r="N15" i="10"/>
  <c r="C15" i="10"/>
  <c r="I14" i="10"/>
  <c r="N13" i="10"/>
  <c r="C13" i="10"/>
  <c r="I12" i="10"/>
  <c r="N11" i="10"/>
  <c r="C11" i="10"/>
  <c r="I10" i="10"/>
  <c r="N9" i="10"/>
  <c r="C9" i="10"/>
  <c r="I8" i="10"/>
  <c r="N7" i="10"/>
  <c r="C7" i="10"/>
  <c r="I6" i="10"/>
  <c r="N5" i="10"/>
  <c r="C5" i="10"/>
  <c r="D26" i="16"/>
  <c r="P33" i="21"/>
  <c r="L33" i="21"/>
  <c r="H33" i="21"/>
  <c r="H29" i="19"/>
  <c r="H29" i="23" s="1"/>
  <c r="D33" i="21"/>
  <c r="O32" i="21"/>
  <c r="O29" i="19"/>
  <c r="O29" i="23" s="1"/>
  <c r="G32" i="21"/>
  <c r="C29" i="19"/>
  <c r="N31" i="21"/>
  <c r="N29" i="19"/>
  <c r="J31" i="21"/>
  <c r="J29" i="19"/>
  <c r="J29" i="23" s="1"/>
  <c r="F31" i="21"/>
  <c r="F29" i="19"/>
  <c r="F29" i="23" s="1"/>
  <c r="Q29" i="19"/>
  <c r="Q30" i="21"/>
  <c r="M29" i="19"/>
  <c r="M29" i="23" s="1"/>
  <c r="M30" i="21"/>
  <c r="I29" i="19"/>
  <c r="I29" i="23" s="1"/>
  <c r="I30" i="21"/>
  <c r="E29" i="19"/>
  <c r="E30" i="21"/>
  <c r="D29" i="19"/>
  <c r="D33" i="27"/>
  <c r="C24" i="6"/>
  <c r="C25" i="6"/>
  <c r="C26" i="6"/>
  <c r="C8" i="16" s="1"/>
  <c r="C23" i="6"/>
  <c r="C20" i="6"/>
  <c r="C21" i="6"/>
  <c r="P29" i="7"/>
  <c r="H29" i="7"/>
  <c r="L29" i="7"/>
  <c r="N19" i="7"/>
  <c r="F19" i="7"/>
  <c r="P16" i="7"/>
  <c r="H16" i="7"/>
  <c r="N4" i="7"/>
  <c r="N3" i="7" s="1"/>
  <c r="F4" i="7"/>
  <c r="F3" i="7" s="1"/>
  <c r="K29" i="8"/>
  <c r="K29" i="12" s="1"/>
  <c r="C29" i="8"/>
  <c r="M19" i="8"/>
  <c r="E19" i="8"/>
  <c r="E19" i="12" s="1"/>
  <c r="Q19" i="8"/>
  <c r="G18" i="10"/>
  <c r="O17" i="10"/>
  <c r="K16" i="8"/>
  <c r="K16" i="12" s="1"/>
  <c r="C16" i="8"/>
  <c r="C16" i="12" s="1"/>
  <c r="M4" i="8"/>
  <c r="E4" i="8"/>
  <c r="Q4" i="8"/>
  <c r="J33" i="10"/>
  <c r="B32" i="10"/>
  <c r="J31" i="10"/>
  <c r="N29" i="9"/>
  <c r="N29" i="13" s="1"/>
  <c r="F29" i="9"/>
  <c r="B30" i="10"/>
  <c r="P27" i="10"/>
  <c r="L27" i="10"/>
  <c r="H27" i="10"/>
  <c r="D27" i="10"/>
  <c r="P26" i="10"/>
  <c r="L26" i="10"/>
  <c r="L25" i="10"/>
  <c r="H25" i="10"/>
  <c r="H25" i="16"/>
  <c r="D25" i="10"/>
  <c r="D25" i="16"/>
  <c r="P24" i="10"/>
  <c r="L24" i="10"/>
  <c r="L23" i="10"/>
  <c r="L23" i="16"/>
  <c r="H23" i="10"/>
  <c r="D23" i="10"/>
  <c r="D23" i="16"/>
  <c r="P22" i="10"/>
  <c r="L22" i="10"/>
  <c r="L22" i="16"/>
  <c r="L21" i="10"/>
  <c r="H21" i="10"/>
  <c r="H21" i="16"/>
  <c r="D21" i="10"/>
  <c r="D21" i="16"/>
  <c r="L20" i="10"/>
  <c r="L20" i="16"/>
  <c r="L19" i="9"/>
  <c r="H20" i="10"/>
  <c r="D20" i="10"/>
  <c r="D20" i="16"/>
  <c r="D19" i="9"/>
  <c r="B18" i="10"/>
  <c r="N16" i="9"/>
  <c r="N16" i="13" s="1"/>
  <c r="F16" i="9"/>
  <c r="F16" i="13" s="1"/>
  <c r="B17" i="10"/>
  <c r="L15" i="10"/>
  <c r="H15" i="10"/>
  <c r="H15" i="16"/>
  <c r="D15" i="10"/>
  <c r="D15" i="16"/>
  <c r="L14" i="10"/>
  <c r="L14" i="16"/>
  <c r="H14" i="10"/>
  <c r="D14" i="10"/>
  <c r="D14" i="16"/>
  <c r="L13" i="10"/>
  <c r="H13" i="10"/>
  <c r="H13" i="16"/>
  <c r="D13" i="10"/>
  <c r="D13" i="16"/>
  <c r="L12" i="10"/>
  <c r="H12" i="10"/>
  <c r="D12" i="10"/>
  <c r="D12" i="16"/>
  <c r="L11" i="10"/>
  <c r="H11" i="10"/>
  <c r="H11" i="16"/>
  <c r="D11" i="10"/>
  <c r="D11" i="16"/>
  <c r="L10" i="10"/>
  <c r="L10" i="16"/>
  <c r="H10" i="10"/>
  <c r="D10" i="10"/>
  <c r="D10" i="16"/>
  <c r="L9" i="10"/>
  <c r="H9" i="10"/>
  <c r="H9" i="16"/>
  <c r="D9" i="10"/>
  <c r="D9" i="16"/>
  <c r="P8" i="10"/>
  <c r="L8" i="10"/>
  <c r="H8" i="10"/>
  <c r="D8" i="10"/>
  <c r="D8" i="16"/>
  <c r="L7" i="10"/>
  <c r="H7" i="10"/>
  <c r="D7" i="10"/>
  <c r="D7" i="16"/>
  <c r="P6" i="10"/>
  <c r="L6" i="10"/>
  <c r="H6" i="10"/>
  <c r="P5" i="10"/>
  <c r="L5" i="10"/>
  <c r="L4" i="9"/>
  <c r="H5" i="10"/>
  <c r="D5" i="10"/>
  <c r="D5" i="16"/>
  <c r="D4" i="9"/>
  <c r="Q33" i="10"/>
  <c r="F33" i="10"/>
  <c r="K32" i="10"/>
  <c r="Q31" i="10"/>
  <c r="F31" i="10"/>
  <c r="K30" i="10"/>
  <c r="K27" i="10"/>
  <c r="Q26" i="10"/>
  <c r="F26" i="10"/>
  <c r="K25" i="10"/>
  <c r="Q24" i="10"/>
  <c r="F24" i="10"/>
  <c r="K23" i="10"/>
  <c r="Q22" i="10"/>
  <c r="F22" i="10"/>
  <c r="K21" i="10"/>
  <c r="Q20" i="10"/>
  <c r="Q18" i="10"/>
  <c r="F18" i="10"/>
  <c r="K17" i="10"/>
  <c r="K15" i="10"/>
  <c r="Q14" i="10"/>
  <c r="K13" i="10"/>
  <c r="Q12" i="10"/>
  <c r="K11" i="10"/>
  <c r="Q10" i="10"/>
  <c r="K9" i="10"/>
  <c r="Q8" i="10"/>
  <c r="K7" i="10"/>
  <c r="Q6" i="10"/>
  <c r="K5" i="10"/>
  <c r="N32" i="14"/>
  <c r="J32" i="14"/>
  <c r="F32" i="14"/>
  <c r="B32" i="14"/>
  <c r="N31" i="14"/>
  <c r="J31" i="14"/>
  <c r="F31" i="14"/>
  <c r="B31" i="14"/>
  <c r="N30" i="14"/>
  <c r="N29" i="11"/>
  <c r="J30" i="14"/>
  <c r="F30" i="14"/>
  <c r="F29" i="11"/>
  <c r="B30" i="14"/>
  <c r="P24" i="14"/>
  <c r="D24" i="14"/>
  <c r="D24" i="17" s="1"/>
  <c r="P23" i="14"/>
  <c r="L23" i="14"/>
  <c r="L23" i="17" s="1"/>
  <c r="H23" i="14"/>
  <c r="D23" i="14"/>
  <c r="D23" i="17" s="1"/>
  <c r="P22" i="14"/>
  <c r="D22" i="14"/>
  <c r="D22" i="17" s="1"/>
  <c r="P21" i="14"/>
  <c r="L21" i="14"/>
  <c r="H21" i="14"/>
  <c r="D21" i="14"/>
  <c r="D21" i="17" s="1"/>
  <c r="P20" i="14"/>
  <c r="P19" i="11"/>
  <c r="H19" i="11"/>
  <c r="D20" i="14"/>
  <c r="D20" i="17" s="1"/>
  <c r="L19" i="11"/>
  <c r="N17" i="14"/>
  <c r="N16" i="11"/>
  <c r="J17" i="14"/>
  <c r="F17" i="14"/>
  <c r="F16" i="11"/>
  <c r="B17" i="14"/>
  <c r="P10" i="14"/>
  <c r="L10" i="14"/>
  <c r="H10" i="14"/>
  <c r="D10" i="14"/>
  <c r="D10" i="17" s="1"/>
  <c r="P9" i="14"/>
  <c r="L9" i="14"/>
  <c r="H9" i="14"/>
  <c r="P8" i="14"/>
  <c r="L8" i="14"/>
  <c r="H8" i="14"/>
  <c r="D8" i="14"/>
  <c r="D8" i="17" s="1"/>
  <c r="P7" i="14"/>
  <c r="L7" i="14"/>
  <c r="L7" i="17" s="1"/>
  <c r="H7" i="14"/>
  <c r="P6" i="14"/>
  <c r="L6" i="14"/>
  <c r="H6" i="14"/>
  <c r="H6" i="17" s="1"/>
  <c r="D6" i="14"/>
  <c r="D6" i="17" s="1"/>
  <c r="P5" i="14"/>
  <c r="P4" i="11"/>
  <c r="L5" i="14"/>
  <c r="L5" i="17" s="1"/>
  <c r="H5" i="14"/>
  <c r="H4" i="11"/>
  <c r="L4" i="11"/>
  <c r="H20" i="15"/>
  <c r="D32" i="16"/>
  <c r="D24" i="16"/>
  <c r="D6" i="16"/>
  <c r="H30" i="14"/>
  <c r="G24" i="25"/>
  <c r="C24" i="25"/>
  <c r="E22" i="25"/>
  <c r="E22" i="26"/>
  <c r="P21" i="25"/>
  <c r="P21" i="28" s="1"/>
  <c r="P21" i="26"/>
  <c r="O19" i="18"/>
  <c r="O20" i="25"/>
  <c r="G20" i="25"/>
  <c r="G19" i="18"/>
  <c r="C20" i="25"/>
  <c r="D19" i="7"/>
  <c r="I29" i="8"/>
  <c r="D25" i="15"/>
  <c r="L23" i="15"/>
  <c r="D23" i="15"/>
  <c r="D21" i="15"/>
  <c r="O19" i="8"/>
  <c r="I16" i="8"/>
  <c r="D15" i="15"/>
  <c r="D13" i="15"/>
  <c r="D11" i="15"/>
  <c r="L9" i="15"/>
  <c r="D9" i="15"/>
  <c r="D7" i="15"/>
  <c r="D5" i="15"/>
  <c r="O4" i="8"/>
  <c r="O4" i="12" s="1"/>
  <c r="M33" i="10"/>
  <c r="E33" i="10"/>
  <c r="E32" i="10"/>
  <c r="M31" i="10"/>
  <c r="E31" i="10"/>
  <c r="P29" i="9"/>
  <c r="P29" i="13" s="1"/>
  <c r="J19" i="9"/>
  <c r="J19" i="13" s="1"/>
  <c r="E18" i="10"/>
  <c r="E17" i="10"/>
  <c r="P16" i="9"/>
  <c r="J4" i="9"/>
  <c r="J4" i="13" s="1"/>
  <c r="N33" i="10"/>
  <c r="C33" i="10"/>
  <c r="I32" i="10"/>
  <c r="N31" i="10"/>
  <c r="C31" i="10"/>
  <c r="I30" i="10"/>
  <c r="I27" i="10"/>
  <c r="C26" i="10"/>
  <c r="I25" i="10"/>
  <c r="N24" i="10"/>
  <c r="C24" i="10"/>
  <c r="C22" i="10"/>
  <c r="N20" i="10"/>
  <c r="C20" i="10"/>
  <c r="N18" i="10"/>
  <c r="C18" i="10"/>
  <c r="I17" i="10"/>
  <c r="N14" i="10"/>
  <c r="C14" i="10"/>
  <c r="N12" i="10"/>
  <c r="C12" i="10"/>
  <c r="N10" i="10"/>
  <c r="C10" i="10"/>
  <c r="I9" i="10"/>
  <c r="N8" i="10"/>
  <c r="C8" i="10"/>
  <c r="N6" i="10"/>
  <c r="C6" i="10"/>
  <c r="D29" i="11"/>
  <c r="J19" i="11"/>
  <c r="D16" i="11"/>
  <c r="J4" i="11"/>
  <c r="D30" i="16"/>
  <c r="H28" i="16"/>
  <c r="D22" i="16"/>
  <c r="K19" i="18"/>
  <c r="N30" i="25"/>
  <c r="D11" i="27"/>
  <c r="B24" i="6"/>
  <c r="B25" i="6"/>
  <c r="B26" i="6"/>
  <c r="B115" i="6"/>
  <c r="B116" i="6"/>
  <c r="B117" i="6"/>
  <c r="B118" i="6"/>
  <c r="B119" i="6"/>
  <c r="B23" i="6"/>
  <c r="B161" i="6" s="1"/>
  <c r="B20" i="6"/>
  <c r="B21" i="6"/>
  <c r="P29" i="8"/>
  <c r="P29" i="12" s="1"/>
  <c r="P19" i="8"/>
  <c r="P16" i="8"/>
  <c r="P4" i="8"/>
  <c r="P4" i="12" s="1"/>
  <c r="Q29" i="9"/>
  <c r="Q19" i="9"/>
  <c r="Q16" i="9"/>
  <c r="Q16" i="13" s="1"/>
  <c r="I14" i="16"/>
  <c r="Q13" i="16"/>
  <c r="I8" i="16"/>
  <c r="Q4" i="9"/>
  <c r="M32" i="10"/>
  <c r="M30" i="10"/>
  <c r="M27" i="10"/>
  <c r="M26" i="10"/>
  <c r="M24" i="10"/>
  <c r="M22" i="10"/>
  <c r="M20" i="10"/>
  <c r="M18" i="10"/>
  <c r="M17" i="10"/>
  <c r="M15" i="10"/>
  <c r="M14" i="10"/>
  <c r="M13" i="10"/>
  <c r="M12" i="10"/>
  <c r="M11" i="10"/>
  <c r="M10" i="10"/>
  <c r="M9" i="10"/>
  <c r="M8" i="10"/>
  <c r="M7" i="10"/>
  <c r="M6" i="10"/>
  <c r="M5" i="10"/>
  <c r="K32" i="14"/>
  <c r="G32" i="14"/>
  <c r="C32" i="14"/>
  <c r="O31" i="14"/>
  <c r="K31" i="14"/>
  <c r="K31" i="17" s="1"/>
  <c r="K30" i="14"/>
  <c r="G30" i="14"/>
  <c r="C30" i="14"/>
  <c r="C29" i="11"/>
  <c r="K24" i="14"/>
  <c r="G24" i="14"/>
  <c r="C24" i="14"/>
  <c r="O23" i="14"/>
  <c r="K23" i="14"/>
  <c r="K22" i="14"/>
  <c r="G22" i="14"/>
  <c r="C22" i="14"/>
  <c r="O21" i="14"/>
  <c r="K21" i="14"/>
  <c r="K20" i="14"/>
  <c r="G20" i="14"/>
  <c r="C20" i="14"/>
  <c r="C19" i="11"/>
  <c r="O17" i="14"/>
  <c r="K17" i="14"/>
  <c r="O10" i="14"/>
  <c r="K10" i="14"/>
  <c r="K9" i="14"/>
  <c r="G9" i="14"/>
  <c r="C9" i="14"/>
  <c r="O8" i="14"/>
  <c r="K8" i="14"/>
  <c r="K7" i="14"/>
  <c r="G7" i="14"/>
  <c r="C7" i="14"/>
  <c r="O6" i="14"/>
  <c r="K6" i="14"/>
  <c r="K6" i="17" s="1"/>
  <c r="K5" i="14"/>
  <c r="G5" i="14"/>
  <c r="C5" i="14"/>
  <c r="C4" i="11"/>
  <c r="F19" i="18"/>
  <c r="P19" i="18"/>
  <c r="L19" i="18"/>
  <c r="H19" i="18"/>
  <c r="F13" i="27"/>
  <c r="P11" i="27"/>
  <c r="E8" i="27"/>
  <c r="K15" i="18"/>
  <c r="G6" i="26"/>
  <c r="G15" i="18"/>
  <c r="C4" i="18"/>
  <c r="C3" i="18" s="1"/>
  <c r="C15" i="18"/>
  <c r="N4" i="18"/>
  <c r="N3" i="18" s="1"/>
  <c r="N15" i="18"/>
  <c r="J4" i="18"/>
  <c r="J3" i="18" s="1"/>
  <c r="J15" i="18"/>
  <c r="F4" i="18"/>
  <c r="F3" i="18" s="1"/>
  <c r="F15" i="18"/>
  <c r="D4" i="18"/>
  <c r="D3" i="18" s="1"/>
  <c r="P29" i="19"/>
  <c r="P29" i="23" s="1"/>
  <c r="J26" i="21"/>
  <c r="J26" i="26"/>
  <c r="F26" i="21"/>
  <c r="P24" i="26"/>
  <c r="H24" i="21"/>
  <c r="D24" i="21"/>
  <c r="G23" i="21"/>
  <c r="G19" i="19"/>
  <c r="G19" i="23" s="1"/>
  <c r="N19" i="19"/>
  <c r="N19" i="23" s="1"/>
  <c r="J19" i="19"/>
  <c r="J19" i="23" s="1"/>
  <c r="F22" i="21"/>
  <c r="Q19" i="19"/>
  <c r="Q21" i="21"/>
  <c r="P19" i="19"/>
  <c r="L19" i="19"/>
  <c r="H19" i="19"/>
  <c r="D19" i="19"/>
  <c r="D20" i="21"/>
  <c r="D20" i="26"/>
  <c r="I19" i="19"/>
  <c r="K33" i="21"/>
  <c r="G33" i="21"/>
  <c r="G29" i="20"/>
  <c r="C33" i="21"/>
  <c r="N32" i="21"/>
  <c r="N29" i="20"/>
  <c r="N29" i="24" s="1"/>
  <c r="J32" i="21"/>
  <c r="J29" i="20"/>
  <c r="F32" i="21"/>
  <c r="Q31" i="21"/>
  <c r="Q29" i="20"/>
  <c r="M31" i="21"/>
  <c r="E31" i="21"/>
  <c r="P30" i="21"/>
  <c r="P29" i="20"/>
  <c r="P29" i="24" s="1"/>
  <c r="P30" i="27"/>
  <c r="L30" i="21"/>
  <c r="L29" i="20"/>
  <c r="H30" i="21"/>
  <c r="H29" i="20"/>
  <c r="H29" i="24" s="1"/>
  <c r="D30" i="21"/>
  <c r="D29" i="20"/>
  <c r="I29" i="20"/>
  <c r="I29" i="24" s="1"/>
  <c r="M27" i="21"/>
  <c r="G27" i="21"/>
  <c r="E25" i="21"/>
  <c r="C23" i="21"/>
  <c r="P20" i="21"/>
  <c r="L32" i="25"/>
  <c r="L29" i="22"/>
  <c r="H32" i="25"/>
  <c r="H29" i="22"/>
  <c r="D32" i="25"/>
  <c r="D32" i="28" s="1"/>
  <c r="O31" i="25"/>
  <c r="O29" i="22"/>
  <c r="K31" i="25"/>
  <c r="G31" i="25"/>
  <c r="J29" i="22"/>
  <c r="J30" i="25"/>
  <c r="F30" i="25"/>
  <c r="F29" i="22"/>
  <c r="Q29" i="22"/>
  <c r="P20" i="25"/>
  <c r="P20" i="28" s="1"/>
  <c r="P19" i="22"/>
  <c r="L19" i="22"/>
  <c r="H20" i="25"/>
  <c r="H19" i="22"/>
  <c r="D19" i="22"/>
  <c r="I19" i="22"/>
  <c r="O10" i="25"/>
  <c r="K10" i="25"/>
  <c r="C10" i="25"/>
  <c r="J9" i="25"/>
  <c r="F9" i="25"/>
  <c r="Q8" i="25"/>
  <c r="M8" i="25"/>
  <c r="M8" i="28" s="1"/>
  <c r="I8" i="25"/>
  <c r="E8" i="25"/>
  <c r="L7" i="25"/>
  <c r="H7" i="25"/>
  <c r="D7" i="25"/>
  <c r="O6" i="25"/>
  <c r="K6" i="25"/>
  <c r="G6" i="25"/>
  <c r="N4" i="22"/>
  <c r="N5" i="25"/>
  <c r="F5" i="25"/>
  <c r="Q4" i="22"/>
  <c r="F18" i="25"/>
  <c r="F18" i="28" s="1"/>
  <c r="K3" i="30"/>
  <c r="G3" i="30"/>
  <c r="C3" i="30"/>
  <c r="N40" i="39"/>
  <c r="N53" i="39"/>
  <c r="J40" i="39"/>
  <c r="J53" i="39"/>
  <c r="F40" i="39"/>
  <c r="F53" i="39"/>
  <c r="B40" i="39"/>
  <c r="B53" i="39"/>
  <c r="N39" i="39"/>
  <c r="N52" i="39"/>
  <c r="J39" i="39"/>
  <c r="J52" i="39"/>
  <c r="F39" i="39"/>
  <c r="F52" i="39"/>
  <c r="B39" i="39"/>
  <c r="B52" i="39"/>
  <c r="N38" i="39"/>
  <c r="N51" i="39"/>
  <c r="J38" i="39"/>
  <c r="J51" i="39"/>
  <c r="B38" i="39"/>
  <c r="B51" i="39"/>
  <c r="N37" i="39"/>
  <c r="N50" i="39"/>
  <c r="J37" i="39"/>
  <c r="J50" i="39"/>
  <c r="F37" i="39"/>
  <c r="F50" i="39"/>
  <c r="B37" i="39"/>
  <c r="B50" i="39"/>
  <c r="N36" i="39"/>
  <c r="N49" i="39"/>
  <c r="J36" i="39"/>
  <c r="J49" i="39"/>
  <c r="F36" i="39"/>
  <c r="F49" i="39"/>
  <c r="B36" i="39"/>
  <c r="B49" i="39"/>
  <c r="N35" i="39"/>
  <c r="N48" i="39"/>
  <c r="J35" i="39"/>
  <c r="J48" i="39"/>
  <c r="F35" i="39"/>
  <c r="F48" i="39"/>
  <c r="B35" i="39"/>
  <c r="B48" i="39"/>
  <c r="N34" i="39"/>
  <c r="N47" i="39"/>
  <c r="J34" i="39"/>
  <c r="J47" i="39"/>
  <c r="F34" i="39"/>
  <c r="F47" i="39"/>
  <c r="B34" i="39"/>
  <c r="B47" i="39"/>
  <c r="N33" i="39"/>
  <c r="N46" i="39"/>
  <c r="J33" i="39"/>
  <c r="J46" i="39"/>
  <c r="F33" i="39"/>
  <c r="F46" i="39"/>
  <c r="B33" i="39"/>
  <c r="B46" i="39"/>
  <c r="N32" i="39"/>
  <c r="N45" i="39"/>
  <c r="J32" i="39"/>
  <c r="J45" i="39"/>
  <c r="F32" i="39"/>
  <c r="F45" i="39"/>
  <c r="B32" i="39"/>
  <c r="B45" i="39"/>
  <c r="K4" i="7"/>
  <c r="K3" i="7" s="1"/>
  <c r="H29" i="8"/>
  <c r="H29" i="12" s="1"/>
  <c r="H16" i="8"/>
  <c r="H4" i="8"/>
  <c r="H4" i="12" s="1"/>
  <c r="G33" i="16"/>
  <c r="K32" i="16"/>
  <c r="G32" i="16"/>
  <c r="G31" i="16"/>
  <c r="K30" i="16"/>
  <c r="G30" i="16"/>
  <c r="I19" i="9"/>
  <c r="I19" i="13" s="1"/>
  <c r="C17" i="16"/>
  <c r="I16" i="9"/>
  <c r="K14" i="16"/>
  <c r="K12" i="16"/>
  <c r="K10" i="16"/>
  <c r="I4" i="9"/>
  <c r="I4" i="13" s="1"/>
  <c r="E30" i="10"/>
  <c r="E26" i="10"/>
  <c r="E22" i="10"/>
  <c r="E8" i="10"/>
  <c r="E7" i="10"/>
  <c r="E6" i="10"/>
  <c r="E5" i="10"/>
  <c r="K29" i="11"/>
  <c r="K19" i="11"/>
  <c r="K16" i="11"/>
  <c r="K4" i="11"/>
  <c r="P5" i="25"/>
  <c r="P5" i="28" s="1"/>
  <c r="P15" i="18"/>
  <c r="P4" i="18"/>
  <c r="P3" i="18" s="1"/>
  <c r="L4" i="18"/>
  <c r="L3" i="18" s="1"/>
  <c r="H4" i="18"/>
  <c r="H3" i="18" s="1"/>
  <c r="H5" i="25"/>
  <c r="K4" i="18"/>
  <c r="K3" i="18" s="1"/>
  <c r="O19" i="19"/>
  <c r="H16" i="19"/>
  <c r="H16" i="23" s="1"/>
  <c r="D16" i="19"/>
  <c r="D16" i="23" s="1"/>
  <c r="E14" i="26"/>
  <c r="P13" i="26"/>
  <c r="J11" i="26"/>
  <c r="M10" i="26"/>
  <c r="P9" i="26"/>
  <c r="J7" i="26"/>
  <c r="M6" i="26"/>
  <c r="E6" i="26"/>
  <c r="P5" i="26"/>
  <c r="L4" i="19"/>
  <c r="L4" i="23" s="1"/>
  <c r="H4" i="19"/>
  <c r="H4" i="23" s="1"/>
  <c r="D4" i="19"/>
  <c r="J4" i="19"/>
  <c r="O29" i="20"/>
  <c r="O29" i="24" s="1"/>
  <c r="P26" i="27"/>
  <c r="P26" i="21"/>
  <c r="L26" i="21"/>
  <c r="H26" i="21"/>
  <c r="D26" i="21"/>
  <c r="N24" i="21"/>
  <c r="J24" i="27"/>
  <c r="J24" i="21"/>
  <c r="F24" i="21"/>
  <c r="Q23" i="21"/>
  <c r="L22" i="21"/>
  <c r="H22" i="21"/>
  <c r="H19" i="20"/>
  <c r="D22" i="21"/>
  <c r="O21" i="21"/>
  <c r="N20" i="21"/>
  <c r="N19" i="20"/>
  <c r="N19" i="24" s="1"/>
  <c r="J20" i="27"/>
  <c r="J19" i="20"/>
  <c r="J19" i="24" s="1"/>
  <c r="J20" i="21"/>
  <c r="F20" i="21"/>
  <c r="Q19" i="20"/>
  <c r="Q18" i="21"/>
  <c r="Q16" i="20"/>
  <c r="Q16" i="24" s="1"/>
  <c r="M18" i="27"/>
  <c r="M18" i="21"/>
  <c r="I18" i="21"/>
  <c r="E18" i="21"/>
  <c r="P17" i="21"/>
  <c r="P16" i="20"/>
  <c r="P17" i="27"/>
  <c r="L17" i="21"/>
  <c r="L16" i="20"/>
  <c r="H17" i="21"/>
  <c r="H16" i="20"/>
  <c r="H16" i="24" s="1"/>
  <c r="D17" i="21"/>
  <c r="D16" i="20"/>
  <c r="D16" i="24" s="1"/>
  <c r="D17" i="27"/>
  <c r="M16" i="20"/>
  <c r="Q15" i="21"/>
  <c r="M15" i="21"/>
  <c r="I15" i="21"/>
  <c r="D14" i="27"/>
  <c r="D14" i="21"/>
  <c r="O13" i="21"/>
  <c r="K13" i="27"/>
  <c r="K13" i="21"/>
  <c r="G13" i="27"/>
  <c r="G13" i="21"/>
  <c r="F12" i="21"/>
  <c r="Q11" i="21"/>
  <c r="M11" i="21"/>
  <c r="I11" i="21"/>
  <c r="E11" i="27"/>
  <c r="E11" i="21"/>
  <c r="P10" i="27"/>
  <c r="O9" i="21"/>
  <c r="K9" i="27"/>
  <c r="K9" i="21"/>
  <c r="G9" i="21"/>
  <c r="C9" i="21"/>
  <c r="Q7" i="21"/>
  <c r="M7" i="27"/>
  <c r="M7" i="21"/>
  <c r="I7" i="21"/>
  <c r="E7" i="27"/>
  <c r="E7" i="21"/>
  <c r="P6" i="27"/>
  <c r="P6" i="21"/>
  <c r="O5" i="21"/>
  <c r="O4" i="20"/>
  <c r="O4" i="24" s="1"/>
  <c r="K4" i="20"/>
  <c r="K5" i="21"/>
  <c r="G5" i="21"/>
  <c r="C5" i="21"/>
  <c r="C4" i="20"/>
  <c r="I27" i="21"/>
  <c r="C27" i="21"/>
  <c r="G25" i="21"/>
  <c r="P24" i="21"/>
  <c r="E23" i="21"/>
  <c r="N22" i="21"/>
  <c r="C21" i="21"/>
  <c r="L20" i="21"/>
  <c r="L14" i="21"/>
  <c r="H10" i="21"/>
  <c r="K29" i="22"/>
  <c r="O21" i="25"/>
  <c r="O21" i="28" s="1"/>
  <c r="O19" i="22"/>
  <c r="K21" i="25"/>
  <c r="K19" i="22"/>
  <c r="N20" i="25"/>
  <c r="N19" i="22"/>
  <c r="J20" i="25"/>
  <c r="J20" i="28" s="1"/>
  <c r="J19" i="22"/>
  <c r="F20" i="25"/>
  <c r="F19" i="22"/>
  <c r="Q19" i="22"/>
  <c r="C19" i="22"/>
  <c r="N18" i="25"/>
  <c r="N18" i="28" s="1"/>
  <c r="N16" i="22"/>
  <c r="M17" i="25"/>
  <c r="M16" i="22"/>
  <c r="I17" i="25"/>
  <c r="E17" i="25"/>
  <c r="I10" i="25"/>
  <c r="K8" i="25"/>
  <c r="C8" i="25"/>
  <c r="I4" i="22"/>
  <c r="E6" i="25"/>
  <c r="E6" i="28" s="1"/>
  <c r="J4" i="22"/>
  <c r="P11" i="26"/>
  <c r="J13" i="27"/>
  <c r="L20" i="25"/>
  <c r="Q17" i="25"/>
  <c r="P8" i="28"/>
  <c r="F51" i="39"/>
  <c r="Q32" i="17"/>
  <c r="Q9" i="17"/>
  <c r="L17" i="25"/>
  <c r="L16" i="18"/>
  <c r="L16" i="25" s="1"/>
  <c r="J28" i="26"/>
  <c r="P25" i="26"/>
  <c r="O24" i="26"/>
  <c r="K19" i="19"/>
  <c r="Q16" i="19"/>
  <c r="Q16" i="23" s="1"/>
  <c r="Q17" i="21"/>
  <c r="M16" i="19"/>
  <c r="I16" i="19"/>
  <c r="E16" i="19"/>
  <c r="E16" i="23" s="1"/>
  <c r="K17" i="21"/>
  <c r="K16" i="20"/>
  <c r="K16" i="24" s="1"/>
  <c r="C16" i="20"/>
  <c r="C16" i="24" s="1"/>
  <c r="N15" i="21"/>
  <c r="J15" i="21"/>
  <c r="F15" i="21"/>
  <c r="Q14" i="21"/>
  <c r="M14" i="21"/>
  <c r="M14" i="27"/>
  <c r="I14" i="21"/>
  <c r="E14" i="21"/>
  <c r="P13" i="21"/>
  <c r="L13" i="21"/>
  <c r="H13" i="21"/>
  <c r="D13" i="21"/>
  <c r="O12" i="21"/>
  <c r="K12" i="21"/>
  <c r="G12" i="21"/>
  <c r="C12" i="21"/>
  <c r="N11" i="21"/>
  <c r="J11" i="21"/>
  <c r="F11" i="21"/>
  <c r="Q10" i="21"/>
  <c r="M10" i="21"/>
  <c r="M10" i="27"/>
  <c r="I10" i="21"/>
  <c r="E10" i="27"/>
  <c r="E10" i="21"/>
  <c r="P9" i="21"/>
  <c r="L9" i="21"/>
  <c r="H9" i="21"/>
  <c r="D9" i="27"/>
  <c r="D9" i="21"/>
  <c r="O8" i="21"/>
  <c r="K8" i="21"/>
  <c r="G8" i="21"/>
  <c r="C8" i="21"/>
  <c r="N7" i="21"/>
  <c r="J7" i="21"/>
  <c r="F7" i="21"/>
  <c r="Q6" i="27"/>
  <c r="Q6" i="21"/>
  <c r="Q4" i="20"/>
  <c r="M6" i="21"/>
  <c r="I6" i="21"/>
  <c r="E6" i="21"/>
  <c r="E6" i="27"/>
  <c r="P5" i="27"/>
  <c r="P5" i="21"/>
  <c r="P4" i="20"/>
  <c r="L5" i="21"/>
  <c r="L4" i="20"/>
  <c r="H5" i="21"/>
  <c r="H4" i="20"/>
  <c r="D5" i="21"/>
  <c r="D4" i="20"/>
  <c r="M4" i="20"/>
  <c r="E4" i="20"/>
  <c r="E4" i="24" s="1"/>
  <c r="N33" i="21"/>
  <c r="P31" i="21"/>
  <c r="C30" i="21"/>
  <c r="D18" i="21"/>
  <c r="M17" i="21"/>
  <c r="E17" i="21"/>
  <c r="G15" i="21"/>
  <c r="C11" i="21"/>
  <c r="H17" i="25"/>
  <c r="P10" i="28"/>
  <c r="C5" i="25"/>
  <c r="C4" i="22"/>
  <c r="K4" i="22"/>
  <c r="E4" i="22"/>
  <c r="G26" i="26"/>
  <c r="E13" i="26"/>
  <c r="P8" i="26"/>
  <c r="L18" i="27"/>
  <c r="E14" i="27"/>
  <c r="L5" i="27"/>
  <c r="M9" i="32"/>
  <c r="M10" i="32"/>
  <c r="E10" i="32"/>
  <c r="E9" i="32"/>
  <c r="N8" i="35"/>
  <c r="O10" i="35"/>
  <c r="N10" i="35"/>
  <c r="J8" i="35"/>
  <c r="J10" i="35"/>
  <c r="K10" i="35"/>
  <c r="F8" i="35"/>
  <c r="G10" i="35"/>
  <c r="F10" i="35"/>
  <c r="N8" i="34"/>
  <c r="O10" i="34"/>
  <c r="N10" i="34"/>
  <c r="K10" i="34"/>
  <c r="J8" i="34"/>
  <c r="J10" i="34"/>
  <c r="F8" i="34"/>
  <c r="G10" i="34"/>
  <c r="B8" i="34"/>
  <c r="C10" i="34"/>
  <c r="J8" i="33"/>
  <c r="K10" i="33"/>
  <c r="F8" i="33"/>
  <c r="G10" i="33"/>
  <c r="B8" i="33"/>
  <c r="C10" i="33"/>
  <c r="N10" i="32"/>
  <c r="N8" i="32"/>
  <c r="O10" i="32"/>
  <c r="J8" i="32"/>
  <c r="J10" i="32"/>
  <c r="G10" i="32"/>
  <c r="F10" i="32"/>
  <c r="N8" i="31"/>
  <c r="N10" i="31"/>
  <c r="O10" i="31"/>
  <c r="K10" i="31"/>
  <c r="J8" i="31"/>
  <c r="J10" i="31"/>
  <c r="F8" i="31"/>
  <c r="F10" i="31"/>
  <c r="G10" i="31"/>
  <c r="O10" i="30"/>
  <c r="N8" i="30"/>
  <c r="N10" i="30"/>
  <c r="J8" i="30"/>
  <c r="K10" i="30"/>
  <c r="J10" i="30"/>
  <c r="G10" i="30"/>
  <c r="F8" i="30"/>
  <c r="C10" i="30"/>
  <c r="F5" i="30"/>
  <c r="B5" i="30"/>
  <c r="B11" i="29"/>
  <c r="B8" i="30"/>
  <c r="I30" i="17"/>
  <c r="D19" i="18"/>
  <c r="Q15" i="18"/>
  <c r="M15" i="18"/>
  <c r="M5" i="25"/>
  <c r="M5" i="28" s="1"/>
  <c r="M4" i="18"/>
  <c r="M3" i="18" s="1"/>
  <c r="I15" i="18"/>
  <c r="I5" i="25"/>
  <c r="E15" i="18"/>
  <c r="E5" i="25"/>
  <c r="E5" i="28" s="1"/>
  <c r="I4" i="18"/>
  <c r="I3" i="18" s="1"/>
  <c r="E31" i="26"/>
  <c r="P30" i="26"/>
  <c r="L29" i="19"/>
  <c r="J14" i="26"/>
  <c r="P12" i="26"/>
  <c r="F10" i="26"/>
  <c r="M9" i="26"/>
  <c r="E9" i="26"/>
  <c r="D8" i="26"/>
  <c r="Q4" i="19"/>
  <c r="M4" i="19"/>
  <c r="I4" i="19"/>
  <c r="E4" i="19"/>
  <c r="E4" i="23" s="1"/>
  <c r="E5" i="21"/>
  <c r="O4" i="19"/>
  <c r="O4" i="23" s="1"/>
  <c r="J33" i="27"/>
  <c r="J33" i="21"/>
  <c r="H31" i="21"/>
  <c r="D31" i="27"/>
  <c r="K29" i="20"/>
  <c r="K29" i="24" s="1"/>
  <c r="N27" i="21"/>
  <c r="J27" i="21"/>
  <c r="J28" i="27"/>
  <c r="F27" i="21"/>
  <c r="Q26" i="21"/>
  <c r="M26" i="21"/>
  <c r="I26" i="21"/>
  <c r="E26" i="27"/>
  <c r="E26" i="21"/>
  <c r="P25" i="21"/>
  <c r="P25" i="27"/>
  <c r="L25" i="21"/>
  <c r="H25" i="21"/>
  <c r="D25" i="21"/>
  <c r="O24" i="21"/>
  <c r="K24" i="21"/>
  <c r="G24" i="21"/>
  <c r="C24" i="21"/>
  <c r="N23" i="21"/>
  <c r="J23" i="21"/>
  <c r="J23" i="27"/>
  <c r="F23" i="21"/>
  <c r="Q22" i="21"/>
  <c r="M22" i="21"/>
  <c r="I22" i="21"/>
  <c r="E22" i="21"/>
  <c r="P21" i="27"/>
  <c r="P21" i="21"/>
  <c r="P19" i="20"/>
  <c r="P19" i="24" s="1"/>
  <c r="L21" i="21"/>
  <c r="L21" i="27"/>
  <c r="H21" i="21"/>
  <c r="D21" i="21"/>
  <c r="D21" i="27"/>
  <c r="O20" i="21"/>
  <c r="O19" i="20"/>
  <c r="K20" i="21"/>
  <c r="K19" i="20"/>
  <c r="G20" i="21"/>
  <c r="G19" i="20"/>
  <c r="G19" i="24" s="1"/>
  <c r="C20" i="21"/>
  <c r="C19" i="20"/>
  <c r="C19" i="24" s="1"/>
  <c r="L19" i="20"/>
  <c r="L19" i="24" s="1"/>
  <c r="D19" i="20"/>
  <c r="G16" i="20"/>
  <c r="E12" i="27"/>
  <c r="P7" i="27"/>
  <c r="J5" i="27"/>
  <c r="I4" i="20"/>
  <c r="L31" i="21"/>
  <c r="H18" i="21"/>
  <c r="O17" i="21"/>
  <c r="I17" i="21"/>
  <c r="K15" i="21"/>
  <c r="C15" i="21"/>
  <c r="G11" i="21"/>
  <c r="N10" i="21"/>
  <c r="C7" i="21"/>
  <c r="J6" i="21"/>
  <c r="I30" i="25"/>
  <c r="I29" i="22"/>
  <c r="I29" i="25" s="1"/>
  <c r="O24" i="25"/>
  <c r="N23" i="25"/>
  <c r="M22" i="25"/>
  <c r="M22" i="28" s="1"/>
  <c r="L21" i="25"/>
  <c r="K20" i="25"/>
  <c r="F10" i="25"/>
  <c r="E9" i="25"/>
  <c r="D8" i="25"/>
  <c r="C7" i="25"/>
  <c r="Q5" i="25"/>
  <c r="O4" i="22"/>
  <c r="G4" i="22"/>
  <c r="P28" i="26"/>
  <c r="O24" i="27"/>
  <c r="E24" i="27"/>
  <c r="P9" i="27"/>
  <c r="P23" i="28"/>
  <c r="N29" i="8"/>
  <c r="N29" i="12" s="1"/>
  <c r="J29" i="8"/>
  <c r="J29" i="12" s="1"/>
  <c r="F29" i="8"/>
  <c r="B29" i="8"/>
  <c r="N19" i="8"/>
  <c r="J19" i="8"/>
  <c r="J19" i="12" s="1"/>
  <c r="F19" i="8"/>
  <c r="B19" i="8"/>
  <c r="N16" i="8"/>
  <c r="J16" i="8"/>
  <c r="J16" i="12" s="1"/>
  <c r="F16" i="8"/>
  <c r="B16" i="8"/>
  <c r="N4" i="8"/>
  <c r="N4" i="12" s="1"/>
  <c r="J4" i="8"/>
  <c r="J4" i="12" s="1"/>
  <c r="F4" i="8"/>
  <c r="F4" i="12" s="1"/>
  <c r="B4" i="8"/>
  <c r="O29" i="9"/>
  <c r="K29" i="9"/>
  <c r="K29" i="13" s="1"/>
  <c r="G29" i="9"/>
  <c r="G29" i="13" s="1"/>
  <c r="C29" i="9"/>
  <c r="O19" i="9"/>
  <c r="K19" i="9"/>
  <c r="K19" i="13" s="1"/>
  <c r="G19" i="9"/>
  <c r="C19" i="9"/>
  <c r="O16" i="9"/>
  <c r="K16" i="9"/>
  <c r="K16" i="13" s="1"/>
  <c r="G16" i="9"/>
  <c r="C16" i="9"/>
  <c r="C16" i="13" s="1"/>
  <c r="C4" i="9"/>
  <c r="C4" i="13" s="1"/>
  <c r="E29" i="11"/>
  <c r="E19" i="11"/>
  <c r="E19" i="14" s="1"/>
  <c r="E16" i="11"/>
  <c r="E4" i="11"/>
  <c r="E29" i="18"/>
  <c r="Q19" i="18"/>
  <c r="M19" i="18"/>
  <c r="I19" i="18"/>
  <c r="E19" i="18"/>
  <c r="N16" i="18"/>
  <c r="J16" i="18"/>
  <c r="F16" i="18"/>
  <c r="F19" i="19"/>
  <c r="G16" i="19"/>
  <c r="J12" i="26"/>
  <c r="G4" i="19"/>
  <c r="E33" i="27"/>
  <c r="P32" i="27"/>
  <c r="D32" i="27"/>
  <c r="K31" i="27"/>
  <c r="J30" i="27"/>
  <c r="F29" i="20"/>
  <c r="F29" i="24" s="1"/>
  <c r="P28" i="27"/>
  <c r="D28" i="27"/>
  <c r="K26" i="27"/>
  <c r="J25" i="27"/>
  <c r="G22" i="27"/>
  <c r="E20" i="27"/>
  <c r="E19" i="20"/>
  <c r="F16" i="20"/>
  <c r="J9" i="27"/>
  <c r="F4" i="20"/>
  <c r="F4" i="24" s="1"/>
  <c r="E33" i="21"/>
  <c r="D32" i="21"/>
  <c r="C31" i="21"/>
  <c r="P27" i="21"/>
  <c r="O26" i="21"/>
  <c r="K22" i="21"/>
  <c r="G18" i="21"/>
  <c r="C14" i="21"/>
  <c r="N9" i="21"/>
  <c r="J5" i="21"/>
  <c r="N32" i="25"/>
  <c r="J32" i="25"/>
  <c r="J32" i="28" s="1"/>
  <c r="F32" i="25"/>
  <c r="Q31" i="25"/>
  <c r="M31" i="25"/>
  <c r="M31" i="28" s="1"/>
  <c r="I31" i="25"/>
  <c r="E31" i="25"/>
  <c r="E31" i="28" s="1"/>
  <c r="P30" i="25"/>
  <c r="P30" i="28" s="1"/>
  <c r="L30" i="25"/>
  <c r="H30" i="25"/>
  <c r="D30" i="25"/>
  <c r="D29" i="22"/>
  <c r="I24" i="25"/>
  <c r="H23" i="25"/>
  <c r="G22" i="25"/>
  <c r="F21" i="25"/>
  <c r="E20" i="25"/>
  <c r="E20" i="28" s="1"/>
  <c r="E19" i="22"/>
  <c r="O17" i="25"/>
  <c r="O16" i="22"/>
  <c r="K17" i="25"/>
  <c r="K17" i="28" s="1"/>
  <c r="K16" i="22"/>
  <c r="G17" i="25"/>
  <c r="G16" i="22"/>
  <c r="C17" i="25"/>
  <c r="C16" i="22"/>
  <c r="H16" i="22"/>
  <c r="Q10" i="25"/>
  <c r="P9" i="25"/>
  <c r="P9" i="28" s="1"/>
  <c r="O8" i="25"/>
  <c r="N7" i="25"/>
  <c r="M6" i="25"/>
  <c r="M6" i="28" s="1"/>
  <c r="P4" i="22"/>
  <c r="L5" i="25"/>
  <c r="L4" i="22"/>
  <c r="H4" i="22"/>
  <c r="D4" i="22"/>
  <c r="E20" i="26"/>
  <c r="B3" i="29"/>
  <c r="N3" i="30"/>
  <c r="J26" i="27"/>
  <c r="E25" i="27"/>
  <c r="P24" i="27"/>
  <c r="D24" i="27"/>
  <c r="K23" i="27"/>
  <c r="J22" i="27"/>
  <c r="E21" i="27"/>
  <c r="P20" i="27"/>
  <c r="L20" i="27"/>
  <c r="D20" i="27"/>
  <c r="J18" i="27"/>
  <c r="M17" i="27"/>
  <c r="E17" i="27"/>
  <c r="J14" i="27"/>
  <c r="E13" i="27"/>
  <c r="P12" i="27"/>
  <c r="D12" i="27"/>
  <c r="K11" i="27"/>
  <c r="J10" i="27"/>
  <c r="E9" i="27"/>
  <c r="P8" i="27"/>
  <c r="D8" i="27"/>
  <c r="O7" i="27"/>
  <c r="G7" i="27"/>
  <c r="J6" i="27"/>
  <c r="M5" i="27"/>
  <c r="I5" i="27"/>
  <c r="E5" i="27"/>
  <c r="G28" i="27"/>
  <c r="E9" i="35"/>
  <c r="E10" i="35"/>
  <c r="Q9" i="31"/>
  <c r="Q10" i="31"/>
  <c r="O8" i="35"/>
  <c r="P10" i="35"/>
  <c r="K8" i="35"/>
  <c r="L10" i="35"/>
  <c r="G8" i="35"/>
  <c r="H10" i="35"/>
  <c r="C8" i="35"/>
  <c r="D10" i="35"/>
  <c r="C8" i="34"/>
  <c r="D10" i="34"/>
  <c r="G8" i="33"/>
  <c r="H10" i="33"/>
  <c r="K8" i="32"/>
  <c r="L10" i="32"/>
  <c r="O8" i="31"/>
  <c r="P10" i="31"/>
  <c r="K8" i="31"/>
  <c r="L10" i="31"/>
  <c r="G8" i="31"/>
  <c r="C8" i="31"/>
  <c r="O8" i="30"/>
  <c r="P53" i="38"/>
  <c r="P40" i="37"/>
  <c r="L53" i="38"/>
  <c r="L40" i="37"/>
  <c r="L53" i="37"/>
  <c r="H53" i="38"/>
  <c r="H40" i="37"/>
  <c r="D53" i="38"/>
  <c r="D40" i="37"/>
  <c r="D53" i="37"/>
  <c r="P52" i="38"/>
  <c r="P39" i="37"/>
  <c r="L52" i="38"/>
  <c r="L39" i="37"/>
  <c r="L52" i="37"/>
  <c r="H52" i="38"/>
  <c r="H39" i="37"/>
  <c r="D52" i="38"/>
  <c r="D39" i="37"/>
  <c r="D52" i="37"/>
  <c r="P51" i="38"/>
  <c r="P51" i="39"/>
  <c r="P38" i="37"/>
  <c r="L51" i="38"/>
  <c r="L51" i="39"/>
  <c r="L38" i="37"/>
  <c r="L51" i="37"/>
  <c r="H51" i="38"/>
  <c r="H51" i="39"/>
  <c r="H38" i="37"/>
  <c r="D51" i="38"/>
  <c r="D51" i="39"/>
  <c r="D38" i="37"/>
  <c r="D51" i="37"/>
  <c r="P50" i="38"/>
  <c r="P50" i="39"/>
  <c r="P37" i="37"/>
  <c r="L50" i="38"/>
  <c r="L50" i="39"/>
  <c r="L37" i="37"/>
  <c r="L50" i="37"/>
  <c r="H50" i="38"/>
  <c r="H50" i="39"/>
  <c r="H37" i="37"/>
  <c r="D50" i="38"/>
  <c r="D50" i="39"/>
  <c r="D37" i="37"/>
  <c r="D50" i="37"/>
  <c r="P49" i="38"/>
  <c r="P49" i="39"/>
  <c r="P36" i="37"/>
  <c r="L49" i="38"/>
  <c r="L49" i="39"/>
  <c r="L36" i="37"/>
  <c r="L49" i="37"/>
  <c r="H49" i="38"/>
  <c r="H49" i="39"/>
  <c r="H36" i="37"/>
  <c r="D49" i="38"/>
  <c r="D49" i="39"/>
  <c r="D36" i="37"/>
  <c r="D49" i="37"/>
  <c r="P48" i="38"/>
  <c r="P48" i="39"/>
  <c r="P35" i="37"/>
  <c r="L48" i="38"/>
  <c r="L48" i="39"/>
  <c r="L35" i="37"/>
  <c r="L48" i="37"/>
  <c r="H48" i="38"/>
  <c r="H48" i="39"/>
  <c r="H35" i="37"/>
  <c r="D48" i="38"/>
  <c r="D48" i="39"/>
  <c r="D35" i="37"/>
  <c r="D48" i="37"/>
  <c r="P47" i="38"/>
  <c r="P34" i="37"/>
  <c r="L47" i="38"/>
  <c r="L34" i="37"/>
  <c r="L47" i="37"/>
  <c r="H47" i="38"/>
  <c r="H34" i="37"/>
  <c r="D47" i="38"/>
  <c r="D34" i="37"/>
  <c r="D47" i="37"/>
  <c r="P46" i="38"/>
  <c r="P46" i="37"/>
  <c r="P33" i="37"/>
  <c r="L46" i="38"/>
  <c r="L46" i="37"/>
  <c r="L33" i="37"/>
  <c r="H46" i="38"/>
  <c r="H46" i="37"/>
  <c r="H33" i="37"/>
  <c r="D46" i="38"/>
  <c r="D33" i="37"/>
  <c r="P45" i="38"/>
  <c r="P45" i="37"/>
  <c r="P32" i="37"/>
  <c r="L45" i="38"/>
  <c r="L45" i="37"/>
  <c r="L32" i="37"/>
  <c r="H45" i="38"/>
  <c r="H45" i="37"/>
  <c r="H32" i="37"/>
  <c r="D45" i="38"/>
  <c r="D32" i="37"/>
  <c r="P44" i="38"/>
  <c r="P44" i="39"/>
  <c r="L44" i="38"/>
  <c r="L44" i="39"/>
  <c r="H44" i="38"/>
  <c r="H44" i="39"/>
  <c r="D44" i="38"/>
  <c r="D44" i="39"/>
  <c r="M31" i="38"/>
  <c r="I31" i="38"/>
  <c r="E31" i="38"/>
  <c r="M8" i="33"/>
  <c r="N10" i="33"/>
  <c r="J10" i="33"/>
  <c r="E8" i="33"/>
  <c r="F10" i="33"/>
  <c r="M3" i="30"/>
  <c r="I3" i="30"/>
  <c r="E3" i="30"/>
  <c r="I44" i="38"/>
  <c r="Q45" i="37"/>
  <c r="Q46" i="37"/>
  <c r="I45" i="37"/>
  <c r="I46" i="37"/>
  <c r="Q53" i="37"/>
  <c r="M53" i="37"/>
  <c r="I53" i="37"/>
  <c r="E53" i="37"/>
  <c r="Q52" i="37"/>
  <c r="M52" i="37"/>
  <c r="I52" i="37"/>
  <c r="E52" i="37"/>
  <c r="Q47" i="37"/>
  <c r="M47" i="37"/>
  <c r="I47" i="37"/>
  <c r="E47" i="37"/>
  <c r="M46" i="37"/>
  <c r="E46" i="37"/>
  <c r="M45" i="37"/>
  <c r="E45" i="37"/>
  <c r="O45" i="37"/>
  <c r="O46" i="37"/>
  <c r="O47" i="37"/>
  <c r="O48" i="37"/>
  <c r="O49" i="37"/>
  <c r="O50" i="37"/>
  <c r="O51" i="37"/>
  <c r="O52" i="37"/>
  <c r="O53" i="37"/>
  <c r="K45" i="37"/>
  <c r="K46" i="37"/>
  <c r="K47" i="37"/>
  <c r="K48" i="37"/>
  <c r="K49" i="37"/>
  <c r="K50" i="37"/>
  <c r="K51" i="37"/>
  <c r="K52" i="37"/>
  <c r="K53" i="37"/>
  <c r="G45" i="37"/>
  <c r="G46" i="37"/>
  <c r="G47" i="37"/>
  <c r="G48" i="37"/>
  <c r="G49" i="37"/>
  <c r="G50" i="37"/>
  <c r="G51" i="37"/>
  <c r="G52" i="37"/>
  <c r="G53" i="37"/>
  <c r="C45" i="37"/>
  <c r="C46" i="37"/>
  <c r="C47" i="37"/>
  <c r="C48" i="37"/>
  <c r="C49" i="37"/>
  <c r="C50" i="37"/>
  <c r="C51" i="37"/>
  <c r="C52" i="37"/>
  <c r="C53" i="37"/>
  <c r="N45" i="37"/>
  <c r="N46" i="37"/>
  <c r="J45" i="37"/>
  <c r="J46" i="37"/>
  <c r="F45" i="37"/>
  <c r="F46" i="37"/>
  <c r="B45" i="37"/>
  <c r="B46" i="37"/>
  <c r="B47" i="37"/>
  <c r="Q51" i="37"/>
  <c r="M51" i="37"/>
  <c r="I51" i="37"/>
  <c r="E51" i="37"/>
  <c r="Q50" i="37"/>
  <c r="M50" i="37"/>
  <c r="I50" i="37"/>
  <c r="E50" i="37"/>
  <c r="Q49" i="37"/>
  <c r="M49" i="37"/>
  <c r="I49" i="37"/>
  <c r="E49" i="37"/>
  <c r="Q48" i="37"/>
  <c r="M48" i="37"/>
  <c r="I48" i="37"/>
  <c r="E48" i="37"/>
  <c r="G16" i="12" l="1"/>
  <c r="C4" i="24"/>
  <c r="P19" i="13"/>
  <c r="F16" i="12"/>
  <c r="O29" i="13"/>
  <c r="D16" i="14"/>
  <c r="D16" i="17" s="1"/>
  <c r="I19" i="12"/>
  <c r="O29" i="12"/>
  <c r="O29" i="15" s="1"/>
  <c r="K19" i="12"/>
  <c r="E4" i="13"/>
  <c r="K4" i="24"/>
  <c r="P16" i="25"/>
  <c r="G29" i="12"/>
  <c r="E19" i="24"/>
  <c r="I4" i="23"/>
  <c r="G16" i="13"/>
  <c r="G16" i="16" s="1"/>
  <c r="N29" i="23"/>
  <c r="N29" i="26" s="1"/>
  <c r="C19" i="13"/>
  <c r="K19" i="24"/>
  <c r="O19" i="23"/>
  <c r="O19" i="26" s="1"/>
  <c r="Q29" i="24"/>
  <c r="G29" i="24"/>
  <c r="G29" i="27" s="1"/>
  <c r="C19" i="12"/>
  <c r="C19" i="15" s="1"/>
  <c r="P16" i="23"/>
  <c r="P16" i="26" s="1"/>
  <c r="M4" i="14"/>
  <c r="M4" i="17" s="1"/>
  <c r="O16" i="13"/>
  <c r="O16" i="23"/>
  <c r="F19" i="12"/>
  <c r="M16" i="24"/>
  <c r="J4" i="23"/>
  <c r="J4" i="26" s="1"/>
  <c r="P19" i="12"/>
  <c r="P19" i="15" s="1"/>
  <c r="H4" i="24"/>
  <c r="H4" i="27" s="1"/>
  <c r="M4" i="12"/>
  <c r="M4" i="15" s="1"/>
  <c r="O19" i="24"/>
  <c r="P16" i="24"/>
  <c r="L19" i="13"/>
  <c r="G4" i="23"/>
  <c r="P4" i="24"/>
  <c r="P4" i="27" s="1"/>
  <c r="C29" i="24"/>
  <c r="C29" i="27" s="1"/>
  <c r="G4" i="24"/>
  <c r="G4" i="27" s="1"/>
  <c r="I4" i="24"/>
  <c r="I4" i="27" s="1"/>
  <c r="C9" i="17"/>
  <c r="C20" i="17"/>
  <c r="C28" i="16"/>
  <c r="C5" i="16"/>
  <c r="C18" i="16"/>
  <c r="C6" i="26"/>
  <c r="C24" i="17"/>
  <c r="C13" i="15"/>
  <c r="C6" i="16"/>
  <c r="C20" i="26"/>
  <c r="C7" i="26"/>
  <c r="C23" i="27"/>
  <c r="C5" i="17"/>
  <c r="C30" i="17"/>
  <c r="M29" i="13"/>
  <c r="M29" i="16" s="1"/>
  <c r="D19" i="24"/>
  <c r="D4" i="24"/>
  <c r="P19" i="23"/>
  <c r="N16" i="14"/>
  <c r="D4" i="13"/>
  <c r="N16" i="12"/>
  <c r="N16" i="15" s="1"/>
  <c r="E16" i="12"/>
  <c r="E16" i="15" s="1"/>
  <c r="I16" i="14"/>
  <c r="I16" i="17" s="1"/>
  <c r="Q4" i="23"/>
  <c r="Q4" i="26" s="1"/>
  <c r="J29" i="24"/>
  <c r="P16" i="13"/>
  <c r="C29" i="12"/>
  <c r="G16" i="24"/>
  <c r="I4" i="12"/>
  <c r="L16" i="13"/>
  <c r="L16" i="16" s="1"/>
  <c r="B29" i="13"/>
  <c r="B29" i="16" s="1"/>
  <c r="L4" i="24"/>
  <c r="L4" i="27" s="1"/>
  <c r="Q29" i="23"/>
  <c r="G16" i="25"/>
  <c r="Q4" i="24"/>
  <c r="D4" i="23"/>
  <c r="C29" i="13"/>
  <c r="B29" i="12"/>
  <c r="H19" i="24"/>
  <c r="H19" i="27" s="1"/>
  <c r="Q4" i="12"/>
  <c r="B4" i="14"/>
  <c r="N19" i="12"/>
  <c r="D29" i="25"/>
  <c r="D29" i="28" s="1"/>
  <c r="F16" i="24"/>
  <c r="D29" i="24"/>
  <c r="D29" i="27" s="1"/>
  <c r="G19" i="14"/>
  <c r="G19" i="17" s="1"/>
  <c r="D29" i="23"/>
  <c r="D29" i="26" s="1"/>
  <c r="I16" i="13"/>
  <c r="I16" i="16" s="1"/>
  <c r="B4" i="13"/>
  <c r="M4" i="23"/>
  <c r="B4" i="12"/>
  <c r="I16" i="23"/>
  <c r="Q4" i="13"/>
  <c r="Q4" i="16" s="1"/>
  <c r="L31" i="39"/>
  <c r="Q31" i="37"/>
  <c r="C28" i="26"/>
  <c r="C10" i="26"/>
  <c r="C21" i="26"/>
  <c r="C8" i="28"/>
  <c r="C11" i="26"/>
  <c r="C21" i="27"/>
  <c r="C30" i="28"/>
  <c r="C9" i="28"/>
  <c r="C9" i="27"/>
  <c r="C22" i="26"/>
  <c r="C11" i="27"/>
  <c r="C33" i="26"/>
  <c r="C5" i="27"/>
  <c r="C12" i="26"/>
  <c r="C24" i="26"/>
  <c r="B114" i="6"/>
  <c r="B144" i="6" s="1"/>
  <c r="C23" i="26"/>
  <c r="C22" i="28"/>
  <c r="C20" i="28"/>
  <c r="C25" i="26"/>
  <c r="C7" i="27"/>
  <c r="C5" i="26"/>
  <c r="C7" i="28"/>
  <c r="C6" i="27"/>
  <c r="C24" i="27"/>
  <c r="C5" i="28"/>
  <c r="C25" i="27"/>
  <c r="C24" i="28"/>
  <c r="C18" i="26"/>
  <c r="C26" i="27"/>
  <c r="C9" i="26"/>
  <c r="C12" i="27"/>
  <c r="C13" i="27"/>
  <c r="C18" i="27"/>
  <c r="C20" i="27"/>
  <c r="C8" i="27"/>
  <c r="C10" i="28"/>
  <c r="C33" i="27"/>
  <c r="C32" i="26"/>
  <c r="C21" i="28"/>
  <c r="C17" i="27"/>
  <c r="C23" i="28"/>
  <c r="C32" i="27"/>
  <c r="C31" i="28"/>
  <c r="C28" i="27"/>
  <c r="C22" i="27"/>
  <c r="C13" i="26"/>
  <c r="C30" i="27"/>
  <c r="C17" i="28"/>
  <c r="C31" i="27"/>
  <c r="C32" i="28"/>
  <c r="C14" i="27"/>
  <c r="C10" i="27"/>
  <c r="C14" i="26"/>
  <c r="C31" i="26"/>
  <c r="C26" i="26"/>
  <c r="C165" i="6"/>
  <c r="C162" i="6"/>
  <c r="C159" i="6"/>
  <c r="C163" i="6"/>
  <c r="C164" i="6"/>
  <c r="C161" i="6"/>
  <c r="C172" i="6"/>
  <c r="C158" i="6"/>
  <c r="C170" i="6"/>
  <c r="C171" i="6"/>
  <c r="C157" i="6"/>
  <c r="C155" i="6"/>
  <c r="C156" i="6"/>
  <c r="C154" i="6"/>
  <c r="C169" i="6"/>
  <c r="C168" i="6"/>
  <c r="C167" i="6"/>
  <c r="C153" i="6"/>
  <c r="C140" i="6"/>
  <c r="C135" i="6"/>
  <c r="C138" i="6"/>
  <c r="C139" i="6"/>
  <c r="C141" i="6"/>
  <c r="C137" i="6"/>
  <c r="C148" i="6"/>
  <c r="C146" i="6"/>
  <c r="C147" i="6"/>
  <c r="C133" i="6"/>
  <c r="C134" i="6"/>
  <c r="C131" i="6"/>
  <c r="C132" i="6"/>
  <c r="C145" i="6"/>
  <c r="C143" i="6"/>
  <c r="C144" i="6"/>
  <c r="C130" i="6"/>
  <c r="C129" i="6"/>
  <c r="M19" i="23"/>
  <c r="F4" i="23"/>
  <c r="F4" i="26" s="1"/>
  <c r="N16" i="23"/>
  <c r="N16" i="26" s="1"/>
  <c r="J4" i="24"/>
  <c r="J4" i="27" s="1"/>
  <c r="H4" i="13"/>
  <c r="H4" i="16" s="1"/>
  <c r="H19" i="13"/>
  <c r="I19" i="24"/>
  <c r="K16" i="23"/>
  <c r="E29" i="13"/>
  <c r="L16" i="24"/>
  <c r="L16" i="27" s="1"/>
  <c r="M4" i="13"/>
  <c r="M4" i="16" s="1"/>
  <c r="D27" i="13"/>
  <c r="D27" i="16" s="1"/>
  <c r="D27" i="12"/>
  <c r="M27" i="12"/>
  <c r="M27" i="13"/>
  <c r="G16" i="23"/>
  <c r="G16" i="26" s="1"/>
  <c r="M27" i="23"/>
  <c r="M27" i="26" s="1"/>
  <c r="M27" i="24"/>
  <c r="M27" i="27" s="1"/>
  <c r="O19" i="13"/>
  <c r="O19" i="16" s="1"/>
  <c r="E15" i="24"/>
  <c r="E15" i="27" s="1"/>
  <c r="E15" i="23"/>
  <c r="Q19" i="13"/>
  <c r="I29" i="12"/>
  <c r="I29" i="15" s="1"/>
  <c r="D19" i="13"/>
  <c r="D19" i="16" s="1"/>
  <c r="E4" i="12"/>
  <c r="E4" i="15" s="1"/>
  <c r="M19" i="12"/>
  <c r="M19" i="15" s="1"/>
  <c r="N27" i="12"/>
  <c r="N27" i="13"/>
  <c r="E29" i="23"/>
  <c r="E29" i="26" s="1"/>
  <c r="N19" i="13"/>
  <c r="N19" i="16" s="1"/>
  <c r="M16" i="12"/>
  <c r="M16" i="15" s="1"/>
  <c r="E29" i="12"/>
  <c r="E29" i="15" s="1"/>
  <c r="P27" i="13"/>
  <c r="P27" i="12"/>
  <c r="N27" i="23"/>
  <c r="N27" i="26" s="1"/>
  <c r="N27" i="24"/>
  <c r="N27" i="27" s="1"/>
  <c r="C27" i="12"/>
  <c r="C27" i="15" s="1"/>
  <c r="C27" i="13"/>
  <c r="L19" i="12"/>
  <c r="L19" i="15" s="1"/>
  <c r="I27" i="13"/>
  <c r="I27" i="12"/>
  <c r="E27" i="12"/>
  <c r="E27" i="13"/>
  <c r="E27" i="16" s="1"/>
  <c r="E19" i="23"/>
  <c r="D15" i="23"/>
  <c r="D15" i="26" s="1"/>
  <c r="D15" i="24"/>
  <c r="E19" i="13"/>
  <c r="E19" i="16" s="1"/>
  <c r="C16" i="23"/>
  <c r="C16" i="26" s="1"/>
  <c r="F16" i="23"/>
  <c r="F3" i="19"/>
  <c r="F3" i="23" s="1"/>
  <c r="F19" i="23"/>
  <c r="F19" i="26" s="1"/>
  <c r="B16" i="10"/>
  <c r="B16" i="12"/>
  <c r="Q27" i="13"/>
  <c r="Q27" i="16" s="1"/>
  <c r="Q27" i="12"/>
  <c r="Q27" i="15" s="1"/>
  <c r="F29" i="12"/>
  <c r="L29" i="23"/>
  <c r="L29" i="26" s="1"/>
  <c r="I15" i="24"/>
  <c r="I15" i="27" s="1"/>
  <c r="I15" i="23"/>
  <c r="I15" i="26" s="1"/>
  <c r="M4" i="24"/>
  <c r="M4" i="27" s="1"/>
  <c r="I19" i="23"/>
  <c r="Q19" i="23"/>
  <c r="G15" i="23"/>
  <c r="G15" i="24"/>
  <c r="G15" i="27" s="1"/>
  <c r="H27" i="23"/>
  <c r="H27" i="26" s="1"/>
  <c r="H27" i="24"/>
  <c r="H27" i="27" s="1"/>
  <c r="Q29" i="13"/>
  <c r="Q29" i="16" s="1"/>
  <c r="I16" i="12"/>
  <c r="F29" i="13"/>
  <c r="D29" i="13"/>
  <c r="C4" i="23"/>
  <c r="C4" i="26" s="1"/>
  <c r="K4" i="23"/>
  <c r="K4" i="26" s="1"/>
  <c r="M19" i="13"/>
  <c r="M19" i="16" s="1"/>
  <c r="N4" i="21"/>
  <c r="N4" i="24"/>
  <c r="P4" i="13"/>
  <c r="G29" i="23"/>
  <c r="B19" i="13"/>
  <c r="K27" i="12"/>
  <c r="K27" i="15" s="1"/>
  <c r="K27" i="13"/>
  <c r="K27" i="16" s="1"/>
  <c r="H15" i="23"/>
  <c r="H15" i="26" s="1"/>
  <c r="H15" i="24"/>
  <c r="H15" i="27" s="1"/>
  <c r="L16" i="12"/>
  <c r="P15" i="23"/>
  <c r="P15" i="26" s="1"/>
  <c r="P15" i="24"/>
  <c r="M29" i="12"/>
  <c r="M29" i="15" s="1"/>
  <c r="H16" i="12"/>
  <c r="H16" i="15" s="1"/>
  <c r="J15" i="24"/>
  <c r="J15" i="23"/>
  <c r="L27" i="23"/>
  <c r="L27" i="24"/>
  <c r="L27" i="27" s="1"/>
  <c r="O19" i="12"/>
  <c r="G27" i="24"/>
  <c r="G27" i="27" s="1"/>
  <c r="G27" i="23"/>
  <c r="G27" i="26" s="1"/>
  <c r="L4" i="13"/>
  <c r="L4" i="16" s="1"/>
  <c r="K4" i="12"/>
  <c r="P4" i="23"/>
  <c r="P4" i="26" s="1"/>
  <c r="K29" i="23"/>
  <c r="G4" i="12"/>
  <c r="G4" i="15" s="1"/>
  <c r="B47" i="6"/>
  <c r="B58" i="6" s="1"/>
  <c r="B100" i="6"/>
  <c r="B121" i="6" s="1"/>
  <c r="O15" i="23"/>
  <c r="O15" i="24"/>
  <c r="E29" i="24"/>
  <c r="E29" i="27" s="1"/>
  <c r="K27" i="23"/>
  <c r="K27" i="24"/>
  <c r="K27" i="27" s="1"/>
  <c r="B27" i="12"/>
  <c r="B27" i="15" s="1"/>
  <c r="B27" i="13"/>
  <c r="B27" i="16" s="1"/>
  <c r="Q19" i="24"/>
  <c r="K15" i="23"/>
  <c r="K15" i="24"/>
  <c r="P27" i="23"/>
  <c r="P27" i="26" s="1"/>
  <c r="P27" i="24"/>
  <c r="P27" i="27" s="1"/>
  <c r="P16" i="12"/>
  <c r="P16" i="15" s="1"/>
  <c r="F4" i="13"/>
  <c r="L29" i="13"/>
  <c r="L15" i="23"/>
  <c r="L15" i="24"/>
  <c r="J27" i="12"/>
  <c r="J27" i="15" s="1"/>
  <c r="J27" i="13"/>
  <c r="J27" i="16" s="1"/>
  <c r="E16" i="24"/>
  <c r="E16" i="27" s="1"/>
  <c r="D16" i="12"/>
  <c r="D16" i="15" s="1"/>
  <c r="M15" i="23"/>
  <c r="M15" i="24"/>
  <c r="D19" i="23"/>
  <c r="N15" i="23"/>
  <c r="N15" i="24"/>
  <c r="N15" i="27" s="1"/>
  <c r="F27" i="23"/>
  <c r="F27" i="26" s="1"/>
  <c r="F27" i="24"/>
  <c r="F27" i="27" s="1"/>
  <c r="C29" i="23"/>
  <c r="C29" i="26" s="1"/>
  <c r="J16" i="23"/>
  <c r="J16" i="26" s="1"/>
  <c r="G4" i="13"/>
  <c r="N4" i="23"/>
  <c r="H19" i="12"/>
  <c r="L4" i="12"/>
  <c r="L4" i="15" s="1"/>
  <c r="I16" i="24"/>
  <c r="I16" i="27" s="1"/>
  <c r="H16" i="13"/>
  <c r="H16" i="16" s="1"/>
  <c r="L29" i="12"/>
  <c r="M19" i="21"/>
  <c r="M19" i="24"/>
  <c r="E27" i="23"/>
  <c r="E27" i="26" s="1"/>
  <c r="E27" i="24"/>
  <c r="E27" i="27" s="1"/>
  <c r="G19" i="13"/>
  <c r="G19" i="16" s="1"/>
  <c r="Q15" i="23"/>
  <c r="Q15" i="26" s="1"/>
  <c r="Q15" i="24"/>
  <c r="Q15" i="27" s="1"/>
  <c r="M16" i="23"/>
  <c r="M16" i="26" s="1"/>
  <c r="H19" i="23"/>
  <c r="O27" i="24"/>
  <c r="O27" i="23"/>
  <c r="O27" i="26" s="1"/>
  <c r="Q19" i="12"/>
  <c r="Q19" i="15" s="1"/>
  <c r="J27" i="24"/>
  <c r="J27" i="27" s="1"/>
  <c r="J27" i="23"/>
  <c r="J27" i="26" s="1"/>
  <c r="N4" i="13"/>
  <c r="Q16" i="12"/>
  <c r="Q16" i="15" s="1"/>
  <c r="L27" i="13"/>
  <c r="L27" i="12"/>
  <c r="L27" i="15" s="1"/>
  <c r="K4" i="13"/>
  <c r="K4" i="16" s="1"/>
  <c r="I29" i="13"/>
  <c r="I29" i="16" s="1"/>
  <c r="J16" i="24"/>
  <c r="J16" i="27" s="1"/>
  <c r="H29" i="13"/>
  <c r="Q27" i="23"/>
  <c r="Q27" i="26" s="1"/>
  <c r="Q27" i="24"/>
  <c r="K19" i="23"/>
  <c r="K19" i="26" s="1"/>
  <c r="F15" i="23"/>
  <c r="F15" i="26" s="1"/>
  <c r="F15" i="24"/>
  <c r="F15" i="27" s="1"/>
  <c r="G27" i="13"/>
  <c r="G27" i="16" s="1"/>
  <c r="G27" i="12"/>
  <c r="O27" i="13"/>
  <c r="O27" i="16" s="1"/>
  <c r="O27" i="12"/>
  <c r="B19" i="12"/>
  <c r="I27" i="23"/>
  <c r="I27" i="24"/>
  <c r="I27" i="27" s="1"/>
  <c r="D27" i="23"/>
  <c r="D27" i="26" s="1"/>
  <c r="D27" i="24"/>
  <c r="D27" i="27" s="1"/>
  <c r="L29" i="24"/>
  <c r="L19" i="23"/>
  <c r="L19" i="26" s="1"/>
  <c r="C15" i="24"/>
  <c r="C15" i="27" s="1"/>
  <c r="C15" i="23"/>
  <c r="F27" i="13"/>
  <c r="F27" i="12"/>
  <c r="F27" i="15" s="1"/>
  <c r="F19" i="13"/>
  <c r="F19" i="16" s="1"/>
  <c r="Q29" i="12"/>
  <c r="Q29" i="15" s="1"/>
  <c r="H27" i="13"/>
  <c r="H27" i="16" s="1"/>
  <c r="H27" i="12"/>
  <c r="H27" i="15" s="1"/>
  <c r="C27" i="24"/>
  <c r="C27" i="27" s="1"/>
  <c r="C27" i="23"/>
  <c r="C27" i="26" s="1"/>
  <c r="L16" i="23"/>
  <c r="L16" i="15"/>
  <c r="M16" i="13"/>
  <c r="M16" i="16" s="1"/>
  <c r="F19" i="24"/>
  <c r="F19" i="27" s="1"/>
  <c r="E16" i="13"/>
  <c r="N16" i="21"/>
  <c r="N16" i="24"/>
  <c r="N16" i="27" s="1"/>
  <c r="D4" i="12"/>
  <c r="D4" i="15" s="1"/>
  <c r="D29" i="12"/>
  <c r="D29" i="15" s="1"/>
  <c r="G19" i="12"/>
  <c r="G19" i="15" s="1"/>
  <c r="D19" i="12"/>
  <c r="M31" i="39"/>
  <c r="M31" i="37"/>
  <c r="N19" i="25"/>
  <c r="C16" i="25"/>
  <c r="C16" i="28" s="1"/>
  <c r="C19" i="14"/>
  <c r="C19" i="17" s="1"/>
  <c r="J6" i="15"/>
  <c r="J8" i="15"/>
  <c r="J10" i="15"/>
  <c r="J12" i="15"/>
  <c r="J14" i="15"/>
  <c r="N9" i="26"/>
  <c r="N21" i="27"/>
  <c r="N33" i="27"/>
  <c r="J5" i="15"/>
  <c r="J7" i="15"/>
  <c r="J9" i="15"/>
  <c r="J11" i="15"/>
  <c r="J13" i="15"/>
  <c r="J15" i="15"/>
  <c r="N23" i="26"/>
  <c r="N10" i="26"/>
  <c r="Q31" i="26"/>
  <c r="N30" i="27"/>
  <c r="Q18" i="27"/>
  <c r="Q5" i="27"/>
  <c r="N14" i="27"/>
  <c r="Q25" i="27"/>
  <c r="O17" i="28"/>
  <c r="O24" i="28"/>
  <c r="O25" i="26"/>
  <c r="O6" i="26"/>
  <c r="O17" i="26"/>
  <c r="F24" i="28"/>
  <c r="I28" i="26"/>
  <c r="O25" i="27"/>
  <c r="I20" i="26"/>
  <c r="O23" i="27"/>
  <c r="I29" i="28"/>
  <c r="F32" i="26"/>
  <c r="O8" i="26"/>
  <c r="F6" i="26"/>
  <c r="O30" i="27"/>
  <c r="O33" i="27"/>
  <c r="O14" i="26"/>
  <c r="I18" i="26"/>
  <c r="O15" i="27"/>
  <c r="O30" i="28"/>
  <c r="F21" i="28"/>
  <c r="F10" i="28"/>
  <c r="O32" i="26"/>
  <c r="O20" i="26"/>
  <c r="O12" i="26"/>
  <c r="O8" i="28"/>
  <c r="O7" i="26"/>
  <c r="I24" i="28"/>
  <c r="O16" i="27"/>
  <c r="O18" i="27"/>
  <c r="O10" i="26"/>
  <c r="F8" i="26"/>
  <c r="Q9" i="27"/>
  <c r="Q17" i="27"/>
  <c r="Q10" i="28"/>
  <c r="Q31" i="28"/>
  <c r="N23" i="27"/>
  <c r="N28" i="27"/>
  <c r="Q13" i="26"/>
  <c r="N28" i="26"/>
  <c r="N20" i="28"/>
  <c r="Q23" i="28"/>
  <c r="N8" i="27"/>
  <c r="N11" i="26"/>
  <c r="N5" i="27"/>
  <c r="Q32" i="28"/>
  <c r="Q5" i="28"/>
  <c r="N23" i="28"/>
  <c r="Q11" i="27"/>
  <c r="Q14" i="26"/>
  <c r="N5" i="28"/>
  <c r="N13" i="26"/>
  <c r="N30" i="28"/>
  <c r="N18" i="27"/>
  <c r="Q21" i="27"/>
  <c r="N32" i="28"/>
  <c r="Q22" i="27"/>
  <c r="H30" i="26"/>
  <c r="Q9" i="28"/>
  <c r="N20" i="27"/>
  <c r="Q30" i="27"/>
  <c r="N22" i="26"/>
  <c r="N24" i="28"/>
  <c r="N14" i="26"/>
  <c r="N12" i="27"/>
  <c r="N17" i="27"/>
  <c r="N10" i="27"/>
  <c r="N11" i="27"/>
  <c r="Q8" i="28"/>
  <c r="N26" i="27"/>
  <c r="N7" i="28"/>
  <c r="Q27" i="27"/>
  <c r="Q17" i="26"/>
  <c r="N9" i="27"/>
  <c r="N32" i="26"/>
  <c r="Q10" i="27"/>
  <c r="Q14" i="27"/>
  <c r="N18" i="26"/>
  <c r="Q26" i="26"/>
  <c r="N24" i="27"/>
  <c r="N7" i="26"/>
  <c r="N22" i="27"/>
  <c r="Q33" i="27"/>
  <c r="Q7" i="27"/>
  <c r="Q10" i="26"/>
  <c r="Q25" i="26"/>
  <c r="N32" i="27"/>
  <c r="Q13" i="27"/>
  <c r="N13" i="27"/>
  <c r="Q17" i="28"/>
  <c r="N19" i="28"/>
  <c r="Q23" i="27"/>
  <c r="Q28" i="27"/>
  <c r="N5" i="26"/>
  <c r="Q8" i="26"/>
  <c r="O26" i="26"/>
  <c r="K9" i="17"/>
  <c r="L24" i="16"/>
  <c r="L24" i="15"/>
  <c r="K20" i="16"/>
  <c r="K22" i="16"/>
  <c r="K24" i="16"/>
  <c r="K26" i="16"/>
  <c r="L11" i="15"/>
  <c r="L10" i="17"/>
  <c r="L33" i="15"/>
  <c r="L18" i="15"/>
  <c r="L5" i="16"/>
  <c r="L25" i="15"/>
  <c r="L8" i="17"/>
  <c r="L6" i="16"/>
  <c r="L7" i="16"/>
  <c r="L12" i="16"/>
  <c r="L26" i="16"/>
  <c r="L30" i="16"/>
  <c r="L31" i="16"/>
  <c r="L22" i="17"/>
  <c r="O23" i="17"/>
  <c r="K20" i="17"/>
  <c r="L21" i="17"/>
  <c r="L13" i="16"/>
  <c r="K9" i="16"/>
  <c r="K11" i="16"/>
  <c r="K13" i="16"/>
  <c r="K15" i="16"/>
  <c r="K31" i="16"/>
  <c r="K33" i="16"/>
  <c r="K7" i="17"/>
  <c r="K17" i="17"/>
  <c r="K32" i="17"/>
  <c r="L7" i="15"/>
  <c r="L6" i="17"/>
  <c r="L26" i="15"/>
  <c r="L14" i="15"/>
  <c r="K28" i="16"/>
  <c r="K17" i="16"/>
  <c r="L9" i="16"/>
  <c r="L25" i="16"/>
  <c r="L20" i="17"/>
  <c r="L12" i="15"/>
  <c r="K18" i="16"/>
  <c r="K8" i="17"/>
  <c r="L13" i="15"/>
  <c r="L21" i="15"/>
  <c r="L11" i="16"/>
  <c r="L15" i="16"/>
  <c r="L21" i="16"/>
  <c r="L17" i="15"/>
  <c r="L24" i="17"/>
  <c r="L5" i="15"/>
  <c r="L8" i="16"/>
  <c r="L29" i="15"/>
  <c r="K21" i="16"/>
  <c r="K23" i="16"/>
  <c r="K25" i="16"/>
  <c r="L9" i="17"/>
  <c r="L22" i="15"/>
  <c r="L10" i="15"/>
  <c r="L31" i="15"/>
  <c r="O30" i="16"/>
  <c r="O32" i="16"/>
  <c r="O6" i="17"/>
  <c r="O31" i="17"/>
  <c r="O24" i="15"/>
  <c r="E9" i="15"/>
  <c r="O20" i="16"/>
  <c r="O22" i="16"/>
  <c r="O24" i="16"/>
  <c r="O26" i="16"/>
  <c r="O6" i="15"/>
  <c r="O30" i="15"/>
  <c r="O31" i="16"/>
  <c r="O33" i="16"/>
  <c r="O17" i="17"/>
  <c r="O17" i="15"/>
  <c r="O21" i="16"/>
  <c r="O23" i="16"/>
  <c r="O25" i="16"/>
  <c r="O22" i="15"/>
  <c r="Q9" i="26"/>
  <c r="N12" i="26"/>
  <c r="E31" i="37"/>
  <c r="K7" i="28"/>
  <c r="Q8" i="27"/>
  <c r="Q26" i="27"/>
  <c r="N9" i="28"/>
  <c r="N26" i="26"/>
  <c r="Q30" i="28"/>
  <c r="H26" i="27"/>
  <c r="N22" i="28"/>
  <c r="Q23" i="26"/>
  <c r="N21" i="26"/>
  <c r="N31" i="28"/>
  <c r="E29" i="10"/>
  <c r="H17" i="27"/>
  <c r="Q22" i="26"/>
  <c r="N31" i="26"/>
  <c r="Q20" i="27"/>
  <c r="G17" i="27"/>
  <c r="P23" i="27"/>
  <c r="N31" i="27"/>
  <c r="O16" i="26"/>
  <c r="E18" i="27"/>
  <c r="P17" i="28"/>
  <c r="N10" i="28"/>
  <c r="N25" i="27"/>
  <c r="O30" i="26"/>
  <c r="N8" i="28"/>
  <c r="O5" i="26"/>
  <c r="Q7" i="26"/>
  <c r="Q22" i="28"/>
  <c r="O17" i="27"/>
  <c r="P7" i="26"/>
  <c r="H17" i="26"/>
  <c r="N24" i="26"/>
  <c r="Q32" i="27"/>
  <c r="N25" i="26"/>
  <c r="O16" i="25"/>
  <c r="K19" i="14"/>
  <c r="K19" i="17" s="1"/>
  <c r="O27" i="27"/>
  <c r="H16" i="25"/>
  <c r="H16" i="28" s="1"/>
  <c r="K29" i="14"/>
  <c r="K29" i="17" s="1"/>
  <c r="L16" i="14"/>
  <c r="L16" i="17" s="1"/>
  <c r="I16" i="25"/>
  <c r="M29" i="14"/>
  <c r="M29" i="17" s="1"/>
  <c r="O19" i="25"/>
  <c r="O19" i="28" s="1"/>
  <c r="K16" i="25"/>
  <c r="K16" i="28" s="1"/>
  <c r="F16" i="26"/>
  <c r="O3" i="9"/>
  <c r="O3" i="13" s="1"/>
  <c r="D16" i="26"/>
  <c r="H4" i="10"/>
  <c r="P29" i="26"/>
  <c r="L19" i="14"/>
  <c r="L19" i="17" s="1"/>
  <c r="C29" i="25"/>
  <c r="C29" i="28" s="1"/>
  <c r="Q29" i="14"/>
  <c r="Q29" i="17" s="1"/>
  <c r="H14" i="26"/>
  <c r="E20" i="16"/>
  <c r="O32" i="17"/>
  <c r="D6" i="26"/>
  <c r="P13" i="27"/>
  <c r="O26" i="27"/>
  <c r="Q12" i="26"/>
  <c r="E30" i="28"/>
  <c r="E3" i="9"/>
  <c r="E3" i="13" s="1"/>
  <c r="I31" i="37"/>
  <c r="F33" i="26"/>
  <c r="Q16" i="14"/>
  <c r="Q16" i="17" s="1"/>
  <c r="G21" i="28"/>
  <c r="Q19" i="14"/>
  <c r="Q19" i="17" s="1"/>
  <c r="O22" i="27"/>
  <c r="H31" i="28"/>
  <c r="L9" i="28"/>
  <c r="E6" i="16"/>
  <c r="I32" i="26"/>
  <c r="E26" i="15"/>
  <c r="D18" i="27"/>
  <c r="M29" i="27"/>
  <c r="Q16" i="25"/>
  <c r="Q16" i="28" s="1"/>
  <c r="E25" i="16"/>
  <c r="E23" i="17"/>
  <c r="E6" i="17"/>
  <c r="E22" i="16"/>
  <c r="E7" i="17"/>
  <c r="E6" i="15"/>
  <c r="E13" i="15"/>
  <c r="E8" i="16"/>
  <c r="E25" i="15"/>
  <c r="I24" i="16"/>
  <c r="I22" i="16"/>
  <c r="I21" i="17"/>
  <c r="I6" i="17"/>
  <c r="I33" i="16"/>
  <c r="I20" i="15"/>
  <c r="I12" i="15"/>
  <c r="I21" i="16"/>
  <c r="I32" i="16"/>
  <c r="I25" i="27"/>
  <c r="I24" i="27"/>
  <c r="I11" i="26"/>
  <c r="I20" i="17"/>
  <c r="E8" i="17"/>
  <c r="E31" i="17"/>
  <c r="G21" i="16"/>
  <c r="G24" i="16"/>
  <c r="G26" i="16"/>
  <c r="I31" i="17"/>
  <c r="E23" i="16"/>
  <c r="E5" i="15"/>
  <c r="I6" i="16"/>
  <c r="I7" i="16"/>
  <c r="I26" i="15"/>
  <c r="I23" i="16"/>
  <c r="M25" i="27"/>
  <c r="I20" i="27"/>
  <c r="M31" i="26"/>
  <c r="I5" i="28"/>
  <c r="I10" i="27"/>
  <c r="H13" i="27"/>
  <c r="Q16" i="26"/>
  <c r="I32" i="27"/>
  <c r="I10" i="28"/>
  <c r="M17" i="28"/>
  <c r="I18" i="27"/>
  <c r="E9" i="17"/>
  <c r="E20" i="17"/>
  <c r="E28" i="16"/>
  <c r="H11" i="15"/>
  <c r="H30" i="17"/>
  <c r="I11" i="15"/>
  <c r="H21" i="17"/>
  <c r="H5" i="16"/>
  <c r="H8" i="16"/>
  <c r="E20" i="15"/>
  <c r="I19" i="15"/>
  <c r="H31" i="15"/>
  <c r="H33" i="15"/>
  <c r="I30" i="27"/>
  <c r="D18" i="26"/>
  <c r="I23" i="28"/>
  <c r="D9" i="26"/>
  <c r="D22" i="26"/>
  <c r="H26" i="26"/>
  <c r="I22" i="17"/>
  <c r="H10" i="15"/>
  <c r="M24" i="27"/>
  <c r="E7" i="16"/>
  <c r="E10" i="16"/>
  <c r="E31" i="16"/>
  <c r="I13" i="27"/>
  <c r="I33" i="27"/>
  <c r="E19" i="17"/>
  <c r="I30" i="28"/>
  <c r="I6" i="27"/>
  <c r="I28" i="27"/>
  <c r="G20" i="16"/>
  <c r="G22" i="16"/>
  <c r="G23" i="16"/>
  <c r="G25" i="16"/>
  <c r="E24" i="16"/>
  <c r="G22" i="15"/>
  <c r="I23" i="17"/>
  <c r="I5" i="16"/>
  <c r="I31" i="16"/>
  <c r="M10" i="28"/>
  <c r="M23" i="26"/>
  <c r="I9" i="16"/>
  <c r="I25" i="15"/>
  <c r="H18" i="15"/>
  <c r="M9" i="28"/>
  <c r="I9" i="27"/>
  <c r="M13" i="27"/>
  <c r="I21" i="27"/>
  <c r="D30" i="28"/>
  <c r="M33" i="27"/>
  <c r="D5" i="27"/>
  <c r="I26" i="27"/>
  <c r="M30" i="28"/>
  <c r="M15" i="27"/>
  <c r="I24" i="17"/>
  <c r="I20" i="28"/>
  <c r="F6" i="27"/>
  <c r="M9" i="27"/>
  <c r="I17" i="27"/>
  <c r="M21" i="27"/>
  <c r="M28" i="26"/>
  <c r="I31" i="28"/>
  <c r="I8" i="27"/>
  <c r="M12" i="27"/>
  <c r="I22" i="27"/>
  <c r="D8" i="28"/>
  <c r="D25" i="27"/>
  <c r="I5" i="26"/>
  <c r="I13" i="26"/>
  <c r="D30" i="26"/>
  <c r="M6" i="27"/>
  <c r="D13" i="27"/>
  <c r="M17" i="26"/>
  <c r="M22" i="26"/>
  <c r="M25" i="26"/>
  <c r="I7" i="27"/>
  <c r="M11" i="27"/>
  <c r="I10" i="26"/>
  <c r="D13" i="26"/>
  <c r="M14" i="26"/>
  <c r="E22" i="17"/>
  <c r="D7" i="28"/>
  <c r="Q29" i="25"/>
  <c r="Q29" i="28" s="1"/>
  <c r="L29" i="25"/>
  <c r="D7" i="27"/>
  <c r="I30" i="16"/>
  <c r="H9" i="15"/>
  <c r="H25" i="15"/>
  <c r="L24" i="28"/>
  <c r="I8" i="15"/>
  <c r="Q29" i="26"/>
  <c r="H24" i="16"/>
  <c r="I21" i="15"/>
  <c r="I10" i="17"/>
  <c r="H20" i="17"/>
  <c r="H24" i="17"/>
  <c r="I26" i="16"/>
  <c r="I22" i="15"/>
  <c r="M3" i="11"/>
  <c r="M3" i="14" s="1"/>
  <c r="M3" i="17" s="1"/>
  <c r="E32" i="17"/>
  <c r="E30" i="16"/>
  <c r="H24" i="15"/>
  <c r="E29" i="16"/>
  <c r="I18" i="15"/>
  <c r="H7" i="15"/>
  <c r="H15" i="15"/>
  <c r="H23" i="15"/>
  <c r="H30" i="16"/>
  <c r="H9" i="17"/>
  <c r="H10" i="17"/>
  <c r="F16" i="14"/>
  <c r="F16" i="17" s="1"/>
  <c r="H10" i="16"/>
  <c r="H12" i="16"/>
  <c r="H14" i="16"/>
  <c r="H20" i="16"/>
  <c r="E28" i="15"/>
  <c r="H32" i="16"/>
  <c r="I13" i="15"/>
  <c r="H17" i="15"/>
  <c r="H30" i="15"/>
  <c r="H32" i="15"/>
  <c r="H26" i="16"/>
  <c r="I23" i="15"/>
  <c r="H31" i="16"/>
  <c r="E17" i="15"/>
  <c r="H22" i="17"/>
  <c r="B29" i="14"/>
  <c r="B29" i="17" s="1"/>
  <c r="I6" i="15"/>
  <c r="I9" i="15"/>
  <c r="I10" i="15"/>
  <c r="I14" i="15"/>
  <c r="H28" i="15"/>
  <c r="E21" i="17"/>
  <c r="H8" i="15"/>
  <c r="I17" i="17"/>
  <c r="H32" i="17"/>
  <c r="D22" i="27"/>
  <c r="D26" i="27"/>
  <c r="D5" i="26"/>
  <c r="D17" i="26"/>
  <c r="G9" i="16"/>
  <c r="G10" i="16"/>
  <c r="G11" i="16"/>
  <c r="G12" i="16"/>
  <c r="G13" i="16"/>
  <c r="G14" i="16"/>
  <c r="G15" i="16"/>
  <c r="F9" i="28"/>
  <c r="D24" i="26"/>
  <c r="E32" i="16"/>
  <c r="H5" i="15"/>
  <c r="H13" i="15"/>
  <c r="H21" i="15"/>
  <c r="G24" i="26"/>
  <c r="H22" i="16"/>
  <c r="H5" i="17"/>
  <c r="H7" i="17"/>
  <c r="H8" i="17"/>
  <c r="H23" i="17"/>
  <c r="H6" i="16"/>
  <c r="H7" i="16"/>
  <c r="H23" i="16"/>
  <c r="E27" i="15"/>
  <c r="D25" i="26"/>
  <c r="I5" i="15"/>
  <c r="I7" i="15"/>
  <c r="I15" i="15"/>
  <c r="I8" i="17"/>
  <c r="I28" i="16"/>
  <c r="I24" i="15"/>
  <c r="H26" i="15"/>
  <c r="D4" i="14"/>
  <c r="D4" i="17" s="1"/>
  <c r="I25" i="16"/>
  <c r="H6" i="15"/>
  <c r="H14" i="15"/>
  <c r="D24" i="28"/>
  <c r="I31" i="15"/>
  <c r="I33" i="15"/>
  <c r="D18" i="15"/>
  <c r="M4" i="10"/>
  <c r="G16" i="28"/>
  <c r="G6" i="27"/>
  <c r="G30" i="27"/>
  <c r="G11" i="26"/>
  <c r="G8" i="27"/>
  <c r="E16" i="26"/>
  <c r="C19" i="25"/>
  <c r="C19" i="28" s="1"/>
  <c r="G20" i="27"/>
  <c r="I9" i="28"/>
  <c r="J5" i="28"/>
  <c r="J5" i="26"/>
  <c r="J9" i="26"/>
  <c r="J17" i="26"/>
  <c r="J17" i="27"/>
  <c r="J25" i="26"/>
  <c r="J22" i="28"/>
  <c r="J11" i="27"/>
  <c r="J13" i="26"/>
  <c r="E16" i="25"/>
  <c r="E16" i="28" s="1"/>
  <c r="G10" i="28"/>
  <c r="G23" i="26"/>
  <c r="G17" i="28"/>
  <c r="G22" i="28"/>
  <c r="P15" i="27"/>
  <c r="G31" i="27"/>
  <c r="G9" i="26"/>
  <c r="M15" i="26"/>
  <c r="E16" i="14"/>
  <c r="E16" i="17" s="1"/>
  <c r="B4" i="10"/>
  <c r="G33" i="26"/>
  <c r="G12" i="27"/>
  <c r="G30" i="28"/>
  <c r="G5" i="27"/>
  <c r="G9" i="27"/>
  <c r="G8" i="28"/>
  <c r="G23" i="28"/>
  <c r="P3" i="19"/>
  <c r="P3" i="23" s="1"/>
  <c r="P3" i="26" s="1"/>
  <c r="G14" i="27"/>
  <c r="G28" i="26"/>
  <c r="C15" i="26"/>
  <c r="G11" i="27"/>
  <c r="G23" i="27"/>
  <c r="G10" i="27"/>
  <c r="G32" i="27"/>
  <c r="G8" i="26"/>
  <c r="G9" i="28"/>
  <c r="G5" i="26"/>
  <c r="I6" i="26"/>
  <c r="I26" i="26"/>
  <c r="I6" i="28"/>
  <c r="I33" i="26"/>
  <c r="I32" i="28"/>
  <c r="I9" i="26"/>
  <c r="I21" i="28"/>
  <c r="D3" i="8"/>
  <c r="I8" i="28"/>
  <c r="J9" i="28"/>
  <c r="J30" i="28"/>
  <c r="J32" i="27"/>
  <c r="I12" i="26"/>
  <c r="I30" i="26"/>
  <c r="P15" i="16"/>
  <c r="P23" i="16"/>
  <c r="G20" i="28"/>
  <c r="G24" i="27"/>
  <c r="H19" i="14"/>
  <c r="H19" i="17" s="1"/>
  <c r="J31" i="27"/>
  <c r="I23" i="26"/>
  <c r="J24" i="26"/>
  <c r="I16" i="28"/>
  <c r="I23" i="27"/>
  <c r="O4" i="14"/>
  <c r="O4" i="17" s="1"/>
  <c r="O29" i="14"/>
  <c r="O29" i="17" s="1"/>
  <c r="E16" i="10"/>
  <c r="G6" i="28"/>
  <c r="G33" i="27"/>
  <c r="I12" i="27"/>
  <c r="P8" i="15"/>
  <c r="P12" i="15"/>
  <c r="P20" i="15"/>
  <c r="P24" i="15"/>
  <c r="G24" i="28"/>
  <c r="J23" i="26"/>
  <c r="J31" i="26"/>
  <c r="G29" i="25"/>
  <c r="G29" i="28" s="1"/>
  <c r="P21" i="16"/>
  <c r="P17" i="17"/>
  <c r="P30" i="17"/>
  <c r="P31" i="17"/>
  <c r="J17" i="28"/>
  <c r="J20" i="26"/>
  <c r="J8" i="27"/>
  <c r="K16" i="26"/>
  <c r="I25" i="26"/>
  <c r="E11" i="16"/>
  <c r="E29" i="25"/>
  <c r="E29" i="28" s="1"/>
  <c r="K3" i="9"/>
  <c r="K3" i="13" s="1"/>
  <c r="J6" i="26"/>
  <c r="I31" i="26"/>
  <c r="J32" i="26"/>
  <c r="J7" i="27"/>
  <c r="I14" i="27"/>
  <c r="I31" i="27"/>
  <c r="I21" i="26"/>
  <c r="I17" i="28"/>
  <c r="K29" i="25"/>
  <c r="K29" i="28" s="1"/>
  <c r="I11" i="27"/>
  <c r="H29" i="10"/>
  <c r="J12" i="27"/>
  <c r="J22" i="26"/>
  <c r="J15" i="27"/>
  <c r="G14" i="26"/>
  <c r="I17" i="26"/>
  <c r="J18" i="26"/>
  <c r="H29" i="16"/>
  <c r="I29" i="26"/>
  <c r="G31" i="26"/>
  <c r="K31" i="37"/>
  <c r="J10" i="26"/>
  <c r="G4" i="10"/>
  <c r="E18" i="15"/>
  <c r="J33" i="26"/>
  <c r="O18" i="26"/>
  <c r="N31" i="37"/>
  <c r="J21" i="26"/>
  <c r="J7" i="28"/>
  <c r="H3" i="9"/>
  <c r="H3" i="13" s="1"/>
  <c r="E33" i="26"/>
  <c r="E12" i="16"/>
  <c r="E15" i="16"/>
  <c r="E18" i="16"/>
  <c r="F25" i="27"/>
  <c r="F26" i="27"/>
  <c r="H7" i="27"/>
  <c r="F30" i="27"/>
  <c r="L8" i="26"/>
  <c r="H6" i="28"/>
  <c r="F17" i="27"/>
  <c r="L12" i="26"/>
  <c r="H24" i="28"/>
  <c r="F5" i="26"/>
  <c r="F13" i="26"/>
  <c r="P5" i="15"/>
  <c r="P9" i="15"/>
  <c r="P17" i="15"/>
  <c r="P25" i="15"/>
  <c r="F22" i="28"/>
  <c r="P9" i="17"/>
  <c r="P6" i="16"/>
  <c r="P12" i="16"/>
  <c r="F25" i="26"/>
  <c r="F10" i="27"/>
  <c r="H12" i="27"/>
  <c r="F22" i="27"/>
  <c r="H24" i="27"/>
  <c r="L5" i="28"/>
  <c r="H23" i="28"/>
  <c r="H30" i="28"/>
  <c r="F21" i="27"/>
  <c r="L28" i="27"/>
  <c r="L32" i="27"/>
  <c r="F3" i="26"/>
  <c r="F24" i="26"/>
  <c r="F23" i="27"/>
  <c r="F28" i="27"/>
  <c r="L6" i="28"/>
  <c r="H17" i="28"/>
  <c r="L33" i="27"/>
  <c r="L10" i="26"/>
  <c r="F28" i="26"/>
  <c r="L17" i="28"/>
  <c r="L22" i="28"/>
  <c r="L5" i="26"/>
  <c r="F7" i="26"/>
  <c r="H9" i="28"/>
  <c r="H7" i="28"/>
  <c r="H32" i="28"/>
  <c r="P6" i="15"/>
  <c r="P10" i="15"/>
  <c r="P14" i="15"/>
  <c r="P18" i="15"/>
  <c r="P22" i="15"/>
  <c r="P26" i="15"/>
  <c r="P7" i="16"/>
  <c r="P14" i="16"/>
  <c r="P7" i="17"/>
  <c r="P8" i="17"/>
  <c r="P22" i="17"/>
  <c r="P23" i="17"/>
  <c r="P22" i="16"/>
  <c r="P26" i="16"/>
  <c r="P17" i="16"/>
  <c r="F8" i="27"/>
  <c r="G13" i="26"/>
  <c r="G20" i="26"/>
  <c r="G7" i="28"/>
  <c r="G22" i="26"/>
  <c r="P22" i="26"/>
  <c r="P31" i="27"/>
  <c r="P6" i="28"/>
  <c r="P14" i="27"/>
  <c r="P16" i="28"/>
  <c r="Q20" i="28"/>
  <c r="Q28" i="26"/>
  <c r="Q21" i="28"/>
  <c r="F31" i="27"/>
  <c r="F6" i="28"/>
  <c r="F12" i="26"/>
  <c r="F9" i="26"/>
  <c r="F17" i="26"/>
  <c r="F31" i="28"/>
  <c r="F14" i="27"/>
  <c r="F32" i="28"/>
  <c r="L11" i="27"/>
  <c r="H28" i="27"/>
  <c r="H32" i="27"/>
  <c r="L25" i="27"/>
  <c r="F8" i="28"/>
  <c r="L31" i="28"/>
  <c r="F12" i="27"/>
  <c r="F7" i="28"/>
  <c r="F30" i="28"/>
  <c r="F22" i="26"/>
  <c r="P13" i="15"/>
  <c r="P21" i="15"/>
  <c r="F18" i="26"/>
  <c r="P31" i="16"/>
  <c r="P33" i="16"/>
  <c r="P10" i="17"/>
  <c r="H25" i="26"/>
  <c r="H33" i="26"/>
  <c r="P32" i="16"/>
  <c r="H8" i="27"/>
  <c r="L12" i="27"/>
  <c r="F18" i="27"/>
  <c r="L30" i="28"/>
  <c r="F5" i="27"/>
  <c r="F11" i="27"/>
  <c r="H6" i="26"/>
  <c r="L23" i="28"/>
  <c r="F20" i="28"/>
  <c r="H10" i="27"/>
  <c r="F20" i="27"/>
  <c r="L22" i="27"/>
  <c r="F24" i="27"/>
  <c r="F5" i="28"/>
  <c r="H30" i="27"/>
  <c r="P25" i="16"/>
  <c r="P5" i="17"/>
  <c r="P6" i="17"/>
  <c r="P5" i="16"/>
  <c r="P8" i="16"/>
  <c r="H8" i="28"/>
  <c r="O5" i="16"/>
  <c r="Q30" i="26"/>
  <c r="P9" i="16"/>
  <c r="O10" i="15"/>
  <c r="O32" i="15"/>
  <c r="P30" i="15"/>
  <c r="P32" i="15"/>
  <c r="P32" i="28"/>
  <c r="O20" i="15"/>
  <c r="P32" i="17"/>
  <c r="O15" i="15"/>
  <c r="K31" i="15"/>
  <c r="H31" i="26"/>
  <c r="Q7" i="28"/>
  <c r="Q33" i="26"/>
  <c r="F23" i="28"/>
  <c r="N20" i="26"/>
  <c r="N33" i="26"/>
  <c r="N7" i="27"/>
  <c r="G31" i="28"/>
  <c r="Q31" i="27"/>
  <c r="F32" i="27"/>
  <c r="H20" i="26"/>
  <c r="P20" i="26"/>
  <c r="Q21" i="26"/>
  <c r="H24" i="26"/>
  <c r="F26" i="26"/>
  <c r="G15" i="26"/>
  <c r="H11" i="27"/>
  <c r="K5" i="17"/>
  <c r="K23" i="17"/>
  <c r="K24" i="17"/>
  <c r="K30" i="17"/>
  <c r="P7" i="15"/>
  <c r="P11" i="15"/>
  <c r="P15" i="15"/>
  <c r="P23" i="15"/>
  <c r="P28" i="15"/>
  <c r="P11" i="16"/>
  <c r="P10" i="16"/>
  <c r="P18" i="16"/>
  <c r="P20" i="17"/>
  <c r="P21" i="17"/>
  <c r="P24" i="17"/>
  <c r="P24" i="16"/>
  <c r="P28" i="16"/>
  <c r="F30" i="26"/>
  <c r="F31" i="26"/>
  <c r="P33" i="26"/>
  <c r="P32" i="26"/>
  <c r="Q12" i="27"/>
  <c r="G17" i="26"/>
  <c r="H18" i="26"/>
  <c r="F21" i="26"/>
  <c r="F17" i="28"/>
  <c r="P31" i="28"/>
  <c r="F11" i="26"/>
  <c r="F20" i="26"/>
  <c r="G21" i="26"/>
  <c r="H22" i="26"/>
  <c r="G7" i="26"/>
  <c r="E32" i="27"/>
  <c r="H8" i="26"/>
  <c r="Q24" i="16"/>
  <c r="Q23" i="15"/>
  <c r="Q24" i="15"/>
  <c r="F9" i="27"/>
  <c r="G25" i="27"/>
  <c r="E28" i="27"/>
  <c r="E18" i="26"/>
  <c r="Q30" i="17"/>
  <c r="O20" i="17"/>
  <c r="Q32" i="16"/>
  <c r="Q5" i="15"/>
  <c r="Q6" i="15"/>
  <c r="Q7" i="15"/>
  <c r="Q8" i="15"/>
  <c r="Q9" i="15"/>
  <c r="Q10" i="15"/>
  <c r="Q11" i="15"/>
  <c r="Q12" i="15"/>
  <c r="Q13" i="15"/>
  <c r="Q14" i="15"/>
  <c r="Q15" i="15"/>
  <c r="G18" i="27"/>
  <c r="O30" i="17"/>
  <c r="L28" i="16"/>
  <c r="I22" i="26"/>
  <c r="F23" i="26"/>
  <c r="G32" i="26"/>
  <c r="P13" i="16"/>
  <c r="D17" i="15"/>
  <c r="P31" i="15"/>
  <c r="P33" i="15"/>
  <c r="N30" i="26"/>
  <c r="D7" i="17"/>
  <c r="P20" i="16"/>
  <c r="O12" i="15"/>
  <c r="O28" i="15"/>
  <c r="D17" i="17"/>
  <c r="L31" i="17"/>
  <c r="D18" i="16"/>
  <c r="L18" i="16"/>
  <c r="P30" i="16"/>
  <c r="L32" i="16"/>
  <c r="D33" i="16"/>
  <c r="L33" i="16"/>
  <c r="P27" i="15"/>
  <c r="C17" i="26"/>
  <c r="C19" i="26"/>
  <c r="I24" i="26"/>
  <c r="N17" i="28"/>
  <c r="F33" i="27"/>
  <c r="F14" i="26"/>
  <c r="G21" i="27"/>
  <c r="I14" i="26"/>
  <c r="Q18" i="26"/>
  <c r="L20" i="15"/>
  <c r="D24" i="15"/>
  <c r="L28" i="15"/>
  <c r="L32" i="17"/>
  <c r="C6" i="28"/>
  <c r="L8" i="15"/>
  <c r="D12" i="15"/>
  <c r="C30" i="26"/>
  <c r="Q32" i="26"/>
  <c r="N21" i="28"/>
  <c r="I7" i="28"/>
  <c r="P10" i="26"/>
  <c r="Q11" i="26"/>
  <c r="Q24" i="26"/>
  <c r="I22" i="28"/>
  <c r="L30" i="15"/>
  <c r="L32" i="15"/>
  <c r="F7" i="27"/>
  <c r="Q24" i="27"/>
  <c r="I8" i="26"/>
  <c r="G10" i="26"/>
  <c r="N17" i="26"/>
  <c r="Q28" i="15"/>
  <c r="P3" i="9"/>
  <c r="P3" i="13" s="1"/>
  <c r="K18" i="26"/>
  <c r="L27" i="16"/>
  <c r="G3" i="7"/>
  <c r="G10" i="17"/>
  <c r="G7" i="16"/>
  <c r="O31" i="37"/>
  <c r="J31" i="37"/>
  <c r="E32" i="28"/>
  <c r="E21" i="28"/>
  <c r="E24" i="28"/>
  <c r="E21" i="26"/>
  <c r="E26" i="26"/>
  <c r="E32" i="26"/>
  <c r="E10" i="28"/>
  <c r="E12" i="26"/>
  <c r="E25" i="26"/>
  <c r="G16" i="17"/>
  <c r="Q18" i="16"/>
  <c r="Q18" i="15"/>
  <c r="Q20" i="16"/>
  <c r="Q12" i="16"/>
  <c r="Q26" i="15"/>
  <c r="Q22" i="15"/>
  <c r="Q30" i="16"/>
  <c r="Q25" i="16"/>
  <c r="Q15" i="16"/>
  <c r="Q11" i="16"/>
  <c r="Q10" i="17"/>
  <c r="Q7" i="17"/>
  <c r="Q31" i="17"/>
  <c r="Q14" i="16"/>
  <c r="Q23" i="16"/>
  <c r="M29" i="25"/>
  <c r="M29" i="28" s="1"/>
  <c r="K14" i="26"/>
  <c r="K30" i="27"/>
  <c r="K23" i="28"/>
  <c r="O16" i="15"/>
  <c r="K6" i="27"/>
  <c r="G22" i="17"/>
  <c r="E22" i="27"/>
  <c r="G5" i="15"/>
  <c r="G13" i="15"/>
  <c r="B30" i="17"/>
  <c r="N29" i="14"/>
  <c r="N29" i="17" s="1"/>
  <c r="E17" i="26"/>
  <c r="G23" i="15"/>
  <c r="N29" i="25"/>
  <c r="N29" i="28" s="1"/>
  <c r="G30" i="15"/>
  <c r="Q26" i="16"/>
  <c r="Q21" i="15"/>
  <c r="Q17" i="17"/>
  <c r="Q31" i="16"/>
  <c r="Q33" i="16"/>
  <c r="E9" i="28"/>
  <c r="E5" i="26"/>
  <c r="L9" i="27"/>
  <c r="E17" i="28"/>
  <c r="K12" i="26"/>
  <c r="F17" i="15"/>
  <c r="F18" i="15"/>
  <c r="F20" i="15"/>
  <c r="F21" i="15"/>
  <c r="F22" i="15"/>
  <c r="F23" i="15"/>
  <c r="F24" i="15"/>
  <c r="F25" i="15"/>
  <c r="F26" i="15"/>
  <c r="E8" i="28"/>
  <c r="G19" i="26"/>
  <c r="E22" i="28"/>
  <c r="G31" i="15"/>
  <c r="K30" i="15"/>
  <c r="E30" i="26"/>
  <c r="G9" i="15"/>
  <c r="G17" i="15"/>
  <c r="G20" i="15"/>
  <c r="C17" i="17"/>
  <c r="Q20" i="15"/>
  <c r="E10" i="26"/>
  <c r="Q21" i="17"/>
  <c r="C16" i="14"/>
  <c r="C16" i="17" s="1"/>
  <c r="F31" i="37"/>
  <c r="G5" i="28"/>
  <c r="O9" i="26"/>
  <c r="G12" i="26"/>
  <c r="Q30" i="15"/>
  <c r="Q31" i="15"/>
  <c r="Q32" i="15"/>
  <c r="Q33" i="15"/>
  <c r="C31" i="39"/>
  <c r="H29" i="25"/>
  <c r="H29" i="28" s="1"/>
  <c r="E31" i="27"/>
  <c r="E8" i="26"/>
  <c r="G7" i="17"/>
  <c r="G32" i="17"/>
  <c r="Q28" i="16"/>
  <c r="G7" i="15"/>
  <c r="G8" i="15"/>
  <c r="Q5" i="17"/>
  <c r="E23" i="27"/>
  <c r="Q17" i="15"/>
  <c r="Q20" i="17"/>
  <c r="G4" i="14"/>
  <c r="G4" i="17" s="1"/>
  <c r="E19" i="25"/>
  <c r="E19" i="28" s="1"/>
  <c r="J28" i="15"/>
  <c r="K14" i="27"/>
  <c r="K7" i="26"/>
  <c r="K28" i="27"/>
  <c r="K23" i="26"/>
  <c r="K8" i="28"/>
  <c r="L19" i="25"/>
  <c r="L19" i="28" s="1"/>
  <c r="K10" i="26"/>
  <c r="J31" i="17"/>
  <c r="J32" i="17"/>
  <c r="K23" i="15"/>
  <c r="K6" i="16"/>
  <c r="J11" i="16"/>
  <c r="M27" i="15"/>
  <c r="M27" i="16"/>
  <c r="M20" i="26"/>
  <c r="M8" i="26"/>
  <c r="M18" i="15"/>
  <c r="M8" i="17"/>
  <c r="M26" i="16"/>
  <c r="M10" i="16"/>
  <c r="M22" i="15"/>
  <c r="M32" i="16"/>
  <c r="K20" i="28"/>
  <c r="K33" i="26"/>
  <c r="K30" i="26"/>
  <c r="K9" i="28"/>
  <c r="K22" i="27"/>
  <c r="K20" i="26"/>
  <c r="M24" i="17"/>
  <c r="K5" i="27"/>
  <c r="K21" i="27"/>
  <c r="K8" i="26"/>
  <c r="F29" i="25"/>
  <c r="F29" i="28" s="1"/>
  <c r="K33" i="27"/>
  <c r="M7" i="16"/>
  <c r="M8" i="16"/>
  <c r="K27" i="26"/>
  <c r="K17" i="15"/>
  <c r="M21" i="16"/>
  <c r="D16" i="28"/>
  <c r="J26" i="16"/>
  <c r="D19" i="14"/>
  <c r="D19" i="17" s="1"/>
  <c r="D27" i="15"/>
  <c r="J31" i="16"/>
  <c r="K18" i="27"/>
  <c r="K20" i="27"/>
  <c r="K9" i="26"/>
  <c r="K26" i="26"/>
  <c r="K5" i="28"/>
  <c r="K7" i="27"/>
  <c r="K10" i="27"/>
  <c r="H44" i="37"/>
  <c r="K15" i="27"/>
  <c r="K13" i="26"/>
  <c r="K15" i="26"/>
  <c r="K8" i="27"/>
  <c r="K12" i="27"/>
  <c r="K17" i="27"/>
  <c r="K22" i="26"/>
  <c r="K21" i="28"/>
  <c r="K21" i="26"/>
  <c r="M23" i="17"/>
  <c r="J30" i="15"/>
  <c r="J31" i="15"/>
  <c r="J32" i="15"/>
  <c r="J33" i="15"/>
  <c r="K31" i="28"/>
  <c r="K6" i="26"/>
  <c r="P4" i="10"/>
  <c r="K11" i="26"/>
  <c r="B31" i="37"/>
  <c r="K5" i="26"/>
  <c r="K24" i="28"/>
  <c r="D15" i="27"/>
  <c r="D31" i="26"/>
  <c r="D10" i="27"/>
  <c r="D12" i="26"/>
  <c r="D5" i="28"/>
  <c r="D26" i="26"/>
  <c r="D23" i="27"/>
  <c r="D21" i="28"/>
  <c r="D20" i="28"/>
  <c r="D28" i="26"/>
  <c r="D10" i="26"/>
  <c r="D10" i="28"/>
  <c r="M22" i="27"/>
  <c r="M20" i="27"/>
  <c r="M26" i="27"/>
  <c r="M12" i="26"/>
  <c r="M21" i="28"/>
  <c r="M30" i="27"/>
  <c r="M33" i="26"/>
  <c r="M11" i="26"/>
  <c r="M5" i="26"/>
  <c r="M8" i="27"/>
  <c r="M12" i="16"/>
  <c r="M13" i="16"/>
  <c r="M15" i="16"/>
  <c r="M17" i="16"/>
  <c r="G3" i="11"/>
  <c r="G29" i="14"/>
  <c r="O27" i="15"/>
  <c r="O19" i="14"/>
  <c r="O19" i="17" s="1"/>
  <c r="D29" i="14"/>
  <c r="D29" i="17" s="1"/>
  <c r="O4" i="10"/>
  <c r="K32" i="26"/>
  <c r="D21" i="26"/>
  <c r="O29" i="26"/>
  <c r="B5" i="17"/>
  <c r="J5" i="17"/>
  <c r="B6" i="17"/>
  <c r="B8" i="17"/>
  <c r="J9" i="17"/>
  <c r="B20" i="17"/>
  <c r="J21" i="17"/>
  <c r="J22" i="17"/>
  <c r="J23" i="17"/>
  <c r="J24" i="17"/>
  <c r="B6" i="16"/>
  <c r="B8" i="16"/>
  <c r="J21" i="16"/>
  <c r="J23" i="16"/>
  <c r="E33" i="15"/>
  <c r="D6" i="27"/>
  <c r="K24" i="15"/>
  <c r="G6" i="17"/>
  <c r="O4" i="16"/>
  <c r="M19" i="14"/>
  <c r="M19" i="17" s="1"/>
  <c r="I7" i="26"/>
  <c r="J9" i="16"/>
  <c r="F29" i="14"/>
  <c r="F29" i="17" s="1"/>
  <c r="K24" i="26"/>
  <c r="D33" i="26"/>
  <c r="K7" i="15"/>
  <c r="K8" i="15"/>
  <c r="K20" i="15"/>
  <c r="M30" i="15"/>
  <c r="O31" i="39"/>
  <c r="K25" i="26"/>
  <c r="M20" i="28"/>
  <c r="C29" i="21"/>
  <c r="E10" i="17"/>
  <c r="J29" i="14"/>
  <c r="J29" i="17" s="1"/>
  <c r="E26" i="16"/>
  <c r="E22" i="15"/>
  <c r="E23" i="15"/>
  <c r="K25" i="27"/>
  <c r="M28" i="27"/>
  <c r="M18" i="26"/>
  <c r="E17" i="17"/>
  <c r="E30" i="17"/>
  <c r="E7" i="15"/>
  <c r="E10" i="15"/>
  <c r="E11" i="15"/>
  <c r="E14" i="15"/>
  <c r="E15" i="15"/>
  <c r="K18" i="15"/>
  <c r="K28" i="26"/>
  <c r="K33" i="15"/>
  <c r="G26" i="27"/>
  <c r="J17" i="15"/>
  <c r="J18" i="15"/>
  <c r="J20" i="15"/>
  <c r="J21" i="15"/>
  <c r="J22" i="15"/>
  <c r="J23" i="15"/>
  <c r="J24" i="15"/>
  <c r="J25" i="15"/>
  <c r="J26" i="15"/>
  <c r="M21" i="26"/>
  <c r="K6" i="28"/>
  <c r="L7" i="28"/>
  <c r="K10" i="28"/>
  <c r="O29" i="25"/>
  <c r="O29" i="28" s="1"/>
  <c r="D30" i="27"/>
  <c r="M31" i="27"/>
  <c r="D7" i="26"/>
  <c r="K10" i="17"/>
  <c r="K21" i="17"/>
  <c r="K22" i="17"/>
  <c r="K24" i="27"/>
  <c r="C30" i="15"/>
  <c r="F27" i="16"/>
  <c r="M26" i="26"/>
  <c r="M30" i="26"/>
  <c r="F29" i="26"/>
  <c r="K31" i="26"/>
  <c r="G26" i="15"/>
  <c r="E31" i="15"/>
  <c r="C31" i="37"/>
  <c r="K31" i="39"/>
  <c r="K32" i="27"/>
  <c r="K17" i="26"/>
  <c r="K30" i="28"/>
  <c r="C3" i="19"/>
  <c r="E5" i="17"/>
  <c r="E21" i="15"/>
  <c r="D17" i="28"/>
  <c r="M23" i="27"/>
  <c r="E24" i="17"/>
  <c r="K32" i="15"/>
  <c r="G4" i="16"/>
  <c r="J16" i="14"/>
  <c r="J16" i="17" s="1"/>
  <c r="J16" i="21"/>
  <c r="H19" i="10"/>
  <c r="H19" i="15"/>
  <c r="L31" i="37"/>
  <c r="P44" i="37"/>
  <c r="Q3" i="11"/>
  <c r="B30" i="15"/>
  <c r="B31" i="15"/>
  <c r="B32" i="15"/>
  <c r="B33" i="15"/>
  <c r="N15" i="26"/>
  <c r="D19" i="15"/>
  <c r="L17" i="26"/>
  <c r="L11" i="26"/>
  <c r="L7" i="27"/>
  <c r="L24" i="26"/>
  <c r="L6" i="27"/>
  <c r="L28" i="26"/>
  <c r="L14" i="27"/>
  <c r="L14" i="26"/>
  <c r="L10" i="28"/>
  <c r="N27" i="16"/>
  <c r="N27" i="15"/>
  <c r="B20" i="16"/>
  <c r="B22" i="16"/>
  <c r="M31" i="15"/>
  <c r="M14" i="16"/>
  <c r="M11" i="16"/>
  <c r="M9" i="16"/>
  <c r="M10" i="15"/>
  <c r="M18" i="16"/>
  <c r="M17" i="17"/>
  <c r="M7" i="17"/>
  <c r="M22" i="17"/>
  <c r="M5" i="17"/>
  <c r="M33" i="16"/>
  <c r="O8" i="16"/>
  <c r="O22" i="17"/>
  <c r="O6" i="16"/>
  <c r="O5" i="17"/>
  <c r="M24" i="16"/>
  <c r="L23" i="27"/>
  <c r="O7" i="28"/>
  <c r="O13" i="26"/>
  <c r="O23" i="28"/>
  <c r="O6" i="27"/>
  <c r="O22" i="26"/>
  <c r="O15" i="26"/>
  <c r="O10" i="27"/>
  <c r="O22" i="28"/>
  <c r="O5" i="28"/>
  <c r="O21" i="26"/>
  <c r="O28" i="27"/>
  <c r="O28" i="26"/>
  <c r="O32" i="27"/>
  <c r="O9" i="28"/>
  <c r="B19" i="14"/>
  <c r="B19" i="17" s="1"/>
  <c r="E15" i="26"/>
  <c r="D44" i="37"/>
  <c r="C29" i="14"/>
  <c r="C29" i="17" s="1"/>
  <c r="O3" i="11"/>
  <c r="O3" i="14" s="1"/>
  <c r="O3" i="17" s="1"/>
  <c r="L3" i="8"/>
  <c r="E19" i="15"/>
  <c r="J29" i="26"/>
  <c r="H19" i="16"/>
  <c r="I19" i="14"/>
  <c r="I19" i="17" s="1"/>
  <c r="I3" i="11"/>
  <c r="I3" i="14" s="1"/>
  <c r="I3" i="17" s="1"/>
  <c r="D3" i="7"/>
  <c r="M44" i="37"/>
  <c r="M19" i="27"/>
  <c r="B31" i="16"/>
  <c r="M19" i="10"/>
  <c r="L25" i="26"/>
  <c r="E29" i="21"/>
  <c r="M29" i="26"/>
  <c r="M29" i="21"/>
  <c r="E4" i="16"/>
  <c r="K29" i="26"/>
  <c r="L32" i="26"/>
  <c r="M23" i="16"/>
  <c r="O5" i="15"/>
  <c r="O11" i="15"/>
  <c r="O13" i="15"/>
  <c r="O25" i="15"/>
  <c r="M29" i="10"/>
  <c r="M33" i="15"/>
  <c r="I29" i="10"/>
  <c r="O7" i="17"/>
  <c r="M16" i="14"/>
  <c r="M16" i="17" s="1"/>
  <c r="O24" i="17"/>
  <c r="M31" i="16"/>
  <c r="Q3" i="7"/>
  <c r="Q4" i="14"/>
  <c r="Q4" i="17" s="1"/>
  <c r="B16" i="14"/>
  <c r="B16" i="17" s="1"/>
  <c r="B3" i="11"/>
  <c r="B3" i="14" s="1"/>
  <c r="B3" i="17" s="1"/>
  <c r="O16" i="21"/>
  <c r="B3" i="9"/>
  <c r="B3" i="13" s="1"/>
  <c r="B19" i="10"/>
  <c r="I27" i="16"/>
  <c r="I27" i="15"/>
  <c r="H32" i="26"/>
  <c r="H6" i="27"/>
  <c r="H13" i="26"/>
  <c r="H5" i="27"/>
  <c r="H22" i="28"/>
  <c r="H10" i="28"/>
  <c r="H18" i="27"/>
  <c r="H28" i="26"/>
  <c r="H23" i="26"/>
  <c r="H21" i="28"/>
  <c r="H33" i="27"/>
  <c r="H7" i="26"/>
  <c r="H10" i="26"/>
  <c r="L7" i="26"/>
  <c r="H5" i="28"/>
  <c r="O9" i="16"/>
  <c r="O11" i="16"/>
  <c r="O12" i="16"/>
  <c r="O13" i="16"/>
  <c r="O14" i="16"/>
  <c r="O15" i="16"/>
  <c r="B5" i="15"/>
  <c r="B6" i="15"/>
  <c r="B7" i="15"/>
  <c r="B8" i="15"/>
  <c r="B9" i="15"/>
  <c r="B10" i="15"/>
  <c r="B11" i="15"/>
  <c r="B12" i="15"/>
  <c r="B13" i="15"/>
  <c r="B14" i="15"/>
  <c r="B15" i="15"/>
  <c r="N17" i="15"/>
  <c r="N18" i="15"/>
  <c r="N20" i="15"/>
  <c r="N21" i="15"/>
  <c r="N22" i="15"/>
  <c r="N23" i="15"/>
  <c r="N24" i="15"/>
  <c r="N25" i="15"/>
  <c r="N26" i="15"/>
  <c r="O6" i="28"/>
  <c r="O10" i="28"/>
  <c r="H19" i="25"/>
  <c r="H19" i="28" s="1"/>
  <c r="J29" i="25"/>
  <c r="J29" i="28" s="1"/>
  <c r="O31" i="28"/>
  <c r="L29" i="28"/>
  <c r="H11" i="26"/>
  <c r="L27" i="26"/>
  <c r="O8" i="17"/>
  <c r="P29" i="15"/>
  <c r="O31" i="15"/>
  <c r="O16" i="17"/>
  <c r="B4" i="16"/>
  <c r="B30" i="16"/>
  <c r="J33" i="16"/>
  <c r="H29" i="26"/>
  <c r="O26" i="15"/>
  <c r="O31" i="26"/>
  <c r="B7" i="17"/>
  <c r="B9" i="17"/>
  <c r="B10" i="17"/>
  <c r="H16" i="14"/>
  <c r="H16" i="17" s="1"/>
  <c r="B21" i="17"/>
  <c r="B22" i="17"/>
  <c r="B23" i="17"/>
  <c r="B24" i="17"/>
  <c r="L29" i="14"/>
  <c r="L29" i="17" s="1"/>
  <c r="B9" i="16"/>
  <c r="B10" i="16"/>
  <c r="B11" i="16"/>
  <c r="B12" i="16"/>
  <c r="B13" i="16"/>
  <c r="B14" i="16"/>
  <c r="B15" i="16"/>
  <c r="O7" i="15"/>
  <c r="K13" i="15"/>
  <c r="O21" i="15"/>
  <c r="O23" i="15"/>
  <c r="E24" i="15"/>
  <c r="E17" i="16"/>
  <c r="G31" i="39"/>
  <c r="M3" i="9"/>
  <c r="O28" i="16"/>
  <c r="E29" i="14"/>
  <c r="E29" i="17" s="1"/>
  <c r="L13" i="27"/>
  <c r="L21" i="28"/>
  <c r="H21" i="27"/>
  <c r="O11" i="26"/>
  <c r="L30" i="26"/>
  <c r="O33" i="26"/>
  <c r="I16" i="26"/>
  <c r="L21" i="26"/>
  <c r="K19" i="25"/>
  <c r="K19" i="28" s="1"/>
  <c r="L17" i="27"/>
  <c r="O21" i="27"/>
  <c r="H5" i="26"/>
  <c r="H9" i="26"/>
  <c r="L13" i="26"/>
  <c r="O10" i="16"/>
  <c r="L8" i="27"/>
  <c r="O11" i="27"/>
  <c r="H20" i="27"/>
  <c r="L24" i="27"/>
  <c r="O16" i="28"/>
  <c r="O14" i="27"/>
  <c r="H23" i="27"/>
  <c r="O31" i="27"/>
  <c r="B28" i="15"/>
  <c r="O20" i="27"/>
  <c r="H25" i="27"/>
  <c r="H31" i="27"/>
  <c r="H12" i="26"/>
  <c r="H9" i="27"/>
  <c r="O8" i="27"/>
  <c r="O12" i="27"/>
  <c r="L16" i="28"/>
  <c r="L20" i="28"/>
  <c r="O5" i="27"/>
  <c r="M16" i="25"/>
  <c r="M16" i="28" s="1"/>
  <c r="O9" i="27"/>
  <c r="O13" i="27"/>
  <c r="H22" i="27"/>
  <c r="L26" i="27"/>
  <c r="L9" i="26"/>
  <c r="H16" i="26"/>
  <c r="K16" i="14"/>
  <c r="K16" i="17" s="1"/>
  <c r="O17" i="16"/>
  <c r="O18" i="16"/>
  <c r="B17" i="15"/>
  <c r="B18" i="15"/>
  <c r="B20" i="15"/>
  <c r="B21" i="15"/>
  <c r="B22" i="15"/>
  <c r="B23" i="15"/>
  <c r="B24" i="15"/>
  <c r="B25" i="15"/>
  <c r="B26" i="15"/>
  <c r="B31" i="39"/>
  <c r="J31" i="39"/>
  <c r="H14" i="27"/>
  <c r="O23" i="26"/>
  <c r="H20" i="28"/>
  <c r="L32" i="28"/>
  <c r="I16" i="21"/>
  <c r="L30" i="27"/>
  <c r="L20" i="26"/>
  <c r="O10" i="17"/>
  <c r="O21" i="17"/>
  <c r="E19" i="26"/>
  <c r="J7" i="16"/>
  <c r="O14" i="15"/>
  <c r="O33" i="15"/>
  <c r="J19" i="14"/>
  <c r="J19" i="17" s="1"/>
  <c r="I16" i="15"/>
  <c r="L15" i="26"/>
  <c r="G19" i="25"/>
  <c r="G19" i="28" s="1"/>
  <c r="O20" i="28"/>
  <c r="J17" i="16"/>
  <c r="B33" i="16"/>
  <c r="O8" i="15"/>
  <c r="J17" i="17"/>
  <c r="B31" i="17"/>
  <c r="B32" i="17"/>
  <c r="H21" i="26"/>
  <c r="J12" i="16"/>
  <c r="O18" i="15"/>
  <c r="K8" i="16"/>
  <c r="F4" i="25"/>
  <c r="F4" i="28" s="1"/>
  <c r="E14" i="16"/>
  <c r="B21" i="16"/>
  <c r="J25" i="16"/>
  <c r="B26" i="16"/>
  <c r="O9" i="15"/>
  <c r="K14" i="15"/>
  <c r="E30" i="15"/>
  <c r="E32" i="15"/>
  <c r="G31" i="37"/>
  <c r="I4" i="14"/>
  <c r="I4" i="17" s="1"/>
  <c r="I29" i="14"/>
  <c r="I29" i="17" s="1"/>
  <c r="E16" i="16"/>
  <c r="K44" i="37"/>
  <c r="I44" i="37"/>
  <c r="D10" i="31"/>
  <c r="H3" i="22"/>
  <c r="H3" i="25" s="1"/>
  <c r="H3" i="28" s="1"/>
  <c r="H4" i="25"/>
  <c r="H4" i="28" s="1"/>
  <c r="E19" i="27"/>
  <c r="E19" i="21"/>
  <c r="G16" i="10"/>
  <c r="G19" i="10"/>
  <c r="G29" i="16"/>
  <c r="G29" i="10"/>
  <c r="F4" i="15"/>
  <c r="F3" i="8"/>
  <c r="F16" i="15"/>
  <c r="F19" i="15"/>
  <c r="F29" i="15"/>
  <c r="G16" i="21"/>
  <c r="G16" i="27"/>
  <c r="O3" i="19"/>
  <c r="O4" i="26"/>
  <c r="I4" i="26"/>
  <c r="I3" i="19"/>
  <c r="E4" i="25"/>
  <c r="E4" i="28" s="1"/>
  <c r="E3" i="22"/>
  <c r="E3" i="25" s="1"/>
  <c r="E3" i="28" s="1"/>
  <c r="E4" i="27"/>
  <c r="E3" i="20"/>
  <c r="E3" i="24" s="1"/>
  <c r="E4" i="21"/>
  <c r="H4" i="21"/>
  <c r="H3" i="20"/>
  <c r="H3" i="24" s="1"/>
  <c r="P3" i="20"/>
  <c r="P3" i="24" s="1"/>
  <c r="P4" i="21"/>
  <c r="K16" i="27"/>
  <c r="K16" i="21"/>
  <c r="J4" i="25"/>
  <c r="J4" i="28" s="1"/>
  <c r="J3" i="22"/>
  <c r="J3" i="25" s="1"/>
  <c r="J3" i="28" s="1"/>
  <c r="F16" i="25"/>
  <c r="F16" i="28" s="1"/>
  <c r="Q19" i="25"/>
  <c r="Q19" i="28" s="1"/>
  <c r="L16" i="21"/>
  <c r="P16" i="27"/>
  <c r="P16" i="21"/>
  <c r="N19" i="27"/>
  <c r="N19" i="21"/>
  <c r="N3" i="20"/>
  <c r="N3" i="24" s="1"/>
  <c r="J3" i="19"/>
  <c r="K4" i="14"/>
  <c r="K4" i="17" s="1"/>
  <c r="K3" i="11"/>
  <c r="K3" i="14" s="1"/>
  <c r="J4" i="21"/>
  <c r="Q29" i="27"/>
  <c r="Q29" i="21"/>
  <c r="J29" i="27"/>
  <c r="J29" i="21"/>
  <c r="G29" i="21"/>
  <c r="I19" i="26"/>
  <c r="I19" i="21"/>
  <c r="Q3" i="9"/>
  <c r="Q4" i="10"/>
  <c r="Q29" i="10"/>
  <c r="B148" i="6"/>
  <c r="B172" i="6"/>
  <c r="B135" i="6"/>
  <c r="B159" i="6"/>
  <c r="B122" i="6"/>
  <c r="B131" i="6"/>
  <c r="B155" i="6"/>
  <c r="M4" i="25"/>
  <c r="M4" i="28" s="1"/>
  <c r="J4" i="16"/>
  <c r="J4" i="10"/>
  <c r="J3" i="9"/>
  <c r="J3" i="13" s="1"/>
  <c r="N17" i="17"/>
  <c r="F16" i="16"/>
  <c r="F16" i="10"/>
  <c r="D19" i="10"/>
  <c r="F30" i="16"/>
  <c r="F32" i="16"/>
  <c r="N33" i="16"/>
  <c r="Q4" i="15"/>
  <c r="Q3" i="8"/>
  <c r="B89" i="6"/>
  <c r="B91" i="6"/>
  <c r="B92" i="6"/>
  <c r="B93" i="6"/>
  <c r="B94" i="6"/>
  <c r="B113" i="6"/>
  <c r="G3" i="20"/>
  <c r="G3" i="24" s="1"/>
  <c r="I4" i="15"/>
  <c r="I3" i="8"/>
  <c r="C31" i="17"/>
  <c r="F4" i="14"/>
  <c r="F4" i="17" s="1"/>
  <c r="F3" i="11"/>
  <c r="F3" i="14" s="1"/>
  <c r="F3" i="17" s="1"/>
  <c r="N4" i="14"/>
  <c r="N4" i="17" s="1"/>
  <c r="N3" i="11"/>
  <c r="N3" i="14" s="1"/>
  <c r="N3" i="17" s="1"/>
  <c r="F6" i="17"/>
  <c r="F8" i="17"/>
  <c r="F20" i="17"/>
  <c r="F4" i="16"/>
  <c r="F3" i="9"/>
  <c r="F3" i="13" s="1"/>
  <c r="F4" i="10"/>
  <c r="N5" i="16"/>
  <c r="N7" i="16"/>
  <c r="N20" i="16"/>
  <c r="F24" i="16"/>
  <c r="N25" i="16"/>
  <c r="D29" i="10"/>
  <c r="D29" i="16"/>
  <c r="C4" i="15"/>
  <c r="C3" i="8"/>
  <c r="C3" i="12" s="1"/>
  <c r="C20" i="15"/>
  <c r="C22" i="15"/>
  <c r="N32" i="16"/>
  <c r="C23" i="15"/>
  <c r="M7" i="15"/>
  <c r="M11" i="15"/>
  <c r="M15" i="15"/>
  <c r="F44" i="37"/>
  <c r="N44" i="37"/>
  <c r="O44" i="37"/>
  <c r="D31" i="37"/>
  <c r="P31" i="37"/>
  <c r="L3" i="22"/>
  <c r="L3" i="25" s="1"/>
  <c r="L3" i="28" s="1"/>
  <c r="L4" i="25"/>
  <c r="L4" i="28" s="1"/>
  <c r="F29" i="27"/>
  <c r="F29" i="21"/>
  <c r="G4" i="26"/>
  <c r="G3" i="19"/>
  <c r="N28" i="15"/>
  <c r="K16" i="16"/>
  <c r="K16" i="10"/>
  <c r="K19" i="16"/>
  <c r="K19" i="10"/>
  <c r="K29" i="16"/>
  <c r="K29" i="10"/>
  <c r="J4" i="15"/>
  <c r="J3" i="8"/>
  <c r="J16" i="15"/>
  <c r="J19" i="15"/>
  <c r="J29" i="15"/>
  <c r="D19" i="27"/>
  <c r="D19" i="21"/>
  <c r="G19" i="27"/>
  <c r="G19" i="21"/>
  <c r="O19" i="27"/>
  <c r="O19" i="21"/>
  <c r="M9" i="17"/>
  <c r="M32" i="17"/>
  <c r="K4" i="25"/>
  <c r="K4" i="28" s="1"/>
  <c r="K3" i="22"/>
  <c r="K3" i="25" s="1"/>
  <c r="K3" i="28" s="1"/>
  <c r="M3" i="20"/>
  <c r="M3" i="24" s="1"/>
  <c r="M4" i="21"/>
  <c r="Q3" i="20"/>
  <c r="Q3" i="24" s="1"/>
  <c r="Q4" i="21"/>
  <c r="Q4" i="27"/>
  <c r="C16" i="21"/>
  <c r="C16" i="27"/>
  <c r="M20" i="17"/>
  <c r="M30" i="17"/>
  <c r="N16" i="25"/>
  <c r="N16" i="28" s="1"/>
  <c r="F19" i="25"/>
  <c r="F19" i="28" s="1"/>
  <c r="F3" i="22"/>
  <c r="F3" i="25" s="1"/>
  <c r="F3" i="28" s="1"/>
  <c r="K4" i="21"/>
  <c r="K3" i="20"/>
  <c r="K3" i="24" s="1"/>
  <c r="K4" i="27"/>
  <c r="M16" i="27"/>
  <c r="M16" i="21"/>
  <c r="H19" i="21"/>
  <c r="D3" i="19"/>
  <c r="D4" i="26"/>
  <c r="L3" i="19"/>
  <c r="L4" i="26"/>
  <c r="L16" i="26"/>
  <c r="M21" i="17"/>
  <c r="I4" i="16"/>
  <c r="I3" i="9"/>
  <c r="I3" i="13" s="1"/>
  <c r="I4" i="10"/>
  <c r="C9" i="16"/>
  <c r="C10" i="16"/>
  <c r="C11" i="16"/>
  <c r="C12" i="16"/>
  <c r="C13" i="16"/>
  <c r="C14" i="16"/>
  <c r="C15" i="16"/>
  <c r="I16" i="10"/>
  <c r="F5" i="15"/>
  <c r="F6" i="15"/>
  <c r="F7" i="15"/>
  <c r="F8" i="15"/>
  <c r="F9" i="15"/>
  <c r="F10" i="15"/>
  <c r="F11" i="15"/>
  <c r="F12" i="15"/>
  <c r="F13" i="15"/>
  <c r="F14" i="15"/>
  <c r="F15" i="15"/>
  <c r="H29" i="15"/>
  <c r="N30" i="15"/>
  <c r="N31" i="15"/>
  <c r="N32" i="15"/>
  <c r="N33" i="15"/>
  <c r="N4" i="25"/>
  <c r="N4" i="28" s="1"/>
  <c r="N3" i="22"/>
  <c r="N3" i="25" s="1"/>
  <c r="N3" i="28" s="1"/>
  <c r="I19" i="27"/>
  <c r="P29" i="27"/>
  <c r="P29" i="21"/>
  <c r="H19" i="26"/>
  <c r="P19" i="26"/>
  <c r="N3" i="19"/>
  <c r="N19" i="26"/>
  <c r="G5" i="17"/>
  <c r="C7" i="17"/>
  <c r="G24" i="17"/>
  <c r="G30" i="17"/>
  <c r="C32" i="17"/>
  <c r="M5" i="16"/>
  <c r="M6" i="16"/>
  <c r="Q19" i="16"/>
  <c r="Q19" i="10"/>
  <c r="G5" i="16"/>
  <c r="B147" i="6"/>
  <c r="B171" i="6"/>
  <c r="B125" i="6"/>
  <c r="B134" i="6"/>
  <c r="B158" i="6"/>
  <c r="N4" i="27"/>
  <c r="J15" i="26"/>
  <c r="G29" i="26"/>
  <c r="C21" i="17"/>
  <c r="J14" i="16"/>
  <c r="B23" i="16"/>
  <c r="G11" i="15"/>
  <c r="G27" i="15"/>
  <c r="J4" i="14"/>
  <c r="J4" i="17" s="1"/>
  <c r="J3" i="11"/>
  <c r="J3" i="14" s="1"/>
  <c r="J3" i="17" s="1"/>
  <c r="C8" i="17"/>
  <c r="J19" i="10"/>
  <c r="J19" i="16"/>
  <c r="M30" i="16"/>
  <c r="F19" i="21"/>
  <c r="L15" i="27"/>
  <c r="M6" i="17"/>
  <c r="B25" i="16"/>
  <c r="J28" i="16"/>
  <c r="C7" i="15"/>
  <c r="M17" i="15"/>
  <c r="B4" i="17"/>
  <c r="F17" i="17"/>
  <c r="P19" i="14"/>
  <c r="P19" i="17" s="1"/>
  <c r="N30" i="17"/>
  <c r="N31" i="17"/>
  <c r="N32" i="17"/>
  <c r="D4" i="10"/>
  <c r="D4" i="16"/>
  <c r="D3" i="9"/>
  <c r="D3" i="13" s="1"/>
  <c r="H16" i="10"/>
  <c r="F17" i="16"/>
  <c r="B18" i="16"/>
  <c r="B19" i="16"/>
  <c r="L19" i="10"/>
  <c r="L19" i="16"/>
  <c r="N29" i="16"/>
  <c r="N29" i="10"/>
  <c r="N31" i="16"/>
  <c r="F33" i="16"/>
  <c r="E3" i="8"/>
  <c r="M6" i="15"/>
  <c r="G18" i="15"/>
  <c r="C29" i="15"/>
  <c r="C31" i="15"/>
  <c r="C33" i="15"/>
  <c r="G4" i="21"/>
  <c r="L33" i="26"/>
  <c r="C23" i="17"/>
  <c r="G8" i="16"/>
  <c r="J20" i="16"/>
  <c r="J30" i="16"/>
  <c r="J16" i="10"/>
  <c r="J16" i="16"/>
  <c r="M20" i="16"/>
  <c r="M28" i="16"/>
  <c r="G6" i="16"/>
  <c r="J16" i="25"/>
  <c r="J16" i="28" s="1"/>
  <c r="J15" i="16"/>
  <c r="N22" i="16"/>
  <c r="J32" i="16"/>
  <c r="C11" i="15"/>
  <c r="G32" i="15"/>
  <c r="F5" i="17"/>
  <c r="N5" i="17"/>
  <c r="J6" i="17"/>
  <c r="N7" i="17"/>
  <c r="J8" i="17"/>
  <c r="F9" i="17"/>
  <c r="N10" i="17"/>
  <c r="J20" i="17"/>
  <c r="F21" i="17"/>
  <c r="F22" i="17"/>
  <c r="F23" i="17"/>
  <c r="F24" i="17"/>
  <c r="J5" i="16"/>
  <c r="J6" i="16"/>
  <c r="J8" i="16"/>
  <c r="F9" i="16"/>
  <c r="F10" i="16"/>
  <c r="F11" i="16"/>
  <c r="F12" i="16"/>
  <c r="F13" i="16"/>
  <c r="F14" i="16"/>
  <c r="F15" i="16"/>
  <c r="D16" i="10"/>
  <c r="D16" i="16"/>
  <c r="F19" i="10"/>
  <c r="F22" i="16"/>
  <c r="N23" i="16"/>
  <c r="F25" i="16"/>
  <c r="B28" i="16"/>
  <c r="K4" i="15"/>
  <c r="K3" i="8"/>
  <c r="K4" i="10"/>
  <c r="G6" i="15"/>
  <c r="G10" i="15"/>
  <c r="K11" i="15"/>
  <c r="C12" i="15"/>
  <c r="K12" i="15"/>
  <c r="G14" i="15"/>
  <c r="K21" i="15"/>
  <c r="G24" i="15"/>
  <c r="K26" i="15"/>
  <c r="G28" i="15"/>
  <c r="E13" i="16"/>
  <c r="E5" i="16"/>
  <c r="E21" i="16"/>
  <c r="M24" i="15"/>
  <c r="E33" i="16"/>
  <c r="N24" i="16"/>
  <c r="B16" i="16"/>
  <c r="C25" i="15"/>
  <c r="P27" i="16"/>
  <c r="E8" i="15"/>
  <c r="E12" i="15"/>
  <c r="C17" i="15"/>
  <c r="C44" i="37"/>
  <c r="Q44" i="37"/>
  <c r="P10" i="30"/>
  <c r="H10" i="31"/>
  <c r="F4" i="27"/>
  <c r="F3" i="20"/>
  <c r="F3" i="24" s="1"/>
  <c r="F4" i="21"/>
  <c r="F16" i="27"/>
  <c r="F16" i="21"/>
  <c r="E4" i="14"/>
  <c r="E4" i="17" s="1"/>
  <c r="E3" i="11"/>
  <c r="E3" i="14" s="1"/>
  <c r="C4" i="16"/>
  <c r="C3" i="9"/>
  <c r="C3" i="13" s="1"/>
  <c r="C4" i="10"/>
  <c r="O16" i="16"/>
  <c r="O16" i="10"/>
  <c r="O19" i="10"/>
  <c r="O29" i="16"/>
  <c r="O29" i="10"/>
  <c r="N4" i="15"/>
  <c r="N3" i="8"/>
  <c r="N19" i="15"/>
  <c r="N29" i="15"/>
  <c r="G3" i="22"/>
  <c r="G3" i="25" s="1"/>
  <c r="G3" i="28" s="1"/>
  <c r="G4" i="25"/>
  <c r="G4" i="28" s="1"/>
  <c r="L19" i="27"/>
  <c r="L19" i="21"/>
  <c r="P19" i="27"/>
  <c r="P19" i="21"/>
  <c r="M4" i="26"/>
  <c r="M3" i="19"/>
  <c r="C3" i="22"/>
  <c r="C3" i="25" s="1"/>
  <c r="C3" i="28" s="1"/>
  <c r="C4" i="25"/>
  <c r="C4" i="28" s="1"/>
  <c r="D4" i="27"/>
  <c r="D4" i="21"/>
  <c r="D3" i="20"/>
  <c r="D3" i="24" s="1"/>
  <c r="L4" i="21"/>
  <c r="L3" i="20"/>
  <c r="L3" i="24" s="1"/>
  <c r="I4" i="25"/>
  <c r="I4" i="28" s="1"/>
  <c r="I3" i="22"/>
  <c r="I3" i="25" s="1"/>
  <c r="I3" i="28" s="1"/>
  <c r="H16" i="27"/>
  <c r="H16" i="21"/>
  <c r="Q19" i="27"/>
  <c r="Q19" i="21"/>
  <c r="J19" i="21"/>
  <c r="J19" i="27"/>
  <c r="I19" i="16"/>
  <c r="I19" i="10"/>
  <c r="Q4" i="25"/>
  <c r="Q4" i="28" s="1"/>
  <c r="Q3" i="22"/>
  <c r="Q3" i="25" s="1"/>
  <c r="Q3" i="28" s="1"/>
  <c r="I19" i="25"/>
  <c r="I19" i="28" s="1"/>
  <c r="J3" i="20"/>
  <c r="J3" i="24" s="1"/>
  <c r="I29" i="27"/>
  <c r="I29" i="21"/>
  <c r="L29" i="27"/>
  <c r="L29" i="21"/>
  <c r="Q16" i="16"/>
  <c r="Q16" i="10"/>
  <c r="B146" i="6"/>
  <c r="B170" i="6"/>
  <c r="B124" i="6"/>
  <c r="B133" i="6"/>
  <c r="B157" i="6"/>
  <c r="O3" i="8"/>
  <c r="O4" i="15"/>
  <c r="L4" i="14"/>
  <c r="L4" i="17" s="1"/>
  <c r="L3" i="11"/>
  <c r="L3" i="14" s="1"/>
  <c r="L3" i="17" s="1"/>
  <c r="P4" i="14"/>
  <c r="P4" i="17" s="1"/>
  <c r="P3" i="11"/>
  <c r="P3" i="14" s="1"/>
  <c r="P3" i="17" s="1"/>
  <c r="F30" i="17"/>
  <c r="L4" i="10"/>
  <c r="L3" i="9"/>
  <c r="L3" i="13" s="1"/>
  <c r="N16" i="16"/>
  <c r="N16" i="10"/>
  <c r="F18" i="16"/>
  <c r="F31" i="16"/>
  <c r="C16" i="15"/>
  <c r="E16" i="21"/>
  <c r="N4" i="26"/>
  <c r="E19" i="10"/>
  <c r="J29" i="10"/>
  <c r="J29" i="16"/>
  <c r="F5" i="16"/>
  <c r="F7" i="17"/>
  <c r="F10" i="17"/>
  <c r="N19" i="14"/>
  <c r="N19" i="17" s="1"/>
  <c r="H29" i="14"/>
  <c r="H29" i="17" s="1"/>
  <c r="N6" i="16"/>
  <c r="N8" i="16"/>
  <c r="N9" i="16"/>
  <c r="N10" i="16"/>
  <c r="N11" i="16"/>
  <c r="N12" i="16"/>
  <c r="N13" i="16"/>
  <c r="N14" i="16"/>
  <c r="N15" i="16"/>
  <c r="L16" i="10"/>
  <c r="F20" i="16"/>
  <c r="N21" i="16"/>
  <c r="F23" i="16"/>
  <c r="F28" i="16"/>
  <c r="L29" i="10"/>
  <c r="L29" i="16"/>
  <c r="C8" i="15"/>
  <c r="G16" i="15"/>
  <c r="C26" i="15"/>
  <c r="G8" i="17"/>
  <c r="G17" i="17"/>
  <c r="M21" i="15"/>
  <c r="M25" i="15"/>
  <c r="G31" i="17"/>
  <c r="C9" i="15"/>
  <c r="G3" i="8"/>
  <c r="D3" i="11"/>
  <c r="G21" i="17"/>
  <c r="M8" i="15"/>
  <c r="M12" i="15"/>
  <c r="B44" i="37"/>
  <c r="J44" i="37"/>
  <c r="G44" i="37"/>
  <c r="E44" i="37"/>
  <c r="H31" i="37"/>
  <c r="L44" i="37"/>
  <c r="D4" i="25"/>
  <c r="D4" i="28" s="1"/>
  <c r="D3" i="22"/>
  <c r="D3" i="25" s="1"/>
  <c r="D3" i="28" s="1"/>
  <c r="P4" i="25"/>
  <c r="P4" i="28" s="1"/>
  <c r="P3" i="22"/>
  <c r="P3" i="25" s="1"/>
  <c r="P3" i="28" s="1"/>
  <c r="I27" i="26"/>
  <c r="G28" i="16"/>
  <c r="F28" i="15"/>
  <c r="C16" i="16"/>
  <c r="C16" i="10"/>
  <c r="C19" i="16"/>
  <c r="C19" i="10"/>
  <c r="C29" i="16"/>
  <c r="C29" i="10"/>
  <c r="B4" i="15"/>
  <c r="B3" i="8"/>
  <c r="B16" i="15"/>
  <c r="B19" i="15"/>
  <c r="B29" i="15"/>
  <c r="O3" i="22"/>
  <c r="O3" i="25" s="1"/>
  <c r="O3" i="28" s="1"/>
  <c r="O4" i="25"/>
  <c r="O4" i="28" s="1"/>
  <c r="I4" i="21"/>
  <c r="I3" i="20"/>
  <c r="I3" i="24" s="1"/>
  <c r="C19" i="27"/>
  <c r="C19" i="21"/>
  <c r="K19" i="27"/>
  <c r="K19" i="21"/>
  <c r="K29" i="21"/>
  <c r="K29" i="27"/>
  <c r="E4" i="26"/>
  <c r="E3" i="19"/>
  <c r="Q3" i="19"/>
  <c r="J19" i="25"/>
  <c r="J19" i="28" s="1"/>
  <c r="C4" i="21"/>
  <c r="C3" i="20"/>
  <c r="C3" i="24" s="1"/>
  <c r="C4" i="27"/>
  <c r="O4" i="27"/>
  <c r="O4" i="21"/>
  <c r="O3" i="20"/>
  <c r="O3" i="24" s="1"/>
  <c r="D16" i="27"/>
  <c r="D16" i="21"/>
  <c r="Q16" i="27"/>
  <c r="Q16" i="21"/>
  <c r="O29" i="21"/>
  <c r="O29" i="27"/>
  <c r="H4" i="26"/>
  <c r="H3" i="19"/>
  <c r="M31" i="17"/>
  <c r="G3" i="9"/>
  <c r="G3" i="13" s="1"/>
  <c r="C7" i="16"/>
  <c r="G17" i="16"/>
  <c r="G18" i="16"/>
  <c r="C20" i="16"/>
  <c r="C21" i="16"/>
  <c r="C22" i="16"/>
  <c r="C23" i="16"/>
  <c r="C24" i="16"/>
  <c r="C25" i="16"/>
  <c r="C26" i="16"/>
  <c r="C27" i="16"/>
  <c r="C30" i="16"/>
  <c r="C31" i="16"/>
  <c r="C32" i="16"/>
  <c r="C33" i="16"/>
  <c r="H3" i="8"/>
  <c r="H3" i="12" s="1"/>
  <c r="H4" i="15"/>
  <c r="N5" i="15"/>
  <c r="N6" i="15"/>
  <c r="N7" i="15"/>
  <c r="N8" i="15"/>
  <c r="N9" i="15"/>
  <c r="N10" i="15"/>
  <c r="N11" i="15"/>
  <c r="N12" i="15"/>
  <c r="N13" i="15"/>
  <c r="N14" i="15"/>
  <c r="N15" i="15"/>
  <c r="F30" i="15"/>
  <c r="F31" i="15"/>
  <c r="F32" i="15"/>
  <c r="F33" i="15"/>
  <c r="F31" i="39"/>
  <c r="N31" i="39"/>
  <c r="D19" i="25"/>
  <c r="D19" i="28" s="1"/>
  <c r="P19" i="25"/>
  <c r="P19" i="28" s="1"/>
  <c r="D29" i="21"/>
  <c r="H29" i="27"/>
  <c r="H29" i="21"/>
  <c r="N29" i="27"/>
  <c r="N29" i="21"/>
  <c r="D19" i="26"/>
  <c r="Q19" i="26"/>
  <c r="J19" i="26"/>
  <c r="C4" i="14"/>
  <c r="C4" i="17" s="1"/>
  <c r="C3" i="11"/>
  <c r="C3" i="14" s="1"/>
  <c r="C3" i="17" s="1"/>
  <c r="G9" i="17"/>
  <c r="G20" i="17"/>
  <c r="C22" i="17"/>
  <c r="P4" i="15"/>
  <c r="P3" i="8"/>
  <c r="P3" i="12" s="1"/>
  <c r="B162" i="6"/>
  <c r="B163" i="6"/>
  <c r="B164" i="6"/>
  <c r="B165" i="6"/>
  <c r="B149" i="6"/>
  <c r="B173" i="6"/>
  <c r="B145" i="6"/>
  <c r="B169" i="6"/>
  <c r="B123" i="6"/>
  <c r="B132" i="6"/>
  <c r="B156" i="6"/>
  <c r="B138" i="6"/>
  <c r="B139" i="6"/>
  <c r="B140" i="6"/>
  <c r="B141" i="6"/>
  <c r="M3" i="22"/>
  <c r="M3" i="25" s="1"/>
  <c r="M3" i="28" s="1"/>
  <c r="J10" i="16"/>
  <c r="J18" i="16"/>
  <c r="M25" i="16"/>
  <c r="C5" i="15"/>
  <c r="C6" i="17"/>
  <c r="C10" i="17"/>
  <c r="G23" i="17"/>
  <c r="P16" i="10"/>
  <c r="P16" i="16"/>
  <c r="P29" i="10"/>
  <c r="P29" i="16"/>
  <c r="O19" i="15"/>
  <c r="L6" i="26"/>
  <c r="L22" i="26"/>
  <c r="L18" i="26"/>
  <c r="L26" i="26"/>
  <c r="L31" i="27"/>
  <c r="L31" i="26"/>
  <c r="L10" i="27"/>
  <c r="K3" i="19"/>
  <c r="M19" i="26"/>
  <c r="M10" i="17"/>
  <c r="J13" i="16"/>
  <c r="N26" i="16"/>
  <c r="G21" i="15"/>
  <c r="G33" i="15"/>
  <c r="H4" i="14"/>
  <c r="H4" i="17" s="1"/>
  <c r="H3" i="11"/>
  <c r="H3" i="14" s="1"/>
  <c r="H3" i="17" s="1"/>
  <c r="B17" i="17"/>
  <c r="N16" i="17"/>
  <c r="J30" i="17"/>
  <c r="F31" i="17"/>
  <c r="F32" i="17"/>
  <c r="B17" i="16"/>
  <c r="N17" i="16"/>
  <c r="N18" i="16"/>
  <c r="F29" i="16"/>
  <c r="F29" i="10"/>
  <c r="B32" i="16"/>
  <c r="M3" i="8"/>
  <c r="M3" i="12" s="1"/>
  <c r="M14" i="15"/>
  <c r="K16" i="15"/>
  <c r="C18" i="15"/>
  <c r="M20" i="15"/>
  <c r="M26" i="15"/>
  <c r="K29" i="15"/>
  <c r="C32" i="15"/>
  <c r="K5" i="16"/>
  <c r="B90" i="6"/>
  <c r="J22" i="16"/>
  <c r="N28" i="16"/>
  <c r="G15" i="15"/>
  <c r="E4" i="10"/>
  <c r="P19" i="10"/>
  <c r="P19" i="16"/>
  <c r="M22" i="16"/>
  <c r="K7" i="16"/>
  <c r="B154" i="6"/>
  <c r="B137" i="6"/>
  <c r="L23" i="26"/>
  <c r="M19" i="25"/>
  <c r="M19" i="28" s="1"/>
  <c r="L8" i="28"/>
  <c r="B7" i="16"/>
  <c r="J24" i="16"/>
  <c r="N30" i="16"/>
  <c r="G25" i="15"/>
  <c r="N6" i="17"/>
  <c r="J7" i="17"/>
  <c r="N8" i="17"/>
  <c r="N9" i="17"/>
  <c r="J10" i="17"/>
  <c r="P16" i="14"/>
  <c r="P16" i="17" s="1"/>
  <c r="F19" i="14"/>
  <c r="F19" i="17" s="1"/>
  <c r="N20" i="17"/>
  <c r="N21" i="17"/>
  <c r="N22" i="17"/>
  <c r="N23" i="17"/>
  <c r="N24" i="17"/>
  <c r="P29" i="14"/>
  <c r="P29" i="17" s="1"/>
  <c r="B5" i="16"/>
  <c r="N4" i="16"/>
  <c r="N3" i="9"/>
  <c r="N3" i="13" s="1"/>
  <c r="N4" i="10"/>
  <c r="F6" i="16"/>
  <c r="F7" i="16"/>
  <c r="F8" i="16"/>
  <c r="M16" i="10"/>
  <c r="N19" i="10"/>
  <c r="F21" i="16"/>
  <c r="B24" i="16"/>
  <c r="F26" i="16"/>
  <c r="K5" i="15"/>
  <c r="C6" i="15"/>
  <c r="K6" i="15"/>
  <c r="K9" i="15"/>
  <c r="C10" i="15"/>
  <c r="K10" i="15"/>
  <c r="G12" i="15"/>
  <c r="C14" i="15"/>
  <c r="K15" i="15"/>
  <c r="K19" i="15"/>
  <c r="K22" i="15"/>
  <c r="C24" i="15"/>
  <c r="K25" i="15"/>
  <c r="C28" i="15"/>
  <c r="K28" i="15"/>
  <c r="G29" i="15"/>
  <c r="O7" i="16"/>
  <c r="B29" i="10"/>
  <c r="M23" i="15"/>
  <c r="M28" i="15"/>
  <c r="P4" i="16"/>
  <c r="C15" i="15"/>
  <c r="E9" i="16"/>
  <c r="C21" i="15"/>
  <c r="M32" i="15"/>
  <c r="M5" i="15"/>
  <c r="M9" i="15"/>
  <c r="M13" i="15"/>
  <c r="Q3" i="12" l="1"/>
  <c r="Q3" i="13"/>
  <c r="B130" i="6"/>
  <c r="B57" i="6"/>
  <c r="B55" i="6"/>
  <c r="B61" i="6"/>
  <c r="B60" i="6"/>
  <c r="B168" i="6"/>
  <c r="B59" i="6"/>
  <c r="D3" i="12"/>
  <c r="D3" i="15" s="1"/>
  <c r="E3" i="23"/>
  <c r="E3" i="26" s="1"/>
  <c r="O3" i="12"/>
  <c r="O3" i="15" s="1"/>
  <c r="L3" i="12"/>
  <c r="L3" i="15" s="1"/>
  <c r="C3" i="23"/>
  <c r="C3" i="26" s="1"/>
  <c r="L3" i="23"/>
  <c r="L3" i="26" s="1"/>
  <c r="J3" i="12"/>
  <c r="J3" i="15" s="1"/>
  <c r="O3" i="23"/>
  <c r="O3" i="26" s="1"/>
  <c r="K3" i="23"/>
  <c r="K3" i="26" s="1"/>
  <c r="N3" i="12"/>
  <c r="N3" i="15" s="1"/>
  <c r="J3" i="23"/>
  <c r="J3" i="26" s="1"/>
  <c r="M3" i="23"/>
  <c r="M3" i="26" s="1"/>
  <c r="D3" i="23"/>
  <c r="D3" i="26" s="1"/>
  <c r="G3" i="23"/>
  <c r="G3" i="26" s="1"/>
  <c r="I3" i="12"/>
  <c r="I3" i="15" s="1"/>
  <c r="F3" i="12"/>
  <c r="F3" i="15" s="1"/>
  <c r="M3" i="13"/>
  <c r="Q3" i="23"/>
  <c r="Q3" i="26" s="1"/>
  <c r="B56" i="6"/>
  <c r="B99" i="6"/>
  <c r="B129" i="6" s="1"/>
  <c r="H3" i="23"/>
  <c r="H3" i="26" s="1"/>
  <c r="G3" i="12"/>
  <c r="G3" i="15" s="1"/>
  <c r="B3" i="12"/>
  <c r="B3" i="15" s="1"/>
  <c r="K3" i="12"/>
  <c r="K3" i="15" s="1"/>
  <c r="E3" i="12"/>
  <c r="E3" i="15" s="1"/>
  <c r="N3" i="23"/>
  <c r="N3" i="26" s="1"/>
  <c r="I3" i="23"/>
  <c r="I3" i="26" s="1"/>
  <c r="G3" i="14"/>
  <c r="G3" i="17" s="1"/>
  <c r="Q3" i="15"/>
  <c r="G29" i="17"/>
  <c r="O3" i="10"/>
  <c r="B3" i="10"/>
  <c r="H3" i="10"/>
  <c r="B3" i="16"/>
  <c r="Q3" i="14"/>
  <c r="Q3" i="17" s="1"/>
  <c r="D3" i="14"/>
  <c r="D3" i="17" s="1"/>
  <c r="E3" i="16"/>
  <c r="I3" i="27"/>
  <c r="I3" i="21"/>
  <c r="E3" i="17"/>
  <c r="Q3" i="27"/>
  <c r="Q3" i="21"/>
  <c r="J3" i="10"/>
  <c r="Q3" i="10"/>
  <c r="N3" i="27"/>
  <c r="N3" i="21"/>
  <c r="H3" i="27"/>
  <c r="H3" i="21"/>
  <c r="E3" i="27"/>
  <c r="E3" i="21"/>
  <c r="H3" i="16"/>
  <c r="D3" i="27"/>
  <c r="D3" i="21"/>
  <c r="F3" i="21"/>
  <c r="F3" i="27"/>
  <c r="K3" i="27"/>
  <c r="K3" i="21"/>
  <c r="C3" i="15"/>
  <c r="G3" i="27"/>
  <c r="G3" i="21"/>
  <c r="B143" i="6"/>
  <c r="B167" i="6"/>
  <c r="K3" i="10"/>
  <c r="N3" i="10"/>
  <c r="M3" i="10"/>
  <c r="O3" i="27"/>
  <c r="O3" i="21"/>
  <c r="C3" i="27"/>
  <c r="C3" i="21"/>
  <c r="P3" i="16"/>
  <c r="J3" i="21"/>
  <c r="J3" i="27"/>
  <c r="L3" i="27"/>
  <c r="L3" i="21"/>
  <c r="C3" i="10"/>
  <c r="D3" i="10"/>
  <c r="M3" i="21"/>
  <c r="M3" i="27"/>
  <c r="K3" i="16"/>
  <c r="P3" i="27"/>
  <c r="P3" i="21"/>
  <c r="E3" i="10"/>
  <c r="P3" i="15"/>
  <c r="H3" i="15"/>
  <c r="G3" i="10"/>
  <c r="P3" i="10"/>
  <c r="L3" i="10"/>
  <c r="I3" i="10"/>
  <c r="F3" i="10"/>
  <c r="K3" i="17"/>
  <c r="O3" i="16"/>
  <c r="B153" i="6" l="1"/>
  <c r="M3" i="16"/>
  <c r="N3" i="16"/>
  <c r="Q3" i="16"/>
  <c r="F3" i="16"/>
  <c r="I3" i="16"/>
  <c r="L3" i="16"/>
  <c r="G3" i="16"/>
  <c r="C3" i="16"/>
  <c r="M3" i="15"/>
  <c r="J3" i="16"/>
  <c r="D3" i="16"/>
  <c r="B17" i="4"/>
  <c r="B39" i="4"/>
  <c r="B4" i="4"/>
  <c r="B20" i="4"/>
  <c r="B29" i="4"/>
  <c r="B9" i="4"/>
  <c r="B15" i="4"/>
  <c r="B30" i="4"/>
  <c r="B13" i="4"/>
  <c r="B38" i="4"/>
  <c r="B12" i="4"/>
  <c r="B23" i="4"/>
  <c r="B21" i="4"/>
  <c r="B44" i="4"/>
  <c r="B35" i="4"/>
  <c r="B43" i="4"/>
  <c r="B8" i="4"/>
  <c r="B10" i="4"/>
  <c r="B11" i="4"/>
  <c r="B34" i="4"/>
  <c r="B16" i="4"/>
  <c r="B22" i="4"/>
  <c r="B14" i="4"/>
  <c r="B36" i="4"/>
  <c r="B25" i="4"/>
  <c r="B42" i="4"/>
  <c r="B7" i="4"/>
  <c r="B26" i="4"/>
  <c r="B37" i="4"/>
  <c r="B28" i="4"/>
  <c r="B45" i="4"/>
  <c r="B27" i="4"/>
  <c r="B33" i="4"/>
  <c r="B24" i="4"/>
  <c r="B31" i="6" l="1"/>
</calcChain>
</file>

<file path=xl/sharedStrings.xml><?xml version="1.0" encoding="utf-8"?>
<sst xmlns="http://schemas.openxmlformats.org/spreadsheetml/2006/main" count="2099" uniqueCount="1055">
  <si>
    <t>detailed split of CO2 emissions</t>
  </si>
  <si>
    <t>detailed split of useful energy demand</t>
  </si>
  <si>
    <t>detailed split of final energy consumption</t>
  </si>
  <si>
    <t>ICT and multimedia</t>
  </si>
  <si>
    <t>Miscellaneous building technologies</t>
  </si>
  <si>
    <t>Building lighting</t>
  </si>
  <si>
    <t>Street lighting</t>
  </si>
  <si>
    <t>Ventilation and others</t>
  </si>
  <si>
    <t>Services / specific electric uses</t>
  </si>
  <si>
    <t>Services sector: Specific electric uses</t>
  </si>
  <si>
    <t>Thermal energy service per useful surface area</t>
  </si>
  <si>
    <t>Final energy consumption per useful surface area</t>
  </si>
  <si>
    <t>Thermal energy service per building</t>
  </si>
  <si>
    <t>Final energy consumption per building</t>
  </si>
  <si>
    <t>System efficiency indicator of total stock</t>
  </si>
  <si>
    <t>Thermal energy service</t>
  </si>
  <si>
    <t>Final energy consumption</t>
  </si>
  <si>
    <t>Number of new and renovated buildings</t>
  </si>
  <si>
    <t>Services sector: Thermal uses in new and renovated buildings</t>
  </si>
  <si>
    <t>Number of buildings</t>
  </si>
  <si>
    <t>Services sector: Thermal uses</t>
  </si>
  <si>
    <t>Services sector summary</t>
  </si>
  <si>
    <t>Click on the link to jump to the sheet</t>
  </si>
  <si>
    <t>Energy intensity (toe/physical output index)</t>
  </si>
  <si>
    <t>Electricity</t>
  </si>
  <si>
    <t>Geothermal</t>
  </si>
  <si>
    <t>Solar</t>
  </si>
  <si>
    <t>LPG</t>
  </si>
  <si>
    <t>Liquids</t>
  </si>
  <si>
    <t>Solids</t>
  </si>
  <si>
    <t>Ratio of energy service to energy consumption (system efficiency indicator)</t>
  </si>
  <si>
    <t>Cooling</t>
  </si>
  <si>
    <t>Space heating</t>
  </si>
  <si>
    <t>Specific electricity uses</t>
  </si>
  <si>
    <t>Catering</t>
  </si>
  <si>
    <t>Hot water</t>
  </si>
  <si>
    <t>Thermal uses</t>
  </si>
  <si>
    <t>Emissions per capita (kg CO2 / capita)</t>
  </si>
  <si>
    <t>Thermal energy service per capita (kWh useful / capita)</t>
  </si>
  <si>
    <t>Energy consumption per capita (kWh / capita)</t>
  </si>
  <si>
    <t>Emissions per useful surface area (kg CO2 / sqm)</t>
  </si>
  <si>
    <t>Thermal energy service per useful surface area (kWh useful / sqm)</t>
  </si>
  <si>
    <t>Energy consumption per useful surface area (kWh / sqm)</t>
  </si>
  <si>
    <t>Emissions per building (kg CO2 / representative building cell)</t>
  </si>
  <si>
    <t>Thermal energy service per building (kWh useful / representative building cell)</t>
  </si>
  <si>
    <t>Energy consumption per building (kWh / representative building cell)</t>
  </si>
  <si>
    <t>Additional building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</si>
  <si>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</si>
  <si>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</si>
  <si>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</si>
  <si>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</si>
  <si>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</si>
  <si>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</si>
  <si>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</si>
  <si>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</si>
  <si>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</si>
  <si>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</si>
  <si>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</si>
  <si>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</si>
  <si>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buildings useful surface area (in sqm/representative building cell)</t>
  </si>
  <si>
    <t>Services useful surface area (in sqm/representative building cell)</t>
  </si>
  <si>
    <t>Services useful surface area (in sqm/employee)</t>
  </si>
  <si>
    <t>Services useful surface area (in sqm/capita)</t>
  </si>
  <si>
    <t>Representative building cell size (employees/representative building cell)</t>
  </si>
  <si>
    <t>Indicators</t>
  </si>
  <si>
    <t>Relative heating degree-days</t>
  </si>
  <si>
    <t>Actual heating degree-days</t>
  </si>
  <si>
    <t>New and renovated buildings useful surface area (in 000 sqm)</t>
  </si>
  <si>
    <t>Total services useful surface area (in 000 sqm)</t>
  </si>
  <si>
    <t>Number of representative building cells</t>
  </si>
  <si>
    <t>Employment data (employees)</t>
  </si>
  <si>
    <t>Population (inhabitants)</t>
  </si>
  <si>
    <t>Electric space cooling</t>
  </si>
  <si>
    <t>Gas heat pumps</t>
  </si>
  <si>
    <t>Space cooling</t>
  </si>
  <si>
    <t>Circulation, other electricity</t>
  </si>
  <si>
    <t>Conventional electric heating</t>
  </si>
  <si>
    <t>Advanced electric heating</t>
  </si>
  <si>
    <t>Conventional gas heaters</t>
  </si>
  <si>
    <t>Stock of buildings</t>
  </si>
  <si>
    <t>Electricity in circulation and other use</t>
  </si>
  <si>
    <t>Final energy consumption (ktoe)</t>
  </si>
  <si>
    <t>Thermal energy service (ktoe useful)</t>
  </si>
  <si>
    <t>Ratio of energy service to energy consumption</t>
  </si>
  <si>
    <t>CO2 emissions (kt CO2)</t>
  </si>
  <si>
    <t>Solar (as of solar equiped buildings)</t>
  </si>
  <si>
    <t>Solar (as of total)</t>
  </si>
  <si>
    <t>Final energy consumption (kWh / representative building cell)</t>
  </si>
  <si>
    <t>Thermal energy service (kWh useful / representative building cell)</t>
  </si>
  <si>
    <t>CO2 emissions (kg CO2 / representative building cell)</t>
  </si>
  <si>
    <t>Final energy consumption (kWh / sqm)</t>
  </si>
  <si>
    <t>Thermal energy service (kWh useful / sqm)</t>
  </si>
  <si>
    <t>CO2 emissions (kg CO2 / sqm)</t>
  </si>
  <si>
    <t>ICT and multimedia (unit per capita)</t>
  </si>
  <si>
    <t>Miscellaneous building technologies (sqm per building cell)</t>
  </si>
  <si>
    <t>Street lighting (unit per capita)</t>
  </si>
  <si>
    <t>Ventilation and others (sqm per building cell)</t>
  </si>
  <si>
    <t>Penetration factor</t>
  </si>
  <si>
    <t>ICT and multimedia (W per appliance)</t>
  </si>
  <si>
    <t>Miscellaneous building technologies (W per serviced m2)</t>
  </si>
  <si>
    <t>Street lighting (W per appliance)</t>
  </si>
  <si>
    <t>Ventilation and others (W per serviced m2)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</si>
  <si>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</si>
  <si>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</si>
  <si>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</si>
  <si>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</si>
  <si>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</si>
  <si>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Stock of appliances</t>
  </si>
  <si>
    <t>Total MW installed (in average operating mode)</t>
  </si>
  <si>
    <t>Lumens per useful surface area (lumen per sqm)</t>
  </si>
  <si>
    <t>Emission intensity (kt of CO2 / ktoe)</t>
  </si>
  <si>
    <t>Useful energy demand intensity (toe useful / physical output index)</t>
  </si>
  <si>
    <t>Energy intensity (toe / physical output index)</t>
  </si>
  <si>
    <t>Residual fuel oil and other liquids</t>
  </si>
  <si>
    <t>by fuel (EUROSTAT DATA)</t>
  </si>
  <si>
    <t>Energy consumption (ktoe)</t>
  </si>
  <si>
    <t>Idle capacity (production index)</t>
  </si>
  <si>
    <t>Decommissioned capacity (production index)</t>
  </si>
  <si>
    <t>Capacity investment (production index)</t>
  </si>
  <si>
    <t>Installed capacity (production index)</t>
  </si>
  <si>
    <t>Physical output (index)</t>
  </si>
  <si>
    <t>Specific heat uses</t>
  </si>
  <si>
    <t>Low enthalpy heat</t>
  </si>
  <si>
    <t>Motor drives</t>
  </si>
  <si>
    <t>Ventilation</t>
  </si>
  <si>
    <t>Lighting</t>
  </si>
  <si>
    <t>Agriculture, forestry and fishing</t>
  </si>
  <si>
    <t>Market shares of energy uses (%)</t>
  </si>
  <si>
    <t>Biomass</t>
  </si>
  <si>
    <t>Fuel oil and other liquids</t>
  </si>
  <si>
    <t>Detailed split of energy consumption (ktoe)</t>
  </si>
  <si>
    <t>Ratio of useful energy demand to final energy consumption (system efficiency indicator)</t>
  </si>
  <si>
    <t>Market shares of useful energy demand (%)</t>
  </si>
  <si>
    <t>Detailed split of useful energy demand (ktoe)</t>
  </si>
  <si>
    <t>Emission intensity (kt of CO2 per ktoe)</t>
  </si>
  <si>
    <t>Market shares of CO2 emissions by subsector (%)</t>
  </si>
  <si>
    <t>Detailed split of CO2 emissions by subsector (kt of CO2)</t>
  </si>
  <si>
    <t>Services and Agriculture sector</t>
  </si>
  <si>
    <t>Legal Notice</t>
  </si>
  <si>
    <t>Neither the European Commission nor any person acting on behalf of the Commission is responsible for the use which might be made of this information.</t>
  </si>
  <si>
    <t>Building lighting (W per appliance)</t>
  </si>
  <si>
    <t>Building lighting (unit per building cell)</t>
  </si>
  <si>
    <t>Prepared by JRC C.6</t>
  </si>
  <si>
    <t>The information made available is property of the Joint Research Centre of the European Commission.</t>
  </si>
  <si>
    <t>Use conditions</t>
  </si>
  <si>
    <t>This work is licensed under</t>
  </si>
  <si>
    <t>CC BY 4.0</t>
  </si>
  <si>
    <t>Value added (M€2015)</t>
  </si>
  <si>
    <t>Mean heating degree-days over period 2000- 2020</t>
  </si>
  <si>
    <t>GDP per capita (€2015)</t>
  </si>
  <si>
    <t>Value added per employee (€2015)</t>
  </si>
  <si>
    <t>Value added per capita (€2015)</t>
  </si>
  <si>
    <t>Value added per capita relative to EU</t>
  </si>
  <si>
    <t>Natural gas</t>
  </si>
  <si>
    <t>Value added intensity (toe / M€2015)</t>
  </si>
  <si>
    <t>v2021-1.00</t>
  </si>
  <si>
    <t>Code</t>
  </si>
  <si>
    <t>Ambient heat</t>
  </si>
  <si>
    <t>Solar and geothermal</t>
  </si>
  <si>
    <t>JRC-IDEES-2021 - Integrated Database of the European Energy System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</si>
  <si>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</si>
  <si>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building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</si>
  <si>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useful surface area</t>
    </r>
  </si>
  <si>
    <t>Street lighting (thousand units)</t>
  </si>
  <si>
    <t>ICT and multimedia (thousand units)</t>
  </si>
  <si>
    <t>Ventilation and others (serviced million m2)</t>
  </si>
  <si>
    <t>Miscellaneous building technologies (serviced million m2)</t>
  </si>
  <si>
    <t>Building lighting (million units)</t>
  </si>
  <si>
    <t>Diesel oil</t>
  </si>
  <si>
    <t>Distributed heat</t>
  </si>
  <si>
    <t>Diesel oil and other liquids (without biofuels)</t>
  </si>
  <si>
    <t>Biomass and waste</t>
  </si>
  <si>
    <t>Diesel oil (without biofuels)</t>
  </si>
  <si>
    <t>Diesel oil and liquid biofuels</t>
  </si>
  <si>
    <t>Pumping devices (diesel oil and liquid biofuels)</t>
  </si>
  <si>
    <t>Farming machine drives (diesel oil and liquid biofuels)</t>
  </si>
  <si>
    <t>Natural gas and biogas</t>
  </si>
  <si>
    <t>Pumping devices (electricity)</t>
  </si>
  <si>
    <t>Gross domestic product (M€2015)</t>
  </si>
  <si>
    <t>Commercial refrigeration</t>
  </si>
  <si>
    <t>Commercial refrigeration (thousand units)</t>
  </si>
  <si>
    <t>Commercial refrigeration (W per appliance)</t>
  </si>
  <si>
    <t>Commercial refrigeration (unit per capita)</t>
  </si>
  <si>
    <t>Agriculture, forestry and fishing summary</t>
  </si>
  <si>
    <t>BE</t>
  </si>
  <si>
    <t>Belgium</t>
  </si>
  <si>
    <t>BE - Services sector summary</t>
  </si>
  <si>
    <t>Macro.number.BE.Population</t>
  </si>
  <si>
    <t>Macro.Meuro2015.BE.GDP</t>
  </si>
  <si>
    <t>Macro.Meuro2015.BE.VA</t>
  </si>
  <si>
    <t>Macro.number.BE.Employees</t>
  </si>
  <si>
    <t>NUM.number.BE.Ser.Bld</t>
  </si>
  <si>
    <t>SurfaceArea.ksqm.BE.Ser.Bld</t>
  </si>
  <si>
    <t>NUM.number.BE.Ser.BldNew</t>
  </si>
  <si>
    <t>SurfaceArea.ksqm.BE.Ser.BldNew</t>
  </si>
  <si>
    <t>HDD.Celsius.BE.Actual</t>
  </si>
  <si>
    <t>HDD.Celsius.BE.Mean</t>
  </si>
  <si>
    <t>HDD.ratio.BE.Relative</t>
  </si>
  <si>
    <t>FEC.ktoe.BE.ES.Ser</t>
  </si>
  <si>
    <t>FEC.ktoe.BE.ES.Ser.Solids</t>
  </si>
  <si>
    <t>FEC.ktoe.BE.ES.Ser.LPG</t>
  </si>
  <si>
    <t>FEC.ktoe.BE.ES.Ser.Oil</t>
  </si>
  <si>
    <t>FEC.ktoe.BE.ES.Ser.NG</t>
  </si>
  <si>
    <t>FEC.ktoe.BE.ES.Ser.Biomass_Waste</t>
  </si>
  <si>
    <t>FEC.ktoe.BE.ES.Ser.Biogas</t>
  </si>
  <si>
    <t>FEC.ktoe.BE.ES.Ser.LiqBio</t>
  </si>
  <si>
    <t>FEC.ktoe.BE.ES.Ser.Solar</t>
  </si>
  <si>
    <t>FEC.ktoe.BE.ES.Ser.Geo</t>
  </si>
  <si>
    <t>FEC.ktoe.BE.ES.Ser.Ambient</t>
  </si>
  <si>
    <t>FEC.ktoe.BE.ES.Ser.Steam_Distr</t>
  </si>
  <si>
    <t>FEC.ktoe.BE.ES.Ser.Elec</t>
  </si>
  <si>
    <t>FEC.ktoe.BE.Ser</t>
  </si>
  <si>
    <t>FEC.ktoe.BE.Ser.Bld.Thermal</t>
  </si>
  <si>
    <t>FEC.ktoe.BE.Ser.Bld.Thermal.SH</t>
  </si>
  <si>
    <t>FEC.ktoe.BE.Ser.Bld.Thermal.SC</t>
  </si>
  <si>
    <t>FEC.ktoe.BE.Ser.Bld.Thermal.HW</t>
  </si>
  <si>
    <t>FEC.ktoe.BE.Ser.Bld.Thermal.CA</t>
  </si>
  <si>
    <t>FEC.ktoe.BE.Ser.SEU</t>
  </si>
  <si>
    <t>EMI.ktCO2.BE.ES.Ser</t>
  </si>
  <si>
    <t>EMI.ktCO2.BE.ES.Ser.Solids</t>
  </si>
  <si>
    <t>EMI.ktCO2.BE.ES.Ser.LPG</t>
  </si>
  <si>
    <t>EMI.ktCO2.BE.ES.Ser.Oil</t>
  </si>
  <si>
    <t>EMI.ktCO2.BE.ES.Ser.NG</t>
  </si>
  <si>
    <t>EMI.ktCO2.BE.ES.Ser.Biomass_Waste</t>
  </si>
  <si>
    <t>EMI.ktCO2.BE.ES.Ser.Biogas</t>
  </si>
  <si>
    <t>EMI.ktCO2.BE.ES.Ser.LiqBio</t>
  </si>
  <si>
    <t>EMI.ktCO2.BE.ES.Ser.Solar</t>
  </si>
  <si>
    <t>EMI.ktCO2.BE.ES.Ser.Geo</t>
  </si>
  <si>
    <t>EMI.ktCO2.BE.ES.Ser.Ambient</t>
  </si>
  <si>
    <t>EMI.ktCO2.BE.ES.Ser.Steam_Distr</t>
  </si>
  <si>
    <t>EMI.ktCO2.BE.ES.Ser.Elec</t>
  </si>
  <si>
    <t>EMI.ktCO2.BE.Ser</t>
  </si>
  <si>
    <t>EMI.ktCO2.BE.Ser.Bld.Thermal</t>
  </si>
  <si>
    <t>EMI.ktCO2.BE.Ser.Bld.Thermal.SH</t>
  </si>
  <si>
    <t>EMI.ktCO2.BE.Ser.Bld.Thermal.SC</t>
  </si>
  <si>
    <t>EMI.ktCO2.BE.Ser.Bld.Thermal.HW</t>
  </si>
  <si>
    <t>EMI.ktCO2.BE.Ser.Bld.Thermal.CA</t>
  </si>
  <si>
    <t>EMI.ktCO2.BE.Ser.SEU</t>
  </si>
  <si>
    <t>Eff.ratio.BE.Ser.Bld.Thermal</t>
  </si>
  <si>
    <t>Eff.ratio.BE.Ser.Bld.Thermal.SH</t>
  </si>
  <si>
    <t>Eff.ratio.BE.Ser.Bld.Thermal.SC</t>
  </si>
  <si>
    <t>Eff.ratio.BE.Ser.Bld.Thermal.HW</t>
  </si>
  <si>
    <t>Eff.ratio.BE.Ser.Bld.Thermal.CA</t>
  </si>
  <si>
    <t>BE - Number of buildings</t>
  </si>
  <si>
    <t>NUM.number.BE.Ser.Bld.Thermal</t>
  </si>
  <si>
    <t>NUM.number.BE.Ser.Bld.Thermal.SH</t>
  </si>
  <si>
    <t>NUM.number.BE.Ser.Bld.Thermal.SH.Solids</t>
  </si>
  <si>
    <t>NUM.number.BE.Ser.Bld.Thermal.SH.LPG</t>
  </si>
  <si>
    <t>NUM.number.BE.Ser.Bld.Thermal.SH.Oil</t>
  </si>
  <si>
    <t>NUM.number.BE.Ser.Bld.Thermal.SH.GasHP</t>
  </si>
  <si>
    <t>NUM.number.BE.Ser.Bld.Thermal.SH.GasTH</t>
  </si>
  <si>
    <t>NUM.number.BE.Ser.Bld.Thermal.SH.Biomass</t>
  </si>
  <si>
    <t>NUM.number.BE.Ser.Bld.Thermal.SH.Geo</t>
  </si>
  <si>
    <t>NUM.number.BE.Ser.Bld.Thermal.SH.DistrHeat</t>
  </si>
  <si>
    <t>NUM.number.BE.Ser.Bld.Thermal.SH.AdvElc</t>
  </si>
  <si>
    <t>NUM.number.BE.Ser.Bld.Thermal.SH.ConvElc</t>
  </si>
  <si>
    <t>NUM.number.BE.Ser.Bld.Thermal.SC</t>
  </si>
  <si>
    <t>NUM.number.BE.Ser.Bld.Thermal.SC.GasHP</t>
  </si>
  <si>
    <t>NUM.number.BE.Ser.Bld.Thermal.SC.AC</t>
  </si>
  <si>
    <t>NUM.number.BE.Ser.Bld.Thermal.HW</t>
  </si>
  <si>
    <t>NUM.number.BE.Ser.Bld.Thermal.HW.Solids</t>
  </si>
  <si>
    <t>NUM.number.BE.Ser.Bld.Thermal.HW.LPG</t>
  </si>
  <si>
    <t>NUM.number.BE.Ser.Bld.Thermal.HW.Oil</t>
  </si>
  <si>
    <t>NUM.number.BE.Ser.Bld.Thermal.HW.Gas</t>
  </si>
  <si>
    <t>NUM.number.BE.Ser.Bld.Thermal.HW.Biomass</t>
  </si>
  <si>
    <t>NUM.number.BE.Ser.Bld.Thermal.HW.DistrHeat</t>
  </si>
  <si>
    <t>NUM.number.BE.Ser.Bld.Thermal.HW.Elc</t>
  </si>
  <si>
    <t>NUM.number.BE.Ser.Bld.Thermal.HW.Solar</t>
  </si>
  <si>
    <t>NUM.number.BE.Ser.Bld.Thermal.CA</t>
  </si>
  <si>
    <t>NUM.number.BE.Ser.Bld.Thermal.CA.LPG</t>
  </si>
  <si>
    <t>NUM.number.BE.Ser.Bld.Thermal.CA.Gas</t>
  </si>
  <si>
    <t>NUM.number.BE.Ser.Bld.Thermal.CA.Biomass</t>
  </si>
  <si>
    <t>NUM.number.BE.Ser.Bld.Thermal.CA.Elc</t>
  </si>
  <si>
    <t>BE - Final energy consumption</t>
  </si>
  <si>
    <t>FEC.ktoe.BE.Ser.Bld.Thermal.SH.Solids.Solids</t>
  </si>
  <si>
    <t>FEC.ktoe.BE.Ser.Bld.Thermal.SH.LPG.LPG</t>
  </si>
  <si>
    <t>FEC.ktoe.BE.Ser.Bld.Thermal.SH.Oil.Oil_LiqBio</t>
  </si>
  <si>
    <t>FEC.ktoe.BE.Ser.Bld.Thermal.SH.GasHP.NG_Biogas</t>
  </si>
  <si>
    <t>FEC.ktoe.BE.Ser.Bld.Thermal.SH.GasTH.NG_Biogas</t>
  </si>
  <si>
    <t>FEC.ktoe.BE.Ser.Bld.Thermal.SH.Biomass.Biomass_Waste</t>
  </si>
  <si>
    <t>FEC.ktoe.BE.Ser.Bld.Thermal.SH.Geo.Geo</t>
  </si>
  <si>
    <t>FEC.ktoe.BE.Ser.Bld.Thermal.SH.DistrHeat.Steam_Distr</t>
  </si>
  <si>
    <t>FEC.ktoe.BE.Ser.Bld.Thermal.SH.AdvElc.Elec</t>
  </si>
  <si>
    <t>FEC.ktoe.BE.Ser.Bld.Thermal.SH.ConvElc.Elec</t>
  </si>
  <si>
    <t>FEC.ktoe.BE.Ser.Bld.Thermal.SH.TotalCirculation.Elec</t>
  </si>
  <si>
    <t>FEC.ktoe.BE.Ser.Bld.Thermal.SC.GasHP.NG_Biogas</t>
  </si>
  <si>
    <t>FEC.ktoe.BE.Ser.Bld.Thermal.SC.AC.Elec</t>
  </si>
  <si>
    <t>FEC.ktoe.BE.Ser.Bld.Thermal.HW.Solids.Solids</t>
  </si>
  <si>
    <t>FEC.ktoe.BE.Ser.Bld.Thermal.HW.LPG.LPG</t>
  </si>
  <si>
    <t>FEC.ktoe.BE.Ser.Bld.Thermal.HW.Oil.Oil_LiqBio</t>
  </si>
  <si>
    <t>FEC.ktoe.BE.Ser.Bld.Thermal.HW.Gas.NG_Biogas</t>
  </si>
  <si>
    <t>FEC.ktoe.BE.Ser.Bld.Thermal.HW.Biomass.Biomass_Waste</t>
  </si>
  <si>
    <t>FEC.ktoe.BE.Ser.Bld.Thermal.HW.DistrHeat.Steam_Distr</t>
  </si>
  <si>
    <t>FEC.ktoe.BE.Ser.Bld.Thermal.HW.Elc.Elec</t>
  </si>
  <si>
    <t>FEC.ktoe.BE.Ser.Bld.Thermal.HW.TotalSolar.Solar</t>
  </si>
  <si>
    <t>FEC.ktoe.BE.Ser.Bld.Thermal.CA.LPG</t>
  </si>
  <si>
    <t>FEC.ktoe.BE.Ser.Bld.Thermal.CA.Gas.NG_Biogas</t>
  </si>
  <si>
    <t>FEC.ktoe.BE.Ser.Bld.Thermal.CA.Biomass.Biomass_Waste</t>
  </si>
  <si>
    <t>FEC.ktoe.BE.Ser.Bld.Thermal.CA.Elc.Elec</t>
  </si>
  <si>
    <t>BE - Thermal energy service</t>
  </si>
  <si>
    <t>TES.ktoe.BE.Ser.Bld.Thermal</t>
  </si>
  <si>
    <t>TES.ktoe.BE.Ser.Bld.Thermal.SH</t>
  </si>
  <si>
    <t>TES.ktoe.BE.Ser.Bld.Thermal.SH.Solids.Solids</t>
  </si>
  <si>
    <t>TES.ktoe.BE.Ser.Bld.Thermal.SH.LPG.LPG</t>
  </si>
  <si>
    <t>TES.ktoe.BE.Ser.Bld.Thermal.SH.Oil.Oil_LiqBio</t>
  </si>
  <si>
    <t>TES.ktoe.BE.Ser.Bld.Thermal.SH.GasHP.NG_Biogas</t>
  </si>
  <si>
    <t>TES.ktoe.BE.Ser.Bld.Thermal.SH.GasTH.NG_Biogas</t>
  </si>
  <si>
    <t>TES.ktoe.BE.Ser.Bld.Thermal.SH.Biomass.Biomass_Waste</t>
  </si>
  <si>
    <t>TES.ktoe.BE.Ser.Bld.Thermal.SH.Geo.Geo</t>
  </si>
  <si>
    <t>TES.ktoe.BE.Ser.Bld.Thermal.SH.DistrHeat.Steam_Distr</t>
  </si>
  <si>
    <t>TES.ktoe.BE.Ser.Bld.Thermal.SH.AdvElc.Elec</t>
  </si>
  <si>
    <t>TES.ktoe.BE.Ser.Bld.Thermal.SH.ConvElc.Elec</t>
  </si>
  <si>
    <t>TES.ktoe.BE.Ser.Bld.Thermal.SH.TotalCirculation.Elec</t>
  </si>
  <si>
    <t>TES.ktoe.BE.Ser.Bld.Thermal.SC</t>
  </si>
  <si>
    <t>TES.ktoe.BE.Ser.Bld.Thermal.SC.GasHP.NG_Biogas</t>
  </si>
  <si>
    <t>TES.ktoe.BE.Ser.Bld.Thermal.SC.AC.Elec</t>
  </si>
  <si>
    <t>TES.ktoe.BE.Ser.Bld.Thermal.HW</t>
  </si>
  <si>
    <t>TES.ktoe.BE.Ser.Bld.Thermal.HW.Solids.Solids</t>
  </si>
  <si>
    <t>TES.ktoe.BE.Ser.Bld.Thermal.HW.LPG.LPG</t>
  </si>
  <si>
    <t>TES.ktoe.BE.Ser.Bld.Thermal.HW.Oil.Oil_LiqBio</t>
  </si>
  <si>
    <t>TES.ktoe.BE.Ser.Bld.Thermal.HW.Gas.NG_Biogas</t>
  </si>
  <si>
    <t>TES.ktoe.BE.Ser.Bld.Thermal.HW.Biomass.Biomass_Waste</t>
  </si>
  <si>
    <t>TES.ktoe.BE.Ser.Bld.Thermal.HW.DistrHeat.Steam_Distr</t>
  </si>
  <si>
    <t>TES.ktoe.BE.Ser.Bld.Thermal.HW.Elc.Elec</t>
  </si>
  <si>
    <t>TES.ktoe.BE.Ser.Bld.Thermal.HW.TotalSolar.Solar</t>
  </si>
  <si>
    <t>TES.ktoe.BE.Ser.Bld.Thermal.CA</t>
  </si>
  <si>
    <t>TES.ktoe.BE.Ser.Bld.Thermal.CA.LPG</t>
  </si>
  <si>
    <t>TES.ktoe.BE.Ser.Bld.Thermal.CA.Gas.NG_Biogas</t>
  </si>
  <si>
    <t>TES.ktoe.BE.Ser.Bld.Thermal.CA.Biomass.Biomass_Waste</t>
  </si>
  <si>
    <t>TES.ktoe.BE.Ser.Bld.Thermal.CA.Elc.Elec</t>
  </si>
  <si>
    <t>BE - System efficiency indicator of total stock</t>
  </si>
  <si>
    <t>Eff.ratio.BE.Ser.Bld.Thermal.SH.Solids.Solids</t>
  </si>
  <si>
    <t>Eff.ratio.BE.Ser.Bld.Thermal.SH.LPG.LPG</t>
  </si>
  <si>
    <t>Eff.ratio.BE.Ser.Bld.Thermal.SH.Oil.Oil_LiqBio</t>
  </si>
  <si>
    <t>Eff.ratio.BE.Ser.Bld.Thermal.SH.GasHP.NG_Biogas</t>
  </si>
  <si>
    <t>Eff.ratio.BE.Ser.Bld.Thermal.SH.GasTH.NG_Biogas</t>
  </si>
  <si>
    <t>Eff.ratio.BE.Ser.Bld.Thermal.SH.Biomass.Biomass_Waste</t>
  </si>
  <si>
    <t>Eff.ratio.BE.Ser.Bld.Thermal.SH.Geo.Geo</t>
  </si>
  <si>
    <t>Eff.ratio.BE.Ser.Bld.Thermal.SH.DistrHeat.Steam_Distr</t>
  </si>
  <si>
    <t>Eff.ratio.BE.Ser.Bld.Thermal.SH.AdvElc.Elec</t>
  </si>
  <si>
    <t>Eff.ratio.BE.Ser.Bld.Thermal.SH.ConvElc.Elec</t>
  </si>
  <si>
    <t>Eff.ratio.BE.Ser.Bld.Thermal.SH.TotalCirculation.Elec</t>
  </si>
  <si>
    <t>Eff.ratio.BE.Ser.Bld.Thermal.SC.GasHP.NG_Biogas</t>
  </si>
  <si>
    <t>Eff.ratio.BE.Ser.Bld.Thermal.SC.AC.Elec</t>
  </si>
  <si>
    <t>Eff.ratio.BE.Ser.Bld.Thermal.HW.Solids.Solids</t>
  </si>
  <si>
    <t>Eff.ratio.BE.Ser.Bld.Thermal.HW.LPG.LPG</t>
  </si>
  <si>
    <t>Eff.ratio.BE.Ser.Bld.Thermal.HW.Oil.Oil_LiqBio</t>
  </si>
  <si>
    <t>Eff.ratio.BE.Ser.Bld.Thermal.HW.Gas.NG_Biogas</t>
  </si>
  <si>
    <t>Eff.ratio.BE.Ser.Bld.Thermal.HW.Biomass.Biomass_Waste</t>
  </si>
  <si>
    <t>Eff.ratio.BE.Ser.Bld.Thermal.HW.DistrHeat.Steam_Distr</t>
  </si>
  <si>
    <t>Eff.ratio.BE.Ser.Bld.Thermal.HW.Elc.Elec</t>
  </si>
  <si>
    <t>Eff.ratio.BE.Ser.Bld.Thermal.HW.TotalSolar.Solar</t>
  </si>
  <si>
    <t>Eff.ratio.BE.Ser.Bld.Thermal.CA.LPG</t>
  </si>
  <si>
    <t>Eff.ratio.BE.Ser.Bld.Thermal.CA.Gas.NG_Biogas</t>
  </si>
  <si>
    <t>Eff.ratio.BE.Ser.Bld.Thermal.CA.Biomass.Biomass_Waste</t>
  </si>
  <si>
    <t>Eff.ratio.BE.Ser.Bld.Thermal.CA.Elc.Elec</t>
  </si>
  <si>
    <t>BE - CO2 emissions</t>
  </si>
  <si>
    <t>EMI.ktCO2.BE.Ser.Bld.Thermal.SH.Solids.Solids</t>
  </si>
  <si>
    <t>EMI.ktCO2.BE.Ser.Bld.Thermal.SH.LPG.LPG</t>
  </si>
  <si>
    <t>EMI.ktCO2.BE.Ser.Bld.Thermal.SH.Oil.Oil_LiqBio</t>
  </si>
  <si>
    <t>EMI.ktCO2.BE.Ser.Bld.Thermal.SH.GasHP.NG_Biogas</t>
  </si>
  <si>
    <t>EMI.ktCO2.BE.Ser.Bld.Thermal.SH.GasTH.NG_Biogas</t>
  </si>
  <si>
    <t>EMI.ktCO2.BE.Ser.Bld.Thermal.SH.Biomass.Biomass_Waste</t>
  </si>
  <si>
    <t>EMI.ktCO2.BE.Ser.Bld.Thermal.SH.Geo.Geo</t>
  </si>
  <si>
    <t>EMI.ktCO2.BE.Ser.Bld.Thermal.SH.DistrHeat.Steam_Distr</t>
  </si>
  <si>
    <t>EMI.ktCO2.BE.Ser.Bld.Thermal.SH.AdvElc.Elec</t>
  </si>
  <si>
    <t>EMI.ktCO2.BE.Ser.Bld.Thermal.SH.ConvElc.Elec</t>
  </si>
  <si>
    <t>EMI.ktCO2.BE.Ser.Bld.Thermal.SH.TotalCirculation.Elec</t>
  </si>
  <si>
    <t>EMI.ktCO2.BE.Ser.Bld.Thermal.SC.GasHP.NG_Biogas</t>
  </si>
  <si>
    <t>EMI.ktCO2.BE.Ser.Bld.Thermal.SC.AC.Elec</t>
  </si>
  <si>
    <t>EMI.ktCO2.BE.Ser.Bld.Thermal.HW.Solids.Solids</t>
  </si>
  <si>
    <t>EMI.ktCO2.BE.Ser.Bld.Thermal.HW.LPG.LPG</t>
  </si>
  <si>
    <t>EMI.ktCO2.BE.Ser.Bld.Thermal.HW.Oil.Oil_LiqBio</t>
  </si>
  <si>
    <t>EMI.ktCO2.BE.Ser.Bld.Thermal.HW.Gas.NG_Biogas</t>
  </si>
  <si>
    <t>EMI.ktCO2.BE.Ser.Bld.Thermal.HW.Biomass.Biomass_Waste</t>
  </si>
  <si>
    <t>EMI.ktCO2.BE.Ser.Bld.Thermal.HW.DistrHeat.Steam_Distr</t>
  </si>
  <si>
    <t>EMI.ktCO2.BE.Ser.Bld.Thermal.HW.Elc.Elec</t>
  </si>
  <si>
    <t>EMI.ktCO2.BE.Ser.Bld.Thermal.HW.TotalSolar.Solar</t>
  </si>
  <si>
    <t>EMI.ktCO2.BE.Ser.Bld.Thermal.CA.LPG</t>
  </si>
  <si>
    <t>EMI.ktCO2.BE.Ser.Bld.Thermal.CA.Gas.NG_Biogas</t>
  </si>
  <si>
    <t>EMI.ktCO2.BE.Ser.Bld.Thermal.CA.Biomass.Biomass_Waste</t>
  </si>
  <si>
    <t>EMI.ktCO2.BE.Ser.Bld.Thermal.CA.Elc.Elec</t>
  </si>
  <si>
    <t>BE - Final energy consumption per building</t>
  </si>
  <si>
    <t>FEC_per_building.kWh.BE.Ser.Bld.Thermal</t>
  </si>
  <si>
    <t>FEC_per_building.kWh.BE.Ser.Bld.Thermal.SH</t>
  </si>
  <si>
    <t>FEC_per_building.kWh.BE.Ser.Bld.Thermal.SH.Solids.Solids</t>
  </si>
  <si>
    <t>FEC_per_building.kWh.BE.Ser.Bld.Thermal.SH.LPG.LPG</t>
  </si>
  <si>
    <t>FEC_per_building.kWh.BE.Ser.Bld.Thermal.SH.Oil.Oil_LiqBio</t>
  </si>
  <si>
    <t>FEC_per_building.kWh.BE.Ser.Bld.Thermal.SH.GasHP.NG_Biogas</t>
  </si>
  <si>
    <t>FEC_per_building.kWh.BE.Ser.Bld.Thermal.SH.GasTH.NG_Biogas</t>
  </si>
  <si>
    <t>FEC_per_building.kWh.BE.Ser.Bld.Thermal.SH.Biomass.Biomass_Waste</t>
  </si>
  <si>
    <t>FEC_per_building.kWh.BE.Ser.Bld.Thermal.SH.Geo.Geo</t>
  </si>
  <si>
    <t>FEC_per_building.kWh.BE.Ser.Bld.Thermal.SH.DistrHeat.Steam_Distr</t>
  </si>
  <si>
    <t>FEC_per_building.kWh.BE.Ser.Bld.Thermal.SH.AdvElc.Elec</t>
  </si>
  <si>
    <t>FEC_per_building.kWh.BE.Ser.Bld.Thermal.SH.ConvElc.Elec</t>
  </si>
  <si>
    <t>FEC_per_building.kWh.BE.Ser.Bld.Thermal.SH.TotalCirculation.Elec</t>
  </si>
  <si>
    <t>FEC_per_building.kWh.BE.Ser.Bld.Thermal.SC</t>
  </si>
  <si>
    <t>FEC_per_building.kWh.BE.Ser.Bld.Thermal.SC.GasHP.NG_Biogas</t>
  </si>
  <si>
    <t>FEC_per_building.kWh.BE.Ser.Bld.Thermal.SC.AC.Elec</t>
  </si>
  <si>
    <t>FEC_per_building.kWh.BE.Ser.Bld.Thermal.HW</t>
  </si>
  <si>
    <t>FEC_per_building.kWh.BE.Ser.Bld.Thermal.HW.Solids.Solids</t>
  </si>
  <si>
    <t>FEC_per_building.kWh.BE.Ser.Bld.Thermal.HW.LPG.LPG</t>
  </si>
  <si>
    <t>FEC_per_building.kWh.BE.Ser.Bld.Thermal.HW.Oil.Oil_LiqBio</t>
  </si>
  <si>
    <t>FEC_per_building.kWh.BE.Ser.Bld.Thermal.HW.Gas.NG_Biogas</t>
  </si>
  <si>
    <t>FEC_per_building.kWh.BE.Ser.Bld.Thermal.HW.Biomass.Biomass_Waste</t>
  </si>
  <si>
    <t>FEC_per_building.kWh.BE.Ser.Bld.Thermal.HW.DistrHeat.Steam_Distr</t>
  </si>
  <si>
    <t>FEC_per_building.kWh.BE.Ser.Bld.Thermal.HW.Elc.Elec</t>
  </si>
  <si>
    <t>FEC_per_building.kWh.BE.Ser.Bld.Thermal.HW.TotalSolar.Solar</t>
  </si>
  <si>
    <t>FEC_per_building.kWh.BE.Ser.Bld.Thermal.CA</t>
  </si>
  <si>
    <t>FEC_per_building.kWh.BE.Ser.Bld.Thermal.CA.LPG</t>
  </si>
  <si>
    <t>FEC_per_building.kWh.BE.Ser.Bld.Thermal.CA.Gas.NG_Biogas</t>
  </si>
  <si>
    <t>FEC_per_building.kWh.BE.Ser.Bld.Thermal.CA.Biomass.Biomass_Waste</t>
  </si>
  <si>
    <t>FEC_per_building.kWh.BE.Ser.Bld.Thermal.CA.Elc.Elec</t>
  </si>
  <si>
    <t>BE - Thermal energy service per building</t>
  </si>
  <si>
    <t>TES_per_building.kWh.BE.Ser.Bld.Thermal</t>
  </si>
  <si>
    <t>TES_per_building.kWh.BE.Ser.Bld.Thermal.SH</t>
  </si>
  <si>
    <t>TES_per_building.kWh.BE.Ser.Bld.Thermal.SH.Solids.Solids</t>
  </si>
  <si>
    <t>TES_per_building.kWh.BE.Ser.Bld.Thermal.SH.LPG.LPG</t>
  </si>
  <si>
    <t>TES_per_building.kWh.BE.Ser.Bld.Thermal.SH.Oil.Oil_LiqBio</t>
  </si>
  <si>
    <t>TES_per_building.kWh.BE.Ser.Bld.Thermal.SH.GasHP.NG_Biogas</t>
  </si>
  <si>
    <t>TES_per_building.kWh.BE.Ser.Bld.Thermal.SH.GasTH.NG_Biogas</t>
  </si>
  <si>
    <t>TES_per_building.kWh.BE.Ser.Bld.Thermal.SH.Biomass.Biomass_Waste</t>
  </si>
  <si>
    <t>TES_per_building.kWh.BE.Ser.Bld.Thermal.SH.Geo.Geo</t>
  </si>
  <si>
    <t>TES_per_building.kWh.BE.Ser.Bld.Thermal.SH.DistrHeat.Steam_Distr</t>
  </si>
  <si>
    <t>TES_per_building.kWh.BE.Ser.Bld.Thermal.SH.AdvElc.Elec</t>
  </si>
  <si>
    <t>TES_per_building.kWh.BE.Ser.Bld.Thermal.SH.ConvElc.Elec</t>
  </si>
  <si>
    <t>TES_per_building.kWh.BE.Ser.Bld.Thermal.SH.TotalCirculation.Elec</t>
  </si>
  <si>
    <t>TES_per_building.kWh.BE.Ser.Bld.Thermal.SC</t>
  </si>
  <si>
    <t>TES_per_building.kWh.BE.Ser.Bld.Thermal.SC.GasHP.NG_Biogas</t>
  </si>
  <si>
    <t>TES_per_building.kWh.BE.Ser.Bld.Thermal.SC.AC.Elec</t>
  </si>
  <si>
    <t>TES_per_building.kWh.BE.Ser.Bld.Thermal.HW</t>
  </si>
  <si>
    <t>TES_per_building.kWh.BE.Ser.Bld.Thermal.HW.Solids.Solids</t>
  </si>
  <si>
    <t>TES_per_building.kWh.BE.Ser.Bld.Thermal.HW.LPG.LPG</t>
  </si>
  <si>
    <t>TES_per_building.kWh.BE.Ser.Bld.Thermal.HW.Oil.Oil_LiqBio</t>
  </si>
  <si>
    <t>TES_per_building.kWh.BE.Ser.Bld.Thermal.HW.Gas.NG_Biogas</t>
  </si>
  <si>
    <t>TES_per_building.kWh.BE.Ser.Bld.Thermal.HW.Biomass.Biomass_Waste</t>
  </si>
  <si>
    <t>TES_per_building.kWh.BE.Ser.Bld.Thermal.HW.DistrHeat.Steam_Distr</t>
  </si>
  <si>
    <t>TES_per_building.kWh.BE.Ser.Bld.Thermal.HW.Elc.Elec</t>
  </si>
  <si>
    <t>TES_per_building.kWh.BE.Ser.Bld.Thermal.HW.TotalSolar.Solar</t>
  </si>
  <si>
    <t>TES_per_building.kWh.BE.Ser.Bld.Thermal.CA</t>
  </si>
  <si>
    <t>TES_per_building.kWh.BE.Ser.Bld.Thermal.CA.LPG</t>
  </si>
  <si>
    <t>TES_per_building.kWh.BE.Ser.Bld.Thermal.CA.Gas.NG_Biogas</t>
  </si>
  <si>
    <t>TES_per_building.kWh.BE.Ser.Bld.Thermal.CA.Biomass.Biomass_Waste</t>
  </si>
  <si>
    <t>TES_per_building.kWh.BE.Ser.Bld.Thermal.CA.Elc.Elec</t>
  </si>
  <si>
    <t>BE - CO2 emissions per building</t>
  </si>
  <si>
    <t>EMI_per_building.kgCO2.BE.Ser.Bld.Thermal</t>
  </si>
  <si>
    <t>EMI_per_building.kgCO2.BE.Ser.Bld.Thermal.SH</t>
  </si>
  <si>
    <t>EMI_per_building.kgCO2.BE.Ser.Bld.Thermal.SH.Solids.Solids</t>
  </si>
  <si>
    <t>EMI_per_building.kgCO2.BE.Ser.Bld.Thermal.SH.LPG.LPG</t>
  </si>
  <si>
    <t>EMI_per_building.kgCO2.BE.Ser.Bld.Thermal.SH.Oil.Oil_LiqBio</t>
  </si>
  <si>
    <t>EMI_per_building.kgCO2.BE.Ser.Bld.Thermal.SH.GasHP.NG_Biogas</t>
  </si>
  <si>
    <t>EMI_per_building.kgCO2.BE.Ser.Bld.Thermal.SH.GasTH.NG_Biogas</t>
  </si>
  <si>
    <t>EMI_per_building.kgCO2.BE.Ser.Bld.Thermal.SH.Biomass.Biomass_Waste</t>
  </si>
  <si>
    <t>EMI_per_building.kgCO2.BE.Ser.Bld.Thermal.SH.Geo.Geo</t>
  </si>
  <si>
    <t>EMI_per_building.kgCO2.BE.Ser.Bld.Thermal.SH.DistrHeat.Steam_Distr</t>
  </si>
  <si>
    <t>EMI_per_building.kgCO2.BE.Ser.Bld.Thermal.SH.AdvElc.Elec</t>
  </si>
  <si>
    <t>EMI_per_building.kgCO2.BE.Ser.Bld.Thermal.SH.ConvElc.Elec</t>
  </si>
  <si>
    <t>EMI_per_building.kgCO2.BE.Ser.Bld.Thermal.SH.TotalCirculation.Elec</t>
  </si>
  <si>
    <t>EMI_per_building.kgCO2.BE.Ser.Bld.Thermal.SC</t>
  </si>
  <si>
    <t>EMI_per_building.kgCO2.BE.Ser.Bld.Thermal.SC.GasHP.NG_Biogas</t>
  </si>
  <si>
    <t>EMI_per_building.kgCO2.BE.Ser.Bld.Thermal.SC.AC.Elec</t>
  </si>
  <si>
    <t>EMI_per_building.kgCO2.BE.Ser.Bld.Thermal.HW</t>
  </si>
  <si>
    <t>EMI_per_building.kgCO2.BE.Ser.Bld.Thermal.HW.Solids.Solids</t>
  </si>
  <si>
    <t>EMI_per_building.kgCO2.BE.Ser.Bld.Thermal.HW.LPG.LPG</t>
  </si>
  <si>
    <t>EMI_per_building.kgCO2.BE.Ser.Bld.Thermal.HW.Oil.Oil_LiqBio</t>
  </si>
  <si>
    <t>EMI_per_building.kgCO2.BE.Ser.Bld.Thermal.HW.Gas.NG_Biogas</t>
  </si>
  <si>
    <t>EMI_per_building.kgCO2.BE.Ser.Bld.Thermal.HW.Biomass.Biomass_Waste</t>
  </si>
  <si>
    <t>EMI_per_building.kgCO2.BE.Ser.Bld.Thermal.HW.DistrHeat.Steam_Distr</t>
  </si>
  <si>
    <t>EMI_per_building.kgCO2.BE.Ser.Bld.Thermal.HW.Elc.Elec</t>
  </si>
  <si>
    <t>EMI_per_building.kgCO2.BE.Ser.Bld.Thermal.HW.TotalSolar.Solar</t>
  </si>
  <si>
    <t>EMI_per_building.kgCO2.BE.Ser.Bld.Thermal.CA</t>
  </si>
  <si>
    <t>EMI_per_building.kgCO2.BE.Ser.Bld.Thermal.CA.LPG</t>
  </si>
  <si>
    <t>EMI_per_building.kgCO2.BE.Ser.Bld.Thermal.CA.Gas.NG_Biogas</t>
  </si>
  <si>
    <t>EMI_per_building.kgCO2.BE.Ser.Bld.Thermal.CA.Biomass.Biomass_Waste</t>
  </si>
  <si>
    <t>EMI_per_building.kgCO2.BE.Ser.Bld.Thermal.CA.Elc.Elec</t>
  </si>
  <si>
    <t>BE - Final energy consumption per useful surface area</t>
  </si>
  <si>
    <t>FEC_per_sqm.kWh.BE.Ser.Bld.Thermal</t>
  </si>
  <si>
    <t>FEC_per_sqm.kWh.BE.Ser.Bld.Thermal.SH</t>
  </si>
  <si>
    <t>FEC_per_sqm.kWh.BE.Ser.Bld.Thermal.SH.Solids.Solids</t>
  </si>
  <si>
    <t>FEC_per_sqm.kWh.BE.Ser.Bld.Thermal.SH.LPG.LPG</t>
  </si>
  <si>
    <t>FEC_per_sqm.kWh.BE.Ser.Bld.Thermal.SH.Oil.Oil_LiqBio</t>
  </si>
  <si>
    <t>FEC_per_sqm.kWh.BE.Ser.Bld.Thermal.SH.GasHP.NG_Biogas</t>
  </si>
  <si>
    <t>FEC_per_sqm.kWh.BE.Ser.Bld.Thermal.SH.GasTH.NG_Biogas</t>
  </si>
  <si>
    <t>FEC_per_sqm.kWh.BE.Ser.Bld.Thermal.SH.Biomass.Biomass_Waste</t>
  </si>
  <si>
    <t>FEC_per_sqm.kWh.BE.Ser.Bld.Thermal.SH.Geo.Geo</t>
  </si>
  <si>
    <t>FEC_per_sqm.kWh.BE.Ser.Bld.Thermal.SH.DistrHeat.Steam_Distr</t>
  </si>
  <si>
    <t>FEC_per_sqm.kWh.BE.Ser.Bld.Thermal.SH.AdvElc.Elec</t>
  </si>
  <si>
    <t>FEC_per_sqm.kWh.BE.Ser.Bld.Thermal.SH.ConvElc.Elec</t>
  </si>
  <si>
    <t>FEC_per_sqm.kWh.BE.Ser.Bld.Thermal.SH.TotalCirculation.Elec</t>
  </si>
  <si>
    <t>FEC_per_sqm.kWh.BE.Ser.Bld.Thermal.SC</t>
  </si>
  <si>
    <t>FEC_per_sqm.kWh.BE.Ser.Bld.Thermal.SC.GasHP.NG_Biogas</t>
  </si>
  <si>
    <t>FEC_per_sqm.kWh.BE.Ser.Bld.Thermal.SC.AC.Elec</t>
  </si>
  <si>
    <t>FEC_per_sqm.kWh.BE.Ser.Bld.Thermal.HW</t>
  </si>
  <si>
    <t>FEC_per_sqm.kWh.BE.Ser.Bld.Thermal.HW.Solids.Solids</t>
  </si>
  <si>
    <t>FEC_per_sqm.kWh.BE.Ser.Bld.Thermal.HW.LPG.LPG</t>
  </si>
  <si>
    <t>FEC_per_sqm.kWh.BE.Ser.Bld.Thermal.HW.Oil.Oil_LiqBio</t>
  </si>
  <si>
    <t>FEC_per_sqm.kWh.BE.Ser.Bld.Thermal.HW.Gas.NG_Biogas</t>
  </si>
  <si>
    <t>FEC_per_sqm.kWh.BE.Ser.Bld.Thermal.HW.Biomass.Biomass_Waste</t>
  </si>
  <si>
    <t>FEC_per_sqm.kWh.BE.Ser.Bld.Thermal.HW.DistrHeat.Steam_Distr</t>
  </si>
  <si>
    <t>FEC_per_sqm.kWh.BE.Ser.Bld.Thermal.HW.Elc.Elec</t>
  </si>
  <si>
    <t>FEC_per_sqm.kWh.BE.Ser.Bld.Thermal.HW.TotalSolar.Solar</t>
  </si>
  <si>
    <t>FEC_per_sqm.kWh.BE.Ser.Bld.Thermal.CA</t>
  </si>
  <si>
    <t>FEC_per_sqm.kWh.BE.Ser.Bld.Thermal.CA.LPG</t>
  </si>
  <si>
    <t>FEC_per_sqm.kWh.BE.Ser.Bld.Thermal.CA.Gas.NG_Biogas</t>
  </si>
  <si>
    <t>FEC_per_sqm.kWh.BE.Ser.Bld.Thermal.CA.Biomass.Biomass_Waste</t>
  </si>
  <si>
    <t>FEC_per_sqm.kWh.BE.Ser.Bld.Thermal.CA.Elc.Elec</t>
  </si>
  <si>
    <t>BE - Thermal energy service per useful surface area</t>
  </si>
  <si>
    <t>TES_per_sqm.kWh.BE.Ser.Bld.Thermal</t>
  </si>
  <si>
    <t>TES_per_sqm.kWh.BE.Ser.Bld.Thermal.SH</t>
  </si>
  <si>
    <t>TES_per_sqm.kWh.BE.Ser.Bld.Thermal.SH.Solids.Solids</t>
  </si>
  <si>
    <t>TES_per_sqm.kWh.BE.Ser.Bld.Thermal.SH.LPG.LPG</t>
  </si>
  <si>
    <t>TES_per_sqm.kWh.BE.Ser.Bld.Thermal.SH.Oil.Oil_LiqBio</t>
  </si>
  <si>
    <t>TES_per_sqm.kWh.BE.Ser.Bld.Thermal.SH.GasHP.NG_Biogas</t>
  </si>
  <si>
    <t>TES_per_sqm.kWh.BE.Ser.Bld.Thermal.SH.GasTH.NG_Biogas</t>
  </si>
  <si>
    <t>TES_per_sqm.kWh.BE.Ser.Bld.Thermal.SH.Biomass.Biomass_Waste</t>
  </si>
  <si>
    <t>TES_per_sqm.kWh.BE.Ser.Bld.Thermal.SH.Geo.Geo</t>
  </si>
  <si>
    <t>TES_per_sqm.kWh.BE.Ser.Bld.Thermal.SH.DistrHeat.Steam_Distr</t>
  </si>
  <si>
    <t>TES_per_sqm.kWh.BE.Ser.Bld.Thermal.SH.AdvElc.Elec</t>
  </si>
  <si>
    <t>TES_per_sqm.kWh.BE.Ser.Bld.Thermal.SH.ConvElc.Elec</t>
  </si>
  <si>
    <t>TES_per_sqm.kWh.BE.Ser.Bld.Thermal.SH.TotalCirculation.Elec</t>
  </si>
  <si>
    <t>TES_per_sqm.kWh.BE.Ser.Bld.Thermal.SC</t>
  </si>
  <si>
    <t>TES_per_sqm.kWh.BE.Ser.Bld.Thermal.SC.GasHP.NG_Biogas</t>
  </si>
  <si>
    <t>TES_per_sqm.kWh.BE.Ser.Bld.Thermal.SC.AC.Elec</t>
  </si>
  <si>
    <t>TES_per_sqm.kWh.BE.Ser.Bld.Thermal.HW</t>
  </si>
  <si>
    <t>TES_per_sqm.kWh.BE.Ser.Bld.Thermal.HW.Solids.Solids</t>
  </si>
  <si>
    <t>TES_per_sqm.kWh.BE.Ser.Bld.Thermal.HW.LPG.LPG</t>
  </si>
  <si>
    <t>TES_per_sqm.kWh.BE.Ser.Bld.Thermal.HW.Oil.Oil_LiqBio</t>
  </si>
  <si>
    <t>TES_per_sqm.kWh.BE.Ser.Bld.Thermal.HW.Gas.NG_Biogas</t>
  </si>
  <si>
    <t>TES_per_sqm.kWh.BE.Ser.Bld.Thermal.HW.Biomass.Biomass_Waste</t>
  </si>
  <si>
    <t>TES_per_sqm.kWh.BE.Ser.Bld.Thermal.HW.DistrHeat.Steam_Distr</t>
  </si>
  <si>
    <t>TES_per_sqm.kWh.BE.Ser.Bld.Thermal.HW.Elc.Elec</t>
  </si>
  <si>
    <t>TES_per_sqm.kWh.BE.Ser.Bld.Thermal.HW.TotalSolar.Solar</t>
  </si>
  <si>
    <t>TES_per_sqm.kWh.BE.Ser.Bld.Thermal.CA</t>
  </si>
  <si>
    <t>TES_per_sqm.kWh.BE.Ser.Bld.Thermal.CA.LPG</t>
  </si>
  <si>
    <t>TES_per_sqm.kWh.BE.Ser.Bld.Thermal.CA.Gas.NG_Biogas</t>
  </si>
  <si>
    <t>TES_per_sqm.kWh.BE.Ser.Bld.Thermal.CA.Biomass.Biomass_Waste</t>
  </si>
  <si>
    <t>TES_per_sqm.kWh.BE.Ser.Bld.Thermal.CA.Elc.Elec</t>
  </si>
  <si>
    <t>BE - CO2 emissions per useful surface area</t>
  </si>
  <si>
    <t>EMI_per_sqm.kgCO2.BE.Ser.Bld.Thermal</t>
  </si>
  <si>
    <t>EMI_per_sqm.kgCO2.BE.Ser.Bld.Thermal.SH</t>
  </si>
  <si>
    <t>EMI_per_sqm.kgCO2.BE.Ser.Bld.Thermal.SH.Solids.Solids</t>
  </si>
  <si>
    <t>EMI_per_sqm.kgCO2.BE.Ser.Bld.Thermal.SH.LPG.LPG</t>
  </si>
  <si>
    <t>EMI_per_sqm.kgCO2.BE.Ser.Bld.Thermal.SH.Oil.Oil_LiqBio</t>
  </si>
  <si>
    <t>EMI_per_sqm.kgCO2.BE.Ser.Bld.Thermal.SH.GasHP.NG_Biogas</t>
  </si>
  <si>
    <t>EMI_per_sqm.kgCO2.BE.Ser.Bld.Thermal.SH.GasTH.NG_Biogas</t>
  </si>
  <si>
    <t>EMI_per_sqm.kgCO2.BE.Ser.Bld.Thermal.SH.Biomass.Biomass_Waste</t>
  </si>
  <si>
    <t>EMI_per_sqm.kgCO2.BE.Ser.Bld.Thermal.SH.Geo.Geo</t>
  </si>
  <si>
    <t>EMI_per_sqm.kgCO2.BE.Ser.Bld.Thermal.SH.DistrHeat.Steam_Distr</t>
  </si>
  <si>
    <t>EMI_per_sqm.kgCO2.BE.Ser.Bld.Thermal.SH.AdvElc.Elec</t>
  </si>
  <si>
    <t>EMI_per_sqm.kgCO2.BE.Ser.Bld.Thermal.SH.ConvElc.Elec</t>
  </si>
  <si>
    <t>EMI_per_sqm.kgCO2.BE.Ser.Bld.Thermal.SH.TotalCirculation.Elec</t>
  </si>
  <si>
    <t>EMI_per_sqm.kgCO2.BE.Ser.Bld.Thermal.SC</t>
  </si>
  <si>
    <t>EMI_per_sqm.kgCO2.BE.Ser.Bld.Thermal.SC.GasHP.NG_Biogas</t>
  </si>
  <si>
    <t>EMI_per_sqm.kgCO2.BE.Ser.Bld.Thermal.SC.AC.Elec</t>
  </si>
  <si>
    <t>EMI_per_sqm.kgCO2.BE.Ser.Bld.Thermal.HW</t>
  </si>
  <si>
    <t>EMI_per_sqm.kgCO2.BE.Ser.Bld.Thermal.HW.Solids.Solids</t>
  </si>
  <si>
    <t>EMI_per_sqm.kgCO2.BE.Ser.Bld.Thermal.HW.LPG.LPG</t>
  </si>
  <si>
    <t>EMI_per_sqm.kgCO2.BE.Ser.Bld.Thermal.HW.Oil.Oil_LiqBio</t>
  </si>
  <si>
    <t>EMI_per_sqm.kgCO2.BE.Ser.Bld.Thermal.HW.Gas.NG_Biogas</t>
  </si>
  <si>
    <t>EMI_per_sqm.kgCO2.BE.Ser.Bld.Thermal.HW.Biomass.Biomass_Waste</t>
  </si>
  <si>
    <t>EMI_per_sqm.kgCO2.BE.Ser.Bld.Thermal.HW.DistrHeat.Steam_Distr</t>
  </si>
  <si>
    <t>EMI_per_sqm.kgCO2.BE.Ser.Bld.Thermal.HW.Elc.Elec</t>
  </si>
  <si>
    <t>EMI_per_sqm.kgCO2.BE.Ser.Bld.Thermal.HW.TotalSolar.Solar</t>
  </si>
  <si>
    <t>EMI_per_sqm.kgCO2.BE.Ser.Bld.Thermal.CA</t>
  </si>
  <si>
    <t>EMI_per_sqm.kgCO2.BE.Ser.Bld.Thermal.CA.LPG</t>
  </si>
  <si>
    <t>EMI_per_sqm.kgCO2.BE.Ser.Bld.Thermal.CA.Gas.NG_Biogas</t>
  </si>
  <si>
    <t>EMI_per_sqm.kgCO2.BE.Ser.Bld.Thermal.CA.Biomass.Biomass_Waste</t>
  </si>
  <si>
    <t>EMI_per_sqm.kgCO2.BE.Ser.Bld.Thermal.CA.Elc.Elec</t>
  </si>
  <si>
    <t>BE - Number of new and renovated buildings</t>
  </si>
  <si>
    <t>NUM.number.BE.Ser.BldNew.Thermal</t>
  </si>
  <si>
    <t>NUM.number.BE.Ser.BldNew.Thermal.SH</t>
  </si>
  <si>
    <t>NUM.number.BE.Ser.BldNew.Thermal.SH.Solids</t>
  </si>
  <si>
    <t>NUM.number.BE.Ser.BldNew.Thermal.SH.LPG</t>
  </si>
  <si>
    <t>NUM.number.BE.Ser.BldNew.Thermal.SH.Oil</t>
  </si>
  <si>
    <t>NUM.number.BE.Ser.BldNew.Thermal.SH.GasHP</t>
  </si>
  <si>
    <t>NUM.number.BE.Ser.BldNew.Thermal.SH.GasTH</t>
  </si>
  <si>
    <t>NUM.number.BE.Ser.BldNew.Thermal.SH.Biomass</t>
  </si>
  <si>
    <t>NUM.number.BE.Ser.BldNew.Thermal.SH.Geo</t>
  </si>
  <si>
    <t>NUM.number.BE.Ser.BldNew.Thermal.SH.DistrHeat</t>
  </si>
  <si>
    <t>NUM.number.BE.Ser.BldNew.Thermal.SH.AdvElc</t>
  </si>
  <si>
    <t>NUM.number.BE.Ser.BldNew.Thermal.SH.ConvElc</t>
  </si>
  <si>
    <t>NUM.number.BE.Ser.BldNew.Thermal.SC</t>
  </si>
  <si>
    <t>NUM.number.BE.Ser.BldNew.Thermal.SC.GasHP</t>
  </si>
  <si>
    <t>NUM.number.BE.Ser.BldNew.Thermal.SC.AC</t>
  </si>
  <si>
    <t>NUM.number.BE.Ser.BldNew.Thermal.HW</t>
  </si>
  <si>
    <t>NUM.number.BE.Ser.BldNew.Thermal.HW.Solids</t>
  </si>
  <si>
    <t>NUM.number.BE.Ser.BldNew.Thermal.HW.LPG</t>
  </si>
  <si>
    <t>NUM.number.BE.Ser.BldNew.Thermal.HW.Oil</t>
  </si>
  <si>
    <t>NUM.number.BE.Ser.BldNew.Thermal.HW.Gas</t>
  </si>
  <si>
    <t>NUM.number.BE.Ser.BldNew.Thermal.HW.Biomass</t>
  </si>
  <si>
    <t>NUM.number.BE.Ser.BldNew.Thermal.HW.DistrHeat</t>
  </si>
  <si>
    <t>NUM.number.BE.Ser.BldNew.Thermal.HW.Elc</t>
  </si>
  <si>
    <t>NUM.number.BE.Ser.BldNew.Thermal.HW.Solar</t>
  </si>
  <si>
    <t>NUM.number.BE.Ser.BldNew.Thermal.CA</t>
  </si>
  <si>
    <t>NUM.number.BE.Ser.BldNew.Thermal.CA.LPG</t>
  </si>
  <si>
    <t>NUM.number.BE.Ser.BldNew.Thermal.CA.Gas</t>
  </si>
  <si>
    <t>NUM.number.BE.Ser.BldNew.Thermal.CA.Biomass</t>
  </si>
  <si>
    <t>NUM.number.BE.Ser.BldNew.Thermal.CA.Elc</t>
  </si>
  <si>
    <t>BE - Final energy consumption in new and renovated buildings</t>
  </si>
  <si>
    <t>FEC.ktoe.BE.Ser.BldNew.Thermal</t>
  </si>
  <si>
    <t>FEC.ktoe.BE.Ser.BldNew.Thermal.SH</t>
  </si>
  <si>
    <t>FEC.ktoe.BE.Ser.BldNew.Thermal.SH.Solids.Solids</t>
  </si>
  <si>
    <t>FEC.ktoe.BE.Ser.BldNew.Thermal.SH.LPG.LPG</t>
  </si>
  <si>
    <t>FEC.ktoe.BE.Ser.BldNew.Thermal.SH.Oil.Oil_LiqBio</t>
  </si>
  <si>
    <t>FEC.ktoe.BE.Ser.BldNew.Thermal.SH.GasHP.NG_Biogas</t>
  </si>
  <si>
    <t>FEC.ktoe.BE.Ser.BldNew.Thermal.SH.GasTH.NG_Biogas</t>
  </si>
  <si>
    <t>FEC.ktoe.BE.Ser.BldNew.Thermal.SH.Biomass.Biomass_Waste</t>
  </si>
  <si>
    <t>FEC.ktoe.BE.Ser.BldNew.Thermal.SH.Geo.Geo</t>
  </si>
  <si>
    <t>FEC.ktoe.BE.Ser.BldNew.Thermal.SH.DistrHeat.Steam_Distr</t>
  </si>
  <si>
    <t>FEC.ktoe.BE.Ser.BldNew.Thermal.SH.AdvElc.Elec</t>
  </si>
  <si>
    <t>FEC.ktoe.BE.Ser.BldNew.Thermal.SH.ConvElc.Elec</t>
  </si>
  <si>
    <t>FEC.ktoe.BE.Ser.BldNew.Thermal.SH.TotalCirculation.Elec</t>
  </si>
  <si>
    <t>FEC.ktoe.BE.Ser.BldNew.Thermal.SC</t>
  </si>
  <si>
    <t>FEC.ktoe.BE.Ser.BldNew.Thermal.SC.GasHP.NG_Biogas</t>
  </si>
  <si>
    <t>FEC.ktoe.BE.Ser.BldNew.Thermal.SC.AC.Elec</t>
  </si>
  <si>
    <t>FEC.ktoe.BE.Ser.BldNew.Thermal.HW</t>
  </si>
  <si>
    <t>FEC.ktoe.BE.Ser.BldNew.Thermal.HW.Solids.Solids</t>
  </si>
  <si>
    <t>FEC.ktoe.BE.Ser.BldNew.Thermal.HW.LPG.LPG</t>
  </si>
  <si>
    <t>FEC.ktoe.BE.Ser.BldNew.Thermal.HW.Oil.Oil_LiqBio</t>
  </si>
  <si>
    <t>FEC.ktoe.BE.Ser.BldNew.Thermal.HW.Gas.NG_Biogas</t>
  </si>
  <si>
    <t>FEC.ktoe.BE.Ser.BldNew.Thermal.HW.Biomass.Biomass_Waste</t>
  </si>
  <si>
    <t>FEC.ktoe.BE.Ser.BldNew.Thermal.HW.DistrHeat.Steam_Distr</t>
  </si>
  <si>
    <t>FEC.ktoe.BE.Ser.BldNew.Thermal.HW.Elc.Elec</t>
  </si>
  <si>
    <t>FEC.ktoe.BE.Ser.BldNew.Thermal.HW.TotalSolar.Solar</t>
  </si>
  <si>
    <t>FEC.ktoe.BE.Ser.BldNew.Thermal.CA</t>
  </si>
  <si>
    <t>FEC.ktoe.BE.Ser.BldNew.Thermal.CA.LPG</t>
  </si>
  <si>
    <t>FEC.ktoe.BE.Ser.BldNew.Thermal.CA.Gas.NG_Biogas</t>
  </si>
  <si>
    <t>FEC.ktoe.BE.Ser.BldNew.Thermal.CA.Biomass.Biomass_Waste</t>
  </si>
  <si>
    <t>FEC.ktoe.BE.Ser.BldNew.Thermal.CA.Elc.Elec</t>
  </si>
  <si>
    <t>BE - Thermal energy service in new and renovated buildings</t>
  </si>
  <si>
    <t>TES.ktoe.BE.Ser.BldNew.Thermal</t>
  </si>
  <si>
    <t>TES.ktoe.BE.Ser.BldNew.Thermal.SH</t>
  </si>
  <si>
    <t>TES.ktoe.BE.Ser.BldNew.Thermal.SH.Solids.Solids</t>
  </si>
  <si>
    <t>TES.ktoe.BE.Ser.BldNew.Thermal.SH.LPG.LPG</t>
  </si>
  <si>
    <t>TES.ktoe.BE.Ser.BldNew.Thermal.SH.Oil.Oil_LiqBio</t>
  </si>
  <si>
    <t>TES.ktoe.BE.Ser.BldNew.Thermal.SH.GasHP.NG_Biogas</t>
  </si>
  <si>
    <t>TES.ktoe.BE.Ser.BldNew.Thermal.SH.GasTH.NG_Biogas</t>
  </si>
  <si>
    <t>TES.ktoe.BE.Ser.BldNew.Thermal.SH.Biomass.Biomass_Waste</t>
  </si>
  <si>
    <t>TES.ktoe.BE.Ser.BldNew.Thermal.SH.Geo.Geo</t>
  </si>
  <si>
    <t>TES.ktoe.BE.Ser.BldNew.Thermal.SH.DistrHeat.Steam_Distr</t>
  </si>
  <si>
    <t>TES.ktoe.BE.Ser.BldNew.Thermal.SH.AdvElc.Elec</t>
  </si>
  <si>
    <t>TES.ktoe.BE.Ser.BldNew.Thermal.SH.ConvElc.Elec</t>
  </si>
  <si>
    <t>TES.ktoe.BE.Ser.BldNew.Thermal.SH.TotalCirculation.Elec</t>
  </si>
  <si>
    <t>TES.ktoe.BE.Ser.BldNew.Thermal.SC</t>
  </si>
  <si>
    <t>TES.ktoe.BE.Ser.BldNew.Thermal.SC.GasHP.NG_Biogas</t>
  </si>
  <si>
    <t>TES.ktoe.BE.Ser.BldNew.Thermal.SC.AC.Elec</t>
  </si>
  <si>
    <t>TES.ktoe.BE.Ser.BldNew.Thermal.HW</t>
  </si>
  <si>
    <t>TES.ktoe.BE.Ser.BldNew.Thermal.HW.Solids.Solids</t>
  </si>
  <si>
    <t>TES.ktoe.BE.Ser.BldNew.Thermal.HW.LPG.LPG</t>
  </si>
  <si>
    <t>TES.ktoe.BE.Ser.BldNew.Thermal.HW.Oil.Oil_LiqBio</t>
  </si>
  <si>
    <t>TES.ktoe.BE.Ser.BldNew.Thermal.HW.Gas.NG_Biogas</t>
  </si>
  <si>
    <t>TES.ktoe.BE.Ser.BldNew.Thermal.HW.Biomass.Biomass_Waste</t>
  </si>
  <si>
    <t>TES.ktoe.BE.Ser.BldNew.Thermal.HW.DistrHeat.Steam_Distr</t>
  </si>
  <si>
    <t>TES.ktoe.BE.Ser.BldNew.Thermal.HW.Elc.Elec</t>
  </si>
  <si>
    <t>TES.ktoe.BE.Ser.BldNew.Thermal.HW.TotalSolar.Solar</t>
  </si>
  <si>
    <t>TES.ktoe.BE.Ser.BldNew.Thermal.CA</t>
  </si>
  <si>
    <t>TES.ktoe.BE.Ser.BldNew.Thermal.CA.LPG</t>
  </si>
  <si>
    <t>TES.ktoe.BE.Ser.BldNew.Thermal.CA.Gas.NG_Biogas</t>
  </si>
  <si>
    <t>TES.ktoe.BE.Ser.BldNew.Thermal.CA.Biomass.Biomass_Waste</t>
  </si>
  <si>
    <t>TES.ktoe.BE.Ser.BldNew.Thermal.CA.Elc.Elec</t>
  </si>
  <si>
    <t>BE - System efficiency indicator of new and renovated buildings</t>
  </si>
  <si>
    <t>Eff.ratio.BE.Ser.BldNew.Thermal</t>
  </si>
  <si>
    <t>Eff.ratio.BE.Ser.BldNew.Thermal.SH</t>
  </si>
  <si>
    <t>Eff.ratio.BE.Ser.BldNew.Thermal.SH.Solids.Solids</t>
  </si>
  <si>
    <t>Eff.ratio.BE.Ser.BldNew.Thermal.SH.LPG.LPG</t>
  </si>
  <si>
    <t>Eff.ratio.BE.Ser.BldNew.Thermal.SH.Oil.Oil_LiqBio</t>
  </si>
  <si>
    <t>Eff.ratio.BE.Ser.BldNew.Thermal.SH.GasHP.NG_Biogas</t>
  </si>
  <si>
    <t>Eff.ratio.BE.Ser.BldNew.Thermal.SH.GasTH.NG_Biogas</t>
  </si>
  <si>
    <t>Eff.ratio.BE.Ser.BldNew.Thermal.SH.Biomass.Biomass_Waste</t>
  </si>
  <si>
    <t>Eff.ratio.BE.Ser.BldNew.Thermal.SH.Geo.Geo</t>
  </si>
  <si>
    <t>Eff.ratio.BE.Ser.BldNew.Thermal.SH.DistrHeat.Steam_Distr</t>
  </si>
  <si>
    <t>Eff.ratio.BE.Ser.BldNew.Thermal.SH.AdvElc.Elec</t>
  </si>
  <si>
    <t>Eff.ratio.BE.Ser.BldNew.Thermal.SH.ConvElc.Elec</t>
  </si>
  <si>
    <t>Eff.ratio.BE.Ser.BldNew.Thermal.SH.TotalCirculation.Elec</t>
  </si>
  <si>
    <t>Eff.ratio.BE.Ser.BldNew.Thermal.SC</t>
  </si>
  <si>
    <t>Eff.ratio.BE.Ser.BldNew.Thermal.SC.GasHP.NG_Biogas</t>
  </si>
  <si>
    <t>Eff.ratio.BE.Ser.BldNew.Thermal.SC.AC.Elec</t>
  </si>
  <si>
    <t>Eff.ratio.BE.Ser.BldNew.Thermal.HW</t>
  </si>
  <si>
    <t>Eff.ratio.BE.Ser.BldNew.Thermal.HW.Solids.Solids</t>
  </si>
  <si>
    <t>Eff.ratio.BE.Ser.BldNew.Thermal.HW.LPG.LPG</t>
  </si>
  <si>
    <t>Eff.ratio.BE.Ser.BldNew.Thermal.HW.Oil.Oil_LiqBio</t>
  </si>
  <si>
    <t>Eff.ratio.BE.Ser.BldNew.Thermal.HW.Gas.NG_Biogas</t>
  </si>
  <si>
    <t>Eff.ratio.BE.Ser.BldNew.Thermal.HW.Biomass.Biomass_Waste</t>
  </si>
  <si>
    <t>Eff.ratio.BE.Ser.BldNew.Thermal.HW.DistrHeat.Steam_Distr</t>
  </si>
  <si>
    <t>Eff.ratio.BE.Ser.BldNew.Thermal.HW.Elc.Elec</t>
  </si>
  <si>
    <t>Eff.ratio.BE.Ser.BldNew.Thermal.HW.TotalSolar.Solar</t>
  </si>
  <si>
    <t>Eff.ratio.BE.Ser.BldNew.Thermal.CA</t>
  </si>
  <si>
    <t>Eff.ratio.BE.Ser.BldNew.Thermal.CA.LPG</t>
  </si>
  <si>
    <t>Eff.ratio.BE.Ser.BldNew.Thermal.CA.Gas.NG_Biogas</t>
  </si>
  <si>
    <t>Eff.ratio.BE.Ser.BldNew.Thermal.CA.Biomass.Biomass_Waste</t>
  </si>
  <si>
    <t>Eff.ratio.BE.Ser.BldNew.Thermal.CA.Elc.Elec</t>
  </si>
  <si>
    <t>BE - CO2 emissions in new and renovated buildings</t>
  </si>
  <si>
    <t>EMI.ktCO2.BE.Ser.BldNew.Thermal</t>
  </si>
  <si>
    <t>EMI.ktCO2.BE.Ser.BldNew.Thermal.SH</t>
  </si>
  <si>
    <t>EMI.ktCO2.BE.Ser.BldNew.Thermal.SH.Solids.Solids</t>
  </si>
  <si>
    <t>EMI.ktCO2.BE.Ser.BldNew.Thermal.SH.LPG.LPG</t>
  </si>
  <si>
    <t>EMI.ktCO2.BE.Ser.BldNew.Thermal.SH.Oil.Oil_LiqBio</t>
  </si>
  <si>
    <t>EMI.ktCO2.BE.Ser.BldNew.Thermal.SH.GasHP.NG_Biogas</t>
  </si>
  <si>
    <t>EMI.ktCO2.BE.Ser.BldNew.Thermal.SH.GasTH.NG_Biogas</t>
  </si>
  <si>
    <t>EMI.ktCO2.BE.Ser.BldNew.Thermal.SH.Biomass.Biomass_Waste</t>
  </si>
  <si>
    <t>EMI.ktCO2.BE.Ser.BldNew.Thermal.SH.Geo.Geo</t>
  </si>
  <si>
    <t>EMI.ktCO2.BE.Ser.BldNew.Thermal.SH.DistrHeat.Steam_Distr</t>
  </si>
  <si>
    <t>EMI.ktCO2.BE.Ser.BldNew.Thermal.SH.AdvElc.Elec</t>
  </si>
  <si>
    <t>EMI.ktCO2.BE.Ser.BldNew.Thermal.SH.ConvElc.Elec</t>
  </si>
  <si>
    <t>EMI.ktCO2.BE.Ser.BldNew.Thermal.SH.TotalCirculation.Elec</t>
  </si>
  <si>
    <t>EMI.ktCO2.BE.Ser.BldNew.Thermal.SC</t>
  </si>
  <si>
    <t>EMI.ktCO2.BE.Ser.BldNew.Thermal.SC.GasHP.NG_Biogas</t>
  </si>
  <si>
    <t>EMI.ktCO2.BE.Ser.BldNew.Thermal.SC.AC.Elec</t>
  </si>
  <si>
    <t>EMI.ktCO2.BE.Ser.BldNew.Thermal.HW</t>
  </si>
  <si>
    <t>EMI.ktCO2.BE.Ser.BldNew.Thermal.HW.Solids.Solids</t>
  </si>
  <si>
    <t>EMI.ktCO2.BE.Ser.BldNew.Thermal.HW.LPG.LPG</t>
  </si>
  <si>
    <t>EMI.ktCO2.BE.Ser.BldNew.Thermal.HW.Oil.Oil_LiqBio</t>
  </si>
  <si>
    <t>EMI.ktCO2.BE.Ser.BldNew.Thermal.HW.Gas.NG_Biogas</t>
  </si>
  <si>
    <t>EMI.ktCO2.BE.Ser.BldNew.Thermal.HW.Biomass.Biomass_Waste</t>
  </si>
  <si>
    <t>EMI.ktCO2.BE.Ser.BldNew.Thermal.HW.DistrHeat.Steam_Distr</t>
  </si>
  <si>
    <t>EMI.ktCO2.BE.Ser.BldNew.Thermal.HW.Elc.Elec</t>
  </si>
  <si>
    <t>EMI.ktCO2.BE.Ser.BldNew.Thermal.HW.TotalSolar.Solar</t>
  </si>
  <si>
    <t>EMI.ktCO2.BE.Ser.BldNew.Thermal.CA</t>
  </si>
  <si>
    <t>EMI.ktCO2.BE.Ser.BldNew.Thermal.CA.LPG</t>
  </si>
  <si>
    <t>EMI.ktCO2.BE.Ser.BldNew.Thermal.CA.Gas.NG_Biogas</t>
  </si>
  <si>
    <t>EMI.ktCO2.BE.Ser.BldNew.Thermal.CA.Biomass.Biomass_Waste</t>
  </si>
  <si>
    <t>EMI.ktCO2.BE.Ser.BldNew.Thermal.CA.Elc.Elec</t>
  </si>
  <si>
    <t>BE - Final energy consumption of new and renovated buildings (per building)</t>
  </si>
  <si>
    <t>FEC_per_building.kWh.BE.Ser.BldNew.Thermal</t>
  </si>
  <si>
    <t>FEC_per_building.kWh.BE.Ser.BldNew.Thermal.SH</t>
  </si>
  <si>
    <t>FEC_per_building.kWh.BE.Ser.BldNew.Thermal.SH.Solids.Solids</t>
  </si>
  <si>
    <t>FEC_per_building.kWh.BE.Ser.BldNew.Thermal.SH.LPG.LPG</t>
  </si>
  <si>
    <t>FEC_per_building.kWh.BE.Ser.BldNew.Thermal.SH.Oil.Oil_LiqBio</t>
  </si>
  <si>
    <t>FEC_per_building.kWh.BE.Ser.BldNew.Thermal.SH.GasHP.NG_Biogas</t>
  </si>
  <si>
    <t>FEC_per_building.kWh.BE.Ser.BldNew.Thermal.SH.GasTH.NG_Biogas</t>
  </si>
  <si>
    <t>FEC_per_building.kWh.BE.Ser.BldNew.Thermal.SH.Biomass.Biomass_Waste</t>
  </si>
  <si>
    <t>FEC_per_building.kWh.BE.Ser.BldNew.Thermal.SH.Geo.Geo</t>
  </si>
  <si>
    <t>FEC_per_building.kWh.BE.Ser.BldNew.Thermal.SH.DistrHeat.Steam_Distr</t>
  </si>
  <si>
    <t>FEC_per_building.kWh.BE.Ser.BldNew.Thermal.SH.AdvElc.Elec</t>
  </si>
  <si>
    <t>FEC_per_building.kWh.BE.Ser.BldNew.Thermal.SH.ConvElc.Elec</t>
  </si>
  <si>
    <t>FEC_per_building.kWh.BE.Ser.BldNew.Thermal.SH.TotalCirculation.Elec</t>
  </si>
  <si>
    <t>FEC_per_building.kWh.BE.Ser.BldNew.Thermal.SC</t>
  </si>
  <si>
    <t>FEC_per_building.kWh.BE.Ser.BldNew.Thermal.SC.GasHP.NG_Biogas</t>
  </si>
  <si>
    <t>FEC_per_building.kWh.BE.Ser.BldNew.Thermal.SC.AC.Elec</t>
  </si>
  <si>
    <t>FEC_per_building.kWh.BE.Ser.BldNew.Thermal.HW</t>
  </si>
  <si>
    <t>FEC_per_building.kWh.BE.Ser.BldNew.Thermal.HW.Solids.Solids</t>
  </si>
  <si>
    <t>FEC_per_building.kWh.BE.Ser.BldNew.Thermal.HW.LPG.LPG</t>
  </si>
  <si>
    <t>FEC_per_building.kWh.BE.Ser.BldNew.Thermal.HW.Oil.Oil_LiqBio</t>
  </si>
  <si>
    <t>FEC_per_building.kWh.BE.Ser.BldNew.Thermal.HW.Gas.NG_Biogas</t>
  </si>
  <si>
    <t>FEC_per_building.kWh.BE.Ser.BldNew.Thermal.HW.Biomass.Biomass_Waste</t>
  </si>
  <si>
    <t>FEC_per_building.kWh.BE.Ser.BldNew.Thermal.HW.DistrHeat.Steam_Distr</t>
  </si>
  <si>
    <t>FEC_per_building.kWh.BE.Ser.BldNew.Thermal.HW.Elc.Elec</t>
  </si>
  <si>
    <t>FEC_per_building.kWh.BE.Ser.BldNew.Thermal.HW.TotalSolar.Solar</t>
  </si>
  <si>
    <t>FEC_per_building.kWh.BE.Ser.BldNew.Thermal.CA</t>
  </si>
  <si>
    <t>FEC_per_building.kWh.BE.Ser.BldNew.Thermal.CA.LPG</t>
  </si>
  <si>
    <t>FEC_per_building.kWh.BE.Ser.BldNew.Thermal.CA.Gas.NG_Biogas</t>
  </si>
  <si>
    <t>FEC_per_building.kWh.BE.Ser.BldNew.Thermal.CA.Biomass.Biomass_Waste</t>
  </si>
  <si>
    <t>FEC_per_building.kWh.BE.Ser.BldNew.Thermal.CA.Elc.Elec</t>
  </si>
  <si>
    <t>BE - Thermal energy service of new and renovated buildings (per building)</t>
  </si>
  <si>
    <t>TES_per_building.kWh.BE.Ser.BldNew.Thermal</t>
  </si>
  <si>
    <t>TES_per_building.kWh.BE.Ser.BldNew.Thermal.SH</t>
  </si>
  <si>
    <t>TES_per_building.kWh.BE.Ser.BldNew.Thermal.SH.Solids.Solids</t>
  </si>
  <si>
    <t>TES_per_building.kWh.BE.Ser.BldNew.Thermal.SH.LPG.LPG</t>
  </si>
  <si>
    <t>TES_per_building.kWh.BE.Ser.BldNew.Thermal.SH.Oil.Oil_LiqBio</t>
  </si>
  <si>
    <t>TES_per_building.kWh.BE.Ser.BldNew.Thermal.SH.GasHP.NG_Biogas</t>
  </si>
  <si>
    <t>TES_per_building.kWh.BE.Ser.BldNew.Thermal.SH.GasTH.NG_Biogas</t>
  </si>
  <si>
    <t>TES_per_building.kWh.BE.Ser.BldNew.Thermal.SH.Biomass.Biomass_Waste</t>
  </si>
  <si>
    <t>TES_per_building.kWh.BE.Ser.BldNew.Thermal.SH.Geo.Geo</t>
  </si>
  <si>
    <t>TES_per_building.kWh.BE.Ser.BldNew.Thermal.SH.DistrHeat.Steam_Distr</t>
  </si>
  <si>
    <t>TES_per_building.kWh.BE.Ser.BldNew.Thermal.SH.AdvElc.Elec</t>
  </si>
  <si>
    <t>TES_per_building.kWh.BE.Ser.BldNew.Thermal.SH.ConvElc.Elec</t>
  </si>
  <si>
    <t>TES_per_building.kWh.BE.Ser.BldNew.Thermal.SH.TotalCirculation.Elec</t>
  </si>
  <si>
    <t>TES_per_building.kWh.BE.Ser.BldNew.Thermal.SC</t>
  </si>
  <si>
    <t>TES_per_building.kWh.BE.Ser.BldNew.Thermal.SC.GasHP.NG_Biogas</t>
  </si>
  <si>
    <t>TES_per_building.kWh.BE.Ser.BldNew.Thermal.SC.AC.Elec</t>
  </si>
  <si>
    <t>TES_per_building.kWh.BE.Ser.BldNew.Thermal.HW</t>
  </si>
  <si>
    <t>TES_per_building.kWh.BE.Ser.BldNew.Thermal.HW.Solids.Solids</t>
  </si>
  <si>
    <t>TES_per_building.kWh.BE.Ser.BldNew.Thermal.HW.LPG.LPG</t>
  </si>
  <si>
    <t>TES_per_building.kWh.BE.Ser.BldNew.Thermal.HW.Oil.Oil_LiqBio</t>
  </si>
  <si>
    <t>TES_per_building.kWh.BE.Ser.BldNew.Thermal.HW.Gas.NG_Biogas</t>
  </si>
  <si>
    <t>TES_per_building.kWh.BE.Ser.BldNew.Thermal.HW.Biomass.Biomass_Waste</t>
  </si>
  <si>
    <t>TES_per_building.kWh.BE.Ser.BldNew.Thermal.HW.DistrHeat.Steam_Distr</t>
  </si>
  <si>
    <t>TES_per_building.kWh.BE.Ser.BldNew.Thermal.HW.Elc.Elec</t>
  </si>
  <si>
    <t>TES_per_building.kWh.BE.Ser.BldNew.Thermal.HW.TotalSolar.Solar</t>
  </si>
  <si>
    <t>TES_per_building.kWh.BE.Ser.BldNew.Thermal.CA</t>
  </si>
  <si>
    <t>TES_per_building.kWh.BE.Ser.BldNew.Thermal.CA.LPG</t>
  </si>
  <si>
    <t>TES_per_building.kWh.BE.Ser.BldNew.Thermal.CA.Gas.NG_Biogas</t>
  </si>
  <si>
    <t>TES_per_building.kWh.BE.Ser.BldNew.Thermal.CA.Biomass.Biomass_Waste</t>
  </si>
  <si>
    <t>TES_per_building.kWh.BE.Ser.BldNew.Thermal.CA.Elc.Elec</t>
  </si>
  <si>
    <t>BE - CO2 emissions in new and renovated buildings (per building)</t>
  </si>
  <si>
    <t>EMI_per_building.kgCO2.BE.Ser.BldNew.Thermal</t>
  </si>
  <si>
    <t>EMI_per_building.kgCO2.BE.Ser.BldNew.Thermal.SH</t>
  </si>
  <si>
    <t>EMI_per_building.kgCO2.BE.Ser.BldNew.Thermal.SH.Solids.Solids</t>
  </si>
  <si>
    <t>EMI_per_building.kgCO2.BE.Ser.BldNew.Thermal.SH.LPG.LPG</t>
  </si>
  <si>
    <t>EMI_per_building.kgCO2.BE.Ser.BldNew.Thermal.SH.Oil.Oil_LiqBio</t>
  </si>
  <si>
    <t>EMI_per_building.kgCO2.BE.Ser.BldNew.Thermal.SH.GasHP.NG_Biogas</t>
  </si>
  <si>
    <t>EMI_per_building.kgCO2.BE.Ser.BldNew.Thermal.SH.GasTH.NG_Biogas</t>
  </si>
  <si>
    <t>EMI_per_building.kgCO2.BE.Ser.BldNew.Thermal.SH.Biomass.Biomass_Waste</t>
  </si>
  <si>
    <t>EMI_per_building.kgCO2.BE.Ser.BldNew.Thermal.SH.Geo.Geo</t>
  </si>
  <si>
    <t>EMI_per_building.kgCO2.BE.Ser.BldNew.Thermal.SH.DistrHeat.Steam_Distr</t>
  </si>
  <si>
    <t>EMI_per_building.kgCO2.BE.Ser.BldNew.Thermal.SH.AdvElc.Elec</t>
  </si>
  <si>
    <t>EMI_per_building.kgCO2.BE.Ser.BldNew.Thermal.SH.ConvElc.Elec</t>
  </si>
  <si>
    <t>EMI_per_building.kgCO2.BE.Ser.BldNew.Thermal.SH.TotalCirculation.Elec</t>
  </si>
  <si>
    <t>EMI_per_building.kgCO2.BE.Ser.BldNew.Thermal.SC</t>
  </si>
  <si>
    <t>EMI_per_building.kgCO2.BE.Ser.BldNew.Thermal.SC.GasHP.NG_Biogas</t>
  </si>
  <si>
    <t>EMI_per_building.kgCO2.BE.Ser.BldNew.Thermal.SC.AC.Elec</t>
  </si>
  <si>
    <t>EMI_per_building.kgCO2.BE.Ser.BldNew.Thermal.HW</t>
  </si>
  <si>
    <t>EMI_per_building.kgCO2.BE.Ser.BldNew.Thermal.HW.Solids.Solids</t>
  </si>
  <si>
    <t>EMI_per_building.kgCO2.BE.Ser.BldNew.Thermal.HW.LPG.LPG</t>
  </si>
  <si>
    <t>EMI_per_building.kgCO2.BE.Ser.BldNew.Thermal.HW.Oil.Oil_LiqBio</t>
  </si>
  <si>
    <t>EMI_per_building.kgCO2.BE.Ser.BldNew.Thermal.HW.Gas.NG_Biogas</t>
  </si>
  <si>
    <t>EMI_per_building.kgCO2.BE.Ser.BldNew.Thermal.HW.Biomass.Biomass_Waste</t>
  </si>
  <si>
    <t>EMI_per_building.kgCO2.BE.Ser.BldNew.Thermal.HW.DistrHeat.Steam_Distr</t>
  </si>
  <si>
    <t>EMI_per_building.kgCO2.BE.Ser.BldNew.Thermal.HW.Elc.Elec</t>
  </si>
  <si>
    <t>EMI_per_building.kgCO2.BE.Ser.BldNew.Thermal.HW.TotalSolar.Solar</t>
  </si>
  <si>
    <t>EMI_per_building.kgCO2.BE.Ser.BldNew.Thermal.CA</t>
  </si>
  <si>
    <t>EMI_per_building.kgCO2.BE.Ser.BldNew.Thermal.CA.LPG</t>
  </si>
  <si>
    <t>EMI_per_building.kgCO2.BE.Ser.BldNew.Thermal.CA.Gas.NG_Biogas</t>
  </si>
  <si>
    <t>EMI_per_building.kgCO2.BE.Ser.BldNew.Thermal.CA.Biomass.Biomass_Waste</t>
  </si>
  <si>
    <t>EMI_per_building.kgCO2.BE.Ser.BldNew.Thermal.CA.Elc.Elec</t>
  </si>
  <si>
    <t>BE - Final energy consumption in new and renovated buildings per surface area</t>
  </si>
  <si>
    <t>FEC_per_sqm.kWh.BE.Ser.BldNew.Thermal</t>
  </si>
  <si>
    <t>FEC_per_sqm.kWh.BE.Ser.BldNew.Thermal.SH</t>
  </si>
  <si>
    <t>FEC_per_sqm.kWh.BE.Ser.BldNew.Thermal.SH.Solids.Solids</t>
  </si>
  <si>
    <t>FEC_per_sqm.kWh.BE.Ser.BldNew.Thermal.SH.LPG.LPG</t>
  </si>
  <si>
    <t>FEC_per_sqm.kWh.BE.Ser.BldNew.Thermal.SH.Oil.Oil_LiqBio</t>
  </si>
  <si>
    <t>FEC_per_sqm.kWh.BE.Ser.BldNew.Thermal.SH.GasHP.NG_Biogas</t>
  </si>
  <si>
    <t>FEC_per_sqm.kWh.BE.Ser.BldNew.Thermal.SH.GasTH.NG_Biogas</t>
  </si>
  <si>
    <t>FEC_per_sqm.kWh.BE.Ser.BldNew.Thermal.SH.Biomass.Biomass_Waste</t>
  </si>
  <si>
    <t>FEC_per_sqm.kWh.BE.Ser.BldNew.Thermal.SH.Geo.Geo</t>
  </si>
  <si>
    <t>FEC_per_sqm.kWh.BE.Ser.BldNew.Thermal.SH.DistrHeat.Steam_Distr</t>
  </si>
  <si>
    <t>FEC_per_sqm.kWh.BE.Ser.BldNew.Thermal.SH.AdvElc.Elec</t>
  </si>
  <si>
    <t>FEC_per_sqm.kWh.BE.Ser.BldNew.Thermal.SH.ConvElc.Elec</t>
  </si>
  <si>
    <t>FEC_per_sqm.kWh.BE.Ser.BldNew.Thermal.SH.TotalCirculation.Elec</t>
  </si>
  <si>
    <t>FEC_per_sqm.kWh.BE.Ser.BldNew.Thermal.SC</t>
  </si>
  <si>
    <t>FEC_per_sqm.kWh.BE.Ser.BldNew.Thermal.SC.GasHP.NG_Biogas</t>
  </si>
  <si>
    <t>FEC_per_sqm.kWh.BE.Ser.BldNew.Thermal.SC.AC.Elec</t>
  </si>
  <si>
    <t>FEC_per_sqm.kWh.BE.Ser.BldNew.Thermal.HW</t>
  </si>
  <si>
    <t>FEC_per_sqm.kWh.BE.Ser.BldNew.Thermal.HW.Solids.Solids</t>
  </si>
  <si>
    <t>FEC_per_sqm.kWh.BE.Ser.BldNew.Thermal.HW.LPG.LPG</t>
  </si>
  <si>
    <t>FEC_per_sqm.kWh.BE.Ser.BldNew.Thermal.HW.Oil.Oil_LiqBio</t>
  </si>
  <si>
    <t>FEC_per_sqm.kWh.BE.Ser.BldNew.Thermal.HW.Gas.NG_Biogas</t>
  </si>
  <si>
    <t>FEC_per_sqm.kWh.BE.Ser.BldNew.Thermal.HW.Biomass.Biomass_Waste</t>
  </si>
  <si>
    <t>FEC_per_sqm.kWh.BE.Ser.BldNew.Thermal.HW.DistrHeat.Steam_Distr</t>
  </si>
  <si>
    <t>FEC_per_sqm.kWh.BE.Ser.BldNew.Thermal.HW.Elc.Elec</t>
  </si>
  <si>
    <t>FEC_per_sqm.kWh.BE.Ser.BldNew.Thermal.HW.TotalSolar.Solar</t>
  </si>
  <si>
    <t>FEC_per_sqm.kWh.BE.Ser.BldNew.Thermal.CA</t>
  </si>
  <si>
    <t>FEC_per_sqm.kWh.BE.Ser.BldNew.Thermal.CA.LPG</t>
  </si>
  <si>
    <t>FEC_per_sqm.kWh.BE.Ser.BldNew.Thermal.CA.Gas.NG_Biogas</t>
  </si>
  <si>
    <t>FEC_per_sqm.kWh.BE.Ser.BldNew.Thermal.CA.Biomass.Biomass_Waste</t>
  </si>
  <si>
    <t>FEC_per_sqm.kWh.BE.Ser.BldNew.Thermal.CA.Elc.Elec</t>
  </si>
  <si>
    <t>BE - Thermal energy service in new and renovated buildings per surface area</t>
  </si>
  <si>
    <t>TES_per_sqm.kWh.BE.Ser.BldNew.Thermal</t>
  </si>
  <si>
    <t>TES_per_sqm.kWh.BE.Ser.BldNew.Thermal.SH</t>
  </si>
  <si>
    <t>TES_per_sqm.kWh.BE.Ser.BldNew.Thermal.SH.Solids.Solids</t>
  </si>
  <si>
    <t>TES_per_sqm.kWh.BE.Ser.BldNew.Thermal.SH.LPG.LPG</t>
  </si>
  <si>
    <t>TES_per_sqm.kWh.BE.Ser.BldNew.Thermal.SH.Oil.Oil_LiqBio</t>
  </si>
  <si>
    <t>TES_per_sqm.kWh.BE.Ser.BldNew.Thermal.SH.GasHP.NG_Biogas</t>
  </si>
  <si>
    <t>TES_per_sqm.kWh.BE.Ser.BldNew.Thermal.SH.GasTH.NG_Biogas</t>
  </si>
  <si>
    <t>TES_per_sqm.kWh.BE.Ser.BldNew.Thermal.SH.Biomass.Biomass_Waste</t>
  </si>
  <si>
    <t>TES_per_sqm.kWh.BE.Ser.BldNew.Thermal.SH.Geo.Geo</t>
  </si>
  <si>
    <t>TES_per_sqm.kWh.BE.Ser.BldNew.Thermal.SH.DistrHeat.Steam_Distr</t>
  </si>
  <si>
    <t>TES_per_sqm.kWh.BE.Ser.BldNew.Thermal.SH.AdvElc.Elec</t>
  </si>
  <si>
    <t>TES_per_sqm.kWh.BE.Ser.BldNew.Thermal.SH.ConvElc.Elec</t>
  </si>
  <si>
    <t>TES_per_sqm.kWh.BE.Ser.BldNew.Thermal.SH.TotalCirculation.Elec</t>
  </si>
  <si>
    <t>TES_per_sqm.kWh.BE.Ser.BldNew.Thermal.SC</t>
  </si>
  <si>
    <t>TES_per_sqm.kWh.BE.Ser.BldNew.Thermal.SC.GasHP.NG_Biogas</t>
  </si>
  <si>
    <t>TES_per_sqm.kWh.BE.Ser.BldNew.Thermal.SC.AC.Elec</t>
  </si>
  <si>
    <t>TES_per_sqm.kWh.BE.Ser.BldNew.Thermal.HW</t>
  </si>
  <si>
    <t>TES_per_sqm.kWh.BE.Ser.BldNew.Thermal.HW.Solids.Solids</t>
  </si>
  <si>
    <t>TES_per_sqm.kWh.BE.Ser.BldNew.Thermal.HW.LPG.LPG</t>
  </si>
  <si>
    <t>TES_per_sqm.kWh.BE.Ser.BldNew.Thermal.HW.Oil.Oil_LiqBio</t>
  </si>
  <si>
    <t>TES_per_sqm.kWh.BE.Ser.BldNew.Thermal.HW.Gas.NG_Biogas</t>
  </si>
  <si>
    <t>TES_per_sqm.kWh.BE.Ser.BldNew.Thermal.HW.Biomass.Biomass_Waste</t>
  </si>
  <si>
    <t>TES_per_sqm.kWh.BE.Ser.BldNew.Thermal.HW.DistrHeat.Steam_Distr</t>
  </si>
  <si>
    <t>TES_per_sqm.kWh.BE.Ser.BldNew.Thermal.HW.Elc.Elec</t>
  </si>
  <si>
    <t>TES_per_sqm.kWh.BE.Ser.BldNew.Thermal.HW.TotalSolar.Solar</t>
  </si>
  <si>
    <t>TES_per_sqm.kWh.BE.Ser.BldNew.Thermal.CA</t>
  </si>
  <si>
    <t>TES_per_sqm.kWh.BE.Ser.BldNew.Thermal.CA.LPG</t>
  </si>
  <si>
    <t>TES_per_sqm.kWh.BE.Ser.BldNew.Thermal.CA.Gas.NG_Biogas</t>
  </si>
  <si>
    <t>TES_per_sqm.kWh.BE.Ser.BldNew.Thermal.CA.Biomass.Biomass_Waste</t>
  </si>
  <si>
    <t>TES_per_sqm.kWh.BE.Ser.BldNew.Thermal.CA.Elc.Elec</t>
  </si>
  <si>
    <t>BE - CO2 emissions in new and renovated buildings per surface area</t>
  </si>
  <si>
    <t>EMI_per_sqm.kgCO2.BE.Ser.BldNew.Thermal</t>
  </si>
  <si>
    <t>EMI_per_sqm.kgCO2.BE.Ser.BldNew.Thermal.SH</t>
  </si>
  <si>
    <t>EMI_per_sqm.kgCO2.BE.Ser.BldNew.Thermal.SH.Solids.Solids</t>
  </si>
  <si>
    <t>EMI_per_sqm.kgCO2.BE.Ser.BldNew.Thermal.SH.LPG.LPG</t>
  </si>
  <si>
    <t>EMI_per_sqm.kgCO2.BE.Ser.BldNew.Thermal.SH.Oil.Oil_LiqBio</t>
  </si>
  <si>
    <t>EMI_per_sqm.kgCO2.BE.Ser.BldNew.Thermal.SH.GasHP.NG_Biogas</t>
  </si>
  <si>
    <t>EMI_per_sqm.kgCO2.BE.Ser.BldNew.Thermal.SH.GasTH.NG_Biogas</t>
  </si>
  <si>
    <t>EMI_per_sqm.kgCO2.BE.Ser.BldNew.Thermal.SH.Biomass.Biomass_Waste</t>
  </si>
  <si>
    <t>EMI_per_sqm.kgCO2.BE.Ser.BldNew.Thermal.SH.Geo.Geo</t>
  </si>
  <si>
    <t>EMI_per_sqm.kgCO2.BE.Ser.BldNew.Thermal.SH.DistrHeat.Steam_Distr</t>
  </si>
  <si>
    <t>EMI_per_sqm.kgCO2.BE.Ser.BldNew.Thermal.SH.AdvElc.Elec</t>
  </si>
  <si>
    <t>EMI_per_sqm.kgCO2.BE.Ser.BldNew.Thermal.SH.ConvElc.Elec</t>
  </si>
  <si>
    <t>EMI_per_sqm.kgCO2.BE.Ser.BldNew.Thermal.SH.TotalCirculation.Elec</t>
  </si>
  <si>
    <t>EMI_per_sqm.kgCO2.BE.Ser.BldNew.Thermal.SC</t>
  </si>
  <si>
    <t>EMI_per_sqm.kgCO2.BE.Ser.BldNew.Thermal.SC.GasHP.NG_Biogas</t>
  </si>
  <si>
    <t>EMI_per_sqm.kgCO2.BE.Ser.BldNew.Thermal.SC.AC.Elec</t>
  </si>
  <si>
    <t>EMI_per_sqm.kgCO2.BE.Ser.BldNew.Thermal.HW</t>
  </si>
  <si>
    <t>EMI_per_sqm.kgCO2.BE.Ser.BldNew.Thermal.HW.Solids.Solids</t>
  </si>
  <si>
    <t>EMI_per_sqm.kgCO2.BE.Ser.BldNew.Thermal.HW.LPG.LPG</t>
  </si>
  <si>
    <t>EMI_per_sqm.kgCO2.BE.Ser.BldNew.Thermal.HW.Oil.Oil_LiqBio</t>
  </si>
  <si>
    <t>EMI_per_sqm.kgCO2.BE.Ser.BldNew.Thermal.HW.Gas.NG_Biogas</t>
  </si>
  <si>
    <t>EMI_per_sqm.kgCO2.BE.Ser.BldNew.Thermal.HW.Biomass.Biomass_Waste</t>
  </si>
  <si>
    <t>EMI_per_sqm.kgCO2.BE.Ser.BldNew.Thermal.HW.DistrHeat.Steam_Distr</t>
  </si>
  <si>
    <t>EMI_per_sqm.kgCO2.BE.Ser.BldNew.Thermal.HW.Elc.Elec</t>
  </si>
  <si>
    <t>EMI_per_sqm.kgCO2.BE.Ser.BldNew.Thermal.HW.TotalSolar.Solar</t>
  </si>
  <si>
    <t>EMI_per_sqm.kgCO2.BE.Ser.BldNew.Thermal.CA</t>
  </si>
  <si>
    <t>EMI_per_sqm.kgCO2.BE.Ser.BldNew.Thermal.CA.LPG</t>
  </si>
  <si>
    <t>EMI_per_sqm.kgCO2.BE.Ser.BldNew.Thermal.CA.Gas.NG_Biogas</t>
  </si>
  <si>
    <t>EMI_per_sqm.kgCO2.BE.Ser.BldNew.Thermal.CA.Biomass.Biomass_Waste</t>
  </si>
  <si>
    <t>EMI_per_sqm.kgCO2.BE.Ser.BldNew.Thermal.CA.Elc.Elec</t>
  </si>
  <si>
    <t>FEC.ktoe.BE.Ser.SEU.VE</t>
  </si>
  <si>
    <t>FEC.ktoe.BE.Ser.SEU.SL</t>
  </si>
  <si>
    <t>FEC.ktoe.BE.Ser.SEU.BL</t>
  </si>
  <si>
    <t>FEC.ktoe.BE.Ser.SEU.CR</t>
  </si>
  <si>
    <t>FEC.ktoe.BE.Ser.SEU.BT</t>
  </si>
  <si>
    <t>FEC.ktoe.BE.Ser.SEU.IT</t>
  </si>
  <si>
    <t>Size.MW.BE.Ser.SEU</t>
  </si>
  <si>
    <t>Size.MW.BE.Ser.SEU.VE</t>
  </si>
  <si>
    <t>Size.MW.BE.Ser.SEU.SL</t>
  </si>
  <si>
    <t>Size.MW.BE.Ser.SEU.BL</t>
  </si>
  <si>
    <t>Size.MW.BE.Ser.SEU.CR</t>
  </si>
  <si>
    <t>Size.MW.BE.Ser.SEU.BT</t>
  </si>
  <si>
    <t>Size.MW.BE.Ser.SEU.IT</t>
  </si>
  <si>
    <t>NUM.Msqm.BE.Ser.SEU.VE</t>
  </si>
  <si>
    <t>NUM.k.BE.Ser.SEU.SL</t>
  </si>
  <si>
    <t>NUM.M.BE.Ser.SEU.BL</t>
  </si>
  <si>
    <t>NUM.k.BE.Ser.SEU.CR</t>
  </si>
  <si>
    <t>NUM.Msqm.BE.Ser.SEU.BT</t>
  </si>
  <si>
    <t>NUM.k.BE.Ser.SEU.IT</t>
  </si>
  <si>
    <t>NUM.Msqm.BE.Ser.SEUnew.VE</t>
  </si>
  <si>
    <t>NUM.k.BE.Ser.SEUnew.SL</t>
  </si>
  <si>
    <t>NUM.M.BE.Ser.SEUnew.BL</t>
  </si>
  <si>
    <t>NUM.k.BE.Ser.SEUnew.CR</t>
  </si>
  <si>
    <t>NUM.Msqm.BE.Ser.SEUnew.BT</t>
  </si>
  <si>
    <t>NUM.k.BE.Ser.SEUnew.IT</t>
  </si>
  <si>
    <t>NUM.Msqm.BE.Ser.SEUrepl.VE</t>
  </si>
  <si>
    <t>NUM.k.BE.Ser.SEUrepl.SL</t>
  </si>
  <si>
    <t>NUM.M.BE.Ser.SEUrepl.BL</t>
  </si>
  <si>
    <t>NUM.k.BE.Ser.SEUrepl.CR</t>
  </si>
  <si>
    <t>NUM.Msqm.BE.Ser.SEUrepl.BT</t>
  </si>
  <si>
    <t>NUM.k.BE.Ser.SEUrepl.IT</t>
  </si>
  <si>
    <t>Op.hours.BE.Ser.SEU.VE</t>
  </si>
  <si>
    <t>Op.hours.BE.Ser.SEU.SL</t>
  </si>
  <si>
    <t>Op.hours.BE.Ser.SEU.BL</t>
  </si>
  <si>
    <t>Op.hours.BE.Ser.SEU.CR</t>
  </si>
  <si>
    <t>Op.hours.BE.Ser.SEU.BT</t>
  </si>
  <si>
    <t>Op.hours.BE.Ser.SEU.IT</t>
  </si>
  <si>
    <t>Size_per_appl.W.BE.Ser.SEU.VE</t>
  </si>
  <si>
    <t>Size_per_appl.W.BE.Ser.SEU.SL</t>
  </si>
  <si>
    <t>Size_per_appl.W.BE.Ser.SEU.BL</t>
  </si>
  <si>
    <t>Size_per_appl.W.BE.Ser.SEU.CR</t>
  </si>
  <si>
    <t>Size_per_appl.W.BE.Ser.SEU.BT</t>
  </si>
  <si>
    <t>Size_per_appl.W.BE.Ser.SEU.IT</t>
  </si>
  <si>
    <t>Size_per_appl.W.BE.Ser.SEUnew.VE</t>
  </si>
  <si>
    <t>Size_per_appl.W.BE.Ser.SEUnew.SL</t>
  </si>
  <si>
    <t>Size_per_appl.W.BE.Ser.SEUnew.BL</t>
  </si>
  <si>
    <t>Size_per_appl.W.BE.Ser.SEUnew.CR</t>
  </si>
  <si>
    <t>Size_per_appl.W.BE.Ser.SEUnew.BT</t>
  </si>
  <si>
    <t>Size_per_appl.W.BE.Ser.SEUnew.IT</t>
  </si>
  <si>
    <t>NUM.sqm_per_building.BE.Ser.SEU.VE</t>
  </si>
  <si>
    <t>NUM.number_per_capita.BE.Ser.SEU.SL</t>
  </si>
  <si>
    <t>NUM.number_per_building.BE.Ser.SEU.BL</t>
  </si>
  <si>
    <t>NUM.number_per_capita.BE.Ser.SEU.CR</t>
  </si>
  <si>
    <t>NUM.sqm_per_building.BE.Ser.SEU.BT</t>
  </si>
  <si>
    <t>NUM.number_per_capita.BE.Ser.SEU.IT</t>
  </si>
  <si>
    <t>Lumens_per_sqm.lumen.BE.Ser.SEU.BL</t>
  </si>
  <si>
    <t>BE - Services / specific electric uses</t>
  </si>
  <si>
    <t>BE - Ventilation and others</t>
  </si>
  <si>
    <t>BE - Street lighting</t>
  </si>
  <si>
    <t>BE - Building lighting</t>
  </si>
  <si>
    <t>BE - Commercial refrigeration</t>
  </si>
  <si>
    <t>BE - Miscellaneous building technologies</t>
  </si>
  <si>
    <t>BE - ICT and multimedia</t>
  </si>
  <si>
    <t>BE - Agriculture, forestry and fishing</t>
  </si>
  <si>
    <t>VA.Meuro2015.BE.AGR.AGR</t>
  </si>
  <si>
    <t>OUTPUT.index.BE.AGR.AGR</t>
  </si>
  <si>
    <t>CAP.index.BE.AGR.AGR</t>
  </si>
  <si>
    <t>NEWCAP.index.BE.AGR.AGR</t>
  </si>
  <si>
    <t>CAPOUT.index.BE.AGR.AGR</t>
  </si>
  <si>
    <t>CAPIDLE.index.BE.AGR.AGR</t>
  </si>
  <si>
    <t>FEC.ktoe.BE.ES.AGR</t>
  </si>
  <si>
    <t>FEC.ktoe.BE.ES.AGR.Solids</t>
  </si>
  <si>
    <t>FEC.ktoe.BE.ES.AGR.LPG</t>
  </si>
  <si>
    <t>FEC.ktoe.BE.ES.AGR.Diesel</t>
  </si>
  <si>
    <t>FEC.ktoe.BE.ES.AGR.RFO</t>
  </si>
  <si>
    <t>FEC.ktoe.BE.ES.AGR.NG</t>
  </si>
  <si>
    <t>FEC.ktoe.BE.ES.AGR.Biomass_Waste</t>
  </si>
  <si>
    <t>FEC.ktoe.BE.ES.AGR.Biogas</t>
  </si>
  <si>
    <t>FEC.ktoe.BE.ES.AGR.LiqBio</t>
  </si>
  <si>
    <t>FEC.ktoe.BE.ES.AGR.Solar</t>
  </si>
  <si>
    <t>FEC.ktoe.BE.ES.AGR.Geo</t>
  </si>
  <si>
    <t>FEC.ktoe.BE.ES.AGR.Ambient</t>
  </si>
  <si>
    <t>FEC.ktoe.BE.ES.AGR.Steam_Distr</t>
  </si>
  <si>
    <t>FEC.ktoe.BE.ES.AGR.Elec</t>
  </si>
  <si>
    <t>BE - Agriculture, forestry and fishing / final energy consumption</t>
  </si>
  <si>
    <t>FEC.ktoe.BE.AGR.AGR.LIGHT.GENERIC.ELEC</t>
  </si>
  <si>
    <t>FEC.ktoe.BE.AGR.AGR.FANS.GENERIC.ELEC</t>
  </si>
  <si>
    <t>FEC.ktoe.BE.AGR.AGR.MOTOR.GENERIC.ELEC</t>
  </si>
  <si>
    <t>FEC.ktoe.BE.AGR.AGR.LOW_ENTH.THERM.DIESEL_LIQBIO</t>
  </si>
  <si>
    <t>FEC.ktoe.BE.AGR.AGR.LOW_ENTH.THERM.NG_BIOGAS</t>
  </si>
  <si>
    <t>FEC.ktoe.BE.AGR.AGR.LOW_ENTH.THERM.SOLAR_GEO</t>
  </si>
  <si>
    <t>FEC.ktoe.BE.AGR.AGR.LOW_ENTH.HP.AMBIENT</t>
  </si>
  <si>
    <t>FEC.ktoe.BE.AGR.AGR.LOW_ENTH.THERM.STEAM_DISTR</t>
  </si>
  <si>
    <t>FEC.ktoe.BE.AGR.AGR.LOW_ENTH.THERM.ELEC</t>
  </si>
  <si>
    <t>FEC.ktoe.BE.AGR.AGR.FARM_DRIVES.MECH.DIESEL_LIQBIO</t>
  </si>
  <si>
    <t>FEC.ktoe.BE.AGR.AGR.HEAT_USE.THERM.SOLIDS</t>
  </si>
  <si>
    <t>FEC.ktoe.BE.AGR.AGR.HEAT_USE.THERM.LPG</t>
  </si>
  <si>
    <t>FEC.ktoe.BE.AGR.AGR.HEAT_USE.THERM.DIESEL_LIQBIO</t>
  </si>
  <si>
    <t>FEC.ktoe.BE.AGR.AGR.HEAT_USE.THERM.RFO</t>
  </si>
  <si>
    <t>FEC.ktoe.BE.AGR.AGR.HEAT_USE.THERM.NG_BIOGAS</t>
  </si>
  <si>
    <t>FEC.ktoe.BE.AGR.AGR.HEAT_USE.THERM.BIOMASS_WASTE</t>
  </si>
  <si>
    <t>FEC.ktoe.BE.AGR.AGR.HEAT_USE.THERM.SOLAR_GEO</t>
  </si>
  <si>
    <t>FEC.ktoe.BE.AGR.AGR.FARM_PUMP.MECH.DIESEL_LIQBIO</t>
  </si>
  <si>
    <t>FEC.ktoe.BE.AGR.AGR.FARM_PUMP_ELEC.MECH.ELEC</t>
  </si>
  <si>
    <t>FEC.ktoe.BE.AGR.AGR.GENERIC.MECH.ELEC</t>
  </si>
  <si>
    <t>BE - Agriculture, forestry and fishing / useful energy demand</t>
  </si>
  <si>
    <t>UED.ktoe.BE.AGR.AGR.LIGHT.GENERIC.ELEC</t>
  </si>
  <si>
    <t>UED.ktoe.BE.AGR.AGR.FANS.GENERIC.ELEC</t>
  </si>
  <si>
    <t>UED.ktoe.BE.AGR.AGR.MOTOR.GENERIC.ELEC</t>
  </si>
  <si>
    <t>UED.ktoe.BE.AGR.AGR.LOW_ENTH.THERM.DIESEL_LIQBIO</t>
  </si>
  <si>
    <t>UED.ktoe.BE.AGR.AGR.LOW_ENTH.THERM.NG_BIOGAS</t>
  </si>
  <si>
    <t>UED.ktoe.BE.AGR.AGR.LOW_ENTH.THERM.SOLAR_GEO</t>
  </si>
  <si>
    <t>UED.ktoe.BE.AGR.AGR.LOW_ENTH.HP.AMBIENT</t>
  </si>
  <si>
    <t>UED.ktoe.BE.AGR.AGR.LOW_ENTH.THERM.STEAM_DISTR</t>
  </si>
  <si>
    <t>UED.ktoe.BE.AGR.AGR.LOW_ENTH.THERM.ELEC</t>
  </si>
  <si>
    <t>UED.ktoe.BE.AGR.AGR.FARM_DRIVES.MECH.DIESEL_LIQBIO</t>
  </si>
  <si>
    <t>UED.ktoe.BE.AGR.AGR.HEAT_USE.THERM.SOLIDS</t>
  </si>
  <si>
    <t>UED.ktoe.BE.AGR.AGR.HEAT_USE.THERM.LPG</t>
  </si>
  <si>
    <t>UED.ktoe.BE.AGR.AGR.HEAT_USE.THERM.DIESEL_LIQBIO</t>
  </si>
  <si>
    <t>UED.ktoe.BE.AGR.AGR.HEAT_USE.THERM.RFO</t>
  </si>
  <si>
    <t>UED.ktoe.BE.AGR.AGR.HEAT_USE.THERM.NG_BIOGAS</t>
  </si>
  <si>
    <t>UED.ktoe.BE.AGR.AGR.HEAT_USE.THERM.BIOMASS_WASTE</t>
  </si>
  <si>
    <t>UED.ktoe.BE.AGR.AGR.HEAT_USE.THERM.SOLAR_GEO</t>
  </si>
  <si>
    <t>UED.ktoe.BE.AGR.AGR.FARM_PUMP.MECH.DIESEL_LIQBIO</t>
  </si>
  <si>
    <t>UED.ktoe.BE.AGR.AGR.FARM_PUMP_ELEC.MECH.ELEC</t>
  </si>
  <si>
    <t>UED.ktoe.BE.AGR.AGR.GENERIC.MECH.ELEC</t>
  </si>
  <si>
    <t>BE - Agriculture, forestry and fishing / CO2 emissions</t>
  </si>
  <si>
    <t>FUEL_EMI.ktCO2.BE.AGR.AGR.LIGHT.GENERIC.ELEC</t>
  </si>
  <si>
    <t>FUEL_EMI.ktCO2.BE.AGR.AGR.FANS.GENERIC.ELEC</t>
  </si>
  <si>
    <t>FUEL_EMI.ktCO2.BE.AGR.AGR.MOTOR.GENERIC.ELEC</t>
  </si>
  <si>
    <t>FUEL_EMI.ktCO2.BE.AGR.AGR.LOW_ENTH.THERM.DIESEL_LIQBIO</t>
  </si>
  <si>
    <t>FUEL_EMI.ktCO2.BE.AGR.AGR.LOW_ENTH.THERM.NG_BIOGAS</t>
  </si>
  <si>
    <t>FUEL_EMI.ktCO2.BE.AGR.AGR.LOW_ENTH.THERM.SOLAR_GEO</t>
  </si>
  <si>
    <t>FUEL_EMI.ktCO2.BE.AGR.AGR.LOW_ENTH.HP.AMBIENT</t>
  </si>
  <si>
    <t>FUEL_EMI.ktCO2.BE.AGR.AGR.LOW_ENTH.THERM.STEAM_DISTR</t>
  </si>
  <si>
    <t>FUEL_EMI.ktCO2.BE.AGR.AGR.LOW_ENTH.THERM.ELEC</t>
  </si>
  <si>
    <t>FUEL_EMI.ktCO2.BE.AGR.AGR.FARM_DRIVES.MECH.DIESEL_LIQBIO</t>
  </si>
  <si>
    <t>FUEL_EMI.ktCO2.BE.AGR.AGR.HEAT_USE.THERM.SOLIDS</t>
  </si>
  <si>
    <t>FUEL_EMI.ktCO2.BE.AGR.AGR.HEAT_USE.THERM.LPG</t>
  </si>
  <si>
    <t>FUEL_EMI.ktCO2.BE.AGR.AGR.HEAT_USE.THERM.DIESEL_LIQBIO</t>
  </si>
  <si>
    <t>FUEL_EMI.ktCO2.BE.AGR.AGR.HEAT_USE.THERM.RFO</t>
  </si>
  <si>
    <t>FUEL_EMI.ktCO2.BE.AGR.AGR.HEAT_USE.THERM.NG_BIOGAS</t>
  </si>
  <si>
    <t>FUEL_EMI.ktCO2.BE.AGR.AGR.HEAT_USE.THERM.BIOMASS_WASTE</t>
  </si>
  <si>
    <t>FUEL_EMI.ktCO2.BE.AGR.AGR.HEAT_USE.THERM.SOLAR_GEO</t>
  </si>
  <si>
    <t>FUEL_EMI.ktCO2.BE.AGR.AGR.FARM_PUMP.MECH.DIESEL_LIQBIO</t>
  </si>
  <si>
    <t>FUEL_EMI.ktCO2.BE.AGR.AGR.FARM_PUMP_ELEC.MECH.ELEC</t>
  </si>
  <si>
    <t>FUEL_EMI.ktCO2.BE.AGR.AGR.GENERIC.MECH.ELEC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</si>
</sst>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#,##0.0;\-#,##0.0;&quot;&quot;"/>
    <numFmt numFmtId="171" formatCode="0.000;\-0.000;&quot;-&quot;"/>
    <numFmt numFmtId="172" formatCode="0.0;\-0.0;&quot;-&quot;"/>
    <numFmt numFmtId="173" formatCode="#,##0;\-#,##0;&quot;&quot;"/>
    <numFmt numFmtId="174" formatCode="#,##0.00;\-#,##0.00;&quot;-&quot;"/>
    <numFmt numFmtId="175" formatCode="#,##0.000000000000000000_ ;\-#,##0.000000000000000000\ "/>
    <numFmt numFmtId="176" formatCode="0.00%;\-0.00%;&quot;-&quot;"/>
    <numFmt numFmtId="177" formatCode="mmmm\ yyyy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9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7D7D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" fillId="0" borderId="0"/>
  </cellStyleXfs>
  <cellXfs count="312">
    <xf numFmtId="0" fontId="0" fillId="0" borderId="0" xfId="0"/>
    <xf numFmtId="0" fontId="11" fillId="2" borderId="0" xfId="5" applyFont="1" applyFill="1" applyAlignment="1">
      <alignment vertical="center"/>
    </xf>
    <xf numFmtId="0" fontId="11" fillId="2" borderId="0" xfId="5" applyNumberFormat="1" applyFont="1" applyFill="1" applyAlignment="1">
      <alignment vertical="center"/>
    </xf>
    <xf numFmtId="166" fontId="11" fillId="2" borderId="0" xfId="5" applyNumberFormat="1" applyFont="1" applyFill="1" applyAlignment="1">
      <alignment vertical="center"/>
    </xf>
    <xf numFmtId="0" fontId="12" fillId="2" borderId="0" xfId="5" applyFont="1" applyFill="1" applyBorder="1" applyAlignment="1">
      <alignment horizontal="left" vertical="center"/>
    </xf>
    <xf numFmtId="0" fontId="12" fillId="2" borderId="0" xfId="5" applyFont="1" applyFill="1" applyAlignment="1">
      <alignment horizontal="left" vertical="center"/>
    </xf>
    <xf numFmtId="3" fontId="11" fillId="2" borderId="0" xfId="5" applyNumberFormat="1" applyFont="1" applyFill="1" applyAlignment="1">
      <alignment vertical="center"/>
    </xf>
    <xf numFmtId="0" fontId="11" fillId="2" borderId="0" xfId="5" applyNumberFormat="1" applyFont="1" applyFill="1" applyAlignment="1">
      <alignment vertical="center" shrinkToFit="1"/>
    </xf>
    <xf numFmtId="0" fontId="11" fillId="2" borderId="2" xfId="5" applyNumberFormat="1" applyFont="1" applyFill="1" applyBorder="1" applyAlignment="1">
      <alignment vertical="center" shrinkToFit="1"/>
    </xf>
    <xf numFmtId="0" fontId="11" fillId="2" borderId="5" xfId="5" applyNumberFormat="1" applyFont="1" applyFill="1" applyBorder="1" applyAlignment="1">
      <alignment vertical="center" shrinkToFit="1"/>
    </xf>
    <xf numFmtId="0" fontId="11" fillId="2" borderId="0" xfId="5" applyNumberFormat="1" applyFont="1" applyFill="1" applyBorder="1" applyAlignment="1">
      <alignment vertical="center" shrinkToFit="1"/>
    </xf>
    <xf numFmtId="0" fontId="11" fillId="2" borderId="1" xfId="5" applyNumberFormat="1" applyFont="1" applyFill="1" applyBorder="1" applyAlignment="1">
      <alignment vertical="center" shrinkToFit="1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4" fillId="2" borderId="0" xfId="3" applyFont="1" applyFill="1"/>
    <xf numFmtId="0" fontId="3" fillId="2" borderId="0" xfId="3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left" indent="1"/>
    </xf>
    <xf numFmtId="0" fontId="15" fillId="2" borderId="0" xfId="3" applyFont="1" applyFill="1"/>
    <xf numFmtId="0" fontId="15" fillId="2" borderId="0" xfId="3" applyFont="1" applyFill="1" applyAlignment="1">
      <alignment horizontal="left" indent="1"/>
    </xf>
    <xf numFmtId="0" fontId="15" fillId="2" borderId="0" xfId="3" applyFont="1" applyFill="1" applyAlignment="1">
      <alignment horizontal="left" indent="2"/>
    </xf>
    <xf numFmtId="1" fontId="17" fillId="3" borderId="2" xfId="5" applyNumberFormat="1" applyFont="1" applyFill="1" applyBorder="1" applyAlignment="1">
      <alignment horizontal="center" vertical="center"/>
    </xf>
    <xf numFmtId="0" fontId="16" fillId="3" borderId="2" xfId="5" applyFont="1" applyFill="1" applyBorder="1" applyAlignment="1">
      <alignment horizontal="left" vertical="center" wrapText="1"/>
    </xf>
    <xf numFmtId="172" fontId="11" fillId="2" borderId="0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horizontal="left" vertical="center"/>
    </xf>
    <xf numFmtId="0" fontId="12" fillId="2" borderId="2" xfId="5" applyNumberFormat="1" applyFont="1" applyFill="1" applyBorder="1" applyAlignment="1">
      <alignment vertical="center"/>
    </xf>
    <xf numFmtId="0" fontId="12" fillId="2" borderId="2" xfId="5" applyNumberFormat="1" applyFont="1" applyFill="1" applyBorder="1" applyAlignment="1">
      <alignment vertical="center" shrinkToFit="1"/>
    </xf>
    <xf numFmtId="0" fontId="17" fillId="2" borderId="5" xfId="5" applyFont="1" applyFill="1" applyBorder="1" applyAlignment="1">
      <alignment horizontal="left" vertical="center"/>
    </xf>
    <xf numFmtId="169" fontId="18" fillId="2" borderId="5" xfId="5" applyNumberFormat="1" applyFont="1" applyFill="1" applyBorder="1" applyAlignment="1">
      <alignment vertical="center"/>
    </xf>
    <xf numFmtId="0" fontId="17" fillId="2" borderId="0" xfId="5" applyFont="1" applyFill="1" applyBorder="1" applyAlignment="1">
      <alignment horizontal="left" vertical="center"/>
    </xf>
    <xf numFmtId="169" fontId="18" fillId="2" borderId="0" xfId="5" applyNumberFormat="1" applyFont="1" applyFill="1" applyBorder="1" applyAlignment="1">
      <alignment vertical="center"/>
    </xf>
    <xf numFmtId="0" fontId="17" fillId="2" borderId="1" xfId="5" applyFont="1" applyFill="1" applyBorder="1" applyAlignment="1">
      <alignment horizontal="left" vertical="center"/>
    </xf>
    <xf numFmtId="169" fontId="18" fillId="2" borderId="1" xfId="5" applyNumberFormat="1" applyFont="1" applyFill="1" applyBorder="1" applyAlignment="1">
      <alignment vertical="center"/>
    </xf>
    <xf numFmtId="0" fontId="17" fillId="2" borderId="3" xfId="5" applyFont="1" applyFill="1" applyBorder="1" applyAlignment="1">
      <alignment horizontal="left" vertical="center"/>
    </xf>
    <xf numFmtId="169" fontId="18" fillId="2" borderId="3" xfId="5" applyNumberFormat="1" applyFont="1" applyFill="1" applyBorder="1" applyAlignment="1">
      <alignment vertical="center"/>
    </xf>
    <xf numFmtId="173" fontId="18" fillId="2" borderId="0" xfId="5" applyNumberFormat="1" applyFont="1" applyFill="1" applyBorder="1" applyAlignment="1">
      <alignment vertical="center"/>
    </xf>
    <xf numFmtId="173" fontId="18" fillId="2" borderId="1" xfId="5" applyNumberFormat="1" applyFont="1" applyFill="1" applyBorder="1" applyAlignment="1">
      <alignment vertical="center"/>
    </xf>
    <xf numFmtId="172" fontId="18" fillId="2" borderId="5" xfId="5" applyNumberFormat="1" applyFont="1" applyFill="1" applyBorder="1" applyAlignment="1">
      <alignment vertical="center"/>
    </xf>
    <xf numFmtId="172" fontId="18" fillId="2" borderId="0" xfId="5" applyNumberFormat="1" applyFont="1" applyFill="1" applyBorder="1" applyAlignment="1">
      <alignment vertical="center"/>
    </xf>
    <xf numFmtId="0" fontId="19" fillId="2" borderId="1" xfId="5" applyFont="1" applyFill="1" applyBorder="1" applyAlignment="1">
      <alignment horizontal="left" vertical="center"/>
    </xf>
    <xf numFmtId="171" fontId="18" fillId="2" borderId="1" xfId="5" applyNumberFormat="1" applyFont="1" applyFill="1" applyBorder="1" applyAlignment="1">
      <alignment vertical="center"/>
    </xf>
    <xf numFmtId="0" fontId="16" fillId="4" borderId="2" xfId="5" applyNumberFormat="1" applyFont="1" applyFill="1" applyBorder="1" applyAlignment="1">
      <alignment horizontal="left" vertical="center"/>
    </xf>
    <xf numFmtId="0" fontId="20" fillId="4" borderId="2" xfId="5" applyNumberFormat="1" applyFont="1" applyFill="1" applyBorder="1" applyAlignment="1">
      <alignment vertical="center"/>
    </xf>
    <xf numFmtId="0" fontId="17" fillId="2" borderId="5" xfId="5" applyFont="1" applyFill="1" applyBorder="1" applyAlignment="1">
      <alignment horizontal="left" vertical="center" indent="1"/>
    </xf>
    <xf numFmtId="0" fontId="17" fillId="2" borderId="0" xfId="5" applyFont="1" applyFill="1" applyBorder="1" applyAlignment="1">
      <alignment horizontal="left" vertical="center" indent="1"/>
    </xf>
    <xf numFmtId="0" fontId="17" fillId="2" borderId="1" xfId="5" applyFont="1" applyFill="1" applyBorder="1" applyAlignment="1">
      <alignment horizontal="left" vertical="center" indent="1"/>
    </xf>
    <xf numFmtId="165" fontId="18" fillId="2" borderId="1" xfId="5" applyNumberFormat="1" applyFont="1" applyFill="1" applyBorder="1" applyAlignment="1">
      <alignment vertical="center"/>
    </xf>
    <xf numFmtId="165" fontId="18" fillId="2" borderId="5" xfId="5" applyNumberFormat="1" applyFont="1" applyFill="1" applyBorder="1" applyAlignment="1">
      <alignment vertical="center"/>
    </xf>
    <xf numFmtId="165" fontId="18" fillId="2" borderId="0" xfId="5" applyNumberFormat="1" applyFont="1" applyFill="1" applyBorder="1" applyAlignment="1">
      <alignment vertical="center"/>
    </xf>
    <xf numFmtId="166" fontId="18" fillId="2" borderId="0" xfId="5" applyNumberFormat="1" applyFont="1" applyFill="1" applyBorder="1" applyAlignment="1">
      <alignment vertical="center"/>
    </xf>
    <xf numFmtId="167" fontId="18" fillId="2" borderId="1" xfId="5" applyNumberFormat="1" applyFont="1" applyFill="1" applyBorder="1" applyAlignment="1">
      <alignment vertical="center"/>
    </xf>
    <xf numFmtId="170" fontId="18" fillId="2" borderId="1" xfId="5" applyNumberFormat="1" applyFont="1" applyFill="1" applyBorder="1" applyAlignment="1">
      <alignment vertical="center"/>
    </xf>
    <xf numFmtId="0" fontId="18" fillId="2" borderId="5" xfId="5" applyFont="1" applyFill="1" applyBorder="1" applyAlignment="1">
      <alignment horizontal="left" vertical="center" indent="2"/>
    </xf>
    <xf numFmtId="166" fontId="18" fillId="2" borderId="5" xfId="5" applyNumberFormat="1" applyFont="1" applyFill="1" applyBorder="1" applyAlignment="1">
      <alignment vertical="center"/>
    </xf>
    <xf numFmtId="0" fontId="18" fillId="2" borderId="0" xfId="5" applyFont="1" applyFill="1" applyBorder="1" applyAlignment="1">
      <alignment horizontal="left" vertical="center" indent="2"/>
    </xf>
    <xf numFmtId="0" fontId="18" fillId="2" borderId="0" xfId="5" applyFont="1" applyFill="1" applyBorder="1" applyAlignment="1">
      <alignment horizontal="left" vertical="center" indent="3"/>
    </xf>
    <xf numFmtId="0" fontId="18" fillId="2" borderId="1" xfId="5" applyFont="1" applyFill="1" applyBorder="1" applyAlignment="1">
      <alignment horizontal="left" vertical="center" indent="2"/>
    </xf>
    <xf numFmtId="166" fontId="18" fillId="2" borderId="1" xfId="5" applyNumberFormat="1" applyFont="1" applyFill="1" applyBorder="1" applyAlignment="1">
      <alignment vertical="center"/>
    </xf>
    <xf numFmtId="166" fontId="18" fillId="2" borderId="4" xfId="1" applyNumberFormat="1" applyFont="1" applyFill="1" applyBorder="1" applyAlignment="1">
      <alignment vertical="center"/>
    </xf>
    <xf numFmtId="166" fontId="18" fillId="2" borderId="0" xfId="1" applyNumberFormat="1" applyFont="1" applyFill="1" applyBorder="1" applyAlignment="1">
      <alignment vertical="center"/>
    </xf>
    <xf numFmtId="0" fontId="18" fillId="2" borderId="3" xfId="5" applyFont="1" applyFill="1" applyBorder="1" applyAlignment="1">
      <alignment horizontal="left" vertical="center" indent="3"/>
    </xf>
    <xf numFmtId="166" fontId="18" fillId="2" borderId="3" xfId="1" applyNumberFormat="1" applyFont="1" applyFill="1" applyBorder="1" applyAlignment="1">
      <alignment vertical="center"/>
    </xf>
    <xf numFmtId="166" fontId="18" fillId="2" borderId="1" xfId="1" applyNumberFormat="1" applyFont="1" applyFill="1" applyBorder="1" applyAlignment="1">
      <alignment vertical="center"/>
    </xf>
    <xf numFmtId="0" fontId="19" fillId="2" borderId="2" xfId="5" applyFont="1" applyFill="1" applyBorder="1" applyAlignment="1">
      <alignment horizontal="left" vertical="center" indent="2"/>
    </xf>
    <xf numFmtId="168" fontId="18" fillId="2" borderId="2" xfId="5" applyNumberFormat="1" applyFont="1" applyFill="1" applyBorder="1" applyAlignment="1">
      <alignment vertical="center"/>
    </xf>
    <xf numFmtId="168" fontId="18" fillId="2" borderId="5" xfId="5" applyNumberFormat="1" applyFont="1" applyFill="1" applyBorder="1" applyAlignment="1">
      <alignment vertical="center"/>
    </xf>
    <xf numFmtId="168" fontId="18" fillId="2" borderId="0" xfId="5" applyNumberFormat="1" applyFont="1" applyFill="1" applyBorder="1" applyAlignment="1">
      <alignment vertical="center"/>
    </xf>
    <xf numFmtId="168" fontId="18" fillId="2" borderId="1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 indent="3"/>
    </xf>
    <xf numFmtId="167" fontId="18" fillId="2" borderId="5" xfId="5" applyNumberFormat="1" applyFont="1" applyFill="1" applyBorder="1" applyAlignment="1">
      <alignment vertical="center"/>
    </xf>
    <xf numFmtId="167" fontId="18" fillId="2" borderId="0" xfId="5" applyNumberFormat="1" applyFont="1" applyFill="1" applyBorder="1" applyAlignment="1">
      <alignment vertical="center"/>
    </xf>
    <xf numFmtId="0" fontId="19" fillId="2" borderId="4" xfId="5" applyFont="1" applyFill="1" applyBorder="1" applyAlignment="1">
      <alignment horizontal="left" vertical="center" indent="2"/>
    </xf>
    <xf numFmtId="0" fontId="19" fillId="2" borderId="1" xfId="5" applyFont="1" applyFill="1" applyBorder="1" applyAlignment="1">
      <alignment horizontal="left" vertical="center" indent="2"/>
    </xf>
    <xf numFmtId="0" fontId="21" fillId="5" borderId="2" xfId="5" applyFont="1" applyFill="1" applyBorder="1" applyAlignment="1">
      <alignment horizontal="left" vertical="center" indent="1"/>
    </xf>
    <xf numFmtId="166" fontId="22" fillId="5" borderId="2" xfId="5" applyNumberFormat="1" applyFont="1" applyFill="1" applyBorder="1" applyAlignment="1">
      <alignment vertical="center"/>
    </xf>
    <xf numFmtId="0" fontId="21" fillId="5" borderId="5" xfId="5" applyFont="1" applyFill="1" applyBorder="1" applyAlignment="1">
      <alignment horizontal="left" vertical="center" indent="1"/>
    </xf>
    <xf numFmtId="166" fontId="22" fillId="5" borderId="5" xfId="5" applyNumberFormat="1" applyFont="1" applyFill="1" applyBorder="1" applyAlignment="1">
      <alignment vertical="center"/>
    </xf>
    <xf numFmtId="168" fontId="23" fillId="5" borderId="2" xfId="2" applyNumberFormat="1" applyFont="1" applyFill="1" applyBorder="1" applyAlignment="1">
      <alignment vertical="center"/>
    </xf>
    <xf numFmtId="0" fontId="21" fillId="5" borderId="4" xfId="5" applyFont="1" applyFill="1" applyBorder="1" applyAlignment="1">
      <alignment horizontal="left" vertical="center" indent="1"/>
    </xf>
    <xf numFmtId="166" fontId="22" fillId="5" borderId="4" xfId="5" applyNumberFormat="1" applyFont="1" applyFill="1" applyBorder="1" applyAlignment="1">
      <alignment vertical="center"/>
    </xf>
    <xf numFmtId="167" fontId="23" fillId="5" borderId="2" xfId="1" applyNumberFormat="1" applyFont="1" applyFill="1" applyBorder="1" applyAlignment="1">
      <alignment vertical="center"/>
    </xf>
    <xf numFmtId="1" fontId="17" fillId="3" borderId="2" xfId="5" applyNumberFormat="1" applyFont="1" applyFill="1" applyBorder="1" applyAlignment="1">
      <alignment horizontal="center" vertical="center" shrinkToFit="1"/>
    </xf>
    <xf numFmtId="169" fontId="18" fillId="2" borderId="5" xfId="5" applyNumberFormat="1" applyFont="1" applyFill="1" applyBorder="1" applyAlignment="1">
      <alignment vertical="center" shrinkToFit="1"/>
    </xf>
    <xf numFmtId="169" fontId="18" fillId="2" borderId="0" xfId="5" applyNumberFormat="1" applyFont="1" applyFill="1" applyBorder="1" applyAlignment="1">
      <alignment vertical="center" shrinkToFit="1"/>
    </xf>
    <xf numFmtId="169" fontId="18" fillId="2" borderId="1" xfId="5" applyNumberFormat="1" applyFont="1" applyFill="1" applyBorder="1" applyAlignment="1">
      <alignment vertical="center" shrinkToFit="1"/>
    </xf>
    <xf numFmtId="169" fontId="18" fillId="2" borderId="3" xfId="5" applyNumberFormat="1" applyFont="1" applyFill="1" applyBorder="1" applyAlignment="1">
      <alignment vertical="center" shrinkToFit="1"/>
    </xf>
    <xf numFmtId="173" fontId="18" fillId="2" borderId="0" xfId="5" applyNumberFormat="1" applyFont="1" applyFill="1" applyBorder="1" applyAlignment="1">
      <alignment vertical="center" shrinkToFit="1"/>
    </xf>
    <xf numFmtId="173" fontId="18" fillId="2" borderId="1" xfId="5" applyNumberFormat="1" applyFont="1" applyFill="1" applyBorder="1" applyAlignment="1">
      <alignment vertical="center" shrinkToFit="1"/>
    </xf>
    <xf numFmtId="172" fontId="18" fillId="2" borderId="5" xfId="5" applyNumberFormat="1" applyFont="1" applyFill="1" applyBorder="1" applyAlignment="1">
      <alignment vertical="center" shrinkToFit="1"/>
    </xf>
    <xf numFmtId="172" fontId="18" fillId="2" borderId="0" xfId="5" applyNumberFormat="1" applyFont="1" applyFill="1" applyBorder="1" applyAlignment="1">
      <alignment vertical="center" shrinkToFit="1"/>
    </xf>
    <xf numFmtId="171" fontId="18" fillId="2" borderId="1" xfId="5" applyNumberFormat="1" applyFont="1" applyFill="1" applyBorder="1" applyAlignment="1">
      <alignment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165" fontId="18" fillId="2" borderId="1" xfId="5" applyNumberFormat="1" applyFont="1" applyFill="1" applyBorder="1" applyAlignment="1">
      <alignment vertical="center" shrinkToFit="1"/>
    </xf>
    <xf numFmtId="165" fontId="18" fillId="2" borderId="5" xfId="5" applyNumberFormat="1" applyFont="1" applyFill="1" applyBorder="1" applyAlignment="1">
      <alignment vertical="center" shrinkToFit="1"/>
    </xf>
    <xf numFmtId="165" fontId="18" fillId="2" borderId="0" xfId="5" applyNumberFormat="1" applyFont="1" applyFill="1" applyBorder="1" applyAlignment="1">
      <alignment vertical="center" shrinkToFit="1"/>
    </xf>
    <xf numFmtId="166" fontId="18" fillId="2" borderId="0" xfId="5" applyNumberFormat="1" applyFont="1" applyFill="1" applyBorder="1" applyAlignment="1">
      <alignment vertical="center" shrinkToFit="1"/>
    </xf>
    <xf numFmtId="170" fontId="18" fillId="2" borderId="1" xfId="5" applyNumberFormat="1" applyFont="1" applyFill="1" applyBorder="1" applyAlignment="1">
      <alignment vertical="center" shrinkToFit="1"/>
    </xf>
    <xf numFmtId="166" fontId="22" fillId="5" borderId="2" xfId="5" applyNumberFormat="1" applyFont="1" applyFill="1" applyBorder="1" applyAlignment="1">
      <alignment vertical="center" shrinkToFit="1"/>
    </xf>
    <xf numFmtId="166" fontId="18" fillId="2" borderId="5" xfId="5" applyNumberFormat="1" applyFont="1" applyFill="1" applyBorder="1" applyAlignment="1">
      <alignment vertical="center" shrinkToFit="1"/>
    </xf>
    <xf numFmtId="166" fontId="18" fillId="2" borderId="1" xfId="5" applyNumberFormat="1" applyFont="1" applyFill="1" applyBorder="1" applyAlignment="1">
      <alignment vertical="center" shrinkToFit="1"/>
    </xf>
    <xf numFmtId="166" fontId="11" fillId="2" borderId="0" xfId="5" applyNumberFormat="1" applyFont="1" applyFill="1" applyAlignment="1">
      <alignment vertical="center" shrinkToFit="1"/>
    </xf>
    <xf numFmtId="166" fontId="22" fillId="5" borderId="5" xfId="5" applyNumberFormat="1" applyFont="1" applyFill="1" applyBorder="1" applyAlignment="1">
      <alignment vertical="center" shrinkToFit="1"/>
    </xf>
    <xf numFmtId="166" fontId="18" fillId="2" borderId="4" xfId="1" applyNumberFormat="1" applyFont="1" applyFill="1" applyBorder="1" applyAlignment="1">
      <alignment vertical="center" shrinkToFit="1"/>
    </xf>
    <xf numFmtId="166" fontId="18" fillId="2" borderId="0" xfId="1" applyNumberFormat="1" applyFont="1" applyFill="1" applyBorder="1" applyAlignment="1">
      <alignment vertical="center" shrinkToFit="1"/>
    </xf>
    <xf numFmtId="166" fontId="18" fillId="2" borderId="3" xfId="1" applyNumberFormat="1" applyFont="1" applyFill="1" applyBorder="1" applyAlignment="1">
      <alignment vertical="center" shrinkToFit="1"/>
    </xf>
    <xf numFmtId="166" fontId="18" fillId="2" borderId="1" xfId="1" applyNumberFormat="1" applyFont="1" applyFill="1" applyBorder="1" applyAlignment="1">
      <alignment vertical="center" shrinkToFit="1"/>
    </xf>
    <xf numFmtId="168" fontId="23" fillId="5" borderId="2" xfId="2" applyNumberFormat="1" applyFont="1" applyFill="1" applyBorder="1" applyAlignment="1">
      <alignment vertical="center" shrinkToFit="1"/>
    </xf>
    <xf numFmtId="168" fontId="18" fillId="2" borderId="2" xfId="5" applyNumberFormat="1" applyFont="1" applyFill="1" applyBorder="1" applyAlignment="1">
      <alignment vertical="center" shrinkToFit="1"/>
    </xf>
    <xf numFmtId="168" fontId="18" fillId="2" borderId="5" xfId="5" applyNumberFormat="1" applyFont="1" applyFill="1" applyBorder="1" applyAlignment="1">
      <alignment vertical="center" shrinkToFit="1"/>
    </xf>
    <xf numFmtId="168" fontId="18" fillId="2" borderId="0" xfId="5" applyNumberFormat="1" applyFont="1" applyFill="1" applyBorder="1" applyAlignment="1">
      <alignment vertical="center" shrinkToFit="1"/>
    </xf>
    <xf numFmtId="168" fontId="18" fillId="2" borderId="1" xfId="5" applyNumberFormat="1" applyFont="1" applyFill="1" applyBorder="1" applyAlignment="1">
      <alignment vertical="center" shrinkToFit="1"/>
    </xf>
    <xf numFmtId="166" fontId="22" fillId="5" borderId="4" xfId="5" applyNumberFormat="1" applyFont="1" applyFill="1" applyBorder="1" applyAlignment="1">
      <alignment vertical="center" shrinkToFit="1"/>
    </xf>
    <xf numFmtId="0" fontId="11" fillId="2" borderId="0" xfId="5" applyFont="1" applyFill="1" applyAlignment="1">
      <alignment vertical="center" shrinkToFit="1"/>
    </xf>
    <xf numFmtId="167" fontId="23" fillId="5" borderId="2" xfId="1" applyNumberFormat="1" applyFont="1" applyFill="1" applyBorder="1" applyAlignment="1">
      <alignment vertical="center" shrinkToFit="1"/>
    </xf>
    <xf numFmtId="167" fontId="18" fillId="2" borderId="5" xfId="5" applyNumberFormat="1" applyFont="1" applyFill="1" applyBorder="1" applyAlignment="1">
      <alignment vertical="center" shrinkToFit="1"/>
    </xf>
    <xf numFmtId="167" fontId="18" fillId="2" borderId="0" xfId="5" applyNumberFormat="1" applyFont="1" applyFill="1" applyBorder="1" applyAlignment="1">
      <alignment vertical="center" shrinkToFit="1"/>
    </xf>
    <xf numFmtId="167" fontId="18" fillId="2" borderId="1" xfId="5" applyNumberFormat="1" applyFont="1" applyFill="1" applyBorder="1" applyAlignment="1">
      <alignment vertical="center" shrinkToFit="1"/>
    </xf>
    <xf numFmtId="0" fontId="10" fillId="2" borderId="2" xfId="5" applyNumberFormat="1" applyFont="1" applyFill="1" applyBorder="1" applyAlignment="1">
      <alignment horizontal="center" vertical="center" shrinkToFit="1"/>
    </xf>
    <xf numFmtId="0" fontId="25" fillId="6" borderId="2" xfId="5" applyFont="1" applyFill="1" applyBorder="1" applyAlignment="1">
      <alignment horizontal="left" vertical="center"/>
    </xf>
    <xf numFmtId="169" fontId="23" fillId="6" borderId="2" xfId="1" applyNumberFormat="1" applyFont="1" applyFill="1" applyBorder="1" applyAlignment="1">
      <alignment vertical="center"/>
    </xf>
    <xf numFmtId="166" fontId="23" fillId="6" borderId="2" xfId="1" applyNumberFormat="1" applyFont="1" applyFill="1" applyBorder="1" applyAlignment="1">
      <alignment vertical="center"/>
    </xf>
    <xf numFmtId="165" fontId="23" fillId="6" borderId="2" xfId="1" applyNumberFormat="1" applyFont="1" applyFill="1" applyBorder="1" applyAlignment="1">
      <alignment vertical="center"/>
    </xf>
    <xf numFmtId="0" fontId="26" fillId="2" borderId="0" xfId="5" applyFont="1" applyFill="1" applyBorder="1" applyAlignment="1">
      <alignment horizontal="left" vertical="center" indent="2"/>
    </xf>
    <xf numFmtId="0" fontId="26" fillId="2" borderId="7" xfId="5" applyFont="1" applyFill="1" applyBorder="1" applyAlignment="1">
      <alignment horizontal="left" vertical="center" indent="2"/>
    </xf>
    <xf numFmtId="0" fontId="17" fillId="5" borderId="2" xfId="5" applyFont="1" applyFill="1" applyBorder="1" applyAlignment="1">
      <alignment horizontal="left" vertical="center" indent="1"/>
    </xf>
    <xf numFmtId="166" fontId="18" fillId="5" borderId="2" xfId="1" applyNumberFormat="1" applyFont="1" applyFill="1" applyBorder="1" applyAlignment="1">
      <alignment vertical="center"/>
    </xf>
    <xf numFmtId="0" fontId="18" fillId="2" borderId="0" xfId="5" applyFont="1" applyFill="1" applyAlignment="1">
      <alignment horizontal="left" vertical="center" indent="2"/>
    </xf>
    <xf numFmtId="166" fontId="18" fillId="2" borderId="0" xfId="1" applyNumberFormat="1" applyFont="1" applyFill="1" applyAlignment="1">
      <alignment vertical="center"/>
    </xf>
    <xf numFmtId="0" fontId="18" fillId="2" borderId="7" xfId="5" applyFont="1" applyFill="1" applyBorder="1" applyAlignment="1">
      <alignment horizontal="left" vertical="center" indent="2"/>
    </xf>
    <xf numFmtId="166" fontId="18" fillId="2" borderId="7" xfId="1" applyNumberFormat="1" applyFont="1" applyFill="1" applyBorder="1" applyAlignment="1">
      <alignment vertical="center"/>
    </xf>
    <xf numFmtId="165" fontId="18" fillId="5" borderId="2" xfId="1" applyNumberFormat="1" applyFont="1" applyFill="1" applyBorder="1" applyAlignment="1">
      <alignment vertical="center"/>
    </xf>
    <xf numFmtId="165" fontId="18" fillId="2" borderId="0" xfId="1" applyNumberFormat="1" applyFont="1" applyFill="1" applyAlignment="1">
      <alignment vertical="center"/>
    </xf>
    <xf numFmtId="165" fontId="18" fillId="2" borderId="0" xfId="1" applyNumberFormat="1" applyFont="1" applyFill="1" applyBorder="1" applyAlignment="1">
      <alignment vertical="center"/>
    </xf>
    <xf numFmtId="165" fontId="18" fillId="2" borderId="7" xfId="1" applyNumberFormat="1" applyFont="1" applyFill="1" applyBorder="1" applyAlignment="1">
      <alignment vertical="center"/>
    </xf>
    <xf numFmtId="169" fontId="18" fillId="5" borderId="2" xfId="1" applyNumberFormat="1" applyFont="1" applyFill="1" applyBorder="1" applyAlignment="1">
      <alignment vertical="center"/>
    </xf>
    <xf numFmtId="169" fontId="18" fillId="2" borderId="0" xfId="1" applyNumberFormat="1" applyFont="1" applyFill="1" applyAlignment="1">
      <alignment vertical="center"/>
    </xf>
    <xf numFmtId="169" fontId="18" fillId="2" borderId="0" xfId="1" applyNumberFormat="1" applyFont="1" applyFill="1" applyBorder="1" applyAlignment="1">
      <alignment vertical="center"/>
    </xf>
    <xf numFmtId="0" fontId="19" fillId="2" borderId="7" xfId="5" applyFont="1" applyFill="1" applyBorder="1" applyAlignment="1">
      <alignment horizontal="left" vertical="center" indent="2"/>
    </xf>
    <xf numFmtId="169" fontId="19" fillId="2" borderId="7" xfId="1" applyNumberFormat="1" applyFont="1" applyFill="1" applyBorder="1" applyAlignment="1">
      <alignment vertical="center"/>
    </xf>
    <xf numFmtId="0" fontId="19" fillId="2" borderId="6" xfId="5" applyFont="1" applyFill="1" applyBorder="1" applyAlignment="1">
      <alignment horizontal="left" vertical="center" indent="2"/>
    </xf>
    <xf numFmtId="166" fontId="19" fillId="2" borderId="6" xfId="1" applyNumberFormat="1" applyFont="1" applyFill="1" applyBorder="1" applyAlignment="1">
      <alignment vertical="center"/>
    </xf>
    <xf numFmtId="166" fontId="19" fillId="2" borderId="1" xfId="1" applyNumberFormat="1" applyFont="1" applyFill="1" applyBorder="1" applyAlignment="1">
      <alignment vertical="center"/>
    </xf>
    <xf numFmtId="166" fontId="18" fillId="2" borderId="6" xfId="1" applyNumberFormat="1" applyFont="1" applyFill="1" applyBorder="1" applyAlignment="1">
      <alignment vertical="center"/>
    </xf>
    <xf numFmtId="165" fontId="18" fillId="2" borderId="6" xfId="1" applyNumberFormat="1" applyFont="1" applyFill="1" applyBorder="1" applyAlignment="1">
      <alignment vertical="center"/>
    </xf>
    <xf numFmtId="165" fontId="18" fillId="2" borderId="1" xfId="1" applyNumberFormat="1" applyFont="1" applyFill="1" applyBorder="1" applyAlignment="1">
      <alignment vertical="center"/>
    </xf>
    <xf numFmtId="169" fontId="19" fillId="2" borderId="6" xfId="1" applyNumberFormat="1" applyFont="1" applyFill="1" applyBorder="1" applyAlignment="1">
      <alignment vertical="center"/>
    </xf>
    <xf numFmtId="169" fontId="19" fillId="2" borderId="1" xfId="1" applyNumberFormat="1" applyFont="1" applyFill="1" applyBorder="1" applyAlignment="1">
      <alignment vertical="center"/>
    </xf>
    <xf numFmtId="169" fontId="18" fillId="2" borderId="1" xfId="1" applyNumberFormat="1" applyFont="1" applyFill="1" applyBorder="1" applyAlignment="1">
      <alignment vertical="center"/>
    </xf>
    <xf numFmtId="165" fontId="19" fillId="2" borderId="6" xfId="1" applyNumberFormat="1" applyFont="1" applyFill="1" applyBorder="1" applyAlignment="1">
      <alignment vertical="center"/>
    </xf>
    <xf numFmtId="166" fontId="23" fillId="6" borderId="2" xfId="1" applyNumberFormat="1" applyFont="1" applyFill="1" applyBorder="1" applyAlignment="1">
      <alignment vertical="center" shrinkToFit="1"/>
    </xf>
    <xf numFmtId="166" fontId="18" fillId="5" borderId="2" xfId="1" applyNumberFormat="1" applyFont="1" applyFill="1" applyBorder="1" applyAlignment="1">
      <alignment vertical="center" shrinkToFit="1"/>
    </xf>
    <xf numFmtId="166" fontId="18" fillId="2" borderId="0" xfId="1" applyNumberFormat="1" applyFont="1" applyFill="1" applyAlignment="1">
      <alignment vertical="center" shrinkToFit="1"/>
    </xf>
    <xf numFmtId="166" fontId="18" fillId="2" borderId="7" xfId="1" applyNumberFormat="1" applyFont="1" applyFill="1" applyBorder="1" applyAlignment="1">
      <alignment vertical="center" shrinkToFit="1"/>
    </xf>
    <xf numFmtId="166" fontId="19" fillId="2" borderId="6" xfId="1" applyNumberFormat="1" applyFont="1" applyFill="1" applyBorder="1" applyAlignment="1">
      <alignment vertical="center" shrinkToFit="1"/>
    </xf>
    <xf numFmtId="166" fontId="19" fillId="2" borderId="1" xfId="1" applyNumberFormat="1" applyFont="1" applyFill="1" applyBorder="1" applyAlignment="1">
      <alignment vertical="center" shrinkToFit="1"/>
    </xf>
    <xf numFmtId="166" fontId="18" fillId="2" borderId="6" xfId="1" applyNumberFormat="1" applyFont="1" applyFill="1" applyBorder="1" applyAlignment="1">
      <alignment vertical="center" shrinkToFit="1"/>
    </xf>
    <xf numFmtId="165" fontId="23" fillId="6" borderId="2" xfId="1" applyNumberFormat="1" applyFont="1" applyFill="1" applyBorder="1" applyAlignment="1">
      <alignment vertical="center" shrinkToFit="1"/>
    </xf>
    <xf numFmtId="165" fontId="18" fillId="5" borderId="2" xfId="1" applyNumberFormat="1" applyFont="1" applyFill="1" applyBorder="1" applyAlignment="1">
      <alignment vertical="center" shrinkToFit="1"/>
    </xf>
    <xf numFmtId="165" fontId="18" fillId="2" borderId="0" xfId="1" applyNumberFormat="1" applyFont="1" applyFill="1" applyAlignment="1">
      <alignment vertical="center" shrinkToFit="1"/>
    </xf>
    <xf numFmtId="165" fontId="18" fillId="2" borderId="0" xfId="1" applyNumberFormat="1" applyFont="1" applyFill="1" applyBorder="1" applyAlignment="1">
      <alignment vertical="center" shrinkToFit="1"/>
    </xf>
    <xf numFmtId="165" fontId="18" fillId="2" borderId="7" xfId="1" applyNumberFormat="1" applyFont="1" applyFill="1" applyBorder="1" applyAlignment="1">
      <alignment vertical="center" shrinkToFit="1"/>
    </xf>
    <xf numFmtId="165" fontId="18" fillId="2" borderId="6" xfId="1" applyNumberFormat="1" applyFont="1" applyFill="1" applyBorder="1" applyAlignment="1">
      <alignment vertical="center" shrinkToFit="1"/>
    </xf>
    <xf numFmtId="165" fontId="18" fillId="2" borderId="1" xfId="1" applyNumberFormat="1" applyFont="1" applyFill="1" applyBorder="1" applyAlignment="1">
      <alignment vertical="center" shrinkToFit="1"/>
    </xf>
    <xf numFmtId="169" fontId="23" fillId="6" borderId="2" xfId="1" applyNumberFormat="1" applyFont="1" applyFill="1" applyBorder="1" applyAlignment="1">
      <alignment vertical="center" shrinkToFit="1"/>
    </xf>
    <xf numFmtId="169" fontId="18" fillId="5" borderId="2" xfId="1" applyNumberFormat="1" applyFont="1" applyFill="1" applyBorder="1" applyAlignment="1">
      <alignment vertical="center" shrinkToFit="1"/>
    </xf>
    <xf numFmtId="169" fontId="18" fillId="2" borderId="0" xfId="1" applyNumberFormat="1" applyFont="1" applyFill="1" applyAlignment="1">
      <alignment vertical="center" shrinkToFit="1"/>
    </xf>
    <xf numFmtId="169" fontId="18" fillId="2" borderId="0" xfId="1" applyNumberFormat="1" applyFont="1" applyFill="1" applyBorder="1" applyAlignment="1">
      <alignment vertical="center" shrinkToFit="1"/>
    </xf>
    <xf numFmtId="169" fontId="19" fillId="2" borderId="7" xfId="1" applyNumberFormat="1" applyFont="1" applyFill="1" applyBorder="1" applyAlignment="1">
      <alignment vertical="center" shrinkToFit="1"/>
    </xf>
    <xf numFmtId="169" fontId="19" fillId="2" borderId="6" xfId="1" applyNumberFormat="1" applyFont="1" applyFill="1" applyBorder="1" applyAlignment="1">
      <alignment vertical="center" shrinkToFit="1"/>
    </xf>
    <xf numFmtId="169" fontId="19" fillId="2" borderId="1" xfId="1" applyNumberFormat="1" applyFont="1" applyFill="1" applyBorder="1" applyAlignment="1">
      <alignment vertical="center" shrinkToFit="1"/>
    </xf>
    <xf numFmtId="169" fontId="18" fillId="2" borderId="1" xfId="1" applyNumberFormat="1" applyFont="1" applyFill="1" applyBorder="1" applyAlignment="1">
      <alignment vertical="center" shrinkToFit="1"/>
    </xf>
    <xf numFmtId="165" fontId="19" fillId="2" borderId="6" xfId="1" applyNumberFormat="1" applyFont="1" applyFill="1" applyBorder="1" applyAlignment="1">
      <alignment vertical="center" shrinkToFit="1"/>
    </xf>
    <xf numFmtId="169" fontId="11" fillId="2" borderId="0" xfId="5" applyNumberFormat="1" applyFont="1" applyFill="1" applyAlignment="1">
      <alignment vertical="center"/>
    </xf>
    <xf numFmtId="0" fontId="16" fillId="6" borderId="2" xfId="5" applyFont="1" applyFill="1" applyBorder="1" applyAlignment="1">
      <alignment horizontal="left" vertical="center"/>
    </xf>
    <xf numFmtId="166" fontId="17" fillId="6" borderId="2" xfId="5" applyNumberFormat="1" applyFont="1" applyFill="1" applyBorder="1" applyAlignment="1">
      <alignment vertical="center"/>
    </xf>
    <xf numFmtId="166" fontId="18" fillId="2" borderId="0" xfId="5" applyNumberFormat="1" applyFont="1" applyFill="1" applyAlignment="1">
      <alignment vertical="center"/>
    </xf>
    <xf numFmtId="169" fontId="18" fillId="2" borderId="0" xfId="5" applyNumberFormat="1" applyFont="1" applyFill="1" applyAlignment="1">
      <alignment vertical="center"/>
    </xf>
    <xf numFmtId="173" fontId="18" fillId="2" borderId="0" xfId="5" applyNumberFormat="1" applyFont="1" applyFill="1" applyAlignment="1">
      <alignment vertical="center"/>
    </xf>
    <xf numFmtId="172" fontId="17" fillId="6" borderId="2" xfId="5" applyNumberFormat="1" applyFont="1" applyFill="1" applyBorder="1" applyAlignment="1">
      <alignment vertical="center"/>
    </xf>
    <xf numFmtId="172" fontId="18" fillId="2" borderId="0" xfId="5" applyNumberFormat="1" applyFont="1" applyFill="1" applyAlignment="1">
      <alignment vertical="center"/>
    </xf>
    <xf numFmtId="172" fontId="18" fillId="2" borderId="1" xfId="5" applyNumberFormat="1" applyFont="1" applyFill="1" applyBorder="1" applyAlignment="1">
      <alignment vertical="center"/>
    </xf>
    <xf numFmtId="165" fontId="17" fillId="6" borderId="2" xfId="2" applyNumberFormat="1" applyFont="1" applyFill="1" applyBorder="1" applyAlignment="1">
      <alignment vertical="center"/>
    </xf>
    <xf numFmtId="165" fontId="18" fillId="2" borderId="0" xfId="5" applyNumberFormat="1" applyFont="1" applyFill="1" applyAlignment="1">
      <alignment vertical="center"/>
    </xf>
    <xf numFmtId="166" fontId="17" fillId="6" borderId="2" xfId="5" applyNumberFormat="1" applyFont="1" applyFill="1" applyBorder="1" applyAlignment="1">
      <alignment vertical="center" shrinkToFit="1"/>
    </xf>
    <xf numFmtId="166" fontId="18" fillId="2" borderId="0" xfId="5" applyNumberFormat="1" applyFont="1" applyFill="1" applyAlignment="1">
      <alignment vertical="center" shrinkToFit="1"/>
    </xf>
    <xf numFmtId="169" fontId="18" fillId="2" borderId="0" xfId="5" applyNumberFormat="1" applyFont="1" applyFill="1" applyAlignment="1">
      <alignment vertical="center" shrinkToFit="1"/>
    </xf>
    <xf numFmtId="173" fontId="18" fillId="2" borderId="0" xfId="5" applyNumberFormat="1" applyFont="1" applyFill="1" applyAlignment="1">
      <alignment vertical="center" shrinkToFit="1"/>
    </xf>
    <xf numFmtId="172" fontId="17" fillId="6" borderId="2" xfId="5" applyNumberFormat="1" applyFont="1" applyFill="1" applyBorder="1" applyAlignment="1">
      <alignment vertical="center" shrinkToFit="1"/>
    </xf>
    <xf numFmtId="172" fontId="18" fillId="2" borderId="0" xfId="5" applyNumberFormat="1" applyFont="1" applyFill="1" applyAlignment="1">
      <alignment vertical="center" shrinkToFit="1"/>
    </xf>
    <xf numFmtId="172" fontId="18" fillId="2" borderId="1" xfId="5" applyNumberFormat="1" applyFont="1" applyFill="1" applyBorder="1" applyAlignment="1">
      <alignment vertical="center" shrinkToFit="1"/>
    </xf>
    <xf numFmtId="165" fontId="17" fillId="6" borderId="2" xfId="2" applyNumberFormat="1" applyFont="1" applyFill="1" applyBorder="1" applyAlignment="1">
      <alignment vertical="center" shrinkToFit="1"/>
    </xf>
    <xf numFmtId="165" fontId="18" fillId="2" borderId="0" xfId="5" applyNumberFormat="1" applyFont="1" applyFill="1" applyAlignment="1">
      <alignment vertical="center" shrinkToFit="1"/>
    </xf>
    <xf numFmtId="0" fontId="24" fillId="2" borderId="2" xfId="5" applyFont="1" applyFill="1" applyBorder="1" applyAlignment="1">
      <alignment horizontal="left" vertical="center"/>
    </xf>
    <xf numFmtId="166" fontId="18" fillId="2" borderId="2" xfId="5" applyNumberFormat="1" applyFont="1" applyFill="1" applyBorder="1" applyAlignment="1">
      <alignment vertical="center"/>
    </xf>
    <xf numFmtId="0" fontId="24" fillId="2" borderId="5" xfId="5" applyFont="1" applyFill="1" applyBorder="1" applyAlignment="1">
      <alignment horizontal="left" vertical="center"/>
    </xf>
    <xf numFmtId="0" fontId="24" fillId="2" borderId="7" xfId="5" applyFont="1" applyFill="1" applyBorder="1" applyAlignment="1">
      <alignment horizontal="left" vertical="center"/>
    </xf>
    <xf numFmtId="165" fontId="18" fillId="2" borderId="7" xfId="5" applyNumberFormat="1" applyFont="1" applyFill="1" applyBorder="1" applyAlignment="1">
      <alignment vertical="center"/>
    </xf>
    <xf numFmtId="0" fontId="24" fillId="2" borderId="0" xfId="5" applyFont="1" applyFill="1" applyBorder="1" applyAlignment="1">
      <alignment horizontal="left" vertical="center"/>
    </xf>
    <xf numFmtId="0" fontId="24" fillId="2" borderId="1" xfId="5" applyFont="1" applyFill="1" applyBorder="1" applyAlignment="1">
      <alignment horizontal="left" vertical="center"/>
    </xf>
    <xf numFmtId="172" fontId="18" fillId="2" borderId="2" xfId="5" applyNumberFormat="1" applyFont="1" applyFill="1" applyBorder="1" applyAlignment="1">
      <alignment vertical="center"/>
    </xf>
    <xf numFmtId="166" fontId="18" fillId="2" borderId="2" xfId="5" applyNumberFormat="1" applyFont="1" applyFill="1" applyBorder="1" applyAlignment="1">
      <alignment vertical="center" shrinkToFit="1"/>
    </xf>
    <xf numFmtId="165" fontId="18" fillId="2" borderId="7" xfId="5" applyNumberFormat="1" applyFont="1" applyFill="1" applyBorder="1" applyAlignment="1">
      <alignment vertical="center" shrinkToFit="1"/>
    </xf>
    <xf numFmtId="169" fontId="11" fillId="2" borderId="0" xfId="5" applyNumberFormat="1" applyFont="1" applyFill="1" applyAlignment="1">
      <alignment vertical="center" shrinkToFit="1"/>
    </xf>
    <xf numFmtId="172" fontId="18" fillId="2" borderId="2" xfId="5" applyNumberFormat="1" applyFont="1" applyFill="1" applyBorder="1" applyAlignment="1">
      <alignment vertical="center" shrinkToFit="1"/>
    </xf>
    <xf numFmtId="172" fontId="11" fillId="2" borderId="0" xfId="5" applyNumberFormat="1" applyFont="1" applyFill="1" applyBorder="1" applyAlignment="1">
      <alignment vertical="center" shrinkToFit="1"/>
    </xf>
    <xf numFmtId="0" fontId="14" fillId="2" borderId="2" xfId="5" applyNumberFormat="1" applyFont="1" applyFill="1" applyBorder="1" applyAlignment="1">
      <alignment vertical="center" shrinkToFit="1"/>
    </xf>
    <xf numFmtId="0" fontId="14" fillId="2" borderId="5" xfId="5" applyNumberFormat="1" applyFont="1" applyFill="1" applyBorder="1" applyAlignment="1">
      <alignment vertical="center" shrinkToFit="1"/>
    </xf>
    <xf numFmtId="0" fontId="14" fillId="2" borderId="6" xfId="5" applyNumberFormat="1" applyFont="1" applyFill="1" applyBorder="1" applyAlignment="1">
      <alignment vertical="center" shrinkToFit="1"/>
    </xf>
    <xf numFmtId="0" fontId="14" fillId="2" borderId="3" xfId="5" applyNumberFormat="1" applyFont="1" applyFill="1" applyBorder="1" applyAlignment="1">
      <alignment vertical="center" shrinkToFit="1"/>
    </xf>
    <xf numFmtId="0" fontId="14" fillId="2" borderId="1" xfId="5" applyNumberFormat="1" applyFont="1" applyFill="1" applyBorder="1" applyAlignment="1">
      <alignment vertical="center" shrinkToFit="1"/>
    </xf>
    <xf numFmtId="175" fontId="11" fillId="2" borderId="0" xfId="5" applyNumberFormat="1" applyFont="1" applyFill="1" applyAlignment="1">
      <alignment vertical="center"/>
    </xf>
    <xf numFmtId="0" fontId="14" fillId="2" borderId="0" xfId="5" applyNumberFormat="1" applyFont="1" applyFill="1" applyBorder="1" applyAlignment="1">
      <alignment vertical="center" shrinkToFit="1"/>
    </xf>
    <xf numFmtId="174" fontId="18" fillId="2" borderId="1" xfId="5" applyNumberFormat="1" applyFont="1" applyFill="1" applyBorder="1" applyAlignment="1">
      <alignment vertical="center"/>
    </xf>
    <xf numFmtId="0" fontId="17" fillId="6" borderId="2" xfId="5" applyFont="1" applyFill="1" applyBorder="1" applyAlignment="1">
      <alignment horizontal="left" vertical="center"/>
    </xf>
    <xf numFmtId="166" fontId="18" fillId="6" borderId="2" xfId="5" applyNumberFormat="1" applyFont="1" applyFill="1" applyBorder="1" applyAlignment="1">
      <alignment vertical="center"/>
    </xf>
    <xf numFmtId="0" fontId="17" fillId="6" borderId="5" xfId="5" applyFont="1" applyFill="1" applyBorder="1" applyAlignment="1">
      <alignment horizontal="left" vertical="center"/>
    </xf>
    <xf numFmtId="166" fontId="18" fillId="6" borderId="5" xfId="5" applyNumberFormat="1" applyFont="1" applyFill="1" applyBorder="1" applyAlignment="1">
      <alignment vertical="center"/>
    </xf>
    <xf numFmtId="0" fontId="17" fillId="6" borderId="1" xfId="5" applyFont="1" applyFill="1" applyBorder="1" applyAlignment="1">
      <alignment horizontal="left" vertical="center"/>
    </xf>
    <xf numFmtId="166" fontId="18" fillId="6" borderId="1" xfId="5" applyNumberFormat="1" applyFont="1" applyFill="1" applyBorder="1" applyAlignment="1">
      <alignment vertical="center"/>
    </xf>
    <xf numFmtId="0" fontId="17" fillId="5" borderId="6" xfId="5" applyFont="1" applyFill="1" applyBorder="1" applyAlignment="1">
      <alignment horizontal="left" vertical="center" indent="1"/>
    </xf>
    <xf numFmtId="166" fontId="18" fillId="5" borderId="6" xfId="5" applyNumberFormat="1" applyFont="1" applyFill="1" applyBorder="1" applyAlignment="1">
      <alignment vertical="center"/>
    </xf>
    <xf numFmtId="0" fontId="17" fillId="5" borderId="3" xfId="5" applyFont="1" applyFill="1" applyBorder="1" applyAlignment="1">
      <alignment horizontal="left" vertical="center" indent="1"/>
    </xf>
    <xf numFmtId="166" fontId="18" fillId="5" borderId="3" xfId="5" applyNumberFormat="1" applyFont="1" applyFill="1" applyBorder="1" applyAlignment="1">
      <alignment vertical="center"/>
    </xf>
    <xf numFmtId="0" fontId="19" fillId="5" borderId="2" xfId="5" applyFont="1" applyFill="1" applyBorder="1" applyAlignment="1">
      <alignment horizontal="left" vertical="center" indent="1"/>
    </xf>
    <xf numFmtId="166" fontId="18" fillId="5" borderId="2" xfId="5" applyNumberFormat="1" applyFont="1" applyFill="1" applyBorder="1" applyAlignment="1">
      <alignment vertical="center"/>
    </xf>
    <xf numFmtId="3" fontId="18" fillId="6" borderId="2" xfId="5" applyNumberFormat="1" applyFont="1" applyFill="1" applyBorder="1" applyAlignment="1">
      <alignment vertical="center"/>
    </xf>
    <xf numFmtId="165" fontId="20" fillId="6" borderId="2" xfId="5" applyNumberFormat="1" applyFont="1" applyFill="1" applyBorder="1" applyAlignment="1">
      <alignment vertical="center"/>
    </xf>
    <xf numFmtId="0" fontId="16" fillId="6" borderId="2" xfId="5" applyNumberFormat="1" applyFont="1" applyFill="1" applyBorder="1" applyAlignment="1">
      <alignment horizontal="left" vertical="center"/>
    </xf>
    <xf numFmtId="0" fontId="25" fillId="5" borderId="2" xfId="5" applyFont="1" applyFill="1" applyBorder="1" applyAlignment="1">
      <alignment horizontal="left" vertical="center" indent="1"/>
    </xf>
    <xf numFmtId="0" fontId="23" fillId="5" borderId="2" xfId="5" applyFont="1" applyFill="1" applyBorder="1" applyAlignment="1">
      <alignment horizontal="left" vertical="center" indent="1"/>
    </xf>
    <xf numFmtId="176" fontId="23" fillId="5" borderId="2" xfId="2" applyNumberFormat="1" applyFont="1" applyFill="1" applyBorder="1" applyAlignment="1">
      <alignment vertical="center"/>
    </xf>
    <xf numFmtId="174" fontId="23" fillId="5" borderId="2" xfId="2" applyNumberFormat="1" applyFont="1" applyFill="1" applyBorder="1" applyAlignment="1">
      <alignment vertical="center"/>
    </xf>
    <xf numFmtId="165" fontId="23" fillId="5" borderId="2" xfId="2" applyNumberFormat="1" applyFont="1" applyFill="1" applyBorder="1" applyAlignment="1">
      <alignment vertical="center"/>
    </xf>
    <xf numFmtId="0" fontId="27" fillId="2" borderId="5" xfId="5" applyFont="1" applyFill="1" applyBorder="1" applyAlignment="1">
      <alignment horizontal="left" vertical="center" indent="2"/>
    </xf>
    <xf numFmtId="166" fontId="27" fillId="2" borderId="5" xfId="5" applyNumberFormat="1" applyFont="1" applyFill="1" applyBorder="1" applyAlignment="1">
      <alignment vertical="center"/>
    </xf>
    <xf numFmtId="0" fontId="27" fillId="2" borderId="0" xfId="5" applyFont="1" applyFill="1" applyBorder="1" applyAlignment="1">
      <alignment horizontal="left" vertical="center" indent="2"/>
    </xf>
    <xf numFmtId="166" fontId="27" fillId="2" borderId="0" xfId="5" applyNumberFormat="1" applyFont="1" applyFill="1" applyBorder="1" applyAlignment="1">
      <alignment vertical="center"/>
    </xf>
    <xf numFmtId="0" fontId="27" fillId="2" borderId="3" xfId="5" applyFont="1" applyFill="1" applyBorder="1" applyAlignment="1">
      <alignment horizontal="left" vertical="center" indent="2"/>
    </xf>
    <xf numFmtId="166" fontId="27" fillId="2" borderId="3" xfId="5" applyNumberFormat="1" applyFont="1" applyFill="1" applyBorder="1" applyAlignment="1">
      <alignment vertical="center"/>
    </xf>
    <xf numFmtId="176" fontId="27" fillId="2" borderId="5" xfId="5" applyNumberFormat="1" applyFont="1" applyFill="1" applyBorder="1" applyAlignment="1">
      <alignment vertical="center"/>
    </xf>
    <xf numFmtId="176" fontId="27" fillId="2" borderId="0" xfId="5" applyNumberFormat="1" applyFont="1" applyFill="1" applyBorder="1" applyAlignment="1">
      <alignment vertical="center"/>
    </xf>
    <xf numFmtId="176" fontId="27" fillId="2" borderId="3" xfId="5" applyNumberFormat="1" applyFont="1" applyFill="1" applyBorder="1" applyAlignment="1">
      <alignment vertical="center"/>
    </xf>
    <xf numFmtId="174" fontId="27" fillId="2" borderId="5" xfId="5" applyNumberFormat="1" applyFont="1" applyFill="1" applyBorder="1" applyAlignment="1">
      <alignment vertical="center"/>
    </xf>
    <xf numFmtId="174" fontId="27" fillId="2" borderId="0" xfId="5" applyNumberFormat="1" applyFont="1" applyFill="1" applyBorder="1" applyAlignment="1">
      <alignment vertical="center"/>
    </xf>
    <xf numFmtId="174" fontId="27" fillId="2" borderId="3" xfId="5" applyNumberFormat="1" applyFont="1" applyFill="1" applyBorder="1" applyAlignment="1">
      <alignment vertical="center"/>
    </xf>
    <xf numFmtId="165" fontId="27" fillId="2" borderId="5" xfId="5" applyNumberFormat="1" applyFont="1" applyFill="1" applyBorder="1" applyAlignment="1">
      <alignment vertical="center"/>
    </xf>
    <xf numFmtId="165" fontId="27" fillId="2" borderId="0" xfId="5" applyNumberFormat="1" applyFont="1" applyFill="1" applyBorder="1" applyAlignment="1">
      <alignment vertical="center"/>
    </xf>
    <xf numFmtId="165" fontId="27" fillId="2" borderId="3" xfId="5" applyNumberFormat="1" applyFont="1" applyFill="1" applyBorder="1" applyAlignment="1">
      <alignment vertical="center"/>
    </xf>
    <xf numFmtId="0" fontId="28" fillId="2" borderId="0" xfId="5" applyFont="1" applyFill="1" applyBorder="1" applyAlignment="1">
      <alignment horizontal="left" vertical="center" indent="3"/>
    </xf>
    <xf numFmtId="166" fontId="28" fillId="2" borderId="0" xfId="5" applyNumberFormat="1" applyFont="1" applyFill="1" applyAlignment="1">
      <alignment vertical="center"/>
    </xf>
    <xf numFmtId="166" fontId="28" fillId="2" borderId="0" xfId="5" applyNumberFormat="1" applyFont="1" applyFill="1" applyBorder="1" applyAlignment="1">
      <alignment vertical="center"/>
    </xf>
    <xf numFmtId="0" fontId="26" fillId="2" borderId="8" xfId="5" applyFont="1" applyFill="1" applyBorder="1" applyAlignment="1">
      <alignment horizontal="left" vertical="center" indent="2"/>
    </xf>
    <xf numFmtId="166" fontId="26" fillId="2" borderId="8" xfId="5" applyNumberFormat="1" applyFont="1" applyFill="1" applyBorder="1" applyAlignment="1">
      <alignment vertical="center"/>
    </xf>
    <xf numFmtId="166" fontId="26" fillId="2" borderId="7" xfId="5" applyNumberFormat="1" applyFont="1" applyFill="1" applyBorder="1" applyAlignment="1">
      <alignment vertical="center"/>
    </xf>
    <xf numFmtId="176" fontId="26" fillId="2" borderId="0" xfId="5" applyNumberFormat="1" applyFont="1" applyFill="1" applyBorder="1" applyAlignment="1">
      <alignment vertical="center"/>
    </xf>
    <xf numFmtId="0" fontId="26" fillId="2" borderId="1" xfId="5" applyFont="1" applyFill="1" applyBorder="1" applyAlignment="1">
      <alignment horizontal="left" vertical="center" indent="2"/>
    </xf>
    <xf numFmtId="176" fontId="26" fillId="2" borderId="1" xfId="5" applyNumberFormat="1" applyFont="1" applyFill="1" applyBorder="1" applyAlignment="1">
      <alignment vertical="center"/>
    </xf>
    <xf numFmtId="174" fontId="26" fillId="2" borderId="0" xfId="5" applyNumberFormat="1" applyFont="1" applyFill="1" applyBorder="1" applyAlignment="1">
      <alignment vertical="center"/>
    </xf>
    <xf numFmtId="174" fontId="26" fillId="2" borderId="1" xfId="5" applyNumberFormat="1" applyFont="1" applyFill="1" applyBorder="1" applyAlignment="1">
      <alignment vertical="center"/>
    </xf>
    <xf numFmtId="165" fontId="26" fillId="2" borderId="0" xfId="5" applyNumberFormat="1" applyFont="1" applyFill="1" applyBorder="1" applyAlignment="1">
      <alignment vertical="center"/>
    </xf>
    <xf numFmtId="165" fontId="26" fillId="2" borderId="1" xfId="5" applyNumberFormat="1" applyFont="1" applyFill="1" applyBorder="1" applyAlignment="1">
      <alignment vertical="center"/>
    </xf>
    <xf numFmtId="165" fontId="20" fillId="6" borderId="2" xfId="5" applyNumberFormat="1" applyFont="1" applyFill="1" applyBorder="1" applyAlignment="1">
      <alignment vertical="center" shrinkToFit="1"/>
    </xf>
    <xf numFmtId="166" fontId="27" fillId="2" borderId="5" xfId="5" applyNumberFormat="1" applyFont="1" applyFill="1" applyBorder="1" applyAlignment="1">
      <alignment vertical="center" shrinkToFit="1"/>
    </xf>
    <xf numFmtId="166" fontId="27" fillId="2" borderId="0" xfId="5" applyNumberFormat="1" applyFont="1" applyFill="1" applyBorder="1" applyAlignment="1">
      <alignment vertical="center" shrinkToFit="1"/>
    </xf>
    <xf numFmtId="166" fontId="27" fillId="2" borderId="3" xfId="5" applyNumberFormat="1" applyFont="1" applyFill="1" applyBorder="1" applyAlignment="1">
      <alignment vertical="center" shrinkToFit="1"/>
    </xf>
    <xf numFmtId="166" fontId="28" fillId="2" borderId="0" xfId="5" applyNumberFormat="1" applyFont="1" applyFill="1" applyAlignment="1">
      <alignment vertical="center" shrinkToFit="1"/>
    </xf>
    <xf numFmtId="166" fontId="28" fillId="2" borderId="0" xfId="5" applyNumberFormat="1" applyFont="1" applyFill="1" applyBorder="1" applyAlignment="1">
      <alignment vertical="center" shrinkToFit="1"/>
    </xf>
    <xf numFmtId="166" fontId="26" fillId="2" borderId="8" xfId="5" applyNumberFormat="1" applyFont="1" applyFill="1" applyBorder="1" applyAlignment="1">
      <alignment vertical="center" shrinkToFit="1"/>
    </xf>
    <xf numFmtId="166" fontId="26" fillId="2" borderId="7" xfId="5" applyNumberFormat="1" applyFont="1" applyFill="1" applyBorder="1" applyAlignment="1">
      <alignment vertical="center" shrinkToFit="1"/>
    </xf>
    <xf numFmtId="176" fontId="23" fillId="5" borderId="2" xfId="2" applyNumberFormat="1" applyFont="1" applyFill="1" applyBorder="1" applyAlignment="1">
      <alignment vertical="center" shrinkToFit="1"/>
    </xf>
    <xf numFmtId="176" fontId="27" fillId="2" borderId="5" xfId="5" applyNumberFormat="1" applyFont="1" applyFill="1" applyBorder="1" applyAlignment="1">
      <alignment vertical="center" shrinkToFit="1"/>
    </xf>
    <xf numFmtId="176" fontId="27" fillId="2" borderId="0" xfId="5" applyNumberFormat="1" applyFont="1" applyFill="1" applyBorder="1" applyAlignment="1">
      <alignment vertical="center" shrinkToFit="1"/>
    </xf>
    <xf numFmtId="176" fontId="27" fillId="2" borderId="3" xfId="5" applyNumberFormat="1" applyFont="1" applyFill="1" applyBorder="1" applyAlignment="1">
      <alignment vertical="center" shrinkToFit="1"/>
    </xf>
    <xf numFmtId="176" fontId="26" fillId="2" borderId="0" xfId="5" applyNumberFormat="1" applyFont="1" applyFill="1" applyBorder="1" applyAlignment="1">
      <alignment vertical="center" shrinkToFit="1"/>
    </xf>
    <xf numFmtId="176" fontId="26" fillId="2" borderId="1" xfId="5" applyNumberFormat="1" applyFont="1" applyFill="1" applyBorder="1" applyAlignment="1">
      <alignment vertical="center" shrinkToFit="1"/>
    </xf>
    <xf numFmtId="174" fontId="23" fillId="5" borderId="2" xfId="2" applyNumberFormat="1" applyFont="1" applyFill="1" applyBorder="1" applyAlignment="1">
      <alignment vertical="center" shrinkToFit="1"/>
    </xf>
    <xf numFmtId="174" fontId="27" fillId="2" borderId="5" xfId="5" applyNumberFormat="1" applyFont="1" applyFill="1" applyBorder="1" applyAlignment="1">
      <alignment vertical="center" shrinkToFit="1"/>
    </xf>
    <xf numFmtId="174" fontId="27" fillId="2" borderId="0" xfId="5" applyNumberFormat="1" applyFont="1" applyFill="1" applyBorder="1" applyAlignment="1">
      <alignment vertical="center" shrinkToFit="1"/>
    </xf>
    <xf numFmtId="174" fontId="27" fillId="2" borderId="3" xfId="5" applyNumberFormat="1" applyFont="1" applyFill="1" applyBorder="1" applyAlignment="1">
      <alignment vertical="center" shrinkToFit="1"/>
    </xf>
    <xf numFmtId="174" fontId="26" fillId="2" borderId="0" xfId="5" applyNumberFormat="1" applyFont="1" applyFill="1" applyBorder="1" applyAlignment="1">
      <alignment vertical="center" shrinkToFit="1"/>
    </xf>
    <xf numFmtId="174" fontId="26" fillId="2" borderId="1" xfId="5" applyNumberFormat="1" applyFont="1" applyFill="1" applyBorder="1" applyAlignment="1">
      <alignment vertical="center" shrinkToFit="1"/>
    </xf>
    <xf numFmtId="165" fontId="23" fillId="5" borderId="2" xfId="2" applyNumberFormat="1" applyFont="1" applyFill="1" applyBorder="1" applyAlignment="1">
      <alignment vertical="center" shrinkToFit="1"/>
    </xf>
    <xf numFmtId="165" fontId="27" fillId="2" borderId="5" xfId="5" applyNumberFormat="1" applyFont="1" applyFill="1" applyBorder="1" applyAlignment="1">
      <alignment vertical="center" shrinkToFit="1"/>
    </xf>
    <xf numFmtId="165" fontId="27" fillId="2" borderId="0" xfId="5" applyNumberFormat="1" applyFont="1" applyFill="1" applyBorder="1" applyAlignment="1">
      <alignment vertical="center" shrinkToFit="1"/>
    </xf>
    <xf numFmtId="165" fontId="27" fillId="2" borderId="3" xfId="5" applyNumberFormat="1" applyFont="1" applyFill="1" applyBorder="1" applyAlignment="1">
      <alignment vertical="center" shrinkToFit="1"/>
    </xf>
    <xf numFmtId="165" fontId="26" fillId="2" borderId="0" xfId="5" applyNumberFormat="1" applyFont="1" applyFill="1" applyBorder="1" applyAlignment="1">
      <alignment vertical="center" shrinkToFit="1"/>
    </xf>
    <xf numFmtId="165" fontId="26" fillId="2" borderId="1" xfId="5" applyNumberFormat="1" applyFont="1" applyFill="1" applyBorder="1" applyAlignment="1">
      <alignment vertical="center" shrinkToFit="1"/>
    </xf>
    <xf numFmtId="0" fontId="29" fillId="2" borderId="0" xfId="0" applyFont="1" applyFill="1"/>
    <xf numFmtId="0" fontId="30" fillId="2" borderId="1" xfId="0" applyFont="1" applyFill="1" applyBorder="1"/>
    <xf numFmtId="0" fontId="24" fillId="2" borderId="0" xfId="0" applyFont="1" applyFill="1"/>
    <xf numFmtId="0" fontId="31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3" fillId="2" borderId="0" xfId="6" applyFont="1" applyFill="1"/>
    <xf numFmtId="0" fontId="18" fillId="2" borderId="0" xfId="6" applyFont="1" applyFill="1" applyAlignment="1">
      <alignment vertical="center"/>
    </xf>
    <xf numFmtId="0" fontId="18" fillId="2" borderId="0" xfId="6" applyFont="1" applyFill="1" applyAlignment="1">
      <alignment horizontal="center" vertical="center"/>
    </xf>
    <xf numFmtId="0" fontId="34" fillId="2" borderId="2" xfId="6" applyFont="1" applyFill="1" applyBorder="1" applyAlignment="1">
      <alignment vertical="center"/>
    </xf>
    <xf numFmtId="0" fontId="35" fillId="2" borderId="2" xfId="6" applyFont="1" applyFill="1" applyBorder="1" applyAlignment="1">
      <alignment vertical="center"/>
    </xf>
    <xf numFmtId="0" fontId="36" fillId="2" borderId="0" xfId="6" applyFont="1" applyFill="1" applyAlignment="1">
      <alignment vertical="center"/>
    </xf>
    <xf numFmtId="0" fontId="35" fillId="2" borderId="0" xfId="6" applyFont="1" applyFill="1" applyAlignment="1">
      <alignment vertical="center"/>
    </xf>
    <xf numFmtId="0" fontId="16" fillId="2" borderId="0" xfId="6" applyFont="1" applyFill="1" applyAlignment="1">
      <alignment vertical="center"/>
    </xf>
    <xf numFmtId="0" fontId="20" fillId="2" borderId="0" xfId="6" applyFont="1" applyFill="1" applyAlignment="1">
      <alignment vertical="center"/>
    </xf>
    <xf numFmtId="0" fontId="39" fillId="2" borderId="0" xfId="9" applyFont="1" applyFill="1" applyAlignment="1">
      <alignment vertical="center"/>
    </xf>
    <xf numFmtId="0" fontId="40" fillId="2" borderId="0" xfId="3" applyFont="1" applyFill="1" applyAlignment="1">
      <alignment horizontal="left" vertical="center" indent="1"/>
    </xf>
    <xf numFmtId="0" fontId="37" fillId="2" borderId="0" xfId="6" applyFont="1" applyFill="1" applyAlignment="1">
      <alignment horizontal="left" vertical="center"/>
    </xf>
    <xf numFmtId="177" fontId="38" fillId="2" borderId="0" xfId="6" quotePrefix="1" applyNumberFormat="1" applyFont="1" applyFill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64C3"/>
      <color rgb="FF050505"/>
      <color rgb="FF006EBE"/>
      <color rgb="FF506428"/>
      <color rgb="FFBE0000"/>
      <color rgb="FFF0F0F0"/>
      <color rgb="FFD7D7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300"/>
    <col min="5" max="21" width="9.7109375" style="300" customWidth="1"/>
    <col min="22" max="22" width="9.7109375" style="301" customWidth="1"/>
    <col min="23" max="23" width="107.42578125" style="300" customWidth="1"/>
    <col min="24" max="24" width="44.7109375" style="300" customWidth="1"/>
    <col min="25" max="26" width="9.7109375" style="300" customWidth="1"/>
    <col min="27" max="16384" width="9.140625" style="300"/>
  </cols>
  <sheetData>
    <row r="2" spans="1:23" ht="21" x14ac:dyDescent="0.35">
      <c r="A2" s="299"/>
    </row>
    <row r="6" spans="1:23" ht="31.5" x14ac:dyDescent="0.25">
      <c r="A6" s="302"/>
      <c r="B6" s="303" t="s">
        <v>159</v>
      </c>
      <c r="C6" s="303"/>
      <c r="D6" s="303"/>
      <c r="E6" s="303"/>
      <c r="F6" s="303"/>
      <c r="G6" s="303"/>
      <c r="H6" s="303"/>
      <c r="I6" s="303"/>
      <c r="J6" s="303"/>
      <c r="K6" s="303"/>
      <c r="L6" s="303"/>
      <c r="M6" s="303"/>
      <c r="N6" s="303"/>
      <c r="O6" s="303"/>
      <c r="P6" s="303"/>
      <c r="Q6" s="303"/>
      <c r="V6" s="300"/>
    </row>
    <row r="7" spans="1:23" ht="15" customHeight="1" x14ac:dyDescent="0.25">
      <c r="V7" s="300"/>
    </row>
    <row r="8" spans="1:23" ht="15" customHeight="1" x14ac:dyDescent="0.25">
      <c r="V8" s="300"/>
    </row>
    <row r="9" spans="1:23" ht="15" customHeight="1" x14ac:dyDescent="0.25">
      <c r="V9" s="300"/>
    </row>
    <row r="10" spans="1:23" ht="28.5" x14ac:dyDescent="0.25">
      <c r="C10" s="304" t="s">
        <v>185</v>
      </c>
      <c r="V10" s="300"/>
    </row>
    <row r="11" spans="1:23" ht="15" customHeight="1" x14ac:dyDescent="0.25">
      <c r="V11" s="300"/>
    </row>
    <row r="15" spans="1:23" ht="30" customHeight="1" x14ac:dyDescent="0.25">
      <c r="C15" s="304" t="s">
        <v>137</v>
      </c>
    </row>
    <row r="16" spans="1:23" ht="15" customHeight="1" x14ac:dyDescent="0.25">
      <c r="W16" s="305"/>
    </row>
    <row r="17" spans="12:32" ht="15" customHeight="1" x14ac:dyDescent="0.25">
      <c r="W17" s="305"/>
    </row>
    <row r="28" spans="12:32" ht="21" x14ac:dyDescent="0.25">
      <c r="L28" s="310" t="s">
        <v>142</v>
      </c>
      <c r="M28" s="310"/>
      <c r="N28" s="310"/>
      <c r="O28" s="310"/>
    </row>
    <row r="29" spans="12:32" ht="15" customHeight="1" x14ac:dyDescent="0.25">
      <c r="V29" s="300"/>
    </row>
    <row r="30" spans="12:32" ht="18.75" x14ac:dyDescent="0.25">
      <c r="L30" s="311">
        <v>45432.782175925924</v>
      </c>
      <c r="M30" s="311"/>
      <c r="N30" s="311"/>
      <c r="O30" s="311"/>
      <c r="V30" s="300"/>
    </row>
    <row r="31" spans="12:32" ht="15" customHeight="1" x14ac:dyDescent="0.25">
      <c r="L31" s="306" t="s">
        <v>155</v>
      </c>
      <c r="V31" s="300"/>
      <c r="AA31" s="307"/>
      <c r="AB31" s="307"/>
      <c r="AC31" s="307"/>
      <c r="AD31" s="307"/>
      <c r="AE31" s="307"/>
      <c r="AF31" s="307"/>
    </row>
    <row r="32" spans="12:32" ht="15" customHeight="1" x14ac:dyDescent="0.25">
      <c r="V32" s="300"/>
    </row>
    <row r="33" spans="2:32" ht="15" customHeight="1" x14ac:dyDescent="0.25">
      <c r="B33" s="308" t="s">
        <v>138</v>
      </c>
      <c r="V33" s="300"/>
    </row>
    <row r="34" spans="2:32" ht="15" customHeight="1" x14ac:dyDescent="0.25">
      <c r="B34" s="308"/>
      <c r="V34" s="308"/>
    </row>
    <row r="35" spans="2:32" ht="15" customHeight="1" x14ac:dyDescent="0.25">
      <c r="B35" s="308" t="s">
        <v>143</v>
      </c>
      <c r="V35" s="308"/>
    </row>
    <row r="36" spans="2:32" ht="15" customHeight="1" x14ac:dyDescent="0.25">
      <c r="B36" s="308" t="s">
        <v>139</v>
      </c>
      <c r="E36" s="307"/>
      <c r="F36" s="307"/>
      <c r="G36" s="307"/>
      <c r="H36" s="307"/>
      <c r="I36" s="307"/>
      <c r="J36" s="307"/>
      <c r="K36" s="307"/>
      <c r="L36" s="307"/>
      <c r="M36" s="307"/>
      <c r="N36" s="307"/>
      <c r="O36" s="307"/>
      <c r="P36" s="307"/>
      <c r="Q36" s="307"/>
      <c r="R36" s="307"/>
      <c r="S36" s="307"/>
      <c r="T36" s="307"/>
      <c r="U36" s="307"/>
      <c r="W36" s="307"/>
      <c r="X36" s="307"/>
      <c r="Y36" s="307"/>
      <c r="Z36" s="307"/>
    </row>
    <row r="38" spans="2:32" ht="15" customHeight="1" x14ac:dyDescent="0.25">
      <c r="B38" s="308" t="s">
        <v>144</v>
      </c>
    </row>
    <row r="39" spans="2:32" ht="15" customHeight="1" x14ac:dyDescent="0.25">
      <c r="B39" s="308" t="s">
        <v>145</v>
      </c>
    </row>
    <row r="40" spans="2:32" ht="15" customHeight="1" x14ac:dyDescent="0.25">
      <c r="B40" s="309" t="s">
        <v>146</v>
      </c>
      <c r="AA40" s="307"/>
      <c r="AB40" s="307"/>
      <c r="AC40" s="307"/>
      <c r="AD40" s="307"/>
      <c r="AE40" s="307"/>
      <c r="AF40" s="307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45"/>
  <sheetViews>
    <sheetView showGridLines="0" zoomScale="115" zoomScaleNormal="115" workbookViewId="0"/>
  </sheetViews>
  <sheetFormatPr defaultRowHeight="15" x14ac:dyDescent="0.25"/>
  <cols>
    <col min="1" max="1" width="7.7109375" style="15" customWidth="1"/>
    <col min="2" max="2" width="15.85546875" style="15" customWidth="1"/>
    <col min="3" max="3" width="2.85546875" style="15" customWidth="1"/>
    <col min="4" max="4" width="54.7109375" style="15" customWidth="1"/>
    <col min="5" max="16384" width="9.140625" style="15"/>
  </cols>
  <sheetData>
    <row r="1" spans="1:4" ht="18.75" x14ac:dyDescent="0.3">
      <c r="A1" s="293" t="s">
        <v>184</v>
      </c>
      <c r="B1" s="293" t="s">
        <v>185</v>
      </c>
      <c r="C1" s="13"/>
      <c r="D1" s="14"/>
    </row>
    <row r="2" spans="1:4" ht="18.75" x14ac:dyDescent="0.3">
      <c r="A2" s="12"/>
      <c r="B2" s="13"/>
      <c r="C2" s="13"/>
      <c r="D2" s="14"/>
    </row>
    <row r="3" spans="1:4" ht="18.75" x14ac:dyDescent="0.3">
      <c r="A3" s="12"/>
      <c r="B3" s="294" t="s">
        <v>22</v>
      </c>
      <c r="C3" s="16"/>
      <c r="D3" s="16"/>
    </row>
    <row r="4" spans="1:4" ht="15" customHeight="1" x14ac:dyDescent="0.3">
      <c r="A4" s="17"/>
      <c r="B4" s="24" t="str">
        <f ca="1">HYPERLINK("#"&amp;CELL("address",SER_summary!$B$2),MID(CELL("filename",SER_summary!$B$2),FIND("]",CELL("filename",SER_summary!$B$2))+1,256))</f>
        <v>SER_summary</v>
      </c>
      <c r="C4" s="18"/>
      <c r="D4" s="295" t="s">
        <v>21</v>
      </c>
    </row>
    <row r="5" spans="1:4" x14ac:dyDescent="0.25">
      <c r="A5" s="19"/>
      <c r="B5" s="20"/>
      <c r="C5" s="21"/>
      <c r="D5" s="22"/>
    </row>
    <row r="6" spans="1:4" x14ac:dyDescent="0.25">
      <c r="A6" s="19"/>
      <c r="B6" s="296" t="s">
        <v>20</v>
      </c>
      <c r="C6" s="21"/>
      <c r="D6" s="22"/>
    </row>
    <row r="7" spans="1:4" x14ac:dyDescent="0.25">
      <c r="A7" s="19"/>
      <c r="B7" s="25" t="str">
        <f ca="1">HYPERLINK("#"&amp;CELL("address",SER_hh_num!$B$2),MID(CELL("filename",SER_hh_num!$B$2),FIND("]",CELL("filename",SER_hh_num!$B$2))+1,256))</f>
        <v>SER_hh_num</v>
      </c>
      <c r="C7" s="21"/>
      <c r="D7" s="297" t="s">
        <v>19</v>
      </c>
    </row>
    <row r="8" spans="1:4" x14ac:dyDescent="0.25">
      <c r="B8" s="25" t="str">
        <f ca="1">HYPERLINK("#"&amp;CELL("address",SER_hh_fec!$B$2),MID(CELL("filename",SER_hh_fec!$B$2),FIND("]",CELL("filename",SER_hh_fec!$B$2))+1,256))</f>
        <v>SER_hh_fec</v>
      </c>
      <c r="C8" s="21"/>
      <c r="D8" s="297" t="s">
        <v>16</v>
      </c>
    </row>
    <row r="9" spans="1:4" x14ac:dyDescent="0.25">
      <c r="B9" s="25" t="str">
        <f ca="1">HYPERLINK("#"&amp;CELL("address",SER_hh_tes!$B$2),MID(CELL("filename",SER_hh_tes!$B$2),FIND("]",CELL("filename",SER_hh_tes!$B$2))+1,256))</f>
        <v>SER_hh_tes</v>
      </c>
      <c r="C9" s="21"/>
      <c r="D9" s="297" t="s">
        <v>15</v>
      </c>
    </row>
    <row r="10" spans="1:4" x14ac:dyDescent="0.25">
      <c r="B10" s="25" t="str">
        <f ca="1">HYPERLINK("#"&amp;CELL("address",SER_hh_eff!$B$2),MID(CELL("filename",SER_hh_eff!$B$2),FIND("]",CELL("filename",SER_hh_eff!$B$2))+1,256))</f>
        <v>SER_hh_eff</v>
      </c>
      <c r="C10" s="21"/>
      <c r="D10" s="297" t="s">
        <v>14</v>
      </c>
    </row>
    <row r="11" spans="1:4" x14ac:dyDescent="0.25">
      <c r="B11" s="25" t="str">
        <f ca="1">HYPERLINK("#"&amp;CELL("address",SER_hh_emi!$B$2),MID(CELL("filename",SER_hh_emi!$B$2),FIND("]",CELL("filename",SER_hh_emi!$B$2))+1,256))</f>
        <v>SER_hh_emi</v>
      </c>
      <c r="C11" s="21"/>
      <c r="D11" s="297" t="s">
        <v>160</v>
      </c>
    </row>
    <row r="12" spans="1:4" x14ac:dyDescent="0.25">
      <c r="B12" s="25" t="str">
        <f ca="1">HYPERLINK("#"&amp;CELL("address",SER_hh_fech!$B$2),MID(CELL("filename",SER_hh_fech!$B$2),FIND("]",CELL("filename",SER_hh_fech!$B$2))+1,256))</f>
        <v>SER_hh_fech</v>
      </c>
      <c r="C12" s="21"/>
      <c r="D12" s="297" t="s">
        <v>13</v>
      </c>
    </row>
    <row r="13" spans="1:4" x14ac:dyDescent="0.25">
      <c r="B13" s="25" t="str">
        <f ca="1">HYPERLINK("#"&amp;CELL("address",SER_hh_tesh!$B$2),MID(CELL("filename",SER_hh_tesh!$B$2),FIND("]",CELL("filename",SER_hh_tesh!$B$2))+1,256))</f>
        <v>SER_hh_tesh</v>
      </c>
      <c r="C13" s="21"/>
      <c r="D13" s="297" t="s">
        <v>12</v>
      </c>
    </row>
    <row r="14" spans="1:4" x14ac:dyDescent="0.25">
      <c r="B14" s="25" t="str">
        <f ca="1">HYPERLINK("#"&amp;CELL("address",SER_hh_emih!$B$2),MID(CELL("filename",SER_hh_emih!$B$2),FIND("]",CELL("filename",SER_hh_emih!$B$2))+1,256))</f>
        <v>SER_hh_emih</v>
      </c>
      <c r="C14" s="21"/>
      <c r="D14" s="297" t="s">
        <v>161</v>
      </c>
    </row>
    <row r="15" spans="1:4" x14ac:dyDescent="0.25">
      <c r="B15" s="25" t="str">
        <f ca="1">HYPERLINK("#"&amp;CELL("address",SER_hh_fecs!$B$2),MID(CELL("filename",SER_hh_fecs!$B$2),FIND("]",CELL("filename",SER_hh_fecs!$B$2))+1,256))</f>
        <v>SER_hh_fecs</v>
      </c>
      <c r="C15" s="21"/>
      <c r="D15" s="297" t="s">
        <v>11</v>
      </c>
    </row>
    <row r="16" spans="1:4" x14ac:dyDescent="0.25">
      <c r="B16" s="25" t="str">
        <f ca="1">HYPERLINK("#"&amp;CELL("address",SER_hh_tess!$B$2),MID(CELL("filename",SER_hh_tess!$B$2),FIND("]",CELL("filename",SER_hh_tess!$B$2))+1,256))</f>
        <v>SER_hh_tess</v>
      </c>
      <c r="C16" s="21"/>
      <c r="D16" s="297" t="s">
        <v>10</v>
      </c>
    </row>
    <row r="17" spans="1:4" x14ac:dyDescent="0.25">
      <c r="B17" s="25" t="str">
        <f ca="1">HYPERLINK("#"&amp;CELL("address",SER_hh_emis!$B$2),MID(CELL("filename",SER_hh_emis!$B$2),FIND("]",CELL("filename",SER_hh_emis!$B$2))+1,256))</f>
        <v>SER_hh_emis</v>
      </c>
      <c r="C17" s="21"/>
      <c r="D17" s="297" t="s">
        <v>162</v>
      </c>
    </row>
    <row r="18" spans="1:4" x14ac:dyDescent="0.25">
      <c r="B18" s="21"/>
      <c r="C18" s="21"/>
      <c r="D18" s="23"/>
    </row>
    <row r="19" spans="1:4" x14ac:dyDescent="0.25">
      <c r="A19" s="19"/>
      <c r="B19" s="296" t="s">
        <v>18</v>
      </c>
      <c r="C19" s="21"/>
      <c r="D19" s="22"/>
    </row>
    <row r="20" spans="1:4" x14ac:dyDescent="0.25">
      <c r="A20" s="19"/>
      <c r="B20" s="25" t="str">
        <f ca="1">HYPERLINK("#"&amp;CELL("address",SER_hh_num_in!$B$2),MID(CELL("filename",SER_hh_num_in!$B$2),FIND("]",CELL("filename",SER_hh_num_in!$B$2))+1,256))</f>
        <v>SER_hh_num_in</v>
      </c>
      <c r="C20" s="21"/>
      <c r="D20" s="297" t="s">
        <v>17</v>
      </c>
    </row>
    <row r="21" spans="1:4" x14ac:dyDescent="0.25">
      <c r="B21" s="25" t="str">
        <f ca="1">HYPERLINK("#"&amp;CELL("address",SER_hh_fec_in!$B$2),MID(CELL("filename",SER_hh_fec_in!$B$2),FIND("]",CELL("filename",SER_hh_fec_in!$B$2))+1,256))</f>
        <v>SER_hh_fec_in</v>
      </c>
      <c r="C21" s="21"/>
      <c r="D21" s="297" t="s">
        <v>16</v>
      </c>
    </row>
    <row r="22" spans="1:4" x14ac:dyDescent="0.25">
      <c r="B22" s="25" t="str">
        <f ca="1">HYPERLINK("#"&amp;CELL("address",SER_hh_tes_in!$B$2),MID(CELL("filename",SER_hh_tes_in!$B$2),FIND("]",CELL("filename",SER_hh_tes_in!$B$2))+1,256))</f>
        <v>SER_hh_tes_in</v>
      </c>
      <c r="C22" s="21"/>
      <c r="D22" s="297" t="s">
        <v>15</v>
      </c>
    </row>
    <row r="23" spans="1:4" x14ac:dyDescent="0.25">
      <c r="B23" s="25" t="str">
        <f ca="1">HYPERLINK("#"&amp;CELL("address",SER_hh_eff_in!$B$2),MID(CELL("filename",SER_hh_eff_in!$B$2),FIND("]",CELL("filename",SER_hh_eff_in!$B$2))+1,256))</f>
        <v>SER_hh_eff_in</v>
      </c>
      <c r="C23" s="21"/>
      <c r="D23" s="297" t="s">
        <v>14</v>
      </c>
    </row>
    <row r="24" spans="1:4" x14ac:dyDescent="0.25">
      <c r="B24" s="25" t="str">
        <f ca="1">HYPERLINK("#"&amp;CELL("address",SER_hh_emi_in!$B$2),MID(CELL("filename",SER_hh_emi_in!$B$2),FIND("]",CELL("filename",SER_hh_emi_in!$B$2))+1,256))</f>
        <v>SER_hh_emi_in</v>
      </c>
      <c r="C24" s="21"/>
      <c r="D24" s="297" t="s">
        <v>160</v>
      </c>
    </row>
    <row r="25" spans="1:4" x14ac:dyDescent="0.25">
      <c r="B25" s="25" t="str">
        <f ca="1">HYPERLINK("#"&amp;CELL("address",SER_hh_fech_in!$B$2),MID(CELL("filename",SER_hh_fech_in!$B$2),FIND("]",CELL("filename",SER_hh_fech_in!$B$2))+1,256))</f>
        <v>SER_hh_fech_in</v>
      </c>
      <c r="C25" s="21"/>
      <c r="D25" s="297" t="s">
        <v>13</v>
      </c>
    </row>
    <row r="26" spans="1:4" x14ac:dyDescent="0.25">
      <c r="B26" s="25" t="str">
        <f ca="1">HYPERLINK("#"&amp;CELL("address",SER_hh_tesh_in!$B$2),MID(CELL("filename",SER_hh_tesh_in!$B$2),FIND("]",CELL("filename",SER_hh_tesh_in!$B$2))+1,256))</f>
        <v>SER_hh_tesh_in</v>
      </c>
      <c r="C26" s="21"/>
      <c r="D26" s="297" t="s">
        <v>12</v>
      </c>
    </row>
    <row r="27" spans="1:4" x14ac:dyDescent="0.25">
      <c r="B27" s="25" t="str">
        <f ca="1">HYPERLINK("#"&amp;CELL("address",SER_hh_emih_in!$B$2),MID(CELL("filename",SER_hh_emih_in!$B$2),FIND("]",CELL("filename",SER_hh_emih_in!$B$2))+1,256))</f>
        <v>SER_hh_emih_in</v>
      </c>
      <c r="C27" s="21"/>
      <c r="D27" s="297" t="s">
        <v>161</v>
      </c>
    </row>
    <row r="28" spans="1:4" x14ac:dyDescent="0.25">
      <c r="B28" s="25" t="str">
        <f ca="1">HYPERLINK("#"&amp;CELL("address",SER_hh_fecs_in!$B$2),MID(CELL("filename",SER_hh_fecs_in!$B$2),FIND("]",CELL("filename",SER_hh_fecs_in!$B$2))+1,256))</f>
        <v>SER_hh_fecs_in</v>
      </c>
      <c r="C28" s="21"/>
      <c r="D28" s="297" t="s">
        <v>11</v>
      </c>
    </row>
    <row r="29" spans="1:4" x14ac:dyDescent="0.25">
      <c r="B29" s="25" t="str">
        <f ca="1">HYPERLINK("#"&amp;CELL("address",SER_hh_tess_in!$B$2),MID(CELL("filename",SER_hh_tess_in!$B$2),FIND("]",CELL("filename",SER_hh_tess_in!$B$2))+1,256))</f>
        <v>SER_hh_tess_in</v>
      </c>
      <c r="C29" s="21"/>
      <c r="D29" s="297" t="s">
        <v>10</v>
      </c>
    </row>
    <row r="30" spans="1:4" x14ac:dyDescent="0.25">
      <c r="B30" s="25" t="str">
        <f ca="1">HYPERLINK("#"&amp;CELL("address",SER_hh_emis_in!$B$2),MID(CELL("filename",SER_hh_emis_in!$B$2),FIND("]",CELL("filename",SER_hh_emis_in!$B$2))+1,256))</f>
        <v>SER_hh_emis_in</v>
      </c>
      <c r="C30" s="21"/>
      <c r="D30" s="297" t="s">
        <v>162</v>
      </c>
    </row>
    <row r="31" spans="1:4" x14ac:dyDescent="0.25">
      <c r="B31" s="21"/>
      <c r="C31" s="21"/>
      <c r="D31" s="23"/>
    </row>
    <row r="32" spans="1:4" x14ac:dyDescent="0.25">
      <c r="B32" s="296" t="s">
        <v>9</v>
      </c>
      <c r="C32" s="21"/>
      <c r="D32" s="23"/>
    </row>
    <row r="33" spans="2:4" x14ac:dyDescent="0.25">
      <c r="B33" s="25" t="str">
        <f ca="1">HYPERLINK("#"&amp;CELL("address",'SER_se-appl'!$B$2),MID(CELL("filename",'SER_se-appl'!$B$2),FIND("]",CELL("filename",'SER_se-appl'!$B$2))+1,256))</f>
        <v>SER_se-appl</v>
      </c>
      <c r="C33" s="18"/>
      <c r="D33" s="297" t="s">
        <v>8</v>
      </c>
    </row>
    <row r="34" spans="2:4" x14ac:dyDescent="0.25">
      <c r="B34" s="25" t="str">
        <f ca="1">HYPERLINK("#"&amp;CELL("address",SER_VE!$B$2),MID(CELL("filename",SER_VE!$B$2),FIND("]",CELL("filename",SER_VE!$B$2))+1,256))</f>
        <v>SER_VE</v>
      </c>
      <c r="C34" s="18"/>
      <c r="D34" s="297" t="s">
        <v>7</v>
      </c>
    </row>
    <row r="35" spans="2:4" x14ac:dyDescent="0.25">
      <c r="B35" s="25" t="str">
        <f ca="1">HYPERLINK("#"&amp;CELL("address",SER_SL!$B$2),MID(CELL("filename",SER_SL!$B$2),FIND("]",CELL("filename",SER_SL!$B$2))+1,256))</f>
        <v>SER_SL</v>
      </c>
      <c r="C35" s="18"/>
      <c r="D35" s="297" t="s">
        <v>6</v>
      </c>
    </row>
    <row r="36" spans="2:4" x14ac:dyDescent="0.25">
      <c r="B36" s="25" t="str">
        <f ca="1">HYPERLINK("#"&amp;CELL("address",SER_BL!$B$2),MID(CELL("filename",SER_BL!$B$2),FIND("]",CELL("filename",SER_BL!$B$2))+1,256))</f>
        <v>SER_BL</v>
      </c>
      <c r="C36" s="18"/>
      <c r="D36" s="297" t="s">
        <v>5</v>
      </c>
    </row>
    <row r="37" spans="2:4" x14ac:dyDescent="0.25">
      <c r="B37" s="25" t="str">
        <f ca="1">HYPERLINK("#"&amp;CELL("address",SER_CR!$B$2),MID(CELL("filename",SER_CR!$B$2),FIND("]",CELL("filename",SER_CR!$B$2))+1,256))</f>
        <v>SER_CR</v>
      </c>
      <c r="C37" s="18"/>
      <c r="D37" s="297" t="s">
        <v>179</v>
      </c>
    </row>
    <row r="38" spans="2:4" x14ac:dyDescent="0.25">
      <c r="B38" s="25" t="str">
        <f ca="1">HYPERLINK("#"&amp;CELL("address",SER_BT!$B$2),MID(CELL("filename",SER_BT!$B$2),FIND("]",CELL("filename",SER_BT!$B$2))+1,256))</f>
        <v>SER_BT</v>
      </c>
      <c r="C38" s="18"/>
      <c r="D38" s="297" t="s">
        <v>4</v>
      </c>
    </row>
    <row r="39" spans="2:4" x14ac:dyDescent="0.25">
      <c r="B39" s="25" t="str">
        <f ca="1">HYPERLINK("#"&amp;CELL("address",SER_IT!$B$2),MID(CELL("filename",SER_IT!$B$2),FIND("]",CELL("filename",SER_IT!$B$2))+1,256))</f>
        <v>SER_IT</v>
      </c>
      <c r="C39" s="18"/>
      <c r="D39" s="297" t="s">
        <v>3</v>
      </c>
    </row>
    <row r="41" spans="2:4" x14ac:dyDescent="0.25">
      <c r="B41" s="296" t="s">
        <v>126</v>
      </c>
    </row>
    <row r="42" spans="2:4" x14ac:dyDescent="0.25">
      <c r="B42" s="25" t="str">
        <f ca="1">HYPERLINK("#"&amp;CELL("address",AGR!$B$2),MID(CELL("filename",AGR!$B$2),FIND("]",CELL("filename",AGR!$B$2))+1,256))</f>
        <v>AGR</v>
      </c>
      <c r="D42" s="295" t="s">
        <v>183</v>
      </c>
    </row>
    <row r="43" spans="2:4" x14ac:dyDescent="0.25">
      <c r="B43" s="26" t="str">
        <f ca="1">HYPERLINK("#"&amp;CELL("address",AGR_fec!$B$2),MID(CELL("filename",AGR_fec!$B$2),FIND("]",CELL("filename",AGR_fec!$B$2))+1,256))</f>
        <v>AGR_fec</v>
      </c>
      <c r="D43" s="298" t="s">
        <v>2</v>
      </c>
    </row>
    <row r="44" spans="2:4" x14ac:dyDescent="0.25">
      <c r="B44" s="26" t="str">
        <f ca="1">HYPERLINK("#"&amp;CELL("address",AGR_ued!$B$2),MID(CELL("filename",AGR_ued!$B$2),FIND("]",CELL("filename",AGR_ued!$B$2))+1,256))</f>
        <v>AGR_ued</v>
      </c>
      <c r="D44" s="298" t="s">
        <v>1</v>
      </c>
    </row>
    <row r="45" spans="2:4" x14ac:dyDescent="0.25">
      <c r="B45" s="26" t="str">
        <f ca="1">HYPERLINK("#"&amp;CELL("address",AGR_emi!$B$2),MID(CELL("filename",AGR_emi!$B$2),FIND("]",CELL("filename",AGR_emi!$B$2))+1,256))</f>
        <v>AGR_emi</v>
      </c>
      <c r="D45" s="298" t="s">
        <v>0</v>
      </c>
    </row>
  </sheetData>
  <pageMargins left="0.39370078740157483" right="0.39370078740157483" top="0.39370078740157483" bottom="0.3937007874015748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9" tint="0.79998168889431442"/>
    <pageSetUpPr fitToPage="1"/>
  </sheetPr>
  <dimension ref="A1:DA173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186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" customHeight="1" x14ac:dyDescent="0.25">
      <c r="A3" s="33" t="s">
        <v>71</v>
      </c>
      <c r="B3" s="34">
        <v>10239085</v>
      </c>
      <c r="C3" s="34">
        <v>10263414</v>
      </c>
      <c r="D3" s="34">
        <v>10309725</v>
      </c>
      <c r="E3" s="34">
        <v>10355844</v>
      </c>
      <c r="F3" s="34">
        <v>10396421</v>
      </c>
      <c r="G3" s="34">
        <v>10445852</v>
      </c>
      <c r="H3" s="34">
        <v>10511382</v>
      </c>
      <c r="I3" s="34">
        <v>10584534</v>
      </c>
      <c r="J3" s="34">
        <v>10666866</v>
      </c>
      <c r="K3" s="34">
        <v>10753080</v>
      </c>
      <c r="L3" s="34">
        <v>10839905</v>
      </c>
      <c r="M3" s="34">
        <v>11000638</v>
      </c>
      <c r="N3" s="34">
        <v>11075889</v>
      </c>
      <c r="O3" s="34">
        <v>11137974</v>
      </c>
      <c r="P3" s="34">
        <v>11180840</v>
      </c>
      <c r="Q3" s="34">
        <v>11237274</v>
      </c>
      <c r="R3" s="34">
        <v>11311117</v>
      </c>
      <c r="S3" s="34">
        <v>11351727</v>
      </c>
      <c r="T3" s="34">
        <v>11398589</v>
      </c>
      <c r="U3" s="34">
        <v>11455519</v>
      </c>
      <c r="V3" s="34">
        <v>11522440</v>
      </c>
      <c r="W3" s="34">
        <v>11554767</v>
      </c>
      <c r="DA3" s="88" t="s">
        <v>187</v>
      </c>
    </row>
    <row r="4" spans="1:105" ht="12" customHeight="1" x14ac:dyDescent="0.25">
      <c r="A4" s="35" t="s">
        <v>178</v>
      </c>
      <c r="B4" s="36">
        <v>329613.14459829521</v>
      </c>
      <c r="C4" s="36">
        <v>333238.65713601361</v>
      </c>
      <c r="D4" s="36">
        <v>338926.25024806516</v>
      </c>
      <c r="E4" s="36">
        <v>342442.64211603097</v>
      </c>
      <c r="F4" s="36">
        <v>354674.14683108689</v>
      </c>
      <c r="G4" s="36">
        <v>362909.95072046446</v>
      </c>
      <c r="H4" s="36">
        <v>372171.66861250374</v>
      </c>
      <c r="I4" s="36">
        <v>385854.53769622924</v>
      </c>
      <c r="J4" s="36">
        <v>387578.61912422592</v>
      </c>
      <c r="K4" s="36">
        <v>379746.15839891275</v>
      </c>
      <c r="L4" s="36">
        <v>390624.43526526395</v>
      </c>
      <c r="M4" s="36">
        <v>397244.19931532902</v>
      </c>
      <c r="N4" s="36">
        <v>400181.03626943007</v>
      </c>
      <c r="O4" s="36">
        <v>402017.8660963705</v>
      </c>
      <c r="P4" s="36">
        <v>408365.13421220629</v>
      </c>
      <c r="Q4" s="36">
        <v>416701.4</v>
      </c>
      <c r="R4" s="36">
        <v>421979.08183789405</v>
      </c>
      <c r="S4" s="36">
        <v>428815.15811381111</v>
      </c>
      <c r="T4" s="36">
        <v>436501.54181887186</v>
      </c>
      <c r="U4" s="36">
        <v>446284.84588562162</v>
      </c>
      <c r="V4" s="36">
        <v>422805.16453465965</v>
      </c>
      <c r="W4" s="36">
        <v>451774.0816508049</v>
      </c>
      <c r="DA4" s="89" t="s">
        <v>188</v>
      </c>
    </row>
    <row r="5" spans="1:105" ht="12" customHeight="1" x14ac:dyDescent="0.25">
      <c r="A5" s="35" t="s">
        <v>147</v>
      </c>
      <c r="B5" s="36">
        <v>206658.01651624779</v>
      </c>
      <c r="C5" s="36">
        <v>212509.92970893736</v>
      </c>
      <c r="D5" s="36">
        <v>217922.46704726206</v>
      </c>
      <c r="E5" s="36">
        <v>222337.68749319034</v>
      </c>
      <c r="F5" s="36">
        <v>230029.33874971789</v>
      </c>
      <c r="G5" s="36">
        <v>237765.02363268065</v>
      </c>
      <c r="H5" s="36">
        <v>244861.96336479243</v>
      </c>
      <c r="I5" s="36">
        <v>253551.46450993099</v>
      </c>
      <c r="J5" s="36">
        <v>258921.84562614749</v>
      </c>
      <c r="K5" s="36">
        <v>257774.68174616183</v>
      </c>
      <c r="L5" s="36">
        <v>263581.2601246608</v>
      </c>
      <c r="M5" s="36">
        <v>269818.18949680094</v>
      </c>
      <c r="N5" s="36">
        <v>274182.92253156158</v>
      </c>
      <c r="O5" s="36">
        <v>276483.77061929513</v>
      </c>
      <c r="P5" s="36">
        <v>282278.40794004453</v>
      </c>
      <c r="Q5" s="36">
        <v>288476.59999999998</v>
      </c>
      <c r="R5" s="36">
        <v>292767.6004513565</v>
      </c>
      <c r="S5" s="36">
        <v>297335.07479950646</v>
      </c>
      <c r="T5" s="36">
        <v>304232.96102119895</v>
      </c>
      <c r="U5" s="36">
        <v>309677.12142697215</v>
      </c>
      <c r="V5" s="36">
        <v>294630.49939456204</v>
      </c>
      <c r="W5" s="36">
        <v>313471.45685089083</v>
      </c>
      <c r="DA5" s="89" t="s">
        <v>189</v>
      </c>
    </row>
    <row r="6" spans="1:105" ht="12" customHeight="1" x14ac:dyDescent="0.25">
      <c r="A6" s="37" t="s">
        <v>70</v>
      </c>
      <c r="B6" s="38">
        <v>3112399.9999999995</v>
      </c>
      <c r="C6" s="38">
        <v>3162399.9999999995</v>
      </c>
      <c r="D6" s="38">
        <v>3198200</v>
      </c>
      <c r="E6" s="38">
        <v>3219599.9999999995</v>
      </c>
      <c r="F6" s="38">
        <v>3276200.0000000005</v>
      </c>
      <c r="G6" s="38">
        <v>3339399.9999999995</v>
      </c>
      <c r="H6" s="38">
        <v>3383700.0000000005</v>
      </c>
      <c r="I6" s="38">
        <v>3450400</v>
      </c>
      <c r="J6" s="38">
        <v>3523400</v>
      </c>
      <c r="K6" s="38">
        <v>3557799.9999999995</v>
      </c>
      <c r="L6" s="38">
        <v>3605300</v>
      </c>
      <c r="M6" s="38">
        <v>3662200</v>
      </c>
      <c r="N6" s="38">
        <v>3689399.9999999995</v>
      </c>
      <c r="O6" s="38">
        <v>3694399.9999999995</v>
      </c>
      <c r="P6" s="38">
        <v>3731200</v>
      </c>
      <c r="Q6" s="38">
        <v>3785400.0000000005</v>
      </c>
      <c r="R6" s="38">
        <v>3842799.9999999995</v>
      </c>
      <c r="S6" s="38">
        <v>3912899.9999999995</v>
      </c>
      <c r="T6" s="38">
        <v>3972800</v>
      </c>
      <c r="U6" s="38">
        <v>4044300</v>
      </c>
      <c r="V6" s="38">
        <v>4044400</v>
      </c>
      <c r="W6" s="38">
        <v>4126299.9999999991</v>
      </c>
      <c r="DA6" s="90" t="s">
        <v>190</v>
      </c>
    </row>
    <row r="7" spans="1:105" s="2" customFormat="1" ht="12" customHeight="1" x14ac:dyDescent="0.25">
      <c r="DA7" s="7"/>
    </row>
    <row r="8" spans="1:105" ht="12" customHeight="1" x14ac:dyDescent="0.25">
      <c r="A8" s="33" t="s">
        <v>69</v>
      </c>
      <c r="B8" s="34">
        <v>194582.59589548144</v>
      </c>
      <c r="C8" s="34">
        <v>196895.60952225293</v>
      </c>
      <c r="D8" s="34">
        <v>206274.69615786386</v>
      </c>
      <c r="E8" s="34">
        <v>208589.1192774307</v>
      </c>
      <c r="F8" s="34">
        <v>213772.81102575356</v>
      </c>
      <c r="G8" s="34">
        <v>217552.12672372436</v>
      </c>
      <c r="H8" s="34">
        <v>222310.24443650412</v>
      </c>
      <c r="I8" s="34">
        <v>227678.79182934939</v>
      </c>
      <c r="J8" s="34">
        <v>231130.56444996872</v>
      </c>
      <c r="K8" s="34">
        <v>229691.75085205151</v>
      </c>
      <c r="L8" s="34">
        <v>234449.35684602661</v>
      </c>
      <c r="M8" s="34">
        <v>238177.76641556036</v>
      </c>
      <c r="N8" s="34">
        <v>239999.1008117426</v>
      </c>
      <c r="O8" s="34">
        <v>241332.70538926564</v>
      </c>
      <c r="P8" s="34">
        <v>242989.94212203036</v>
      </c>
      <c r="Q8" s="34">
        <v>243803.3090639658</v>
      </c>
      <c r="R8" s="34">
        <v>245855.46977946357</v>
      </c>
      <c r="S8" s="34">
        <v>247697.41363382497</v>
      </c>
      <c r="T8" s="34">
        <v>250025.14397531678</v>
      </c>
      <c r="U8" s="34">
        <v>252303.49973374995</v>
      </c>
      <c r="V8" s="34">
        <v>254529.32555555558</v>
      </c>
      <c r="W8" s="34">
        <v>256693.88488644574</v>
      </c>
      <c r="DA8" s="88" t="s">
        <v>191</v>
      </c>
    </row>
    <row r="9" spans="1:105" ht="12" customHeight="1" x14ac:dyDescent="0.25">
      <c r="A9" s="39" t="s">
        <v>68</v>
      </c>
      <c r="B9" s="40">
        <v>175124.33630593328</v>
      </c>
      <c r="C9" s="40">
        <v>177206.04857002763</v>
      </c>
      <c r="D9" s="40">
        <v>185647.22654207749</v>
      </c>
      <c r="E9" s="40">
        <v>187730.20734968764</v>
      </c>
      <c r="F9" s="40">
        <v>192395.5299231782</v>
      </c>
      <c r="G9" s="40">
        <v>195796.91405135192</v>
      </c>
      <c r="H9" s="40">
        <v>200079.2199928537</v>
      </c>
      <c r="I9" s="40">
        <v>204910.91264641445</v>
      </c>
      <c r="J9" s="40">
        <v>208017.50800497184</v>
      </c>
      <c r="K9" s="40">
        <v>206722.57576684636</v>
      </c>
      <c r="L9" s="40">
        <v>211004.42116142393</v>
      </c>
      <c r="M9" s="40">
        <v>214359.98977400432</v>
      </c>
      <c r="N9" s="40">
        <v>215999.19073056834</v>
      </c>
      <c r="O9" s="40">
        <v>217199.43485033908</v>
      </c>
      <c r="P9" s="40">
        <v>218690.94790982732</v>
      </c>
      <c r="Q9" s="40">
        <v>219422.97815756922</v>
      </c>
      <c r="R9" s="40">
        <v>221269.92280151721</v>
      </c>
      <c r="S9" s="40">
        <v>222927.67227044248</v>
      </c>
      <c r="T9" s="40">
        <v>225022.62957778509</v>
      </c>
      <c r="U9" s="40">
        <v>227073.14976037497</v>
      </c>
      <c r="V9" s="40">
        <v>229076.39300000001</v>
      </c>
      <c r="W9" s="40">
        <v>231024.49639780118</v>
      </c>
      <c r="DA9" s="91" t="s">
        <v>192</v>
      </c>
    </row>
    <row r="10" spans="1:105" ht="12" customHeight="1" x14ac:dyDescent="0.25">
      <c r="A10" s="35" t="s">
        <v>17</v>
      </c>
      <c r="B10" s="41"/>
      <c r="C10" s="41">
        <v>3091.4191116524958</v>
      </c>
      <c r="D10" s="41">
        <v>10166.83532211085</v>
      </c>
      <c r="E10" s="41">
        <v>3139.5446125426874</v>
      </c>
      <c r="F10" s="41">
        <v>6018.1564429177188</v>
      </c>
      <c r="G10" s="41">
        <v>4634.2186461071578</v>
      </c>
      <c r="H10" s="41">
        <v>5628.2033635468906</v>
      </c>
      <c r="I10" s="41">
        <v>6257.9033969516031</v>
      </c>
      <c r="J10" s="41">
        <v>4362.7347784695139</v>
      </c>
      <c r="K10" s="41">
        <v>924.39301017747914</v>
      </c>
      <c r="L10" s="41">
        <v>5676.1595031407041</v>
      </c>
      <c r="M10" s="41">
        <v>4666.233432038518</v>
      </c>
      <c r="N10" s="41">
        <v>2773.757011216655</v>
      </c>
      <c r="O10" s="41">
        <v>2293.6185438728412</v>
      </c>
      <c r="P10" s="41">
        <v>2622.5062500252075</v>
      </c>
      <c r="Q10" s="41">
        <v>1785.0599103090331</v>
      </c>
      <c r="R10" s="41">
        <v>3315.3902961401063</v>
      </c>
      <c r="S10" s="41">
        <v>3115.8063920787722</v>
      </c>
      <c r="T10" s="41">
        <v>3611.1366297499449</v>
      </c>
      <c r="U10" s="41">
        <v>3573.8228256628672</v>
      </c>
      <c r="V10" s="41">
        <v>3533.0978411513802</v>
      </c>
      <c r="W10" s="41">
        <v>3483.3641265148508</v>
      </c>
      <c r="DA10" s="92" t="s">
        <v>193</v>
      </c>
    </row>
    <row r="11" spans="1:105" ht="12" customHeight="1" x14ac:dyDescent="0.25">
      <c r="A11" s="37" t="s">
        <v>67</v>
      </c>
      <c r="B11" s="42"/>
      <c r="C11" s="42">
        <v>2782.2772004872463</v>
      </c>
      <c r="D11" s="42">
        <v>9150.1517898997663</v>
      </c>
      <c r="E11" s="42">
        <v>2825.5901512884188</v>
      </c>
      <c r="F11" s="42">
        <v>5416.3407986259472</v>
      </c>
      <c r="G11" s="42">
        <v>4170.7967814964422</v>
      </c>
      <c r="H11" s="42">
        <v>5065.3830271922016</v>
      </c>
      <c r="I11" s="42">
        <v>5632.1130572564425</v>
      </c>
      <c r="J11" s="42">
        <v>3926.4613006225627</v>
      </c>
      <c r="K11" s="42">
        <v>831.95370915973115</v>
      </c>
      <c r="L11" s="42">
        <v>5108.5435528266344</v>
      </c>
      <c r="M11" s="42">
        <v>4199.6100888346664</v>
      </c>
      <c r="N11" s="42">
        <v>2496.3813100949897</v>
      </c>
      <c r="O11" s="42">
        <v>2064.2566894855572</v>
      </c>
      <c r="P11" s="42">
        <v>2360.2556250226867</v>
      </c>
      <c r="Q11" s="42">
        <v>1606.5539192781298</v>
      </c>
      <c r="R11" s="42">
        <v>2983.851266526096</v>
      </c>
      <c r="S11" s="42">
        <v>2804.2257528708951</v>
      </c>
      <c r="T11" s="42">
        <v>3250.0229667749504</v>
      </c>
      <c r="U11" s="42">
        <v>3216.4405430965803</v>
      </c>
      <c r="V11" s="42">
        <v>3179.7880570362422</v>
      </c>
      <c r="W11" s="42">
        <v>3135.027713863366</v>
      </c>
      <c r="DA11" s="93" t="s">
        <v>194</v>
      </c>
    </row>
    <row r="12" spans="1:105" s="2" customFormat="1" ht="12" customHeight="1" x14ac:dyDescent="0.25">
      <c r="DA12" s="7"/>
    </row>
    <row r="13" spans="1:105" ht="12" customHeight="1" x14ac:dyDescent="0.25">
      <c r="A13" s="33" t="s">
        <v>66</v>
      </c>
      <c r="B13" s="43">
        <v>2515.89</v>
      </c>
      <c r="C13" s="43">
        <v>2719.01</v>
      </c>
      <c r="D13" s="43">
        <v>2527.94</v>
      </c>
      <c r="E13" s="43">
        <v>2687.09</v>
      </c>
      <c r="F13" s="43">
        <v>2773.96</v>
      </c>
      <c r="G13" s="43">
        <v>2661.22</v>
      </c>
      <c r="H13" s="43">
        <v>2588.67</v>
      </c>
      <c r="I13" s="43">
        <v>2439.16</v>
      </c>
      <c r="J13" s="43">
        <v>2698.26</v>
      </c>
      <c r="K13" s="43">
        <v>2692.13</v>
      </c>
      <c r="L13" s="43">
        <v>3193.64</v>
      </c>
      <c r="M13" s="43">
        <v>2404.6799999999998</v>
      </c>
      <c r="N13" s="43">
        <v>2766.54</v>
      </c>
      <c r="O13" s="43">
        <v>3021.71</v>
      </c>
      <c r="P13" s="43">
        <v>2323.21</v>
      </c>
      <c r="Q13" s="43">
        <v>2632.63</v>
      </c>
      <c r="R13" s="43">
        <v>2695.22</v>
      </c>
      <c r="S13" s="43">
        <v>2584.09</v>
      </c>
      <c r="T13" s="43">
        <v>2511.15</v>
      </c>
      <c r="U13" s="43">
        <v>2532.36</v>
      </c>
      <c r="V13" s="43">
        <v>2339.71</v>
      </c>
      <c r="W13" s="43">
        <v>2770.92</v>
      </c>
      <c r="DA13" s="94" t="s">
        <v>195</v>
      </c>
    </row>
    <row r="14" spans="1:105" ht="12" customHeight="1" x14ac:dyDescent="0.25">
      <c r="A14" s="35" t="s">
        <v>148</v>
      </c>
      <c r="B14" s="44">
        <f>AVERAGE($B$13:$V$13)</f>
        <v>2633.7271428571426</v>
      </c>
      <c r="C14" s="44">
        <f t="shared" ref="C14:W14" si="0">AVERAGE($B$13:$V$13)</f>
        <v>2633.7271428571426</v>
      </c>
      <c r="D14" s="44">
        <f t="shared" si="0"/>
        <v>2633.7271428571426</v>
      </c>
      <c r="E14" s="44">
        <f t="shared" si="0"/>
        <v>2633.7271428571426</v>
      </c>
      <c r="F14" s="44">
        <f t="shared" si="0"/>
        <v>2633.7271428571426</v>
      </c>
      <c r="G14" s="44">
        <f t="shared" si="0"/>
        <v>2633.7271428571426</v>
      </c>
      <c r="H14" s="44">
        <f t="shared" si="0"/>
        <v>2633.7271428571426</v>
      </c>
      <c r="I14" s="44">
        <f t="shared" si="0"/>
        <v>2633.7271428571426</v>
      </c>
      <c r="J14" s="44">
        <f t="shared" si="0"/>
        <v>2633.7271428571426</v>
      </c>
      <c r="K14" s="44">
        <f t="shared" si="0"/>
        <v>2633.7271428571426</v>
      </c>
      <c r="L14" s="44">
        <f t="shared" si="0"/>
        <v>2633.7271428571426</v>
      </c>
      <c r="M14" s="44">
        <f t="shared" si="0"/>
        <v>2633.7271428571426</v>
      </c>
      <c r="N14" s="44">
        <f t="shared" si="0"/>
        <v>2633.7271428571426</v>
      </c>
      <c r="O14" s="44">
        <f t="shared" si="0"/>
        <v>2633.7271428571426</v>
      </c>
      <c r="P14" s="44">
        <f t="shared" si="0"/>
        <v>2633.7271428571426</v>
      </c>
      <c r="Q14" s="44">
        <f t="shared" si="0"/>
        <v>2633.7271428571426</v>
      </c>
      <c r="R14" s="44">
        <f t="shared" si="0"/>
        <v>2633.7271428571426</v>
      </c>
      <c r="S14" s="44">
        <f t="shared" si="0"/>
        <v>2633.7271428571426</v>
      </c>
      <c r="T14" s="44">
        <f t="shared" si="0"/>
        <v>2633.7271428571426</v>
      </c>
      <c r="U14" s="44">
        <f t="shared" si="0"/>
        <v>2633.7271428571426</v>
      </c>
      <c r="V14" s="44">
        <f t="shared" si="0"/>
        <v>2633.7271428571426</v>
      </c>
      <c r="W14" s="44">
        <f t="shared" si="0"/>
        <v>2633.7271428571426</v>
      </c>
      <c r="DA14" s="95" t="s">
        <v>196</v>
      </c>
    </row>
    <row r="15" spans="1:105" ht="12" customHeight="1" x14ac:dyDescent="0.25">
      <c r="A15" s="45" t="s">
        <v>65</v>
      </c>
      <c r="B15" s="46">
        <f>B13/B14</f>
        <v>0.95525840891425462</v>
      </c>
      <c r="C15" s="46">
        <f t="shared" ref="C15:W15" si="1">C13/C14</f>
        <v>1.0323810525984634</v>
      </c>
      <c r="D15" s="46">
        <f t="shared" si="1"/>
        <v>0.95983367405995534</v>
      </c>
      <c r="E15" s="46">
        <f t="shared" si="1"/>
        <v>1.0202613460880263</v>
      </c>
      <c r="F15" s="46">
        <f t="shared" si="1"/>
        <v>1.0532450210429654</v>
      </c>
      <c r="G15" s="46">
        <f t="shared" si="1"/>
        <v>1.0104387644017794</v>
      </c>
      <c r="H15" s="46">
        <f t="shared" si="1"/>
        <v>0.98289225101417943</v>
      </c>
      <c r="I15" s="46">
        <f t="shared" si="1"/>
        <v>0.92612479110266877</v>
      </c>
      <c r="J15" s="46">
        <f t="shared" si="1"/>
        <v>1.0245024839865722</v>
      </c>
      <c r="K15" s="46">
        <f t="shared" si="1"/>
        <v>1.0221749839580954</v>
      </c>
      <c r="L15" s="46">
        <f t="shared" si="1"/>
        <v>1.2125933427315663</v>
      </c>
      <c r="M15" s="46">
        <f t="shared" si="1"/>
        <v>0.91303307805505407</v>
      </c>
      <c r="N15" s="46">
        <f t="shared" si="1"/>
        <v>1.0504277208453638</v>
      </c>
      <c r="O15" s="46">
        <f t="shared" si="1"/>
        <v>1.1473132318186776</v>
      </c>
      <c r="P15" s="46">
        <f t="shared" si="1"/>
        <v>0.88209972938947478</v>
      </c>
      <c r="Q15" s="46">
        <f t="shared" si="1"/>
        <v>0.9995834257697811</v>
      </c>
      <c r="R15" s="46">
        <f t="shared" si="1"/>
        <v>1.0233482262236733</v>
      </c>
      <c r="S15" s="46">
        <f t="shared" si="1"/>
        <v>0.98115327056875956</v>
      </c>
      <c r="T15" s="46">
        <f t="shared" si="1"/>
        <v>0.9534586780602613</v>
      </c>
      <c r="U15" s="46">
        <f t="shared" si="1"/>
        <v>0.96151190409680165</v>
      </c>
      <c r="V15" s="46">
        <f t="shared" si="1"/>
        <v>0.8883646152736292</v>
      </c>
      <c r="W15" s="46">
        <f t="shared" si="1"/>
        <v>1.0520907632800667</v>
      </c>
      <c r="DA15" s="96" t="s">
        <v>197</v>
      </c>
    </row>
    <row r="16" spans="1:105" s="2" customFormat="1" ht="12" customHeight="1" x14ac:dyDescent="0.25">
      <c r="DA16" s="7"/>
    </row>
    <row r="17" spans="1:105" s="2" customFormat="1" ht="12.95" customHeight="1" x14ac:dyDescent="0.25">
      <c r="A17" s="47" t="s">
        <v>64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DA17" s="97"/>
    </row>
    <row r="18" spans="1:105" s="2" customFormat="1" ht="12" customHeight="1" x14ac:dyDescent="0.25">
      <c r="DA18" s="7"/>
    </row>
    <row r="19" spans="1:105" ht="12" customHeight="1" x14ac:dyDescent="0.25">
      <c r="A19" s="49" t="s">
        <v>149</v>
      </c>
      <c r="B19" s="34">
        <f t="shared" ref="B19:C19" si="2">B4*1000000/B3</f>
        <v>32191.660153060086</v>
      </c>
      <c r="C19" s="34">
        <f t="shared" si="2"/>
        <v>32468.597401996412</v>
      </c>
      <c r="D19" s="34">
        <f t="shared" ref="D19:W19" si="3">D4*1000000/D3</f>
        <v>32874.421989729621</v>
      </c>
      <c r="E19" s="34">
        <f t="shared" si="3"/>
        <v>33067.574416535332</v>
      </c>
      <c r="F19" s="34">
        <f t="shared" si="3"/>
        <v>34115.0235096373</v>
      </c>
      <c r="G19" s="34">
        <f t="shared" si="3"/>
        <v>34742.015368441411</v>
      </c>
      <c r="H19" s="34">
        <f t="shared" si="3"/>
        <v>35406.540130736728</v>
      </c>
      <c r="I19" s="34">
        <f t="shared" si="3"/>
        <v>36454.560748373922</v>
      </c>
      <c r="J19" s="34">
        <f t="shared" si="3"/>
        <v>36334.816536012164</v>
      </c>
      <c r="K19" s="34">
        <f t="shared" si="3"/>
        <v>35315.105848641761</v>
      </c>
      <c r="L19" s="34">
        <f t="shared" si="3"/>
        <v>36035.78031959357</v>
      </c>
      <c r="M19" s="34">
        <f t="shared" si="3"/>
        <v>36111.014589820064</v>
      </c>
      <c r="N19" s="34">
        <f t="shared" si="3"/>
        <v>36130.827626516482</v>
      </c>
      <c r="O19" s="34">
        <f t="shared" si="3"/>
        <v>36094.344096724453</v>
      </c>
      <c r="P19" s="34">
        <f t="shared" si="3"/>
        <v>36523.654234584013</v>
      </c>
      <c r="Q19" s="34">
        <f t="shared" si="3"/>
        <v>37082.071683933311</v>
      </c>
      <c r="R19" s="34">
        <f t="shared" si="3"/>
        <v>37306.579167901284</v>
      </c>
      <c r="S19" s="34">
        <f t="shared" si="3"/>
        <v>37775.323359503898</v>
      </c>
      <c r="T19" s="34">
        <f t="shared" si="3"/>
        <v>38294.34869691958</v>
      </c>
      <c r="U19" s="34">
        <f t="shared" si="3"/>
        <v>38958.064308183821</v>
      </c>
      <c r="V19" s="34">
        <f t="shared" si="3"/>
        <v>36694.065192325557</v>
      </c>
      <c r="W19" s="34">
        <f t="shared" si="3"/>
        <v>39098.502085832188</v>
      </c>
      <c r="DA19" s="88"/>
    </row>
    <row r="20" spans="1:105" ht="12" customHeight="1" x14ac:dyDescent="0.25">
      <c r="A20" s="50" t="s">
        <v>150</v>
      </c>
      <c r="B20" s="36">
        <f t="shared" ref="B20:C20" si="4">B5*1000000/B6</f>
        <v>66398.283162912165</v>
      </c>
      <c r="C20" s="36">
        <f t="shared" si="4"/>
        <v>67198.940585927587</v>
      </c>
      <c r="D20" s="36">
        <f t="shared" ref="D20:W20" si="5">D5*1000000/D6</f>
        <v>68139.099195566901</v>
      </c>
      <c r="E20" s="36">
        <f t="shared" si="5"/>
        <v>69057.549848798109</v>
      </c>
      <c r="F20" s="36">
        <f t="shared" si="5"/>
        <v>70212.23940837491</v>
      </c>
      <c r="G20" s="36">
        <f t="shared" si="5"/>
        <v>71199.923229526466</v>
      </c>
      <c r="H20" s="36">
        <f t="shared" si="5"/>
        <v>72365.151569226713</v>
      </c>
      <c r="I20" s="36">
        <f t="shared" si="5"/>
        <v>73484.658158454389</v>
      </c>
      <c r="J20" s="36">
        <f t="shared" si="5"/>
        <v>73486.36136292998</v>
      </c>
      <c r="K20" s="36">
        <f t="shared" si="5"/>
        <v>72453.39303675358</v>
      </c>
      <c r="L20" s="36">
        <f t="shared" si="5"/>
        <v>73109.383442337887</v>
      </c>
      <c r="M20" s="36">
        <f t="shared" si="5"/>
        <v>73676.530363388389</v>
      </c>
      <c r="N20" s="36">
        <f t="shared" si="5"/>
        <v>74316.399016523457</v>
      </c>
      <c r="O20" s="36">
        <f t="shared" si="5"/>
        <v>74838.612662217172</v>
      </c>
      <c r="P20" s="36">
        <f t="shared" si="5"/>
        <v>75653.518423039379</v>
      </c>
      <c r="Q20" s="36">
        <f t="shared" si="5"/>
        <v>76207.692714112112</v>
      </c>
      <c r="R20" s="36">
        <f t="shared" si="5"/>
        <v>76186.010318350309</v>
      </c>
      <c r="S20" s="36">
        <f t="shared" si="5"/>
        <v>75988.416468477735</v>
      </c>
      <c r="T20" s="36">
        <f t="shared" si="5"/>
        <v>76578.977300946179</v>
      </c>
      <c r="U20" s="36">
        <f t="shared" si="5"/>
        <v>76571.253721774396</v>
      </c>
      <c r="V20" s="36">
        <f t="shared" si="5"/>
        <v>72849.000938226192</v>
      </c>
      <c r="W20" s="36">
        <f t="shared" si="5"/>
        <v>75969.138659547505</v>
      </c>
      <c r="DA20" s="89"/>
    </row>
    <row r="21" spans="1:105" ht="12" customHeight="1" x14ac:dyDescent="0.25">
      <c r="A21" s="50" t="s">
        <v>151</v>
      </c>
      <c r="B21" s="36">
        <f t="shared" ref="B21:C21" si="6">B5*1000000/B3</f>
        <v>20183.250409216038</v>
      </c>
      <c r="C21" s="36">
        <f t="shared" si="6"/>
        <v>20705.579031396119</v>
      </c>
      <c r="D21" s="36">
        <f t="shared" ref="D21:W21" si="7">D5*1000000/D3</f>
        <v>21137.563518644973</v>
      </c>
      <c r="E21" s="36">
        <f t="shared" si="7"/>
        <v>21469.779526728129</v>
      </c>
      <c r="F21" s="36">
        <f t="shared" si="7"/>
        <v>22125.819909535974</v>
      </c>
      <c r="G21" s="36">
        <f t="shared" si="7"/>
        <v>22761.66880716677</v>
      </c>
      <c r="H21" s="36">
        <f t="shared" si="7"/>
        <v>23294.935277282515</v>
      </c>
      <c r="I21" s="36">
        <f t="shared" si="7"/>
        <v>23954.901038622105</v>
      </c>
      <c r="J21" s="36">
        <f t="shared" si="7"/>
        <v>24273.469416991597</v>
      </c>
      <c r="K21" s="36">
        <f t="shared" si="7"/>
        <v>23972.171856450601</v>
      </c>
      <c r="L21" s="36">
        <f t="shared" si="7"/>
        <v>24315.827502608259</v>
      </c>
      <c r="M21" s="36">
        <f t="shared" si="7"/>
        <v>24527.503722675079</v>
      </c>
      <c r="N21" s="36">
        <f t="shared" si="7"/>
        <v>24754.935927180344</v>
      </c>
      <c r="O21" s="36">
        <f t="shared" si="7"/>
        <v>24823.524513461343</v>
      </c>
      <c r="P21" s="36">
        <f t="shared" si="7"/>
        <v>25246.619032205501</v>
      </c>
      <c r="Q21" s="36">
        <f t="shared" si="7"/>
        <v>25671.403936577502</v>
      </c>
      <c r="R21" s="36">
        <f t="shared" si="7"/>
        <v>25883.173204852934</v>
      </c>
      <c r="S21" s="36">
        <f t="shared" si="7"/>
        <v>26192.937409392111</v>
      </c>
      <c r="T21" s="36">
        <f t="shared" si="7"/>
        <v>26690.405366944888</v>
      </c>
      <c r="U21" s="36">
        <f t="shared" si="7"/>
        <v>27033.006660542589</v>
      </c>
      <c r="V21" s="36">
        <f t="shared" si="7"/>
        <v>25570.148284092778</v>
      </c>
      <c r="W21" s="36">
        <f t="shared" si="7"/>
        <v>27129.188918382413</v>
      </c>
      <c r="DA21" s="89"/>
    </row>
    <row r="22" spans="1:105" ht="12" customHeight="1" x14ac:dyDescent="0.25">
      <c r="A22" s="51" t="s">
        <v>152</v>
      </c>
      <c r="B22" s="52">
        <v>1.3872881479194643</v>
      </c>
      <c r="C22" s="52">
        <v>1.3870283344103493</v>
      </c>
      <c r="D22" s="52">
        <v>1.3889922600037814</v>
      </c>
      <c r="E22" s="52">
        <v>1.3951669374907665</v>
      </c>
      <c r="F22" s="52">
        <v>1.4048847075522073</v>
      </c>
      <c r="G22" s="52">
        <v>1.41659645232311</v>
      </c>
      <c r="H22" s="52">
        <v>1.4088248527971974</v>
      </c>
      <c r="I22" s="52">
        <v>1.4059557148719108</v>
      </c>
      <c r="J22" s="52">
        <v>1.4061618147120272</v>
      </c>
      <c r="K22" s="52">
        <v>1.4206052039711152</v>
      </c>
      <c r="L22" s="52">
        <v>1.4217649477946941</v>
      </c>
      <c r="M22" s="52">
        <v>1.4074259391463413</v>
      </c>
      <c r="N22" s="52">
        <v>1.4248020211853349</v>
      </c>
      <c r="O22" s="52">
        <v>1.4233357139431828</v>
      </c>
      <c r="P22" s="52">
        <v>1.4288777363340106</v>
      </c>
      <c r="Q22" s="52">
        <v>1.4320636538476601</v>
      </c>
      <c r="R22" s="52">
        <v>1.4208097759066451</v>
      </c>
      <c r="S22" s="52">
        <v>1.4008760437794263</v>
      </c>
      <c r="T22" s="52">
        <v>1.3979560585711408</v>
      </c>
      <c r="U22" s="52">
        <v>1.3893939494182543</v>
      </c>
      <c r="V22" s="52">
        <v>1.3922452627373125</v>
      </c>
      <c r="W22" s="52">
        <v>1.4019684912141945</v>
      </c>
      <c r="DA22" s="98"/>
    </row>
    <row r="23" spans="1:105" ht="12" customHeight="1" x14ac:dyDescent="0.25">
      <c r="A23" s="49" t="s">
        <v>63</v>
      </c>
      <c r="B23" s="53">
        <f t="shared" ref="B23:C23" si="8">B6/B8</f>
        <v>15.995264045463765</v>
      </c>
      <c r="C23" s="53">
        <f t="shared" si="8"/>
        <v>16.061302777005743</v>
      </c>
      <c r="D23" s="53">
        <f t="shared" ref="D23:W23" si="9">D6/D8</f>
        <v>15.504567741805758</v>
      </c>
      <c r="E23" s="53">
        <f t="shared" si="9"/>
        <v>15.435129172379414</v>
      </c>
      <c r="F23" s="53">
        <f t="shared" si="9"/>
        <v>15.325615939088303</v>
      </c>
      <c r="G23" s="53">
        <f t="shared" si="9"/>
        <v>15.349884417543748</v>
      </c>
      <c r="H23" s="53">
        <f t="shared" si="9"/>
        <v>15.220621112521188</v>
      </c>
      <c r="I23" s="53">
        <f t="shared" si="9"/>
        <v>15.154683368954961</v>
      </c>
      <c r="J23" s="53">
        <f t="shared" si="9"/>
        <v>15.244197617847668</v>
      </c>
      <c r="K23" s="53">
        <f t="shared" si="9"/>
        <v>15.489454831539165</v>
      </c>
      <c r="L23" s="53">
        <f t="shared" si="9"/>
        <v>15.377734656648096</v>
      </c>
      <c r="M23" s="53">
        <f t="shared" si="9"/>
        <v>15.375910418147011</v>
      </c>
      <c r="N23" s="53">
        <f t="shared" si="9"/>
        <v>15.37255759509698</v>
      </c>
      <c r="O23" s="53">
        <f t="shared" si="9"/>
        <v>15.308327124750845</v>
      </c>
      <c r="P23" s="53">
        <f t="shared" si="9"/>
        <v>15.355368075795413</v>
      </c>
      <c r="Q23" s="53">
        <f t="shared" si="9"/>
        <v>15.526450459320216</v>
      </c>
      <c r="R23" s="53">
        <f t="shared" si="9"/>
        <v>15.630321356881158</v>
      </c>
      <c r="S23" s="53">
        <f t="shared" si="9"/>
        <v>15.797096718113101</v>
      </c>
      <c r="T23" s="53">
        <f t="shared" si="9"/>
        <v>15.889601888969242</v>
      </c>
      <c r="U23" s="53">
        <f t="shared" si="9"/>
        <v>16.02950416568877</v>
      </c>
      <c r="V23" s="53">
        <f t="shared" si="9"/>
        <v>15.889721120237823</v>
      </c>
      <c r="W23" s="53">
        <f t="shared" si="9"/>
        <v>16.074788855314413</v>
      </c>
      <c r="DA23" s="99"/>
    </row>
    <row r="24" spans="1:105" ht="12" customHeight="1" x14ac:dyDescent="0.25">
      <c r="A24" s="50" t="s">
        <v>62</v>
      </c>
      <c r="B24" s="54">
        <f t="shared" ref="B24:C24" si="10">B9*1000/B3</f>
        <v>17.103514259910263</v>
      </c>
      <c r="C24" s="54">
        <f t="shared" si="10"/>
        <v>17.265799525384789</v>
      </c>
      <c r="D24" s="54">
        <f t="shared" ref="D24:W24" si="11">D9*1000/D3</f>
        <v>18.007000821270935</v>
      </c>
      <c r="E24" s="54">
        <f t="shared" si="11"/>
        <v>18.127948562153662</v>
      </c>
      <c r="F24" s="54">
        <f t="shared" si="11"/>
        <v>18.505938719024382</v>
      </c>
      <c r="G24" s="54">
        <f t="shared" si="11"/>
        <v>18.743986996115964</v>
      </c>
      <c r="H24" s="54">
        <f t="shared" si="11"/>
        <v>19.034530377913551</v>
      </c>
      <c r="I24" s="54">
        <f t="shared" si="11"/>
        <v>19.359464729048483</v>
      </c>
      <c r="J24" s="54">
        <f t="shared" si="11"/>
        <v>19.501276945353194</v>
      </c>
      <c r="K24" s="54">
        <f t="shared" si="11"/>
        <v>19.224499005572948</v>
      </c>
      <c r="L24" s="54">
        <f t="shared" si="11"/>
        <v>19.465523098350392</v>
      </c>
      <c r="M24" s="54">
        <f t="shared" si="11"/>
        <v>19.486141601423874</v>
      </c>
      <c r="N24" s="54">
        <f t="shared" si="11"/>
        <v>19.50174751034146</v>
      </c>
      <c r="O24" s="54">
        <f t="shared" si="11"/>
        <v>19.500802825571245</v>
      </c>
      <c r="P24" s="54">
        <f t="shared" si="11"/>
        <v>19.559438102130727</v>
      </c>
      <c r="Q24" s="54">
        <f t="shared" si="11"/>
        <v>19.526352935557966</v>
      </c>
      <c r="R24" s="54">
        <f t="shared" si="11"/>
        <v>19.562163736925118</v>
      </c>
      <c r="S24" s="54">
        <f t="shared" si="11"/>
        <v>19.638216481989257</v>
      </c>
      <c r="T24" s="54">
        <f t="shared" si="11"/>
        <v>19.741270571101836</v>
      </c>
      <c r="U24" s="54">
        <f t="shared" si="11"/>
        <v>19.822161681227623</v>
      </c>
      <c r="V24" s="54">
        <f t="shared" si="11"/>
        <v>19.880892675509703</v>
      </c>
      <c r="W24" s="54">
        <f t="shared" si="11"/>
        <v>19.993868885266245</v>
      </c>
      <c r="DA24" s="100"/>
    </row>
    <row r="25" spans="1:105" ht="12" customHeight="1" x14ac:dyDescent="0.25">
      <c r="A25" s="50" t="s">
        <v>61</v>
      </c>
      <c r="B25" s="54">
        <f t="shared" ref="B25:C25" si="12">B9*1000/B6</f>
        <v>56.266654769931016</v>
      </c>
      <c r="C25" s="54">
        <f t="shared" si="12"/>
        <v>56.035305012024935</v>
      </c>
      <c r="D25" s="54">
        <f t="shared" ref="D25:W25" si="13">D9*1000/D6</f>
        <v>58.047409962503124</v>
      </c>
      <c r="E25" s="54">
        <f t="shared" si="13"/>
        <v>58.308549928465546</v>
      </c>
      <c r="F25" s="54">
        <f t="shared" si="13"/>
        <v>58.725209060246065</v>
      </c>
      <c r="G25" s="54">
        <f t="shared" si="13"/>
        <v>58.632363314173794</v>
      </c>
      <c r="H25" s="54">
        <f t="shared" si="13"/>
        <v>59.130307058206597</v>
      </c>
      <c r="I25" s="54">
        <f t="shared" si="13"/>
        <v>59.387581916999324</v>
      </c>
      <c r="J25" s="54">
        <f t="shared" si="13"/>
        <v>59.03885678747001</v>
      </c>
      <c r="K25" s="54">
        <f t="shared" si="13"/>
        <v>58.104046255226933</v>
      </c>
      <c r="L25" s="54">
        <f t="shared" si="13"/>
        <v>58.526175675096084</v>
      </c>
      <c r="M25" s="54">
        <f t="shared" si="13"/>
        <v>58.533119374693982</v>
      </c>
      <c r="N25" s="54">
        <f t="shared" si="13"/>
        <v>58.545885707857209</v>
      </c>
      <c r="O25" s="54">
        <f t="shared" si="13"/>
        <v>58.791531737315694</v>
      </c>
      <c r="P25" s="54">
        <f t="shared" si="13"/>
        <v>58.611424718542914</v>
      </c>
      <c r="Q25" s="54">
        <f t="shared" si="13"/>
        <v>57.965598921532518</v>
      </c>
      <c r="R25" s="54">
        <f t="shared" si="13"/>
        <v>57.580390028499338</v>
      </c>
      <c r="S25" s="54">
        <f t="shared" si="13"/>
        <v>56.972494127231087</v>
      </c>
      <c r="T25" s="54">
        <f t="shared" si="13"/>
        <v>56.640814936011154</v>
      </c>
      <c r="U25" s="54">
        <f t="shared" si="13"/>
        <v>56.146465336492092</v>
      </c>
      <c r="V25" s="54">
        <f t="shared" si="13"/>
        <v>56.640389921867275</v>
      </c>
      <c r="W25" s="54">
        <f t="shared" si="13"/>
        <v>55.988293725080879</v>
      </c>
      <c r="DA25" s="100"/>
    </row>
    <row r="26" spans="1:105" ht="12" customHeight="1" x14ac:dyDescent="0.25">
      <c r="A26" s="50" t="s">
        <v>60</v>
      </c>
      <c r="B26" s="55">
        <f t="shared" ref="B26:C26" si="14">B9*1000/B8</f>
        <v>899.99999999999989</v>
      </c>
      <c r="C26" s="55">
        <f t="shared" si="14"/>
        <v>899.99999999999989</v>
      </c>
      <c r="D26" s="55">
        <f t="shared" ref="D26:W26" si="15">D9*1000/D8</f>
        <v>900</v>
      </c>
      <c r="E26" s="55">
        <f t="shared" si="15"/>
        <v>900</v>
      </c>
      <c r="F26" s="55">
        <f t="shared" si="15"/>
        <v>900</v>
      </c>
      <c r="G26" s="55">
        <f t="shared" si="15"/>
        <v>900</v>
      </c>
      <c r="H26" s="55">
        <f t="shared" si="15"/>
        <v>900</v>
      </c>
      <c r="I26" s="55">
        <f t="shared" si="15"/>
        <v>900</v>
      </c>
      <c r="J26" s="55">
        <f t="shared" si="15"/>
        <v>899.99999999999989</v>
      </c>
      <c r="K26" s="55">
        <f t="shared" si="15"/>
        <v>900</v>
      </c>
      <c r="L26" s="55">
        <f t="shared" si="15"/>
        <v>899.99999999999989</v>
      </c>
      <c r="M26" s="55">
        <f t="shared" si="15"/>
        <v>900</v>
      </c>
      <c r="N26" s="55">
        <f t="shared" si="15"/>
        <v>900</v>
      </c>
      <c r="O26" s="55">
        <f t="shared" si="15"/>
        <v>900</v>
      </c>
      <c r="P26" s="55">
        <f t="shared" si="15"/>
        <v>900</v>
      </c>
      <c r="Q26" s="55">
        <f t="shared" si="15"/>
        <v>900</v>
      </c>
      <c r="R26" s="55">
        <f t="shared" si="15"/>
        <v>900</v>
      </c>
      <c r="S26" s="55">
        <f t="shared" si="15"/>
        <v>900.00000000000011</v>
      </c>
      <c r="T26" s="55">
        <f t="shared" si="15"/>
        <v>900</v>
      </c>
      <c r="U26" s="55">
        <f t="shared" si="15"/>
        <v>900</v>
      </c>
      <c r="V26" s="55">
        <f t="shared" si="15"/>
        <v>899.99999999999989</v>
      </c>
      <c r="W26" s="55">
        <f t="shared" si="15"/>
        <v>900.00000000000011</v>
      </c>
      <c r="DA26" s="101"/>
    </row>
    <row r="27" spans="1:105" ht="12" customHeight="1" x14ac:dyDescent="0.25">
      <c r="A27" s="51" t="s">
        <v>59</v>
      </c>
      <c r="B27" s="56" t="str">
        <f t="shared" ref="B27:C27" si="16">IF(SUM(B11)=0,"",B11*1000/B10)</f>
        <v/>
      </c>
      <c r="C27" s="57">
        <f t="shared" si="16"/>
        <v>900</v>
      </c>
      <c r="D27" s="57">
        <f t="shared" ref="D27:W27" si="17">IF(SUM(D11)=0,"",D11*1000/D10)</f>
        <v>900.00000000000011</v>
      </c>
      <c r="E27" s="57">
        <f t="shared" si="17"/>
        <v>900.00000000000011</v>
      </c>
      <c r="F27" s="57">
        <f t="shared" si="17"/>
        <v>900</v>
      </c>
      <c r="G27" s="57">
        <f t="shared" si="17"/>
        <v>900.00000000000011</v>
      </c>
      <c r="H27" s="57">
        <f t="shared" si="17"/>
        <v>900</v>
      </c>
      <c r="I27" s="57">
        <f t="shared" si="17"/>
        <v>900</v>
      </c>
      <c r="J27" s="57">
        <f t="shared" si="17"/>
        <v>900.00000000000011</v>
      </c>
      <c r="K27" s="57">
        <f t="shared" si="17"/>
        <v>899.99999999999989</v>
      </c>
      <c r="L27" s="57">
        <f t="shared" si="17"/>
        <v>900.00000000000011</v>
      </c>
      <c r="M27" s="57">
        <f t="shared" si="17"/>
        <v>900.00000000000011</v>
      </c>
      <c r="N27" s="57">
        <f t="shared" si="17"/>
        <v>900.00000000000011</v>
      </c>
      <c r="O27" s="57">
        <f t="shared" si="17"/>
        <v>900</v>
      </c>
      <c r="P27" s="57">
        <f t="shared" si="17"/>
        <v>899.99999999999989</v>
      </c>
      <c r="Q27" s="57">
        <f t="shared" si="17"/>
        <v>900</v>
      </c>
      <c r="R27" s="57">
        <f t="shared" si="17"/>
        <v>900.00000000000011</v>
      </c>
      <c r="S27" s="57">
        <f t="shared" si="17"/>
        <v>900</v>
      </c>
      <c r="T27" s="57">
        <f t="shared" si="17"/>
        <v>900</v>
      </c>
      <c r="U27" s="57">
        <f t="shared" si="17"/>
        <v>900</v>
      </c>
      <c r="V27" s="57">
        <f t="shared" si="17"/>
        <v>900</v>
      </c>
      <c r="W27" s="57">
        <f t="shared" si="17"/>
        <v>900</v>
      </c>
      <c r="DA27" s="102"/>
    </row>
    <row r="28" spans="1:105" s="2" customFormat="1" ht="12" customHeight="1" x14ac:dyDescent="0.25">
      <c r="DA28" s="7"/>
    </row>
    <row r="29" spans="1:105" s="2" customFormat="1" ht="12.95" customHeight="1" x14ac:dyDescent="0.25">
      <c r="A29" s="47" t="s">
        <v>58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DA29" s="97"/>
    </row>
    <row r="30" spans="1:105" s="2" customFormat="1" ht="12" customHeight="1" x14ac:dyDescent="0.25">
      <c r="DA30" s="7"/>
    </row>
    <row r="31" spans="1:105" ht="12.95" customHeight="1" x14ac:dyDescent="0.25">
      <c r="A31" s="79" t="s">
        <v>57</v>
      </c>
      <c r="B31" s="80">
        <f>SUM(B32:B33,B36:B37,B44:B45)</f>
        <v>3514.3612750761386</v>
      </c>
      <c r="C31" s="80">
        <f t="shared" ref="C31:W31" si="18">SUM(C32:C33,C36:C37,C44:C45)</f>
        <v>3688.4671050814918</v>
      </c>
      <c r="D31" s="80">
        <f t="shared" si="18"/>
        <v>3826.3030369803328</v>
      </c>
      <c r="E31" s="80">
        <f t="shared" si="18"/>
        <v>4035.0828239000098</v>
      </c>
      <c r="F31" s="80">
        <f t="shared" si="18"/>
        <v>4661.9169438670606</v>
      </c>
      <c r="G31" s="80">
        <f t="shared" si="18"/>
        <v>4678.1088007072303</v>
      </c>
      <c r="H31" s="80">
        <f t="shared" si="18"/>
        <v>4547.5906613502702</v>
      </c>
      <c r="I31" s="80">
        <f t="shared" si="18"/>
        <v>4357.4665399980859</v>
      </c>
      <c r="J31" s="80">
        <f t="shared" si="18"/>
        <v>4801.0670940421242</v>
      </c>
      <c r="K31" s="80">
        <f t="shared" si="18"/>
        <v>4708.8579756359031</v>
      </c>
      <c r="L31" s="80">
        <f t="shared" si="18"/>
        <v>4993.3300309776532</v>
      </c>
      <c r="M31" s="80">
        <f t="shared" si="18"/>
        <v>4404.7469967942134</v>
      </c>
      <c r="N31" s="80">
        <f t="shared" si="18"/>
        <v>4624.8786844772721</v>
      </c>
      <c r="O31" s="80">
        <f t="shared" si="18"/>
        <v>4908.6488494076566</v>
      </c>
      <c r="P31" s="80">
        <f t="shared" si="18"/>
        <v>4248.3920226141381</v>
      </c>
      <c r="Q31" s="80">
        <f t="shared" si="18"/>
        <v>4614.2975053401278</v>
      </c>
      <c r="R31" s="80">
        <f t="shared" si="18"/>
        <v>4646.2202680847922</v>
      </c>
      <c r="S31" s="80">
        <f t="shared" si="18"/>
        <v>4633.802798521021</v>
      </c>
      <c r="T31" s="80">
        <f t="shared" si="18"/>
        <v>4649.2321010192099</v>
      </c>
      <c r="U31" s="80">
        <f t="shared" si="18"/>
        <v>4587.1774489485415</v>
      </c>
      <c r="V31" s="80">
        <f t="shared" si="18"/>
        <v>4377.7264937048767</v>
      </c>
      <c r="W31" s="80">
        <f t="shared" si="18"/>
        <v>4497.5062478439258</v>
      </c>
      <c r="DA31" s="103" t="s">
        <v>198</v>
      </c>
    </row>
    <row r="32" spans="1:105" ht="12" customHeight="1" x14ac:dyDescent="0.25">
      <c r="A32" s="58" t="s">
        <v>29</v>
      </c>
      <c r="B32" s="59">
        <v>0</v>
      </c>
      <c r="C32" s="59">
        <v>0</v>
      </c>
      <c r="D32" s="59">
        <v>0</v>
      </c>
      <c r="E32" s="59">
        <v>0</v>
      </c>
      <c r="F32" s="59">
        <v>0</v>
      </c>
      <c r="G32" s="59">
        <v>0</v>
      </c>
      <c r="H32" s="59">
        <v>0</v>
      </c>
      <c r="I32" s="59">
        <v>0</v>
      </c>
      <c r="J32" s="59">
        <v>0</v>
      </c>
      <c r="K32" s="59">
        <v>0</v>
      </c>
      <c r="L32" s="59">
        <v>0</v>
      </c>
      <c r="M32" s="59">
        <v>0</v>
      </c>
      <c r="N32" s="59">
        <v>0</v>
      </c>
      <c r="O32" s="59">
        <v>0</v>
      </c>
      <c r="P32" s="59">
        <v>0</v>
      </c>
      <c r="Q32" s="59">
        <v>0</v>
      </c>
      <c r="R32" s="59">
        <v>0</v>
      </c>
      <c r="S32" s="59">
        <v>0</v>
      </c>
      <c r="T32" s="59">
        <v>0</v>
      </c>
      <c r="U32" s="59">
        <v>0</v>
      </c>
      <c r="V32" s="59">
        <v>0</v>
      </c>
      <c r="W32" s="59">
        <v>0</v>
      </c>
      <c r="DA32" s="104" t="s">
        <v>199</v>
      </c>
    </row>
    <row r="33" spans="1:105" ht="12" customHeight="1" x14ac:dyDescent="0.25">
      <c r="A33" s="60" t="s">
        <v>28</v>
      </c>
      <c r="B33" s="55">
        <f>SUM(B34:B35)</f>
        <v>867.77016337059331</v>
      </c>
      <c r="C33" s="55">
        <f t="shared" ref="C33:W33" si="19">SUM(C34:C35)</f>
        <v>889.12527944969895</v>
      </c>
      <c r="D33" s="55">
        <f t="shared" si="19"/>
        <v>1142.3736027515042</v>
      </c>
      <c r="E33" s="55">
        <f t="shared" si="19"/>
        <v>1293.579793637145</v>
      </c>
      <c r="F33" s="55">
        <f t="shared" si="19"/>
        <v>1280.9543422184008</v>
      </c>
      <c r="G33" s="55">
        <f t="shared" si="19"/>
        <v>1242.9993981083408</v>
      </c>
      <c r="H33" s="55">
        <f t="shared" si="19"/>
        <v>1074.2834909716255</v>
      </c>
      <c r="I33" s="55">
        <f t="shared" si="19"/>
        <v>906.69243336199486</v>
      </c>
      <c r="J33" s="55">
        <f t="shared" si="19"/>
        <v>1112.0760103181431</v>
      </c>
      <c r="K33" s="55">
        <f t="shared" si="19"/>
        <v>898.37102321582108</v>
      </c>
      <c r="L33" s="55">
        <f t="shared" si="19"/>
        <v>1006.2625107480653</v>
      </c>
      <c r="M33" s="55">
        <f t="shared" si="19"/>
        <v>848.42596732588117</v>
      </c>
      <c r="N33" s="55">
        <f t="shared" si="19"/>
        <v>838.12459157351668</v>
      </c>
      <c r="O33" s="55">
        <f t="shared" si="19"/>
        <v>917.7175408426483</v>
      </c>
      <c r="P33" s="55">
        <f t="shared" si="19"/>
        <v>720.7342218400687</v>
      </c>
      <c r="Q33" s="55">
        <f t="shared" si="19"/>
        <v>857.99896818572654</v>
      </c>
      <c r="R33" s="55">
        <f t="shared" si="19"/>
        <v>776.33508168529659</v>
      </c>
      <c r="S33" s="55">
        <f t="shared" si="19"/>
        <v>777.41169389509878</v>
      </c>
      <c r="T33" s="55">
        <f t="shared" si="19"/>
        <v>758.99011177987961</v>
      </c>
      <c r="U33" s="55">
        <f t="shared" si="19"/>
        <v>711.24084264832322</v>
      </c>
      <c r="V33" s="55">
        <f t="shared" si="19"/>
        <v>730.94763542562328</v>
      </c>
      <c r="W33" s="55">
        <f t="shared" si="19"/>
        <v>622.50369733447974</v>
      </c>
      <c r="DA33" s="101"/>
    </row>
    <row r="34" spans="1:105" ht="12" customHeight="1" x14ac:dyDescent="0.25">
      <c r="A34" s="61" t="s">
        <v>52</v>
      </c>
      <c r="B34" s="55">
        <v>75.809716251074803</v>
      </c>
      <c r="C34" s="55">
        <v>74.711006018916592</v>
      </c>
      <c r="D34" s="55">
        <v>59.329320722269991</v>
      </c>
      <c r="E34" s="55">
        <v>47.243680137575232</v>
      </c>
      <c r="F34" s="55">
        <v>48.342390369733437</v>
      </c>
      <c r="G34" s="55">
        <v>13.184264832330181</v>
      </c>
      <c r="H34" s="55">
        <v>12.085640584694749</v>
      </c>
      <c r="I34" s="55">
        <v>10.98693035253654</v>
      </c>
      <c r="J34" s="55">
        <v>12.085640584694749</v>
      </c>
      <c r="K34" s="55">
        <v>12.085640584694749</v>
      </c>
      <c r="L34" s="55">
        <v>14.28297506448839</v>
      </c>
      <c r="M34" s="55">
        <v>10.98693035253654</v>
      </c>
      <c r="N34" s="55">
        <v>12.085640584694749</v>
      </c>
      <c r="O34" s="55">
        <v>13.184264832330181</v>
      </c>
      <c r="P34" s="55">
        <v>10.98693035253654</v>
      </c>
      <c r="Q34" s="55">
        <v>17.579019776440241</v>
      </c>
      <c r="R34" s="55">
        <v>14.28297506448839</v>
      </c>
      <c r="S34" s="55">
        <v>16.590197764402401</v>
      </c>
      <c r="T34" s="55">
        <v>16.480395528804809</v>
      </c>
      <c r="U34" s="55">
        <v>17.579019776440241</v>
      </c>
      <c r="V34" s="55">
        <v>19.77050730868444</v>
      </c>
      <c r="W34" s="55">
        <v>21.465090283748921</v>
      </c>
      <c r="DA34" s="101" t="s">
        <v>200</v>
      </c>
    </row>
    <row r="35" spans="1:105" ht="12" customHeight="1" x14ac:dyDescent="0.25">
      <c r="A35" s="61" t="s">
        <v>170</v>
      </c>
      <c r="B35" s="55">
        <v>791.96044711951845</v>
      </c>
      <c r="C35" s="55">
        <v>814.41427343078237</v>
      </c>
      <c r="D35" s="55">
        <v>1083.0442820292342</v>
      </c>
      <c r="E35" s="55">
        <v>1246.3361134995698</v>
      </c>
      <c r="F35" s="55">
        <v>1232.6119518486673</v>
      </c>
      <c r="G35" s="55">
        <v>1229.8151332760106</v>
      </c>
      <c r="H35" s="55">
        <v>1062.1978503869307</v>
      </c>
      <c r="I35" s="55">
        <v>895.70550300945831</v>
      </c>
      <c r="J35" s="55">
        <v>1099.9903697334482</v>
      </c>
      <c r="K35" s="55">
        <v>886.28538263112637</v>
      </c>
      <c r="L35" s="55">
        <v>991.97953568357696</v>
      </c>
      <c r="M35" s="55">
        <v>837.43903697334463</v>
      </c>
      <c r="N35" s="55">
        <v>826.03895098882197</v>
      </c>
      <c r="O35" s="55">
        <v>904.5332760103181</v>
      </c>
      <c r="P35" s="55">
        <v>709.74729148753215</v>
      </c>
      <c r="Q35" s="55">
        <v>840.41994840928635</v>
      </c>
      <c r="R35" s="55">
        <v>762.05210662080822</v>
      </c>
      <c r="S35" s="55">
        <v>760.82149613069635</v>
      </c>
      <c r="T35" s="55">
        <v>742.50971625107479</v>
      </c>
      <c r="U35" s="55">
        <v>693.66182287188303</v>
      </c>
      <c r="V35" s="55">
        <v>711.17712811693889</v>
      </c>
      <c r="W35" s="55">
        <v>601.03860705073077</v>
      </c>
      <c r="DA35" s="101" t="s">
        <v>201</v>
      </c>
    </row>
    <row r="36" spans="1:105" ht="12" customHeight="1" x14ac:dyDescent="0.25">
      <c r="A36" s="60" t="s">
        <v>153</v>
      </c>
      <c r="B36" s="55">
        <v>1545.3049011177991</v>
      </c>
      <c r="C36" s="55">
        <v>1647.6591573516771</v>
      </c>
      <c r="D36" s="55">
        <v>1613.807910576096</v>
      </c>
      <c r="E36" s="55">
        <v>1668.448495270851</v>
      </c>
      <c r="F36" s="55">
        <v>1618.410920034393</v>
      </c>
      <c r="G36" s="55">
        <v>1590.880911435941</v>
      </c>
      <c r="H36" s="55">
        <v>1604.98366294067</v>
      </c>
      <c r="I36" s="55">
        <v>1549.4177987962171</v>
      </c>
      <c r="J36" s="55">
        <v>1768.530524505589</v>
      </c>
      <c r="K36" s="55">
        <v>1848.6167669819431</v>
      </c>
      <c r="L36" s="55">
        <v>2013.8136715391231</v>
      </c>
      <c r="M36" s="55">
        <v>1641.2625107480651</v>
      </c>
      <c r="N36" s="55">
        <v>1831.5963886500431</v>
      </c>
      <c r="O36" s="55">
        <v>1984.206620808254</v>
      </c>
      <c r="P36" s="55">
        <v>1587.600171969046</v>
      </c>
      <c r="Q36" s="55">
        <v>1777.45958727429</v>
      </c>
      <c r="R36" s="55">
        <v>1880.935425623388</v>
      </c>
      <c r="S36" s="55">
        <v>1866.862854686156</v>
      </c>
      <c r="T36" s="55">
        <v>1889.406620808254</v>
      </c>
      <c r="U36" s="55">
        <v>1886.7111779879619</v>
      </c>
      <c r="V36" s="55">
        <v>1756.901203783319</v>
      </c>
      <c r="W36" s="55">
        <v>1990.3629406706791</v>
      </c>
      <c r="DA36" s="101" t="s">
        <v>202</v>
      </c>
    </row>
    <row r="37" spans="1:105" ht="12" customHeight="1" x14ac:dyDescent="0.25">
      <c r="A37" s="60" t="s">
        <v>51</v>
      </c>
      <c r="B37" s="55">
        <f>SUM(B38:B42)</f>
        <v>1.2420464316423043</v>
      </c>
      <c r="C37" s="55">
        <f t="shared" ref="C37:W37" si="20">SUM(C38:C42)</f>
        <v>4.0842648323301791</v>
      </c>
      <c r="D37" s="55">
        <f t="shared" si="20"/>
        <v>3.4154772141014611</v>
      </c>
      <c r="E37" s="55">
        <f t="shared" si="20"/>
        <v>3.1766122098022356</v>
      </c>
      <c r="F37" s="55">
        <f t="shared" si="20"/>
        <v>5.0874462596732579</v>
      </c>
      <c r="G37" s="55">
        <f t="shared" si="20"/>
        <v>6.2099742046431636</v>
      </c>
      <c r="H37" s="55">
        <f t="shared" si="20"/>
        <v>6.4151332760103168</v>
      </c>
      <c r="I37" s="55">
        <f t="shared" si="20"/>
        <v>8.0300945829750638</v>
      </c>
      <c r="J37" s="55">
        <f t="shared" si="20"/>
        <v>5.7509888220120393</v>
      </c>
      <c r="K37" s="55">
        <f t="shared" si="20"/>
        <v>7.3123817712811672</v>
      </c>
      <c r="L37" s="55">
        <f t="shared" si="20"/>
        <v>13.896044711951845</v>
      </c>
      <c r="M37" s="55">
        <f t="shared" si="20"/>
        <v>19.953224419604474</v>
      </c>
      <c r="N37" s="55">
        <f t="shared" si="20"/>
        <v>38.159673258813413</v>
      </c>
      <c r="O37" s="55">
        <f t="shared" si="20"/>
        <v>59.402579535683564</v>
      </c>
      <c r="P37" s="55">
        <f t="shared" si="20"/>
        <v>70.038005159071361</v>
      </c>
      <c r="Q37" s="55">
        <f t="shared" si="20"/>
        <v>76.285382631126396</v>
      </c>
      <c r="R37" s="55">
        <f t="shared" si="20"/>
        <v>79.562166809974201</v>
      </c>
      <c r="S37" s="55">
        <f t="shared" si="20"/>
        <v>79.154428202923469</v>
      </c>
      <c r="T37" s="55">
        <f t="shared" si="20"/>
        <v>78.228460877042124</v>
      </c>
      <c r="U37" s="55">
        <f t="shared" si="20"/>
        <v>82.065004299226146</v>
      </c>
      <c r="V37" s="55">
        <f t="shared" si="20"/>
        <v>81.360447119518483</v>
      </c>
      <c r="W37" s="55">
        <f t="shared" si="20"/>
        <v>78.081083404987098</v>
      </c>
      <c r="DA37" s="101"/>
    </row>
    <row r="38" spans="1:105" ht="12" customHeight="1" x14ac:dyDescent="0.25">
      <c r="A38" s="61" t="s">
        <v>171</v>
      </c>
      <c r="B38" s="55">
        <v>2.3903697334479834E-2</v>
      </c>
      <c r="C38" s="55">
        <v>2.390369733447939E-2</v>
      </c>
      <c r="D38" s="55">
        <v>2.390369733447964E-2</v>
      </c>
      <c r="E38" s="55">
        <v>2.3903697334479945E-2</v>
      </c>
      <c r="F38" s="55">
        <v>4.1081685296646597</v>
      </c>
      <c r="G38" s="55">
        <v>5.1829750644883923</v>
      </c>
      <c r="H38" s="55">
        <v>5.135167669819432</v>
      </c>
      <c r="I38" s="55">
        <v>5.2785038693035258</v>
      </c>
      <c r="J38" s="55">
        <v>2.1974204643164237</v>
      </c>
      <c r="K38" s="55">
        <v>1.3852966466036101</v>
      </c>
      <c r="L38" s="55">
        <v>7.0101461736887343</v>
      </c>
      <c r="M38" s="55">
        <v>8.2855546001719702</v>
      </c>
      <c r="N38" s="55">
        <v>17.82269991401548</v>
      </c>
      <c r="O38" s="55">
        <v>36.469389509888202</v>
      </c>
      <c r="P38" s="55">
        <v>41.122098022355971</v>
      </c>
      <c r="Q38" s="55">
        <v>48.060533104041269</v>
      </c>
      <c r="R38" s="55">
        <v>48.800945829750646</v>
      </c>
      <c r="S38" s="55">
        <v>48.024677558039542</v>
      </c>
      <c r="T38" s="55">
        <v>48.781857265692182</v>
      </c>
      <c r="U38" s="55">
        <v>52.283319002579546</v>
      </c>
      <c r="V38" s="55">
        <v>49.746775580395536</v>
      </c>
      <c r="W38" s="55">
        <v>48.23731728288908</v>
      </c>
      <c r="DA38" s="101" t="s">
        <v>203</v>
      </c>
    </row>
    <row r="39" spans="1:105" ht="12" customHeight="1" x14ac:dyDescent="0.25">
      <c r="A39" s="61" t="s">
        <v>50</v>
      </c>
      <c r="B39" s="55">
        <v>0.66878761822871879</v>
      </c>
      <c r="C39" s="55">
        <v>3.893207222699913</v>
      </c>
      <c r="D39" s="55">
        <v>3.2005159071367149</v>
      </c>
      <c r="E39" s="55">
        <v>2.8661220980223558</v>
      </c>
      <c r="F39" s="55">
        <v>0.66878761822871879</v>
      </c>
      <c r="G39" s="55">
        <v>0.7165090283748925</v>
      </c>
      <c r="H39" s="55">
        <v>0.88374892519346515</v>
      </c>
      <c r="I39" s="55">
        <v>1.7435941530524499</v>
      </c>
      <c r="J39" s="55">
        <v>1.982459157351677</v>
      </c>
      <c r="K39" s="55">
        <v>3.654342218400688</v>
      </c>
      <c r="L39" s="55">
        <v>6.0045571797076516</v>
      </c>
      <c r="M39" s="55">
        <v>10.728976784178849</v>
      </c>
      <c r="N39" s="55">
        <v>19.39905417024935</v>
      </c>
      <c r="O39" s="55">
        <v>21.94273430782459</v>
      </c>
      <c r="P39" s="55">
        <v>27.455374032674111</v>
      </c>
      <c r="Q39" s="55">
        <v>26.59071367153912</v>
      </c>
      <c r="R39" s="55">
        <v>29.139208942390368</v>
      </c>
      <c r="S39" s="55">
        <v>29.56199484092863</v>
      </c>
      <c r="T39" s="55">
        <v>27.808856405846939</v>
      </c>
      <c r="U39" s="55">
        <v>28.279363714531382</v>
      </c>
      <c r="V39" s="55">
        <v>30.02295786758383</v>
      </c>
      <c r="W39" s="55">
        <v>28.386844368013762</v>
      </c>
      <c r="DA39" s="101" t="s">
        <v>204</v>
      </c>
    </row>
    <row r="40" spans="1:105" ht="12" customHeight="1" x14ac:dyDescent="0.25">
      <c r="A40" s="61" t="s">
        <v>49</v>
      </c>
      <c r="B40" s="55">
        <v>0</v>
      </c>
      <c r="C40" s="55">
        <v>0</v>
      </c>
      <c r="D40" s="55">
        <v>0</v>
      </c>
      <c r="E40" s="55">
        <v>0</v>
      </c>
      <c r="F40" s="55">
        <v>0</v>
      </c>
      <c r="G40" s="55">
        <v>0</v>
      </c>
      <c r="H40" s="55">
        <v>1.4101461736887359E-2</v>
      </c>
      <c r="I40" s="55">
        <v>0.45864144453998268</v>
      </c>
      <c r="J40" s="55">
        <v>0.83069647463456564</v>
      </c>
      <c r="K40" s="55">
        <v>0.74411006018916592</v>
      </c>
      <c r="L40" s="55">
        <v>8.8392089423903697E-2</v>
      </c>
      <c r="M40" s="55">
        <v>8.8392089423903697E-2</v>
      </c>
      <c r="N40" s="55">
        <v>9.0025795356835761E-2</v>
      </c>
      <c r="O40" s="55">
        <v>9.0025795356835761E-2</v>
      </c>
      <c r="P40" s="55">
        <v>0.4502149613069647</v>
      </c>
      <c r="Q40" s="55">
        <v>0.54024075666380056</v>
      </c>
      <c r="R40" s="55">
        <v>0.27016337059329321</v>
      </c>
      <c r="S40" s="55">
        <v>0.18005159071367149</v>
      </c>
      <c r="T40" s="55">
        <v>9.0025795356835761E-2</v>
      </c>
      <c r="U40" s="55">
        <v>0</v>
      </c>
      <c r="V40" s="55">
        <v>0</v>
      </c>
      <c r="W40" s="55">
        <v>0</v>
      </c>
      <c r="DA40" s="101" t="s">
        <v>205</v>
      </c>
    </row>
    <row r="41" spans="1:105" ht="12" customHeight="1" x14ac:dyDescent="0.25">
      <c r="A41" s="61" t="s">
        <v>26</v>
      </c>
      <c r="B41" s="55">
        <v>0.5493551160791057</v>
      </c>
      <c r="C41" s="55">
        <v>0.16715391229578669</v>
      </c>
      <c r="D41" s="55">
        <v>0.19105760963026661</v>
      </c>
      <c r="E41" s="55">
        <v>0.28658641444539978</v>
      </c>
      <c r="F41" s="55">
        <v>0.31049011177987962</v>
      </c>
      <c r="G41" s="55">
        <v>0.31049011177987962</v>
      </c>
      <c r="H41" s="55">
        <v>0.3821152192605331</v>
      </c>
      <c r="I41" s="55">
        <v>0.5493551160791057</v>
      </c>
      <c r="J41" s="55">
        <v>0.74041272570937233</v>
      </c>
      <c r="K41" s="55">
        <v>1.5286328460877039</v>
      </c>
      <c r="L41" s="55">
        <v>0.79294926913155628</v>
      </c>
      <c r="M41" s="55">
        <v>0.85030094582975058</v>
      </c>
      <c r="N41" s="55">
        <v>0.84789337919174546</v>
      </c>
      <c r="O41" s="55">
        <v>0.9004299226139294</v>
      </c>
      <c r="P41" s="55">
        <v>1.010318142734308</v>
      </c>
      <c r="Q41" s="55">
        <v>1.0938950988822009</v>
      </c>
      <c r="R41" s="55">
        <v>1.3518486672398971</v>
      </c>
      <c r="S41" s="55">
        <v>1.387704213241616</v>
      </c>
      <c r="T41" s="55">
        <v>1.547721410146174</v>
      </c>
      <c r="U41" s="55">
        <v>1.5023215821152189</v>
      </c>
      <c r="V41" s="55">
        <v>1.590713671539123</v>
      </c>
      <c r="W41" s="55">
        <v>1.4569217540842649</v>
      </c>
      <c r="DA41" s="101" t="s">
        <v>206</v>
      </c>
    </row>
    <row r="42" spans="1:105" ht="12" customHeight="1" x14ac:dyDescent="0.25">
      <c r="A42" s="61" t="s">
        <v>25</v>
      </c>
      <c r="B42" s="55">
        <v>0</v>
      </c>
      <c r="C42" s="55">
        <v>0</v>
      </c>
      <c r="D42" s="55">
        <v>0</v>
      </c>
      <c r="E42" s="55">
        <v>0</v>
      </c>
      <c r="F42" s="55">
        <v>0</v>
      </c>
      <c r="G42" s="55">
        <v>0</v>
      </c>
      <c r="H42" s="55">
        <v>0</v>
      </c>
      <c r="I42" s="55">
        <v>0</v>
      </c>
      <c r="J42" s="55">
        <v>0</v>
      </c>
      <c r="K42" s="55">
        <v>0</v>
      </c>
      <c r="L42" s="55">
        <v>0</v>
      </c>
      <c r="M42" s="55">
        <v>0</v>
      </c>
      <c r="N42" s="55">
        <v>0</v>
      </c>
      <c r="O42" s="55">
        <v>0</v>
      </c>
      <c r="P42" s="55">
        <v>0</v>
      </c>
      <c r="Q42" s="55">
        <v>0</v>
      </c>
      <c r="R42" s="55">
        <v>0</v>
      </c>
      <c r="S42" s="55">
        <v>0</v>
      </c>
      <c r="T42" s="55">
        <v>0</v>
      </c>
      <c r="U42" s="55">
        <v>0</v>
      </c>
      <c r="V42" s="55">
        <v>0</v>
      </c>
      <c r="W42" s="55">
        <v>0</v>
      </c>
      <c r="DA42" s="101" t="s">
        <v>207</v>
      </c>
    </row>
    <row r="43" spans="1:105" ht="12" customHeight="1" x14ac:dyDescent="0.25">
      <c r="A43" s="61" t="s">
        <v>157</v>
      </c>
      <c r="B43" s="55">
        <v>1.3224975107151229E-2</v>
      </c>
      <c r="C43" s="55">
        <v>2.2258998356271174E-2</v>
      </c>
      <c r="D43" s="55">
        <v>2.6729850487673696E-2</v>
      </c>
      <c r="E43" s="55">
        <v>3.2083209149304445E-2</v>
      </c>
      <c r="F43" s="55">
        <v>5.2999206930206724E-2</v>
      </c>
      <c r="G43" s="55">
        <v>0.10871507853024945</v>
      </c>
      <c r="H43" s="55">
        <v>0.84924615955272853</v>
      </c>
      <c r="I43" s="55">
        <v>1.2916195340693568</v>
      </c>
      <c r="J43" s="55">
        <v>1.7455991290893071</v>
      </c>
      <c r="K43" s="55">
        <v>2.1857458229719398</v>
      </c>
      <c r="L43" s="55">
        <v>2.36457437661221</v>
      </c>
      <c r="M43" s="55">
        <v>2.6511607910576118</v>
      </c>
      <c r="N43" s="55">
        <v>3.05726569217541</v>
      </c>
      <c r="O43" s="55">
        <v>3.6065348237317285</v>
      </c>
      <c r="P43" s="55">
        <v>3.2483233018056752</v>
      </c>
      <c r="Q43" s="55">
        <v>3.1551160791057575</v>
      </c>
      <c r="R43" s="55">
        <v>3.427429062768701</v>
      </c>
      <c r="S43" s="55">
        <v>3.6137575236457438</v>
      </c>
      <c r="T43" s="55">
        <v>8.99019776440241</v>
      </c>
      <c r="U43" s="55">
        <v>13.650042992261382</v>
      </c>
      <c r="V43" s="55">
        <v>17.304385210662055</v>
      </c>
      <c r="W43" s="55">
        <v>30.725107480653545</v>
      </c>
      <c r="DA43" s="101" t="s">
        <v>208</v>
      </c>
    </row>
    <row r="44" spans="1:105" ht="12" customHeight="1" x14ac:dyDescent="0.25">
      <c r="A44" s="60" t="s">
        <v>169</v>
      </c>
      <c r="B44" s="55">
        <v>47.960189165950126</v>
      </c>
      <c r="C44" s="55">
        <v>47.793035253654338</v>
      </c>
      <c r="D44" s="55">
        <v>47.124247635425618</v>
      </c>
      <c r="E44" s="55">
        <v>46.168873602751503</v>
      </c>
      <c r="F44" s="55">
        <v>53.024333619948408</v>
      </c>
      <c r="G44" s="55">
        <v>50.873000859845213</v>
      </c>
      <c r="H44" s="55">
        <v>60.214445399828023</v>
      </c>
      <c r="I44" s="55">
        <v>64.759759243336205</v>
      </c>
      <c r="J44" s="55">
        <v>34.891917454858117</v>
      </c>
      <c r="K44" s="55">
        <v>36.564660361134997</v>
      </c>
      <c r="L44" s="55">
        <v>43.590799656061897</v>
      </c>
      <c r="M44" s="55">
        <v>38.808254514187453</v>
      </c>
      <c r="N44" s="55">
        <v>39.392863284608772</v>
      </c>
      <c r="O44" s="55">
        <v>38.147635425623378</v>
      </c>
      <c r="P44" s="55">
        <v>55.916852966466031</v>
      </c>
      <c r="Q44" s="55">
        <v>63.195270851246775</v>
      </c>
      <c r="R44" s="55">
        <v>58.662940670679276</v>
      </c>
      <c r="S44" s="55">
        <v>52.937833190025792</v>
      </c>
      <c r="T44" s="55">
        <v>57.184522785898537</v>
      </c>
      <c r="U44" s="55">
        <v>57.953568357695602</v>
      </c>
      <c r="V44" s="55">
        <v>67.724763542562329</v>
      </c>
      <c r="W44" s="55">
        <v>73.394926913155629</v>
      </c>
      <c r="DA44" s="101" t="s">
        <v>209</v>
      </c>
    </row>
    <row r="45" spans="1:105" ht="12" customHeight="1" x14ac:dyDescent="0.25">
      <c r="A45" s="62" t="s">
        <v>24</v>
      </c>
      <c r="B45" s="63">
        <v>1052.083974990154</v>
      </c>
      <c r="C45" s="63">
        <v>1099.8053681941315</v>
      </c>
      <c r="D45" s="63">
        <v>1019.5817988032056</v>
      </c>
      <c r="E45" s="63">
        <v>1023.7090491794597</v>
      </c>
      <c r="F45" s="63">
        <v>1704.4399017346452</v>
      </c>
      <c r="G45" s="63">
        <v>1787.1455160984597</v>
      </c>
      <c r="H45" s="63">
        <v>1801.693928762136</v>
      </c>
      <c r="I45" s="63">
        <v>1828.5664540135626</v>
      </c>
      <c r="J45" s="63">
        <v>1879.8176529415223</v>
      </c>
      <c r="K45" s="63">
        <v>1917.9931433057225</v>
      </c>
      <c r="L45" s="63">
        <v>1915.7670043224521</v>
      </c>
      <c r="M45" s="63">
        <v>1856.2970397864749</v>
      </c>
      <c r="N45" s="63">
        <v>1877.6051677102903</v>
      </c>
      <c r="O45" s="63">
        <v>1909.1744727954472</v>
      </c>
      <c r="P45" s="63">
        <v>1814.1027706794853</v>
      </c>
      <c r="Q45" s="63">
        <v>1839.3582963977381</v>
      </c>
      <c r="R45" s="63">
        <v>1850.7246532954539</v>
      </c>
      <c r="S45" s="63">
        <v>1857.4359885468173</v>
      </c>
      <c r="T45" s="63">
        <v>1865.4223847681365</v>
      </c>
      <c r="U45" s="63">
        <v>1849.2068556553349</v>
      </c>
      <c r="V45" s="63">
        <v>1740.7924438338534</v>
      </c>
      <c r="W45" s="63">
        <v>1733.1635995206241</v>
      </c>
      <c r="DA45" s="105" t="s">
        <v>210</v>
      </c>
    </row>
    <row r="46" spans="1:105" s="2" customFormat="1" ht="12" customHeight="1" x14ac:dyDescent="0.25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DA46" s="106"/>
    </row>
    <row r="47" spans="1:105" ht="12.95" customHeight="1" x14ac:dyDescent="0.25">
      <c r="A47" s="81" t="s">
        <v>56</v>
      </c>
      <c r="B47" s="82">
        <f t="shared" ref="B47" si="21">SUM(B48,B53)</f>
        <v>3514.3612750761386</v>
      </c>
      <c r="C47" s="82">
        <f t="shared" ref="C47:W47" si="22">SUM(C48,C53)</f>
        <v>3688.4671050814918</v>
      </c>
      <c r="D47" s="82">
        <f t="shared" si="22"/>
        <v>3826.3030369803323</v>
      </c>
      <c r="E47" s="82">
        <f t="shared" si="22"/>
        <v>4035.0828239000098</v>
      </c>
      <c r="F47" s="82">
        <f t="shared" si="22"/>
        <v>4661.9169438670624</v>
      </c>
      <c r="G47" s="82">
        <f t="shared" si="22"/>
        <v>4678.1088007072294</v>
      </c>
      <c r="H47" s="82">
        <f t="shared" si="22"/>
        <v>4547.5906613502702</v>
      </c>
      <c r="I47" s="82">
        <f t="shared" si="22"/>
        <v>4357.4665399980859</v>
      </c>
      <c r="J47" s="82">
        <f t="shared" si="22"/>
        <v>4801.0670940421242</v>
      </c>
      <c r="K47" s="82">
        <f t="shared" si="22"/>
        <v>4708.8579756359013</v>
      </c>
      <c r="L47" s="82">
        <f t="shared" si="22"/>
        <v>4993.3300309776541</v>
      </c>
      <c r="M47" s="82">
        <f t="shared" si="22"/>
        <v>4404.7469967942143</v>
      </c>
      <c r="N47" s="82">
        <f t="shared" si="22"/>
        <v>4624.8786844772712</v>
      </c>
      <c r="O47" s="82">
        <f t="shared" si="22"/>
        <v>4908.6488494076548</v>
      </c>
      <c r="P47" s="82">
        <f t="shared" si="22"/>
        <v>4248.3920226141372</v>
      </c>
      <c r="Q47" s="82">
        <f t="shared" si="22"/>
        <v>4614.297505340126</v>
      </c>
      <c r="R47" s="82">
        <f t="shared" si="22"/>
        <v>4646.2202680847913</v>
      </c>
      <c r="S47" s="82">
        <f t="shared" si="22"/>
        <v>4633.8027985210219</v>
      </c>
      <c r="T47" s="82">
        <f t="shared" si="22"/>
        <v>4649.2321010192081</v>
      </c>
      <c r="U47" s="82">
        <f t="shared" si="22"/>
        <v>4587.1774489485433</v>
      </c>
      <c r="V47" s="82">
        <f t="shared" si="22"/>
        <v>4377.7264937048767</v>
      </c>
      <c r="W47" s="82">
        <f t="shared" si="22"/>
        <v>4497.506247843924</v>
      </c>
      <c r="DA47" s="107" t="s">
        <v>211</v>
      </c>
    </row>
    <row r="48" spans="1:105" ht="12" customHeight="1" x14ac:dyDescent="0.25">
      <c r="A48" s="77" t="s">
        <v>36</v>
      </c>
      <c r="B48" s="64">
        <f t="shared" ref="B48" si="23">SUM(B49:B52)</f>
        <v>2799.3100281525185</v>
      </c>
      <c r="C48" s="64">
        <f t="shared" ref="C48:W48" si="24">SUM(C49:C52)</f>
        <v>2939.5014677484878</v>
      </c>
      <c r="D48" s="64">
        <f t="shared" si="24"/>
        <v>3029.9844245184336</v>
      </c>
      <c r="E48" s="64">
        <f t="shared" si="24"/>
        <v>3207.5906884085825</v>
      </c>
      <c r="F48" s="64">
        <f t="shared" si="24"/>
        <v>3766.4439937914976</v>
      </c>
      <c r="G48" s="64">
        <f t="shared" si="24"/>
        <v>3737.5353687179722</v>
      </c>
      <c r="H48" s="64">
        <f t="shared" si="24"/>
        <v>3552.5915875588116</v>
      </c>
      <c r="I48" s="64">
        <f t="shared" si="24"/>
        <v>3312.6938575551494</v>
      </c>
      <c r="J48" s="64">
        <f t="shared" si="24"/>
        <v>3717.0671131500258</v>
      </c>
      <c r="K48" s="64">
        <f t="shared" si="24"/>
        <v>3600.2252149769547</v>
      </c>
      <c r="L48" s="64">
        <f t="shared" si="24"/>
        <v>3850.815112021688</v>
      </c>
      <c r="M48" s="64">
        <f t="shared" si="24"/>
        <v>3233.3702063214459</v>
      </c>
      <c r="N48" s="64">
        <f t="shared" si="24"/>
        <v>3425.1993537014532</v>
      </c>
      <c r="O48" s="64">
        <f t="shared" si="24"/>
        <v>3678.289424134724</v>
      </c>
      <c r="P48" s="64">
        <f t="shared" si="24"/>
        <v>3008.2344866671792</v>
      </c>
      <c r="Q48" s="64">
        <f t="shared" si="24"/>
        <v>3361.8454455377987</v>
      </c>
      <c r="R48" s="64">
        <f t="shared" si="24"/>
        <v>3368.4927854443386</v>
      </c>
      <c r="S48" s="64">
        <f t="shared" si="24"/>
        <v>3341.1451616670402</v>
      </c>
      <c r="T48" s="64">
        <f t="shared" si="24"/>
        <v>3363.8801422413603</v>
      </c>
      <c r="U48" s="64">
        <f t="shared" si="24"/>
        <v>3347.5490816415722</v>
      </c>
      <c r="V48" s="64">
        <f t="shared" si="24"/>
        <v>3220.5153767810175</v>
      </c>
      <c r="W48" s="64">
        <f t="shared" si="24"/>
        <v>3362.3607410423033</v>
      </c>
      <c r="DA48" s="108" t="s">
        <v>212</v>
      </c>
    </row>
    <row r="49" spans="1:105" ht="12" customHeight="1" x14ac:dyDescent="0.25">
      <c r="A49" s="61" t="s">
        <v>32</v>
      </c>
      <c r="B49" s="65">
        <v>2178.4185261482694</v>
      </c>
      <c r="C49" s="65">
        <v>2306.4944905255593</v>
      </c>
      <c r="D49" s="65">
        <v>2374.3979232499519</v>
      </c>
      <c r="E49" s="65">
        <v>2543.954896744528</v>
      </c>
      <c r="F49" s="65">
        <v>3094.4648735316955</v>
      </c>
      <c r="G49" s="65">
        <v>3063.5183664729852</v>
      </c>
      <c r="H49" s="65">
        <v>2856.0086282643806</v>
      </c>
      <c r="I49" s="65">
        <v>2607.8640157916375</v>
      </c>
      <c r="J49" s="65">
        <v>3000.5886684570337</v>
      </c>
      <c r="K49" s="65">
        <v>2874.0781337910016</v>
      </c>
      <c r="L49" s="65">
        <v>3107.1425144985069</v>
      </c>
      <c r="M49" s="65">
        <v>2483.7328342985338</v>
      </c>
      <c r="N49" s="65">
        <v>2660.8199690842084</v>
      </c>
      <c r="O49" s="65">
        <v>2904.09298597314</v>
      </c>
      <c r="P49" s="65">
        <v>2231.018853202193</v>
      </c>
      <c r="Q49" s="65">
        <v>2570.1857313790483</v>
      </c>
      <c r="R49" s="65">
        <v>2583.3791041415352</v>
      </c>
      <c r="S49" s="65">
        <v>2561.4381967104823</v>
      </c>
      <c r="T49" s="65">
        <v>2580.2076557373562</v>
      </c>
      <c r="U49" s="65">
        <v>2570.9112280649092</v>
      </c>
      <c r="V49" s="65">
        <v>2473.4934208313116</v>
      </c>
      <c r="W49" s="65">
        <v>2594.391270209665</v>
      </c>
      <c r="DA49" s="109" t="s">
        <v>213</v>
      </c>
    </row>
    <row r="50" spans="1:105" ht="12" customHeight="1" x14ac:dyDescent="0.25">
      <c r="A50" s="61" t="s">
        <v>31</v>
      </c>
      <c r="B50" s="65">
        <v>13.078979416131808</v>
      </c>
      <c r="C50" s="65">
        <v>16.289133522581213</v>
      </c>
      <c r="D50" s="65">
        <v>20.846012005087911</v>
      </c>
      <c r="E50" s="65">
        <v>30.513658114191429</v>
      </c>
      <c r="F50" s="65">
        <v>27.72045600907639</v>
      </c>
      <c r="G50" s="65">
        <v>32.902351031105354</v>
      </c>
      <c r="H50" s="65">
        <v>47.527565231710085</v>
      </c>
      <c r="I50" s="65">
        <v>43.246554387495955</v>
      </c>
      <c r="J50" s="65">
        <v>48.003902661663055</v>
      </c>
      <c r="K50" s="65">
        <v>53.459862433480112</v>
      </c>
      <c r="L50" s="65">
        <v>62.135669373960894</v>
      </c>
      <c r="M50" s="65">
        <v>61.833385199005185</v>
      </c>
      <c r="N50" s="65">
        <v>64.540801353499859</v>
      </c>
      <c r="O50" s="65">
        <v>67.569552670445063</v>
      </c>
      <c r="P50" s="65">
        <v>66.385801432503882</v>
      </c>
      <c r="Q50" s="65">
        <v>74.914914956743601</v>
      </c>
      <c r="R50" s="65">
        <v>73.261527195829359</v>
      </c>
      <c r="S50" s="65">
        <v>68.527102354478075</v>
      </c>
      <c r="T50" s="65">
        <v>77.16114278559651</v>
      </c>
      <c r="U50" s="65">
        <v>73.676670495465487</v>
      </c>
      <c r="V50" s="65">
        <v>78.70130033473724</v>
      </c>
      <c r="W50" s="65">
        <v>63.800728057223274</v>
      </c>
      <c r="DA50" s="109" t="s">
        <v>214</v>
      </c>
    </row>
    <row r="51" spans="1:105" ht="12" customHeight="1" x14ac:dyDescent="0.25">
      <c r="A51" s="61" t="s">
        <v>35</v>
      </c>
      <c r="B51" s="65">
        <v>356.81510966859878</v>
      </c>
      <c r="C51" s="65">
        <v>359.00001984646525</v>
      </c>
      <c r="D51" s="65">
        <v>371.28389754070918</v>
      </c>
      <c r="E51" s="65">
        <v>374.84779539087816</v>
      </c>
      <c r="F51" s="65">
        <v>375.55696794351098</v>
      </c>
      <c r="G51" s="65">
        <v>373.54718863142318</v>
      </c>
      <c r="H51" s="65">
        <v>377.94459150264697</v>
      </c>
      <c r="I51" s="65">
        <v>380.50957260739034</v>
      </c>
      <c r="J51" s="65">
        <v>380.8585951995654</v>
      </c>
      <c r="K51" s="65">
        <v>381.85458030579468</v>
      </c>
      <c r="L51" s="65">
        <v>384.48044733114858</v>
      </c>
      <c r="M51" s="65">
        <v>388.99912444671912</v>
      </c>
      <c r="N51" s="65">
        <v>393.1663767014133</v>
      </c>
      <c r="O51" s="65">
        <v>395.85718790102089</v>
      </c>
      <c r="P51" s="65">
        <v>398.53565715746817</v>
      </c>
      <c r="Q51" s="65">
        <v>397.85651987874581</v>
      </c>
      <c r="R51" s="65">
        <v>394.5418123439473</v>
      </c>
      <c r="S51" s="65">
        <v>392.53872918510922</v>
      </c>
      <c r="T51" s="65">
        <v>387.09995290850827</v>
      </c>
      <c r="U51" s="65">
        <v>381.91402053187329</v>
      </c>
      <c r="V51" s="65">
        <v>359.11636944499702</v>
      </c>
      <c r="W51" s="65">
        <v>377.56845669194655</v>
      </c>
      <c r="DA51" s="109" t="s">
        <v>215</v>
      </c>
    </row>
    <row r="52" spans="1:105" ht="12" customHeight="1" x14ac:dyDescent="0.25">
      <c r="A52" s="66" t="s">
        <v>34</v>
      </c>
      <c r="B52" s="67">
        <v>250.99741291951858</v>
      </c>
      <c r="C52" s="67">
        <v>257.7178238538819</v>
      </c>
      <c r="D52" s="67">
        <v>263.45659172268489</v>
      </c>
      <c r="E52" s="67">
        <v>258.27433815898485</v>
      </c>
      <c r="F52" s="67">
        <v>268.70169630721443</v>
      </c>
      <c r="G52" s="67">
        <v>267.5674625824588</v>
      </c>
      <c r="H52" s="67">
        <v>271.11080256007426</v>
      </c>
      <c r="I52" s="67">
        <v>281.07371476862539</v>
      </c>
      <c r="J52" s="67">
        <v>287.61594683176349</v>
      </c>
      <c r="K52" s="67">
        <v>290.83263844667863</v>
      </c>
      <c r="L52" s="67">
        <v>297.05648081807152</v>
      </c>
      <c r="M52" s="67">
        <v>298.80486237718787</v>
      </c>
      <c r="N52" s="67">
        <v>306.67220656233189</v>
      </c>
      <c r="O52" s="67">
        <v>310.76969759011791</v>
      </c>
      <c r="P52" s="67">
        <v>312.29417487501439</v>
      </c>
      <c r="Q52" s="67">
        <v>318.8882793232608</v>
      </c>
      <c r="R52" s="67">
        <v>317.31034176302671</v>
      </c>
      <c r="S52" s="67">
        <v>318.64113341697072</v>
      </c>
      <c r="T52" s="67">
        <v>319.41139080989944</v>
      </c>
      <c r="U52" s="67">
        <v>321.04716254932396</v>
      </c>
      <c r="V52" s="67">
        <v>309.20428616997151</v>
      </c>
      <c r="W52" s="67">
        <v>326.60028608346829</v>
      </c>
      <c r="DA52" s="110" t="s">
        <v>216</v>
      </c>
    </row>
    <row r="53" spans="1:105" ht="12" customHeight="1" x14ac:dyDescent="0.25">
      <c r="A53" s="78" t="s">
        <v>33</v>
      </c>
      <c r="B53" s="68">
        <v>715.05124692362006</v>
      </c>
      <c r="C53" s="68">
        <v>748.965637333004</v>
      </c>
      <c r="D53" s="68">
        <v>796.31861246189874</v>
      </c>
      <c r="E53" s="68">
        <v>827.49213549142735</v>
      </c>
      <c r="F53" s="68">
        <v>895.47295007556454</v>
      </c>
      <c r="G53" s="68">
        <v>940.57343198925741</v>
      </c>
      <c r="H53" s="68">
        <v>994.99907379145861</v>
      </c>
      <c r="I53" s="68">
        <v>1044.7726824429365</v>
      </c>
      <c r="J53" s="68">
        <v>1083.9999808920984</v>
      </c>
      <c r="K53" s="68">
        <v>1108.6327606589471</v>
      </c>
      <c r="L53" s="68">
        <v>1142.5149189559663</v>
      </c>
      <c r="M53" s="68">
        <v>1171.3767904727679</v>
      </c>
      <c r="N53" s="68">
        <v>1199.679330775818</v>
      </c>
      <c r="O53" s="68">
        <v>1230.3594252729306</v>
      </c>
      <c r="P53" s="68">
        <v>1240.1575359469578</v>
      </c>
      <c r="Q53" s="68">
        <v>1252.4520598023269</v>
      </c>
      <c r="R53" s="68">
        <v>1277.7274826404525</v>
      </c>
      <c r="S53" s="68">
        <v>1292.6576368539816</v>
      </c>
      <c r="T53" s="68">
        <v>1285.351958777848</v>
      </c>
      <c r="U53" s="68">
        <v>1239.6283673069709</v>
      </c>
      <c r="V53" s="68">
        <v>1157.2111169238594</v>
      </c>
      <c r="W53" s="68">
        <v>1135.1455068016207</v>
      </c>
      <c r="DA53" s="111" t="s">
        <v>217</v>
      </c>
    </row>
    <row r="54" spans="1:105" s="2" customFormat="1" ht="12" customHeight="1" x14ac:dyDescent="0.25">
      <c r="DA54" s="7"/>
    </row>
    <row r="55" spans="1:105" ht="12.95" customHeight="1" x14ac:dyDescent="0.25">
      <c r="A55" s="79" t="s">
        <v>55</v>
      </c>
      <c r="B55" s="83">
        <f t="shared" ref="B55" si="25">IF(B47=0,0,B47/B$47)</f>
        <v>1</v>
      </c>
      <c r="C55" s="83">
        <f t="shared" ref="C55:W55" si="26">IF(C47=0,0,C47/C$47)</f>
        <v>1</v>
      </c>
      <c r="D55" s="83">
        <f t="shared" si="26"/>
        <v>1</v>
      </c>
      <c r="E55" s="83">
        <f t="shared" si="26"/>
        <v>1</v>
      </c>
      <c r="F55" s="83">
        <f t="shared" si="26"/>
        <v>1</v>
      </c>
      <c r="G55" s="83">
        <f t="shared" si="26"/>
        <v>1</v>
      </c>
      <c r="H55" s="83">
        <f t="shared" si="26"/>
        <v>1</v>
      </c>
      <c r="I55" s="83">
        <f t="shared" si="26"/>
        <v>1</v>
      </c>
      <c r="J55" s="83">
        <f t="shared" si="26"/>
        <v>1</v>
      </c>
      <c r="K55" s="83">
        <f t="shared" si="26"/>
        <v>1</v>
      </c>
      <c r="L55" s="83">
        <f t="shared" si="26"/>
        <v>1</v>
      </c>
      <c r="M55" s="83">
        <f t="shared" si="26"/>
        <v>1</v>
      </c>
      <c r="N55" s="83">
        <f t="shared" si="26"/>
        <v>1</v>
      </c>
      <c r="O55" s="83">
        <f t="shared" si="26"/>
        <v>1</v>
      </c>
      <c r="P55" s="83">
        <f t="shared" si="26"/>
        <v>1</v>
      </c>
      <c r="Q55" s="83">
        <f t="shared" si="26"/>
        <v>1</v>
      </c>
      <c r="R55" s="83">
        <f t="shared" si="26"/>
        <v>1</v>
      </c>
      <c r="S55" s="83">
        <f t="shared" si="26"/>
        <v>1</v>
      </c>
      <c r="T55" s="83">
        <f t="shared" si="26"/>
        <v>1</v>
      </c>
      <c r="U55" s="83">
        <f t="shared" si="26"/>
        <v>1</v>
      </c>
      <c r="V55" s="83">
        <f t="shared" si="26"/>
        <v>1</v>
      </c>
      <c r="W55" s="83">
        <f t="shared" si="26"/>
        <v>1</v>
      </c>
      <c r="DA55" s="112"/>
    </row>
    <row r="56" spans="1:105" ht="12" customHeight="1" x14ac:dyDescent="0.25">
      <c r="A56" s="69" t="s">
        <v>36</v>
      </c>
      <c r="B56" s="70">
        <f t="shared" ref="B56" si="27">IF(B48=0,0,B48/B$47)</f>
        <v>0.79653450770848011</v>
      </c>
      <c r="C56" s="70">
        <f t="shared" ref="C56:W56" si="28">IF(C48=0,0,C48/C$47)</f>
        <v>0.79694392928130597</v>
      </c>
      <c r="D56" s="70">
        <f t="shared" si="28"/>
        <v>0.79188302526860421</v>
      </c>
      <c r="E56" s="70">
        <f t="shared" si="28"/>
        <v>0.79492561327610245</v>
      </c>
      <c r="F56" s="70">
        <f t="shared" si="28"/>
        <v>0.80791743807156513</v>
      </c>
      <c r="G56" s="70">
        <f t="shared" si="28"/>
        <v>0.79894152272664909</v>
      </c>
      <c r="H56" s="70">
        <f t="shared" si="28"/>
        <v>0.78120302641838402</v>
      </c>
      <c r="I56" s="70">
        <f t="shared" si="28"/>
        <v>0.76023391738002988</v>
      </c>
      <c r="J56" s="70">
        <f t="shared" si="28"/>
        <v>0.77421686478048046</v>
      </c>
      <c r="K56" s="70">
        <f t="shared" si="28"/>
        <v>0.76456440895114641</v>
      </c>
      <c r="L56" s="70">
        <f t="shared" si="28"/>
        <v>0.77119178747088124</v>
      </c>
      <c r="M56" s="70">
        <f t="shared" si="28"/>
        <v>0.73406490967011284</v>
      </c>
      <c r="N56" s="70">
        <f t="shared" si="28"/>
        <v>0.7406030703459604</v>
      </c>
      <c r="O56" s="70">
        <f t="shared" si="28"/>
        <v>0.74934865723356781</v>
      </c>
      <c r="P56" s="70">
        <f t="shared" si="28"/>
        <v>0.70808778254322691</v>
      </c>
      <c r="Q56" s="70">
        <f t="shared" si="28"/>
        <v>0.72857145462492079</v>
      </c>
      <c r="R56" s="70">
        <f t="shared" si="28"/>
        <v>0.72499636071555817</v>
      </c>
      <c r="S56" s="70">
        <f t="shared" si="28"/>
        <v>0.72103740856935872</v>
      </c>
      <c r="T56" s="70">
        <f t="shared" si="28"/>
        <v>0.72353456853744258</v>
      </c>
      <c r="U56" s="70">
        <f t="shared" si="28"/>
        <v>0.7297622816856334</v>
      </c>
      <c r="V56" s="70">
        <f t="shared" si="28"/>
        <v>0.73565933856582488</v>
      </c>
      <c r="W56" s="70">
        <f t="shared" si="28"/>
        <v>0.74760557423443219</v>
      </c>
      <c r="DA56" s="113"/>
    </row>
    <row r="57" spans="1:105" ht="12" customHeight="1" x14ac:dyDescent="0.25">
      <c r="A57" s="61" t="s">
        <v>32</v>
      </c>
      <c r="B57" s="71">
        <f t="shared" ref="B57" si="29">IF(B49=0,0,B49/B$47)</f>
        <v>0.61986186269397536</v>
      </c>
      <c r="C57" s="71">
        <f t="shared" ref="C57:W57" si="30">IF(C49=0,0,C49/C$47)</f>
        <v>0.62532602970702111</v>
      </c>
      <c r="D57" s="71">
        <f t="shared" si="30"/>
        <v>0.6205462296901072</v>
      </c>
      <c r="E57" s="71">
        <f t="shared" si="30"/>
        <v>0.63045915233178063</v>
      </c>
      <c r="F57" s="71">
        <f t="shared" si="30"/>
        <v>0.66377520466180495</v>
      </c>
      <c r="G57" s="71">
        <f t="shared" si="30"/>
        <v>0.65486257310002005</v>
      </c>
      <c r="H57" s="71">
        <f t="shared" si="30"/>
        <v>0.62802675987032985</v>
      </c>
      <c r="I57" s="71">
        <f t="shared" si="30"/>
        <v>0.59848170762839248</v>
      </c>
      <c r="J57" s="71">
        <f t="shared" si="30"/>
        <v>0.62498369834918766</v>
      </c>
      <c r="K57" s="71">
        <f t="shared" si="30"/>
        <v>0.61035566344573722</v>
      </c>
      <c r="L57" s="71">
        <f t="shared" si="30"/>
        <v>0.62225859200621536</v>
      </c>
      <c r="M57" s="71">
        <f t="shared" si="30"/>
        <v>0.56387638974638055</v>
      </c>
      <c r="N57" s="71">
        <f t="shared" si="30"/>
        <v>0.57532751680922167</v>
      </c>
      <c r="O57" s="71">
        <f t="shared" si="30"/>
        <v>0.59162777274719658</v>
      </c>
      <c r="P57" s="71">
        <f t="shared" si="30"/>
        <v>0.52514429961418529</v>
      </c>
      <c r="Q57" s="71">
        <f t="shared" si="30"/>
        <v>0.55700477232007095</v>
      </c>
      <c r="R57" s="71">
        <f t="shared" si="30"/>
        <v>0.55601735498571714</v>
      </c>
      <c r="S57" s="71">
        <f t="shared" si="30"/>
        <v>0.55277237899032317</v>
      </c>
      <c r="T57" s="71">
        <f t="shared" si="30"/>
        <v>0.55497501515824965</v>
      </c>
      <c r="U57" s="71">
        <f t="shared" si="30"/>
        <v>0.56045602261456107</v>
      </c>
      <c r="V57" s="71">
        <f t="shared" si="30"/>
        <v>0.56501780647744171</v>
      </c>
      <c r="W57" s="71">
        <f t="shared" si="30"/>
        <v>0.57685106528832497</v>
      </c>
      <c r="DA57" s="114"/>
    </row>
    <row r="58" spans="1:105" ht="12" customHeight="1" x14ac:dyDescent="0.25">
      <c r="A58" s="61" t="s">
        <v>31</v>
      </c>
      <c r="B58" s="72">
        <f t="shared" ref="B58" si="31">IF(B50=0,0,B50/B$47)</f>
        <v>3.7215807916186569E-3</v>
      </c>
      <c r="C58" s="72">
        <f t="shared" ref="C58:W58" si="32">IF(C50=0,0,C50/C$47)</f>
        <v>4.4162339146634E-3</v>
      </c>
      <c r="D58" s="72">
        <f t="shared" si="32"/>
        <v>5.4480818177797298E-3</v>
      </c>
      <c r="E58" s="72">
        <f t="shared" si="32"/>
        <v>7.5620896635522359E-3</v>
      </c>
      <c r="F58" s="72">
        <f t="shared" si="32"/>
        <v>5.9461496939673614E-3</v>
      </c>
      <c r="G58" s="72">
        <f t="shared" si="32"/>
        <v>7.0332590439391293E-3</v>
      </c>
      <c r="H58" s="72">
        <f t="shared" si="32"/>
        <v>1.0451152878741774E-2</v>
      </c>
      <c r="I58" s="72">
        <f t="shared" si="32"/>
        <v>9.9247014269706717E-3</v>
      </c>
      <c r="J58" s="72">
        <f t="shared" si="32"/>
        <v>9.99859025532749E-3</v>
      </c>
      <c r="K58" s="72">
        <f t="shared" si="32"/>
        <v>1.1353042013602183E-2</v>
      </c>
      <c r="L58" s="72">
        <f t="shared" si="32"/>
        <v>1.2443733738503807E-2</v>
      </c>
      <c r="M58" s="72">
        <f t="shared" si="32"/>
        <v>1.4037897124172551E-2</v>
      </c>
      <c r="N58" s="72">
        <f t="shared" si="32"/>
        <v>1.3955133908727513E-2</v>
      </c>
      <c r="O58" s="72">
        <f t="shared" si="32"/>
        <v>1.3765407700450795E-2</v>
      </c>
      <c r="P58" s="72">
        <f t="shared" si="32"/>
        <v>1.5626100670355535E-2</v>
      </c>
      <c r="Q58" s="72">
        <f t="shared" si="32"/>
        <v>1.6235388999093488E-2</v>
      </c>
      <c r="R58" s="72">
        <f t="shared" si="32"/>
        <v>1.5767984074941056E-2</v>
      </c>
      <c r="S58" s="72">
        <f t="shared" si="32"/>
        <v>1.4788523667073181E-2</v>
      </c>
      <c r="T58" s="72">
        <f t="shared" si="32"/>
        <v>1.6596534892005323E-2</v>
      </c>
      <c r="U58" s="72">
        <f t="shared" si="32"/>
        <v>1.6061438938306909E-2</v>
      </c>
      <c r="V58" s="72">
        <f t="shared" si="32"/>
        <v>1.7977664992984112E-2</v>
      </c>
      <c r="W58" s="72">
        <f t="shared" si="32"/>
        <v>1.4185800873052469E-2</v>
      </c>
      <c r="DA58" s="115"/>
    </row>
    <row r="59" spans="1:105" ht="12" customHeight="1" x14ac:dyDescent="0.25">
      <c r="A59" s="61" t="s">
        <v>35</v>
      </c>
      <c r="B59" s="72">
        <f t="shared" ref="B59" si="33">IF(B51=0,0,B51/B$47)</f>
        <v>0.10153057177107336</v>
      </c>
      <c r="C59" s="72">
        <f t="shared" ref="C59:W59" si="34">IF(C51=0,0,C51/C$47)</f>
        <v>9.7330411148816146E-2</v>
      </c>
      <c r="D59" s="72">
        <f t="shared" si="34"/>
        <v>9.7034629498065447E-2</v>
      </c>
      <c r="E59" s="72">
        <f t="shared" si="34"/>
        <v>9.2897175039539398E-2</v>
      </c>
      <c r="F59" s="72">
        <f t="shared" si="34"/>
        <v>8.0558485375328517E-2</v>
      </c>
      <c r="G59" s="72">
        <f t="shared" si="34"/>
        <v>7.9850042943625188E-2</v>
      </c>
      <c r="H59" s="72">
        <f t="shared" si="34"/>
        <v>8.3108753546087127E-2</v>
      </c>
      <c r="I59" s="72">
        <f t="shared" si="34"/>
        <v>8.7323578761790671E-2</v>
      </c>
      <c r="J59" s="72">
        <f t="shared" si="34"/>
        <v>7.9327905180119479E-2</v>
      </c>
      <c r="K59" s="72">
        <f t="shared" si="34"/>
        <v>8.1092821716337207E-2</v>
      </c>
      <c r="L59" s="72">
        <f t="shared" si="34"/>
        <v>7.6998805395578948E-2</v>
      </c>
      <c r="M59" s="72">
        <f t="shared" si="34"/>
        <v>8.8313613637703514E-2</v>
      </c>
      <c r="N59" s="72">
        <f t="shared" si="34"/>
        <v>8.5011176189554713E-2</v>
      </c>
      <c r="O59" s="72">
        <f t="shared" si="34"/>
        <v>8.0644837315830914E-2</v>
      </c>
      <c r="P59" s="72">
        <f t="shared" si="34"/>
        <v>9.3808588057803496E-2</v>
      </c>
      <c r="Q59" s="72">
        <f t="shared" si="34"/>
        <v>8.6222554878246691E-2</v>
      </c>
      <c r="R59" s="72">
        <f t="shared" si="34"/>
        <v>8.4916725763968262E-2</v>
      </c>
      <c r="S59" s="72">
        <f t="shared" si="34"/>
        <v>8.4712005722469758E-2</v>
      </c>
      <c r="T59" s="72">
        <f t="shared" si="34"/>
        <v>8.326105139462664E-2</v>
      </c>
      <c r="U59" s="72">
        <f t="shared" si="34"/>
        <v>8.3256866511543889E-2</v>
      </c>
      <c r="V59" s="72">
        <f t="shared" si="34"/>
        <v>8.2032618977316757E-2</v>
      </c>
      <c r="W59" s="72">
        <f t="shared" si="34"/>
        <v>8.3950624164880361E-2</v>
      </c>
      <c r="DA59" s="115"/>
    </row>
    <row r="60" spans="1:105" ht="12" customHeight="1" x14ac:dyDescent="0.25">
      <c r="A60" s="61" t="s">
        <v>34</v>
      </c>
      <c r="B60" s="73">
        <f t="shared" ref="B60" si="35">IF(B52=0,0,B52/B$47)</f>
        <v>7.1420492451812811E-2</v>
      </c>
      <c r="C60" s="73">
        <f t="shared" ref="C60:W60" si="36">IF(C52=0,0,C52/C$47)</f>
        <v>6.9871254510805225E-2</v>
      </c>
      <c r="D60" s="73">
        <f t="shared" si="36"/>
        <v>6.8854084262651952E-2</v>
      </c>
      <c r="E60" s="73">
        <f t="shared" si="36"/>
        <v>6.4007196241230108E-2</v>
      </c>
      <c r="F60" s="73">
        <f t="shared" si="36"/>
        <v>5.7637598340464266E-2</v>
      </c>
      <c r="G60" s="73">
        <f t="shared" si="36"/>
        <v>5.7195647639064817E-2</v>
      </c>
      <c r="H60" s="73">
        <f t="shared" si="36"/>
        <v>5.9616360123225354E-2</v>
      </c>
      <c r="I60" s="73">
        <f t="shared" si="36"/>
        <v>6.450392956287597E-2</v>
      </c>
      <c r="J60" s="73">
        <f t="shared" si="36"/>
        <v>5.9906670995845901E-2</v>
      </c>
      <c r="K60" s="73">
        <f t="shared" si="36"/>
        <v>6.1762881775469888E-2</v>
      </c>
      <c r="L60" s="73">
        <f t="shared" si="36"/>
        <v>5.9490656330583105E-2</v>
      </c>
      <c r="M60" s="73">
        <f t="shared" si="36"/>
        <v>6.783700916185624E-2</v>
      </c>
      <c r="N60" s="73">
        <f t="shared" si="36"/>
        <v>6.6309243438456511E-2</v>
      </c>
      <c r="O60" s="73">
        <f t="shared" si="36"/>
        <v>6.3310639470089553E-2</v>
      </c>
      <c r="P60" s="73">
        <f t="shared" si="36"/>
        <v>7.3508794200882702E-2</v>
      </c>
      <c r="Q60" s="73">
        <f t="shared" si="36"/>
        <v>6.9108738427509586E-2</v>
      </c>
      <c r="R60" s="73">
        <f t="shared" si="36"/>
        <v>6.8294295890931694E-2</v>
      </c>
      <c r="S60" s="73">
        <f t="shared" si="36"/>
        <v>6.8764500189492719E-2</v>
      </c>
      <c r="T60" s="73">
        <f t="shared" si="36"/>
        <v>6.8701967092560906E-2</v>
      </c>
      <c r="U60" s="73">
        <f t="shared" si="36"/>
        <v>6.9987953621221538E-2</v>
      </c>
      <c r="V60" s="73">
        <f t="shared" si="36"/>
        <v>7.0631248118082274E-2</v>
      </c>
      <c r="W60" s="73">
        <f t="shared" si="36"/>
        <v>7.2618083908174313E-2</v>
      </c>
      <c r="DA60" s="116"/>
    </row>
    <row r="61" spans="1:105" ht="12" customHeight="1" x14ac:dyDescent="0.25">
      <c r="A61" s="69" t="s">
        <v>33</v>
      </c>
      <c r="B61" s="70">
        <f t="shared" ref="B61" si="37">IF(B53=0,0,B53/B$47)</f>
        <v>0.20346549229151989</v>
      </c>
      <c r="C61" s="70">
        <f t="shared" ref="C61:W61" si="38">IF(C53=0,0,C53/C$47)</f>
        <v>0.20305607071869403</v>
      </c>
      <c r="D61" s="70">
        <f t="shared" si="38"/>
        <v>0.20811697473139579</v>
      </c>
      <c r="E61" s="70">
        <f t="shared" si="38"/>
        <v>0.20507438672389758</v>
      </c>
      <c r="F61" s="70">
        <f t="shared" si="38"/>
        <v>0.19208256192843481</v>
      </c>
      <c r="G61" s="70">
        <f t="shared" si="38"/>
        <v>0.20105847727335091</v>
      </c>
      <c r="H61" s="70">
        <f t="shared" si="38"/>
        <v>0.21879697358161598</v>
      </c>
      <c r="I61" s="70">
        <f t="shared" si="38"/>
        <v>0.23976608261997012</v>
      </c>
      <c r="J61" s="70">
        <f t="shared" si="38"/>
        <v>0.22578313521951948</v>
      </c>
      <c r="K61" s="70">
        <f t="shared" si="38"/>
        <v>0.23543559104885367</v>
      </c>
      <c r="L61" s="70">
        <f t="shared" si="38"/>
        <v>0.22880821252911879</v>
      </c>
      <c r="M61" s="70">
        <f t="shared" si="38"/>
        <v>0.26593509032988699</v>
      </c>
      <c r="N61" s="70">
        <f t="shared" si="38"/>
        <v>0.2593969296540396</v>
      </c>
      <c r="O61" s="70">
        <f t="shared" si="38"/>
        <v>0.25065134276643208</v>
      </c>
      <c r="P61" s="70">
        <f t="shared" si="38"/>
        <v>0.29191221745677304</v>
      </c>
      <c r="Q61" s="70">
        <f t="shared" si="38"/>
        <v>0.27142854537507916</v>
      </c>
      <c r="R61" s="70">
        <f t="shared" si="38"/>
        <v>0.27500363928444183</v>
      </c>
      <c r="S61" s="70">
        <f t="shared" si="38"/>
        <v>0.27896259143064117</v>
      </c>
      <c r="T61" s="70">
        <f t="shared" si="38"/>
        <v>0.27646543146255748</v>
      </c>
      <c r="U61" s="70">
        <f t="shared" si="38"/>
        <v>0.27023771831436649</v>
      </c>
      <c r="V61" s="70">
        <f t="shared" si="38"/>
        <v>0.26434066143417512</v>
      </c>
      <c r="W61" s="70">
        <f t="shared" si="38"/>
        <v>0.25239442576556781</v>
      </c>
      <c r="DA61" s="113"/>
    </row>
    <row r="62" spans="1:105" s="2" customFormat="1" ht="12" customHeight="1" x14ac:dyDescent="0.25">
      <c r="DA62" s="7"/>
    </row>
    <row r="63" spans="1:105" s="2" customFormat="1" ht="12.95" customHeight="1" x14ac:dyDescent="0.25">
      <c r="A63" s="47" t="s">
        <v>54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DA63" s="97"/>
    </row>
    <row r="64" spans="1:105" s="2" customFormat="1" ht="12" customHeight="1" x14ac:dyDescent="0.25">
      <c r="DA64" s="7"/>
    </row>
    <row r="65" spans="1:105" ht="12.95" customHeight="1" x14ac:dyDescent="0.25">
      <c r="A65" s="79" t="s">
        <v>53</v>
      </c>
      <c r="B65" s="80">
        <v>6291.8955835200013</v>
      </c>
      <c r="C65" s="80">
        <v>6596.3799892800016</v>
      </c>
      <c r="D65" s="80">
        <v>7309.0722002399989</v>
      </c>
      <c r="E65" s="80">
        <v>7913.9766311999992</v>
      </c>
      <c r="F65" s="80">
        <v>7781.4818553599998</v>
      </c>
      <c r="G65" s="80">
        <v>7622.0993804399995</v>
      </c>
      <c r="H65" s="80">
        <v>7129.9996689600002</v>
      </c>
      <c r="I65" s="80">
        <v>6477.3342734400012</v>
      </c>
      <c r="J65" s="80">
        <v>7597.9472518800012</v>
      </c>
      <c r="K65" s="80">
        <v>7122.3329573999999</v>
      </c>
      <c r="L65" s="80">
        <v>7843.6469026800005</v>
      </c>
      <c r="M65" s="80">
        <v>6480.8318966400002</v>
      </c>
      <c r="N65" s="80">
        <v>6895.3926690000008</v>
      </c>
      <c r="O65" s="80">
        <v>7628.4935992799992</v>
      </c>
      <c r="P65" s="80">
        <v>6087.2413237200008</v>
      </c>
      <c r="Q65" s="80">
        <v>6998.6545055999995</v>
      </c>
      <c r="R65" s="80">
        <v>6990.058222560001</v>
      </c>
      <c r="S65" s="80">
        <v>6959.3767606799993</v>
      </c>
      <c r="T65" s="80">
        <v>6955.1981625599983</v>
      </c>
      <c r="U65" s="80">
        <v>6800.3080689600001</v>
      </c>
      <c r="V65" s="80">
        <v>6556.1231250000001</v>
      </c>
      <c r="W65" s="80">
        <v>6766.9902032400005</v>
      </c>
      <c r="DA65" s="103" t="s">
        <v>218</v>
      </c>
    </row>
    <row r="66" spans="1:105" ht="12" customHeight="1" x14ac:dyDescent="0.25">
      <c r="A66" s="58" t="s">
        <v>29</v>
      </c>
      <c r="B66" s="59">
        <v>0</v>
      </c>
      <c r="C66" s="59">
        <v>0</v>
      </c>
      <c r="D66" s="59">
        <v>0</v>
      </c>
      <c r="E66" s="59">
        <v>0</v>
      </c>
      <c r="F66" s="59">
        <v>0</v>
      </c>
      <c r="G66" s="59">
        <v>0</v>
      </c>
      <c r="H66" s="59">
        <v>0</v>
      </c>
      <c r="I66" s="59">
        <v>0</v>
      </c>
      <c r="J66" s="59">
        <v>0</v>
      </c>
      <c r="K66" s="59">
        <v>0</v>
      </c>
      <c r="L66" s="59">
        <v>0</v>
      </c>
      <c r="M66" s="59">
        <v>0</v>
      </c>
      <c r="N66" s="59">
        <v>0</v>
      </c>
      <c r="O66" s="59">
        <v>0</v>
      </c>
      <c r="P66" s="59">
        <v>0</v>
      </c>
      <c r="Q66" s="59">
        <v>0</v>
      </c>
      <c r="R66" s="59">
        <v>0</v>
      </c>
      <c r="S66" s="59">
        <v>0</v>
      </c>
      <c r="T66" s="59">
        <v>0</v>
      </c>
      <c r="U66" s="59">
        <v>0</v>
      </c>
      <c r="V66" s="59">
        <v>0</v>
      </c>
      <c r="W66" s="59">
        <v>0</v>
      </c>
      <c r="DA66" s="104" t="s">
        <v>219</v>
      </c>
    </row>
    <row r="67" spans="1:105" ht="12" customHeight="1" x14ac:dyDescent="0.25">
      <c r="A67" s="60" t="s">
        <v>28</v>
      </c>
      <c r="B67" s="55">
        <f>SUM(B68:B69)</f>
        <v>2662.2914673600003</v>
      </c>
      <c r="C67" s="55">
        <f t="shared" ref="C67:W67" si="39">SUM(C68:C69)</f>
        <v>2726.3667283200002</v>
      </c>
      <c r="D67" s="55">
        <f t="shared" si="39"/>
        <v>3518.568571679999</v>
      </c>
      <c r="E67" s="55">
        <f t="shared" si="39"/>
        <v>3995.1334814399993</v>
      </c>
      <c r="F67" s="55">
        <f t="shared" si="39"/>
        <v>3955.7137021200006</v>
      </c>
      <c r="G67" s="55">
        <f t="shared" si="39"/>
        <v>3854.558568240001</v>
      </c>
      <c r="H67" s="55">
        <f t="shared" si="39"/>
        <v>3329.6206161600016</v>
      </c>
      <c r="I67" s="55">
        <f t="shared" si="39"/>
        <v>2812.3298046</v>
      </c>
      <c r="J67" s="55">
        <f t="shared" si="39"/>
        <v>3444.0319522800014</v>
      </c>
      <c r="K67" s="55">
        <f t="shared" si="39"/>
        <v>2780.3115079200002</v>
      </c>
      <c r="L67" s="55">
        <f t="shared" si="39"/>
        <v>3113.6118227999996</v>
      </c>
      <c r="M67" s="55">
        <f t="shared" si="39"/>
        <v>2625.8430459599999</v>
      </c>
      <c r="N67" s="55">
        <f t="shared" si="39"/>
        <v>2593.34859564</v>
      </c>
      <c r="O67" s="55">
        <f t="shared" si="39"/>
        <v>2839.2994061999998</v>
      </c>
      <c r="P67" s="55">
        <f t="shared" si="39"/>
        <v>2229.5942953200001</v>
      </c>
      <c r="Q67" s="55">
        <f t="shared" si="39"/>
        <v>2652.1668414000001</v>
      </c>
      <c r="R67" s="55">
        <f t="shared" si="39"/>
        <v>2400.5270473199998</v>
      </c>
      <c r="S67" s="55">
        <f t="shared" si="39"/>
        <v>2402.8991668799999</v>
      </c>
      <c r="T67" s="55">
        <f t="shared" si="39"/>
        <v>2345.7698881199999</v>
      </c>
      <c r="U67" s="55">
        <f t="shared" si="39"/>
        <v>2197.2108366000002</v>
      </c>
      <c r="V67" s="55">
        <f t="shared" si="39"/>
        <v>2257.9228850399995</v>
      </c>
      <c r="W67" s="55">
        <f t="shared" si="39"/>
        <v>1920.4362496799999</v>
      </c>
      <c r="DA67" s="101"/>
    </row>
    <row r="68" spans="1:105" ht="12" customHeight="1" x14ac:dyDescent="0.25">
      <c r="A68" s="61" t="s">
        <v>52</v>
      </c>
      <c r="B68" s="55">
        <v>200.27947572000002</v>
      </c>
      <c r="C68" s="55">
        <v>197.37682524000002</v>
      </c>
      <c r="D68" s="55">
        <v>156.74040000000002</v>
      </c>
      <c r="E68" s="55">
        <v>124.81169904000001</v>
      </c>
      <c r="F68" s="55">
        <v>127.71434951999998</v>
      </c>
      <c r="G68" s="55">
        <v>34.831124280000004</v>
      </c>
      <c r="H68" s="55">
        <v>31.92870095999999</v>
      </c>
      <c r="I68" s="55">
        <v>29.026050479999995</v>
      </c>
      <c r="J68" s="55">
        <v>31.92870095999999</v>
      </c>
      <c r="K68" s="55">
        <v>31.92870095999999</v>
      </c>
      <c r="L68" s="55">
        <v>37.733774760000003</v>
      </c>
      <c r="M68" s="55">
        <v>29.026050479999995</v>
      </c>
      <c r="N68" s="55">
        <v>31.92870095999999</v>
      </c>
      <c r="O68" s="55">
        <v>34.831124280000004</v>
      </c>
      <c r="P68" s="55">
        <v>29.026050479999995</v>
      </c>
      <c r="Q68" s="55">
        <v>46.441499040000004</v>
      </c>
      <c r="R68" s="55">
        <v>37.733774760000003</v>
      </c>
      <c r="S68" s="55">
        <v>43.829159039999986</v>
      </c>
      <c r="T68" s="55">
        <v>43.539075719999992</v>
      </c>
      <c r="U68" s="55">
        <v>46.441499040000004</v>
      </c>
      <c r="V68" s="55">
        <v>52.231125960000014</v>
      </c>
      <c r="W68" s="55">
        <v>56.707995239999995</v>
      </c>
      <c r="DA68" s="101" t="s">
        <v>220</v>
      </c>
    </row>
    <row r="69" spans="1:105" ht="12" customHeight="1" x14ac:dyDescent="0.25">
      <c r="A69" s="61" t="s">
        <v>170</v>
      </c>
      <c r="B69" s="55">
        <v>2462.0119916400004</v>
      </c>
      <c r="C69" s="55">
        <v>2528.9899030800002</v>
      </c>
      <c r="D69" s="55">
        <v>3361.8281716799988</v>
      </c>
      <c r="E69" s="55">
        <v>3870.3217823999994</v>
      </c>
      <c r="F69" s="55">
        <v>3827.9993526000007</v>
      </c>
      <c r="G69" s="55">
        <v>3819.727443960001</v>
      </c>
      <c r="H69" s="55">
        <v>3297.6919152000019</v>
      </c>
      <c r="I69" s="55">
        <v>2783.3037541200001</v>
      </c>
      <c r="J69" s="55">
        <v>3412.1032513200016</v>
      </c>
      <c r="K69" s="55">
        <v>2748.3828069600004</v>
      </c>
      <c r="L69" s="55">
        <v>3075.8780480399996</v>
      </c>
      <c r="M69" s="55">
        <v>2596.8169954800001</v>
      </c>
      <c r="N69" s="55">
        <v>2561.4198946800002</v>
      </c>
      <c r="O69" s="55">
        <v>2804.4682819199998</v>
      </c>
      <c r="P69" s="55">
        <v>2200.5682448400003</v>
      </c>
      <c r="Q69" s="55">
        <v>2605.72534236</v>
      </c>
      <c r="R69" s="55">
        <v>2362.7932725599999</v>
      </c>
      <c r="S69" s="55">
        <v>2359.07000784</v>
      </c>
      <c r="T69" s="55">
        <v>2302.2308124000001</v>
      </c>
      <c r="U69" s="55">
        <v>2150.7693375600002</v>
      </c>
      <c r="V69" s="55">
        <v>2205.6917590799994</v>
      </c>
      <c r="W69" s="55">
        <v>1863.72825444</v>
      </c>
      <c r="DA69" s="101" t="s">
        <v>221</v>
      </c>
    </row>
    <row r="70" spans="1:105" ht="12" customHeight="1" x14ac:dyDescent="0.25">
      <c r="A70" s="60" t="s">
        <v>153</v>
      </c>
      <c r="B70" s="55">
        <v>3629.604116160001</v>
      </c>
      <c r="C70" s="55">
        <v>3870.0132609600014</v>
      </c>
      <c r="D70" s="55">
        <v>3790.5036285599999</v>
      </c>
      <c r="E70" s="55">
        <v>3918.84314976</v>
      </c>
      <c r="F70" s="55">
        <v>3801.3151532399988</v>
      </c>
      <c r="G70" s="55">
        <v>3736.6528121999991</v>
      </c>
      <c r="H70" s="55">
        <v>3769.7772815999988</v>
      </c>
      <c r="I70" s="55">
        <v>3639.2644688400014</v>
      </c>
      <c r="J70" s="55">
        <v>4153.9152996000003</v>
      </c>
      <c r="K70" s="55">
        <v>4342.0214494800002</v>
      </c>
      <c r="L70" s="55">
        <v>4730.0350798800009</v>
      </c>
      <c r="M70" s="55">
        <v>3854.9888506799998</v>
      </c>
      <c r="N70" s="55">
        <v>4302.0440733600008</v>
      </c>
      <c r="O70" s="55">
        <v>4660.4941930799996</v>
      </c>
      <c r="P70" s="55">
        <v>3728.9470284000013</v>
      </c>
      <c r="Q70" s="55">
        <v>4174.8878357999993</v>
      </c>
      <c r="R70" s="55">
        <v>4417.9313468400014</v>
      </c>
      <c r="S70" s="55">
        <v>4384.8777653999996</v>
      </c>
      <c r="T70" s="55">
        <v>4437.8284460399991</v>
      </c>
      <c r="U70" s="55">
        <v>4431.4974039600002</v>
      </c>
      <c r="V70" s="55">
        <v>4126.6004115600008</v>
      </c>
      <c r="W70" s="55">
        <v>4674.9541251600003</v>
      </c>
      <c r="DA70" s="101" t="s">
        <v>222</v>
      </c>
    </row>
    <row r="71" spans="1:105" ht="12" customHeight="1" x14ac:dyDescent="0.25">
      <c r="A71" s="60" t="s">
        <v>51</v>
      </c>
      <c r="B71" s="55">
        <f>SUM(B72:B76)</f>
        <v>0</v>
      </c>
      <c r="C71" s="55">
        <f t="shared" ref="C71:W71" si="40">SUM(C72:C76)</f>
        <v>0</v>
      </c>
      <c r="D71" s="55">
        <f t="shared" si="40"/>
        <v>0</v>
      </c>
      <c r="E71" s="55">
        <f t="shared" si="40"/>
        <v>0</v>
      </c>
      <c r="F71" s="55">
        <f t="shared" si="40"/>
        <v>24.452999999999999</v>
      </c>
      <c r="G71" s="55">
        <f t="shared" si="40"/>
        <v>30.887999999999998</v>
      </c>
      <c r="H71" s="55">
        <f t="shared" si="40"/>
        <v>30.601771200000002</v>
      </c>
      <c r="I71" s="55">
        <f t="shared" si="40"/>
        <v>25.740000000000002</v>
      </c>
      <c r="J71" s="55">
        <f t="shared" si="40"/>
        <v>0</v>
      </c>
      <c r="K71" s="55">
        <f t="shared" si="40"/>
        <v>0</v>
      </c>
      <c r="L71" s="55">
        <f t="shared" si="40"/>
        <v>0</v>
      </c>
      <c r="M71" s="55">
        <f t="shared" si="40"/>
        <v>0</v>
      </c>
      <c r="N71" s="55">
        <f t="shared" si="40"/>
        <v>0</v>
      </c>
      <c r="O71" s="55">
        <f t="shared" si="40"/>
        <v>128.69999999999999</v>
      </c>
      <c r="P71" s="55">
        <f t="shared" si="40"/>
        <v>128.69999999999999</v>
      </c>
      <c r="Q71" s="55">
        <f t="shared" si="40"/>
        <v>171.59982840000004</v>
      </c>
      <c r="R71" s="55">
        <f t="shared" si="40"/>
        <v>171.59982840000004</v>
      </c>
      <c r="S71" s="55">
        <f t="shared" si="40"/>
        <v>171.59982840000004</v>
      </c>
      <c r="T71" s="55">
        <f t="shared" si="40"/>
        <v>171.59982840000004</v>
      </c>
      <c r="U71" s="55">
        <f t="shared" si="40"/>
        <v>171.59982840000004</v>
      </c>
      <c r="V71" s="55">
        <f t="shared" si="40"/>
        <v>171.59982840000004</v>
      </c>
      <c r="W71" s="55">
        <f t="shared" si="40"/>
        <v>171.59982840000004</v>
      </c>
      <c r="DA71" s="101"/>
    </row>
    <row r="72" spans="1:105" ht="12" customHeight="1" x14ac:dyDescent="0.25">
      <c r="A72" s="61" t="s">
        <v>171</v>
      </c>
      <c r="B72" s="55">
        <v>0</v>
      </c>
      <c r="C72" s="55">
        <v>0</v>
      </c>
      <c r="D72" s="55">
        <v>0</v>
      </c>
      <c r="E72" s="55">
        <v>0</v>
      </c>
      <c r="F72" s="55">
        <v>24.452999999999999</v>
      </c>
      <c r="G72" s="55">
        <v>30.887999999999998</v>
      </c>
      <c r="H72" s="55">
        <v>30.601771200000002</v>
      </c>
      <c r="I72" s="55">
        <v>25.740000000000002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128.69999999999999</v>
      </c>
      <c r="P72" s="55">
        <v>128.69999999999999</v>
      </c>
      <c r="Q72" s="55">
        <v>171.59982840000004</v>
      </c>
      <c r="R72" s="55">
        <v>171.59982840000004</v>
      </c>
      <c r="S72" s="55">
        <v>171.59982840000004</v>
      </c>
      <c r="T72" s="55">
        <v>171.59982840000004</v>
      </c>
      <c r="U72" s="55">
        <v>171.59982840000004</v>
      </c>
      <c r="V72" s="55">
        <v>171.59982840000004</v>
      </c>
      <c r="W72" s="55">
        <v>171.59982840000004</v>
      </c>
      <c r="DA72" s="101" t="s">
        <v>223</v>
      </c>
    </row>
    <row r="73" spans="1:105" ht="12" customHeight="1" x14ac:dyDescent="0.25">
      <c r="A73" s="61" t="s">
        <v>50</v>
      </c>
      <c r="B73" s="55">
        <v>0</v>
      </c>
      <c r="C73" s="55">
        <v>0</v>
      </c>
      <c r="D73" s="55">
        <v>0</v>
      </c>
      <c r="E73" s="55">
        <v>0</v>
      </c>
      <c r="F73" s="55">
        <v>0</v>
      </c>
      <c r="G73" s="55">
        <v>0</v>
      </c>
      <c r="H73" s="55">
        <v>0</v>
      </c>
      <c r="I73" s="55">
        <v>0</v>
      </c>
      <c r="J73" s="55">
        <v>0</v>
      </c>
      <c r="K73" s="55">
        <v>0</v>
      </c>
      <c r="L73" s="55">
        <v>0</v>
      </c>
      <c r="M73" s="55">
        <v>0</v>
      </c>
      <c r="N73" s="55">
        <v>0</v>
      </c>
      <c r="O73" s="55">
        <v>0</v>
      </c>
      <c r="P73" s="55">
        <v>0</v>
      </c>
      <c r="Q73" s="55">
        <v>0</v>
      </c>
      <c r="R73" s="55">
        <v>0</v>
      </c>
      <c r="S73" s="55">
        <v>0</v>
      </c>
      <c r="T73" s="55">
        <v>0</v>
      </c>
      <c r="U73" s="55">
        <v>0</v>
      </c>
      <c r="V73" s="55">
        <v>0</v>
      </c>
      <c r="W73" s="55">
        <v>0</v>
      </c>
      <c r="DA73" s="101" t="s">
        <v>224</v>
      </c>
    </row>
    <row r="74" spans="1:105" ht="12" customHeight="1" x14ac:dyDescent="0.25">
      <c r="A74" s="61" t="s">
        <v>49</v>
      </c>
      <c r="B74" s="55">
        <v>0</v>
      </c>
      <c r="C74" s="55">
        <v>0</v>
      </c>
      <c r="D74" s="55">
        <v>0</v>
      </c>
      <c r="E74" s="55">
        <v>0</v>
      </c>
      <c r="F74" s="55">
        <v>0</v>
      </c>
      <c r="G74" s="55">
        <v>0</v>
      </c>
      <c r="H74" s="55">
        <v>0</v>
      </c>
      <c r="I74" s="55">
        <v>0</v>
      </c>
      <c r="J74" s="55">
        <v>0</v>
      </c>
      <c r="K74" s="55">
        <v>0</v>
      </c>
      <c r="L74" s="55">
        <v>0</v>
      </c>
      <c r="M74" s="55">
        <v>0</v>
      </c>
      <c r="N74" s="55">
        <v>0</v>
      </c>
      <c r="O74" s="55">
        <v>0</v>
      </c>
      <c r="P74" s="55">
        <v>0</v>
      </c>
      <c r="Q74" s="55">
        <v>0</v>
      </c>
      <c r="R74" s="55">
        <v>0</v>
      </c>
      <c r="S74" s="55">
        <v>0</v>
      </c>
      <c r="T74" s="55">
        <v>0</v>
      </c>
      <c r="U74" s="55">
        <v>0</v>
      </c>
      <c r="V74" s="55">
        <v>0</v>
      </c>
      <c r="W74" s="55">
        <v>0</v>
      </c>
      <c r="DA74" s="101" t="s">
        <v>225</v>
      </c>
    </row>
    <row r="75" spans="1:105" ht="12" customHeight="1" x14ac:dyDescent="0.25">
      <c r="A75" s="61" t="s">
        <v>26</v>
      </c>
      <c r="B75" s="55">
        <v>0</v>
      </c>
      <c r="C75" s="55">
        <v>0</v>
      </c>
      <c r="D75" s="55">
        <v>0</v>
      </c>
      <c r="E75" s="55">
        <v>0</v>
      </c>
      <c r="F75" s="55">
        <v>0</v>
      </c>
      <c r="G75" s="55">
        <v>0</v>
      </c>
      <c r="H75" s="55">
        <v>0</v>
      </c>
      <c r="I75" s="55">
        <v>0</v>
      </c>
      <c r="J75" s="55">
        <v>0</v>
      </c>
      <c r="K75" s="55">
        <v>0</v>
      </c>
      <c r="L75" s="55">
        <v>0</v>
      </c>
      <c r="M75" s="55">
        <v>0</v>
      </c>
      <c r="N75" s="55">
        <v>0</v>
      </c>
      <c r="O75" s="55">
        <v>0</v>
      </c>
      <c r="P75" s="55">
        <v>0</v>
      </c>
      <c r="Q75" s="55">
        <v>0</v>
      </c>
      <c r="R75" s="55">
        <v>0</v>
      </c>
      <c r="S75" s="55">
        <v>0</v>
      </c>
      <c r="T75" s="55">
        <v>0</v>
      </c>
      <c r="U75" s="55">
        <v>0</v>
      </c>
      <c r="V75" s="55">
        <v>0</v>
      </c>
      <c r="W75" s="55">
        <v>0</v>
      </c>
      <c r="DA75" s="101" t="s">
        <v>226</v>
      </c>
    </row>
    <row r="76" spans="1:105" ht="12" customHeight="1" x14ac:dyDescent="0.25">
      <c r="A76" s="61" t="s">
        <v>25</v>
      </c>
      <c r="B76" s="55">
        <v>0</v>
      </c>
      <c r="C76" s="55">
        <v>0</v>
      </c>
      <c r="D76" s="55">
        <v>0</v>
      </c>
      <c r="E76" s="55">
        <v>0</v>
      </c>
      <c r="F76" s="55">
        <v>0</v>
      </c>
      <c r="G76" s="55">
        <v>0</v>
      </c>
      <c r="H76" s="55">
        <v>0</v>
      </c>
      <c r="I76" s="55">
        <v>0</v>
      </c>
      <c r="J76" s="55">
        <v>0</v>
      </c>
      <c r="K76" s="55">
        <v>0</v>
      </c>
      <c r="L76" s="55">
        <v>0</v>
      </c>
      <c r="M76" s="55">
        <v>0</v>
      </c>
      <c r="N76" s="55">
        <v>0</v>
      </c>
      <c r="O76" s="55">
        <v>0</v>
      </c>
      <c r="P76" s="55">
        <v>0</v>
      </c>
      <c r="Q76" s="55">
        <v>0</v>
      </c>
      <c r="R76" s="55">
        <v>0</v>
      </c>
      <c r="S76" s="55">
        <v>0</v>
      </c>
      <c r="T76" s="55">
        <v>0</v>
      </c>
      <c r="U76" s="55">
        <v>0</v>
      </c>
      <c r="V76" s="55">
        <v>0</v>
      </c>
      <c r="W76" s="55">
        <v>0</v>
      </c>
      <c r="DA76" s="101" t="s">
        <v>227</v>
      </c>
    </row>
    <row r="77" spans="1:105" ht="12" customHeight="1" x14ac:dyDescent="0.25">
      <c r="A77" s="61" t="s">
        <v>157</v>
      </c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DA77" s="101" t="s">
        <v>228</v>
      </c>
    </row>
    <row r="78" spans="1:105" ht="12" customHeight="1" x14ac:dyDescent="0.25">
      <c r="A78" s="60" t="s">
        <v>169</v>
      </c>
      <c r="B78" s="55">
        <v>0</v>
      </c>
      <c r="C78" s="55">
        <v>0</v>
      </c>
      <c r="D78" s="55">
        <v>0</v>
      </c>
      <c r="E78" s="55">
        <v>0</v>
      </c>
      <c r="F78" s="55">
        <v>0</v>
      </c>
      <c r="G78" s="55">
        <v>0</v>
      </c>
      <c r="H78" s="55">
        <v>0</v>
      </c>
      <c r="I78" s="55">
        <v>0</v>
      </c>
      <c r="J78" s="55">
        <v>0</v>
      </c>
      <c r="K78" s="55">
        <v>0</v>
      </c>
      <c r="L78" s="55">
        <v>0</v>
      </c>
      <c r="M78" s="55">
        <v>0</v>
      </c>
      <c r="N78" s="55">
        <v>0</v>
      </c>
      <c r="O78" s="55">
        <v>0</v>
      </c>
      <c r="P78" s="55">
        <v>0</v>
      </c>
      <c r="Q78" s="55">
        <v>0</v>
      </c>
      <c r="R78" s="55">
        <v>0</v>
      </c>
      <c r="S78" s="55">
        <v>0</v>
      </c>
      <c r="T78" s="55">
        <v>0</v>
      </c>
      <c r="U78" s="55">
        <v>0</v>
      </c>
      <c r="V78" s="55">
        <v>0</v>
      </c>
      <c r="W78" s="55">
        <v>0</v>
      </c>
      <c r="DA78" s="101" t="s">
        <v>229</v>
      </c>
    </row>
    <row r="79" spans="1:105" ht="12" customHeight="1" x14ac:dyDescent="0.25">
      <c r="A79" s="62" t="s">
        <v>24</v>
      </c>
      <c r="B79" s="63">
        <v>0</v>
      </c>
      <c r="C79" s="63">
        <v>0</v>
      </c>
      <c r="D79" s="63">
        <v>0</v>
      </c>
      <c r="E79" s="63">
        <v>0</v>
      </c>
      <c r="F79" s="63">
        <v>0</v>
      </c>
      <c r="G79" s="63">
        <v>0</v>
      </c>
      <c r="H79" s="63">
        <v>0</v>
      </c>
      <c r="I79" s="63">
        <v>0</v>
      </c>
      <c r="J79" s="63">
        <v>0</v>
      </c>
      <c r="K79" s="63">
        <v>0</v>
      </c>
      <c r="L79" s="63">
        <v>0</v>
      </c>
      <c r="M79" s="63">
        <v>0</v>
      </c>
      <c r="N79" s="63">
        <v>0</v>
      </c>
      <c r="O79" s="63">
        <v>0</v>
      </c>
      <c r="P79" s="63">
        <v>0</v>
      </c>
      <c r="Q79" s="63">
        <v>0</v>
      </c>
      <c r="R79" s="63">
        <v>0</v>
      </c>
      <c r="S79" s="63">
        <v>0</v>
      </c>
      <c r="T79" s="63">
        <v>0</v>
      </c>
      <c r="U79" s="63">
        <v>0</v>
      </c>
      <c r="V79" s="63">
        <v>0</v>
      </c>
      <c r="W79" s="63">
        <v>0</v>
      </c>
      <c r="DA79" s="105" t="s">
        <v>230</v>
      </c>
    </row>
    <row r="80" spans="1:105" s="2" customFormat="1" ht="12" customHeight="1" x14ac:dyDescent="0.25">
      <c r="DA80" s="7"/>
    </row>
    <row r="81" spans="1:105" ht="12.95" customHeight="1" x14ac:dyDescent="0.25">
      <c r="A81" s="81" t="s">
        <v>48</v>
      </c>
      <c r="B81" s="82">
        <f t="shared" ref="B81" si="41">B82+B87</f>
        <v>6291.8955835200013</v>
      </c>
      <c r="C81" s="82">
        <f t="shared" ref="C81:W81" si="42">C82+C87</f>
        <v>6596.3799892800007</v>
      </c>
      <c r="D81" s="82">
        <f t="shared" si="42"/>
        <v>7309.072200239998</v>
      </c>
      <c r="E81" s="82">
        <f t="shared" si="42"/>
        <v>7913.9766312000011</v>
      </c>
      <c r="F81" s="82">
        <f t="shared" si="42"/>
        <v>7781.4818553600016</v>
      </c>
      <c r="G81" s="82">
        <f t="shared" si="42"/>
        <v>7622.0993804399977</v>
      </c>
      <c r="H81" s="82">
        <f t="shared" si="42"/>
        <v>7129.9996689600011</v>
      </c>
      <c r="I81" s="82">
        <f t="shared" si="42"/>
        <v>6477.3342734399994</v>
      </c>
      <c r="J81" s="82">
        <f t="shared" si="42"/>
        <v>7597.9472518799994</v>
      </c>
      <c r="K81" s="82">
        <f t="shared" si="42"/>
        <v>7122.332957399999</v>
      </c>
      <c r="L81" s="82">
        <f t="shared" si="42"/>
        <v>7843.6469026800005</v>
      </c>
      <c r="M81" s="82">
        <f t="shared" si="42"/>
        <v>6480.8318966400002</v>
      </c>
      <c r="N81" s="82">
        <f t="shared" si="42"/>
        <v>6895.3926689999989</v>
      </c>
      <c r="O81" s="82">
        <f t="shared" si="42"/>
        <v>7628.4935992799956</v>
      </c>
      <c r="P81" s="82">
        <f t="shared" si="42"/>
        <v>6087.2413237199999</v>
      </c>
      <c r="Q81" s="82">
        <f t="shared" si="42"/>
        <v>6998.654505599995</v>
      </c>
      <c r="R81" s="82">
        <f t="shared" si="42"/>
        <v>6990.0582225599992</v>
      </c>
      <c r="S81" s="82">
        <f t="shared" si="42"/>
        <v>6959.376760680002</v>
      </c>
      <c r="T81" s="82">
        <f t="shared" si="42"/>
        <v>6955.1981625599947</v>
      </c>
      <c r="U81" s="82">
        <f t="shared" si="42"/>
        <v>6800.3080689600029</v>
      </c>
      <c r="V81" s="82">
        <f t="shared" si="42"/>
        <v>6556.123125000001</v>
      </c>
      <c r="W81" s="82">
        <f t="shared" si="42"/>
        <v>6766.990203239995</v>
      </c>
      <c r="DA81" s="107" t="s">
        <v>231</v>
      </c>
    </row>
    <row r="82" spans="1:105" ht="12" customHeight="1" x14ac:dyDescent="0.25">
      <c r="A82" s="77" t="s">
        <v>36</v>
      </c>
      <c r="B82" s="64">
        <f t="shared" ref="B82" si="43">SUM(B83:B86)</f>
        <v>6291.8955835200013</v>
      </c>
      <c r="C82" s="64">
        <f t="shared" ref="C82:W82" si="44">SUM(C83:C86)</f>
        <v>6596.3799892800007</v>
      </c>
      <c r="D82" s="64">
        <f t="shared" si="44"/>
        <v>7309.072200239998</v>
      </c>
      <c r="E82" s="64">
        <f t="shared" si="44"/>
        <v>7913.9766312000011</v>
      </c>
      <c r="F82" s="64">
        <f t="shared" si="44"/>
        <v>7781.4818553600016</v>
      </c>
      <c r="G82" s="64">
        <f t="shared" si="44"/>
        <v>7622.0993804399977</v>
      </c>
      <c r="H82" s="64">
        <f t="shared" si="44"/>
        <v>7129.9996689600011</v>
      </c>
      <c r="I82" s="64">
        <f t="shared" si="44"/>
        <v>6477.3342734399994</v>
      </c>
      <c r="J82" s="64">
        <f t="shared" si="44"/>
        <v>7597.9472518799994</v>
      </c>
      <c r="K82" s="64">
        <f t="shared" si="44"/>
        <v>7122.332957399999</v>
      </c>
      <c r="L82" s="64">
        <f t="shared" si="44"/>
        <v>7843.6469026800005</v>
      </c>
      <c r="M82" s="64">
        <f t="shared" si="44"/>
        <v>6480.8318966400002</v>
      </c>
      <c r="N82" s="64">
        <f t="shared" si="44"/>
        <v>6895.3926689999989</v>
      </c>
      <c r="O82" s="64">
        <f t="shared" si="44"/>
        <v>7628.4935992799956</v>
      </c>
      <c r="P82" s="64">
        <f t="shared" si="44"/>
        <v>6087.2413237199999</v>
      </c>
      <c r="Q82" s="64">
        <f t="shared" si="44"/>
        <v>6998.654505599995</v>
      </c>
      <c r="R82" s="64">
        <f t="shared" si="44"/>
        <v>6990.0582225599992</v>
      </c>
      <c r="S82" s="64">
        <f t="shared" si="44"/>
        <v>6959.376760680002</v>
      </c>
      <c r="T82" s="64">
        <f t="shared" si="44"/>
        <v>6955.1981625599947</v>
      </c>
      <c r="U82" s="64">
        <f t="shared" si="44"/>
        <v>6800.3080689600029</v>
      </c>
      <c r="V82" s="64">
        <f t="shared" si="44"/>
        <v>6556.123125000001</v>
      </c>
      <c r="W82" s="64">
        <f t="shared" si="44"/>
        <v>6766.990203239995</v>
      </c>
      <c r="DA82" s="108" t="s">
        <v>232</v>
      </c>
    </row>
    <row r="83" spans="1:105" ht="12" customHeight="1" x14ac:dyDescent="0.25">
      <c r="A83" s="61" t="s">
        <v>32</v>
      </c>
      <c r="B83" s="65">
        <v>4970.0938112691838</v>
      </c>
      <c r="C83" s="65">
        <v>5274.5857251875805</v>
      </c>
      <c r="D83" s="65">
        <v>6023.6239153230472</v>
      </c>
      <c r="E83" s="65">
        <v>6656.9544054673679</v>
      </c>
      <c r="F83" s="65">
        <v>6519.0127176968354</v>
      </c>
      <c r="G83" s="65">
        <v>6452.0785140589387</v>
      </c>
      <c r="H83" s="65">
        <v>5963.4180971063115</v>
      </c>
      <c r="I83" s="65">
        <v>5310.0443190095684</v>
      </c>
      <c r="J83" s="65">
        <v>6435.0346615774051</v>
      </c>
      <c r="K83" s="65">
        <v>5962.096512530753</v>
      </c>
      <c r="L83" s="65">
        <v>6673.8388361386624</v>
      </c>
      <c r="M83" s="65">
        <v>5308.2677404749666</v>
      </c>
      <c r="N83" s="65">
        <v>5708.271412729493</v>
      </c>
      <c r="O83" s="65">
        <v>6430.4126669682519</v>
      </c>
      <c r="P83" s="65">
        <v>4891.2372151573381</v>
      </c>
      <c r="Q83" s="65">
        <v>5782.8545018655514</v>
      </c>
      <c r="R83" s="65">
        <v>5794.1808622342278</v>
      </c>
      <c r="S83" s="65">
        <v>5766.2918529208055</v>
      </c>
      <c r="T83" s="65">
        <v>5777.8435083801796</v>
      </c>
      <c r="U83" s="65">
        <v>5634.1265500944937</v>
      </c>
      <c r="V83" s="65">
        <v>5456.9880457522531</v>
      </c>
      <c r="W83" s="65">
        <v>5597.5755177500787</v>
      </c>
      <c r="DA83" s="109" t="s">
        <v>233</v>
      </c>
    </row>
    <row r="84" spans="1:105" ht="12" customHeight="1" x14ac:dyDescent="0.25">
      <c r="A84" s="61" t="s">
        <v>31</v>
      </c>
      <c r="B84" s="65">
        <v>4.8098990776155051E-2</v>
      </c>
      <c r="C84" s="65">
        <v>6.6460658860637151E-2</v>
      </c>
      <c r="D84" s="65">
        <v>9.7417168706156354E-2</v>
      </c>
      <c r="E84" s="65">
        <v>0.12051825480240476</v>
      </c>
      <c r="F84" s="65">
        <v>0.16914347715680011</v>
      </c>
      <c r="G84" s="65">
        <v>0.23697872045647916</v>
      </c>
      <c r="H84" s="65">
        <v>0.33071719174897979</v>
      </c>
      <c r="I84" s="65">
        <v>0.39823879586227789</v>
      </c>
      <c r="J84" s="65">
        <v>0.5374591855623343</v>
      </c>
      <c r="K84" s="65">
        <v>0.67544076127083086</v>
      </c>
      <c r="L84" s="65">
        <v>0.78186757042453403</v>
      </c>
      <c r="M84" s="65">
        <v>0.85053537180063277</v>
      </c>
      <c r="N84" s="65">
        <v>0.96723559043108454</v>
      </c>
      <c r="O84" s="65">
        <v>1.179308211840191</v>
      </c>
      <c r="P84" s="65">
        <v>1.4711697238144117</v>
      </c>
      <c r="Q84" s="65">
        <v>2.2338450981303906</v>
      </c>
      <c r="R84" s="65">
        <v>2.5589110453530197</v>
      </c>
      <c r="S84" s="65">
        <v>2.5721502158734784</v>
      </c>
      <c r="T84" s="65">
        <v>3.3089692167269775</v>
      </c>
      <c r="U84" s="65">
        <v>3.6551198318057585</v>
      </c>
      <c r="V84" s="65">
        <v>4.3677220978132389</v>
      </c>
      <c r="W84" s="65">
        <v>3.2428861009216337</v>
      </c>
      <c r="DA84" s="109" t="s">
        <v>234</v>
      </c>
    </row>
    <row r="85" spans="1:105" ht="12" customHeight="1" x14ac:dyDescent="0.25">
      <c r="A85" s="61" t="s">
        <v>35</v>
      </c>
      <c r="B85" s="65">
        <v>804.95922877148155</v>
      </c>
      <c r="C85" s="65">
        <v>805.53978591112627</v>
      </c>
      <c r="D85" s="65">
        <v>807.60967046260555</v>
      </c>
      <c r="E85" s="65">
        <v>810.53215888839486</v>
      </c>
      <c r="F85" s="65">
        <v>808.5537179816406</v>
      </c>
      <c r="G85" s="65">
        <v>790.72976747904011</v>
      </c>
      <c r="H85" s="65">
        <v>788.99655292203715</v>
      </c>
      <c r="I85" s="65">
        <v>788.62932172611272</v>
      </c>
      <c r="J85" s="65">
        <v>774.00680002978277</v>
      </c>
      <c r="K85" s="65">
        <v>770.26281476634313</v>
      </c>
      <c r="L85" s="65">
        <v>770.38645255909512</v>
      </c>
      <c r="M85" s="65">
        <v>777.85359052719514</v>
      </c>
      <c r="N85" s="65">
        <v>782.3195223092539</v>
      </c>
      <c r="O85" s="65">
        <v>782.57730194607711</v>
      </c>
      <c r="P85" s="65">
        <v>782.7509961256992</v>
      </c>
      <c r="Q85" s="65">
        <v>781.20091496705652</v>
      </c>
      <c r="R85" s="65">
        <v>768.5958033603315</v>
      </c>
      <c r="S85" s="65">
        <v>760.33702351638976</v>
      </c>
      <c r="T85" s="65">
        <v>743.23023333365506</v>
      </c>
      <c r="U85" s="65">
        <v>726.4329457156033</v>
      </c>
      <c r="V85" s="65">
        <v>674.33360741880199</v>
      </c>
      <c r="W85" s="65">
        <v>716.66404387192097</v>
      </c>
      <c r="DA85" s="109" t="s">
        <v>235</v>
      </c>
    </row>
    <row r="86" spans="1:105" ht="12" customHeight="1" x14ac:dyDescent="0.25">
      <c r="A86" s="66" t="s">
        <v>34</v>
      </c>
      <c r="B86" s="67">
        <v>516.79444448855929</v>
      </c>
      <c r="C86" s="67">
        <v>516.18801752243337</v>
      </c>
      <c r="D86" s="67">
        <v>477.7411972856396</v>
      </c>
      <c r="E86" s="67">
        <v>446.36954858943545</v>
      </c>
      <c r="F86" s="67">
        <v>453.74627620436883</v>
      </c>
      <c r="G86" s="67">
        <v>379.05412018156341</v>
      </c>
      <c r="H86" s="67">
        <v>377.25430173990395</v>
      </c>
      <c r="I86" s="67">
        <v>378.26239390845575</v>
      </c>
      <c r="J86" s="67">
        <v>388.36833108724971</v>
      </c>
      <c r="K86" s="67">
        <v>389.29818934163177</v>
      </c>
      <c r="L86" s="67">
        <v>398.63974641181829</v>
      </c>
      <c r="M86" s="67">
        <v>393.86003026603782</v>
      </c>
      <c r="N86" s="67">
        <v>403.834498370821</v>
      </c>
      <c r="O86" s="67">
        <v>414.32432215382585</v>
      </c>
      <c r="P86" s="67">
        <v>411.78194271314823</v>
      </c>
      <c r="Q86" s="67">
        <v>432.36524366925681</v>
      </c>
      <c r="R86" s="67">
        <v>424.72264592008656</v>
      </c>
      <c r="S86" s="67">
        <v>430.17573402693353</v>
      </c>
      <c r="T86" s="67">
        <v>430.81545162943348</v>
      </c>
      <c r="U86" s="67">
        <v>436.09345331809953</v>
      </c>
      <c r="V86" s="67">
        <v>420.43374973113231</v>
      </c>
      <c r="W86" s="67">
        <v>449.5077555170742</v>
      </c>
      <c r="DA86" s="110" t="s">
        <v>236</v>
      </c>
    </row>
    <row r="87" spans="1:105" ht="12" customHeight="1" x14ac:dyDescent="0.25">
      <c r="A87" s="78" t="s">
        <v>33</v>
      </c>
      <c r="B87" s="68">
        <v>0</v>
      </c>
      <c r="C87" s="68">
        <v>0</v>
      </c>
      <c r="D87" s="68">
        <v>0</v>
      </c>
      <c r="E87" s="68">
        <v>0</v>
      </c>
      <c r="F87" s="68">
        <v>0</v>
      </c>
      <c r="G87" s="68">
        <v>0</v>
      </c>
      <c r="H87" s="68">
        <v>0</v>
      </c>
      <c r="I87" s="68">
        <v>0</v>
      </c>
      <c r="J87" s="68">
        <v>0</v>
      </c>
      <c r="K87" s="68">
        <v>0</v>
      </c>
      <c r="L87" s="68">
        <v>0</v>
      </c>
      <c r="M87" s="68">
        <v>0</v>
      </c>
      <c r="N87" s="68">
        <v>0</v>
      </c>
      <c r="O87" s="68">
        <v>0</v>
      </c>
      <c r="P87" s="68">
        <v>0</v>
      </c>
      <c r="Q87" s="68">
        <v>0</v>
      </c>
      <c r="R87" s="68">
        <v>0</v>
      </c>
      <c r="S87" s="68">
        <v>0</v>
      </c>
      <c r="T87" s="68">
        <v>0</v>
      </c>
      <c r="U87" s="68">
        <v>0</v>
      </c>
      <c r="V87" s="68">
        <v>0</v>
      </c>
      <c r="W87" s="68">
        <v>0</v>
      </c>
      <c r="DA87" s="111" t="s">
        <v>237</v>
      </c>
    </row>
    <row r="88" spans="1:105" s="2" customFormat="1" ht="12" customHeight="1" x14ac:dyDescent="0.25">
      <c r="DA88" s="7"/>
    </row>
    <row r="89" spans="1:105" ht="12.95" customHeight="1" x14ac:dyDescent="0.25">
      <c r="A89" s="79" t="s">
        <v>47</v>
      </c>
      <c r="B89" s="83">
        <f t="shared" ref="B89" si="45">IF(B81=0,0,B81/B$81)</f>
        <v>1</v>
      </c>
      <c r="C89" s="83">
        <f t="shared" ref="C89:W89" si="46">IF(C81=0,0,C81/C$81)</f>
        <v>1</v>
      </c>
      <c r="D89" s="83">
        <f t="shared" si="46"/>
        <v>1</v>
      </c>
      <c r="E89" s="83">
        <f t="shared" si="46"/>
        <v>1</v>
      </c>
      <c r="F89" s="83">
        <f t="shared" si="46"/>
        <v>1</v>
      </c>
      <c r="G89" s="83">
        <f t="shared" si="46"/>
        <v>1</v>
      </c>
      <c r="H89" s="83">
        <f t="shared" si="46"/>
        <v>1</v>
      </c>
      <c r="I89" s="83">
        <f t="shared" si="46"/>
        <v>1</v>
      </c>
      <c r="J89" s="83">
        <f t="shared" si="46"/>
        <v>1</v>
      </c>
      <c r="K89" s="83">
        <f t="shared" si="46"/>
        <v>1</v>
      </c>
      <c r="L89" s="83">
        <f t="shared" si="46"/>
        <v>1</v>
      </c>
      <c r="M89" s="83">
        <f t="shared" si="46"/>
        <v>1</v>
      </c>
      <c r="N89" s="83">
        <f t="shared" si="46"/>
        <v>1</v>
      </c>
      <c r="O89" s="83">
        <f t="shared" si="46"/>
        <v>1</v>
      </c>
      <c r="P89" s="83">
        <f t="shared" si="46"/>
        <v>1</v>
      </c>
      <c r="Q89" s="83">
        <f t="shared" si="46"/>
        <v>1</v>
      </c>
      <c r="R89" s="83">
        <f t="shared" si="46"/>
        <v>1</v>
      </c>
      <c r="S89" s="83">
        <f t="shared" si="46"/>
        <v>1</v>
      </c>
      <c r="T89" s="83">
        <f t="shared" si="46"/>
        <v>1</v>
      </c>
      <c r="U89" s="83">
        <f t="shared" si="46"/>
        <v>1</v>
      </c>
      <c r="V89" s="83">
        <f t="shared" si="46"/>
        <v>1</v>
      </c>
      <c r="W89" s="83">
        <f t="shared" si="46"/>
        <v>1</v>
      </c>
      <c r="DA89" s="112"/>
    </row>
    <row r="90" spans="1:105" ht="12" customHeight="1" x14ac:dyDescent="0.25">
      <c r="A90" s="69" t="s">
        <v>36</v>
      </c>
      <c r="B90" s="70">
        <f t="shared" ref="B90" si="47">IF(B82=0,0,B82/B$81)</f>
        <v>1</v>
      </c>
      <c r="C90" s="70">
        <f t="shared" ref="C90:W90" si="48">IF(C82=0,0,C82/C$81)</f>
        <v>1</v>
      </c>
      <c r="D90" s="70">
        <f t="shared" si="48"/>
        <v>1</v>
      </c>
      <c r="E90" s="70">
        <f t="shared" si="48"/>
        <v>1</v>
      </c>
      <c r="F90" s="70">
        <f t="shared" si="48"/>
        <v>1</v>
      </c>
      <c r="G90" s="70">
        <f t="shared" si="48"/>
        <v>1</v>
      </c>
      <c r="H90" s="70">
        <f t="shared" si="48"/>
        <v>1</v>
      </c>
      <c r="I90" s="70">
        <f t="shared" si="48"/>
        <v>1</v>
      </c>
      <c r="J90" s="70">
        <f t="shared" si="48"/>
        <v>1</v>
      </c>
      <c r="K90" s="70">
        <f t="shared" si="48"/>
        <v>1</v>
      </c>
      <c r="L90" s="70">
        <f t="shared" si="48"/>
        <v>1</v>
      </c>
      <c r="M90" s="70">
        <f t="shared" si="48"/>
        <v>1</v>
      </c>
      <c r="N90" s="70">
        <f t="shared" si="48"/>
        <v>1</v>
      </c>
      <c r="O90" s="70">
        <f t="shared" si="48"/>
        <v>1</v>
      </c>
      <c r="P90" s="70">
        <f t="shared" si="48"/>
        <v>1</v>
      </c>
      <c r="Q90" s="70">
        <f t="shared" si="48"/>
        <v>1</v>
      </c>
      <c r="R90" s="70">
        <f t="shared" si="48"/>
        <v>1</v>
      </c>
      <c r="S90" s="70">
        <f t="shared" si="48"/>
        <v>1</v>
      </c>
      <c r="T90" s="70">
        <f t="shared" si="48"/>
        <v>1</v>
      </c>
      <c r="U90" s="70">
        <f t="shared" si="48"/>
        <v>1</v>
      </c>
      <c r="V90" s="70">
        <f t="shared" si="48"/>
        <v>1</v>
      </c>
      <c r="W90" s="70">
        <f t="shared" si="48"/>
        <v>1</v>
      </c>
      <c r="DA90" s="113"/>
    </row>
    <row r="91" spans="1:105" ht="12" customHeight="1" x14ac:dyDescent="0.25">
      <c r="A91" s="61" t="s">
        <v>32</v>
      </c>
      <c r="B91" s="71">
        <f t="shared" ref="B91" si="49">IF(B83=0,0,B83/B$81)</f>
        <v>0.78991994468043358</v>
      </c>
      <c r="C91" s="71">
        <f t="shared" ref="C91:W91" si="50">IF(C83=0,0,C83/C$81)</f>
        <v>0.79961823511675911</v>
      </c>
      <c r="D91" s="71">
        <f t="shared" si="50"/>
        <v>0.82412975960550205</v>
      </c>
      <c r="E91" s="71">
        <f t="shared" si="50"/>
        <v>0.84116427375120639</v>
      </c>
      <c r="F91" s="71">
        <f t="shared" si="50"/>
        <v>0.83775980447817167</v>
      </c>
      <c r="G91" s="71">
        <f t="shared" si="50"/>
        <v>0.84649624624633035</v>
      </c>
      <c r="H91" s="71">
        <f t="shared" si="50"/>
        <v>0.83638406367221474</v>
      </c>
      <c r="I91" s="71">
        <f t="shared" si="50"/>
        <v>0.81978852639783506</v>
      </c>
      <c r="J91" s="71">
        <f t="shared" si="50"/>
        <v>0.84694384525835598</v>
      </c>
      <c r="K91" s="71">
        <f t="shared" si="50"/>
        <v>0.83709881975346612</v>
      </c>
      <c r="L91" s="71">
        <f t="shared" si="50"/>
        <v>0.85085916270126327</v>
      </c>
      <c r="M91" s="71">
        <f t="shared" si="50"/>
        <v>0.8190719687123883</v>
      </c>
      <c r="N91" s="71">
        <f t="shared" si="50"/>
        <v>0.82783848386075054</v>
      </c>
      <c r="O91" s="71">
        <f t="shared" si="50"/>
        <v>0.84294659008105832</v>
      </c>
      <c r="P91" s="71">
        <f t="shared" si="50"/>
        <v>0.80352280368740714</v>
      </c>
      <c r="Q91" s="71">
        <f t="shared" si="50"/>
        <v>0.82628089402589922</v>
      </c>
      <c r="R91" s="71">
        <f t="shared" si="50"/>
        <v>0.82891739635785178</v>
      </c>
      <c r="S91" s="71">
        <f t="shared" si="50"/>
        <v>0.82856440328104608</v>
      </c>
      <c r="T91" s="71">
        <f t="shared" si="50"/>
        <v>0.83072306113181005</v>
      </c>
      <c r="U91" s="71">
        <f t="shared" si="50"/>
        <v>0.8285104870191774</v>
      </c>
      <c r="V91" s="71">
        <f t="shared" si="50"/>
        <v>0.83234984177516536</v>
      </c>
      <c r="W91" s="71">
        <f t="shared" si="50"/>
        <v>0.82718835843296956</v>
      </c>
      <c r="DA91" s="114"/>
    </row>
    <row r="92" spans="1:105" ht="12" customHeight="1" x14ac:dyDescent="0.25">
      <c r="A92" s="61" t="s">
        <v>31</v>
      </c>
      <c r="B92" s="72">
        <f t="shared" ref="B92" si="51">IF(B84=0,0,B84/B$81)</f>
        <v>7.6445945641783951E-6</v>
      </c>
      <c r="C92" s="72">
        <f t="shared" ref="C92:W92" si="52">IF(C84=0,0,C84/C$81)</f>
        <v>1.0075322975426613E-5</v>
      </c>
      <c r="D92" s="72">
        <f t="shared" si="52"/>
        <v>1.3328253715014281E-5</v>
      </c>
      <c r="E92" s="72">
        <f t="shared" si="52"/>
        <v>1.5228533064815293E-5</v>
      </c>
      <c r="F92" s="72">
        <f t="shared" si="52"/>
        <v>2.1736666653060632E-5</v>
      </c>
      <c r="G92" s="72">
        <f t="shared" si="52"/>
        <v>3.1091003754768568E-5</v>
      </c>
      <c r="H92" s="72">
        <f t="shared" si="52"/>
        <v>4.6383900014573068E-5</v>
      </c>
      <c r="I92" s="72">
        <f t="shared" si="52"/>
        <v>6.1481896572056983E-5</v>
      </c>
      <c r="J92" s="72">
        <f t="shared" si="52"/>
        <v>7.0737419956337281E-5</v>
      </c>
      <c r="K92" s="72">
        <f t="shared" si="52"/>
        <v>9.4834201842397417E-5</v>
      </c>
      <c r="L92" s="72">
        <f t="shared" si="52"/>
        <v>9.9681637907156063E-5</v>
      </c>
      <c r="M92" s="72">
        <f t="shared" si="52"/>
        <v>1.3123861031507305E-4</v>
      </c>
      <c r="N92" s="72">
        <f t="shared" si="52"/>
        <v>1.4027273526851335E-4</v>
      </c>
      <c r="O92" s="72">
        <f t="shared" si="52"/>
        <v>1.5459254130481255E-4</v>
      </c>
      <c r="P92" s="72">
        <f t="shared" si="52"/>
        <v>2.4168086093149317E-4</v>
      </c>
      <c r="Q92" s="72">
        <f t="shared" si="52"/>
        <v>3.1918207940440161E-4</v>
      </c>
      <c r="R92" s="72">
        <f t="shared" si="52"/>
        <v>3.660786453958689E-4</v>
      </c>
      <c r="S92" s="72">
        <f t="shared" si="52"/>
        <v>3.6959490832655438E-4</v>
      </c>
      <c r="T92" s="72">
        <f t="shared" si="52"/>
        <v>4.7575484398693936E-4</v>
      </c>
      <c r="U92" s="72">
        <f t="shared" si="52"/>
        <v>5.3749327159008397E-4</v>
      </c>
      <c r="V92" s="72">
        <f t="shared" si="52"/>
        <v>6.6620501392936212E-4</v>
      </c>
      <c r="W92" s="72">
        <f t="shared" si="52"/>
        <v>4.7922133822049263E-4</v>
      </c>
      <c r="DA92" s="115"/>
    </row>
    <row r="93" spans="1:105" ht="12" customHeight="1" x14ac:dyDescent="0.25">
      <c r="A93" s="61" t="s">
        <v>35</v>
      </c>
      <c r="B93" s="72">
        <f t="shared" ref="B93" si="53">IF(B85=0,0,B85/B$81)</f>
        <v>0.12793588483570273</v>
      </c>
      <c r="C93" s="72">
        <f t="shared" ref="C93:W93" si="54">IF(C85=0,0,C85/C$81)</f>
        <v>0.12211846303885406</v>
      </c>
      <c r="D93" s="72">
        <f t="shared" si="54"/>
        <v>0.11049414321507006</v>
      </c>
      <c r="E93" s="72">
        <f t="shared" si="54"/>
        <v>0.10241781049655353</v>
      </c>
      <c r="F93" s="72">
        <f t="shared" si="54"/>
        <v>0.10390742187809596</v>
      </c>
      <c r="G93" s="72">
        <f t="shared" si="54"/>
        <v>0.10374172888748061</v>
      </c>
      <c r="H93" s="72">
        <f t="shared" si="54"/>
        <v>0.11065870821241175</v>
      </c>
      <c r="I93" s="72">
        <f t="shared" si="54"/>
        <v>0.12175214192045788</v>
      </c>
      <c r="J93" s="72">
        <f t="shared" si="54"/>
        <v>0.10187051507079972</v>
      </c>
      <c r="K93" s="72">
        <f t="shared" si="54"/>
        <v>0.10814754370140073</v>
      </c>
      <c r="L93" s="72">
        <f t="shared" si="54"/>
        <v>9.8217890493753762E-2</v>
      </c>
      <c r="M93" s="72">
        <f t="shared" si="54"/>
        <v>0.1200237258013859</v>
      </c>
      <c r="N93" s="72">
        <f t="shared" si="54"/>
        <v>0.11345539838889399</v>
      </c>
      <c r="O93" s="72">
        <f t="shared" si="54"/>
        <v>0.10258608619923855</v>
      </c>
      <c r="P93" s="72">
        <f t="shared" si="54"/>
        <v>0.12858878997873358</v>
      </c>
      <c r="Q93" s="72">
        <f t="shared" si="54"/>
        <v>0.11162158588368325</v>
      </c>
      <c r="R93" s="72">
        <f t="shared" si="54"/>
        <v>0.10995556530269433</v>
      </c>
      <c r="S93" s="72">
        <f t="shared" si="54"/>
        <v>0.1092536084283066</v>
      </c>
      <c r="T93" s="72">
        <f t="shared" si="54"/>
        <v>0.10685967760551841</v>
      </c>
      <c r="U93" s="72">
        <f t="shared" si="54"/>
        <v>0.10682353480887219</v>
      </c>
      <c r="V93" s="72">
        <f t="shared" si="54"/>
        <v>0.10285554352196549</v>
      </c>
      <c r="W93" s="72">
        <f t="shared" si="54"/>
        <v>0.10590587873598316</v>
      </c>
      <c r="DA93" s="115"/>
    </row>
    <row r="94" spans="1:105" ht="12" customHeight="1" x14ac:dyDescent="0.25">
      <c r="A94" s="61" t="s">
        <v>34</v>
      </c>
      <c r="B94" s="73">
        <f t="shared" ref="B94" si="55">IF(B86=0,0,B86/B$81)</f>
        <v>8.2136525889299428E-2</v>
      </c>
      <c r="C94" s="73">
        <f t="shared" ref="C94:W94" si="56">IF(C86=0,0,C86/C$81)</f>
        <v>7.8253226521411423E-2</v>
      </c>
      <c r="D94" s="73">
        <f t="shared" si="56"/>
        <v>6.5362768925712994E-2</v>
      </c>
      <c r="E94" s="73">
        <f t="shared" si="56"/>
        <v>5.6402687219175192E-2</v>
      </c>
      <c r="F94" s="73">
        <f t="shared" si="56"/>
        <v>5.8311036977079317E-2</v>
      </c>
      <c r="G94" s="73">
        <f t="shared" si="56"/>
        <v>4.9730933862434358E-2</v>
      </c>
      <c r="H94" s="73">
        <f t="shared" si="56"/>
        <v>5.2910844215359014E-2</v>
      </c>
      <c r="I94" s="73">
        <f t="shared" si="56"/>
        <v>5.8397849785135014E-2</v>
      </c>
      <c r="J94" s="73">
        <f t="shared" si="56"/>
        <v>5.1114902250888057E-2</v>
      </c>
      <c r="K94" s="73">
        <f t="shared" si="56"/>
        <v>5.4658802343290715E-2</v>
      </c>
      <c r="L94" s="73">
        <f t="shared" si="56"/>
        <v>5.0823265167075776E-2</v>
      </c>
      <c r="M94" s="73">
        <f t="shared" si="56"/>
        <v>6.0773066875910685E-2</v>
      </c>
      <c r="N94" s="73">
        <f t="shared" si="56"/>
        <v>5.8565845015086992E-2</v>
      </c>
      <c r="O94" s="73">
        <f t="shared" si="56"/>
        <v>5.4312731178398216E-2</v>
      </c>
      <c r="P94" s="73">
        <f t="shared" si="56"/>
        <v>6.7646725472927757E-2</v>
      </c>
      <c r="Q94" s="73">
        <f t="shared" si="56"/>
        <v>6.1778338011013179E-2</v>
      </c>
      <c r="R94" s="73">
        <f t="shared" si="56"/>
        <v>6.0760959694057967E-2</v>
      </c>
      <c r="S94" s="73">
        <f t="shared" si="56"/>
        <v>6.1812393382320772E-2</v>
      </c>
      <c r="T94" s="73">
        <f t="shared" si="56"/>
        <v>6.1941506418684636E-2</v>
      </c>
      <c r="U94" s="73">
        <f t="shared" si="56"/>
        <v>6.4128484900360258E-2</v>
      </c>
      <c r="V94" s="73">
        <f t="shared" si="56"/>
        <v>6.4128409688939791E-2</v>
      </c>
      <c r="W94" s="73">
        <f t="shared" si="56"/>
        <v>6.6426541492826827E-2</v>
      </c>
      <c r="DA94" s="116"/>
    </row>
    <row r="95" spans="1:105" ht="12" customHeight="1" x14ac:dyDescent="0.25">
      <c r="A95" s="69" t="s">
        <v>33</v>
      </c>
      <c r="B95" s="70">
        <f t="shared" ref="B95" si="57">IF(B87=0,0,B87/B$81)</f>
        <v>0</v>
      </c>
      <c r="C95" s="70">
        <f t="shared" ref="C95:W95" si="58">IF(C87=0,0,C87/C$81)</f>
        <v>0</v>
      </c>
      <c r="D95" s="70">
        <f t="shared" si="58"/>
        <v>0</v>
      </c>
      <c r="E95" s="70">
        <f t="shared" si="58"/>
        <v>0</v>
      </c>
      <c r="F95" s="70">
        <f t="shared" si="58"/>
        <v>0</v>
      </c>
      <c r="G95" s="70">
        <f t="shared" si="58"/>
        <v>0</v>
      </c>
      <c r="H95" s="70">
        <f t="shared" si="58"/>
        <v>0</v>
      </c>
      <c r="I95" s="70">
        <f t="shared" si="58"/>
        <v>0</v>
      </c>
      <c r="J95" s="70">
        <f t="shared" si="58"/>
        <v>0</v>
      </c>
      <c r="K95" s="70">
        <f t="shared" si="58"/>
        <v>0</v>
      </c>
      <c r="L95" s="70">
        <f t="shared" si="58"/>
        <v>0</v>
      </c>
      <c r="M95" s="70">
        <f t="shared" si="58"/>
        <v>0</v>
      </c>
      <c r="N95" s="70">
        <f t="shared" si="58"/>
        <v>0</v>
      </c>
      <c r="O95" s="70">
        <f t="shared" si="58"/>
        <v>0</v>
      </c>
      <c r="P95" s="70">
        <f t="shared" si="58"/>
        <v>0</v>
      </c>
      <c r="Q95" s="70">
        <f t="shared" si="58"/>
        <v>0</v>
      </c>
      <c r="R95" s="70">
        <f t="shared" si="58"/>
        <v>0</v>
      </c>
      <c r="S95" s="70">
        <f t="shared" si="58"/>
        <v>0</v>
      </c>
      <c r="T95" s="70">
        <f t="shared" si="58"/>
        <v>0</v>
      </c>
      <c r="U95" s="70">
        <f t="shared" si="58"/>
        <v>0</v>
      </c>
      <c r="V95" s="70">
        <f t="shared" si="58"/>
        <v>0</v>
      </c>
      <c r="W95" s="70">
        <f t="shared" si="58"/>
        <v>0</v>
      </c>
      <c r="DA95" s="113"/>
    </row>
    <row r="96" spans="1:105" s="2" customFormat="1" ht="12" customHeight="1" x14ac:dyDescent="0.25">
      <c r="DA96" s="7"/>
    </row>
    <row r="97" spans="1:105" s="2" customFormat="1" ht="12.95" customHeight="1" x14ac:dyDescent="0.25">
      <c r="A97" s="47" t="s">
        <v>46</v>
      </c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DA97" s="97"/>
    </row>
    <row r="98" spans="1:105" s="2" customFormat="1" ht="12" customHeight="1" x14ac:dyDescent="0.25">
      <c r="DA98" s="7"/>
    </row>
    <row r="99" spans="1:105" ht="12.95" customHeight="1" x14ac:dyDescent="0.25">
      <c r="A99" s="81" t="s">
        <v>45</v>
      </c>
      <c r="B99" s="82">
        <f t="shared" ref="B99:B105" si="59">B47*11630*1000/B$8</f>
        <v>210049.72947883574</v>
      </c>
      <c r="C99" s="82">
        <f t="shared" ref="C99:W99" si="60">C47*11630*1000/C$8</f>
        <v>217866.06890921856</v>
      </c>
      <c r="D99" s="82">
        <f t="shared" si="60"/>
        <v>215731.28041853997</v>
      </c>
      <c r="E99" s="82">
        <f t="shared" si="60"/>
        <v>224978.24145631125</v>
      </c>
      <c r="F99" s="82">
        <f t="shared" si="60"/>
        <v>253624.83562347034</v>
      </c>
      <c r="G99" s="82">
        <f t="shared" si="60"/>
        <v>250084.45640854308</v>
      </c>
      <c r="H99" s="82">
        <f t="shared" si="60"/>
        <v>237903.92352615832</v>
      </c>
      <c r="I99" s="82">
        <f t="shared" si="60"/>
        <v>222582.59301622436</v>
      </c>
      <c r="J99" s="82">
        <f t="shared" si="60"/>
        <v>241579.51777856032</v>
      </c>
      <c r="K99" s="82">
        <f t="shared" si="60"/>
        <v>238423.96626564092</v>
      </c>
      <c r="L99" s="82">
        <f t="shared" si="60"/>
        <v>247697.11054660255</v>
      </c>
      <c r="M99" s="82">
        <f t="shared" si="60"/>
        <v>215079.72109931582</v>
      </c>
      <c r="N99" s="82">
        <f t="shared" si="60"/>
        <v>224114.75259093544</v>
      </c>
      <c r="O99" s="82">
        <f t="shared" si="60"/>
        <v>236551.38671126109</v>
      </c>
      <c r="P99" s="82">
        <f t="shared" si="60"/>
        <v>203336.8080650398</v>
      </c>
      <c r="Q99" s="82">
        <f t="shared" si="60"/>
        <v>220113.00910204611</v>
      </c>
      <c r="R99" s="82">
        <f t="shared" si="60"/>
        <v>219785.80247287927</v>
      </c>
      <c r="S99" s="82">
        <f t="shared" si="60"/>
        <v>217568.3861861699</v>
      </c>
      <c r="T99" s="82">
        <f t="shared" si="60"/>
        <v>216260.52674202796</v>
      </c>
      <c r="U99" s="82">
        <f t="shared" si="60"/>
        <v>211447.22046095037</v>
      </c>
      <c r="V99" s="82">
        <f t="shared" si="60"/>
        <v>200027.87109367896</v>
      </c>
      <c r="W99" s="82">
        <f t="shared" si="60"/>
        <v>203767.99270291757</v>
      </c>
      <c r="DA99" s="107"/>
    </row>
    <row r="100" spans="1:105" ht="12" customHeight="1" x14ac:dyDescent="0.25">
      <c r="A100" s="77" t="s">
        <v>36</v>
      </c>
      <c r="B100" s="64">
        <f t="shared" si="59"/>
        <v>167311.85786472386</v>
      </c>
      <c r="C100" s="64">
        <f t="shared" ref="C100:W100" si="61">C48*11630*1000/C$8</f>
        <v>173627.04101358441</v>
      </c>
      <c r="D100" s="64">
        <f t="shared" si="61"/>
        <v>170833.93898290306</v>
      </c>
      <c r="E100" s="64">
        <f t="shared" si="61"/>
        <v>178840.96656343731</v>
      </c>
      <c r="F100" s="64">
        <f t="shared" si="61"/>
        <v>204907.927428236</v>
      </c>
      <c r="G100" s="64">
        <f t="shared" si="61"/>
        <v>199802.85641330769</v>
      </c>
      <c r="H100" s="64">
        <f t="shared" si="61"/>
        <v>185851.26505544267</v>
      </c>
      <c r="I100" s="64">
        <f t="shared" si="61"/>
        <v>169214.83662932913</v>
      </c>
      <c r="J100" s="64">
        <f t="shared" si="61"/>
        <v>187034.93684969735</v>
      </c>
      <c r="K100" s="64">
        <f t="shared" si="61"/>
        <v>182290.47884767785</v>
      </c>
      <c r="L100" s="64">
        <f t="shared" si="61"/>
        <v>191021.97743380684</v>
      </c>
      <c r="M100" s="64">
        <f t="shared" si="61"/>
        <v>157882.47604064236</v>
      </c>
      <c r="N100" s="64">
        <f t="shared" si="61"/>
        <v>165980.07387867209</v>
      </c>
      <c r="O100" s="64">
        <f t="shared" si="61"/>
        <v>177259.46399882197</v>
      </c>
      <c r="P100" s="64">
        <f t="shared" si="61"/>
        <v>143980.30953219175</v>
      </c>
      <c r="Q100" s="64">
        <f t="shared" si="61"/>
        <v>160368.05522334616</v>
      </c>
      <c r="R100" s="64">
        <f t="shared" si="61"/>
        <v>159343.906929786</v>
      </c>
      <c r="S100" s="64">
        <f t="shared" si="61"/>
        <v>156874.94536229339</v>
      </c>
      <c r="T100" s="64">
        <f t="shared" si="61"/>
        <v>156471.96690797328</v>
      </c>
      <c r="U100" s="64">
        <f t="shared" si="61"/>
        <v>154306.2060596683</v>
      </c>
      <c r="V100" s="64">
        <f t="shared" si="61"/>
        <v>147152.37134350595</v>
      </c>
      <c r="W100" s="64">
        <f t="shared" si="61"/>
        <v>152338.08719526228</v>
      </c>
      <c r="DA100" s="108"/>
    </row>
    <row r="101" spans="1:105" ht="12" customHeight="1" x14ac:dyDescent="0.25">
      <c r="A101" s="61" t="s">
        <v>32</v>
      </c>
      <c r="B101" s="65">
        <f t="shared" si="59"/>
        <v>130201.81657311674</v>
      </c>
      <c r="C101" s="65">
        <f t="shared" ref="C101:W101" si="62">C49*11630*1000/C$8</f>
        <v>136237.32387887791</v>
      </c>
      <c r="D101" s="65">
        <f t="shared" si="62"/>
        <v>133871.23268994424</v>
      </c>
      <c r="E101" s="65">
        <f t="shared" si="62"/>
        <v>141839.59140164068</v>
      </c>
      <c r="F101" s="65">
        <f t="shared" si="62"/>
        <v>168349.87717328564</v>
      </c>
      <c r="G101" s="65">
        <f t="shared" si="62"/>
        <v>163770.95061601835</v>
      </c>
      <c r="H101" s="65">
        <f t="shared" si="62"/>
        <v>149410.03025257195</v>
      </c>
      <c r="I101" s="65">
        <f t="shared" si="62"/>
        <v>133211.61035670547</v>
      </c>
      <c r="J101" s="65">
        <f t="shared" si="62"/>
        <v>150983.26046665796</v>
      </c>
      <c r="K101" s="65">
        <f t="shared" si="62"/>
        <v>145523.41811142935</v>
      </c>
      <c r="L101" s="65">
        <f t="shared" si="62"/>
        <v>154131.65525273679</v>
      </c>
      <c r="M101" s="65">
        <f t="shared" si="62"/>
        <v>121278.37664114065</v>
      </c>
      <c r="N101" s="65">
        <f t="shared" si="62"/>
        <v>128939.38408845598</v>
      </c>
      <c r="O101" s="65">
        <f t="shared" si="62"/>
        <v>139950.3700602442</v>
      </c>
      <c r="P101" s="65">
        <f t="shared" si="62"/>
        <v>106781.16565709934</v>
      </c>
      <c r="Q101" s="65">
        <f t="shared" si="62"/>
        <v>122603.99651957089</v>
      </c>
      <c r="R101" s="65">
        <f t="shared" si="62"/>
        <v>122204.72055438362</v>
      </c>
      <c r="S101" s="65">
        <f t="shared" si="62"/>
        <v>120265.79442521448</v>
      </c>
      <c r="T101" s="65">
        <f t="shared" si="62"/>
        <v>120019.18910678805</v>
      </c>
      <c r="U101" s="65">
        <f t="shared" si="62"/>
        <v>118506.86817244848</v>
      </c>
      <c r="V101" s="65">
        <f t="shared" si="62"/>
        <v>113019.30895970296</v>
      </c>
      <c r="W101" s="65">
        <f t="shared" si="62"/>
        <v>117543.78366234162</v>
      </c>
      <c r="DA101" s="109"/>
    </row>
    <row r="102" spans="1:105" ht="12" customHeight="1" x14ac:dyDescent="0.25">
      <c r="A102" s="61" t="s">
        <v>31</v>
      </c>
      <c r="B102" s="65">
        <f t="shared" si="59"/>
        <v>781.71703851313032</v>
      </c>
      <c r="C102" s="65">
        <f t="shared" ref="C102:W102" si="63">C50*11630*1000/C$8</f>
        <v>962.14752237128437</v>
      </c>
      <c r="D102" s="65">
        <f t="shared" si="63"/>
        <v>1175.3216663745882</v>
      </c>
      <c r="E102" s="65">
        <f t="shared" si="63"/>
        <v>1701.3056342409302</v>
      </c>
      <c r="F102" s="65">
        <f t="shared" si="63"/>
        <v>1508.0912387250205</v>
      </c>
      <c r="G102" s="65">
        <f t="shared" si="63"/>
        <v>1758.9087647839863</v>
      </c>
      <c r="H102" s="65">
        <f t="shared" si="63"/>
        <v>2486.3702752243726</v>
      </c>
      <c r="I102" s="65">
        <f t="shared" si="63"/>
        <v>2209.0657785269536</v>
      </c>
      <c r="J102" s="65">
        <f t="shared" si="63"/>
        <v>2415.4546123474279</v>
      </c>
      <c r="K102" s="65">
        <f t="shared" si="63"/>
        <v>2706.8373060634908</v>
      </c>
      <c r="L102" s="65">
        <f t="shared" si="63"/>
        <v>3082.2768914386652</v>
      </c>
      <c r="M102" s="65">
        <f t="shared" si="63"/>
        <v>3019.2669982879202</v>
      </c>
      <c r="N102" s="65">
        <f t="shared" si="63"/>
        <v>3127.5513833278405</v>
      </c>
      <c r="O102" s="65">
        <f t="shared" si="63"/>
        <v>3256.2262801875072</v>
      </c>
      <c r="P102" s="65">
        <f t="shared" si="63"/>
        <v>3177.361432813073</v>
      </c>
      <c r="Q102" s="65">
        <f t="shared" si="63"/>
        <v>3573.620326532724</v>
      </c>
      <c r="R102" s="65">
        <f t="shared" si="63"/>
        <v>3465.5790332905012</v>
      </c>
      <c r="S102" s="65">
        <f t="shared" si="63"/>
        <v>3217.5152283210909</v>
      </c>
      <c r="T102" s="65">
        <f t="shared" si="63"/>
        <v>3589.1753778375178</v>
      </c>
      <c r="U102" s="65">
        <f t="shared" si="63"/>
        <v>3396.146620108274</v>
      </c>
      <c r="V102" s="65">
        <f t="shared" si="63"/>
        <v>3596.0340557819704</v>
      </c>
      <c r="W102" s="65">
        <f t="shared" si="63"/>
        <v>2890.6121687851974</v>
      </c>
      <c r="DA102" s="109"/>
    </row>
    <row r="103" spans="1:105" ht="12" customHeight="1" x14ac:dyDescent="0.25">
      <c r="A103" s="61" t="s">
        <v>35</v>
      </c>
      <c r="B103" s="65">
        <f t="shared" si="59"/>
        <v>21326.469134345476</v>
      </c>
      <c r="C103" s="65">
        <f t="shared" ref="C103:W103" si="64">C51*11630*1000/C$8</f>
        <v>21204.994062310554</v>
      </c>
      <c r="D103" s="65">
        <f t="shared" si="64"/>
        <v>20933.404866556291</v>
      </c>
      <c r="E103" s="65">
        <f t="shared" si="64"/>
        <v>20899.84307665471</v>
      </c>
      <c r="F103" s="65">
        <f t="shared" si="64"/>
        <v>20431.632611393434</v>
      </c>
      <c r="G103" s="65">
        <f t="shared" si="64"/>
        <v>19969.254583755323</v>
      </c>
      <c r="H103" s="65">
        <f t="shared" si="64"/>
        <v>19771.898547982655</v>
      </c>
      <c r="I103" s="65">
        <f t="shared" si="64"/>
        <v>19436.708592255869</v>
      </c>
      <c r="J103" s="65">
        <f t="shared" si="64"/>
        <v>19163.99707979662</v>
      </c>
      <c r="K103" s="65">
        <f t="shared" si="64"/>
        <v>19334.472189281616</v>
      </c>
      <c r="L103" s="65">
        <f t="shared" si="64"/>
        <v>19072.381612025052</v>
      </c>
      <c r="M103" s="65">
        <f t="shared" si="64"/>
        <v>18994.467390470007</v>
      </c>
      <c r="N103" s="65">
        <f t="shared" si="64"/>
        <v>19052.258719186473</v>
      </c>
      <c r="O103" s="65">
        <f t="shared" si="64"/>
        <v>19076.648098163856</v>
      </c>
      <c r="P103" s="65">
        <f t="shared" si="64"/>
        <v>19074.738864761974</v>
      </c>
      <c r="Q103" s="65">
        <f t="shared" si="64"/>
        <v>18978.706006717188</v>
      </c>
      <c r="R103" s="65">
        <f t="shared" si="64"/>
        <v>18663.490715403186</v>
      </c>
      <c r="S103" s="65">
        <f t="shared" si="64"/>
        <v>18430.654375631333</v>
      </c>
      <c r="T103" s="65">
        <f t="shared" si="64"/>
        <v>18006.078831697021</v>
      </c>
      <c r="U103" s="65">
        <f t="shared" si="64"/>
        <v>17604.433008154338</v>
      </c>
      <c r="V103" s="65">
        <f t="shared" si="64"/>
        <v>16408.8101342716</v>
      </c>
      <c r="W103" s="65">
        <f t="shared" si="64"/>
        <v>17106.450172234716</v>
      </c>
      <c r="DA103" s="109"/>
    </row>
    <row r="104" spans="1:105" ht="12" customHeight="1" x14ac:dyDescent="0.25">
      <c r="A104" s="66" t="s">
        <v>34</v>
      </c>
      <c r="B104" s="67">
        <f t="shared" si="59"/>
        <v>15001.85511874851</v>
      </c>
      <c r="C104" s="67">
        <f t="shared" ref="C104:W104" si="65">C52*11630*1000/C$8</f>
        <v>15222.575550024643</v>
      </c>
      <c r="D104" s="67">
        <f t="shared" si="65"/>
        <v>14853.979760027953</v>
      </c>
      <c r="E104" s="67">
        <f t="shared" si="65"/>
        <v>14400.226450900964</v>
      </c>
      <c r="F104" s="67">
        <f t="shared" si="65"/>
        <v>14618.326404831858</v>
      </c>
      <c r="G104" s="67">
        <f t="shared" si="65"/>
        <v>14303.742448750094</v>
      </c>
      <c r="H104" s="67">
        <f t="shared" si="65"/>
        <v>14182.965979663719</v>
      </c>
      <c r="I104" s="67">
        <f t="shared" si="65"/>
        <v>14357.451901840823</v>
      </c>
      <c r="J104" s="67">
        <f t="shared" si="65"/>
        <v>14472.22469089532</v>
      </c>
      <c r="K104" s="67">
        <f t="shared" si="65"/>
        <v>14725.751240903401</v>
      </c>
      <c r="L104" s="67">
        <f t="shared" si="65"/>
        <v>14735.663677606382</v>
      </c>
      <c r="M104" s="67">
        <f t="shared" si="65"/>
        <v>14590.365010743772</v>
      </c>
      <c r="N104" s="67">
        <f t="shared" si="65"/>
        <v>14860.879687701792</v>
      </c>
      <c r="O104" s="67">
        <f t="shared" si="65"/>
        <v>14976.219560226386</v>
      </c>
      <c r="P104" s="67">
        <f t="shared" si="65"/>
        <v>14947.043577517394</v>
      </c>
      <c r="Q104" s="67">
        <f t="shared" si="65"/>
        <v>15211.73237052534</v>
      </c>
      <c r="R104" s="67">
        <f t="shared" si="65"/>
        <v>15010.116626708683</v>
      </c>
      <c r="S104" s="67">
        <f t="shared" si="65"/>
        <v>14960.981333126503</v>
      </c>
      <c r="T104" s="67">
        <f t="shared" si="65"/>
        <v>14857.523591650695</v>
      </c>
      <c r="U104" s="67">
        <f t="shared" si="65"/>
        <v>14798.758258957199</v>
      </c>
      <c r="V104" s="67">
        <f t="shared" si="65"/>
        <v>14128.218193749417</v>
      </c>
      <c r="W104" s="67">
        <f t="shared" si="65"/>
        <v>14797.241191900717</v>
      </c>
      <c r="DA104" s="110"/>
    </row>
    <row r="105" spans="1:105" ht="12" customHeight="1" x14ac:dyDescent="0.25">
      <c r="A105" s="78" t="s">
        <v>33</v>
      </c>
      <c r="B105" s="68">
        <f t="shared" si="59"/>
        <v>42737.871614111893</v>
      </c>
      <c r="C105" s="68">
        <f t="shared" ref="C105:W105" si="66">C53*11630*1000/C$8</f>
        <v>44239.02789563415</v>
      </c>
      <c r="D105" s="68">
        <f t="shared" si="66"/>
        <v>44897.341435636947</v>
      </c>
      <c r="E105" s="68">
        <f t="shared" si="66"/>
        <v>46137.274892873975</v>
      </c>
      <c r="F105" s="68">
        <f t="shared" si="66"/>
        <v>48716.908195234333</v>
      </c>
      <c r="G105" s="68">
        <f t="shared" si="66"/>
        <v>50281.599995235367</v>
      </c>
      <c r="H105" s="68">
        <f t="shared" si="66"/>
        <v>52052.658470715658</v>
      </c>
      <c r="I105" s="68">
        <f t="shared" si="66"/>
        <v>53367.756386895235</v>
      </c>
      <c r="J105" s="68">
        <f t="shared" si="66"/>
        <v>54544.580928863004</v>
      </c>
      <c r="K105" s="68">
        <f t="shared" si="66"/>
        <v>56133.487417963122</v>
      </c>
      <c r="L105" s="68">
        <f t="shared" si="66"/>
        <v>56675.133112795658</v>
      </c>
      <c r="M105" s="68">
        <f t="shared" si="66"/>
        <v>57197.245058673456</v>
      </c>
      <c r="N105" s="68">
        <f t="shared" si="66"/>
        <v>58134.678712263376</v>
      </c>
      <c r="O105" s="68">
        <f t="shared" si="66"/>
        <v>59291.92271243914</v>
      </c>
      <c r="P105" s="68">
        <f t="shared" si="66"/>
        <v>59356.498532848011</v>
      </c>
      <c r="Q105" s="68">
        <f t="shared" si="66"/>
        <v>59744.953878699926</v>
      </c>
      <c r="R105" s="68">
        <f t="shared" si="66"/>
        <v>60441.895543093277</v>
      </c>
      <c r="S105" s="68">
        <f t="shared" si="66"/>
        <v>60693.440823876466</v>
      </c>
      <c r="T105" s="68">
        <f t="shared" si="66"/>
        <v>59788.559834054715</v>
      </c>
      <c r="U105" s="68">
        <f t="shared" si="66"/>
        <v>57141.01440128206</v>
      </c>
      <c r="V105" s="68">
        <f t="shared" si="66"/>
        <v>52875.499750173018</v>
      </c>
      <c r="W105" s="68">
        <f t="shared" si="66"/>
        <v>51429.90550765529</v>
      </c>
      <c r="DA105" s="111"/>
    </row>
    <row r="106" spans="1:105" s="2" customFormat="1" ht="12" customHeight="1" x14ac:dyDescent="0.25">
      <c r="DA106" s="7"/>
    </row>
    <row r="107" spans="1:105" ht="12.95" customHeight="1" x14ac:dyDescent="0.25">
      <c r="A107" s="84" t="s">
        <v>44</v>
      </c>
      <c r="B107" s="85">
        <f t="shared" ref="B107" si="67">SUM(B108:B111)</f>
        <v>97334.4025372467</v>
      </c>
      <c r="C107" s="85">
        <f t="shared" ref="C107:W107" si="68">SUM(C108:C111)</f>
        <v>102188.56091432254</v>
      </c>
      <c r="D107" s="85">
        <f t="shared" si="68"/>
        <v>100274.91943233661</v>
      </c>
      <c r="E107" s="85">
        <f t="shared" si="68"/>
        <v>106127.76066548421</v>
      </c>
      <c r="F107" s="85">
        <f t="shared" si="68"/>
        <v>128677.8794086956</v>
      </c>
      <c r="G107" s="85">
        <f t="shared" si="68"/>
        <v>127391.2716230122</v>
      </c>
      <c r="H107" s="85">
        <f t="shared" si="68"/>
        <v>122245.35557912935</v>
      </c>
      <c r="I107" s="85">
        <f t="shared" si="68"/>
        <v>113852.35026890568</v>
      </c>
      <c r="J107" s="85">
        <f t="shared" si="68"/>
        <v>126321.69476198756</v>
      </c>
      <c r="K107" s="85">
        <f t="shared" si="68"/>
        <v>126901.89087238522</v>
      </c>
      <c r="L107" s="85">
        <f t="shared" si="68"/>
        <v>135176.72037953592</v>
      </c>
      <c r="M107" s="85">
        <f t="shared" si="68"/>
        <v>115210.27290531955</v>
      </c>
      <c r="N107" s="85">
        <f t="shared" si="68"/>
        <v>123484.44890266501</v>
      </c>
      <c r="O107" s="85">
        <f t="shared" si="68"/>
        <v>133897.29170400635</v>
      </c>
      <c r="P107" s="85">
        <f t="shared" si="68"/>
        <v>111384.11268473211</v>
      </c>
      <c r="Q107" s="85">
        <f t="shared" si="68"/>
        <v>125191.62532195607</v>
      </c>
      <c r="R107" s="85">
        <f t="shared" si="68"/>
        <v>126193.57457239772</v>
      </c>
      <c r="S107" s="85">
        <f t="shared" si="68"/>
        <v>125638.00258124796</v>
      </c>
      <c r="T107" s="85">
        <f t="shared" si="68"/>
        <v>129069.77084948304</v>
      </c>
      <c r="U107" s="85">
        <f t="shared" si="68"/>
        <v>129239.04156866383</v>
      </c>
      <c r="V107" s="85">
        <f t="shared" si="68"/>
        <v>126335.84309925571</v>
      </c>
      <c r="W107" s="85">
        <f t="shared" si="68"/>
        <v>130989.34486314518</v>
      </c>
      <c r="DA107" s="117"/>
    </row>
    <row r="108" spans="1:105" ht="12" customHeight="1" x14ac:dyDescent="0.25">
      <c r="A108" s="61" t="s">
        <v>32</v>
      </c>
      <c r="B108" s="65">
        <v>73162.317208908556</v>
      </c>
      <c r="C108" s="65">
        <v>77251.441752813567</v>
      </c>
      <c r="D108" s="65">
        <v>74645.804911286512</v>
      </c>
      <c r="E108" s="65">
        <v>79167.627980938967</v>
      </c>
      <c r="F108" s="65">
        <v>101980.5948964087</v>
      </c>
      <c r="G108" s="65">
        <v>99874.308827277244</v>
      </c>
      <c r="H108" s="65">
        <v>92496.416778215338</v>
      </c>
      <c r="I108" s="65">
        <v>84533.810009517329</v>
      </c>
      <c r="J108" s="65">
        <v>96090.113638581824</v>
      </c>
      <c r="K108" s="65">
        <v>95151.422411957945</v>
      </c>
      <c r="L108" s="65">
        <v>102020.98969707348</v>
      </c>
      <c r="M108" s="65">
        <v>81938.490109064966</v>
      </c>
      <c r="N108" s="65">
        <v>89109.532506666103</v>
      </c>
      <c r="O108" s="65">
        <v>98417.187398410359</v>
      </c>
      <c r="P108" s="65">
        <v>75708.80639936855</v>
      </c>
      <c r="Q108" s="65">
        <v>87404.732102540409</v>
      </c>
      <c r="R108" s="65">
        <v>88464.678590061667</v>
      </c>
      <c r="S108" s="65">
        <v>88390.405525056587</v>
      </c>
      <c r="T108" s="65">
        <v>89985.832362597357</v>
      </c>
      <c r="U108" s="65">
        <v>90604.36333611008</v>
      </c>
      <c r="V108" s="65">
        <v>87621.484985323506</v>
      </c>
      <c r="W108" s="65">
        <v>93578.330816955509</v>
      </c>
      <c r="DA108" s="109"/>
    </row>
    <row r="109" spans="1:105" ht="12" customHeight="1" x14ac:dyDescent="0.25">
      <c r="A109" s="61" t="s">
        <v>31</v>
      </c>
      <c r="B109" s="65">
        <v>1599.942491982119</v>
      </c>
      <c r="C109" s="65">
        <v>2134.0610809499681</v>
      </c>
      <c r="D109" s="65">
        <v>2814.6658716099337</v>
      </c>
      <c r="E109" s="65">
        <v>4271.7043442396489</v>
      </c>
      <c r="F109" s="65">
        <v>3964.4188928519357</v>
      </c>
      <c r="G109" s="65">
        <v>4822.1506053865733</v>
      </c>
      <c r="H109" s="65">
        <v>7085.4198779876706</v>
      </c>
      <c r="I109" s="65">
        <v>6538.5024729970864</v>
      </c>
      <c r="J109" s="65">
        <v>7386.6649845780512</v>
      </c>
      <c r="K109" s="65">
        <v>8453.8464300477081</v>
      </c>
      <c r="L109" s="65">
        <v>9876.680472365957</v>
      </c>
      <c r="M109" s="65">
        <v>9964.7359859732824</v>
      </c>
      <c r="N109" s="65">
        <v>10625.980583086359</v>
      </c>
      <c r="O109" s="65">
        <v>11410.329797383722</v>
      </c>
      <c r="P109" s="65">
        <v>11498.216030334266</v>
      </c>
      <c r="Q109" s="65">
        <v>13357.1652706158</v>
      </c>
      <c r="R109" s="65">
        <v>13413.033088486201</v>
      </c>
      <c r="S109" s="65">
        <v>12855.961796083771</v>
      </c>
      <c r="T109" s="65">
        <v>14752.043513556599</v>
      </c>
      <c r="U109" s="65">
        <v>14340.856217975919</v>
      </c>
      <c r="V109" s="65">
        <v>15505.668107473019</v>
      </c>
      <c r="W109" s="65">
        <v>12884.955480295203</v>
      </c>
      <c r="DA109" s="109"/>
    </row>
    <row r="110" spans="1:105" ht="12" customHeight="1" x14ac:dyDescent="0.25">
      <c r="A110" s="61" t="s">
        <v>35</v>
      </c>
      <c r="B110" s="65">
        <v>12601.059283419054</v>
      </c>
      <c r="C110" s="65">
        <v>12603.899116639815</v>
      </c>
      <c r="D110" s="65">
        <v>12613.350667535895</v>
      </c>
      <c r="E110" s="65">
        <v>12687.374298252873</v>
      </c>
      <c r="F110" s="65">
        <v>12510.644045793259</v>
      </c>
      <c r="G110" s="65">
        <v>12357.230579679044</v>
      </c>
      <c r="H110" s="65">
        <v>12367.307261529482</v>
      </c>
      <c r="I110" s="65">
        <v>12284.372759551739</v>
      </c>
      <c r="J110" s="65">
        <v>12261.639334025082</v>
      </c>
      <c r="K110" s="65">
        <v>12497.252028732184</v>
      </c>
      <c r="L110" s="65">
        <v>12469.405971654063</v>
      </c>
      <c r="M110" s="65">
        <v>12576.22452327576</v>
      </c>
      <c r="N110" s="65">
        <v>12808.27158611929</v>
      </c>
      <c r="O110" s="65">
        <v>13040.194278413886</v>
      </c>
      <c r="P110" s="65">
        <v>13145.018756987489</v>
      </c>
      <c r="Q110" s="65">
        <v>13220.617093594405</v>
      </c>
      <c r="R110" s="65">
        <v>13209.746583124914</v>
      </c>
      <c r="S110" s="65">
        <v>13305.669178160557</v>
      </c>
      <c r="T110" s="65">
        <v>13285.112966196762</v>
      </c>
      <c r="U110" s="65">
        <v>13268.060346076014</v>
      </c>
      <c r="V110" s="65">
        <v>12651.001964301833</v>
      </c>
      <c r="W110" s="65">
        <v>13444.474032905597</v>
      </c>
      <c r="DA110" s="109"/>
    </row>
    <row r="111" spans="1:105" ht="12" customHeight="1" x14ac:dyDescent="0.25">
      <c r="A111" s="74" t="s">
        <v>34</v>
      </c>
      <c r="B111" s="68">
        <v>9971.083552936967</v>
      </c>
      <c r="C111" s="68">
        <v>10199.158963919201</v>
      </c>
      <c r="D111" s="68">
        <v>10201.09798190427</v>
      </c>
      <c r="E111" s="68">
        <v>10001.054042052712</v>
      </c>
      <c r="F111" s="68">
        <v>10222.221573641713</v>
      </c>
      <c r="G111" s="68">
        <v>10337.58161066934</v>
      </c>
      <c r="H111" s="68">
        <v>10296.211661396856</v>
      </c>
      <c r="I111" s="68">
        <v>10495.665026839521</v>
      </c>
      <c r="J111" s="68">
        <v>10583.276804802603</v>
      </c>
      <c r="K111" s="68">
        <v>10799.370001647385</v>
      </c>
      <c r="L111" s="68">
        <v>10809.644238442415</v>
      </c>
      <c r="M111" s="68">
        <v>10730.822287005554</v>
      </c>
      <c r="N111" s="68">
        <v>10940.664226793264</v>
      </c>
      <c r="O111" s="68">
        <v>11029.580229798383</v>
      </c>
      <c r="P111" s="68">
        <v>11032.071498041812</v>
      </c>
      <c r="Q111" s="68">
        <v>11209.110855205448</v>
      </c>
      <c r="R111" s="68">
        <v>11106.116310724925</v>
      </c>
      <c r="S111" s="68">
        <v>11085.966081947028</v>
      </c>
      <c r="T111" s="68">
        <v>11046.782007132337</v>
      </c>
      <c r="U111" s="68">
        <v>11025.761668501815</v>
      </c>
      <c r="V111" s="68">
        <v>10557.688042157362</v>
      </c>
      <c r="W111" s="68">
        <v>11081.584532988863</v>
      </c>
      <c r="DA111" s="111"/>
    </row>
    <row r="112" spans="1:105" s="2" customFormat="1" ht="12" customHeight="1" x14ac:dyDescent="0.25">
      <c r="DA112" s="7"/>
    </row>
    <row r="113" spans="1:105" ht="12.95" customHeight="1" x14ac:dyDescent="0.25">
      <c r="A113" s="81" t="s">
        <v>43</v>
      </c>
      <c r="B113" s="82">
        <f t="shared" ref="B113" si="69">B81*1000000/B$8</f>
        <v>32335.346101044132</v>
      </c>
      <c r="C113" s="82">
        <f t="shared" ref="C113:W113" si="70">C81*1000000/C$8</f>
        <v>33501.915077159123</v>
      </c>
      <c r="D113" s="82">
        <f t="shared" si="70"/>
        <v>35433.683027443658</v>
      </c>
      <c r="E113" s="82">
        <f t="shared" si="70"/>
        <v>37940.505519245897</v>
      </c>
      <c r="F113" s="82">
        <f t="shared" si="70"/>
        <v>36400.708855451936</v>
      </c>
      <c r="G113" s="82">
        <f t="shared" si="70"/>
        <v>35035.738308913518</v>
      </c>
      <c r="H113" s="82">
        <f t="shared" si="70"/>
        <v>32072.29467554501</v>
      </c>
      <c r="I113" s="82">
        <f t="shared" si="70"/>
        <v>28449.440641335244</v>
      </c>
      <c r="J113" s="82">
        <f t="shared" si="70"/>
        <v>32872.966281898538</v>
      </c>
      <c r="K113" s="82">
        <f t="shared" si="70"/>
        <v>31008.222676606347</v>
      </c>
      <c r="L113" s="82">
        <f t="shared" si="70"/>
        <v>33455.612795010886</v>
      </c>
      <c r="M113" s="82">
        <f t="shared" si="70"/>
        <v>27210.062442741095</v>
      </c>
      <c r="N113" s="82">
        <f t="shared" si="70"/>
        <v>28730.910431238681</v>
      </c>
      <c r="O113" s="82">
        <f t="shared" si="70"/>
        <v>31609.862355685949</v>
      </c>
      <c r="P113" s="82">
        <f t="shared" si="70"/>
        <v>25051.412706880546</v>
      </c>
      <c r="Q113" s="82">
        <f t="shared" si="70"/>
        <v>28706.150595206986</v>
      </c>
      <c r="R113" s="82">
        <f t="shared" si="70"/>
        <v>28431.574977079817</v>
      </c>
      <c r="S113" s="82">
        <f t="shared" si="70"/>
        <v>28096.283520215355</v>
      </c>
      <c r="T113" s="82">
        <f t="shared" si="70"/>
        <v>27817.994830338474</v>
      </c>
      <c r="U113" s="82">
        <f t="shared" si="70"/>
        <v>26952.88839091099</v>
      </c>
      <c r="V113" s="82">
        <f t="shared" si="70"/>
        <v>25757.830107356371</v>
      </c>
      <c r="W113" s="82">
        <f t="shared" si="70"/>
        <v>26362.101326385411</v>
      </c>
      <c r="DA113" s="107"/>
    </row>
    <row r="114" spans="1:105" ht="12" customHeight="1" x14ac:dyDescent="0.25">
      <c r="A114" s="77" t="s">
        <v>36</v>
      </c>
      <c r="B114" s="64">
        <f t="shared" ref="B114" si="71">B82*1000000/B$8</f>
        <v>32335.346101044132</v>
      </c>
      <c r="C114" s="64">
        <f t="shared" ref="C114:W114" si="72">C82*1000000/C$8</f>
        <v>33501.915077159123</v>
      </c>
      <c r="D114" s="64">
        <f t="shared" si="72"/>
        <v>35433.683027443658</v>
      </c>
      <c r="E114" s="64">
        <f t="shared" si="72"/>
        <v>37940.505519245897</v>
      </c>
      <c r="F114" s="64">
        <f t="shared" si="72"/>
        <v>36400.708855451936</v>
      </c>
      <c r="G114" s="64">
        <f t="shared" si="72"/>
        <v>35035.738308913518</v>
      </c>
      <c r="H114" s="64">
        <f t="shared" si="72"/>
        <v>32072.29467554501</v>
      </c>
      <c r="I114" s="64">
        <f t="shared" si="72"/>
        <v>28449.440641335244</v>
      </c>
      <c r="J114" s="64">
        <f t="shared" si="72"/>
        <v>32872.966281898538</v>
      </c>
      <c r="K114" s="64">
        <f t="shared" si="72"/>
        <v>31008.222676606347</v>
      </c>
      <c r="L114" s="64">
        <f t="shared" si="72"/>
        <v>33455.612795010886</v>
      </c>
      <c r="M114" s="64">
        <f t="shared" si="72"/>
        <v>27210.062442741095</v>
      </c>
      <c r="N114" s="64">
        <f t="shared" si="72"/>
        <v>28730.910431238681</v>
      </c>
      <c r="O114" s="64">
        <f t="shared" si="72"/>
        <v>31609.862355685949</v>
      </c>
      <c r="P114" s="64">
        <f t="shared" si="72"/>
        <v>25051.412706880546</v>
      </c>
      <c r="Q114" s="64">
        <f t="shared" si="72"/>
        <v>28706.150595206986</v>
      </c>
      <c r="R114" s="64">
        <f t="shared" si="72"/>
        <v>28431.574977079817</v>
      </c>
      <c r="S114" s="64">
        <f t="shared" si="72"/>
        <v>28096.283520215355</v>
      </c>
      <c r="T114" s="64">
        <f t="shared" si="72"/>
        <v>27817.994830338474</v>
      </c>
      <c r="U114" s="64">
        <f t="shared" si="72"/>
        <v>26952.88839091099</v>
      </c>
      <c r="V114" s="64">
        <f t="shared" si="72"/>
        <v>25757.830107356371</v>
      </c>
      <c r="W114" s="64">
        <f t="shared" si="72"/>
        <v>26362.101326385411</v>
      </c>
      <c r="DA114" s="108"/>
    </row>
    <row r="115" spans="1:105" ht="12" customHeight="1" x14ac:dyDescent="0.25">
      <c r="A115" s="61" t="s">
        <v>32</v>
      </c>
      <c r="B115" s="65">
        <f t="shared" ref="B115" si="73">B83*1000000/B$8</f>
        <v>25542.334803359456</v>
      </c>
      <c r="C115" s="65">
        <f t="shared" ref="C115:W115" si="74">C83*1000000/C$8</f>
        <v>26788.742207029518</v>
      </c>
      <c r="D115" s="65">
        <f t="shared" si="74"/>
        <v>29201.952675344699</v>
      </c>
      <c r="E115" s="65">
        <f t="shared" si="74"/>
        <v>31914.197770850118</v>
      </c>
      <c r="F115" s="65">
        <f t="shared" si="74"/>
        <v>30495.050733610271</v>
      </c>
      <c r="G115" s="65">
        <f t="shared" si="74"/>
        <v>29657.620962964051</v>
      </c>
      <c r="H115" s="65">
        <f t="shared" si="74"/>
        <v>26824.756152025075</v>
      </c>
      <c r="I115" s="65">
        <f t="shared" si="74"/>
        <v>23322.525020202898</v>
      </c>
      <c r="J115" s="65">
        <f t="shared" si="74"/>
        <v>27841.556467839429</v>
      </c>
      <c r="K115" s="65">
        <f t="shared" si="74"/>
        <v>25956.946605239838</v>
      </c>
      <c r="L115" s="65">
        <f t="shared" si="74"/>
        <v>28466.01469042063</v>
      </c>
      <c r="M115" s="65">
        <f t="shared" si="74"/>
        <v>22286.999413762969</v>
      </c>
      <c r="N115" s="65">
        <f t="shared" si="74"/>
        <v>23784.55333133565</v>
      </c>
      <c r="O115" s="65">
        <f t="shared" si="74"/>
        <v>26645.425685657083</v>
      </c>
      <c r="P115" s="65">
        <f t="shared" si="74"/>
        <v>20129.381374562996</v>
      </c>
      <c r="Q115" s="65">
        <f t="shared" si="74"/>
        <v>23719.343777849725</v>
      </c>
      <c r="R115" s="65">
        <f t="shared" si="74"/>
        <v>23567.42710435405</v>
      </c>
      <c r="S115" s="65">
        <f t="shared" si="74"/>
        <v>23279.580389342325</v>
      </c>
      <c r="T115" s="65">
        <f t="shared" si="74"/>
        <v>23109.049820007644</v>
      </c>
      <c r="U115" s="65">
        <f t="shared" si="74"/>
        <v>22330.750687327196</v>
      </c>
      <c r="V115" s="65">
        <f t="shared" si="74"/>
        <v>21439.525814329667</v>
      </c>
      <c r="W115" s="65">
        <f t="shared" si="74"/>
        <v>21806.423321016358</v>
      </c>
      <c r="DA115" s="109"/>
    </row>
    <row r="116" spans="1:105" ht="12" customHeight="1" x14ac:dyDescent="0.25">
      <c r="A116" s="61" t="s">
        <v>31</v>
      </c>
      <c r="B116" s="65">
        <f t="shared" ref="B116" si="75">B84*1000000/B$8</f>
        <v>0.247190611034869</v>
      </c>
      <c r="C116" s="65">
        <f t="shared" ref="C116:W116" si="76">C84*1000000/C$8</f>
        <v>0.33754261469769259</v>
      </c>
      <c r="D116" s="65">
        <f t="shared" si="76"/>
        <v>0.47226911744716438</v>
      </c>
      <c r="E116" s="65">
        <f t="shared" si="76"/>
        <v>0.57777824279564327</v>
      </c>
      <c r="F116" s="65">
        <f t="shared" si="76"/>
        <v>0.79123007432607095</v>
      </c>
      <c r="G116" s="65">
        <f t="shared" si="76"/>
        <v>1.0892962713135192</v>
      </c>
      <c r="H116" s="65">
        <f t="shared" si="76"/>
        <v>1.4876381094684041</v>
      </c>
      <c r="I116" s="65">
        <f t="shared" si="76"/>
        <v>1.749125567043448</v>
      </c>
      <c r="J116" s="65">
        <f t="shared" si="76"/>
        <v>2.3253488210931725</v>
      </c>
      <c r="K116" s="65">
        <f t="shared" si="76"/>
        <v>2.9406400480872912</v>
      </c>
      <c r="L116" s="65">
        <f t="shared" si="76"/>
        <v>3.3349102805942925</v>
      </c>
      <c r="M116" s="65">
        <f t="shared" si="76"/>
        <v>3.5710107815717036</v>
      </c>
      <c r="N116" s="65">
        <f t="shared" si="76"/>
        <v>4.0301633929445115</v>
      </c>
      <c r="O116" s="65">
        <f t="shared" si="76"/>
        <v>4.8866489518608196</v>
      </c>
      <c r="P116" s="65">
        <f t="shared" si="76"/>
        <v>6.0544469905490388</v>
      </c>
      <c r="Q116" s="65">
        <f t="shared" si="76"/>
        <v>9.1624888386740668</v>
      </c>
      <c r="R116" s="65">
        <f t="shared" si="76"/>
        <v>10.408192454080462</v>
      </c>
      <c r="S116" s="65">
        <f t="shared" si="76"/>
        <v>10.384243331970874</v>
      </c>
      <c r="T116" s="65">
        <f t="shared" si="76"/>
        <v>13.234545790537165</v>
      </c>
      <c r="U116" s="65">
        <f t="shared" si="76"/>
        <v>14.486996160033144</v>
      </c>
      <c r="V116" s="65">
        <f t="shared" si="76"/>
        <v>17.159995565461497</v>
      </c>
      <c r="W116" s="65">
        <f t="shared" si="76"/>
        <v>12.633281475934639</v>
      </c>
      <c r="DA116" s="109"/>
    </row>
    <row r="117" spans="1:105" ht="12" customHeight="1" x14ac:dyDescent="0.25">
      <c r="A117" s="61" t="s">
        <v>35</v>
      </c>
      <c r="B117" s="65">
        <f t="shared" ref="B117" si="77">B85*1000000/B$8</f>
        <v>4136.8511149057713</v>
      </c>
      <c r="C117" s="65">
        <f t="shared" ref="C117:W117" si="78">C85*1000000/C$8</f>
        <v>4091.2023780808836</v>
      </c>
      <c r="D117" s="65">
        <f t="shared" si="78"/>
        <v>3915.2144470717567</v>
      </c>
      <c r="E117" s="65">
        <f t="shared" si="78"/>
        <v>3885.78350441357</v>
      </c>
      <c r="F117" s="65">
        <f t="shared" si="78"/>
        <v>3782.3038117051883</v>
      </c>
      <c r="G117" s="65">
        <f t="shared" si="78"/>
        <v>3634.6680650160242</v>
      </c>
      <c r="H117" s="65">
        <f t="shared" si="78"/>
        <v>3549.0786982036225</v>
      </c>
      <c r="I117" s="65">
        <f t="shared" si="78"/>
        <v>3463.7803345214911</v>
      </c>
      <c r="J117" s="65">
        <f t="shared" si="78"/>
        <v>3348.7860070420361</v>
      </c>
      <c r="K117" s="65">
        <f t="shared" si="78"/>
        <v>3353.46311702105</v>
      </c>
      <c r="L117" s="65">
        <f t="shared" si="78"/>
        <v>3285.939713901806</v>
      </c>
      <c r="M117" s="65">
        <f t="shared" si="78"/>
        <v>3265.853073666146</v>
      </c>
      <c r="N117" s="65">
        <f t="shared" si="78"/>
        <v>3259.6768890518147</v>
      </c>
      <c r="O117" s="65">
        <f t="shared" si="78"/>
        <v>3242.7320643664643</v>
      </c>
      <c r="P117" s="65">
        <f t="shared" si="78"/>
        <v>3221.3308472356398</v>
      </c>
      <c r="Q117" s="65">
        <f t="shared" si="78"/>
        <v>3204.2260540528414</v>
      </c>
      <c r="R117" s="65">
        <f t="shared" si="78"/>
        <v>3126.2098990507502</v>
      </c>
      <c r="S117" s="65">
        <f t="shared" si="78"/>
        <v>3069.620358008292</v>
      </c>
      <c r="T117" s="65">
        <f t="shared" si="78"/>
        <v>2972.6219592019474</v>
      </c>
      <c r="U117" s="65">
        <f t="shared" si="78"/>
        <v>2879.2028112261273</v>
      </c>
      <c r="V117" s="65">
        <f t="shared" si="78"/>
        <v>2649.3356156385862</v>
      </c>
      <c r="W117" s="65">
        <f t="shared" si="78"/>
        <v>2791.9015062978742</v>
      </c>
      <c r="DA117" s="109"/>
    </row>
    <row r="118" spans="1:105" ht="12" customHeight="1" x14ac:dyDescent="0.25">
      <c r="A118" s="66" t="s">
        <v>34</v>
      </c>
      <c r="B118" s="67">
        <f t="shared" ref="B118" si="79">B86*1000000/B$8</f>
        <v>2655.9129921678682</v>
      </c>
      <c r="C118" s="67">
        <f t="shared" ref="C118:W118" si="80">C86*1000000/C$8</f>
        <v>2621.6329494340216</v>
      </c>
      <c r="D118" s="67">
        <f t="shared" si="80"/>
        <v>2316.043635909758</v>
      </c>
      <c r="E118" s="67">
        <f t="shared" si="80"/>
        <v>2139.9464657394169</v>
      </c>
      <c r="F118" s="67">
        <f t="shared" si="80"/>
        <v>2122.5630800621566</v>
      </c>
      <c r="G118" s="67">
        <f t="shared" si="80"/>
        <v>1742.3599846621357</v>
      </c>
      <c r="H118" s="67">
        <f t="shared" si="80"/>
        <v>1696.9721872068503</v>
      </c>
      <c r="I118" s="67">
        <f t="shared" si="80"/>
        <v>1661.3861610438107</v>
      </c>
      <c r="J118" s="67">
        <f t="shared" si="80"/>
        <v>1680.2984581959829</v>
      </c>
      <c r="K118" s="67">
        <f t="shared" si="80"/>
        <v>1694.8723142973713</v>
      </c>
      <c r="L118" s="67">
        <f t="shared" si="80"/>
        <v>1700.3234804078513</v>
      </c>
      <c r="M118" s="67">
        <f t="shared" si="80"/>
        <v>1653.6389445304103</v>
      </c>
      <c r="N118" s="67">
        <f t="shared" si="80"/>
        <v>1682.6500474582708</v>
      </c>
      <c r="O118" s="67">
        <f t="shared" si="80"/>
        <v>1716.8179567105403</v>
      </c>
      <c r="P118" s="67">
        <f t="shared" si="80"/>
        <v>1694.6460380913625</v>
      </c>
      <c r="Q118" s="67">
        <f t="shared" si="80"/>
        <v>1773.4182744657444</v>
      </c>
      <c r="R118" s="67">
        <f t="shared" si="80"/>
        <v>1727.5297812209337</v>
      </c>
      <c r="S118" s="67">
        <f t="shared" si="80"/>
        <v>1736.6985295327677</v>
      </c>
      <c r="T118" s="67">
        <f t="shared" si="80"/>
        <v>1723.0885053383463</v>
      </c>
      <c r="U118" s="67">
        <f t="shared" si="80"/>
        <v>1728.4478961976306</v>
      </c>
      <c r="V118" s="67">
        <f t="shared" si="80"/>
        <v>1651.8086818226575</v>
      </c>
      <c r="W118" s="67">
        <f t="shared" si="80"/>
        <v>1751.1432175952457</v>
      </c>
      <c r="DA118" s="110"/>
    </row>
    <row r="119" spans="1:105" ht="12" customHeight="1" x14ac:dyDescent="0.25">
      <c r="A119" s="78" t="s">
        <v>33</v>
      </c>
      <c r="B119" s="68">
        <f t="shared" ref="B119" si="81">B87*1000000/B$8</f>
        <v>0</v>
      </c>
      <c r="C119" s="68">
        <f t="shared" ref="C119:W119" si="82">C87*1000000/C$8</f>
        <v>0</v>
      </c>
      <c r="D119" s="68">
        <f t="shared" si="82"/>
        <v>0</v>
      </c>
      <c r="E119" s="68">
        <f t="shared" si="82"/>
        <v>0</v>
      </c>
      <c r="F119" s="68">
        <f t="shared" si="82"/>
        <v>0</v>
      </c>
      <c r="G119" s="68">
        <f t="shared" si="82"/>
        <v>0</v>
      </c>
      <c r="H119" s="68">
        <f t="shared" si="82"/>
        <v>0</v>
      </c>
      <c r="I119" s="68">
        <f t="shared" si="82"/>
        <v>0</v>
      </c>
      <c r="J119" s="68">
        <f t="shared" si="82"/>
        <v>0</v>
      </c>
      <c r="K119" s="68">
        <f t="shared" si="82"/>
        <v>0</v>
      </c>
      <c r="L119" s="68">
        <f t="shared" si="82"/>
        <v>0</v>
      </c>
      <c r="M119" s="68">
        <f t="shared" si="82"/>
        <v>0</v>
      </c>
      <c r="N119" s="68">
        <f t="shared" si="82"/>
        <v>0</v>
      </c>
      <c r="O119" s="68">
        <f t="shared" si="82"/>
        <v>0</v>
      </c>
      <c r="P119" s="68">
        <f t="shared" si="82"/>
        <v>0</v>
      </c>
      <c r="Q119" s="68">
        <f t="shared" si="82"/>
        <v>0</v>
      </c>
      <c r="R119" s="68">
        <f t="shared" si="82"/>
        <v>0</v>
      </c>
      <c r="S119" s="68">
        <f t="shared" si="82"/>
        <v>0</v>
      </c>
      <c r="T119" s="68">
        <f t="shared" si="82"/>
        <v>0</v>
      </c>
      <c r="U119" s="68">
        <f t="shared" si="82"/>
        <v>0</v>
      </c>
      <c r="V119" s="68">
        <f t="shared" si="82"/>
        <v>0</v>
      </c>
      <c r="W119" s="68">
        <f t="shared" si="82"/>
        <v>0</v>
      </c>
      <c r="DA119" s="111"/>
    </row>
    <row r="121" spans="1:105" ht="12.95" customHeight="1" x14ac:dyDescent="0.25">
      <c r="A121" s="79" t="s">
        <v>30</v>
      </c>
      <c r="B121" s="86">
        <f t="shared" ref="B121" si="83">IF(B107=0,"",B107/B100)</f>
        <v>0.58175435847436574</v>
      </c>
      <c r="C121" s="86">
        <f t="shared" ref="C121:W121" si="84">IF(C107=0,"",C107/C100)</f>
        <v>0.58855210753909815</v>
      </c>
      <c r="D121" s="86">
        <f t="shared" si="84"/>
        <v>0.58697305716501713</v>
      </c>
      <c r="E121" s="86">
        <f t="shared" si="84"/>
        <v>0.59341974439530476</v>
      </c>
      <c r="F121" s="86">
        <f t="shared" si="84"/>
        <v>0.62797901976614301</v>
      </c>
      <c r="G121" s="86">
        <f t="shared" si="84"/>
        <v>0.63758483692291912</v>
      </c>
      <c r="H121" s="86">
        <f t="shared" si="84"/>
        <v>0.65775907171071146</v>
      </c>
      <c r="I121" s="86">
        <f t="shared" si="84"/>
        <v>0.67282723274616352</v>
      </c>
      <c r="J121" s="86">
        <f t="shared" si="84"/>
        <v>0.67539090230773624</v>
      </c>
      <c r="K121" s="86">
        <f t="shared" si="84"/>
        <v>0.69615205179434847</v>
      </c>
      <c r="L121" s="86">
        <f t="shared" si="84"/>
        <v>0.70765009448390581</v>
      </c>
      <c r="M121" s="86">
        <f t="shared" si="84"/>
        <v>0.72972172589731832</v>
      </c>
      <c r="N121" s="86">
        <f t="shared" si="84"/>
        <v>0.74397152632266883</v>
      </c>
      <c r="O121" s="86">
        <f t="shared" si="84"/>
        <v>0.7553745717345518</v>
      </c>
      <c r="P121" s="86">
        <f t="shared" si="84"/>
        <v>0.77360656499928115</v>
      </c>
      <c r="Q121" s="86">
        <f t="shared" si="84"/>
        <v>0.78065188947761743</v>
      </c>
      <c r="R121" s="86">
        <f t="shared" si="84"/>
        <v>0.79195732679006181</v>
      </c>
      <c r="S121" s="86">
        <f t="shared" si="84"/>
        <v>0.80087997666609179</v>
      </c>
      <c r="T121" s="86">
        <f t="shared" si="84"/>
        <v>0.8248747261251822</v>
      </c>
      <c r="U121" s="86">
        <f t="shared" si="84"/>
        <v>0.83754921379305181</v>
      </c>
      <c r="V121" s="86">
        <f t="shared" si="84"/>
        <v>0.85853759573023081</v>
      </c>
      <c r="W121" s="86">
        <f t="shared" si="84"/>
        <v>0.85985945652085716</v>
      </c>
      <c r="DA121" s="119" t="s">
        <v>238</v>
      </c>
    </row>
    <row r="122" spans="1:105" ht="12" customHeight="1" x14ac:dyDescent="0.25">
      <c r="A122" s="61" t="s">
        <v>32</v>
      </c>
      <c r="B122" s="75">
        <f t="shared" ref="B122" si="85">IF(B108=0,"",B108/B101)</f>
        <v>0.56191471927600323</v>
      </c>
      <c r="C122" s="75">
        <f t="shared" ref="C122:W122" si="86">IF(C108=0,"",C108/C101)</f>
        <v>0.5670358133391854</v>
      </c>
      <c r="D122" s="75">
        <f t="shared" si="86"/>
        <v>0.55759406566586089</v>
      </c>
      <c r="E122" s="75">
        <f t="shared" si="86"/>
        <v>0.5581490132523268</v>
      </c>
      <c r="F122" s="75">
        <f t="shared" si="86"/>
        <v>0.60576578141151949</v>
      </c>
      <c r="G122" s="75">
        <f t="shared" si="86"/>
        <v>0.60984141846648465</v>
      </c>
      <c r="H122" s="75">
        <f t="shared" si="86"/>
        <v>0.61907769258766421</v>
      </c>
      <c r="I122" s="75">
        <f t="shared" si="86"/>
        <v>0.63458289996763895</v>
      </c>
      <c r="J122" s="75">
        <f t="shared" si="86"/>
        <v>0.63642892160089271</v>
      </c>
      <c r="K122" s="75">
        <f t="shared" si="86"/>
        <v>0.65385642837978941</v>
      </c>
      <c r="L122" s="75">
        <f t="shared" si="86"/>
        <v>0.66190809103934534</v>
      </c>
      <c r="M122" s="75">
        <f t="shared" si="86"/>
        <v>0.67562324281037067</v>
      </c>
      <c r="N122" s="75">
        <f t="shared" si="86"/>
        <v>0.69109630960804425</v>
      </c>
      <c r="O122" s="75">
        <f t="shared" si="86"/>
        <v>0.70322920443900849</v>
      </c>
      <c r="P122" s="75">
        <f t="shared" si="86"/>
        <v>0.70900898986707261</v>
      </c>
      <c r="Q122" s="75">
        <f t="shared" si="86"/>
        <v>0.71290279749231722</v>
      </c>
      <c r="R122" s="75">
        <f t="shared" si="86"/>
        <v>0.72390557573177428</v>
      </c>
      <c r="S122" s="75">
        <f t="shared" si="86"/>
        <v>0.73495881308147737</v>
      </c>
      <c r="T122" s="75">
        <f t="shared" si="86"/>
        <v>0.74976204248915335</v>
      </c>
      <c r="U122" s="75">
        <f t="shared" si="86"/>
        <v>0.76454947070464041</v>
      </c>
      <c r="V122" s="75">
        <f t="shared" si="86"/>
        <v>0.77527889518918358</v>
      </c>
      <c r="W122" s="75">
        <f t="shared" si="86"/>
        <v>0.79611467234856326</v>
      </c>
      <c r="DA122" s="120" t="s">
        <v>239</v>
      </c>
    </row>
    <row r="123" spans="1:105" ht="12" customHeight="1" x14ac:dyDescent="0.25">
      <c r="A123" s="61" t="s">
        <v>31</v>
      </c>
      <c r="B123" s="76">
        <f t="shared" ref="B123" si="87">IF(B109=0,"",B109/B102)</f>
        <v>2.0467028517445383</v>
      </c>
      <c r="C123" s="76">
        <f t="shared" ref="C123:W123" si="88">IF(C109=0,"",C109/C102)</f>
        <v>2.2180185796149172</v>
      </c>
      <c r="D123" s="76">
        <f t="shared" si="88"/>
        <v>2.3948047178370215</v>
      </c>
      <c r="E123" s="76">
        <f t="shared" si="88"/>
        <v>2.5108388864800011</v>
      </c>
      <c r="F123" s="76">
        <f t="shared" si="88"/>
        <v>2.6287659466834103</v>
      </c>
      <c r="G123" s="76">
        <f t="shared" si="88"/>
        <v>2.7415581194052367</v>
      </c>
      <c r="H123" s="76">
        <f t="shared" si="88"/>
        <v>2.8497042249060329</v>
      </c>
      <c r="I123" s="76">
        <f t="shared" si="88"/>
        <v>2.959849605454973</v>
      </c>
      <c r="J123" s="76">
        <f t="shared" si="88"/>
        <v>3.058084779079917</v>
      </c>
      <c r="K123" s="76">
        <f t="shared" si="88"/>
        <v>3.1231453811836216</v>
      </c>
      <c r="L123" s="76">
        <f t="shared" si="88"/>
        <v>3.2043456250797688</v>
      </c>
      <c r="M123" s="76">
        <f t="shared" si="88"/>
        <v>3.3003825072853115</v>
      </c>
      <c r="N123" s="76">
        <f t="shared" si="88"/>
        <v>3.397539890065655</v>
      </c>
      <c r="O123" s="76">
        <f t="shared" si="88"/>
        <v>3.5041575171878616</v>
      </c>
      <c r="P123" s="76">
        <f t="shared" si="88"/>
        <v>3.6187938556786521</v>
      </c>
      <c r="Q123" s="76">
        <f t="shared" si="88"/>
        <v>3.7377124736626626</v>
      </c>
      <c r="R123" s="76">
        <f t="shared" si="88"/>
        <v>3.870358447936125</v>
      </c>
      <c r="S123" s="76">
        <f t="shared" si="88"/>
        <v>3.9956180107318562</v>
      </c>
      <c r="T123" s="76">
        <f t="shared" si="88"/>
        <v>4.1101484214585025</v>
      </c>
      <c r="U123" s="76">
        <f t="shared" si="88"/>
        <v>4.2226846547392913</v>
      </c>
      <c r="V123" s="76">
        <f t="shared" si="88"/>
        <v>4.3118802177476194</v>
      </c>
      <c r="W123" s="76">
        <f t="shared" si="88"/>
        <v>4.457517898608379</v>
      </c>
      <c r="DA123" s="121" t="s">
        <v>240</v>
      </c>
    </row>
    <row r="124" spans="1:105" ht="12" customHeight="1" x14ac:dyDescent="0.25">
      <c r="A124" s="61" t="s">
        <v>35</v>
      </c>
      <c r="B124" s="76">
        <f t="shared" ref="B124" si="89">IF(B110=0,"",B110/B103)</f>
        <v>0.59086477016139172</v>
      </c>
      <c r="C124" s="76">
        <f t="shared" ref="C124:W124" si="90">IF(C110=0,"",C110/C103)</f>
        <v>0.59438352491886814</v>
      </c>
      <c r="D124" s="76">
        <f t="shared" si="90"/>
        <v>0.6025465397503148</v>
      </c>
      <c r="E124" s="76">
        <f t="shared" si="90"/>
        <v>0.60705595978492155</v>
      </c>
      <c r="F124" s="76">
        <f t="shared" si="90"/>
        <v>0.61231739449038747</v>
      </c>
      <c r="G124" s="76">
        <f t="shared" si="90"/>
        <v>0.61881281185785764</v>
      </c>
      <c r="H124" s="76">
        <f t="shared" si="90"/>
        <v>0.62549922717418205</v>
      </c>
      <c r="I124" s="76">
        <f t="shared" si="90"/>
        <v>0.63201918685173775</v>
      </c>
      <c r="J124" s="76">
        <f t="shared" si="90"/>
        <v>0.63982682125075807</v>
      </c>
      <c r="K124" s="76">
        <f t="shared" si="90"/>
        <v>0.64637151231158207</v>
      </c>
      <c r="L124" s="76">
        <f t="shared" si="90"/>
        <v>0.65379385885358743</v>
      </c>
      <c r="M124" s="76">
        <f t="shared" si="90"/>
        <v>0.66209935055012714</v>
      </c>
      <c r="N124" s="76">
        <f t="shared" si="90"/>
        <v>0.67227050476806671</v>
      </c>
      <c r="O124" s="76">
        <f t="shared" si="90"/>
        <v>0.683568424144125</v>
      </c>
      <c r="P124" s="76">
        <f t="shared" si="90"/>
        <v>0.68913230478196219</v>
      </c>
      <c r="Q124" s="76">
        <f t="shared" si="90"/>
        <v>0.6966026603138904</v>
      </c>
      <c r="R124" s="76">
        <f t="shared" si="90"/>
        <v>0.70778541830991792</v>
      </c>
      <c r="S124" s="76">
        <f t="shared" si="90"/>
        <v>0.72193145761297894</v>
      </c>
      <c r="T124" s="76">
        <f t="shared" si="90"/>
        <v>0.73781266262204181</v>
      </c>
      <c r="U124" s="76">
        <f t="shared" si="90"/>
        <v>0.75367723231587613</v>
      </c>
      <c r="V124" s="76">
        <f t="shared" si="90"/>
        <v>0.77098838128907521</v>
      </c>
      <c r="W124" s="76">
        <f t="shared" si="90"/>
        <v>0.78593009639879396</v>
      </c>
      <c r="DA124" s="121" t="s">
        <v>241</v>
      </c>
    </row>
    <row r="125" spans="1:105" ht="12" customHeight="1" x14ac:dyDescent="0.25">
      <c r="A125" s="74" t="s">
        <v>34</v>
      </c>
      <c r="B125" s="56">
        <f t="shared" ref="B125" si="91">IF(B111=0,"",B111/B104)</f>
        <v>0.66465670238846952</v>
      </c>
      <c r="C125" s="56">
        <f t="shared" ref="C125:W125" si="92">IF(C111=0,"",C111/C104)</f>
        <v>0.67000219052305443</v>
      </c>
      <c r="D125" s="56">
        <f t="shared" si="92"/>
        <v>0.68675857559436126</v>
      </c>
      <c r="E125" s="56">
        <f t="shared" si="92"/>
        <v>0.69450672016529202</v>
      </c>
      <c r="F125" s="56">
        <f t="shared" si="92"/>
        <v>0.69927441011735225</v>
      </c>
      <c r="G125" s="56">
        <f t="shared" si="92"/>
        <v>0.72271866245554994</v>
      </c>
      <c r="H125" s="56">
        <f t="shared" si="92"/>
        <v>0.72595616996896872</v>
      </c>
      <c r="I125" s="56">
        <f t="shared" si="92"/>
        <v>0.73102560946025752</v>
      </c>
      <c r="J125" s="56">
        <f t="shared" si="92"/>
        <v>0.73128195773941318</v>
      </c>
      <c r="K125" s="56">
        <f t="shared" si="92"/>
        <v>0.73336632033075555</v>
      </c>
      <c r="L125" s="56">
        <f t="shared" si="92"/>
        <v>0.73357023307132796</v>
      </c>
      <c r="M125" s="56">
        <f t="shared" si="92"/>
        <v>0.73547318926591609</v>
      </c>
      <c r="N125" s="56">
        <f t="shared" si="92"/>
        <v>0.73620569284651938</v>
      </c>
      <c r="O125" s="56">
        <f t="shared" si="92"/>
        <v>0.73647292532292818</v>
      </c>
      <c r="P125" s="56">
        <f t="shared" si="92"/>
        <v>0.7380771616024262</v>
      </c>
      <c r="Q125" s="56">
        <f t="shared" si="92"/>
        <v>0.73687273626536587</v>
      </c>
      <c r="R125" s="56">
        <f t="shared" si="92"/>
        <v>0.73990872868788626</v>
      </c>
      <c r="S125" s="56">
        <f t="shared" si="92"/>
        <v>0.74099190655365355</v>
      </c>
      <c r="T125" s="56">
        <f t="shared" si="92"/>
        <v>0.74351435075897609</v>
      </c>
      <c r="U125" s="56">
        <f t="shared" si="92"/>
        <v>0.74504640697325297</v>
      </c>
      <c r="V125" s="56">
        <f t="shared" si="92"/>
        <v>0.74727668396488078</v>
      </c>
      <c r="W125" s="56">
        <f t="shared" si="92"/>
        <v>0.74889531023217881</v>
      </c>
      <c r="DA125" s="122" t="s">
        <v>242</v>
      </c>
    </row>
    <row r="126" spans="1:105" s="2" customFormat="1" ht="12" customHeight="1" x14ac:dyDescent="0.25">
      <c r="DA126" s="7"/>
    </row>
    <row r="127" spans="1:105" s="2" customFormat="1" ht="6.6" customHeight="1" x14ac:dyDescent="0.25">
      <c r="A127" s="30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DA127" s="32"/>
    </row>
    <row r="128" spans="1:105" s="2" customFormat="1" ht="12" customHeight="1" x14ac:dyDescent="0.25">
      <c r="DA128" s="7"/>
    </row>
    <row r="129" spans="1:105" ht="12.95" customHeight="1" x14ac:dyDescent="0.25">
      <c r="A129" s="81" t="s">
        <v>42</v>
      </c>
      <c r="B129" s="82">
        <f t="shared" ref="B129" si="93">IF(B99=0,0,B99/B$26)</f>
        <v>233.38858830981752</v>
      </c>
      <c r="C129" s="82">
        <f t="shared" ref="C129:W129" si="94">IF(C99=0,0,C99/C$26)</f>
        <v>242.07340989913178</v>
      </c>
      <c r="D129" s="82">
        <f t="shared" si="94"/>
        <v>239.70142268726664</v>
      </c>
      <c r="E129" s="82">
        <f t="shared" si="94"/>
        <v>249.97582384034584</v>
      </c>
      <c r="F129" s="82">
        <f t="shared" si="94"/>
        <v>281.80537291496705</v>
      </c>
      <c r="G129" s="82">
        <f t="shared" si="94"/>
        <v>277.87161823171454</v>
      </c>
      <c r="H129" s="82">
        <f t="shared" si="94"/>
        <v>264.3376928068426</v>
      </c>
      <c r="I129" s="82">
        <f t="shared" si="94"/>
        <v>247.31399224024929</v>
      </c>
      <c r="J129" s="82">
        <f t="shared" si="94"/>
        <v>268.42168642062262</v>
      </c>
      <c r="K129" s="82">
        <f t="shared" si="94"/>
        <v>264.91551807293433</v>
      </c>
      <c r="L129" s="82">
        <f t="shared" si="94"/>
        <v>275.21901171844729</v>
      </c>
      <c r="M129" s="82">
        <f t="shared" si="94"/>
        <v>238.9774678881287</v>
      </c>
      <c r="N129" s="82">
        <f t="shared" si="94"/>
        <v>249.01639176770604</v>
      </c>
      <c r="O129" s="82">
        <f t="shared" si="94"/>
        <v>262.83487412362342</v>
      </c>
      <c r="P129" s="82">
        <f t="shared" si="94"/>
        <v>225.9297867389331</v>
      </c>
      <c r="Q129" s="82">
        <f t="shared" si="94"/>
        <v>244.57001011338457</v>
      </c>
      <c r="R129" s="82">
        <f t="shared" si="94"/>
        <v>244.20644719208806</v>
      </c>
      <c r="S129" s="82">
        <f t="shared" si="94"/>
        <v>241.74265131796653</v>
      </c>
      <c r="T129" s="82">
        <f t="shared" si="94"/>
        <v>240.28947415780885</v>
      </c>
      <c r="U129" s="82">
        <f t="shared" si="94"/>
        <v>234.94135606772264</v>
      </c>
      <c r="V129" s="82">
        <f t="shared" si="94"/>
        <v>222.25319010408776</v>
      </c>
      <c r="W129" s="82">
        <f t="shared" si="94"/>
        <v>226.40888078101949</v>
      </c>
      <c r="DA129" s="107"/>
    </row>
    <row r="130" spans="1:105" ht="12" customHeight="1" x14ac:dyDescent="0.25">
      <c r="A130" s="77" t="s">
        <v>36</v>
      </c>
      <c r="B130" s="64">
        <f t="shared" ref="B130" si="95">IF(B100=0,0,B100/B$26)</f>
        <v>185.90206429413766</v>
      </c>
      <c r="C130" s="64">
        <f t="shared" ref="C130:W130" si="96">IF(C100=0,0,C100/C$26)</f>
        <v>192.91893445953826</v>
      </c>
      <c r="D130" s="64">
        <f t="shared" si="96"/>
        <v>189.81548775878116</v>
      </c>
      <c r="E130" s="64">
        <f t="shared" si="96"/>
        <v>198.7121850704859</v>
      </c>
      <c r="F130" s="64">
        <f t="shared" si="96"/>
        <v>227.67547492026222</v>
      </c>
      <c r="G130" s="64">
        <f t="shared" si="96"/>
        <v>222.0031737925641</v>
      </c>
      <c r="H130" s="64">
        <f t="shared" si="96"/>
        <v>206.50140561715853</v>
      </c>
      <c r="I130" s="64">
        <f t="shared" si="96"/>
        <v>188.01648514369904</v>
      </c>
      <c r="J130" s="64">
        <f t="shared" si="96"/>
        <v>207.81659649966375</v>
      </c>
      <c r="K130" s="64">
        <f t="shared" si="96"/>
        <v>202.54497649741984</v>
      </c>
      <c r="L130" s="64">
        <f t="shared" si="96"/>
        <v>212.24664159311874</v>
      </c>
      <c r="M130" s="64">
        <f t="shared" si="96"/>
        <v>175.4249733784915</v>
      </c>
      <c r="N130" s="64">
        <f t="shared" si="96"/>
        <v>184.42230430963565</v>
      </c>
      <c r="O130" s="64">
        <f t="shared" si="96"/>
        <v>196.95495999869107</v>
      </c>
      <c r="P130" s="64">
        <f t="shared" si="96"/>
        <v>159.97812170243529</v>
      </c>
      <c r="Q130" s="64">
        <f t="shared" si="96"/>
        <v>178.18672802594017</v>
      </c>
      <c r="R130" s="64">
        <f t="shared" si="96"/>
        <v>177.04878547754001</v>
      </c>
      <c r="S130" s="64">
        <f t="shared" si="96"/>
        <v>174.30549484699264</v>
      </c>
      <c r="T130" s="64">
        <f t="shared" si="96"/>
        <v>173.85774100885919</v>
      </c>
      <c r="U130" s="64">
        <f t="shared" si="96"/>
        <v>171.45134006629812</v>
      </c>
      <c r="V130" s="64">
        <f t="shared" si="96"/>
        <v>163.50263482611774</v>
      </c>
      <c r="W130" s="64">
        <f t="shared" si="96"/>
        <v>169.26454132806919</v>
      </c>
      <c r="DA130" s="108"/>
    </row>
    <row r="131" spans="1:105" ht="12" customHeight="1" x14ac:dyDescent="0.25">
      <c r="A131" s="61" t="s">
        <v>32</v>
      </c>
      <c r="B131" s="65">
        <f t="shared" ref="B131" si="97">IF(B101=0,0,B101/B$26)</f>
        <v>144.66868508124085</v>
      </c>
      <c r="C131" s="65">
        <f t="shared" ref="C131:W131" si="98">IF(C101=0,0,C101/C$26)</f>
        <v>151.37480430986437</v>
      </c>
      <c r="D131" s="65">
        <f t="shared" si="98"/>
        <v>148.74581409993806</v>
      </c>
      <c r="E131" s="65">
        <f t="shared" si="98"/>
        <v>157.59954600182297</v>
      </c>
      <c r="F131" s="65">
        <f t="shared" si="98"/>
        <v>187.05541908142848</v>
      </c>
      <c r="G131" s="65">
        <f t="shared" si="98"/>
        <v>181.96772290668704</v>
      </c>
      <c r="H131" s="65">
        <f t="shared" si="98"/>
        <v>166.01114472507993</v>
      </c>
      <c r="I131" s="65">
        <f t="shared" si="98"/>
        <v>148.0129003963394</v>
      </c>
      <c r="J131" s="65">
        <f t="shared" si="98"/>
        <v>167.75917829628665</v>
      </c>
      <c r="K131" s="65">
        <f t="shared" si="98"/>
        <v>161.69268679047704</v>
      </c>
      <c r="L131" s="65">
        <f t="shared" si="98"/>
        <v>171.25739472526311</v>
      </c>
      <c r="M131" s="65">
        <f t="shared" si="98"/>
        <v>134.75375182348961</v>
      </c>
      <c r="N131" s="65">
        <f t="shared" si="98"/>
        <v>143.26598232050665</v>
      </c>
      <c r="O131" s="65">
        <f t="shared" si="98"/>
        <v>155.50041117804912</v>
      </c>
      <c r="P131" s="65">
        <f t="shared" si="98"/>
        <v>118.64573961899926</v>
      </c>
      <c r="Q131" s="65">
        <f t="shared" si="98"/>
        <v>136.22666279952321</v>
      </c>
      <c r="R131" s="65">
        <f t="shared" si="98"/>
        <v>135.78302283820403</v>
      </c>
      <c r="S131" s="65">
        <f t="shared" si="98"/>
        <v>133.62866047246052</v>
      </c>
      <c r="T131" s="65">
        <f t="shared" si="98"/>
        <v>133.35465456309782</v>
      </c>
      <c r="U131" s="65">
        <f t="shared" si="98"/>
        <v>131.6742979693872</v>
      </c>
      <c r="V131" s="65">
        <f t="shared" si="98"/>
        <v>125.57700995522553</v>
      </c>
      <c r="W131" s="65">
        <f t="shared" si="98"/>
        <v>130.60420406926846</v>
      </c>
      <c r="DA131" s="109"/>
    </row>
    <row r="132" spans="1:105" ht="12" customHeight="1" x14ac:dyDescent="0.25">
      <c r="A132" s="61" t="s">
        <v>31</v>
      </c>
      <c r="B132" s="65">
        <f t="shared" ref="B132" si="99">IF(B102=0,0,B102/B$26)</f>
        <v>0.86857448723681152</v>
      </c>
      <c r="C132" s="65">
        <f t="shared" ref="C132:W132" si="100">IF(C102=0,0,C102/C$26)</f>
        <v>1.0690528026347605</v>
      </c>
      <c r="D132" s="65">
        <f t="shared" si="100"/>
        <v>1.3059129626384314</v>
      </c>
      <c r="E132" s="65">
        <f t="shared" si="100"/>
        <v>1.8903395936010337</v>
      </c>
      <c r="F132" s="65">
        <f t="shared" si="100"/>
        <v>1.6756569319166894</v>
      </c>
      <c r="G132" s="65">
        <f t="shared" si="100"/>
        <v>1.954343071982207</v>
      </c>
      <c r="H132" s="65">
        <f t="shared" si="100"/>
        <v>2.7626336391381918</v>
      </c>
      <c r="I132" s="65">
        <f t="shared" si="100"/>
        <v>2.4545175316966152</v>
      </c>
      <c r="J132" s="65">
        <f t="shared" si="100"/>
        <v>2.6838384581638093</v>
      </c>
      <c r="K132" s="65">
        <f t="shared" si="100"/>
        <v>3.0075970067372122</v>
      </c>
      <c r="L132" s="65">
        <f t="shared" si="100"/>
        <v>3.4247521015985174</v>
      </c>
      <c r="M132" s="65">
        <f t="shared" si="100"/>
        <v>3.3547411092088</v>
      </c>
      <c r="N132" s="65">
        <f t="shared" si="100"/>
        <v>3.4750570925864896</v>
      </c>
      <c r="O132" s="65">
        <f t="shared" si="100"/>
        <v>3.6180292002083414</v>
      </c>
      <c r="P132" s="65">
        <f t="shared" si="100"/>
        <v>3.5304015920145253</v>
      </c>
      <c r="Q132" s="65">
        <f t="shared" si="100"/>
        <v>3.9706892517030266</v>
      </c>
      <c r="R132" s="65">
        <f t="shared" si="100"/>
        <v>3.8506433703227789</v>
      </c>
      <c r="S132" s="65">
        <f t="shared" si="100"/>
        <v>3.5750169203567674</v>
      </c>
      <c r="T132" s="65">
        <f t="shared" si="100"/>
        <v>3.9879726420416866</v>
      </c>
      <c r="U132" s="65">
        <f t="shared" si="100"/>
        <v>3.7734962445647486</v>
      </c>
      <c r="V132" s="65">
        <f t="shared" si="100"/>
        <v>3.9955933953133012</v>
      </c>
      <c r="W132" s="65">
        <f t="shared" si="100"/>
        <v>3.2117912986502191</v>
      </c>
      <c r="DA132" s="109"/>
    </row>
    <row r="133" spans="1:105" ht="12" customHeight="1" x14ac:dyDescent="0.25">
      <c r="A133" s="61" t="s">
        <v>35</v>
      </c>
      <c r="B133" s="65">
        <f t="shared" ref="B133" si="101">IF(B103=0,0,B103/B$26)</f>
        <v>23.696076815939421</v>
      </c>
      <c r="C133" s="65">
        <f t="shared" ref="C133:W133" si="102">IF(C103=0,0,C103/C$26)</f>
        <v>23.561104513678398</v>
      </c>
      <c r="D133" s="65">
        <f t="shared" si="102"/>
        <v>23.259338740618102</v>
      </c>
      <c r="E133" s="65">
        <f t="shared" si="102"/>
        <v>23.222047862949676</v>
      </c>
      <c r="F133" s="65">
        <f t="shared" si="102"/>
        <v>22.701814012659369</v>
      </c>
      <c r="G133" s="65">
        <f t="shared" si="102"/>
        <v>22.188060648617025</v>
      </c>
      <c r="H133" s="65">
        <f t="shared" si="102"/>
        <v>21.968776164425172</v>
      </c>
      <c r="I133" s="65">
        <f t="shared" si="102"/>
        <v>21.5963428802843</v>
      </c>
      <c r="J133" s="65">
        <f t="shared" si="102"/>
        <v>21.293330088662913</v>
      </c>
      <c r="K133" s="65">
        <f t="shared" si="102"/>
        <v>21.482746876979572</v>
      </c>
      <c r="L133" s="65">
        <f t="shared" si="102"/>
        <v>21.191535124472281</v>
      </c>
      <c r="M133" s="65">
        <f t="shared" si="102"/>
        <v>21.104963767188895</v>
      </c>
      <c r="N133" s="65">
        <f t="shared" si="102"/>
        <v>21.169176354651636</v>
      </c>
      <c r="O133" s="65">
        <f t="shared" si="102"/>
        <v>21.196275664626508</v>
      </c>
      <c r="P133" s="65">
        <f t="shared" si="102"/>
        <v>21.19415429417997</v>
      </c>
      <c r="Q133" s="65">
        <f t="shared" si="102"/>
        <v>21.087451118574652</v>
      </c>
      <c r="R133" s="65">
        <f t="shared" si="102"/>
        <v>20.737211906003541</v>
      </c>
      <c r="S133" s="65">
        <f t="shared" si="102"/>
        <v>20.478504861812588</v>
      </c>
      <c r="T133" s="65">
        <f t="shared" si="102"/>
        <v>20.006754257441134</v>
      </c>
      <c r="U133" s="65">
        <f t="shared" si="102"/>
        <v>19.560481120171485</v>
      </c>
      <c r="V133" s="65">
        <f t="shared" si="102"/>
        <v>18.232011260301778</v>
      </c>
      <c r="W133" s="65">
        <f t="shared" si="102"/>
        <v>19.00716685803857</v>
      </c>
      <c r="DA133" s="109"/>
    </row>
    <row r="134" spans="1:105" ht="12" customHeight="1" x14ac:dyDescent="0.25">
      <c r="A134" s="66" t="s">
        <v>34</v>
      </c>
      <c r="B134" s="67">
        <f t="shared" ref="B134" si="103">IF(B104=0,0,B104/B$26)</f>
        <v>16.66872790972057</v>
      </c>
      <c r="C134" s="67">
        <f t="shared" ref="C134:W134" si="104">IF(C104=0,0,C104/C$26)</f>
        <v>16.913972833360717</v>
      </c>
      <c r="D134" s="67">
        <f t="shared" si="104"/>
        <v>16.504421955586615</v>
      </c>
      <c r="E134" s="67">
        <f t="shared" si="104"/>
        <v>16.000251612112184</v>
      </c>
      <c r="F134" s="67">
        <f t="shared" si="104"/>
        <v>16.242584894257618</v>
      </c>
      <c r="G134" s="67">
        <f t="shared" si="104"/>
        <v>15.893047165277881</v>
      </c>
      <c r="H134" s="67">
        <f t="shared" si="104"/>
        <v>15.758851088515243</v>
      </c>
      <c r="I134" s="67">
        <f t="shared" si="104"/>
        <v>15.952724335378692</v>
      </c>
      <c r="J134" s="67">
        <f t="shared" si="104"/>
        <v>16.080249656550357</v>
      </c>
      <c r="K134" s="67">
        <f t="shared" si="104"/>
        <v>16.361945823226002</v>
      </c>
      <c r="L134" s="67">
        <f t="shared" si="104"/>
        <v>16.37295964178487</v>
      </c>
      <c r="M134" s="67">
        <f t="shared" si="104"/>
        <v>16.211516678604191</v>
      </c>
      <c r="N134" s="67">
        <f t="shared" si="104"/>
        <v>16.512088541890879</v>
      </c>
      <c r="O134" s="67">
        <f t="shared" si="104"/>
        <v>16.640243955807094</v>
      </c>
      <c r="P134" s="67">
        <f t="shared" si="104"/>
        <v>16.607826197241547</v>
      </c>
      <c r="Q134" s="67">
        <f t="shared" si="104"/>
        <v>16.901924856139267</v>
      </c>
      <c r="R134" s="67">
        <f t="shared" si="104"/>
        <v>16.677907363009648</v>
      </c>
      <c r="S134" s="67">
        <f t="shared" si="104"/>
        <v>16.62331259236278</v>
      </c>
      <c r="T134" s="67">
        <f t="shared" si="104"/>
        <v>16.508359546278552</v>
      </c>
      <c r="U134" s="67">
        <f t="shared" si="104"/>
        <v>16.443064732174665</v>
      </c>
      <c r="V134" s="67">
        <f t="shared" si="104"/>
        <v>15.698020215277133</v>
      </c>
      <c r="W134" s="67">
        <f t="shared" si="104"/>
        <v>16.441379102111906</v>
      </c>
      <c r="DA134" s="110"/>
    </row>
    <row r="135" spans="1:105" ht="12" customHeight="1" x14ac:dyDescent="0.25">
      <c r="A135" s="78" t="s">
        <v>33</v>
      </c>
      <c r="B135" s="68">
        <f t="shared" ref="B135" si="105">IF(B105=0,0,B105/B$26)</f>
        <v>47.48652401567989</v>
      </c>
      <c r="C135" s="68">
        <f t="shared" ref="C135:W135" si="106">IF(C105=0,0,C105/C$26)</f>
        <v>49.154475439593504</v>
      </c>
      <c r="D135" s="68">
        <f t="shared" si="106"/>
        <v>49.885934928485497</v>
      </c>
      <c r="E135" s="68">
        <f t="shared" si="106"/>
        <v>51.263638769859973</v>
      </c>
      <c r="F135" s="68">
        <f t="shared" si="106"/>
        <v>54.129897994704812</v>
      </c>
      <c r="G135" s="68">
        <f t="shared" si="106"/>
        <v>55.868444439150409</v>
      </c>
      <c r="H135" s="68">
        <f t="shared" si="106"/>
        <v>57.836287189684064</v>
      </c>
      <c r="I135" s="68">
        <f t="shared" si="106"/>
        <v>59.297507096550262</v>
      </c>
      <c r="J135" s="68">
        <f t="shared" si="106"/>
        <v>60.605089920958903</v>
      </c>
      <c r="K135" s="68">
        <f t="shared" si="106"/>
        <v>62.370541575514579</v>
      </c>
      <c r="L135" s="68">
        <f t="shared" si="106"/>
        <v>62.972370125328517</v>
      </c>
      <c r="M135" s="68">
        <f t="shared" si="106"/>
        <v>63.552494509637171</v>
      </c>
      <c r="N135" s="68">
        <f t="shared" si="106"/>
        <v>64.594087458070419</v>
      </c>
      <c r="O135" s="68">
        <f t="shared" si="106"/>
        <v>65.879914124932384</v>
      </c>
      <c r="P135" s="68">
        <f t="shared" si="106"/>
        <v>65.951665036497786</v>
      </c>
      <c r="Q135" s="68">
        <f t="shared" si="106"/>
        <v>66.383282087444357</v>
      </c>
      <c r="R135" s="68">
        <f t="shared" si="106"/>
        <v>67.157661714548084</v>
      </c>
      <c r="S135" s="68">
        <f t="shared" si="106"/>
        <v>67.437156470973846</v>
      </c>
      <c r="T135" s="68">
        <f t="shared" si="106"/>
        <v>66.431733148949689</v>
      </c>
      <c r="U135" s="68">
        <f t="shared" si="106"/>
        <v>63.490016001424515</v>
      </c>
      <c r="V135" s="68">
        <f t="shared" si="106"/>
        <v>58.75055527797003</v>
      </c>
      <c r="W135" s="68">
        <f t="shared" si="106"/>
        <v>57.144339452950312</v>
      </c>
      <c r="DA135" s="111"/>
    </row>
    <row r="136" spans="1:105" s="2" customFormat="1" ht="12" customHeight="1" x14ac:dyDescent="0.25">
      <c r="DA136" s="7"/>
    </row>
    <row r="137" spans="1:105" ht="12.95" customHeight="1" x14ac:dyDescent="0.25">
      <c r="A137" s="84" t="s">
        <v>41</v>
      </c>
      <c r="B137" s="85">
        <f t="shared" ref="B137" si="107">IF(B107=0,0,B107/B$26)</f>
        <v>108.14933615249635</v>
      </c>
      <c r="C137" s="85">
        <f t="shared" ref="C137:W137" si="108">IF(C107=0,0,C107/C$26)</f>
        <v>113.54284546035839</v>
      </c>
      <c r="D137" s="85">
        <f t="shared" si="108"/>
        <v>111.41657714704068</v>
      </c>
      <c r="E137" s="85">
        <f t="shared" si="108"/>
        <v>117.91973407276024</v>
      </c>
      <c r="F137" s="85">
        <f t="shared" si="108"/>
        <v>142.97542156521735</v>
      </c>
      <c r="G137" s="85">
        <f t="shared" si="108"/>
        <v>141.54585735890245</v>
      </c>
      <c r="H137" s="85">
        <f t="shared" si="108"/>
        <v>135.82817286569929</v>
      </c>
      <c r="I137" s="85">
        <f t="shared" si="108"/>
        <v>126.5026114098952</v>
      </c>
      <c r="J137" s="85">
        <f t="shared" si="108"/>
        <v>140.35743862443064</v>
      </c>
      <c r="K137" s="85">
        <f t="shared" si="108"/>
        <v>141.0021009693169</v>
      </c>
      <c r="L137" s="85">
        <f t="shared" si="108"/>
        <v>150.19635597726216</v>
      </c>
      <c r="M137" s="85">
        <f t="shared" si="108"/>
        <v>128.01141433924394</v>
      </c>
      <c r="N137" s="85">
        <f t="shared" si="108"/>
        <v>137.20494322518334</v>
      </c>
      <c r="O137" s="85">
        <f t="shared" si="108"/>
        <v>148.77476856000706</v>
      </c>
      <c r="P137" s="85">
        <f t="shared" si="108"/>
        <v>123.76012520525791</v>
      </c>
      <c r="Q137" s="85">
        <f t="shared" si="108"/>
        <v>139.10180591328452</v>
      </c>
      <c r="R137" s="85">
        <f t="shared" si="108"/>
        <v>140.21508285821969</v>
      </c>
      <c r="S137" s="85">
        <f t="shared" si="108"/>
        <v>139.59778064583105</v>
      </c>
      <c r="T137" s="85">
        <f t="shared" si="108"/>
        <v>143.41085649942559</v>
      </c>
      <c r="U137" s="85">
        <f t="shared" si="108"/>
        <v>143.59893507629315</v>
      </c>
      <c r="V137" s="85">
        <f t="shared" si="108"/>
        <v>140.37315899917303</v>
      </c>
      <c r="W137" s="85">
        <f t="shared" si="108"/>
        <v>145.54371651460573</v>
      </c>
      <c r="DA137" s="117"/>
    </row>
    <row r="138" spans="1:105" ht="12" customHeight="1" x14ac:dyDescent="0.25">
      <c r="A138" s="61" t="s">
        <v>32</v>
      </c>
      <c r="B138" s="65">
        <f t="shared" ref="B138" si="109">IF(B108=0,0,B108/B$26)</f>
        <v>81.291463565453967</v>
      </c>
      <c r="C138" s="65">
        <f t="shared" ref="C138:W138" si="110">IF(C108=0,0,C108/C$26)</f>
        <v>85.834935280903977</v>
      </c>
      <c r="D138" s="65">
        <f t="shared" si="110"/>
        <v>82.939783234762785</v>
      </c>
      <c r="E138" s="65">
        <f t="shared" si="110"/>
        <v>87.964031089932192</v>
      </c>
      <c r="F138" s="65">
        <f t="shared" si="110"/>
        <v>113.31177210712077</v>
      </c>
      <c r="G138" s="65">
        <f t="shared" si="110"/>
        <v>110.97145425253026</v>
      </c>
      <c r="H138" s="65">
        <f t="shared" si="110"/>
        <v>102.77379642023926</v>
      </c>
      <c r="I138" s="65">
        <f t="shared" si="110"/>
        <v>93.926455566130372</v>
      </c>
      <c r="J138" s="65">
        <f t="shared" si="110"/>
        <v>106.76679293175759</v>
      </c>
      <c r="K138" s="65">
        <f t="shared" si="110"/>
        <v>105.72380267995327</v>
      </c>
      <c r="L138" s="65">
        <f t="shared" si="110"/>
        <v>113.35665521897056</v>
      </c>
      <c r="M138" s="65">
        <f t="shared" si="110"/>
        <v>91.042766787849956</v>
      </c>
      <c r="N138" s="65">
        <f t="shared" si="110"/>
        <v>99.010591674073453</v>
      </c>
      <c r="O138" s="65">
        <f t="shared" si="110"/>
        <v>109.35243044267817</v>
      </c>
      <c r="P138" s="65">
        <f t="shared" si="110"/>
        <v>84.120895999298384</v>
      </c>
      <c r="Q138" s="65">
        <f t="shared" si="110"/>
        <v>97.11636900282268</v>
      </c>
      <c r="R138" s="65">
        <f t="shared" si="110"/>
        <v>98.294087322290736</v>
      </c>
      <c r="S138" s="65">
        <f t="shared" si="110"/>
        <v>98.21156169450731</v>
      </c>
      <c r="T138" s="65">
        <f t="shared" si="110"/>
        <v>99.98425818066373</v>
      </c>
      <c r="U138" s="65">
        <f t="shared" si="110"/>
        <v>100.67151481790009</v>
      </c>
      <c r="V138" s="65">
        <f t="shared" si="110"/>
        <v>97.357205539248355</v>
      </c>
      <c r="W138" s="65">
        <f t="shared" si="110"/>
        <v>103.97592312995056</v>
      </c>
      <c r="DA138" s="109"/>
    </row>
    <row r="139" spans="1:105" ht="12" customHeight="1" x14ac:dyDescent="0.25">
      <c r="A139" s="61" t="s">
        <v>31</v>
      </c>
      <c r="B139" s="65">
        <f t="shared" ref="B139" si="111">IF(B109=0,0,B109/B$26)</f>
        <v>1.7777138799801324</v>
      </c>
      <c r="C139" s="65">
        <f t="shared" ref="C139:W139" si="112">IF(C109=0,0,C109/C$26)</f>
        <v>2.371178978833298</v>
      </c>
      <c r="D139" s="65">
        <f t="shared" si="112"/>
        <v>3.1274065240110374</v>
      </c>
      <c r="E139" s="65">
        <f t="shared" si="112"/>
        <v>4.7463381602662764</v>
      </c>
      <c r="F139" s="65">
        <f t="shared" si="112"/>
        <v>4.4049098809465947</v>
      </c>
      <c r="G139" s="65">
        <f t="shared" si="112"/>
        <v>5.3579451170961923</v>
      </c>
      <c r="H139" s="65">
        <f t="shared" si="112"/>
        <v>7.8726887533196344</v>
      </c>
      <c r="I139" s="65">
        <f t="shared" si="112"/>
        <v>7.2650027477745409</v>
      </c>
      <c r="J139" s="65">
        <f t="shared" si="112"/>
        <v>8.2074055384200584</v>
      </c>
      <c r="K139" s="65">
        <f t="shared" si="112"/>
        <v>9.3931627000530096</v>
      </c>
      <c r="L139" s="65">
        <f t="shared" si="112"/>
        <v>10.974089413739954</v>
      </c>
      <c r="M139" s="65">
        <f t="shared" si="112"/>
        <v>11.071928873303648</v>
      </c>
      <c r="N139" s="65">
        <f t="shared" si="112"/>
        <v>11.806645092318176</v>
      </c>
      <c r="O139" s="65">
        <f t="shared" si="112"/>
        <v>12.678144219315246</v>
      </c>
      <c r="P139" s="65">
        <f t="shared" si="112"/>
        <v>12.775795589260296</v>
      </c>
      <c r="Q139" s="65">
        <f t="shared" si="112"/>
        <v>14.841294745128668</v>
      </c>
      <c r="R139" s="65">
        <f t="shared" si="112"/>
        <v>14.903370098318002</v>
      </c>
      <c r="S139" s="65">
        <f t="shared" si="112"/>
        <v>14.284401995648633</v>
      </c>
      <c r="T139" s="65">
        <f t="shared" si="112"/>
        <v>16.391159459507332</v>
      </c>
      <c r="U139" s="65">
        <f t="shared" si="112"/>
        <v>15.934284686639911</v>
      </c>
      <c r="V139" s="65">
        <f t="shared" si="112"/>
        <v>17.228520119414469</v>
      </c>
      <c r="W139" s="65">
        <f t="shared" si="112"/>
        <v>14.316617200328</v>
      </c>
      <c r="DA139" s="109"/>
    </row>
    <row r="140" spans="1:105" ht="12" customHeight="1" x14ac:dyDescent="0.25">
      <c r="A140" s="61" t="s">
        <v>35</v>
      </c>
      <c r="B140" s="65">
        <f t="shared" ref="B140" si="113">IF(B110=0,0,B110/B$26)</f>
        <v>14.001176981576728</v>
      </c>
      <c r="C140" s="65">
        <f t="shared" ref="C140:W140" si="114">IF(C110=0,0,C110/C$26)</f>
        <v>14.004332351822018</v>
      </c>
      <c r="D140" s="65">
        <f t="shared" si="114"/>
        <v>14.014834075039884</v>
      </c>
      <c r="E140" s="65">
        <f t="shared" si="114"/>
        <v>14.097082553614303</v>
      </c>
      <c r="F140" s="65">
        <f t="shared" si="114"/>
        <v>13.900715606436954</v>
      </c>
      <c r="G140" s="65">
        <f t="shared" si="114"/>
        <v>13.730256199643382</v>
      </c>
      <c r="H140" s="65">
        <f t="shared" si="114"/>
        <v>13.741452512810536</v>
      </c>
      <c r="I140" s="65">
        <f t="shared" si="114"/>
        <v>13.649303066168599</v>
      </c>
      <c r="J140" s="65">
        <f t="shared" si="114"/>
        <v>13.624043704472314</v>
      </c>
      <c r="K140" s="65">
        <f t="shared" si="114"/>
        <v>13.885835587480205</v>
      </c>
      <c r="L140" s="65">
        <f t="shared" si="114"/>
        <v>13.854895524060073</v>
      </c>
      <c r="M140" s="65">
        <f t="shared" si="114"/>
        <v>13.973582803639733</v>
      </c>
      <c r="N140" s="65">
        <f t="shared" si="114"/>
        <v>14.231412873465878</v>
      </c>
      <c r="O140" s="65">
        <f t="shared" si="114"/>
        <v>14.489104753793207</v>
      </c>
      <c r="P140" s="65">
        <f t="shared" si="114"/>
        <v>14.605576396652765</v>
      </c>
      <c r="Q140" s="65">
        <f t="shared" si="114"/>
        <v>14.689574548438227</v>
      </c>
      <c r="R140" s="65">
        <f t="shared" si="114"/>
        <v>14.677496203472126</v>
      </c>
      <c r="S140" s="65">
        <f t="shared" si="114"/>
        <v>14.78407686462284</v>
      </c>
      <c r="T140" s="65">
        <f t="shared" si="114"/>
        <v>14.761236629107515</v>
      </c>
      <c r="U140" s="65">
        <f t="shared" si="114"/>
        <v>14.742289273417793</v>
      </c>
      <c r="V140" s="65">
        <f t="shared" si="114"/>
        <v>14.056668849224261</v>
      </c>
      <c r="W140" s="65">
        <f t="shared" si="114"/>
        <v>14.938304481006217</v>
      </c>
      <c r="DA140" s="109"/>
    </row>
    <row r="141" spans="1:105" ht="12" customHeight="1" x14ac:dyDescent="0.25">
      <c r="A141" s="74" t="s">
        <v>34</v>
      </c>
      <c r="B141" s="68">
        <f t="shared" ref="B141" si="115">IF(B111=0,0,B111/B$26)</f>
        <v>11.078981725485519</v>
      </c>
      <c r="C141" s="68">
        <f t="shared" ref="C141:W141" si="116">IF(C111=0,0,C111/C$26)</f>
        <v>11.332398848799114</v>
      </c>
      <c r="D141" s="68">
        <f t="shared" si="116"/>
        <v>11.334553313226966</v>
      </c>
      <c r="E141" s="68">
        <f t="shared" si="116"/>
        <v>11.112282268947459</v>
      </c>
      <c r="F141" s="68">
        <f t="shared" si="116"/>
        <v>11.358023970713015</v>
      </c>
      <c r="G141" s="68">
        <f t="shared" si="116"/>
        <v>11.486201789632601</v>
      </c>
      <c r="H141" s="68">
        <f t="shared" si="116"/>
        <v>11.440235179329839</v>
      </c>
      <c r="I141" s="68">
        <f t="shared" si="116"/>
        <v>11.661850029821689</v>
      </c>
      <c r="J141" s="68">
        <f t="shared" si="116"/>
        <v>11.759196449780671</v>
      </c>
      <c r="K141" s="68">
        <f t="shared" si="116"/>
        <v>11.999300001830427</v>
      </c>
      <c r="L141" s="68">
        <f t="shared" si="116"/>
        <v>12.010715820491574</v>
      </c>
      <c r="M141" s="68">
        <f t="shared" si="116"/>
        <v>11.923135874450615</v>
      </c>
      <c r="N141" s="68">
        <f t="shared" si="116"/>
        <v>12.156293585325848</v>
      </c>
      <c r="O141" s="68">
        <f t="shared" si="116"/>
        <v>12.255089144220426</v>
      </c>
      <c r="P141" s="68">
        <f t="shared" si="116"/>
        <v>12.257857220046459</v>
      </c>
      <c r="Q141" s="68">
        <f t="shared" si="116"/>
        <v>12.454567616894943</v>
      </c>
      <c r="R141" s="68">
        <f t="shared" si="116"/>
        <v>12.340129234138805</v>
      </c>
      <c r="S141" s="68">
        <f t="shared" si="116"/>
        <v>12.317740091052253</v>
      </c>
      <c r="T141" s="68">
        <f t="shared" si="116"/>
        <v>12.27420223014704</v>
      </c>
      <c r="U141" s="68">
        <f t="shared" si="116"/>
        <v>12.25084629833535</v>
      </c>
      <c r="V141" s="68">
        <f t="shared" si="116"/>
        <v>11.73076449128596</v>
      </c>
      <c r="W141" s="68">
        <f t="shared" si="116"/>
        <v>12.312871703320958</v>
      </c>
      <c r="DA141" s="111"/>
    </row>
    <row r="142" spans="1:105" s="2" customFormat="1" ht="12" customHeight="1" x14ac:dyDescent="0.25">
      <c r="DA142" s="7"/>
    </row>
    <row r="143" spans="1:105" ht="12.95" customHeight="1" x14ac:dyDescent="0.25">
      <c r="A143" s="81" t="s">
        <v>40</v>
      </c>
      <c r="B143" s="82">
        <f t="shared" ref="B143" si="117">IF(B113=0,0,B113/B$26)</f>
        <v>35.928162334493486</v>
      </c>
      <c r="C143" s="82">
        <f t="shared" ref="C143:W143" si="118">IF(C113=0,0,C113/C$26)</f>
        <v>37.224350085732361</v>
      </c>
      <c r="D143" s="82">
        <f t="shared" si="118"/>
        <v>39.370758919381842</v>
      </c>
      <c r="E143" s="82">
        <f t="shared" si="118"/>
        <v>42.156117243606552</v>
      </c>
      <c r="F143" s="82">
        <f t="shared" si="118"/>
        <v>40.445232061613261</v>
      </c>
      <c r="G143" s="82">
        <f t="shared" si="118"/>
        <v>38.928598121015021</v>
      </c>
      <c r="H143" s="82">
        <f t="shared" si="118"/>
        <v>35.635882972827787</v>
      </c>
      <c r="I143" s="82">
        <f t="shared" si="118"/>
        <v>31.610489601483604</v>
      </c>
      <c r="J143" s="82">
        <f t="shared" si="118"/>
        <v>36.525518090998382</v>
      </c>
      <c r="K143" s="82">
        <f t="shared" si="118"/>
        <v>34.453580751784827</v>
      </c>
      <c r="L143" s="82">
        <f t="shared" si="118"/>
        <v>37.172903105567656</v>
      </c>
      <c r="M143" s="82">
        <f t="shared" si="118"/>
        <v>30.233402714156771</v>
      </c>
      <c r="N143" s="82">
        <f t="shared" si="118"/>
        <v>31.923233812487425</v>
      </c>
      <c r="O143" s="82">
        <f t="shared" si="118"/>
        <v>35.122069284095502</v>
      </c>
      <c r="P143" s="82">
        <f t="shared" si="118"/>
        <v>27.834903007645053</v>
      </c>
      <c r="Q143" s="82">
        <f t="shared" si="118"/>
        <v>31.895722883563316</v>
      </c>
      <c r="R143" s="82">
        <f t="shared" si="118"/>
        <v>31.590638863422019</v>
      </c>
      <c r="S143" s="82">
        <f t="shared" si="118"/>
        <v>31.21809280023928</v>
      </c>
      <c r="T143" s="82">
        <f t="shared" si="118"/>
        <v>30.908883144820525</v>
      </c>
      <c r="U143" s="82">
        <f t="shared" si="118"/>
        <v>29.947653767678879</v>
      </c>
      <c r="V143" s="82">
        <f t="shared" si="118"/>
        <v>28.619811230395971</v>
      </c>
      <c r="W143" s="82">
        <f t="shared" si="118"/>
        <v>29.291223695983785</v>
      </c>
      <c r="DA143" s="107"/>
    </row>
    <row r="144" spans="1:105" ht="12" customHeight="1" x14ac:dyDescent="0.25">
      <c r="A144" s="77" t="s">
        <v>36</v>
      </c>
      <c r="B144" s="64">
        <f t="shared" ref="B144" si="119">IF(B114=0,0,B114/B$26)</f>
        <v>35.928162334493486</v>
      </c>
      <c r="C144" s="64">
        <f t="shared" ref="C144:W144" si="120">IF(C114=0,0,C114/C$26)</f>
        <v>37.224350085732361</v>
      </c>
      <c r="D144" s="64">
        <f t="shared" si="120"/>
        <v>39.370758919381842</v>
      </c>
      <c r="E144" s="64">
        <f t="shared" si="120"/>
        <v>42.156117243606552</v>
      </c>
      <c r="F144" s="64">
        <f t="shared" si="120"/>
        <v>40.445232061613261</v>
      </c>
      <c r="G144" s="64">
        <f t="shared" si="120"/>
        <v>38.928598121015021</v>
      </c>
      <c r="H144" s="64">
        <f t="shared" si="120"/>
        <v>35.635882972827787</v>
      </c>
      <c r="I144" s="64">
        <f t="shared" si="120"/>
        <v>31.610489601483604</v>
      </c>
      <c r="J144" s="64">
        <f t="shared" si="120"/>
        <v>36.525518090998382</v>
      </c>
      <c r="K144" s="64">
        <f t="shared" si="120"/>
        <v>34.453580751784827</v>
      </c>
      <c r="L144" s="64">
        <f t="shared" si="120"/>
        <v>37.172903105567656</v>
      </c>
      <c r="M144" s="64">
        <f t="shared" si="120"/>
        <v>30.233402714156771</v>
      </c>
      <c r="N144" s="64">
        <f t="shared" si="120"/>
        <v>31.923233812487425</v>
      </c>
      <c r="O144" s="64">
        <f t="shared" si="120"/>
        <v>35.122069284095502</v>
      </c>
      <c r="P144" s="64">
        <f t="shared" si="120"/>
        <v>27.834903007645053</v>
      </c>
      <c r="Q144" s="64">
        <f t="shared" si="120"/>
        <v>31.895722883563316</v>
      </c>
      <c r="R144" s="64">
        <f t="shared" si="120"/>
        <v>31.590638863422019</v>
      </c>
      <c r="S144" s="64">
        <f t="shared" si="120"/>
        <v>31.21809280023928</v>
      </c>
      <c r="T144" s="64">
        <f t="shared" si="120"/>
        <v>30.908883144820525</v>
      </c>
      <c r="U144" s="64">
        <f t="shared" si="120"/>
        <v>29.947653767678879</v>
      </c>
      <c r="V144" s="64">
        <f t="shared" si="120"/>
        <v>28.619811230395971</v>
      </c>
      <c r="W144" s="64">
        <f t="shared" si="120"/>
        <v>29.291223695983785</v>
      </c>
      <c r="DA144" s="108"/>
    </row>
    <row r="145" spans="1:105" ht="12" customHeight="1" x14ac:dyDescent="0.25">
      <c r="A145" s="61" t="s">
        <v>32</v>
      </c>
      <c r="B145" s="65">
        <f t="shared" ref="B145" si="121">IF(B115=0,0,B115/B$26)</f>
        <v>28.380372003732731</v>
      </c>
      <c r="C145" s="65">
        <f t="shared" ref="C145:W145" si="122">IF(C115=0,0,C115/C$26)</f>
        <v>29.76526911892169</v>
      </c>
      <c r="D145" s="65">
        <f t="shared" si="122"/>
        <v>32.446614083716334</v>
      </c>
      <c r="E145" s="65">
        <f t="shared" si="122"/>
        <v>35.460219745389018</v>
      </c>
      <c r="F145" s="65">
        <f t="shared" si="122"/>
        <v>33.883389704011414</v>
      </c>
      <c r="G145" s="65">
        <f t="shared" si="122"/>
        <v>32.95291218107117</v>
      </c>
      <c r="H145" s="65">
        <f t="shared" si="122"/>
        <v>29.805284613361195</v>
      </c>
      <c r="I145" s="65">
        <f t="shared" si="122"/>
        <v>25.91391668911433</v>
      </c>
      <c r="J145" s="65">
        <f t="shared" si="122"/>
        <v>30.935062742043815</v>
      </c>
      <c r="K145" s="65">
        <f t="shared" si="122"/>
        <v>28.84105178359982</v>
      </c>
      <c r="L145" s="65">
        <f t="shared" si="122"/>
        <v>31.628905211578481</v>
      </c>
      <c r="M145" s="65">
        <f t="shared" si="122"/>
        <v>24.763332681958854</v>
      </c>
      <c r="N145" s="65">
        <f t="shared" si="122"/>
        <v>26.427281479261833</v>
      </c>
      <c r="O145" s="65">
        <f t="shared" si="122"/>
        <v>29.606028539618983</v>
      </c>
      <c r="P145" s="65">
        <f t="shared" si="122"/>
        <v>22.365979305069995</v>
      </c>
      <c r="Q145" s="65">
        <f t="shared" si="122"/>
        <v>26.354826419833028</v>
      </c>
      <c r="R145" s="65">
        <f t="shared" si="122"/>
        <v>26.186030115948945</v>
      </c>
      <c r="S145" s="65">
        <f t="shared" si="122"/>
        <v>25.866200432602579</v>
      </c>
      <c r="T145" s="65">
        <f t="shared" si="122"/>
        <v>25.676722022230717</v>
      </c>
      <c r="U145" s="65">
        <f t="shared" si="122"/>
        <v>24.811945208141328</v>
      </c>
      <c r="V145" s="65">
        <f t="shared" si="122"/>
        <v>23.82169534925519</v>
      </c>
      <c r="W145" s="65">
        <f t="shared" si="122"/>
        <v>24.229359245573729</v>
      </c>
      <c r="DA145" s="109"/>
    </row>
    <row r="146" spans="1:105" ht="12" customHeight="1" x14ac:dyDescent="0.25">
      <c r="A146" s="61" t="s">
        <v>31</v>
      </c>
      <c r="B146" s="65">
        <f t="shared" ref="B146" si="123">IF(B116=0,0,B116/B$26)</f>
        <v>2.7465623448318782E-4</v>
      </c>
      <c r="C146" s="65">
        <f t="shared" ref="C146:W146" si="124">IF(C116=0,0,C116/C$26)</f>
        <v>3.7504734966410295E-4</v>
      </c>
      <c r="D146" s="65">
        <f t="shared" si="124"/>
        <v>5.2474346383018264E-4</v>
      </c>
      <c r="E146" s="65">
        <f t="shared" si="124"/>
        <v>6.4197582532849254E-4</v>
      </c>
      <c r="F146" s="65">
        <f t="shared" si="124"/>
        <v>8.7914452702896777E-4</v>
      </c>
      <c r="G146" s="65">
        <f t="shared" si="124"/>
        <v>1.2103291903483547E-3</v>
      </c>
      <c r="H146" s="65">
        <f t="shared" si="124"/>
        <v>1.6529312327426713E-3</v>
      </c>
      <c r="I146" s="65">
        <f t="shared" si="124"/>
        <v>1.9434728522704978E-3</v>
      </c>
      <c r="J146" s="65">
        <f t="shared" si="124"/>
        <v>2.5837209123257478E-3</v>
      </c>
      <c r="K146" s="65">
        <f t="shared" si="124"/>
        <v>3.2673778312081012E-3</v>
      </c>
      <c r="L146" s="65">
        <f t="shared" si="124"/>
        <v>3.7054558673269922E-3</v>
      </c>
      <c r="M146" s="65">
        <f t="shared" si="124"/>
        <v>3.9677897573018933E-3</v>
      </c>
      <c r="N146" s="65">
        <f t="shared" si="124"/>
        <v>4.4779593254939019E-3</v>
      </c>
      <c r="O146" s="65">
        <f t="shared" si="124"/>
        <v>5.4296099465120217E-3</v>
      </c>
      <c r="P146" s="65">
        <f t="shared" si="124"/>
        <v>6.7271633228322657E-3</v>
      </c>
      <c r="Q146" s="65">
        <f t="shared" si="124"/>
        <v>1.0180543154082296E-2</v>
      </c>
      <c r="R146" s="65">
        <f t="shared" si="124"/>
        <v>1.1564658282311624E-2</v>
      </c>
      <c r="S146" s="65">
        <f t="shared" si="124"/>
        <v>1.1538048146634302E-2</v>
      </c>
      <c r="T146" s="65">
        <f t="shared" si="124"/>
        <v>1.4705050878374627E-2</v>
      </c>
      <c r="U146" s="65">
        <f t="shared" si="124"/>
        <v>1.6096662400036828E-2</v>
      </c>
      <c r="V146" s="65">
        <f t="shared" si="124"/>
        <v>1.9066661739401667E-2</v>
      </c>
      <c r="W146" s="65">
        <f t="shared" si="124"/>
        <v>1.4036979417705153E-2</v>
      </c>
      <c r="DA146" s="109"/>
    </row>
    <row r="147" spans="1:105" ht="12" customHeight="1" x14ac:dyDescent="0.25">
      <c r="A147" s="61" t="s">
        <v>35</v>
      </c>
      <c r="B147" s="65">
        <f t="shared" ref="B147" si="125">IF(B117=0,0,B117/B$26)</f>
        <v>4.5965012387841906</v>
      </c>
      <c r="C147" s="65">
        <f t="shared" ref="C147:W147" si="126">IF(C117=0,0,C117/C$26)</f>
        <v>4.545780420089871</v>
      </c>
      <c r="D147" s="65">
        <f t="shared" si="126"/>
        <v>4.3502382745241741</v>
      </c>
      <c r="E147" s="65">
        <f t="shared" si="126"/>
        <v>4.3175372271261887</v>
      </c>
      <c r="F147" s="65">
        <f t="shared" si="126"/>
        <v>4.2025597907835426</v>
      </c>
      <c r="G147" s="65">
        <f t="shared" si="126"/>
        <v>4.0385200722400265</v>
      </c>
      <c r="H147" s="65">
        <f t="shared" si="126"/>
        <v>3.9434207757818029</v>
      </c>
      <c r="I147" s="65">
        <f t="shared" si="126"/>
        <v>3.84864481613499</v>
      </c>
      <c r="J147" s="65">
        <f t="shared" si="126"/>
        <v>3.7208733411578185</v>
      </c>
      <c r="K147" s="65">
        <f t="shared" si="126"/>
        <v>3.7260701300233889</v>
      </c>
      <c r="L147" s="65">
        <f t="shared" si="126"/>
        <v>3.6510441265575628</v>
      </c>
      <c r="M147" s="65">
        <f t="shared" si="126"/>
        <v>3.6287256374068289</v>
      </c>
      <c r="N147" s="65">
        <f t="shared" si="126"/>
        <v>3.6218632100575721</v>
      </c>
      <c r="O147" s="65">
        <f t="shared" si="126"/>
        <v>3.6030356270738491</v>
      </c>
      <c r="P147" s="65">
        <f t="shared" si="126"/>
        <v>3.5792564969284886</v>
      </c>
      <c r="Q147" s="65">
        <f t="shared" si="126"/>
        <v>3.5602511711698237</v>
      </c>
      <c r="R147" s="65">
        <f t="shared" si="126"/>
        <v>3.4735665545008336</v>
      </c>
      <c r="S147" s="65">
        <f t="shared" si="126"/>
        <v>3.4106892866758796</v>
      </c>
      <c r="T147" s="65">
        <f t="shared" si="126"/>
        <v>3.3029132880021637</v>
      </c>
      <c r="U147" s="65">
        <f t="shared" si="126"/>
        <v>3.1991142346956969</v>
      </c>
      <c r="V147" s="65">
        <f t="shared" si="126"/>
        <v>2.9437062395984297</v>
      </c>
      <c r="W147" s="65">
        <f t="shared" si="126"/>
        <v>3.1021127847754153</v>
      </c>
      <c r="DA147" s="109"/>
    </row>
    <row r="148" spans="1:105" ht="12" customHeight="1" x14ac:dyDescent="0.25">
      <c r="A148" s="66" t="s">
        <v>34</v>
      </c>
      <c r="B148" s="67">
        <f t="shared" ref="B148" si="127">IF(B118=0,0,B118/B$26)</f>
        <v>2.951014435742076</v>
      </c>
      <c r="C148" s="67">
        <f t="shared" ref="C148:W148" si="128">IF(C118=0,0,C118/C$26)</f>
        <v>2.9129254993711355</v>
      </c>
      <c r="D148" s="67">
        <f t="shared" si="128"/>
        <v>2.5733818176775087</v>
      </c>
      <c r="E148" s="67">
        <f t="shared" si="128"/>
        <v>2.377718295266019</v>
      </c>
      <c r="F148" s="67">
        <f t="shared" si="128"/>
        <v>2.3584034222912851</v>
      </c>
      <c r="G148" s="67">
        <f t="shared" si="128"/>
        <v>1.9359555385134841</v>
      </c>
      <c r="H148" s="67">
        <f t="shared" si="128"/>
        <v>1.8855246524520559</v>
      </c>
      <c r="I148" s="67">
        <f t="shared" si="128"/>
        <v>1.8459846233820119</v>
      </c>
      <c r="J148" s="67">
        <f t="shared" si="128"/>
        <v>1.8669982868844257</v>
      </c>
      <c r="K148" s="67">
        <f t="shared" si="128"/>
        <v>1.8831914603304125</v>
      </c>
      <c r="L148" s="67">
        <f t="shared" si="128"/>
        <v>1.8892483115642795</v>
      </c>
      <c r="M148" s="67">
        <f t="shared" si="128"/>
        <v>1.8373766050337892</v>
      </c>
      <c r="N148" s="67">
        <f t="shared" si="128"/>
        <v>1.8696111638425232</v>
      </c>
      <c r="O148" s="67">
        <f t="shared" si="128"/>
        <v>1.907575507456156</v>
      </c>
      <c r="P148" s="67">
        <f t="shared" si="128"/>
        <v>1.8829400423237361</v>
      </c>
      <c r="Q148" s="67">
        <f t="shared" si="128"/>
        <v>1.9704647494063827</v>
      </c>
      <c r="R148" s="67">
        <f t="shared" si="128"/>
        <v>1.9194775346899264</v>
      </c>
      <c r="S148" s="67">
        <f t="shared" si="128"/>
        <v>1.929665032814186</v>
      </c>
      <c r="T148" s="67">
        <f t="shared" si="128"/>
        <v>1.9145427837092737</v>
      </c>
      <c r="U148" s="67">
        <f t="shared" si="128"/>
        <v>1.9204976624418117</v>
      </c>
      <c r="V148" s="67">
        <f t="shared" si="128"/>
        <v>1.835342979802953</v>
      </c>
      <c r="W148" s="67">
        <f t="shared" si="128"/>
        <v>1.9457146862169394</v>
      </c>
      <c r="DA148" s="110"/>
    </row>
    <row r="149" spans="1:105" ht="12" customHeight="1" x14ac:dyDescent="0.25">
      <c r="A149" s="78" t="s">
        <v>33</v>
      </c>
      <c r="B149" s="68">
        <f t="shared" ref="B149" si="129">IF(B119=0,0,B119/B$26)</f>
        <v>0</v>
      </c>
      <c r="C149" s="68">
        <f t="shared" ref="C149:W149" si="130">IF(C119=0,0,C119/C$26)</f>
        <v>0</v>
      </c>
      <c r="D149" s="68">
        <f t="shared" si="130"/>
        <v>0</v>
      </c>
      <c r="E149" s="68">
        <f t="shared" si="130"/>
        <v>0</v>
      </c>
      <c r="F149" s="68">
        <f t="shared" si="130"/>
        <v>0</v>
      </c>
      <c r="G149" s="68">
        <f t="shared" si="130"/>
        <v>0</v>
      </c>
      <c r="H149" s="68">
        <f t="shared" si="130"/>
        <v>0</v>
      </c>
      <c r="I149" s="68">
        <f t="shared" si="130"/>
        <v>0</v>
      </c>
      <c r="J149" s="68">
        <f t="shared" si="130"/>
        <v>0</v>
      </c>
      <c r="K149" s="68">
        <f t="shared" si="130"/>
        <v>0</v>
      </c>
      <c r="L149" s="68">
        <f t="shared" si="130"/>
        <v>0</v>
      </c>
      <c r="M149" s="68">
        <f t="shared" si="130"/>
        <v>0</v>
      </c>
      <c r="N149" s="68">
        <f t="shared" si="130"/>
        <v>0</v>
      </c>
      <c r="O149" s="68">
        <f t="shared" si="130"/>
        <v>0</v>
      </c>
      <c r="P149" s="68">
        <f t="shared" si="130"/>
        <v>0</v>
      </c>
      <c r="Q149" s="68">
        <f t="shared" si="130"/>
        <v>0</v>
      </c>
      <c r="R149" s="68">
        <f t="shared" si="130"/>
        <v>0</v>
      </c>
      <c r="S149" s="68">
        <f t="shared" si="130"/>
        <v>0</v>
      </c>
      <c r="T149" s="68">
        <f t="shared" si="130"/>
        <v>0</v>
      </c>
      <c r="U149" s="68">
        <f t="shared" si="130"/>
        <v>0</v>
      </c>
      <c r="V149" s="68">
        <f t="shared" si="130"/>
        <v>0</v>
      </c>
      <c r="W149" s="68">
        <f t="shared" si="130"/>
        <v>0</v>
      </c>
      <c r="DA149" s="111"/>
    </row>
    <row r="151" spans="1:105" s="2" customFormat="1" ht="6.6" customHeight="1" x14ac:dyDescent="0.25">
      <c r="A151" s="30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DA151" s="32"/>
    </row>
    <row r="152" spans="1:105" s="2" customFormat="1" ht="12" customHeight="1" x14ac:dyDescent="0.25">
      <c r="DA152" s="7"/>
    </row>
    <row r="153" spans="1:105" ht="12.95" customHeight="1" x14ac:dyDescent="0.25">
      <c r="A153" s="81" t="s">
        <v>39</v>
      </c>
      <c r="B153" s="82">
        <f t="shared" ref="B153" si="131">IF(B99=0,0,B99/B$23)</f>
        <v>13131.995125670061</v>
      </c>
      <c r="C153" s="82">
        <f t="shared" ref="C153:W153" si="132">IF(C99=0,0,C99/C$23)</f>
        <v>13564.657358998784</v>
      </c>
      <c r="D153" s="82">
        <f t="shared" si="132"/>
        <v>13914.046751323012</v>
      </c>
      <c r="E153" s="82">
        <f t="shared" si="132"/>
        <v>14575.727805304112</v>
      </c>
      <c r="F153" s="82">
        <f t="shared" si="132"/>
        <v>16549.079438732046</v>
      </c>
      <c r="G153" s="82">
        <f t="shared" si="132"/>
        <v>16292.269674859284</v>
      </c>
      <c r="H153" s="82">
        <f t="shared" si="132"/>
        <v>15630.368942726491</v>
      </c>
      <c r="I153" s="82">
        <f t="shared" si="132"/>
        <v>14687.379973387939</v>
      </c>
      <c r="J153" s="82">
        <f t="shared" si="132"/>
        <v>15847.309503238321</v>
      </c>
      <c r="K153" s="82">
        <f t="shared" si="132"/>
        <v>15392.663515837185</v>
      </c>
      <c r="L153" s="82">
        <f t="shared" si="132"/>
        <v>16107.516228960176</v>
      </c>
      <c r="M153" s="82">
        <f t="shared" si="132"/>
        <v>13988.096655757936</v>
      </c>
      <c r="N153" s="82">
        <f t="shared" si="132"/>
        <v>14578.885211815112</v>
      </c>
      <c r="O153" s="82">
        <f t="shared" si="132"/>
        <v>15452.464843712383</v>
      </c>
      <c r="P153" s="82">
        <f t="shared" si="132"/>
        <v>13242.066687125433</v>
      </c>
      <c r="Q153" s="82">
        <f t="shared" si="132"/>
        <v>14176.647114467602</v>
      </c>
      <c r="R153" s="82">
        <f t="shared" si="132"/>
        <v>14061.502476794558</v>
      </c>
      <c r="S153" s="82">
        <f t="shared" si="132"/>
        <v>13772.681782514119</v>
      </c>
      <c r="T153" s="82">
        <f t="shared" si="132"/>
        <v>13610.191636843883</v>
      </c>
      <c r="U153" s="82">
        <f t="shared" si="132"/>
        <v>13191.126704564833</v>
      </c>
      <c r="V153" s="82">
        <f t="shared" si="132"/>
        <v>12588.507348874422</v>
      </c>
      <c r="W153" s="82">
        <f t="shared" si="132"/>
        <v>12676.246919134541</v>
      </c>
      <c r="DA153" s="107"/>
    </row>
    <row r="154" spans="1:105" ht="12" customHeight="1" x14ac:dyDescent="0.25">
      <c r="A154" s="77" t="s">
        <v>36</v>
      </c>
      <c r="B154" s="64">
        <f t="shared" ref="B154" si="133">IF(B100=0,0,B100/B$23)</f>
        <v>10460.087272655763</v>
      </c>
      <c r="C154" s="64">
        <f t="shared" ref="C154:W154" si="134">IF(C100=0,0,C100/C$23)</f>
        <v>10810.271335035073</v>
      </c>
      <c r="D154" s="64">
        <f t="shared" si="134"/>
        <v>11018.297435166463</v>
      </c>
      <c r="E154" s="64">
        <f t="shared" si="134"/>
        <v>11586.619364576911</v>
      </c>
      <c r="F154" s="64">
        <f t="shared" si="134"/>
        <v>13370.289862583209</v>
      </c>
      <c r="G154" s="64">
        <f t="shared" si="134"/>
        <v>13016.570742705284</v>
      </c>
      <c r="H154" s="64">
        <f t="shared" si="134"/>
        <v>12210.491522093853</v>
      </c>
      <c r="I154" s="64">
        <f t="shared" si="134"/>
        <v>11165.844413217712</v>
      </c>
      <c r="J154" s="64">
        <f t="shared" si="134"/>
        <v>12269.254278803088</v>
      </c>
      <c r="K154" s="64">
        <f t="shared" si="134"/>
        <v>11768.682683169935</v>
      </c>
      <c r="L154" s="64">
        <f t="shared" si="134"/>
        <v>12421.984232328023</v>
      </c>
      <c r="M154" s="64">
        <f t="shared" si="134"/>
        <v>10268.170908065758</v>
      </c>
      <c r="N154" s="64">
        <f t="shared" si="134"/>
        <v>10797.167150091591</v>
      </c>
      <c r="O154" s="64">
        <f t="shared" si="134"/>
        <v>11579.283781584791</v>
      </c>
      <c r="P154" s="64">
        <f t="shared" si="134"/>
        <v>9376.5456367761817</v>
      </c>
      <c r="Q154" s="64">
        <f t="shared" si="134"/>
        <v>10328.700409891846</v>
      </c>
      <c r="R154" s="64">
        <f t="shared" si="134"/>
        <v>10194.538121868862</v>
      </c>
      <c r="S154" s="64">
        <f t="shared" si="134"/>
        <v>9930.6187815143967</v>
      </c>
      <c r="T154" s="64">
        <f t="shared" si="134"/>
        <v>9847.44413367575</v>
      </c>
      <c r="U154" s="64">
        <f t="shared" si="134"/>
        <v>9626.3867219275235</v>
      </c>
      <c r="V154" s="64">
        <f t="shared" si="134"/>
        <v>9260.8529898039833</v>
      </c>
      <c r="W154" s="64">
        <f t="shared" si="134"/>
        <v>9476.8328571170296</v>
      </c>
      <c r="DA154" s="108"/>
    </row>
    <row r="155" spans="1:105" ht="12" customHeight="1" x14ac:dyDescent="0.25">
      <c r="A155" s="61" t="s">
        <v>32</v>
      </c>
      <c r="B155" s="65">
        <f t="shared" ref="B155" si="135">IF(B101=0,0,B101/B$23)</f>
        <v>8140.0229594860484</v>
      </c>
      <c r="C155" s="65">
        <f t="shared" ref="C155:W155" si="136">IF(C101=0,0,C101/C$23)</f>
        <v>8482.3333306388358</v>
      </c>
      <c r="D155" s="65">
        <f t="shared" si="136"/>
        <v>8634.3092512653802</v>
      </c>
      <c r="E155" s="65">
        <f t="shared" si="136"/>
        <v>9189.4009967507955</v>
      </c>
      <c r="F155" s="65">
        <f t="shared" si="136"/>
        <v>10984.868591408829</v>
      </c>
      <c r="G155" s="65">
        <f t="shared" si="136"/>
        <v>10669.197640917781</v>
      </c>
      <c r="H155" s="65">
        <f t="shared" si="136"/>
        <v>9816.289962678351</v>
      </c>
      <c r="I155" s="65">
        <f t="shared" si="136"/>
        <v>8790.1282470602673</v>
      </c>
      <c r="J155" s="65">
        <f t="shared" si="136"/>
        <v>9904.3101022181127</v>
      </c>
      <c r="K155" s="65">
        <f t="shared" si="136"/>
        <v>9394.9993524058009</v>
      </c>
      <c r="L155" s="65">
        <f t="shared" si="136"/>
        <v>10023.040369350023</v>
      </c>
      <c r="M155" s="65">
        <f t="shared" si="136"/>
        <v>7887.5574416722056</v>
      </c>
      <c r="N155" s="65">
        <f t="shared" si="136"/>
        <v>8387.6338267602732</v>
      </c>
      <c r="O155" s="65">
        <f t="shared" si="136"/>
        <v>9142.1073589399148</v>
      </c>
      <c r="P155" s="65">
        <f t="shared" si="136"/>
        <v>6953.9958358548192</v>
      </c>
      <c r="Q155" s="65">
        <f t="shared" si="136"/>
        <v>7896.4600982560169</v>
      </c>
      <c r="R155" s="65">
        <f t="shared" si="136"/>
        <v>7818.4394142724204</v>
      </c>
      <c r="S155" s="65">
        <f t="shared" si="136"/>
        <v>7613.1580739970132</v>
      </c>
      <c r="T155" s="65">
        <f t="shared" si="136"/>
        <v>7553.3163099641188</v>
      </c>
      <c r="U155" s="65">
        <f t="shared" si="136"/>
        <v>7393.0464066451286</v>
      </c>
      <c r="V155" s="65">
        <f t="shared" si="136"/>
        <v>7112.7308090861816</v>
      </c>
      <c r="W155" s="65">
        <f t="shared" si="136"/>
        <v>7312.3065391606069</v>
      </c>
      <c r="DA155" s="109"/>
    </row>
    <row r="156" spans="1:105" ht="12" customHeight="1" x14ac:dyDescent="0.25">
      <c r="A156" s="61" t="s">
        <v>31</v>
      </c>
      <c r="B156" s="65">
        <f t="shared" ref="B156" si="137">IF(B102=0,0,B102/B$23)</f>
        <v>48.871780815323532</v>
      </c>
      <c r="C156" s="65">
        <f t="shared" ref="C156:W156" si="138">IF(C102=0,0,C102/C$23)</f>
        <v>59.9046998695989</v>
      </c>
      <c r="D156" s="65">
        <f t="shared" si="138"/>
        <v>75.804865117620039</v>
      </c>
      <c r="E156" s="65">
        <f t="shared" si="138"/>
        <v>110.22296057524112</v>
      </c>
      <c r="F156" s="65">
        <f t="shared" si="138"/>
        <v>98.403303640058098</v>
      </c>
      <c r="G156" s="65">
        <f t="shared" si="138"/>
        <v>114.58775303699926</v>
      </c>
      <c r="H156" s="65">
        <f t="shared" si="138"/>
        <v>163.35537537157199</v>
      </c>
      <c r="I156" s="65">
        <f t="shared" si="138"/>
        <v>145.7678609803437</v>
      </c>
      <c r="J156" s="65">
        <f t="shared" si="138"/>
        <v>158.45075437223744</v>
      </c>
      <c r="K156" s="65">
        <f t="shared" si="138"/>
        <v>174.75355559654105</v>
      </c>
      <c r="L156" s="65">
        <f t="shared" si="138"/>
        <v>200.43764314180936</v>
      </c>
      <c r="M156" s="65">
        <f t="shared" si="138"/>
        <v>196.36346181651203</v>
      </c>
      <c r="N156" s="65">
        <f t="shared" si="138"/>
        <v>203.45029537084716</v>
      </c>
      <c r="O156" s="65">
        <f t="shared" si="138"/>
        <v>212.70947855058361</v>
      </c>
      <c r="P156" s="65">
        <f t="shared" si="138"/>
        <v>206.92186713658342</v>
      </c>
      <c r="Q156" s="65">
        <f t="shared" si="138"/>
        <v>230.16338060625773</v>
      </c>
      <c r="R156" s="65">
        <f t="shared" si="138"/>
        <v>221.72154712384082</v>
      </c>
      <c r="S156" s="65">
        <f t="shared" si="138"/>
        <v>203.67763049977768</v>
      </c>
      <c r="T156" s="65">
        <f t="shared" si="138"/>
        <v>225.88202038775859</v>
      </c>
      <c r="U156" s="65">
        <f t="shared" si="138"/>
        <v>211.86847609283771</v>
      </c>
      <c r="V156" s="65">
        <f t="shared" si="138"/>
        <v>226.31196787978291</v>
      </c>
      <c r="W156" s="65">
        <f t="shared" si="138"/>
        <v>179.82271461248743</v>
      </c>
      <c r="DA156" s="109"/>
    </row>
    <row r="157" spans="1:105" ht="12" customHeight="1" x14ac:dyDescent="0.25">
      <c r="A157" s="61" t="s">
        <v>35</v>
      </c>
      <c r="B157" s="65">
        <f t="shared" ref="B157" si="139">IF(B103=0,0,B103/B$23)</f>
        <v>1333.2989736042296</v>
      </c>
      <c r="C157" s="65">
        <f t="shared" ref="C157:W157" si="140">IF(C103=0,0,C103/C$23)</f>
        <v>1320.2536778441663</v>
      </c>
      <c r="D157" s="65">
        <f t="shared" si="140"/>
        <v>1350.1443713333899</v>
      </c>
      <c r="E157" s="65">
        <f t="shared" si="140"/>
        <v>1354.0439372580176</v>
      </c>
      <c r="F157" s="65">
        <f t="shared" si="140"/>
        <v>1333.1687739402453</v>
      </c>
      <c r="G157" s="65">
        <f t="shared" si="140"/>
        <v>1300.9384331866361</v>
      </c>
      <c r="H157" s="65">
        <f t="shared" si="140"/>
        <v>1299.0204802954706</v>
      </c>
      <c r="I157" s="65">
        <f t="shared" si="140"/>
        <v>1282.5545819104889</v>
      </c>
      <c r="J157" s="65">
        <f t="shared" si="140"/>
        <v>1257.1338656328958</v>
      </c>
      <c r="K157" s="65">
        <f t="shared" si="140"/>
        <v>1248.2345182293532</v>
      </c>
      <c r="L157" s="65">
        <f t="shared" si="140"/>
        <v>1240.259507519834</v>
      </c>
      <c r="M157" s="65">
        <f t="shared" si="140"/>
        <v>1235.3393635834591</v>
      </c>
      <c r="N157" s="65">
        <f t="shared" si="140"/>
        <v>1239.3681793889079</v>
      </c>
      <c r="O157" s="65">
        <f t="shared" si="140"/>
        <v>1246.1615134497815</v>
      </c>
      <c r="P157" s="65">
        <f t="shared" si="140"/>
        <v>1242.2195788865124</v>
      </c>
      <c r="Q157" s="65">
        <f t="shared" si="140"/>
        <v>1222.3467338167206</v>
      </c>
      <c r="R157" s="65">
        <f t="shared" si="140"/>
        <v>1194.0567496513238</v>
      </c>
      <c r="S157" s="65">
        <f t="shared" si="140"/>
        <v>1166.7114979740909</v>
      </c>
      <c r="T157" s="65">
        <f t="shared" si="140"/>
        <v>1133.1988653659764</v>
      </c>
      <c r="U157" s="65">
        <f t="shared" si="140"/>
        <v>1098.2518751788161</v>
      </c>
      <c r="V157" s="65">
        <f t="shared" si="140"/>
        <v>1032.6682268433676</v>
      </c>
      <c r="W157" s="65">
        <f t="shared" si="140"/>
        <v>1064.1788409294863</v>
      </c>
      <c r="DA157" s="109"/>
    </row>
    <row r="158" spans="1:105" ht="12" customHeight="1" x14ac:dyDescent="0.25">
      <c r="A158" s="66" t="s">
        <v>34</v>
      </c>
      <c r="B158" s="67">
        <f t="shared" ref="B158" si="141">IF(B104=0,0,B104/B$23)</f>
        <v>937.89355875016111</v>
      </c>
      <c r="C158" s="67">
        <f t="shared" ref="C158:W158" si="142">IF(C104=0,0,C104/C$23)</f>
        <v>947.7796266824713</v>
      </c>
      <c r="D158" s="67">
        <f t="shared" si="142"/>
        <v>958.03894745007358</v>
      </c>
      <c r="E158" s="67">
        <f t="shared" si="142"/>
        <v>932.95146999285441</v>
      </c>
      <c r="F158" s="67">
        <f t="shared" si="142"/>
        <v>953.84919359407354</v>
      </c>
      <c r="G158" s="67">
        <f t="shared" si="142"/>
        <v>931.8469155638727</v>
      </c>
      <c r="H158" s="67">
        <f t="shared" si="142"/>
        <v>931.82570374845966</v>
      </c>
      <c r="I158" s="67">
        <f t="shared" si="142"/>
        <v>947.39372326661066</v>
      </c>
      <c r="J158" s="67">
        <f t="shared" si="142"/>
        <v>949.35955657984027</v>
      </c>
      <c r="K158" s="67">
        <f t="shared" si="142"/>
        <v>950.69525693824073</v>
      </c>
      <c r="L158" s="67">
        <f t="shared" si="142"/>
        <v>958.24671231635966</v>
      </c>
      <c r="M158" s="67">
        <f t="shared" si="142"/>
        <v>948.91064099358175</v>
      </c>
      <c r="N158" s="67">
        <f t="shared" si="142"/>
        <v>966.71484857156202</v>
      </c>
      <c r="O158" s="67">
        <f t="shared" si="142"/>
        <v>978.30543064450853</v>
      </c>
      <c r="P158" s="67">
        <f t="shared" si="142"/>
        <v>973.40835489826782</v>
      </c>
      <c r="Q158" s="67">
        <f t="shared" si="142"/>
        <v>979.73019721284993</v>
      </c>
      <c r="R158" s="67">
        <f t="shared" si="142"/>
        <v>960.32041082127637</v>
      </c>
      <c r="S158" s="67">
        <f t="shared" si="142"/>
        <v>947.07157904351504</v>
      </c>
      <c r="T158" s="67">
        <f t="shared" si="142"/>
        <v>935.04693795789638</v>
      </c>
      <c r="U158" s="67">
        <f t="shared" si="142"/>
        <v>923.21996401074034</v>
      </c>
      <c r="V158" s="67">
        <f t="shared" si="142"/>
        <v>889.14198599465158</v>
      </c>
      <c r="W158" s="67">
        <f t="shared" si="142"/>
        <v>920.52476241444799</v>
      </c>
      <c r="DA158" s="110"/>
    </row>
    <row r="159" spans="1:105" ht="12" customHeight="1" x14ac:dyDescent="0.25">
      <c r="A159" s="78" t="s">
        <v>33</v>
      </c>
      <c r="B159" s="68">
        <f t="shared" ref="B159" si="143">IF(B105=0,0,B105/B$23)</f>
        <v>2671.9078530142988</v>
      </c>
      <c r="C159" s="68">
        <f t="shared" ref="C159:W159" si="144">IF(C105=0,0,C105/C$23)</f>
        <v>2754.3860239637106</v>
      </c>
      <c r="D159" s="68">
        <f t="shared" si="144"/>
        <v>2895.7493161565512</v>
      </c>
      <c r="E159" s="68">
        <f t="shared" si="144"/>
        <v>2989.1084407272019</v>
      </c>
      <c r="F159" s="68">
        <f t="shared" si="144"/>
        <v>3178.7895761488348</v>
      </c>
      <c r="G159" s="68">
        <f t="shared" si="144"/>
        <v>3275.6989321539991</v>
      </c>
      <c r="H159" s="68">
        <f t="shared" si="144"/>
        <v>3419.8774206326398</v>
      </c>
      <c r="I159" s="68">
        <f t="shared" si="144"/>
        <v>3521.5355601702272</v>
      </c>
      <c r="J159" s="68">
        <f t="shared" si="144"/>
        <v>3578.0552244352343</v>
      </c>
      <c r="K159" s="68">
        <f t="shared" si="144"/>
        <v>3623.9808326672542</v>
      </c>
      <c r="L159" s="68">
        <f t="shared" si="144"/>
        <v>3685.5319966321495</v>
      </c>
      <c r="M159" s="68">
        <f t="shared" si="144"/>
        <v>3719.9257476921771</v>
      </c>
      <c r="N159" s="68">
        <f t="shared" si="144"/>
        <v>3781.7180617235231</v>
      </c>
      <c r="O159" s="68">
        <f t="shared" si="144"/>
        <v>3873.1810621275945</v>
      </c>
      <c r="P159" s="68">
        <f t="shared" si="144"/>
        <v>3865.521050349249</v>
      </c>
      <c r="Q159" s="68">
        <f t="shared" si="144"/>
        <v>3847.9467045757538</v>
      </c>
      <c r="R159" s="68">
        <f t="shared" si="144"/>
        <v>3866.9643549256962</v>
      </c>
      <c r="S159" s="68">
        <f t="shared" si="144"/>
        <v>3842.0630009997212</v>
      </c>
      <c r="T159" s="68">
        <f t="shared" si="144"/>
        <v>3762.7475031681361</v>
      </c>
      <c r="U159" s="68">
        <f t="shared" si="144"/>
        <v>3564.7399826373089</v>
      </c>
      <c r="V159" s="68">
        <f t="shared" si="144"/>
        <v>3327.6543590704396</v>
      </c>
      <c r="W159" s="68">
        <f t="shared" si="144"/>
        <v>3199.4140620175103</v>
      </c>
      <c r="DA159" s="111"/>
    </row>
    <row r="160" spans="1:105" s="2" customFormat="1" ht="12" customHeight="1" x14ac:dyDescent="0.25">
      <c r="DA160" s="7"/>
    </row>
    <row r="161" spans="1:105" ht="12.95" customHeight="1" x14ac:dyDescent="0.25">
      <c r="A161" s="84" t="s">
        <v>38</v>
      </c>
      <c r="B161" s="85">
        <f t="shared" ref="B161" si="145">IF(B107=0,0,B107/B$23)</f>
        <v>6085.2013608897323</v>
      </c>
      <c r="C161" s="85">
        <f t="shared" ref="C161:W161" si="146">IF(C107=0,0,C107/C$23)</f>
        <v>6362.4079773043932</v>
      </c>
      <c r="D161" s="85">
        <f t="shared" si="146"/>
        <v>6467.4437302731258</v>
      </c>
      <c r="E161" s="85">
        <f t="shared" si="146"/>
        <v>6875.728701732919</v>
      </c>
      <c r="F161" s="85">
        <f t="shared" si="146"/>
        <v>8396.2615218942028</v>
      </c>
      <c r="G161" s="85">
        <f t="shared" si="146"/>
        <v>8299.168134283389</v>
      </c>
      <c r="H161" s="85">
        <f t="shared" si="146"/>
        <v>8031.5615687039635</v>
      </c>
      <c r="I161" s="85">
        <f t="shared" si="146"/>
        <v>7512.6841978194843</v>
      </c>
      <c r="J161" s="85">
        <f t="shared" si="146"/>
        <v>8286.5427180038714</v>
      </c>
      <c r="K161" s="85">
        <f t="shared" si="146"/>
        <v>8192.7925968053696</v>
      </c>
      <c r="L161" s="85">
        <f t="shared" si="146"/>
        <v>8790.4183156845138</v>
      </c>
      <c r="M161" s="85">
        <f t="shared" si="146"/>
        <v>7492.90739684238</v>
      </c>
      <c r="N161" s="85">
        <f t="shared" si="146"/>
        <v>8032.7849246146206</v>
      </c>
      <c r="O161" s="85">
        <f t="shared" si="146"/>
        <v>8746.6965275074526</v>
      </c>
      <c r="P161" s="85">
        <f t="shared" si="146"/>
        <v>7253.7572616254192</v>
      </c>
      <c r="Q161" s="85">
        <f t="shared" si="146"/>
        <v>8063.1194908303114</v>
      </c>
      <c r="R161" s="85">
        <f t="shared" si="146"/>
        <v>8073.6391588546403</v>
      </c>
      <c r="S161" s="85">
        <f t="shared" si="146"/>
        <v>7953.2337380191029</v>
      </c>
      <c r="T161" s="85">
        <f t="shared" si="146"/>
        <v>8122.9077827988176</v>
      </c>
      <c r="U161" s="85">
        <f t="shared" si="146"/>
        <v>8062.5726306182705</v>
      </c>
      <c r="V161" s="85">
        <f t="shared" si="146"/>
        <v>7950.7904602774315</v>
      </c>
      <c r="W161" s="85">
        <f t="shared" si="146"/>
        <v>8148.7443500596519</v>
      </c>
      <c r="DA161" s="117"/>
    </row>
    <row r="162" spans="1:105" ht="12" customHeight="1" x14ac:dyDescent="0.25">
      <c r="A162" s="61" t="s">
        <v>32</v>
      </c>
      <c r="B162" s="65">
        <f t="shared" ref="B162" si="147">IF(B108=0,0,B108/B$23)</f>
        <v>4573.9987161798235</v>
      </c>
      <c r="C162" s="65">
        <f t="shared" ref="C162:W162" si="148">IF(C108=0,0,C108/C$23)</f>
        <v>4809.7867791528743</v>
      </c>
      <c r="D162" s="65">
        <f t="shared" si="148"/>
        <v>4814.4395996294188</v>
      </c>
      <c r="E162" s="65">
        <f t="shared" si="148"/>
        <v>5129.0550987164061</v>
      </c>
      <c r="F162" s="65">
        <f t="shared" si="148"/>
        <v>6654.2575059776273</v>
      </c>
      <c r="G162" s="65">
        <f t="shared" si="148"/>
        <v>6506.5186232365713</v>
      </c>
      <c r="H162" s="65">
        <f t="shared" si="148"/>
        <v>6077.046139866362</v>
      </c>
      <c r="I162" s="65">
        <f t="shared" si="148"/>
        <v>5578.0650741069639</v>
      </c>
      <c r="J162" s="65">
        <f t="shared" si="148"/>
        <v>6303.389397555502</v>
      </c>
      <c r="K162" s="65">
        <f t="shared" si="148"/>
        <v>6142.9807211944908</v>
      </c>
      <c r="L162" s="65">
        <f t="shared" si="148"/>
        <v>6634.3315172867678</v>
      </c>
      <c r="M162" s="65">
        <f t="shared" si="148"/>
        <v>5329.0171365956467</v>
      </c>
      <c r="N162" s="65">
        <f t="shared" si="148"/>
        <v>5796.6627840176225</v>
      </c>
      <c r="O162" s="65">
        <f t="shared" si="148"/>
        <v>6428.996884923321</v>
      </c>
      <c r="P162" s="65">
        <f t="shared" si="148"/>
        <v>4930.445563119255</v>
      </c>
      <c r="Q162" s="65">
        <f t="shared" si="148"/>
        <v>5629.4084943331727</v>
      </c>
      <c r="R162" s="65">
        <f t="shared" si="148"/>
        <v>5659.8118855128723</v>
      </c>
      <c r="S162" s="65">
        <f t="shared" si="148"/>
        <v>5595.3576218665112</v>
      </c>
      <c r="T162" s="65">
        <f t="shared" si="148"/>
        <v>5663.1898641253329</v>
      </c>
      <c r="U162" s="65">
        <f t="shared" si="148"/>
        <v>5652.349717095376</v>
      </c>
      <c r="V162" s="65">
        <f t="shared" si="148"/>
        <v>5514.350083446403</v>
      </c>
      <c r="W162" s="65">
        <f t="shared" si="148"/>
        <v>5821.4345245361028</v>
      </c>
      <c r="DA162" s="109"/>
    </row>
    <row r="163" spans="1:105" ht="12" customHeight="1" x14ac:dyDescent="0.25">
      <c r="A163" s="61" t="s">
        <v>31</v>
      </c>
      <c r="B163" s="65">
        <f t="shared" ref="B163" si="149">IF(B109=0,0,B109/B$23)</f>
        <v>100.0260131645567</v>
      </c>
      <c r="C163" s="65">
        <f t="shared" ref="C163:W163" si="150">IF(C109=0,0,C109/C$23)</f>
        <v>132.86973731702568</v>
      </c>
      <c r="D163" s="65">
        <f t="shared" si="150"/>
        <v>181.53784861867553</v>
      </c>
      <c r="E163" s="65">
        <f t="shared" si="150"/>
        <v>276.75209559526746</v>
      </c>
      <c r="F163" s="65">
        <f t="shared" si="150"/>
        <v>258.67925365013241</v>
      </c>
      <c r="G163" s="65">
        <f t="shared" si="150"/>
        <v>314.14898472298739</v>
      </c>
      <c r="H163" s="65">
        <f t="shared" si="150"/>
        <v>465.51450335747967</v>
      </c>
      <c r="I163" s="65">
        <f t="shared" si="150"/>
        <v>431.45094581068565</v>
      </c>
      <c r="J163" s="65">
        <f t="shared" si="150"/>
        <v>484.55584017946995</v>
      </c>
      <c r="K163" s="65">
        <f t="shared" si="150"/>
        <v>545.78076000675242</v>
      </c>
      <c r="L163" s="65">
        <f t="shared" si="150"/>
        <v>642.27148490275681</v>
      </c>
      <c r="M163" s="65">
        <f t="shared" si="150"/>
        <v>648.0745344492035</v>
      </c>
      <c r="N163" s="65">
        <f t="shared" si="150"/>
        <v>691.23049416809317</v>
      </c>
      <c r="O163" s="65">
        <f t="shared" si="150"/>
        <v>745.36751824013777</v>
      </c>
      <c r="P163" s="65">
        <f t="shared" si="150"/>
        <v>748.80758139942247</v>
      </c>
      <c r="Q163" s="65">
        <f t="shared" si="150"/>
        <v>860.28453867237647</v>
      </c>
      <c r="R163" s="65">
        <f t="shared" si="150"/>
        <v>858.14186300022504</v>
      </c>
      <c r="S163" s="65">
        <f t="shared" si="150"/>
        <v>813.81800880809976</v>
      </c>
      <c r="T163" s="65">
        <f t="shared" si="150"/>
        <v>928.4086295326033</v>
      </c>
      <c r="U163" s="65">
        <f t="shared" si="150"/>
        <v>894.6537628202243</v>
      </c>
      <c r="V163" s="65">
        <f t="shared" si="150"/>
        <v>975.83009734037068</v>
      </c>
      <c r="W163" s="65">
        <f t="shared" si="150"/>
        <v>801.56296896150934</v>
      </c>
      <c r="DA163" s="109"/>
    </row>
    <row r="164" spans="1:105" ht="12" customHeight="1" x14ac:dyDescent="0.25">
      <c r="A164" s="61" t="s">
        <v>35</v>
      </c>
      <c r="B164" s="65">
        <f t="shared" ref="B164" si="151">IF(B110=0,0,B110/B$23)</f>
        <v>787.79939159508262</v>
      </c>
      <c r="C164" s="65">
        <f t="shared" ref="C164:W164" si="152">IF(C110=0,0,C110/C$23)</f>
        <v>784.73703482411531</v>
      </c>
      <c r="D164" s="65">
        <f t="shared" si="152"/>
        <v>813.52481911029827</v>
      </c>
      <c r="E164" s="65">
        <f t="shared" si="152"/>
        <v>821.98044192312011</v>
      </c>
      <c r="F164" s="65">
        <f t="shared" si="152"/>
        <v>816.3224300750353</v>
      </c>
      <c r="G164" s="65">
        <f t="shared" si="152"/>
        <v>805.03736989417791</v>
      </c>
      <c r="H164" s="65">
        <f t="shared" si="152"/>
        <v>812.53630650825164</v>
      </c>
      <c r="I164" s="65">
        <f t="shared" si="152"/>
        <v>810.59910395203769</v>
      </c>
      <c r="J164" s="65">
        <f t="shared" si="152"/>
        <v>804.34796513457331</v>
      </c>
      <c r="K164" s="65">
        <f t="shared" si="152"/>
        <v>806.82323326742608</v>
      </c>
      <c r="L164" s="65">
        <f t="shared" si="152"/>
        <v>810.87404940124225</v>
      </c>
      <c r="M164" s="65">
        <f t="shared" si="152"/>
        <v>817.91739033761564</v>
      </c>
      <c r="N164" s="65">
        <f t="shared" si="152"/>
        <v>833.19067155126095</v>
      </c>
      <c r="O164" s="65">
        <f t="shared" si="152"/>
        <v>851.83666197792502</v>
      </c>
      <c r="P164" s="65">
        <f t="shared" si="152"/>
        <v>856.05364144334078</v>
      </c>
      <c r="Q164" s="65">
        <f t="shared" si="152"/>
        <v>851.48998660272241</v>
      </c>
      <c r="R164" s="65">
        <f t="shared" si="152"/>
        <v>845.1359560377432</v>
      </c>
      <c r="S164" s="65">
        <f t="shared" si="152"/>
        <v>842.28573234625765</v>
      </c>
      <c r="T164" s="65">
        <f t="shared" si="152"/>
        <v>836.08847213594777</v>
      </c>
      <c r="U164" s="65">
        <f t="shared" si="152"/>
        <v>827.72743367049122</v>
      </c>
      <c r="V164" s="65">
        <f t="shared" si="152"/>
        <v>796.17520462262746</v>
      </c>
      <c r="W164" s="65">
        <f t="shared" si="152"/>
        <v>836.37017903726803</v>
      </c>
      <c r="DA164" s="109"/>
    </row>
    <row r="165" spans="1:105" ht="12" customHeight="1" x14ac:dyDescent="0.25">
      <c r="A165" s="74" t="s">
        <v>34</v>
      </c>
      <c r="B165" s="68">
        <f t="shared" ref="B165" si="153">IF(B111=0,0,B111/B$23)</f>
        <v>623.3772399502684</v>
      </c>
      <c r="C165" s="68">
        <f t="shared" ref="C165:W165" si="154">IF(C111=0,0,C111/C$23)</f>
        <v>635.01442601037854</v>
      </c>
      <c r="D165" s="68">
        <f t="shared" si="154"/>
        <v>657.94146291473373</v>
      </c>
      <c r="E165" s="68">
        <f t="shared" si="154"/>
        <v>647.94106549812511</v>
      </c>
      <c r="F165" s="68">
        <f t="shared" si="154"/>
        <v>667.00233219140796</v>
      </c>
      <c r="G165" s="68">
        <f t="shared" si="154"/>
        <v>673.4631564296518</v>
      </c>
      <c r="H165" s="68">
        <f t="shared" si="154"/>
        <v>676.46461897187066</v>
      </c>
      <c r="I165" s="68">
        <f t="shared" si="154"/>
        <v>692.56907394979658</v>
      </c>
      <c r="J165" s="68">
        <f t="shared" si="154"/>
        <v>694.24951513432677</v>
      </c>
      <c r="K165" s="68">
        <f t="shared" si="154"/>
        <v>697.20788233669987</v>
      </c>
      <c r="L165" s="68">
        <f t="shared" si="154"/>
        <v>702.94126409374576</v>
      </c>
      <c r="M165" s="68">
        <f t="shared" si="154"/>
        <v>697.89833545991428</v>
      </c>
      <c r="N165" s="68">
        <f t="shared" si="154"/>
        <v>711.70097487764485</v>
      </c>
      <c r="O165" s="68">
        <f t="shared" si="154"/>
        <v>720.49546236606818</v>
      </c>
      <c r="P165" s="68">
        <f t="shared" si="154"/>
        <v>718.45047566340065</v>
      </c>
      <c r="Q165" s="68">
        <f t="shared" si="154"/>
        <v>721.93647122203936</v>
      </c>
      <c r="R165" s="68">
        <f t="shared" si="154"/>
        <v>710.54945430379917</v>
      </c>
      <c r="S165" s="68">
        <f t="shared" si="154"/>
        <v>701.77237499823332</v>
      </c>
      <c r="T165" s="68">
        <f t="shared" si="154"/>
        <v>695.22081700493391</v>
      </c>
      <c r="U165" s="68">
        <f t="shared" si="154"/>
        <v>687.84171703217805</v>
      </c>
      <c r="V165" s="68">
        <f t="shared" si="154"/>
        <v>664.43507486803173</v>
      </c>
      <c r="W165" s="68">
        <f t="shared" si="154"/>
        <v>689.3766775247708</v>
      </c>
      <c r="DA165" s="111"/>
    </row>
    <row r="166" spans="1:105" s="2" customFormat="1" ht="12" customHeight="1" x14ac:dyDescent="0.25">
      <c r="DA166" s="7"/>
    </row>
    <row r="167" spans="1:105" ht="12.95" customHeight="1" x14ac:dyDescent="0.25">
      <c r="A167" s="81" t="s">
        <v>37</v>
      </c>
      <c r="B167" s="82">
        <f t="shared" ref="B167" si="155">IF(B113=0,0,B113/B$23)</f>
        <v>2021.5575065929838</v>
      </c>
      <c r="C167" s="82">
        <f t="shared" ref="C167:W167" si="156">IF(C113=0,0,C113/C$23)</f>
        <v>2085.8778109284094</v>
      </c>
      <c r="D167" s="82">
        <f t="shared" si="156"/>
        <v>2285.370583528234</v>
      </c>
      <c r="E167" s="82">
        <f t="shared" si="156"/>
        <v>2458.0620670890798</v>
      </c>
      <c r="F167" s="82">
        <f t="shared" si="156"/>
        <v>2375.154708308406</v>
      </c>
      <c r="G167" s="82">
        <f t="shared" si="156"/>
        <v>2282.4757083428158</v>
      </c>
      <c r="H167" s="82">
        <f t="shared" si="156"/>
        <v>2107.1607024736236</v>
      </c>
      <c r="I167" s="82">
        <f t="shared" si="156"/>
        <v>1877.2705406445627</v>
      </c>
      <c r="J167" s="82">
        <f t="shared" si="156"/>
        <v>2156.4248316625981</v>
      </c>
      <c r="K167" s="82">
        <f t="shared" si="156"/>
        <v>2001.8924496599022</v>
      </c>
      <c r="L167" s="82">
        <f t="shared" si="156"/>
        <v>2175.5878575097777</v>
      </c>
      <c r="M167" s="82">
        <f t="shared" si="156"/>
        <v>1769.6553701709356</v>
      </c>
      <c r="N167" s="82">
        <f t="shared" si="156"/>
        <v>1868.9739982110912</v>
      </c>
      <c r="O167" s="82">
        <f t="shared" si="156"/>
        <v>2064.8802509961015</v>
      </c>
      <c r="P167" s="82">
        <f t="shared" si="156"/>
        <v>1631.4433221805316</v>
      </c>
      <c r="Q167" s="82">
        <f t="shared" si="156"/>
        <v>1848.8546799809778</v>
      </c>
      <c r="R167" s="82">
        <f t="shared" si="156"/>
        <v>1819.0013070053087</v>
      </c>
      <c r="S167" s="82">
        <f t="shared" si="156"/>
        <v>1778.5726087249873</v>
      </c>
      <c r="T167" s="82">
        <f t="shared" si="156"/>
        <v>1750.7043300845737</v>
      </c>
      <c r="U167" s="82">
        <f t="shared" si="156"/>
        <v>1681.4549041762486</v>
      </c>
      <c r="V167" s="82">
        <f t="shared" si="156"/>
        <v>1621.0372675798637</v>
      </c>
      <c r="W167" s="82">
        <f t="shared" si="156"/>
        <v>1639.9656358577895</v>
      </c>
      <c r="DA167" s="107"/>
    </row>
    <row r="168" spans="1:105" ht="12" customHeight="1" x14ac:dyDescent="0.25">
      <c r="A168" s="77" t="s">
        <v>36</v>
      </c>
      <c r="B168" s="64">
        <f t="shared" ref="B168" si="157">IF(B114=0,0,B114/B$23)</f>
        <v>2021.5575065929838</v>
      </c>
      <c r="C168" s="64">
        <f t="shared" ref="C168:W168" si="158">IF(C114=0,0,C114/C$23)</f>
        <v>2085.8778109284094</v>
      </c>
      <c r="D168" s="64">
        <f t="shared" si="158"/>
        <v>2285.370583528234</v>
      </c>
      <c r="E168" s="64">
        <f t="shared" si="158"/>
        <v>2458.0620670890798</v>
      </c>
      <c r="F168" s="64">
        <f t="shared" si="158"/>
        <v>2375.154708308406</v>
      </c>
      <c r="G168" s="64">
        <f t="shared" si="158"/>
        <v>2282.4757083428158</v>
      </c>
      <c r="H168" s="64">
        <f t="shared" si="158"/>
        <v>2107.1607024736236</v>
      </c>
      <c r="I168" s="64">
        <f t="shared" si="158"/>
        <v>1877.2705406445627</v>
      </c>
      <c r="J168" s="64">
        <f t="shared" si="158"/>
        <v>2156.4248316625981</v>
      </c>
      <c r="K168" s="64">
        <f t="shared" si="158"/>
        <v>2001.8924496599022</v>
      </c>
      <c r="L168" s="64">
        <f t="shared" si="158"/>
        <v>2175.5878575097777</v>
      </c>
      <c r="M168" s="64">
        <f t="shared" si="158"/>
        <v>1769.6553701709356</v>
      </c>
      <c r="N168" s="64">
        <f t="shared" si="158"/>
        <v>1868.9739982110912</v>
      </c>
      <c r="O168" s="64">
        <f t="shared" si="158"/>
        <v>2064.8802509961015</v>
      </c>
      <c r="P168" s="64">
        <f t="shared" si="158"/>
        <v>1631.4433221805316</v>
      </c>
      <c r="Q168" s="64">
        <f t="shared" si="158"/>
        <v>1848.8546799809778</v>
      </c>
      <c r="R168" s="64">
        <f t="shared" si="158"/>
        <v>1819.0013070053087</v>
      </c>
      <c r="S168" s="64">
        <f t="shared" si="158"/>
        <v>1778.5726087249873</v>
      </c>
      <c r="T168" s="64">
        <f t="shared" si="158"/>
        <v>1750.7043300845737</v>
      </c>
      <c r="U168" s="64">
        <f t="shared" si="158"/>
        <v>1681.4549041762486</v>
      </c>
      <c r="V168" s="64">
        <f t="shared" si="158"/>
        <v>1621.0372675798637</v>
      </c>
      <c r="W168" s="64">
        <f t="shared" si="158"/>
        <v>1639.9656358577895</v>
      </c>
      <c r="DA168" s="108"/>
    </row>
    <row r="169" spans="1:105" ht="12" customHeight="1" x14ac:dyDescent="0.25">
      <c r="A169" s="61" t="s">
        <v>32</v>
      </c>
      <c r="B169" s="65">
        <f t="shared" ref="B169" si="159">IF(B115=0,0,B115/B$23)</f>
        <v>1596.868593776245</v>
      </c>
      <c r="C169" s="65">
        <f t="shared" ref="C169:W169" si="160">IF(C115=0,0,C115/C$23)</f>
        <v>1667.9059338437835</v>
      </c>
      <c r="D169" s="65">
        <f t="shared" si="160"/>
        <v>1883.4419096126094</v>
      </c>
      <c r="E169" s="65">
        <f t="shared" si="160"/>
        <v>2067.6339934983753</v>
      </c>
      <c r="F169" s="65">
        <f t="shared" si="160"/>
        <v>1989.8091440378594</v>
      </c>
      <c r="G169" s="65">
        <f t="shared" si="160"/>
        <v>1932.1071192606278</v>
      </c>
      <c r="H169" s="65">
        <f t="shared" si="160"/>
        <v>1762.395631145288</v>
      </c>
      <c r="I169" s="65">
        <f t="shared" si="160"/>
        <v>1538.9648501650731</v>
      </c>
      <c r="J169" s="65">
        <f t="shared" si="160"/>
        <v>1826.370738938924</v>
      </c>
      <c r="K169" s="65">
        <f t="shared" si="160"/>
        <v>1675.7818068836793</v>
      </c>
      <c r="L169" s="65">
        <f t="shared" si="160"/>
        <v>1851.1188628238044</v>
      </c>
      <c r="M169" s="65">
        <f t="shared" si="160"/>
        <v>1449.4751079883588</v>
      </c>
      <c r="N169" s="65">
        <f t="shared" si="160"/>
        <v>1547.2086010542348</v>
      </c>
      <c r="O169" s="65">
        <f t="shared" si="160"/>
        <v>1740.5837665028835</v>
      </c>
      <c r="P169" s="65">
        <f t="shared" si="160"/>
        <v>1310.9019122955988</v>
      </c>
      <c r="Q169" s="65">
        <f t="shared" si="160"/>
        <v>1527.6732978986502</v>
      </c>
      <c r="R169" s="65">
        <f t="shared" si="160"/>
        <v>1507.8018273743699</v>
      </c>
      <c r="S169" s="65">
        <f t="shared" si="160"/>
        <v>1473.6619522402327</v>
      </c>
      <c r="T169" s="65">
        <f t="shared" si="160"/>
        <v>1454.3504602245719</v>
      </c>
      <c r="U169" s="65">
        <f t="shared" si="160"/>
        <v>1393.103021559848</v>
      </c>
      <c r="V169" s="65">
        <f t="shared" si="160"/>
        <v>1349.270113181746</v>
      </c>
      <c r="W169" s="65">
        <f t="shared" si="160"/>
        <v>1356.5604822116861</v>
      </c>
      <c r="DA169" s="109"/>
    </row>
    <row r="170" spans="1:105" ht="12" customHeight="1" x14ac:dyDescent="0.25">
      <c r="A170" s="61" t="s">
        <v>31</v>
      </c>
      <c r="B170" s="65">
        <f t="shared" ref="B170" si="161">IF(B116=0,0,B116/B$23)</f>
        <v>1.5453987526074752E-2</v>
      </c>
      <c r="C170" s="65">
        <f t="shared" ref="C170:W170" si="162">IF(C116=0,0,C116/C$23)</f>
        <v>2.1015892632379574E-2</v>
      </c>
      <c r="D170" s="65">
        <f t="shared" si="162"/>
        <v>3.0459998970094538E-2</v>
      </c>
      <c r="E170" s="65">
        <f t="shared" si="162"/>
        <v>3.743267946403428E-2</v>
      </c>
      <c r="F170" s="65">
        <f t="shared" si="162"/>
        <v>5.1627946143947279E-2</v>
      </c>
      <c r="G170" s="65">
        <f t="shared" si="162"/>
        <v>7.0964460818254541E-2</v>
      </c>
      <c r="H170" s="65">
        <f t="shared" si="162"/>
        <v>9.7738331338174111E-2</v>
      </c>
      <c r="I170" s="65">
        <f t="shared" si="162"/>
        <v>0.11541815321767851</v>
      </c>
      <c r="J170" s="65">
        <f t="shared" si="162"/>
        <v>0.15253992892159116</v>
      </c>
      <c r="K170" s="65">
        <f t="shared" si="162"/>
        <v>0.18984787263781858</v>
      </c>
      <c r="L170" s="65">
        <f t="shared" si="162"/>
        <v>0.21686616104749509</v>
      </c>
      <c r="M170" s="65">
        <f t="shared" si="162"/>
        <v>0.23224711151783978</v>
      </c>
      <c r="N170" s="65">
        <f t="shared" si="162"/>
        <v>0.2621660948747993</v>
      </c>
      <c r="O170" s="65">
        <f t="shared" si="162"/>
        <v>0.31921508549160649</v>
      </c>
      <c r="P170" s="65">
        <f t="shared" si="162"/>
        <v>0.39428862666552633</v>
      </c>
      <c r="Q170" s="65">
        <f t="shared" si="162"/>
        <v>0.59012128127288799</v>
      </c>
      <c r="R170" s="65">
        <f t="shared" si="162"/>
        <v>0.66589753444181843</v>
      </c>
      <c r="S170" s="65">
        <f t="shared" si="162"/>
        <v>0.65735138027383233</v>
      </c>
      <c r="T170" s="65">
        <f t="shared" si="162"/>
        <v>0.83290606542664547</v>
      </c>
      <c r="U170" s="65">
        <f t="shared" si="162"/>
        <v>0.9037706974768831</v>
      </c>
      <c r="V170" s="65">
        <f t="shared" si="162"/>
        <v>1.0799431554280583</v>
      </c>
      <c r="W170" s="65">
        <f t="shared" si="162"/>
        <v>0.78590652665139094</v>
      </c>
      <c r="DA170" s="109"/>
    </row>
    <row r="171" spans="1:105" ht="12" customHeight="1" x14ac:dyDescent="0.25">
      <c r="A171" s="61" t="s">
        <v>35</v>
      </c>
      <c r="B171" s="65">
        <f t="shared" ref="B171" si="163">IF(B117=0,0,B117/B$23)</f>
        <v>258.62974835223031</v>
      </c>
      <c r="C171" s="65">
        <f t="shared" ref="C171:W171" si="164">IF(C117=0,0,C117/C$23)</f>
        <v>254.72419235742677</v>
      </c>
      <c r="D171" s="65">
        <f t="shared" si="164"/>
        <v>252.5200645558769</v>
      </c>
      <c r="E171" s="65">
        <f t="shared" si="164"/>
        <v>251.74933497589603</v>
      </c>
      <c r="F171" s="65">
        <f t="shared" si="164"/>
        <v>246.79620230194752</v>
      </c>
      <c r="G171" s="65">
        <f t="shared" si="164"/>
        <v>236.78797612716065</v>
      </c>
      <c r="H171" s="65">
        <f t="shared" si="164"/>
        <v>233.17568133168928</v>
      </c>
      <c r="I171" s="65">
        <f t="shared" si="164"/>
        <v>228.56170928765152</v>
      </c>
      <c r="J171" s="65">
        <f t="shared" si="164"/>
        <v>219.67610831293146</v>
      </c>
      <c r="K171" s="65">
        <f t="shared" si="164"/>
        <v>216.49975118509843</v>
      </c>
      <c r="L171" s="65">
        <f t="shared" si="164"/>
        <v>213.68164994843568</v>
      </c>
      <c r="M171" s="65">
        <f t="shared" si="164"/>
        <v>212.40063091234646</v>
      </c>
      <c r="N171" s="65">
        <f t="shared" si="164"/>
        <v>212.04518954552341</v>
      </c>
      <c r="O171" s="65">
        <f t="shared" si="164"/>
        <v>211.82798341979137</v>
      </c>
      <c r="P171" s="65">
        <f t="shared" si="164"/>
        <v>209.78532271807973</v>
      </c>
      <c r="Q171" s="65">
        <f t="shared" si="164"/>
        <v>206.37209144794642</v>
      </c>
      <c r="R171" s="65">
        <f t="shared" si="164"/>
        <v>200.00931699810857</v>
      </c>
      <c r="S171" s="65">
        <f t="shared" si="164"/>
        <v>194.31547535495153</v>
      </c>
      <c r="T171" s="65">
        <f t="shared" si="164"/>
        <v>187.07970029542264</v>
      </c>
      <c r="U171" s="65">
        <f t="shared" si="164"/>
        <v>179.61895648582035</v>
      </c>
      <c r="V171" s="65">
        <f t="shared" si="164"/>
        <v>166.73266922628869</v>
      </c>
      <c r="W171" s="65">
        <f t="shared" si="164"/>
        <v>173.68200176233458</v>
      </c>
      <c r="DA171" s="109"/>
    </row>
    <row r="172" spans="1:105" ht="12" customHeight="1" x14ac:dyDescent="0.25">
      <c r="A172" s="66" t="s">
        <v>34</v>
      </c>
      <c r="B172" s="67">
        <f t="shared" ref="B172" si="165">IF(B118=0,0,B118/B$23)</f>
        <v>166.0437104769822</v>
      </c>
      <c r="C172" s="67">
        <f t="shared" ref="C172:W172" si="166">IF(C118=0,0,C118/C$23)</f>
        <v>163.22666883456662</v>
      </c>
      <c r="D172" s="67">
        <f t="shared" si="166"/>
        <v>149.3781493607778</v>
      </c>
      <c r="E172" s="67">
        <f t="shared" si="166"/>
        <v>138.64130593534463</v>
      </c>
      <c r="F172" s="67">
        <f t="shared" si="166"/>
        <v>138.49773402245552</v>
      </c>
      <c r="G172" s="67">
        <f t="shared" si="166"/>
        <v>113.50964849420957</v>
      </c>
      <c r="H172" s="67">
        <f t="shared" si="166"/>
        <v>111.49165166530835</v>
      </c>
      <c r="I172" s="67">
        <f t="shared" si="166"/>
        <v>109.62856303862037</v>
      </c>
      <c r="J172" s="67">
        <f t="shared" si="166"/>
        <v>110.22544448182146</v>
      </c>
      <c r="K172" s="67">
        <f t="shared" si="166"/>
        <v>109.42104371848666</v>
      </c>
      <c r="L172" s="67">
        <f t="shared" si="166"/>
        <v>110.57047857648969</v>
      </c>
      <c r="M172" s="67">
        <f t="shared" si="166"/>
        <v>107.54738415871276</v>
      </c>
      <c r="N172" s="67">
        <f t="shared" si="166"/>
        <v>109.45804151645825</v>
      </c>
      <c r="O172" s="67">
        <f t="shared" si="166"/>
        <v>112.14928598793469</v>
      </c>
      <c r="P172" s="67">
        <f t="shared" si="166"/>
        <v>110.36179854018766</v>
      </c>
      <c r="Q172" s="67">
        <f t="shared" si="166"/>
        <v>114.21916935310846</v>
      </c>
      <c r="R172" s="67">
        <f t="shared" si="166"/>
        <v>110.52426509838833</v>
      </c>
      <c r="S172" s="67">
        <f t="shared" si="166"/>
        <v>109.9378297495294</v>
      </c>
      <c r="T172" s="67">
        <f t="shared" si="166"/>
        <v>108.44126349915258</v>
      </c>
      <c r="U172" s="67">
        <f t="shared" si="166"/>
        <v>107.82915543310325</v>
      </c>
      <c r="V172" s="67">
        <f t="shared" si="166"/>
        <v>103.95454201640102</v>
      </c>
      <c r="W172" s="67">
        <f t="shared" si="166"/>
        <v>108.93724535711759</v>
      </c>
      <c r="DA172" s="110"/>
    </row>
    <row r="173" spans="1:105" ht="12" customHeight="1" x14ac:dyDescent="0.25">
      <c r="A173" s="78" t="s">
        <v>33</v>
      </c>
      <c r="B173" s="68">
        <f t="shared" ref="B173" si="167">IF(B119=0,0,B119/B$23)</f>
        <v>0</v>
      </c>
      <c r="C173" s="68">
        <f t="shared" ref="C173:W173" si="168">IF(C119=0,0,C119/C$23)</f>
        <v>0</v>
      </c>
      <c r="D173" s="68">
        <f t="shared" si="168"/>
        <v>0</v>
      </c>
      <c r="E173" s="68">
        <f t="shared" si="168"/>
        <v>0</v>
      </c>
      <c r="F173" s="68">
        <f t="shared" si="168"/>
        <v>0</v>
      </c>
      <c r="G173" s="68">
        <f t="shared" si="168"/>
        <v>0</v>
      </c>
      <c r="H173" s="68">
        <f t="shared" si="168"/>
        <v>0</v>
      </c>
      <c r="I173" s="68">
        <f t="shared" si="168"/>
        <v>0</v>
      </c>
      <c r="J173" s="68">
        <f t="shared" si="168"/>
        <v>0</v>
      </c>
      <c r="K173" s="68">
        <f t="shared" si="168"/>
        <v>0</v>
      </c>
      <c r="L173" s="68">
        <f t="shared" si="168"/>
        <v>0</v>
      </c>
      <c r="M173" s="68">
        <f t="shared" si="168"/>
        <v>0</v>
      </c>
      <c r="N173" s="68">
        <f t="shared" si="168"/>
        <v>0</v>
      </c>
      <c r="O173" s="68">
        <f t="shared" si="168"/>
        <v>0</v>
      </c>
      <c r="P173" s="68">
        <f t="shared" si="168"/>
        <v>0</v>
      </c>
      <c r="Q173" s="68">
        <f t="shared" si="168"/>
        <v>0</v>
      </c>
      <c r="R173" s="68">
        <f t="shared" si="168"/>
        <v>0</v>
      </c>
      <c r="S173" s="68">
        <f t="shared" si="168"/>
        <v>0</v>
      </c>
      <c r="T173" s="68">
        <f t="shared" si="168"/>
        <v>0</v>
      </c>
      <c r="U173" s="68">
        <f t="shared" si="168"/>
        <v>0</v>
      </c>
      <c r="V173" s="68">
        <f t="shared" si="168"/>
        <v>0</v>
      </c>
      <c r="W173" s="68">
        <f t="shared" si="168"/>
        <v>0</v>
      </c>
      <c r="DA173" s="111"/>
    </row>
  </sheetData>
  <pageMargins left="0.39370078740157483" right="0.39370078740157483" top="0.39370078740157483" bottom="0.39370078740157483" header="0.31496062992125984" footer="0.31496062992125984"/>
  <pageSetup paperSize="9" scale="39" orientation="portrait" horizontalDpi="1200" verticalDpi="1200" r:id="rId1"/>
  <headerFooter alignWithMargins="0"/>
  <ignoredErrors>
    <ignoredError sqref="B31:W31 B33:W33 B37:W37 B48:W48 B67:W67 B82:W82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243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79</v>
      </c>
      <c r="B3" s="125">
        <f t="shared" ref="B3:W3" si="0">B4</f>
        <v>194582.59589548144</v>
      </c>
      <c r="C3" s="125">
        <f t="shared" si="0"/>
        <v>196895.60952225298</v>
      </c>
      <c r="D3" s="125">
        <f t="shared" si="0"/>
        <v>206274.69615786383</v>
      </c>
      <c r="E3" s="125">
        <f t="shared" si="0"/>
        <v>208589.11927743067</v>
      </c>
      <c r="F3" s="125">
        <f t="shared" si="0"/>
        <v>213772.81102575356</v>
      </c>
      <c r="G3" s="125">
        <f t="shared" si="0"/>
        <v>217552.12672372433</v>
      </c>
      <c r="H3" s="125">
        <f t="shared" si="0"/>
        <v>222310.24443650417</v>
      </c>
      <c r="I3" s="125">
        <f t="shared" si="0"/>
        <v>227678.79182934936</v>
      </c>
      <c r="J3" s="125">
        <f t="shared" si="0"/>
        <v>231130.56444996875</v>
      </c>
      <c r="K3" s="125">
        <f t="shared" si="0"/>
        <v>229691.75085205151</v>
      </c>
      <c r="L3" s="125">
        <f t="shared" si="0"/>
        <v>234449.35684602649</v>
      </c>
      <c r="M3" s="125">
        <f t="shared" si="0"/>
        <v>238177.76641556041</v>
      </c>
      <c r="N3" s="125">
        <f t="shared" si="0"/>
        <v>239999.10081174271</v>
      </c>
      <c r="O3" s="125">
        <f t="shared" si="0"/>
        <v>241332.7053892657</v>
      </c>
      <c r="P3" s="125">
        <f t="shared" si="0"/>
        <v>242989.94212203036</v>
      </c>
      <c r="Q3" s="125">
        <f t="shared" si="0"/>
        <v>243803.30906396589</v>
      </c>
      <c r="R3" s="125">
        <f t="shared" si="0"/>
        <v>245855.46977946343</v>
      </c>
      <c r="S3" s="125">
        <f t="shared" si="0"/>
        <v>247697.413633825</v>
      </c>
      <c r="T3" s="125">
        <f t="shared" si="0"/>
        <v>250025.14397531672</v>
      </c>
      <c r="U3" s="125">
        <f t="shared" si="0"/>
        <v>252303.49973374995</v>
      </c>
      <c r="V3" s="125">
        <f t="shared" si="0"/>
        <v>254529.32555555567</v>
      </c>
      <c r="W3" s="125">
        <f t="shared" si="0"/>
        <v>256693.88488644577</v>
      </c>
      <c r="DA3" s="169" t="s">
        <v>244</v>
      </c>
    </row>
    <row r="4" spans="1:105" ht="12.95" customHeight="1" x14ac:dyDescent="0.25">
      <c r="A4" s="130" t="s">
        <v>32</v>
      </c>
      <c r="B4" s="140">
        <f t="shared" ref="B4:Q4" si="1">SUM(B5:B14)</f>
        <v>194582.59589548144</v>
      </c>
      <c r="C4" s="140">
        <f t="shared" si="1"/>
        <v>196895.60952225298</v>
      </c>
      <c r="D4" s="140">
        <f t="shared" si="1"/>
        <v>206274.69615786383</v>
      </c>
      <c r="E4" s="140">
        <f t="shared" si="1"/>
        <v>208589.11927743067</v>
      </c>
      <c r="F4" s="140">
        <f t="shared" si="1"/>
        <v>213772.81102575356</v>
      </c>
      <c r="G4" s="140">
        <f t="shared" si="1"/>
        <v>217552.12672372433</v>
      </c>
      <c r="H4" s="140">
        <f t="shared" si="1"/>
        <v>222310.24443650417</v>
      </c>
      <c r="I4" s="140">
        <f t="shared" si="1"/>
        <v>227678.79182934936</v>
      </c>
      <c r="J4" s="140">
        <f t="shared" si="1"/>
        <v>231130.56444996875</v>
      </c>
      <c r="K4" s="140">
        <f t="shared" si="1"/>
        <v>229691.75085205151</v>
      </c>
      <c r="L4" s="140">
        <f t="shared" si="1"/>
        <v>234449.35684602649</v>
      </c>
      <c r="M4" s="140">
        <f t="shared" si="1"/>
        <v>238177.76641556041</v>
      </c>
      <c r="N4" s="140">
        <f t="shared" si="1"/>
        <v>239999.10081174271</v>
      </c>
      <c r="O4" s="140">
        <f t="shared" si="1"/>
        <v>241332.7053892657</v>
      </c>
      <c r="P4" s="140">
        <f t="shared" si="1"/>
        <v>242989.94212203036</v>
      </c>
      <c r="Q4" s="140">
        <f t="shared" si="1"/>
        <v>243803.30906396589</v>
      </c>
      <c r="R4" s="140">
        <f t="shared" ref="R4:W4" si="2">SUM(R5:R14)</f>
        <v>245855.46977946343</v>
      </c>
      <c r="S4" s="140">
        <f t="shared" si="2"/>
        <v>247697.413633825</v>
      </c>
      <c r="T4" s="140">
        <f t="shared" si="2"/>
        <v>250025.14397531672</v>
      </c>
      <c r="U4" s="140">
        <f t="shared" si="2"/>
        <v>252303.49973374995</v>
      </c>
      <c r="V4" s="140">
        <f t="shared" si="2"/>
        <v>254529.32555555567</v>
      </c>
      <c r="W4" s="140">
        <f t="shared" si="2"/>
        <v>256693.88488644577</v>
      </c>
      <c r="DA4" s="170" t="s">
        <v>245</v>
      </c>
    </row>
    <row r="5" spans="1:105" ht="12" customHeight="1" x14ac:dyDescent="0.25">
      <c r="A5" s="132" t="s">
        <v>29</v>
      </c>
      <c r="B5" s="141">
        <v>0</v>
      </c>
      <c r="C5" s="141">
        <v>0</v>
      </c>
      <c r="D5" s="141">
        <v>0</v>
      </c>
      <c r="E5" s="141">
        <v>0</v>
      </c>
      <c r="F5" s="141">
        <v>0</v>
      </c>
      <c r="G5" s="141">
        <v>0</v>
      </c>
      <c r="H5" s="141">
        <v>0</v>
      </c>
      <c r="I5" s="141">
        <v>0</v>
      </c>
      <c r="J5" s="141">
        <v>0</v>
      </c>
      <c r="K5" s="141">
        <v>0</v>
      </c>
      <c r="L5" s="141">
        <v>0</v>
      </c>
      <c r="M5" s="141">
        <v>0</v>
      </c>
      <c r="N5" s="141">
        <v>0</v>
      </c>
      <c r="O5" s="141">
        <v>0</v>
      </c>
      <c r="P5" s="141">
        <v>0</v>
      </c>
      <c r="Q5" s="141">
        <v>0</v>
      </c>
      <c r="R5" s="141">
        <v>0</v>
      </c>
      <c r="S5" s="141">
        <v>0</v>
      </c>
      <c r="T5" s="141">
        <v>0</v>
      </c>
      <c r="U5" s="141">
        <v>0</v>
      </c>
      <c r="V5" s="141">
        <v>0</v>
      </c>
      <c r="W5" s="141">
        <v>0</v>
      </c>
      <c r="DA5" s="171" t="s">
        <v>246</v>
      </c>
    </row>
    <row r="6" spans="1:105" ht="12" customHeight="1" x14ac:dyDescent="0.25">
      <c r="A6" s="132" t="s">
        <v>52</v>
      </c>
      <c r="B6" s="141">
        <v>0</v>
      </c>
      <c r="C6" s="141">
        <v>0</v>
      </c>
      <c r="D6" s="141">
        <v>0</v>
      </c>
      <c r="E6" s="141">
        <v>0</v>
      </c>
      <c r="F6" s="141">
        <v>0</v>
      </c>
      <c r="G6" s="141">
        <v>0</v>
      </c>
      <c r="H6" s="141">
        <v>0</v>
      </c>
      <c r="I6" s="141">
        <v>0</v>
      </c>
      <c r="J6" s="141">
        <v>0</v>
      </c>
      <c r="K6" s="141">
        <v>0</v>
      </c>
      <c r="L6" s="141">
        <v>0</v>
      </c>
      <c r="M6" s="141">
        <v>0</v>
      </c>
      <c r="N6" s="141">
        <v>0</v>
      </c>
      <c r="O6" s="141">
        <v>0</v>
      </c>
      <c r="P6" s="141">
        <v>0</v>
      </c>
      <c r="Q6" s="141">
        <v>0</v>
      </c>
      <c r="R6" s="141">
        <v>0</v>
      </c>
      <c r="S6" s="141">
        <v>0</v>
      </c>
      <c r="T6" s="141">
        <v>0</v>
      </c>
      <c r="U6" s="141">
        <v>0</v>
      </c>
      <c r="V6" s="141">
        <v>0</v>
      </c>
      <c r="W6" s="141">
        <v>0</v>
      </c>
      <c r="DA6" s="171" t="s">
        <v>247</v>
      </c>
    </row>
    <row r="7" spans="1:105" ht="12" customHeight="1" x14ac:dyDescent="0.25">
      <c r="A7" s="132" t="s">
        <v>168</v>
      </c>
      <c r="B7" s="141">
        <v>54868.759053667025</v>
      </c>
      <c r="C7" s="141">
        <v>61247.082857193207</v>
      </c>
      <c r="D7" s="141">
        <v>66649.197848089898</v>
      </c>
      <c r="E7" s="141">
        <v>68737.980747216803</v>
      </c>
      <c r="F7" s="141">
        <v>69863.805786658428</v>
      </c>
      <c r="G7" s="141">
        <v>68771.004705045896</v>
      </c>
      <c r="H7" s="141">
        <v>66531.977239936605</v>
      </c>
      <c r="I7" s="141">
        <v>63565.546164678439</v>
      </c>
      <c r="J7" s="141">
        <v>62719.026981334689</v>
      </c>
      <c r="K7" s="141">
        <v>59557.624592101347</v>
      </c>
      <c r="L7" s="141">
        <v>59582.278244672321</v>
      </c>
      <c r="M7" s="141">
        <v>59723.098316432275</v>
      </c>
      <c r="N7" s="141">
        <v>59467.016666883712</v>
      </c>
      <c r="O7" s="141">
        <v>60146.816654446156</v>
      </c>
      <c r="P7" s="141">
        <v>60425.487271213118</v>
      </c>
      <c r="Q7" s="141">
        <v>61316.319813823604</v>
      </c>
      <c r="R7" s="141">
        <v>60046.939124362631</v>
      </c>
      <c r="S7" s="141">
        <v>59434.6174983604</v>
      </c>
      <c r="T7" s="141">
        <v>58587.571868763909</v>
      </c>
      <c r="U7" s="141">
        <v>56712.872975504091</v>
      </c>
      <c r="V7" s="141">
        <v>55638.744485161151</v>
      </c>
      <c r="W7" s="141">
        <v>53141.306662059309</v>
      </c>
      <c r="DA7" s="171" t="s">
        <v>248</v>
      </c>
    </row>
    <row r="8" spans="1:105" ht="12" customHeight="1" x14ac:dyDescent="0.25">
      <c r="A8" s="132" t="s">
        <v>73</v>
      </c>
      <c r="B8" s="141">
        <v>3.5153962778855545</v>
      </c>
      <c r="C8" s="141">
        <v>3.7617640914517185</v>
      </c>
      <c r="D8" s="141">
        <v>4.0432529685127463</v>
      </c>
      <c r="E8" s="141">
        <v>4.1859037758760058</v>
      </c>
      <c r="F8" s="141">
        <v>4.3206520818151981</v>
      </c>
      <c r="G8" s="141">
        <v>4.625414466518734</v>
      </c>
      <c r="H8" s="141">
        <v>5.1618255522620995</v>
      </c>
      <c r="I8" s="141">
        <v>5.7333992051072924</v>
      </c>
      <c r="J8" s="141">
        <v>6.330538492524842</v>
      </c>
      <c r="K8" s="141">
        <v>7.1360336860691458</v>
      </c>
      <c r="L8" s="141">
        <v>8.0915495221140219</v>
      </c>
      <c r="M8" s="141">
        <v>9.4915079170306171</v>
      </c>
      <c r="N8" s="141">
        <v>11.141988902473834</v>
      </c>
      <c r="O8" s="141">
        <v>12.840476276197901</v>
      </c>
      <c r="P8" s="141">
        <v>14.405564964897708</v>
      </c>
      <c r="Q8" s="141">
        <v>15.596181605505901</v>
      </c>
      <c r="R8" s="141">
        <v>16.625237989167452</v>
      </c>
      <c r="S8" s="141">
        <v>17.383336975793835</v>
      </c>
      <c r="T8" s="141">
        <v>18.358508671539063</v>
      </c>
      <c r="U8" s="141">
        <v>19.691542225294526</v>
      </c>
      <c r="V8" s="141">
        <v>21.388197998888856</v>
      </c>
      <c r="W8" s="141">
        <v>22.679961922980215</v>
      </c>
      <c r="DA8" s="171" t="s">
        <v>249</v>
      </c>
    </row>
    <row r="9" spans="1:105" ht="12" customHeight="1" x14ac:dyDescent="0.25">
      <c r="A9" s="132" t="s">
        <v>78</v>
      </c>
      <c r="B9" s="141">
        <v>111145.25897234875</v>
      </c>
      <c r="C9" s="141">
        <v>108366.99413033541</v>
      </c>
      <c r="D9" s="141">
        <v>113288.78189368638</v>
      </c>
      <c r="E9" s="141">
        <v>111807.27252777839</v>
      </c>
      <c r="F9" s="141">
        <v>98978.467146327035</v>
      </c>
      <c r="G9" s="141">
        <v>92610.314615327792</v>
      </c>
      <c r="H9" s="141">
        <v>94232.222497737865</v>
      </c>
      <c r="I9" s="141">
        <v>103068.38531235978</v>
      </c>
      <c r="J9" s="141">
        <v>111644.12728047601</v>
      </c>
      <c r="K9" s="141">
        <v>116044.22490391182</v>
      </c>
      <c r="L9" s="141">
        <v>124723.46009732263</v>
      </c>
      <c r="M9" s="141">
        <v>130296.24507792675</v>
      </c>
      <c r="N9" s="141">
        <v>135158.24888696012</v>
      </c>
      <c r="O9" s="141">
        <v>137999.05586691818</v>
      </c>
      <c r="P9" s="141">
        <v>140611.81382890389</v>
      </c>
      <c r="Q9" s="141">
        <v>142663.01775559189</v>
      </c>
      <c r="R9" s="141">
        <v>147488.11162599464</v>
      </c>
      <c r="S9" s="141">
        <v>150192.14723940004</v>
      </c>
      <c r="T9" s="141">
        <v>151670.91420797005</v>
      </c>
      <c r="U9" s="141">
        <v>152720.22202054769</v>
      </c>
      <c r="V9" s="141">
        <v>153050.55762163227</v>
      </c>
      <c r="W9" s="141">
        <v>156225.01907926871</v>
      </c>
      <c r="DA9" s="171" t="s">
        <v>250</v>
      </c>
    </row>
    <row r="10" spans="1:105" ht="12" customHeight="1" x14ac:dyDescent="0.25">
      <c r="A10" s="132" t="s">
        <v>128</v>
      </c>
      <c r="B10" s="141">
        <v>1.3067766516275263</v>
      </c>
      <c r="C10" s="141">
        <v>1.3796295962450436</v>
      </c>
      <c r="D10" s="141">
        <v>22.943868867886888</v>
      </c>
      <c r="E10" s="141">
        <v>72.30015270907208</v>
      </c>
      <c r="F10" s="141">
        <v>172.98427826804991</v>
      </c>
      <c r="G10" s="141">
        <v>249.5017857658344</v>
      </c>
      <c r="H10" s="141">
        <v>275.0819733986574</v>
      </c>
      <c r="I10" s="141">
        <v>247.6587392692719</v>
      </c>
      <c r="J10" s="141">
        <v>178.99252025481539</v>
      </c>
      <c r="K10" s="141">
        <v>191.35092631500623</v>
      </c>
      <c r="L10" s="141">
        <v>372.03872984114076</v>
      </c>
      <c r="M10" s="141">
        <v>731.13926032074085</v>
      </c>
      <c r="N10" s="141">
        <v>1367.6085078669603</v>
      </c>
      <c r="O10" s="141">
        <v>2141.6834051584033</v>
      </c>
      <c r="P10" s="141">
        <v>2840.4205650548902</v>
      </c>
      <c r="Q10" s="141">
        <v>3170.0096542985743</v>
      </c>
      <c r="R10" s="141">
        <v>3283.5994041389013</v>
      </c>
      <c r="S10" s="141">
        <v>3300.3511741292173</v>
      </c>
      <c r="T10" s="141">
        <v>3353.4055083105527</v>
      </c>
      <c r="U10" s="141">
        <v>3427.7207225653565</v>
      </c>
      <c r="V10" s="141">
        <v>3436.7615359451265</v>
      </c>
      <c r="W10" s="141">
        <v>3470.4545315023638</v>
      </c>
      <c r="DA10" s="171" t="s">
        <v>251</v>
      </c>
    </row>
    <row r="11" spans="1:105" ht="12" customHeight="1" x14ac:dyDescent="0.25">
      <c r="A11" s="132" t="s">
        <v>25</v>
      </c>
      <c r="B11" s="141">
        <v>0</v>
      </c>
      <c r="C11" s="141">
        <v>0</v>
      </c>
      <c r="D11" s="141">
        <v>0</v>
      </c>
      <c r="E11" s="141">
        <v>0</v>
      </c>
      <c r="F11" s="141">
        <v>0</v>
      </c>
      <c r="G11" s="141">
        <v>0</v>
      </c>
      <c r="H11" s="141">
        <v>0</v>
      </c>
      <c r="I11" s="141">
        <v>0</v>
      </c>
      <c r="J11" s="141">
        <v>0</v>
      </c>
      <c r="K11" s="141">
        <v>0</v>
      </c>
      <c r="L11" s="141">
        <v>0</v>
      </c>
      <c r="M11" s="141">
        <v>0</v>
      </c>
      <c r="N11" s="141">
        <v>0</v>
      </c>
      <c r="O11" s="141">
        <v>0</v>
      </c>
      <c r="P11" s="141">
        <v>0</v>
      </c>
      <c r="Q11" s="141">
        <v>0</v>
      </c>
      <c r="R11" s="141">
        <v>0</v>
      </c>
      <c r="S11" s="141">
        <v>0</v>
      </c>
      <c r="T11" s="141">
        <v>0</v>
      </c>
      <c r="U11" s="141">
        <v>0</v>
      </c>
      <c r="V11" s="141">
        <v>0</v>
      </c>
      <c r="W11" s="141">
        <v>0</v>
      </c>
      <c r="DA11" s="171" t="s">
        <v>252</v>
      </c>
    </row>
    <row r="12" spans="1:105" ht="12" customHeight="1" x14ac:dyDescent="0.25">
      <c r="A12" s="132" t="s">
        <v>169</v>
      </c>
      <c r="B12" s="141">
        <v>5597.0202142136832</v>
      </c>
      <c r="C12" s="141">
        <v>5490.5359178397784</v>
      </c>
      <c r="D12" s="141">
        <v>5323.4137793721147</v>
      </c>
      <c r="E12" s="141">
        <v>5051.5942803447651</v>
      </c>
      <c r="F12" s="141">
        <v>4923.0610165405187</v>
      </c>
      <c r="G12" s="141">
        <v>5147.6049371537292</v>
      </c>
      <c r="H12" s="141">
        <v>5473.5429310842273</v>
      </c>
      <c r="I12" s="141">
        <v>5423.860315003958</v>
      </c>
      <c r="J12" s="141">
        <v>4288.7295140792667</v>
      </c>
      <c r="K12" s="141">
        <v>3826.4106339137675</v>
      </c>
      <c r="L12" s="141">
        <v>3718.8841715869889</v>
      </c>
      <c r="M12" s="141">
        <v>3892.5992315146354</v>
      </c>
      <c r="N12" s="141">
        <v>4171.0769055845112</v>
      </c>
      <c r="O12" s="141">
        <v>4651.7148133229093</v>
      </c>
      <c r="P12" s="141">
        <v>5838.1962784336201</v>
      </c>
      <c r="Q12" s="141">
        <v>6255.619777730627</v>
      </c>
      <c r="R12" s="141">
        <v>6239.0569784236413</v>
      </c>
      <c r="S12" s="141">
        <v>5927.1234852062089</v>
      </c>
      <c r="T12" s="141">
        <v>6065.6078200196062</v>
      </c>
      <c r="U12" s="141">
        <v>6436.534232054617</v>
      </c>
      <c r="V12" s="141">
        <v>7204.8799066599477</v>
      </c>
      <c r="W12" s="141">
        <v>7656.5510682753838</v>
      </c>
      <c r="DA12" s="171" t="s">
        <v>253</v>
      </c>
    </row>
    <row r="13" spans="1:105" ht="12" customHeight="1" x14ac:dyDescent="0.25">
      <c r="A13" s="132" t="s">
        <v>77</v>
      </c>
      <c r="B13" s="141">
        <v>7.1960884752783834</v>
      </c>
      <c r="C13" s="141">
        <v>8.7094414202977433</v>
      </c>
      <c r="D13" s="141">
        <v>9.8810685985638909</v>
      </c>
      <c r="E13" s="141">
        <v>11.938669664658299</v>
      </c>
      <c r="F13" s="141">
        <v>32.840999813605052</v>
      </c>
      <c r="G13" s="141">
        <v>86.187627565096363</v>
      </c>
      <c r="H13" s="141">
        <v>190.64971482313192</v>
      </c>
      <c r="I13" s="141">
        <v>297.14897774809583</v>
      </c>
      <c r="J13" s="141">
        <v>379.43664024823278</v>
      </c>
      <c r="K13" s="141">
        <v>456.26267314917084</v>
      </c>
      <c r="L13" s="141">
        <v>517.70656527528047</v>
      </c>
      <c r="M13" s="141">
        <v>605.0162472151269</v>
      </c>
      <c r="N13" s="141">
        <v>668.4795094519053</v>
      </c>
      <c r="O13" s="141">
        <v>713.90947156561583</v>
      </c>
      <c r="P13" s="141">
        <v>744.05167489684732</v>
      </c>
      <c r="Q13" s="141">
        <v>722.89891024507381</v>
      </c>
      <c r="R13" s="141">
        <v>816.01021961794902</v>
      </c>
      <c r="S13" s="141">
        <v>1082.1960988690059</v>
      </c>
      <c r="T13" s="141">
        <v>1701.9187618913327</v>
      </c>
      <c r="U13" s="141">
        <v>2560.5868891619916</v>
      </c>
      <c r="V13" s="141">
        <v>3526.2350099127166</v>
      </c>
      <c r="W13" s="141">
        <v>4555.3503556419937</v>
      </c>
      <c r="DA13" s="171" t="s">
        <v>254</v>
      </c>
    </row>
    <row r="14" spans="1:105" ht="12" customHeight="1" x14ac:dyDescent="0.25">
      <c r="A14" s="60" t="s">
        <v>76</v>
      </c>
      <c r="B14" s="142">
        <v>22959.539393847193</v>
      </c>
      <c r="C14" s="142">
        <v>21777.14578177654</v>
      </c>
      <c r="D14" s="142">
        <v>20976.434446280495</v>
      </c>
      <c r="E14" s="142">
        <v>22903.846995941138</v>
      </c>
      <c r="F14" s="142">
        <v>39797.331146064098</v>
      </c>
      <c r="G14" s="142">
        <v>50682.887638399487</v>
      </c>
      <c r="H14" s="142">
        <v>55601.608253971419</v>
      </c>
      <c r="I14" s="142">
        <v>55070.458921084712</v>
      </c>
      <c r="J14" s="142">
        <v>51913.920975083209</v>
      </c>
      <c r="K14" s="142">
        <v>49608.741088974326</v>
      </c>
      <c r="L14" s="142">
        <v>45526.897487806018</v>
      </c>
      <c r="M14" s="142">
        <v>42920.176774233842</v>
      </c>
      <c r="N14" s="142">
        <v>39155.528346093015</v>
      </c>
      <c r="O14" s="142">
        <v>35666.684701578226</v>
      </c>
      <c r="P14" s="142">
        <v>32515.566938563112</v>
      </c>
      <c r="Q14" s="142">
        <v>29659.846970670616</v>
      </c>
      <c r="R14" s="142">
        <v>27965.12718893648</v>
      </c>
      <c r="S14" s="142">
        <v>27743.594800884312</v>
      </c>
      <c r="T14" s="142">
        <v>28627.3672996897</v>
      </c>
      <c r="U14" s="142">
        <v>30425.871351690901</v>
      </c>
      <c r="V14" s="142">
        <v>31650.758798245566</v>
      </c>
      <c r="W14" s="142">
        <v>31622.523227775022</v>
      </c>
      <c r="DA14" s="172" t="s">
        <v>255</v>
      </c>
    </row>
    <row r="15" spans="1:105" ht="12" hidden="1" customHeight="1" x14ac:dyDescent="0.25">
      <c r="A15" s="143" t="s">
        <v>75</v>
      </c>
      <c r="B15" s="144">
        <f t="shared" ref="B15:Q15" si="3">SUM(B5:B12)</f>
        <v>171615.86041315895</v>
      </c>
      <c r="C15" s="144">
        <f t="shared" si="3"/>
        <v>175109.75429905613</v>
      </c>
      <c r="D15" s="144">
        <f t="shared" si="3"/>
        <v>185288.38064298476</v>
      </c>
      <c r="E15" s="144">
        <f t="shared" si="3"/>
        <v>185673.33361182487</v>
      </c>
      <c r="F15" s="144">
        <f t="shared" si="3"/>
        <v>173942.63887987586</v>
      </c>
      <c r="G15" s="144">
        <f t="shared" si="3"/>
        <v>166783.05145775975</v>
      </c>
      <c r="H15" s="144">
        <f t="shared" si="3"/>
        <v>166517.98646770962</v>
      </c>
      <c r="I15" s="144">
        <f t="shared" si="3"/>
        <v>172311.18393051656</v>
      </c>
      <c r="J15" s="144">
        <f t="shared" si="3"/>
        <v>178837.2068346373</v>
      </c>
      <c r="K15" s="144">
        <f t="shared" si="3"/>
        <v>179626.74708992802</v>
      </c>
      <c r="L15" s="144">
        <f t="shared" si="3"/>
        <v>188404.75279294519</v>
      </c>
      <c r="M15" s="144">
        <f t="shared" si="3"/>
        <v>194652.57339411144</v>
      </c>
      <c r="N15" s="144">
        <f t="shared" si="3"/>
        <v>200175.0929561978</v>
      </c>
      <c r="O15" s="144">
        <f t="shared" si="3"/>
        <v>204952.11121612185</v>
      </c>
      <c r="P15" s="144">
        <f t="shared" si="3"/>
        <v>209730.32350857041</v>
      </c>
      <c r="Q15" s="144">
        <f t="shared" si="3"/>
        <v>213420.5631830502</v>
      </c>
      <c r="R15" s="144">
        <f t="shared" ref="R15:W15" si="4">SUM(R5:R12)</f>
        <v>217074.33237090899</v>
      </c>
      <c r="S15" s="144">
        <f t="shared" si="4"/>
        <v>218871.62273407169</v>
      </c>
      <c r="T15" s="144">
        <f t="shared" si="4"/>
        <v>219695.85791373567</v>
      </c>
      <c r="U15" s="144">
        <f t="shared" si="4"/>
        <v>219317.04149289706</v>
      </c>
      <c r="V15" s="144">
        <f t="shared" si="4"/>
        <v>219352.33174739737</v>
      </c>
      <c r="W15" s="144">
        <f t="shared" si="4"/>
        <v>220516.01130302873</v>
      </c>
      <c r="DA15" s="173"/>
    </row>
    <row r="16" spans="1:105" ht="12.95" customHeight="1" x14ac:dyDescent="0.25">
      <c r="A16" s="130" t="s">
        <v>74</v>
      </c>
      <c r="B16" s="140">
        <f t="shared" ref="B16:Q16" si="5">SUM(B17:B18)</f>
        <v>11271.430914670878</v>
      </c>
      <c r="C16" s="140">
        <f t="shared" si="5"/>
        <v>14758.128378528054</v>
      </c>
      <c r="D16" s="140">
        <f t="shared" si="5"/>
        <v>20482.053149553773</v>
      </c>
      <c r="E16" s="140">
        <f t="shared" si="5"/>
        <v>24628.149307246767</v>
      </c>
      <c r="F16" s="140">
        <f t="shared" si="5"/>
        <v>30256.534434601705</v>
      </c>
      <c r="G16" s="140">
        <f t="shared" si="5"/>
        <v>36758.717111259706</v>
      </c>
      <c r="H16" s="140">
        <f t="shared" si="5"/>
        <v>44004.069642156166</v>
      </c>
      <c r="I16" s="140">
        <f t="shared" si="5"/>
        <v>53085.30598143892</v>
      </c>
      <c r="J16" s="140">
        <f t="shared" si="5"/>
        <v>60180.532619841964</v>
      </c>
      <c r="K16" s="140">
        <f t="shared" si="5"/>
        <v>67278.269477849608</v>
      </c>
      <c r="L16" s="140">
        <f t="shared" si="5"/>
        <v>75165.706249701107</v>
      </c>
      <c r="M16" s="140">
        <f t="shared" si="5"/>
        <v>81694.492118558614</v>
      </c>
      <c r="N16" s="140">
        <f t="shared" si="5"/>
        <v>86244.959353543221</v>
      </c>
      <c r="O16" s="140">
        <f t="shared" si="5"/>
        <v>91549.970832983192</v>
      </c>
      <c r="P16" s="140">
        <f t="shared" si="5"/>
        <v>95649.707554123699</v>
      </c>
      <c r="Q16" s="140">
        <f t="shared" si="5"/>
        <v>98468.183358777722</v>
      </c>
      <c r="R16" s="140">
        <f t="shared" ref="R16:W16" si="6">SUM(R17:R18)</f>
        <v>102463.72904345221</v>
      </c>
      <c r="S16" s="140">
        <f t="shared" si="6"/>
        <v>103904.93412321938</v>
      </c>
      <c r="T16" s="140">
        <f t="shared" si="6"/>
        <v>105043.20632013479</v>
      </c>
      <c r="U16" s="140">
        <f t="shared" si="6"/>
        <v>106475.91637942266</v>
      </c>
      <c r="V16" s="140">
        <f t="shared" si="6"/>
        <v>101593.25095910513</v>
      </c>
      <c r="W16" s="140">
        <f t="shared" si="6"/>
        <v>110877.21305160956</v>
      </c>
      <c r="DA16" s="170" t="s">
        <v>256</v>
      </c>
    </row>
    <row r="17" spans="1:105" ht="12.95" customHeight="1" x14ac:dyDescent="0.25">
      <c r="A17" s="132" t="s">
        <v>73</v>
      </c>
      <c r="B17" s="141">
        <v>11.472513896788502</v>
      </c>
      <c r="C17" s="141">
        <v>15.581482306588128</v>
      </c>
      <c r="D17" s="141">
        <v>23.166420823835555</v>
      </c>
      <c r="E17" s="141">
        <v>22.494179800806187</v>
      </c>
      <c r="F17" s="141">
        <v>41.13270409462195</v>
      </c>
      <c r="G17" s="141">
        <v>56.809352164839694</v>
      </c>
      <c r="H17" s="141">
        <v>63.353230893804515</v>
      </c>
      <c r="I17" s="141">
        <v>97.826377326246515</v>
      </c>
      <c r="J17" s="141">
        <v>130.83505410253193</v>
      </c>
      <c r="K17" s="141">
        <v>162.01301307670346</v>
      </c>
      <c r="L17" s="141">
        <v>176.07768224726456</v>
      </c>
      <c r="M17" s="141">
        <v>204.33828773073051</v>
      </c>
      <c r="N17" s="141">
        <v>230.10940705601521</v>
      </c>
      <c r="O17" s="141">
        <v>278.29094513134481</v>
      </c>
      <c r="P17" s="141">
        <v>365.48500829776862</v>
      </c>
      <c r="Q17" s="141">
        <v>499.06907306812968</v>
      </c>
      <c r="R17" s="141">
        <v>596.42534026055296</v>
      </c>
      <c r="S17" s="141">
        <v>636.81521653011828</v>
      </c>
      <c r="T17" s="141">
        <v>725.89556580185842</v>
      </c>
      <c r="U17" s="141">
        <v>844.42996397500406</v>
      </c>
      <c r="V17" s="141">
        <v>906.33841552997694</v>
      </c>
      <c r="W17" s="141">
        <v>872.5189710782239</v>
      </c>
      <c r="DA17" s="171" t="s">
        <v>257</v>
      </c>
    </row>
    <row r="18" spans="1:105" ht="12" customHeight="1" x14ac:dyDescent="0.25">
      <c r="A18" s="132" t="s">
        <v>72</v>
      </c>
      <c r="B18" s="141">
        <v>11259.95840077409</v>
      </c>
      <c r="C18" s="141">
        <v>14742.546896221465</v>
      </c>
      <c r="D18" s="141">
        <v>20458.886728729936</v>
      </c>
      <c r="E18" s="141">
        <v>24605.65512744596</v>
      </c>
      <c r="F18" s="141">
        <v>30215.401730507081</v>
      </c>
      <c r="G18" s="141">
        <v>36701.907759094865</v>
      </c>
      <c r="H18" s="141">
        <v>43940.716411262365</v>
      </c>
      <c r="I18" s="141">
        <v>52987.479604112676</v>
      </c>
      <c r="J18" s="141">
        <v>60049.697565739436</v>
      </c>
      <c r="K18" s="141">
        <v>67116.256464772901</v>
      </c>
      <c r="L18" s="141">
        <v>74989.628567453838</v>
      </c>
      <c r="M18" s="141">
        <v>81490.153830827883</v>
      </c>
      <c r="N18" s="141">
        <v>86014.8499464872</v>
      </c>
      <c r="O18" s="141">
        <v>91271.679887851846</v>
      </c>
      <c r="P18" s="141">
        <v>95284.222545825935</v>
      </c>
      <c r="Q18" s="141">
        <v>97969.114285709598</v>
      </c>
      <c r="R18" s="141">
        <v>101867.30370319166</v>
      </c>
      <c r="S18" s="141">
        <v>103268.11890668927</v>
      </c>
      <c r="T18" s="141">
        <v>104317.31075433294</v>
      </c>
      <c r="U18" s="141">
        <v>105631.48641544765</v>
      </c>
      <c r="V18" s="141">
        <v>100686.91254357516</v>
      </c>
      <c r="W18" s="141">
        <v>110004.69408053134</v>
      </c>
      <c r="DA18" s="171" t="s">
        <v>258</v>
      </c>
    </row>
    <row r="19" spans="1:105" ht="12.95" customHeight="1" x14ac:dyDescent="0.25">
      <c r="A19" s="130" t="s">
        <v>35</v>
      </c>
      <c r="B19" s="140">
        <f t="shared" ref="B19:Q19" si="7">SUM(B20:B26)</f>
        <v>194582.59589548144</v>
      </c>
      <c r="C19" s="140">
        <f t="shared" si="7"/>
        <v>196895.60952225293</v>
      </c>
      <c r="D19" s="140">
        <f t="shared" si="7"/>
        <v>206274.69615786395</v>
      </c>
      <c r="E19" s="140">
        <f t="shared" si="7"/>
        <v>208589.11927743081</v>
      </c>
      <c r="F19" s="140">
        <f t="shared" si="7"/>
        <v>213772.81102575359</v>
      </c>
      <c r="G19" s="140">
        <f t="shared" si="7"/>
        <v>217552.12672372436</v>
      </c>
      <c r="H19" s="140">
        <f t="shared" si="7"/>
        <v>222310.24443650417</v>
      </c>
      <c r="I19" s="140">
        <f t="shared" si="7"/>
        <v>227678.79182934939</v>
      </c>
      <c r="J19" s="140">
        <f t="shared" si="7"/>
        <v>231130.56444996869</v>
      </c>
      <c r="K19" s="140">
        <f t="shared" si="7"/>
        <v>229691.7508520516</v>
      </c>
      <c r="L19" s="140">
        <f t="shared" si="7"/>
        <v>234449.35684602673</v>
      </c>
      <c r="M19" s="140">
        <f t="shared" si="7"/>
        <v>238177.76641556039</v>
      </c>
      <c r="N19" s="140">
        <f t="shared" si="7"/>
        <v>239999.10081174265</v>
      </c>
      <c r="O19" s="140">
        <f t="shared" si="7"/>
        <v>241332.70538926561</v>
      </c>
      <c r="P19" s="140">
        <f t="shared" si="7"/>
        <v>242989.94212203033</v>
      </c>
      <c r="Q19" s="140">
        <f t="shared" si="7"/>
        <v>243803.30906396586</v>
      </c>
      <c r="R19" s="140">
        <f t="shared" ref="R19:W19" si="8">SUM(R20:R26)</f>
        <v>245855.46977946354</v>
      </c>
      <c r="S19" s="140">
        <f t="shared" si="8"/>
        <v>247697.41363382491</v>
      </c>
      <c r="T19" s="140">
        <f t="shared" si="8"/>
        <v>250025.14397531666</v>
      </c>
      <c r="U19" s="140">
        <f t="shared" si="8"/>
        <v>252303.49973375007</v>
      </c>
      <c r="V19" s="140">
        <f t="shared" si="8"/>
        <v>254529.32555555549</v>
      </c>
      <c r="W19" s="140">
        <f t="shared" si="8"/>
        <v>256693.88488644571</v>
      </c>
      <c r="DA19" s="170" t="s">
        <v>259</v>
      </c>
    </row>
    <row r="20" spans="1:105" ht="12" customHeight="1" x14ac:dyDescent="0.25">
      <c r="A20" s="132" t="s">
        <v>29</v>
      </c>
      <c r="B20" s="141">
        <v>0</v>
      </c>
      <c r="C20" s="141">
        <v>0</v>
      </c>
      <c r="D20" s="141">
        <v>0</v>
      </c>
      <c r="E20" s="141">
        <v>0</v>
      </c>
      <c r="F20" s="141">
        <v>0</v>
      </c>
      <c r="G20" s="141">
        <v>0</v>
      </c>
      <c r="H20" s="141">
        <v>0</v>
      </c>
      <c r="I20" s="141">
        <v>0</v>
      </c>
      <c r="J20" s="141">
        <v>0</v>
      </c>
      <c r="K20" s="141">
        <v>0</v>
      </c>
      <c r="L20" s="141">
        <v>0</v>
      </c>
      <c r="M20" s="141">
        <v>0</v>
      </c>
      <c r="N20" s="141">
        <v>0</v>
      </c>
      <c r="O20" s="141">
        <v>0</v>
      </c>
      <c r="P20" s="141">
        <v>0</v>
      </c>
      <c r="Q20" s="141">
        <v>0</v>
      </c>
      <c r="R20" s="141">
        <v>0</v>
      </c>
      <c r="S20" s="141">
        <v>0</v>
      </c>
      <c r="T20" s="141">
        <v>0</v>
      </c>
      <c r="U20" s="141">
        <v>0</v>
      </c>
      <c r="V20" s="141">
        <v>0</v>
      </c>
      <c r="W20" s="141">
        <v>0</v>
      </c>
      <c r="DA20" s="171" t="s">
        <v>260</v>
      </c>
    </row>
    <row r="21" spans="1:105" s="2" customFormat="1" ht="12" customHeight="1" x14ac:dyDescent="0.25">
      <c r="A21" s="132" t="s">
        <v>52</v>
      </c>
      <c r="B21" s="141">
        <v>6603.5319985814895</v>
      </c>
      <c r="C21" s="141">
        <v>6640.9090121200243</v>
      </c>
      <c r="D21" s="141">
        <v>6576.9953249224172</v>
      </c>
      <c r="E21" s="141">
        <v>6150.541019301917</v>
      </c>
      <c r="F21" s="141">
        <v>5371.2098427116744</v>
      </c>
      <c r="G21" s="141">
        <v>3896.7424152420249</v>
      </c>
      <c r="H21" s="141">
        <v>2981.7132302517639</v>
      </c>
      <c r="I21" s="141">
        <v>2288.928809687643</v>
      </c>
      <c r="J21" s="141">
        <v>1883.8810218571007</v>
      </c>
      <c r="K21" s="141">
        <v>1616.0458019414866</v>
      </c>
      <c r="L21" s="141">
        <v>1493.346695644977</v>
      </c>
      <c r="M21" s="141">
        <v>1562.875184685766</v>
      </c>
      <c r="N21" s="141">
        <v>1720.0522122016559</v>
      </c>
      <c r="O21" s="141">
        <v>1885.408161884998</v>
      </c>
      <c r="P21" s="141">
        <v>2015.7358631093562</v>
      </c>
      <c r="Q21" s="141">
        <v>2187.5558395635539</v>
      </c>
      <c r="R21" s="141">
        <v>2357.1953323134426</v>
      </c>
      <c r="S21" s="141">
        <v>2546.427111170422</v>
      </c>
      <c r="T21" s="141">
        <v>2662.3586052151986</v>
      </c>
      <c r="U21" s="141">
        <v>2709.2630117408362</v>
      </c>
      <c r="V21" s="141">
        <v>2649.1547049920327</v>
      </c>
      <c r="W21" s="141">
        <v>2655.7572869224896</v>
      </c>
      <c r="DA21" s="171" t="s">
        <v>261</v>
      </c>
    </row>
    <row r="22" spans="1:105" ht="12" customHeight="1" x14ac:dyDescent="0.25">
      <c r="A22" s="132" t="s">
        <v>168</v>
      </c>
      <c r="B22" s="141">
        <v>56955.794502502285</v>
      </c>
      <c r="C22" s="141">
        <v>56507.301317575453</v>
      </c>
      <c r="D22" s="141">
        <v>55915.598985740668</v>
      </c>
      <c r="E22" s="141">
        <v>55402.970289339275</v>
      </c>
      <c r="F22" s="141">
        <v>55024.29151784625</v>
      </c>
      <c r="G22" s="141">
        <v>54594.864870066347</v>
      </c>
      <c r="H22" s="141">
        <v>53859.849919076296</v>
      </c>
      <c r="I22" s="141">
        <v>52810.845889715631</v>
      </c>
      <c r="J22" s="141">
        <v>51298.441387591571</v>
      </c>
      <c r="K22" s="141">
        <v>50133.548717884813</v>
      </c>
      <c r="L22" s="141">
        <v>49382.214717701456</v>
      </c>
      <c r="M22" s="141">
        <v>48959.083990308165</v>
      </c>
      <c r="N22" s="141">
        <v>48449.520301044009</v>
      </c>
      <c r="O22" s="141">
        <v>48044.124023014949</v>
      </c>
      <c r="P22" s="141">
        <v>47703.213817927965</v>
      </c>
      <c r="Q22" s="141">
        <v>47377.49816034078</v>
      </c>
      <c r="R22" s="141">
        <v>46705.210849609721</v>
      </c>
      <c r="S22" s="141">
        <v>45814.274260014405</v>
      </c>
      <c r="T22" s="141">
        <v>44449.938508267362</v>
      </c>
      <c r="U22" s="141">
        <v>43139.903776423438</v>
      </c>
      <c r="V22" s="141">
        <v>41538.573270962508</v>
      </c>
      <c r="W22" s="141">
        <v>41512.051699686381</v>
      </c>
      <c r="DA22" s="171" t="s">
        <v>262</v>
      </c>
    </row>
    <row r="23" spans="1:105" ht="12" customHeight="1" x14ac:dyDescent="0.25">
      <c r="A23" s="132" t="s">
        <v>153</v>
      </c>
      <c r="B23" s="141">
        <v>96569.57792038667</v>
      </c>
      <c r="C23" s="141">
        <v>98116.273657593352</v>
      </c>
      <c r="D23" s="141">
        <v>102164.17528035068</v>
      </c>
      <c r="E23" s="141">
        <v>103676.28827977309</v>
      </c>
      <c r="F23" s="141">
        <v>107370.11462010085</v>
      </c>
      <c r="G23" s="141">
        <v>110370.97496475362</v>
      </c>
      <c r="H23" s="141">
        <v>113915.21012527744</v>
      </c>
      <c r="I23" s="141">
        <v>118558.17879270078</v>
      </c>
      <c r="J23" s="141">
        <v>121598.7329230208</v>
      </c>
      <c r="K23" s="141">
        <v>121172.42164598349</v>
      </c>
      <c r="L23" s="141">
        <v>124648.1416415913</v>
      </c>
      <c r="M23" s="141">
        <v>128180.02410327154</v>
      </c>
      <c r="N23" s="141">
        <v>129901.35991679628</v>
      </c>
      <c r="O23" s="141">
        <v>130909.21610628598</v>
      </c>
      <c r="P23" s="141">
        <v>132068.69728381184</v>
      </c>
      <c r="Q23" s="141">
        <v>132183.45520748617</v>
      </c>
      <c r="R23" s="141">
        <v>133544.75257730641</v>
      </c>
      <c r="S23" s="141">
        <v>134739.23869909719</v>
      </c>
      <c r="T23" s="141">
        <v>136714.29871075193</v>
      </c>
      <c r="U23" s="141">
        <v>138923.15672245983</v>
      </c>
      <c r="V23" s="141">
        <v>141647.92081189799</v>
      </c>
      <c r="W23" s="141">
        <v>143994.17020301716</v>
      </c>
      <c r="DA23" s="171" t="s">
        <v>263</v>
      </c>
    </row>
    <row r="24" spans="1:105" ht="12" customHeight="1" x14ac:dyDescent="0.25">
      <c r="A24" s="132" t="s">
        <v>128</v>
      </c>
      <c r="B24" s="141">
        <v>0</v>
      </c>
      <c r="C24" s="141">
        <v>0</v>
      </c>
      <c r="D24" s="141">
        <v>0</v>
      </c>
      <c r="E24" s="141">
        <v>0</v>
      </c>
      <c r="F24" s="141">
        <v>0</v>
      </c>
      <c r="G24" s="141">
        <v>0</v>
      </c>
      <c r="H24" s="141">
        <v>0</v>
      </c>
      <c r="I24" s="141">
        <v>0</v>
      </c>
      <c r="J24" s="141">
        <v>0</v>
      </c>
      <c r="K24" s="141">
        <v>0</v>
      </c>
      <c r="L24" s="141">
        <v>0</v>
      </c>
      <c r="M24" s="141">
        <v>0</v>
      </c>
      <c r="N24" s="141">
        <v>0</v>
      </c>
      <c r="O24" s="141">
        <v>0</v>
      </c>
      <c r="P24" s="141">
        <v>0</v>
      </c>
      <c r="Q24" s="141">
        <v>0</v>
      </c>
      <c r="R24" s="141">
        <v>0</v>
      </c>
      <c r="S24" s="141">
        <v>0</v>
      </c>
      <c r="T24" s="141">
        <v>0</v>
      </c>
      <c r="U24" s="141">
        <v>0</v>
      </c>
      <c r="V24" s="141">
        <v>0</v>
      </c>
      <c r="W24" s="141">
        <v>0</v>
      </c>
      <c r="DA24" s="171" t="s">
        <v>264</v>
      </c>
    </row>
    <row r="25" spans="1:105" ht="12" customHeight="1" x14ac:dyDescent="0.25">
      <c r="A25" s="132" t="s">
        <v>169</v>
      </c>
      <c r="B25" s="141">
        <v>4670.6964159771796</v>
      </c>
      <c r="C25" s="141">
        <v>4644.9298473496756</v>
      </c>
      <c r="D25" s="141">
        <v>4629.5100940477341</v>
      </c>
      <c r="E25" s="141">
        <v>4626.1980518020164</v>
      </c>
      <c r="F25" s="141">
        <v>4664.7749975895968</v>
      </c>
      <c r="G25" s="141">
        <v>4701.6983941877734</v>
      </c>
      <c r="H25" s="141">
        <v>4710.0358359204729</v>
      </c>
      <c r="I25" s="141">
        <v>4684.5998158007369</v>
      </c>
      <c r="J25" s="141">
        <v>4652.39122689327</v>
      </c>
      <c r="K25" s="141">
        <v>4607.7156042564438</v>
      </c>
      <c r="L25" s="141">
        <v>4575.2747029076891</v>
      </c>
      <c r="M25" s="141">
        <v>4541.5365569380792</v>
      </c>
      <c r="N25" s="141">
        <v>4552.0127641351073</v>
      </c>
      <c r="O25" s="141">
        <v>4639.4691812462634</v>
      </c>
      <c r="P25" s="141">
        <v>4830.6052425324724</v>
      </c>
      <c r="Q25" s="141">
        <v>5044.7830762960757</v>
      </c>
      <c r="R25" s="141">
        <v>5205.5948671347369</v>
      </c>
      <c r="S25" s="141">
        <v>5279.1772756833861</v>
      </c>
      <c r="T25" s="141">
        <v>5312.4794238671575</v>
      </c>
      <c r="U25" s="141">
        <v>5314.0238048664178</v>
      </c>
      <c r="V25" s="141">
        <v>5317.7994182235634</v>
      </c>
      <c r="W25" s="141">
        <v>5266.0640269025498</v>
      </c>
      <c r="DA25" s="171" t="s">
        <v>265</v>
      </c>
    </row>
    <row r="26" spans="1:105" ht="12" customHeight="1" x14ac:dyDescent="0.25">
      <c r="A26" s="132" t="s">
        <v>24</v>
      </c>
      <c r="B26" s="142">
        <v>29782.995058033823</v>
      </c>
      <c r="C26" s="142">
        <v>30986.19568761441</v>
      </c>
      <c r="D26" s="142">
        <v>36988.416472802419</v>
      </c>
      <c r="E26" s="142">
        <v>38733.121637214492</v>
      </c>
      <c r="F26" s="142">
        <v>41342.420047505242</v>
      </c>
      <c r="G26" s="142">
        <v>43987.846079474562</v>
      </c>
      <c r="H26" s="142">
        <v>46843.435325978171</v>
      </c>
      <c r="I26" s="142">
        <v>49336.238521444619</v>
      </c>
      <c r="J26" s="142">
        <v>51697.117890605958</v>
      </c>
      <c r="K26" s="142">
        <v>52162.019081985389</v>
      </c>
      <c r="L26" s="142">
        <v>54350.379088181297</v>
      </c>
      <c r="M26" s="142">
        <v>54934.246580356863</v>
      </c>
      <c r="N26" s="142">
        <v>55376.155617565593</v>
      </c>
      <c r="O26" s="142">
        <v>55854.487916833416</v>
      </c>
      <c r="P26" s="142">
        <v>56371.689914648705</v>
      </c>
      <c r="Q26" s="142">
        <v>57010.016780279286</v>
      </c>
      <c r="R26" s="142">
        <v>58042.716153099223</v>
      </c>
      <c r="S26" s="142">
        <v>59318.296287859499</v>
      </c>
      <c r="T26" s="142">
        <v>60886.068727215032</v>
      </c>
      <c r="U26" s="142">
        <v>62217.152418259568</v>
      </c>
      <c r="V26" s="142">
        <v>63375.877349479422</v>
      </c>
      <c r="W26" s="142">
        <v>63265.841669917143</v>
      </c>
      <c r="DA26" s="172" t="s">
        <v>266</v>
      </c>
    </row>
    <row r="27" spans="1:105" ht="12" customHeight="1" x14ac:dyDescent="0.25">
      <c r="A27" s="145" t="s">
        <v>26</v>
      </c>
      <c r="B27" s="151">
        <v>894.85753293011624</v>
      </c>
      <c r="C27" s="151">
        <v>267.53882074413536</v>
      </c>
      <c r="D27" s="151">
        <v>310.59437316074013</v>
      </c>
      <c r="E27" s="151">
        <v>469.47731148345616</v>
      </c>
      <c r="F27" s="151">
        <v>492.52138175177538</v>
      </c>
      <c r="G27" s="151">
        <v>506.14260609267848</v>
      </c>
      <c r="H27" s="151">
        <v>629.12311264249718</v>
      </c>
      <c r="I27" s="151">
        <v>950.17664913889917</v>
      </c>
      <c r="J27" s="151">
        <v>1178.2595268074351</v>
      </c>
      <c r="K27" s="151">
        <v>2430.7598203667471</v>
      </c>
      <c r="L27" s="151">
        <v>1268.213064183816</v>
      </c>
      <c r="M27" s="151">
        <v>1323.5455152489358</v>
      </c>
      <c r="N27" s="151">
        <v>1315.2359548612412</v>
      </c>
      <c r="O27" s="151">
        <v>1237.7700402238756</v>
      </c>
      <c r="P27" s="151">
        <v>1340.7004427158138</v>
      </c>
      <c r="Q27" s="151">
        <v>1501.9664302045605</v>
      </c>
      <c r="R27" s="151">
        <v>2094.9434608731262</v>
      </c>
      <c r="S27" s="151">
        <v>2221.8598219182941</v>
      </c>
      <c r="T27" s="151">
        <v>2369.7232983314725</v>
      </c>
      <c r="U27" s="151">
        <v>2331.1721197506427</v>
      </c>
      <c r="V27" s="151">
        <v>2359.4493154897646</v>
      </c>
      <c r="W27" s="151">
        <v>2124.7060694965676</v>
      </c>
      <c r="DA27" s="174" t="s">
        <v>267</v>
      </c>
    </row>
    <row r="28" spans="1:105" ht="12" hidden="1" customHeight="1" x14ac:dyDescent="0.25">
      <c r="A28" s="78" t="s">
        <v>26</v>
      </c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3"/>
      <c r="N28" s="153"/>
      <c r="O28" s="153"/>
      <c r="P28" s="153"/>
      <c r="Q28" s="153"/>
      <c r="R28" s="153"/>
      <c r="S28" s="153"/>
      <c r="T28" s="153"/>
      <c r="U28" s="153"/>
      <c r="V28" s="153"/>
      <c r="W28" s="153"/>
      <c r="DA28" s="176"/>
    </row>
    <row r="29" spans="1:105" ht="12.95" customHeight="1" x14ac:dyDescent="0.25">
      <c r="A29" s="130" t="s">
        <v>34</v>
      </c>
      <c r="B29" s="140">
        <f t="shared" ref="B29:Q29" si="9">SUM(B30:B33)</f>
        <v>194582.59589548141</v>
      </c>
      <c r="C29" s="140">
        <f t="shared" si="9"/>
        <v>196895.6095222529</v>
      </c>
      <c r="D29" s="140">
        <f t="shared" si="9"/>
        <v>206274.69615786389</v>
      </c>
      <c r="E29" s="140">
        <f t="shared" si="9"/>
        <v>208589.11927743073</v>
      </c>
      <c r="F29" s="140">
        <f t="shared" si="9"/>
        <v>213772.8110257535</v>
      </c>
      <c r="G29" s="140">
        <f t="shared" si="9"/>
        <v>217552.12672372442</v>
      </c>
      <c r="H29" s="140">
        <f t="shared" si="9"/>
        <v>222310.24443650414</v>
      </c>
      <c r="I29" s="140">
        <f t="shared" si="9"/>
        <v>227678.79182934936</v>
      </c>
      <c r="J29" s="140">
        <f t="shared" si="9"/>
        <v>231130.56444996875</v>
      </c>
      <c r="K29" s="140">
        <f t="shared" si="9"/>
        <v>229691.75085205154</v>
      </c>
      <c r="L29" s="140">
        <f t="shared" si="9"/>
        <v>234449.35684602661</v>
      </c>
      <c r="M29" s="140">
        <f t="shared" si="9"/>
        <v>238177.76641556036</v>
      </c>
      <c r="N29" s="140">
        <f t="shared" si="9"/>
        <v>239999.10081174271</v>
      </c>
      <c r="O29" s="140">
        <f t="shared" si="9"/>
        <v>241332.70538926561</v>
      </c>
      <c r="P29" s="140">
        <f t="shared" si="9"/>
        <v>242989.94212203036</v>
      </c>
      <c r="Q29" s="140">
        <f t="shared" si="9"/>
        <v>243803.30906396586</v>
      </c>
      <c r="R29" s="140">
        <f t="shared" ref="R29:W29" si="10">SUM(R30:R33)</f>
        <v>245855.46977946348</v>
      </c>
      <c r="S29" s="140">
        <f t="shared" si="10"/>
        <v>247697.413633825</v>
      </c>
      <c r="T29" s="140">
        <f t="shared" si="10"/>
        <v>250025.14397531684</v>
      </c>
      <c r="U29" s="140">
        <f t="shared" si="10"/>
        <v>252303.49973374989</v>
      </c>
      <c r="V29" s="140">
        <f t="shared" si="10"/>
        <v>254529.32555555564</v>
      </c>
      <c r="W29" s="140">
        <f t="shared" si="10"/>
        <v>256693.88488644577</v>
      </c>
      <c r="DA29" s="170" t="s">
        <v>268</v>
      </c>
    </row>
    <row r="30" spans="1:105" ht="12" customHeight="1" x14ac:dyDescent="0.25">
      <c r="A30" s="132" t="s">
        <v>52</v>
      </c>
      <c r="B30" s="141">
        <v>46352.838520293379</v>
      </c>
      <c r="C30" s="141">
        <v>42781.77121230866</v>
      </c>
      <c r="D30" s="141">
        <v>35179.795831174204</v>
      </c>
      <c r="E30" s="141">
        <v>27588.270932173447</v>
      </c>
      <c r="F30" s="141">
        <v>20851.368090164298</v>
      </c>
      <c r="G30" s="141">
        <v>11653.347297697883</v>
      </c>
      <c r="H30" s="141">
        <v>7404.0920310515103</v>
      </c>
      <c r="I30" s="141">
        <v>5395.6037509670523</v>
      </c>
      <c r="J30" s="141">
        <v>6070.7319727419781</v>
      </c>
      <c r="K30" s="141">
        <v>6497.5615088201075</v>
      </c>
      <c r="L30" s="141">
        <v>6941.2332735074397</v>
      </c>
      <c r="M30" s="141">
        <v>6485.0392229054496</v>
      </c>
      <c r="N30" s="141">
        <v>6288.6863751528854</v>
      </c>
      <c r="O30" s="141">
        <v>6445.2276210508253</v>
      </c>
      <c r="P30" s="141">
        <v>6572.995795580815</v>
      </c>
      <c r="Q30" s="141">
        <v>7625.4219719754446</v>
      </c>
      <c r="R30" s="141">
        <v>7644.0704254842867</v>
      </c>
      <c r="S30" s="141">
        <v>8180.9274351843387</v>
      </c>
      <c r="T30" s="141">
        <v>8545.8303668737517</v>
      </c>
      <c r="U30" s="141">
        <v>9445.6950508773189</v>
      </c>
      <c r="V30" s="141">
        <v>10767.803451555897</v>
      </c>
      <c r="W30" s="141">
        <v>11487.656547784714</v>
      </c>
      <c r="DA30" s="171" t="s">
        <v>269</v>
      </c>
    </row>
    <row r="31" spans="1:105" ht="12" customHeight="1" x14ac:dyDescent="0.25">
      <c r="A31" s="132" t="s">
        <v>153</v>
      </c>
      <c r="B31" s="141">
        <v>108454.98996371799</v>
      </c>
      <c r="C31" s="141">
        <v>110098.19077859161</v>
      </c>
      <c r="D31" s="141">
        <v>110353.72726236981</v>
      </c>
      <c r="E31" s="141">
        <v>109800.72124183715</v>
      </c>
      <c r="F31" s="141">
        <v>110217.84325881333</v>
      </c>
      <c r="G31" s="141">
        <v>109472.91542575663</v>
      </c>
      <c r="H31" s="141">
        <v>109472.9543655474</v>
      </c>
      <c r="I31" s="141">
        <v>109039.53792598566</v>
      </c>
      <c r="J31" s="141">
        <v>108758.63958372179</v>
      </c>
      <c r="K31" s="141">
        <v>108395.71164035813</v>
      </c>
      <c r="L31" s="141">
        <v>108993.99616533378</v>
      </c>
      <c r="M31" s="141">
        <v>110159.79230391515</v>
      </c>
      <c r="N31" s="141">
        <v>111248.20213341514</v>
      </c>
      <c r="O31" s="141">
        <v>111917.19534180836</v>
      </c>
      <c r="P31" s="141">
        <v>112540.86072879369</v>
      </c>
      <c r="Q31" s="141">
        <v>112678.03679268637</v>
      </c>
      <c r="R31" s="141">
        <v>113322.91626755177</v>
      </c>
      <c r="S31" s="141">
        <v>113877.74190994978</v>
      </c>
      <c r="T31" s="141">
        <v>114607.72929955411</v>
      </c>
      <c r="U31" s="141">
        <v>115355.67221759931</v>
      </c>
      <c r="V31" s="141">
        <v>115990.96724018265</v>
      </c>
      <c r="W31" s="141">
        <v>116729.5329377266</v>
      </c>
      <c r="DA31" s="171" t="s">
        <v>270</v>
      </c>
    </row>
    <row r="32" spans="1:105" ht="12" customHeight="1" x14ac:dyDescent="0.25">
      <c r="A32" s="132" t="s">
        <v>128</v>
      </c>
      <c r="B32" s="141">
        <v>0</v>
      </c>
      <c r="C32" s="141">
        <v>0</v>
      </c>
      <c r="D32" s="141">
        <v>0</v>
      </c>
      <c r="E32" s="141">
        <v>0</v>
      </c>
      <c r="F32" s="141">
        <v>0</v>
      </c>
      <c r="G32" s="141">
        <v>0</v>
      </c>
      <c r="H32" s="141">
        <v>0</v>
      </c>
      <c r="I32" s="141">
        <v>0</v>
      </c>
      <c r="J32" s="141">
        <v>280.90251887979883</v>
      </c>
      <c r="K32" s="141">
        <v>423.52368015471399</v>
      </c>
      <c r="L32" s="141">
        <v>595.59794145666694</v>
      </c>
      <c r="M32" s="141">
        <v>660.41762757049287</v>
      </c>
      <c r="N32" s="141">
        <v>666.91725586548318</v>
      </c>
      <c r="O32" s="141">
        <v>818.76348728031155</v>
      </c>
      <c r="P32" s="141">
        <v>982.87932178717438</v>
      </c>
      <c r="Q32" s="141">
        <v>1144.7318379999654</v>
      </c>
      <c r="R32" s="141">
        <v>1213.2368606549819</v>
      </c>
      <c r="S32" s="141">
        <v>1250.9325863422571</v>
      </c>
      <c r="T32" s="141">
        <v>1173.7199730052382</v>
      </c>
      <c r="U32" s="141">
        <v>1028.0211607462727</v>
      </c>
      <c r="V32" s="141">
        <v>600.18332624830146</v>
      </c>
      <c r="W32" s="141">
        <v>349.99836925062618</v>
      </c>
      <c r="DA32" s="171" t="s">
        <v>271</v>
      </c>
    </row>
    <row r="33" spans="1:105" ht="12" customHeight="1" x14ac:dyDescent="0.25">
      <c r="A33" s="62" t="s">
        <v>24</v>
      </c>
      <c r="B33" s="153">
        <v>39774.767411470049</v>
      </c>
      <c r="C33" s="153">
        <v>44015.647531352617</v>
      </c>
      <c r="D33" s="153">
        <v>60741.173064319883</v>
      </c>
      <c r="E33" s="153">
        <v>71200.12710342012</v>
      </c>
      <c r="F33" s="153">
        <v>82703.599676775877</v>
      </c>
      <c r="G33" s="153">
        <v>96425.864000269896</v>
      </c>
      <c r="H33" s="153">
        <v>105433.19803990523</v>
      </c>
      <c r="I33" s="153">
        <v>113243.65015239666</v>
      </c>
      <c r="J33" s="153">
        <v>116020.29037462518</v>
      </c>
      <c r="K33" s="153">
        <v>114374.95402271859</v>
      </c>
      <c r="L33" s="153">
        <v>117918.52946572873</v>
      </c>
      <c r="M33" s="153">
        <v>120872.51726116925</v>
      </c>
      <c r="N33" s="153">
        <v>121795.29504730919</v>
      </c>
      <c r="O33" s="153">
        <v>122151.51893912611</v>
      </c>
      <c r="P33" s="153">
        <v>122893.20627586867</v>
      </c>
      <c r="Q33" s="153">
        <v>122355.1184613041</v>
      </c>
      <c r="R33" s="153">
        <v>123675.24622577245</v>
      </c>
      <c r="S33" s="153">
        <v>124387.81170234863</v>
      </c>
      <c r="T33" s="153">
        <v>125697.86433588374</v>
      </c>
      <c r="U33" s="153">
        <v>126474.111304527</v>
      </c>
      <c r="V33" s="153">
        <v>127170.3715375688</v>
      </c>
      <c r="W33" s="153">
        <v>128126.69703168381</v>
      </c>
      <c r="DA33" s="176" t="s">
        <v>272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5:W15 B19:W19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273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81</v>
      </c>
      <c r="B3" s="126">
        <f t="shared" ref="B3:Q3" si="0">SUM(B4,B16,B19,B29)</f>
        <v>2799.3100281525185</v>
      </c>
      <c r="C3" s="126">
        <f t="shared" si="0"/>
        <v>2939.5014677484878</v>
      </c>
      <c r="D3" s="126">
        <f t="shared" si="0"/>
        <v>3029.9844245184336</v>
      </c>
      <c r="E3" s="126">
        <f t="shared" si="0"/>
        <v>3207.590688408583</v>
      </c>
      <c r="F3" s="126">
        <f t="shared" si="0"/>
        <v>3766.4439937914976</v>
      </c>
      <c r="G3" s="126">
        <f t="shared" si="0"/>
        <v>3737.5353687179722</v>
      </c>
      <c r="H3" s="126">
        <f t="shared" si="0"/>
        <v>3552.5915875588116</v>
      </c>
      <c r="I3" s="126">
        <f t="shared" si="0"/>
        <v>3312.6938575551494</v>
      </c>
      <c r="J3" s="126">
        <f t="shared" si="0"/>
        <v>3717.0671131500258</v>
      </c>
      <c r="K3" s="126">
        <f t="shared" si="0"/>
        <v>3600.2252149769547</v>
      </c>
      <c r="L3" s="126">
        <f t="shared" si="0"/>
        <v>3850.8151120216885</v>
      </c>
      <c r="M3" s="126">
        <f t="shared" si="0"/>
        <v>3233.3702063214459</v>
      </c>
      <c r="N3" s="126">
        <f t="shared" si="0"/>
        <v>3425.1993537014532</v>
      </c>
      <c r="O3" s="126">
        <f t="shared" si="0"/>
        <v>3678.2894241347244</v>
      </c>
      <c r="P3" s="126">
        <f t="shared" si="0"/>
        <v>3008.2344866671792</v>
      </c>
      <c r="Q3" s="126">
        <f t="shared" si="0"/>
        <v>3361.8454455377987</v>
      </c>
      <c r="R3" s="126">
        <f t="shared" ref="R3:W3" si="1">SUM(R4,R16,R19,R29)</f>
        <v>3368.4927854443386</v>
      </c>
      <c r="S3" s="126">
        <f t="shared" si="1"/>
        <v>3341.1451616670411</v>
      </c>
      <c r="T3" s="126">
        <f t="shared" si="1"/>
        <v>3363.8801422413603</v>
      </c>
      <c r="U3" s="126">
        <f t="shared" si="1"/>
        <v>3347.5490816415722</v>
      </c>
      <c r="V3" s="126">
        <f t="shared" si="1"/>
        <v>3220.5153767810179</v>
      </c>
      <c r="W3" s="126">
        <f t="shared" si="1"/>
        <v>3362.3607410423028</v>
      </c>
      <c r="DA3" s="155" t="s">
        <v>212</v>
      </c>
    </row>
    <row r="4" spans="1:105" ht="12.95" customHeight="1" x14ac:dyDescent="0.25">
      <c r="A4" s="130" t="s">
        <v>32</v>
      </c>
      <c r="B4" s="131">
        <f t="shared" ref="B4:Q4" si="2">SUM(B5:B15)</f>
        <v>2178.4185261482694</v>
      </c>
      <c r="C4" s="131">
        <f t="shared" si="2"/>
        <v>2306.4944905255593</v>
      </c>
      <c r="D4" s="131">
        <f t="shared" si="2"/>
        <v>2374.3979232499514</v>
      </c>
      <c r="E4" s="131">
        <f t="shared" si="2"/>
        <v>2543.9548967445285</v>
      </c>
      <c r="F4" s="131">
        <f t="shared" si="2"/>
        <v>3094.4648735316955</v>
      </c>
      <c r="G4" s="131">
        <f t="shared" si="2"/>
        <v>3063.5183664729852</v>
      </c>
      <c r="H4" s="131">
        <f t="shared" si="2"/>
        <v>2856.0086282643801</v>
      </c>
      <c r="I4" s="131">
        <f t="shared" si="2"/>
        <v>2607.8640157916375</v>
      </c>
      <c r="J4" s="131">
        <f t="shared" si="2"/>
        <v>3000.5886684570337</v>
      </c>
      <c r="K4" s="131">
        <f t="shared" si="2"/>
        <v>2874.0781337910016</v>
      </c>
      <c r="L4" s="131">
        <f t="shared" si="2"/>
        <v>3107.1425144985074</v>
      </c>
      <c r="M4" s="131">
        <f t="shared" si="2"/>
        <v>2483.7328342985338</v>
      </c>
      <c r="N4" s="131">
        <f t="shared" si="2"/>
        <v>2660.8199690842084</v>
      </c>
      <c r="O4" s="131">
        <f t="shared" si="2"/>
        <v>2904.0929859731405</v>
      </c>
      <c r="P4" s="131">
        <f t="shared" si="2"/>
        <v>2231.018853202193</v>
      </c>
      <c r="Q4" s="131">
        <f t="shared" si="2"/>
        <v>2570.1857313790479</v>
      </c>
      <c r="R4" s="131">
        <f t="shared" ref="R4:W4" si="3">SUM(R5:R15)</f>
        <v>2583.3791041415352</v>
      </c>
      <c r="S4" s="131">
        <f t="shared" si="3"/>
        <v>2561.4381967104828</v>
      </c>
      <c r="T4" s="131">
        <f t="shared" si="3"/>
        <v>2580.2076557373562</v>
      </c>
      <c r="U4" s="131">
        <f t="shared" si="3"/>
        <v>2570.9112280649092</v>
      </c>
      <c r="V4" s="131">
        <f t="shared" si="3"/>
        <v>2473.4934208313121</v>
      </c>
      <c r="W4" s="131">
        <f t="shared" si="3"/>
        <v>2594.3912702096645</v>
      </c>
      <c r="DA4" s="156" t="s">
        <v>213</v>
      </c>
    </row>
    <row r="5" spans="1:105" ht="12" customHeight="1" x14ac:dyDescent="0.25">
      <c r="A5" s="132" t="s">
        <v>29</v>
      </c>
      <c r="B5" s="133">
        <v>0</v>
      </c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274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275</v>
      </c>
    </row>
    <row r="7" spans="1:105" ht="12" customHeight="1" x14ac:dyDescent="0.25">
      <c r="A7" s="132" t="s">
        <v>168</v>
      </c>
      <c r="B7" s="133">
        <v>681.35788906334233</v>
      </c>
      <c r="C7" s="133">
        <v>705.35574825221488</v>
      </c>
      <c r="D7" s="133">
        <v>975.3251863071406</v>
      </c>
      <c r="E7" s="133">
        <v>1139.604583012271</v>
      </c>
      <c r="F7" s="133">
        <v>1127.9321841834296</v>
      </c>
      <c r="G7" s="133">
        <v>1127.4876358782201</v>
      </c>
      <c r="H7" s="133">
        <v>961.52226911453681</v>
      </c>
      <c r="I7" s="133">
        <v>797.64591860786254</v>
      </c>
      <c r="J7" s="133">
        <v>1007.684415341215</v>
      </c>
      <c r="K7" s="133">
        <v>795.18447971558953</v>
      </c>
      <c r="L7" s="133">
        <v>901.67949901986356</v>
      </c>
      <c r="M7" s="133">
        <v>747.21638129075893</v>
      </c>
      <c r="N7" s="133">
        <v>737.07646407532184</v>
      </c>
      <c r="O7" s="133">
        <v>816.37322378406247</v>
      </c>
      <c r="P7" s="133">
        <v>622.13843641122503</v>
      </c>
      <c r="Q7" s="133">
        <v>753.24893697501534</v>
      </c>
      <c r="R7" s="133">
        <v>677.622484496119</v>
      </c>
      <c r="S7" s="133">
        <v>678.53367950362122</v>
      </c>
      <c r="T7" s="133">
        <v>664.21984652210381</v>
      </c>
      <c r="U7" s="133">
        <v>619.28086951709827</v>
      </c>
      <c r="V7" s="133">
        <v>646.34147581101831</v>
      </c>
      <c r="W7" s="133">
        <v>531.20986399852472</v>
      </c>
      <c r="DA7" s="157" t="s">
        <v>276</v>
      </c>
    </row>
    <row r="8" spans="1:105" ht="12" customHeight="1" x14ac:dyDescent="0.25">
      <c r="A8" s="132" t="s">
        <v>73</v>
      </c>
      <c r="B8" s="133">
        <v>2.0867368092837686E-2</v>
      </c>
      <c r="C8" s="133">
        <v>2.2426943373642441E-2</v>
      </c>
      <c r="D8" s="133">
        <v>2.3420885848445053E-2</v>
      </c>
      <c r="E8" s="133">
        <v>2.3786556746972057E-2</v>
      </c>
      <c r="F8" s="133">
        <v>2.7681752733487715E-2</v>
      </c>
      <c r="G8" s="133">
        <v>2.6956432639882528E-2</v>
      </c>
      <c r="H8" s="133">
        <v>2.786730405520493E-2</v>
      </c>
      <c r="I8" s="133">
        <v>2.5307813756062524E-2</v>
      </c>
      <c r="J8" s="133">
        <v>2.8265365189741376E-2</v>
      </c>
      <c r="K8" s="133">
        <v>3.0053328075973378E-2</v>
      </c>
      <c r="L8" s="133">
        <v>3.1539485877744348E-2</v>
      </c>
      <c r="M8" s="133">
        <v>2.7857115405037196E-2</v>
      </c>
      <c r="N8" s="133">
        <v>3.3166200521547264E-2</v>
      </c>
      <c r="O8" s="133">
        <v>3.948516667732703E-2</v>
      </c>
      <c r="P8" s="133">
        <v>3.3206667232895233E-2</v>
      </c>
      <c r="Q8" s="133">
        <v>3.9340626015051346E-2</v>
      </c>
      <c r="R8" s="133">
        <v>4.1943276557715008E-2</v>
      </c>
      <c r="S8" s="133">
        <v>4.1234677598137287E-2</v>
      </c>
      <c r="T8" s="133">
        <v>4.2481250458229688E-2</v>
      </c>
      <c r="U8" s="133">
        <v>4.4686687856746399E-2</v>
      </c>
      <c r="V8" s="133">
        <v>4.6337315306692661E-2</v>
      </c>
      <c r="W8" s="133">
        <v>5.2477828171002723E-2</v>
      </c>
      <c r="DA8" s="157" t="s">
        <v>277</v>
      </c>
    </row>
    <row r="9" spans="1:105" ht="12" customHeight="1" x14ac:dyDescent="0.25">
      <c r="A9" s="132" t="s">
        <v>78</v>
      </c>
      <c r="B9" s="133">
        <v>1214.7095493449201</v>
      </c>
      <c r="C9" s="133">
        <v>1316.2021824797412</v>
      </c>
      <c r="D9" s="133">
        <v>1278.1230000963758</v>
      </c>
      <c r="E9" s="133">
        <v>1329.7768168806615</v>
      </c>
      <c r="F9" s="133">
        <v>1274.1960548805639</v>
      </c>
      <c r="G9" s="133">
        <v>1243.4194952451062</v>
      </c>
      <c r="H9" s="133">
        <v>1255.6560406352414</v>
      </c>
      <c r="I9" s="133">
        <v>1196.3912171845936</v>
      </c>
      <c r="J9" s="133">
        <v>1411.4742769757802</v>
      </c>
      <c r="K9" s="133">
        <v>1492.3109558447957</v>
      </c>
      <c r="L9" s="133">
        <v>1656.039523288033</v>
      </c>
      <c r="M9" s="133">
        <v>1281.9156583287715</v>
      </c>
      <c r="N9" s="133">
        <v>1472.7278030575967</v>
      </c>
      <c r="O9" s="133">
        <v>1625.0695334564605</v>
      </c>
      <c r="P9" s="133">
        <v>1229.880736481635</v>
      </c>
      <c r="Q9" s="133">
        <v>1419.048386829696</v>
      </c>
      <c r="R9" s="133">
        <v>1525.7283036263457</v>
      </c>
      <c r="S9" s="133">
        <v>1512.8448449981659</v>
      </c>
      <c r="T9" s="133">
        <v>1535.1684282070585</v>
      </c>
      <c r="U9" s="133">
        <v>1533.7530583642692</v>
      </c>
      <c r="V9" s="133">
        <v>1421.3131368624636</v>
      </c>
      <c r="W9" s="133">
        <v>1632.5674554118452</v>
      </c>
      <c r="DA9" s="157" t="s">
        <v>278</v>
      </c>
    </row>
    <row r="10" spans="1:105" ht="12" customHeight="1" x14ac:dyDescent="0.25">
      <c r="A10" s="132" t="s">
        <v>128</v>
      </c>
      <c r="B10" s="133">
        <v>2.3903697334479834E-2</v>
      </c>
      <c r="C10" s="133">
        <v>2.390369733447939E-2</v>
      </c>
      <c r="D10" s="133">
        <v>2.390369733447964E-2</v>
      </c>
      <c r="E10" s="133">
        <v>2.3903697334479945E-2</v>
      </c>
      <c r="F10" s="133">
        <v>4.1081685296646597</v>
      </c>
      <c r="G10" s="133">
        <v>5.1829750644883932</v>
      </c>
      <c r="H10" s="133">
        <v>5.1351676698194337</v>
      </c>
      <c r="I10" s="133">
        <v>5.2785038693035258</v>
      </c>
      <c r="J10" s="133">
        <v>1.6677195641573708</v>
      </c>
      <c r="K10" s="133">
        <v>0.92352889924999548</v>
      </c>
      <c r="L10" s="133">
        <v>5.889575651931362</v>
      </c>
      <c r="M10" s="133">
        <v>7.120983754245179</v>
      </c>
      <c r="N10" s="133">
        <v>17.186988581576575</v>
      </c>
      <c r="O10" s="133">
        <v>35.204196368514644</v>
      </c>
      <c r="P10" s="133">
        <v>39.561568795881513</v>
      </c>
      <c r="Q10" s="133">
        <v>46.180283212543728</v>
      </c>
      <c r="R10" s="133">
        <v>46.884844907597049</v>
      </c>
      <c r="S10" s="133">
        <v>46.122154465843586</v>
      </c>
      <c r="T10" s="133">
        <v>46.910207760518496</v>
      </c>
      <c r="U10" s="133">
        <v>50.152837467063705</v>
      </c>
      <c r="V10" s="133">
        <v>49.280531013544049</v>
      </c>
      <c r="W10" s="133">
        <v>47.677433873691733</v>
      </c>
      <c r="DA10" s="157" t="s">
        <v>279</v>
      </c>
    </row>
    <row r="11" spans="1:105" ht="12" customHeight="1" x14ac:dyDescent="0.25">
      <c r="A11" s="132" t="s">
        <v>25</v>
      </c>
      <c r="B11" s="133">
        <v>0</v>
      </c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280</v>
      </c>
    </row>
    <row r="12" spans="1:105" ht="12" customHeight="1" x14ac:dyDescent="0.25">
      <c r="A12" s="132" t="s">
        <v>169</v>
      </c>
      <c r="B12" s="133">
        <v>42.025071051303399</v>
      </c>
      <c r="C12" s="133">
        <v>41.952614216015519</v>
      </c>
      <c r="D12" s="133">
        <v>41.279489622998</v>
      </c>
      <c r="E12" s="133">
        <v>40.384259965519753</v>
      </c>
      <c r="F12" s="133">
        <v>47.233230552877373</v>
      </c>
      <c r="G12" s="133">
        <v>45.068335460236746</v>
      </c>
      <c r="H12" s="133">
        <v>54.441142611180901</v>
      </c>
      <c r="I12" s="133">
        <v>59.110171881571766</v>
      </c>
      <c r="J12" s="133">
        <v>29.287823730946918</v>
      </c>
      <c r="K12" s="133">
        <v>30.974931570484713</v>
      </c>
      <c r="L12" s="133">
        <v>38.035098320025917</v>
      </c>
      <c r="M12" s="133">
        <v>33.300704584051616</v>
      </c>
      <c r="N12" s="133">
        <v>33.853395862725826</v>
      </c>
      <c r="O12" s="133">
        <v>32.494935764234405</v>
      </c>
      <c r="P12" s="133">
        <v>49.889256095097167</v>
      </c>
      <c r="Q12" s="133">
        <v>56.777163789388467</v>
      </c>
      <c r="R12" s="133">
        <v>52.059550679636402</v>
      </c>
      <c r="S12" s="133">
        <v>46.29752133325227</v>
      </c>
      <c r="T12" s="133">
        <v>50.558412686313282</v>
      </c>
      <c r="U12" s="133">
        <v>51.357992442729945</v>
      </c>
      <c r="V12" s="133">
        <v>61.399864297733465</v>
      </c>
      <c r="W12" s="133">
        <v>66.8939474587701</v>
      </c>
      <c r="DA12" s="157" t="s">
        <v>281</v>
      </c>
    </row>
    <row r="13" spans="1:105" ht="12" customHeight="1" x14ac:dyDescent="0.25">
      <c r="A13" s="132" t="s">
        <v>77</v>
      </c>
      <c r="B13" s="133">
        <v>2.6494700143940703E-2</v>
      </c>
      <c r="C13" s="133">
        <v>4.0712631296174716E-2</v>
      </c>
      <c r="D13" s="133">
        <v>4.3535042840247139E-2</v>
      </c>
      <c r="E13" s="133">
        <v>4.6009069179904473E-2</v>
      </c>
      <c r="F13" s="133">
        <v>5.6834692506821299E-2</v>
      </c>
      <c r="G13" s="133">
        <v>0.10386013296964092</v>
      </c>
      <c r="H13" s="133">
        <v>0.78026314734943436</v>
      </c>
      <c r="I13" s="133">
        <v>1.1065578378742433</v>
      </c>
      <c r="J13" s="133">
        <v>1.4207959513063877</v>
      </c>
      <c r="K13" s="133">
        <v>1.6949991473743209</v>
      </c>
      <c r="L13" s="133">
        <v>1.7596413347185555</v>
      </c>
      <c r="M13" s="133">
        <v>1.86970916638148</v>
      </c>
      <c r="N13" s="133">
        <v>2.0581270778538334</v>
      </c>
      <c r="O13" s="133">
        <v>2.3327524603826491</v>
      </c>
      <c r="P13" s="133">
        <v>2.0346648034885524</v>
      </c>
      <c r="Q13" s="133">
        <v>1.9489370491457851</v>
      </c>
      <c r="R13" s="133">
        <v>1.9559043792443687</v>
      </c>
      <c r="S13" s="133">
        <v>1.8128527224082118</v>
      </c>
      <c r="T13" s="133">
        <v>3.99146700921502</v>
      </c>
      <c r="U13" s="133">
        <v>5.58760374140852</v>
      </c>
      <c r="V13" s="133">
        <v>6.7408341611831339</v>
      </c>
      <c r="W13" s="133">
        <v>11.600139330270977</v>
      </c>
      <c r="DA13" s="157" t="s">
        <v>282</v>
      </c>
    </row>
    <row r="14" spans="1:105" ht="12" customHeight="1" x14ac:dyDescent="0.25">
      <c r="A14" s="60" t="s">
        <v>76</v>
      </c>
      <c r="B14" s="65">
        <v>220.03512085428019</v>
      </c>
      <c r="C14" s="65">
        <v>221.43002165772273</v>
      </c>
      <c r="D14" s="65">
        <v>55.837949947794222</v>
      </c>
      <c r="E14" s="65">
        <v>8.4254761457706575</v>
      </c>
      <c r="F14" s="65">
        <v>616.26238660317983</v>
      </c>
      <c r="G14" s="65">
        <v>618.13279406882555</v>
      </c>
      <c r="H14" s="65">
        <v>555.76009515333931</v>
      </c>
      <c r="I14" s="65">
        <v>527.61530779029488</v>
      </c>
      <c r="J14" s="65">
        <v>523.89758725074046</v>
      </c>
      <c r="K14" s="65">
        <v>528.76886882035649</v>
      </c>
      <c r="L14" s="65">
        <v>476.24089671706503</v>
      </c>
      <c r="M14" s="65">
        <v>390.2046793616019</v>
      </c>
      <c r="N14" s="65">
        <v>373.24432555057399</v>
      </c>
      <c r="O14" s="65">
        <v>364.83894425621003</v>
      </c>
      <c r="P14" s="65">
        <v>266.2740695595391</v>
      </c>
      <c r="Q14" s="65">
        <v>267.98650164137433</v>
      </c>
      <c r="R14" s="65">
        <v>253.43866389334352</v>
      </c>
      <c r="S14" s="65">
        <v>249.99798888719354</v>
      </c>
      <c r="T14" s="65">
        <v>253.11476598188585</v>
      </c>
      <c r="U14" s="65">
        <v>284.83199011951092</v>
      </c>
      <c r="V14" s="65">
        <v>263.31031511043471</v>
      </c>
      <c r="W14" s="65">
        <v>277.71140243809174</v>
      </c>
      <c r="DA14" s="109" t="s">
        <v>283</v>
      </c>
    </row>
    <row r="15" spans="1:105" ht="12" customHeight="1" x14ac:dyDescent="0.25">
      <c r="A15" s="134" t="s">
        <v>80</v>
      </c>
      <c r="B15" s="135">
        <v>20.219630068852204</v>
      </c>
      <c r="C15" s="135">
        <v>21.466880647860595</v>
      </c>
      <c r="D15" s="135">
        <v>23.741437649620128</v>
      </c>
      <c r="E15" s="135">
        <v>25.670061417044145</v>
      </c>
      <c r="F15" s="135">
        <v>24.648332336739195</v>
      </c>
      <c r="G15" s="135">
        <v>24.096314190498607</v>
      </c>
      <c r="H15" s="135">
        <v>22.685782628857588</v>
      </c>
      <c r="I15" s="135">
        <v>20.691030806380699</v>
      </c>
      <c r="J15" s="135">
        <v>25.127784277697547</v>
      </c>
      <c r="K15" s="135">
        <v>24.19031646507494</v>
      </c>
      <c r="L15" s="135">
        <v>27.466740680992054</v>
      </c>
      <c r="M15" s="135">
        <v>22.076860697317674</v>
      </c>
      <c r="N15" s="135">
        <v>24.63969867803803</v>
      </c>
      <c r="O15" s="135">
        <v>27.739914716598037</v>
      </c>
      <c r="P15" s="135">
        <v>21.206914388093487</v>
      </c>
      <c r="Q15" s="135">
        <v>24.95618125587011</v>
      </c>
      <c r="R15" s="135">
        <v>25.647408882691607</v>
      </c>
      <c r="S15" s="135">
        <v>25.787920122399662</v>
      </c>
      <c r="T15" s="135">
        <v>26.202046319803337</v>
      </c>
      <c r="U15" s="135">
        <v>25.902189724971805</v>
      </c>
      <c r="V15" s="135">
        <v>25.06092625962803</v>
      </c>
      <c r="W15" s="135">
        <v>26.678549870299257</v>
      </c>
      <c r="DA15" s="158" t="s">
        <v>284</v>
      </c>
    </row>
    <row r="16" spans="1:105" ht="12.95" customHeight="1" x14ac:dyDescent="0.25">
      <c r="A16" s="130" t="s">
        <v>74</v>
      </c>
      <c r="B16" s="131">
        <f t="shared" ref="B16:Q16" si="4">SUM(B17:B18)</f>
        <v>13.078979416131808</v>
      </c>
      <c r="C16" s="131">
        <f t="shared" si="4"/>
        <v>16.289133522581213</v>
      </c>
      <c r="D16" s="131">
        <f t="shared" si="4"/>
        <v>20.846012005087911</v>
      </c>
      <c r="E16" s="131">
        <f t="shared" si="4"/>
        <v>30.513658114191429</v>
      </c>
      <c r="F16" s="131">
        <f t="shared" si="4"/>
        <v>27.72045600907639</v>
      </c>
      <c r="G16" s="131">
        <f t="shared" si="4"/>
        <v>32.902351031105354</v>
      </c>
      <c r="H16" s="131">
        <f t="shared" si="4"/>
        <v>47.527565231710085</v>
      </c>
      <c r="I16" s="131">
        <f t="shared" si="4"/>
        <v>43.246554387495955</v>
      </c>
      <c r="J16" s="131">
        <f t="shared" si="4"/>
        <v>48.003902661663055</v>
      </c>
      <c r="K16" s="131">
        <f t="shared" si="4"/>
        <v>53.459862433480112</v>
      </c>
      <c r="L16" s="131">
        <f t="shared" si="4"/>
        <v>62.135669373960894</v>
      </c>
      <c r="M16" s="131">
        <f t="shared" si="4"/>
        <v>61.833385199005185</v>
      </c>
      <c r="N16" s="131">
        <f t="shared" si="4"/>
        <v>64.540801353499859</v>
      </c>
      <c r="O16" s="131">
        <f t="shared" si="4"/>
        <v>67.569552670445063</v>
      </c>
      <c r="P16" s="131">
        <f t="shared" si="4"/>
        <v>66.385801432503882</v>
      </c>
      <c r="Q16" s="131">
        <f t="shared" si="4"/>
        <v>74.914914956743601</v>
      </c>
      <c r="R16" s="131">
        <f t="shared" ref="R16:W16" si="5">SUM(R17:R18)</f>
        <v>73.261527195829359</v>
      </c>
      <c r="S16" s="131">
        <f t="shared" si="5"/>
        <v>68.527102354478075</v>
      </c>
      <c r="T16" s="131">
        <f t="shared" si="5"/>
        <v>77.16114278559651</v>
      </c>
      <c r="U16" s="131">
        <f t="shared" si="5"/>
        <v>73.676670495465487</v>
      </c>
      <c r="V16" s="131">
        <f t="shared" si="5"/>
        <v>78.70130033473724</v>
      </c>
      <c r="W16" s="131">
        <f t="shared" si="5"/>
        <v>63.800728057223274</v>
      </c>
      <c r="DA16" s="156" t="s">
        <v>214</v>
      </c>
    </row>
    <row r="17" spans="1:105" ht="12.95" customHeight="1" x14ac:dyDescent="0.25">
      <c r="A17" s="132" t="s">
        <v>73</v>
      </c>
      <c r="B17" s="133">
        <v>2.0487020571643703E-2</v>
      </c>
      <c r="C17" s="133">
        <v>2.8362501854897589E-2</v>
      </c>
      <c r="D17" s="133">
        <v>4.1557639331910229E-2</v>
      </c>
      <c r="E17" s="133">
        <v>5.1398821849601511E-2</v>
      </c>
      <c r="F17" s="133">
        <v>7.2042638009890275E-2</v>
      </c>
      <c r="G17" s="133">
        <v>0.10093919321377903</v>
      </c>
      <c r="H17" s="133">
        <v>0.140880460860561</v>
      </c>
      <c r="I17" s="133">
        <v>0.16974107009954958</v>
      </c>
      <c r="J17" s="133">
        <v>0.22907989152274111</v>
      </c>
      <c r="K17" s="133">
        <v>0.28813754667842045</v>
      </c>
      <c r="L17" s="133">
        <v>0.33387286658931981</v>
      </c>
      <c r="M17" s="133">
        <v>0.36448281654870918</v>
      </c>
      <c r="N17" s="133">
        <v>0.41616232644107398</v>
      </c>
      <c r="O17" s="133">
        <v>0.5076432478296371</v>
      </c>
      <c r="P17" s="133">
        <v>0.63718277665525758</v>
      </c>
      <c r="Q17" s="133">
        <v>0.96528795025130698</v>
      </c>
      <c r="R17" s="133">
        <v>1.1063347743814578</v>
      </c>
      <c r="S17" s="133">
        <v>1.1124345642173099</v>
      </c>
      <c r="T17" s="133">
        <v>1.4295295712917699</v>
      </c>
      <c r="U17" s="133">
        <v>1.579493175476633</v>
      </c>
      <c r="V17" s="133">
        <v>1.8913360562111123</v>
      </c>
      <c r="W17" s="133">
        <v>1.4003507721942525</v>
      </c>
      <c r="DA17" s="157" t="s">
        <v>285</v>
      </c>
    </row>
    <row r="18" spans="1:105" ht="12" customHeight="1" x14ac:dyDescent="0.25">
      <c r="A18" s="132" t="s">
        <v>72</v>
      </c>
      <c r="B18" s="133">
        <v>13.058492395560165</v>
      </c>
      <c r="C18" s="133">
        <v>16.260771020726317</v>
      </c>
      <c r="D18" s="133">
        <v>20.804454365756001</v>
      </c>
      <c r="E18" s="133">
        <v>30.462259292341827</v>
      </c>
      <c r="F18" s="133">
        <v>27.6484133710665</v>
      </c>
      <c r="G18" s="133">
        <v>32.801411837891578</v>
      </c>
      <c r="H18" s="133">
        <v>47.386684770849527</v>
      </c>
      <c r="I18" s="133">
        <v>43.076813317396407</v>
      </c>
      <c r="J18" s="133">
        <v>47.774822770140311</v>
      </c>
      <c r="K18" s="133">
        <v>53.171724886801691</v>
      </c>
      <c r="L18" s="133">
        <v>61.801796507371577</v>
      </c>
      <c r="M18" s="133">
        <v>61.468902382456477</v>
      </c>
      <c r="N18" s="133">
        <v>64.124639027058791</v>
      </c>
      <c r="O18" s="133">
        <v>67.061909422615429</v>
      </c>
      <c r="P18" s="133">
        <v>65.748618655848631</v>
      </c>
      <c r="Q18" s="133">
        <v>73.949627006492292</v>
      </c>
      <c r="R18" s="133">
        <v>72.155192421447907</v>
      </c>
      <c r="S18" s="133">
        <v>67.414667790260765</v>
      </c>
      <c r="T18" s="133">
        <v>75.731613214304744</v>
      </c>
      <c r="U18" s="133">
        <v>72.097177319988859</v>
      </c>
      <c r="V18" s="133">
        <v>76.809964278526124</v>
      </c>
      <c r="W18" s="133">
        <v>62.400377285029023</v>
      </c>
      <c r="DA18" s="157" t="s">
        <v>286</v>
      </c>
    </row>
    <row r="19" spans="1:105" ht="12.95" customHeight="1" x14ac:dyDescent="0.25">
      <c r="A19" s="130" t="s">
        <v>35</v>
      </c>
      <c r="B19" s="131">
        <f t="shared" ref="B19:Q19" si="6">SUM(B20:B27)</f>
        <v>356.81510966859872</v>
      </c>
      <c r="C19" s="131">
        <f t="shared" si="6"/>
        <v>359.00001984646531</v>
      </c>
      <c r="D19" s="131">
        <f t="shared" si="6"/>
        <v>371.28389754070923</v>
      </c>
      <c r="E19" s="131">
        <f t="shared" si="6"/>
        <v>374.84779539087828</v>
      </c>
      <c r="F19" s="131">
        <f t="shared" si="6"/>
        <v>375.5569679435111</v>
      </c>
      <c r="G19" s="131">
        <f t="shared" si="6"/>
        <v>373.54718863142318</v>
      </c>
      <c r="H19" s="131">
        <f t="shared" si="6"/>
        <v>377.94459150264703</v>
      </c>
      <c r="I19" s="131">
        <f t="shared" si="6"/>
        <v>380.50957260739034</v>
      </c>
      <c r="J19" s="131">
        <f t="shared" si="6"/>
        <v>380.85859519956534</v>
      </c>
      <c r="K19" s="131">
        <f t="shared" si="6"/>
        <v>381.85458030579468</v>
      </c>
      <c r="L19" s="131">
        <f t="shared" si="6"/>
        <v>384.48044733114858</v>
      </c>
      <c r="M19" s="131">
        <f t="shared" si="6"/>
        <v>388.99912444671907</v>
      </c>
      <c r="N19" s="131">
        <f t="shared" si="6"/>
        <v>393.16637670141324</v>
      </c>
      <c r="O19" s="131">
        <f t="shared" si="6"/>
        <v>395.85718790102084</v>
      </c>
      <c r="P19" s="131">
        <f t="shared" si="6"/>
        <v>398.53565715746817</v>
      </c>
      <c r="Q19" s="131">
        <f t="shared" si="6"/>
        <v>397.85651987874581</v>
      </c>
      <c r="R19" s="131">
        <f t="shared" ref="R19:W19" si="7">SUM(R20:R27)</f>
        <v>394.54181234394719</v>
      </c>
      <c r="S19" s="131">
        <f t="shared" si="7"/>
        <v>392.53872918510922</v>
      </c>
      <c r="T19" s="131">
        <f t="shared" si="7"/>
        <v>387.09995290850833</v>
      </c>
      <c r="U19" s="131">
        <f t="shared" si="7"/>
        <v>381.91402053187329</v>
      </c>
      <c r="V19" s="131">
        <f t="shared" si="7"/>
        <v>359.11636944499708</v>
      </c>
      <c r="W19" s="131">
        <f t="shared" si="7"/>
        <v>377.56845669194661</v>
      </c>
      <c r="DA19" s="156" t="s">
        <v>215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287</v>
      </c>
    </row>
    <row r="21" spans="1:105" s="2" customFormat="1" ht="12" customHeight="1" x14ac:dyDescent="0.25">
      <c r="A21" s="132" t="s">
        <v>52</v>
      </c>
      <c r="B21" s="133">
        <v>11.967185757704405</v>
      </c>
      <c r="C21" s="133">
        <v>12.145671454530927</v>
      </c>
      <c r="D21" s="133">
        <v>12.063828657853509</v>
      </c>
      <c r="E21" s="133">
        <v>11.797934362929585</v>
      </c>
      <c r="F21" s="133">
        <v>11.42197928156939</v>
      </c>
      <c r="G21" s="133">
        <v>5.2885709445735563</v>
      </c>
      <c r="H21" s="133">
        <v>4.9305045547660855</v>
      </c>
      <c r="I21" s="133">
        <v>4.1171686478182359</v>
      </c>
      <c r="J21" s="133">
        <v>3.066073013278074</v>
      </c>
      <c r="K21" s="133">
        <v>2.7685000689941459</v>
      </c>
      <c r="L21" s="133">
        <v>2.4042931560960663</v>
      </c>
      <c r="M21" s="133">
        <v>2.623516312231633</v>
      </c>
      <c r="N21" s="133">
        <v>3.0531470188307779</v>
      </c>
      <c r="O21" s="133">
        <v>3.2491552481360468</v>
      </c>
      <c r="P21" s="133">
        <v>3.2717849977508338</v>
      </c>
      <c r="Q21" s="133">
        <v>3.6928347533597545</v>
      </c>
      <c r="R21" s="133">
        <v>3.8380785558794352</v>
      </c>
      <c r="S21" s="133">
        <v>4.1512535286968886</v>
      </c>
      <c r="T21" s="133">
        <v>4.3464752804000444</v>
      </c>
      <c r="U21" s="133">
        <v>4.4022128910328124</v>
      </c>
      <c r="V21" s="133">
        <v>3.7802961574167613</v>
      </c>
      <c r="W21" s="133">
        <v>4.2695906104440464</v>
      </c>
      <c r="DA21" s="157" t="s">
        <v>288</v>
      </c>
    </row>
    <row r="22" spans="1:105" ht="12" customHeight="1" x14ac:dyDescent="0.25">
      <c r="A22" s="132" t="s">
        <v>168</v>
      </c>
      <c r="B22" s="133">
        <v>110.60255805617611</v>
      </c>
      <c r="C22" s="133">
        <v>109.05852517856751</v>
      </c>
      <c r="D22" s="133">
        <v>107.71909572209364</v>
      </c>
      <c r="E22" s="133">
        <v>106.73153048729939</v>
      </c>
      <c r="F22" s="133">
        <v>104.67976766523803</v>
      </c>
      <c r="G22" s="133">
        <v>102.32749739779048</v>
      </c>
      <c r="H22" s="133">
        <v>100.68968273413071</v>
      </c>
      <c r="I22" s="133">
        <v>98.518225846135593</v>
      </c>
      <c r="J22" s="133">
        <v>93.136650866867768</v>
      </c>
      <c r="K22" s="133">
        <v>91.845012975726007</v>
      </c>
      <c r="L22" s="133">
        <v>90.388428753137418</v>
      </c>
      <c r="M22" s="133">
        <v>90.311047772009587</v>
      </c>
      <c r="N22" s="133">
        <v>89.052512708856653</v>
      </c>
      <c r="O22" s="133">
        <v>88.250078021612453</v>
      </c>
      <c r="P22" s="133">
        <v>88.059070037614163</v>
      </c>
      <c r="Q22" s="133">
        <v>87.711252190934445</v>
      </c>
      <c r="R22" s="133">
        <v>84.699785495283237</v>
      </c>
      <c r="S22" s="133">
        <v>82.467868217789203</v>
      </c>
      <c r="T22" s="133">
        <v>78.379895524327978</v>
      </c>
      <c r="U22" s="133">
        <v>74.380953354785191</v>
      </c>
      <c r="V22" s="133">
        <v>64.835652305920647</v>
      </c>
      <c r="W22" s="133">
        <v>69.828743052205695</v>
      </c>
      <c r="DA22" s="157" t="s">
        <v>289</v>
      </c>
    </row>
    <row r="23" spans="1:105" ht="12" customHeight="1" x14ac:dyDescent="0.25">
      <c r="A23" s="132" t="s">
        <v>153</v>
      </c>
      <c r="B23" s="133">
        <v>182.94189057271231</v>
      </c>
      <c r="C23" s="133">
        <v>185.55126856668932</v>
      </c>
      <c r="D23" s="133">
        <v>188.28720754190914</v>
      </c>
      <c r="E23" s="133">
        <v>191.03125587665025</v>
      </c>
      <c r="F23" s="133">
        <v>193.06589905544752</v>
      </c>
      <c r="G23" s="133">
        <v>195.47985078911842</v>
      </c>
      <c r="H23" s="133">
        <v>197.39043133763454</v>
      </c>
      <c r="I23" s="133">
        <v>201.08423248376431</v>
      </c>
      <c r="J23" s="133">
        <v>203.40446988386779</v>
      </c>
      <c r="K23" s="133">
        <v>204.07093790255254</v>
      </c>
      <c r="L23" s="133">
        <v>206.58697071643428</v>
      </c>
      <c r="M23" s="133">
        <v>210.36978147133829</v>
      </c>
      <c r="N23" s="133">
        <v>214.33181729124908</v>
      </c>
      <c r="O23" s="133">
        <v>215.40356143188805</v>
      </c>
      <c r="P23" s="133">
        <v>217.09950744329819</v>
      </c>
      <c r="Q23" s="133">
        <v>215.91736862402473</v>
      </c>
      <c r="R23" s="133">
        <v>214.41411412785371</v>
      </c>
      <c r="S23" s="133">
        <v>213.5314222190818</v>
      </c>
      <c r="T23" s="133">
        <v>211.14880340929702</v>
      </c>
      <c r="U23" s="133">
        <v>209.22828765858659</v>
      </c>
      <c r="V23" s="133">
        <v>200.60392265030731</v>
      </c>
      <c r="W23" s="133">
        <v>211.09902183028265</v>
      </c>
      <c r="DA23" s="157" t="s">
        <v>290</v>
      </c>
    </row>
    <row r="24" spans="1:105" ht="12" customHeight="1" x14ac:dyDescent="0.25">
      <c r="A24" s="132" t="s">
        <v>128</v>
      </c>
      <c r="B24" s="133">
        <v>0</v>
      </c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291</v>
      </c>
    </row>
    <row r="25" spans="1:105" ht="12" customHeight="1" x14ac:dyDescent="0.25">
      <c r="A25" s="132" t="s">
        <v>169</v>
      </c>
      <c r="B25" s="133">
        <v>5.9351181146467304</v>
      </c>
      <c r="C25" s="133">
        <v>5.840421037638821</v>
      </c>
      <c r="D25" s="133">
        <v>5.8447580124276239</v>
      </c>
      <c r="E25" s="133">
        <v>5.7846136372317547</v>
      </c>
      <c r="F25" s="133">
        <v>5.7911030670710337</v>
      </c>
      <c r="G25" s="133">
        <v>5.8046653996084681</v>
      </c>
      <c r="H25" s="133">
        <v>5.7733027886471442</v>
      </c>
      <c r="I25" s="133">
        <v>5.6495873617644516</v>
      </c>
      <c r="J25" s="133">
        <v>5.6040937239112134</v>
      </c>
      <c r="K25" s="133">
        <v>5.5897287906502919</v>
      </c>
      <c r="L25" s="133">
        <v>5.5557013360359893</v>
      </c>
      <c r="M25" s="133">
        <v>5.5075499301358315</v>
      </c>
      <c r="N25" s="133">
        <v>5.5394674218829492</v>
      </c>
      <c r="O25" s="133">
        <v>5.6526996613889811</v>
      </c>
      <c r="P25" s="133">
        <v>6.0275968713688668</v>
      </c>
      <c r="Q25" s="133">
        <v>6.4181070618583922</v>
      </c>
      <c r="R25" s="133">
        <v>6.6033899910429135</v>
      </c>
      <c r="S25" s="133">
        <v>6.6403118567734838</v>
      </c>
      <c r="T25" s="133">
        <v>6.6261100995852553</v>
      </c>
      <c r="U25" s="133">
        <v>6.5955759149657007</v>
      </c>
      <c r="V25" s="133">
        <v>6.3248992448288774</v>
      </c>
      <c r="W25" s="133">
        <v>6.5009794543855479</v>
      </c>
      <c r="DA25" s="157" t="s">
        <v>292</v>
      </c>
    </row>
    <row r="26" spans="1:105" ht="12" customHeight="1" x14ac:dyDescent="0.25">
      <c r="A26" s="132" t="s">
        <v>24</v>
      </c>
      <c r="B26" s="65">
        <v>44.81900205128008</v>
      </c>
      <c r="C26" s="65">
        <v>46.236979696742971</v>
      </c>
      <c r="D26" s="65">
        <v>57.177949996795078</v>
      </c>
      <c r="E26" s="65">
        <v>59.215874612321819</v>
      </c>
      <c r="F26" s="65">
        <v>60.28772876240518</v>
      </c>
      <c r="G26" s="65">
        <v>64.33611398855237</v>
      </c>
      <c r="H26" s="65">
        <v>68.778554868207991</v>
      </c>
      <c r="I26" s="65">
        <v>70.59100315182863</v>
      </c>
      <c r="J26" s="65">
        <v>74.906894985931189</v>
      </c>
      <c r="K26" s="65">
        <v>76.051767721784032</v>
      </c>
      <c r="L26" s="65">
        <v>78.752104100313275</v>
      </c>
      <c r="M26" s="65">
        <v>79.336928015173925</v>
      </c>
      <c r="N26" s="65">
        <v>80.341538881402016</v>
      </c>
      <c r="O26" s="65">
        <v>82.401263615381438</v>
      </c>
      <c r="P26" s="65">
        <v>83.067379664701775</v>
      </c>
      <c r="Q26" s="65">
        <v>83.023062149686297</v>
      </c>
      <c r="R26" s="65">
        <v>83.634595506648054</v>
      </c>
      <c r="S26" s="65">
        <v>84.360169149526257</v>
      </c>
      <c r="T26" s="65">
        <v>85.050947184751834</v>
      </c>
      <c r="U26" s="65">
        <v>85.804669130387779</v>
      </c>
      <c r="V26" s="65">
        <v>81.980885414984357</v>
      </c>
      <c r="W26" s="65">
        <v>84.413199990544385</v>
      </c>
      <c r="DA26" s="109" t="s">
        <v>293</v>
      </c>
    </row>
    <row r="27" spans="1:105" ht="12" customHeight="1" x14ac:dyDescent="0.25">
      <c r="A27" s="145" t="s">
        <v>26</v>
      </c>
      <c r="B27" s="146">
        <v>0.5493551160791057</v>
      </c>
      <c r="C27" s="146">
        <v>0.16715391229578669</v>
      </c>
      <c r="D27" s="146">
        <v>0.19105760963026661</v>
      </c>
      <c r="E27" s="146">
        <v>0.28658641444539978</v>
      </c>
      <c r="F27" s="146">
        <v>0.31049011177987967</v>
      </c>
      <c r="G27" s="146">
        <v>0.31049011177987978</v>
      </c>
      <c r="H27" s="146">
        <v>0.38211521926053321</v>
      </c>
      <c r="I27" s="146">
        <v>0.54935511607910559</v>
      </c>
      <c r="J27" s="146">
        <v>0.74041272570937244</v>
      </c>
      <c r="K27" s="146">
        <v>1.5286328460877046</v>
      </c>
      <c r="L27" s="146">
        <v>0.79294926913155606</v>
      </c>
      <c r="M27" s="146">
        <v>0.85030094582975058</v>
      </c>
      <c r="N27" s="146">
        <v>0.84789337919174579</v>
      </c>
      <c r="O27" s="146">
        <v>0.90042992261392985</v>
      </c>
      <c r="P27" s="146">
        <v>1.0103181427343078</v>
      </c>
      <c r="Q27" s="146">
        <v>1.0938950988822003</v>
      </c>
      <c r="R27" s="146">
        <v>1.3518486672398973</v>
      </c>
      <c r="S27" s="146">
        <v>1.387704213241616</v>
      </c>
      <c r="T27" s="146">
        <v>1.5477214101461729</v>
      </c>
      <c r="U27" s="146">
        <v>1.5023215821152185</v>
      </c>
      <c r="V27" s="146">
        <v>1.5907136715391226</v>
      </c>
      <c r="W27" s="146">
        <v>1.4569217540842656</v>
      </c>
      <c r="DA27" s="159" t="s">
        <v>294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250.99741291951858</v>
      </c>
      <c r="C29" s="131">
        <f t="shared" si="8"/>
        <v>257.7178238538819</v>
      </c>
      <c r="D29" s="131">
        <f t="shared" si="8"/>
        <v>263.45659172268489</v>
      </c>
      <c r="E29" s="131">
        <f t="shared" si="8"/>
        <v>258.27433815898485</v>
      </c>
      <c r="F29" s="131">
        <f t="shared" si="8"/>
        <v>268.70169630721443</v>
      </c>
      <c r="G29" s="131">
        <f t="shared" si="8"/>
        <v>267.5674625824588</v>
      </c>
      <c r="H29" s="131">
        <f t="shared" si="8"/>
        <v>271.11080256007426</v>
      </c>
      <c r="I29" s="131">
        <f t="shared" si="8"/>
        <v>281.07371476862539</v>
      </c>
      <c r="J29" s="131">
        <f t="shared" si="8"/>
        <v>287.61594683176349</v>
      </c>
      <c r="K29" s="131">
        <f t="shared" si="8"/>
        <v>290.83263844667863</v>
      </c>
      <c r="L29" s="131">
        <f t="shared" si="8"/>
        <v>297.05648081807152</v>
      </c>
      <c r="M29" s="131">
        <f t="shared" si="8"/>
        <v>298.80486237718787</v>
      </c>
      <c r="N29" s="131">
        <f t="shared" si="8"/>
        <v>306.67220656233189</v>
      </c>
      <c r="O29" s="131">
        <f t="shared" si="8"/>
        <v>310.76969759011791</v>
      </c>
      <c r="P29" s="131">
        <f t="shared" si="8"/>
        <v>312.29417487501439</v>
      </c>
      <c r="Q29" s="131">
        <f t="shared" si="8"/>
        <v>318.8882793232608</v>
      </c>
      <c r="R29" s="131">
        <f t="shared" ref="R29:W29" si="9">SUM(R30:R33)</f>
        <v>317.31034176302671</v>
      </c>
      <c r="S29" s="131">
        <f t="shared" si="9"/>
        <v>318.64113341697072</v>
      </c>
      <c r="T29" s="131">
        <f t="shared" si="9"/>
        <v>319.41139080989944</v>
      </c>
      <c r="U29" s="131">
        <f t="shared" si="9"/>
        <v>321.04716254932396</v>
      </c>
      <c r="V29" s="131">
        <f t="shared" si="9"/>
        <v>309.20428616997151</v>
      </c>
      <c r="W29" s="131">
        <f t="shared" si="9"/>
        <v>326.60028608346829</v>
      </c>
      <c r="DA29" s="156" t="s">
        <v>216</v>
      </c>
    </row>
    <row r="30" spans="1:105" ht="12" customHeight="1" x14ac:dyDescent="0.25">
      <c r="A30" s="132" t="s">
        <v>52</v>
      </c>
      <c r="B30" s="133">
        <v>63.842530493370397</v>
      </c>
      <c r="C30" s="133">
        <v>62.565334564385665</v>
      </c>
      <c r="D30" s="133">
        <v>47.265492064416478</v>
      </c>
      <c r="E30" s="133">
        <v>35.445745774645651</v>
      </c>
      <c r="F30" s="133">
        <v>36.920411088164045</v>
      </c>
      <c r="G30" s="133">
        <v>7.8956938877566243</v>
      </c>
      <c r="H30" s="133">
        <v>7.1551360299286637</v>
      </c>
      <c r="I30" s="133">
        <v>6.8697617047183037</v>
      </c>
      <c r="J30" s="133">
        <v>9.0195675714166725</v>
      </c>
      <c r="K30" s="133">
        <v>9.3171405157005989</v>
      </c>
      <c r="L30" s="133">
        <v>11.878681908392322</v>
      </c>
      <c r="M30" s="133">
        <v>8.3634140403049102</v>
      </c>
      <c r="N30" s="133">
        <v>9.032493565863966</v>
      </c>
      <c r="O30" s="133">
        <v>9.9351095841941302</v>
      </c>
      <c r="P30" s="133">
        <v>7.715145354785709</v>
      </c>
      <c r="Q30" s="133">
        <v>13.88618502308049</v>
      </c>
      <c r="R30" s="133">
        <v>10.444896508608963</v>
      </c>
      <c r="S30" s="133">
        <v>12.438944235705502</v>
      </c>
      <c r="T30" s="133">
        <v>12.133920248404763</v>
      </c>
      <c r="U30" s="133">
        <v>13.176806885407419</v>
      </c>
      <c r="V30" s="133">
        <v>15.990211151267657</v>
      </c>
      <c r="W30" s="133">
        <v>17.195499673304894</v>
      </c>
      <c r="DA30" s="157" t="s">
        <v>295</v>
      </c>
    </row>
    <row r="31" spans="1:105" ht="12" customHeight="1" x14ac:dyDescent="0.25">
      <c r="A31" s="132" t="s">
        <v>153</v>
      </c>
      <c r="B31" s="133">
        <v>148.28089442973075</v>
      </c>
      <c r="C31" s="133">
        <v>149.74812408271774</v>
      </c>
      <c r="D31" s="133">
        <v>150.5332403197672</v>
      </c>
      <c r="E31" s="133">
        <v>150.43135923296521</v>
      </c>
      <c r="F31" s="133">
        <v>151.71802932586721</v>
      </c>
      <c r="G31" s="133">
        <v>152.5701788042376</v>
      </c>
      <c r="H31" s="133">
        <v>152.65219212807202</v>
      </c>
      <c r="I31" s="133">
        <v>153.49089439705571</v>
      </c>
      <c r="J31" s="133">
        <v>155.37689154657963</v>
      </c>
      <c r="K31" s="133">
        <v>155.57102457824053</v>
      </c>
      <c r="L31" s="133">
        <v>156.82632236189647</v>
      </c>
      <c r="M31" s="133">
        <v>159.31370780018068</v>
      </c>
      <c r="N31" s="133">
        <v>163.4864939444833</v>
      </c>
      <c r="O31" s="133">
        <v>165.12913181322136</v>
      </c>
      <c r="P31" s="133">
        <v>167.40491263289832</v>
      </c>
      <c r="Q31" s="133">
        <v>168.07991691584044</v>
      </c>
      <c r="R31" s="133">
        <v>168.78393876063794</v>
      </c>
      <c r="S31" s="133">
        <v>168.89491306802208</v>
      </c>
      <c r="T31" s="133">
        <v>169.42623477599341</v>
      </c>
      <c r="U31" s="133">
        <v>170.38501581630462</v>
      </c>
      <c r="V31" s="133">
        <v>163.06942876661446</v>
      </c>
      <c r="W31" s="133">
        <v>173.63047919619814</v>
      </c>
      <c r="DA31" s="157" t="s">
        <v>296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0.52970090015905325</v>
      </c>
      <c r="K32" s="133">
        <v>0.46176774735361498</v>
      </c>
      <c r="L32" s="133">
        <v>1.120570521757374</v>
      </c>
      <c r="M32" s="133">
        <v>1.1645708459267923</v>
      </c>
      <c r="N32" s="133">
        <v>0.6357113324389152</v>
      </c>
      <c r="O32" s="133">
        <v>1.2651931413735515</v>
      </c>
      <c r="P32" s="133">
        <v>1.5605292264744455</v>
      </c>
      <c r="Q32" s="133">
        <v>1.8802498914975654</v>
      </c>
      <c r="R32" s="133">
        <v>1.9161009221536465</v>
      </c>
      <c r="S32" s="133">
        <v>1.9025230921960037</v>
      </c>
      <c r="T32" s="133">
        <v>1.8716495051737165</v>
      </c>
      <c r="U32" s="133">
        <v>2.1304815355157185</v>
      </c>
      <c r="V32" s="133">
        <v>0.4662445668514803</v>
      </c>
      <c r="W32" s="133">
        <v>0.55988340919729551</v>
      </c>
      <c r="DA32" s="157" t="s">
        <v>297</v>
      </c>
    </row>
    <row r="33" spans="1:105" ht="12" customHeight="1" x14ac:dyDescent="0.25">
      <c r="A33" s="62" t="s">
        <v>24</v>
      </c>
      <c r="B33" s="68">
        <v>38.873987996417441</v>
      </c>
      <c r="C33" s="68">
        <v>45.404365206778493</v>
      </c>
      <c r="D33" s="68">
        <v>65.657859338501225</v>
      </c>
      <c r="E33" s="68">
        <v>72.397233151374024</v>
      </c>
      <c r="F33" s="68">
        <v>80.063255893183182</v>
      </c>
      <c r="G33" s="68">
        <v>107.10158989046454</v>
      </c>
      <c r="H33" s="68">
        <v>111.30347440207356</v>
      </c>
      <c r="I33" s="68">
        <v>120.71305866685137</v>
      </c>
      <c r="J33" s="68">
        <v>122.68978681360817</v>
      </c>
      <c r="K33" s="68">
        <v>125.48270560538391</v>
      </c>
      <c r="L33" s="68">
        <v>127.23090602602537</v>
      </c>
      <c r="M33" s="68">
        <v>129.96316969077546</v>
      </c>
      <c r="N33" s="68">
        <v>133.51750771954568</v>
      </c>
      <c r="O33" s="68">
        <v>134.44026305132888</v>
      </c>
      <c r="P33" s="68">
        <v>135.61358766085596</v>
      </c>
      <c r="Q33" s="68">
        <v>135.04192749284229</v>
      </c>
      <c r="R33" s="68">
        <v>136.16540557162617</v>
      </c>
      <c r="S33" s="68">
        <v>135.40475302104716</v>
      </c>
      <c r="T33" s="68">
        <v>135.97958628032757</v>
      </c>
      <c r="U33" s="68">
        <v>135.35485831209618</v>
      </c>
      <c r="V33" s="68">
        <v>129.6784016852379</v>
      </c>
      <c r="W33" s="68">
        <v>135.21442380476796</v>
      </c>
      <c r="DA33" s="111" t="s">
        <v>298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299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82</v>
      </c>
      <c r="B3" s="126">
        <f t="shared" ref="B3:Q3" si="0">SUM(B4,B16,B19,B29)</f>
        <v>1628.5108095987268</v>
      </c>
      <c r="C3" s="126">
        <f t="shared" si="0"/>
        <v>1730.0497839576449</v>
      </c>
      <c r="D3" s="126">
        <f t="shared" si="0"/>
        <v>1778.5192208219703</v>
      </c>
      <c r="E3" s="126">
        <f t="shared" si="0"/>
        <v>1903.4476464401807</v>
      </c>
      <c r="F3" s="126">
        <f t="shared" si="0"/>
        <v>2365.2478072252616</v>
      </c>
      <c r="G3" s="126">
        <f t="shared" si="0"/>
        <v>2382.9958785576905</v>
      </c>
      <c r="H3" s="126">
        <f t="shared" si="0"/>
        <v>2336.7493447999673</v>
      </c>
      <c r="I3" s="126">
        <f t="shared" si="0"/>
        <v>2228.8706411140456</v>
      </c>
      <c r="J3" s="126">
        <f t="shared" si="0"/>
        <v>2510.4733114888086</v>
      </c>
      <c r="K3" s="126">
        <f t="shared" si="0"/>
        <v>2506.3041703279564</v>
      </c>
      <c r="L3" s="126">
        <f t="shared" si="0"/>
        <v>2725.0296778621982</v>
      </c>
      <c r="M3" s="126">
        <f t="shared" si="0"/>
        <v>2359.4604874218544</v>
      </c>
      <c r="N3" s="126">
        <f t="shared" si="0"/>
        <v>2548.2507911326902</v>
      </c>
      <c r="O3" s="126">
        <f t="shared" si="0"/>
        <v>2778.4862984714987</v>
      </c>
      <c r="P3" s="126">
        <f t="shared" si="0"/>
        <v>2327.1899479429721</v>
      </c>
      <c r="Q3" s="126">
        <f t="shared" si="0"/>
        <v>2624.4309991908058</v>
      </c>
      <c r="R3" s="126">
        <f t="shared" ref="R3:W3" si="1">SUM(R4,R16,R19,R29)</f>
        <v>2667.7025416721053</v>
      </c>
      <c r="S3" s="126">
        <f t="shared" si="1"/>
        <v>2675.8562591139248</v>
      </c>
      <c r="T3" s="126">
        <f t="shared" si="1"/>
        <v>2774.7797110492802</v>
      </c>
      <c r="U3" s="126">
        <f t="shared" si="1"/>
        <v>2803.737101462551</v>
      </c>
      <c r="V3" s="126">
        <f t="shared" si="1"/>
        <v>2764.9335285938141</v>
      </c>
      <c r="W3" s="126">
        <f t="shared" si="1"/>
        <v>2891.1576794197017</v>
      </c>
      <c r="DA3" s="155" t="s">
        <v>300</v>
      </c>
    </row>
    <row r="4" spans="1:105" ht="12.95" customHeight="1" x14ac:dyDescent="0.25">
      <c r="A4" s="130" t="s">
        <v>32</v>
      </c>
      <c r="B4" s="131">
        <f t="shared" ref="B4:Q4" si="2">SUM(B5:B15)</f>
        <v>1224.0854345862492</v>
      </c>
      <c r="C4" s="131">
        <f t="shared" si="2"/>
        <v>1307.8649793975105</v>
      </c>
      <c r="D4" s="131">
        <f t="shared" si="2"/>
        <v>1323.9501915335175</v>
      </c>
      <c r="E4" s="131">
        <f t="shared" si="2"/>
        <v>1419.9059153763831</v>
      </c>
      <c r="F4" s="131">
        <f t="shared" si="2"/>
        <v>1874.5209321654261</v>
      </c>
      <c r="G4" s="131">
        <f t="shared" si="2"/>
        <v>1868.2603861080136</v>
      </c>
      <c r="H4" s="131">
        <f t="shared" si="2"/>
        <v>1768.0912315963735</v>
      </c>
      <c r="I4" s="131">
        <f t="shared" si="2"/>
        <v>1654.9059098623104</v>
      </c>
      <c r="J4" s="131">
        <f t="shared" si="2"/>
        <v>1909.661410433969</v>
      </c>
      <c r="K4" s="131">
        <f t="shared" si="2"/>
        <v>1879.2344634450342</v>
      </c>
      <c r="L4" s="131">
        <f t="shared" si="2"/>
        <v>2056.642770358897</v>
      </c>
      <c r="M4" s="131">
        <f t="shared" si="2"/>
        <v>1678.0676317833688</v>
      </c>
      <c r="N4" s="131">
        <f t="shared" si="2"/>
        <v>1838.8828611654874</v>
      </c>
      <c r="O4" s="131">
        <f t="shared" si="2"/>
        <v>2042.2430001427961</v>
      </c>
      <c r="P4" s="131">
        <f t="shared" si="2"/>
        <v>1581.8124234832817</v>
      </c>
      <c r="Q4" s="131">
        <f t="shared" si="2"/>
        <v>1832.2925979749618</v>
      </c>
      <c r="R4" s="131">
        <f t="shared" ref="R4:W4" si="3">SUM(R5:R15)</f>
        <v>1870.1225377170122</v>
      </c>
      <c r="S4" s="131">
        <f t="shared" si="3"/>
        <v>1882.551576835896</v>
      </c>
      <c r="T4" s="131">
        <f t="shared" si="3"/>
        <v>1934.5417620117898</v>
      </c>
      <c r="U4" s="131">
        <f t="shared" si="3"/>
        <v>1965.5888186456434</v>
      </c>
      <c r="V4" s="131">
        <f t="shared" si="3"/>
        <v>1917.647246559814</v>
      </c>
      <c r="W4" s="131">
        <f t="shared" si="3"/>
        <v>2065.4329560269402</v>
      </c>
      <c r="DA4" s="156" t="s">
        <v>301</v>
      </c>
    </row>
    <row r="5" spans="1:105" ht="12" customHeight="1" x14ac:dyDescent="0.25">
      <c r="A5" s="132" t="s">
        <v>29</v>
      </c>
      <c r="B5" s="133">
        <v>0</v>
      </c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302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303</v>
      </c>
    </row>
    <row r="7" spans="1:105" ht="12" customHeight="1" x14ac:dyDescent="0.25">
      <c r="A7" s="132" t="s">
        <v>168</v>
      </c>
      <c r="B7" s="133">
        <v>338.5697006879887</v>
      </c>
      <c r="C7" s="133">
        <v>358.11609134535888</v>
      </c>
      <c r="D7" s="133">
        <v>504.06391031890757</v>
      </c>
      <c r="E7" s="133">
        <v>596.29182120282144</v>
      </c>
      <c r="F7" s="133">
        <v>596.90904993636946</v>
      </c>
      <c r="G7" s="133">
        <v>602.01055979497767</v>
      </c>
      <c r="H7" s="133">
        <v>517.61865352715904</v>
      </c>
      <c r="I7" s="133">
        <v>432.93989589505327</v>
      </c>
      <c r="J7" s="133">
        <v>554.10298396715154</v>
      </c>
      <c r="K7" s="133">
        <v>442.10470030930105</v>
      </c>
      <c r="L7" s="133">
        <v>510.61588844599032</v>
      </c>
      <c r="M7" s="133">
        <v>432.31126657729715</v>
      </c>
      <c r="N7" s="133">
        <v>437.32790878888147</v>
      </c>
      <c r="O7" s="133">
        <v>498.25204469456037</v>
      </c>
      <c r="P7" s="133">
        <v>384.40421527679428</v>
      </c>
      <c r="Q7" s="133">
        <v>474.14784637936373</v>
      </c>
      <c r="R7" s="133">
        <v>434.25677595276028</v>
      </c>
      <c r="S7" s="133">
        <v>446.10895844390944</v>
      </c>
      <c r="T7" s="133">
        <v>445.89878354099454</v>
      </c>
      <c r="U7" s="133">
        <v>421.77103742549076</v>
      </c>
      <c r="V7" s="133">
        <v>446.32980255361775</v>
      </c>
      <c r="W7" s="133">
        <v>370.29831698917104</v>
      </c>
      <c r="DA7" s="157" t="s">
        <v>304</v>
      </c>
    </row>
    <row r="8" spans="1:105" ht="12" customHeight="1" x14ac:dyDescent="0.25">
      <c r="A8" s="132" t="s">
        <v>73</v>
      </c>
      <c r="B8" s="133">
        <v>2.1461016707043961E-2</v>
      </c>
      <c r="C8" s="133">
        <v>2.4453901137916977E-2</v>
      </c>
      <c r="D8" s="133">
        <v>2.7190301214043169E-2</v>
      </c>
      <c r="E8" s="133">
        <v>2.906038844423537E-2</v>
      </c>
      <c r="F8" s="133">
        <v>3.5659709049766591E-2</v>
      </c>
      <c r="G8" s="133">
        <v>3.7250661443452168E-2</v>
      </c>
      <c r="H8" s="133">
        <v>4.2012046783411826E-2</v>
      </c>
      <c r="I8" s="133">
        <v>4.151933500738985E-2</v>
      </c>
      <c r="J8" s="133">
        <v>5.0361133934539851E-2</v>
      </c>
      <c r="K8" s="133">
        <v>5.8557033991313165E-2</v>
      </c>
      <c r="L8" s="133">
        <v>6.7093245581773292E-2</v>
      </c>
      <c r="M8" s="133">
        <v>6.5136326285276588E-2</v>
      </c>
      <c r="N8" s="133">
        <v>8.4977890487162047E-2</v>
      </c>
      <c r="O8" s="133">
        <v>0.10918608453107216</v>
      </c>
      <c r="P8" s="133">
        <v>9.5357291333323796E-2</v>
      </c>
      <c r="Q8" s="133">
        <v>0.11688575621969245</v>
      </c>
      <c r="R8" s="133">
        <v>0.12874742728239436</v>
      </c>
      <c r="S8" s="133">
        <v>0.13069208258837686</v>
      </c>
      <c r="T8" s="133">
        <v>0.13886113303266309</v>
      </c>
      <c r="U8" s="133">
        <v>0.15051257622100428</v>
      </c>
      <c r="V8" s="133">
        <v>0.16076890250680492</v>
      </c>
      <c r="W8" s="133">
        <v>0.18675177419441244</v>
      </c>
      <c r="DA8" s="157" t="s">
        <v>305</v>
      </c>
    </row>
    <row r="9" spans="1:105" ht="12" customHeight="1" x14ac:dyDescent="0.25">
      <c r="A9" s="132" t="s">
        <v>78</v>
      </c>
      <c r="B9" s="133">
        <v>663.47848471689474</v>
      </c>
      <c r="C9" s="133">
        <v>725.14419346696104</v>
      </c>
      <c r="D9" s="133">
        <v>718.54062075447052</v>
      </c>
      <c r="E9" s="133">
        <v>756.91308320187341</v>
      </c>
      <c r="F9" s="133">
        <v>727.8150994024835</v>
      </c>
      <c r="G9" s="133">
        <v>712.21155748716808</v>
      </c>
      <c r="H9" s="133">
        <v>735.3698426046102</v>
      </c>
      <c r="I9" s="133">
        <v>725.17711379039076</v>
      </c>
      <c r="J9" s="133">
        <v>883.25346258325021</v>
      </c>
      <c r="K9" s="133">
        <v>959.22927260764197</v>
      </c>
      <c r="L9" s="133">
        <v>1097.0593652043417</v>
      </c>
      <c r="M9" s="133">
        <v>873.16005179219064</v>
      </c>
      <c r="N9" s="133">
        <v>1032.5585961028303</v>
      </c>
      <c r="O9" s="133">
        <v>1168.4798958261572</v>
      </c>
      <c r="P9" s="133">
        <v>890.30868410489882</v>
      </c>
      <c r="Q9" s="133">
        <v>1036.1126046410291</v>
      </c>
      <c r="R9" s="133">
        <v>1128.0170300518212</v>
      </c>
      <c r="S9" s="133">
        <v>1133.4276871563013</v>
      </c>
      <c r="T9" s="133">
        <v>1165.0625169020288</v>
      </c>
      <c r="U9" s="133">
        <v>1176.4607104112808</v>
      </c>
      <c r="V9" s="133">
        <v>1101.4641618133714</v>
      </c>
      <c r="W9" s="133">
        <v>1283.0407605617693</v>
      </c>
      <c r="DA9" s="157" t="s">
        <v>306</v>
      </c>
    </row>
    <row r="10" spans="1:105" ht="12" customHeight="1" x14ac:dyDescent="0.25">
      <c r="A10" s="132" t="s">
        <v>128</v>
      </c>
      <c r="B10" s="133">
        <v>8.221949738107687E-3</v>
      </c>
      <c r="C10" s="133">
        <v>8.4452285627152381E-3</v>
      </c>
      <c r="D10" s="133">
        <v>1.0454037085245026E-2</v>
      </c>
      <c r="E10" s="133">
        <v>1.0702501842233921E-2</v>
      </c>
      <c r="F10" s="133">
        <v>1.8719213095988327</v>
      </c>
      <c r="G10" s="133">
        <v>2.3849252032280912</v>
      </c>
      <c r="H10" s="133">
        <v>2.3723835372866415</v>
      </c>
      <c r="I10" s="133">
        <v>2.439109169560179</v>
      </c>
      <c r="J10" s="133">
        <v>0.77067533937088983</v>
      </c>
      <c r="K10" s="133">
        <v>0.42923158394329963</v>
      </c>
      <c r="L10" s="133">
        <v>2.8740827391923376</v>
      </c>
      <c r="M10" s="133">
        <v>3.5966440320812239</v>
      </c>
      <c r="N10" s="133">
        <v>8.8876546812927746</v>
      </c>
      <c r="O10" s="133">
        <v>18.459338968107836</v>
      </c>
      <c r="P10" s="133">
        <v>20.917666128829111</v>
      </c>
      <c r="Q10" s="133">
        <v>24.524104238512539</v>
      </c>
      <c r="R10" s="133">
        <v>24.973739057412953</v>
      </c>
      <c r="S10" s="133">
        <v>24.639231338870125</v>
      </c>
      <c r="T10" s="133">
        <v>25.186898724084028</v>
      </c>
      <c r="U10" s="133">
        <v>27.108312493526906</v>
      </c>
      <c r="V10" s="133">
        <v>26.794596027060173</v>
      </c>
      <c r="W10" s="133">
        <v>26.096560173366342</v>
      </c>
      <c r="DA10" s="157" t="s">
        <v>307</v>
      </c>
    </row>
    <row r="11" spans="1:105" ht="12" customHeight="1" x14ac:dyDescent="0.25">
      <c r="A11" s="132" t="s">
        <v>25</v>
      </c>
      <c r="B11" s="133">
        <v>0</v>
      </c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308</v>
      </c>
    </row>
    <row r="12" spans="1:105" ht="12" customHeight="1" x14ac:dyDescent="0.25">
      <c r="A12" s="132" t="s">
        <v>169</v>
      </c>
      <c r="B12" s="133">
        <v>35.695367234723612</v>
      </c>
      <c r="C12" s="133">
        <v>35.702115120380853</v>
      </c>
      <c r="D12" s="133">
        <v>35.191496297481685</v>
      </c>
      <c r="E12" s="133">
        <v>34.475710752839248</v>
      </c>
      <c r="F12" s="133">
        <v>40.424129869878399</v>
      </c>
      <c r="G12" s="133">
        <v>38.758241908428623</v>
      </c>
      <c r="H12" s="133">
        <v>47.062812680061263</v>
      </c>
      <c r="I12" s="133">
        <v>51.273637869282751</v>
      </c>
      <c r="J12" s="133">
        <v>25.451181485453603</v>
      </c>
      <c r="K12" s="133">
        <v>26.940537449546014</v>
      </c>
      <c r="L12" s="133">
        <v>33.200916721201374</v>
      </c>
      <c r="M12" s="133">
        <v>29.2923032490522</v>
      </c>
      <c r="N12" s="133">
        <v>30.033241373790904</v>
      </c>
      <c r="O12" s="133">
        <v>29.067439734214219</v>
      </c>
      <c r="P12" s="133">
        <v>44.866142409710775</v>
      </c>
      <c r="Q12" s="133">
        <v>51.203958481044062</v>
      </c>
      <c r="R12" s="133">
        <v>47.035517417400328</v>
      </c>
      <c r="S12" s="133">
        <v>41.888699543360076</v>
      </c>
      <c r="T12" s="133">
        <v>45.926133117302435</v>
      </c>
      <c r="U12" s="133">
        <v>46.902418482783652</v>
      </c>
      <c r="V12" s="133">
        <v>56.476534772974325</v>
      </c>
      <c r="W12" s="133">
        <v>61.871546013937525</v>
      </c>
      <c r="DA12" s="157" t="s">
        <v>309</v>
      </c>
    </row>
    <row r="13" spans="1:105" ht="12" customHeight="1" x14ac:dyDescent="0.25">
      <c r="A13" s="132" t="s">
        <v>77</v>
      </c>
      <c r="B13" s="133">
        <v>3.9126026636885657E-2</v>
      </c>
      <c r="C13" s="133">
        <v>6.0944671888171355E-2</v>
      </c>
      <c r="D13" s="133">
        <v>6.6495477962322719E-2</v>
      </c>
      <c r="E13" s="133">
        <v>7.2818446631945602E-2</v>
      </c>
      <c r="F13" s="133">
        <v>0.10185594312074915</v>
      </c>
      <c r="G13" s="133">
        <v>0.20228098269632072</v>
      </c>
      <c r="H13" s="133">
        <v>1.615364564173956</v>
      </c>
      <c r="I13" s="133">
        <v>2.3819658506922727</v>
      </c>
      <c r="J13" s="133">
        <v>3.1442993116508964</v>
      </c>
      <c r="K13" s="133">
        <v>3.852241264430921</v>
      </c>
      <c r="L13" s="133">
        <v>4.0886619516267366</v>
      </c>
      <c r="M13" s="133">
        <v>4.4835907465588525</v>
      </c>
      <c r="N13" s="133">
        <v>5.0635810800636287</v>
      </c>
      <c r="O13" s="133">
        <v>5.8695863662606325</v>
      </c>
      <c r="P13" s="133">
        <v>5.220837481193799</v>
      </c>
      <c r="Q13" s="133">
        <v>5.0265079980469016</v>
      </c>
      <c r="R13" s="133">
        <v>5.2965292912883903</v>
      </c>
      <c r="S13" s="133">
        <v>5.3371528410637161</v>
      </c>
      <c r="T13" s="133">
        <v>12.885284891042996</v>
      </c>
      <c r="U13" s="133">
        <v>19.131820845305644</v>
      </c>
      <c r="V13" s="133">
        <v>23.930787784645076</v>
      </c>
      <c r="W13" s="133">
        <v>42.190972864901113</v>
      </c>
      <c r="DA13" s="157" t="s">
        <v>310</v>
      </c>
    </row>
    <row r="14" spans="1:105" ht="12" customHeight="1" x14ac:dyDescent="0.25">
      <c r="A14" s="60" t="s">
        <v>76</v>
      </c>
      <c r="B14" s="65">
        <v>166.05344288470803</v>
      </c>
      <c r="C14" s="65">
        <v>167.34185501536035</v>
      </c>
      <c r="D14" s="65">
        <v>42.308586696775755</v>
      </c>
      <c r="E14" s="65">
        <v>6.4426574648866772</v>
      </c>
      <c r="F14" s="65">
        <v>482.71488365818607</v>
      </c>
      <c r="G14" s="65">
        <v>488.55925587957307</v>
      </c>
      <c r="H14" s="65">
        <v>441.32438000744122</v>
      </c>
      <c r="I14" s="65">
        <v>419.96163714594303</v>
      </c>
      <c r="J14" s="65">
        <v>417.76066233545947</v>
      </c>
      <c r="K14" s="65">
        <v>422.42960673110508</v>
      </c>
      <c r="L14" s="65">
        <v>381.27002136997055</v>
      </c>
      <c r="M14" s="65">
        <v>313.08177836258596</v>
      </c>
      <c r="N14" s="65">
        <v>300.28720257010309</v>
      </c>
      <c r="O14" s="65">
        <v>294.26559375236661</v>
      </c>
      <c r="P14" s="65">
        <v>214.79260640242831</v>
      </c>
      <c r="Q14" s="65">
        <v>216.20450922487544</v>
      </c>
      <c r="R14" s="65">
        <v>204.7667896363547</v>
      </c>
      <c r="S14" s="65">
        <v>205.23123530740321</v>
      </c>
      <c r="T14" s="65">
        <v>213.2412373835009</v>
      </c>
      <c r="U14" s="65">
        <v>248.16181668606299</v>
      </c>
      <c r="V14" s="65">
        <v>237.4296684460104</v>
      </c>
      <c r="W14" s="65">
        <v>255.06949777930143</v>
      </c>
      <c r="DA14" s="109" t="s">
        <v>311</v>
      </c>
    </row>
    <row r="15" spans="1:105" ht="12" customHeight="1" x14ac:dyDescent="0.25">
      <c r="A15" s="134" t="s">
        <v>80</v>
      </c>
      <c r="B15" s="135">
        <v>20.219630068852204</v>
      </c>
      <c r="C15" s="135">
        <v>21.466880647860595</v>
      </c>
      <c r="D15" s="135">
        <v>23.741437649620128</v>
      </c>
      <c r="E15" s="135">
        <v>25.670061417044145</v>
      </c>
      <c r="F15" s="135">
        <v>24.648332336739195</v>
      </c>
      <c r="G15" s="135">
        <v>24.096314190498607</v>
      </c>
      <c r="H15" s="135">
        <v>22.685782628857588</v>
      </c>
      <c r="I15" s="135">
        <v>20.691030806380699</v>
      </c>
      <c r="J15" s="135">
        <v>25.127784277697547</v>
      </c>
      <c r="K15" s="135">
        <v>24.19031646507494</v>
      </c>
      <c r="L15" s="135">
        <v>27.466740680992054</v>
      </c>
      <c r="M15" s="135">
        <v>22.076860697317674</v>
      </c>
      <c r="N15" s="135">
        <v>24.63969867803803</v>
      </c>
      <c r="O15" s="135">
        <v>27.739914716598037</v>
      </c>
      <c r="P15" s="135">
        <v>21.206914388093487</v>
      </c>
      <c r="Q15" s="135">
        <v>24.95618125587011</v>
      </c>
      <c r="R15" s="135">
        <v>25.647408882691607</v>
      </c>
      <c r="S15" s="135">
        <v>25.787920122399662</v>
      </c>
      <c r="T15" s="135">
        <v>26.202046319803337</v>
      </c>
      <c r="U15" s="135">
        <v>25.902189724971805</v>
      </c>
      <c r="V15" s="135">
        <v>25.06092625962803</v>
      </c>
      <c r="W15" s="135">
        <v>26.678549870299257</v>
      </c>
      <c r="DA15" s="158" t="s">
        <v>312</v>
      </c>
    </row>
    <row r="16" spans="1:105" ht="12.95" customHeight="1" x14ac:dyDescent="0.25">
      <c r="A16" s="130" t="s">
        <v>74</v>
      </c>
      <c r="B16" s="131">
        <f t="shared" ref="B16:Q16" si="4">SUM(B17:B18)</f>
        <v>26.768784468905093</v>
      </c>
      <c r="C16" s="131">
        <f t="shared" si="4"/>
        <v>36.129600798913316</v>
      </c>
      <c r="D16" s="131">
        <f t="shared" si="4"/>
        <v>49.922127897871718</v>
      </c>
      <c r="E16" s="131">
        <f t="shared" si="4"/>
        <v>76.61487936186785</v>
      </c>
      <c r="F16" s="131">
        <f t="shared" si="4"/>
        <v>72.870590783195524</v>
      </c>
      <c r="G16" s="131">
        <f t="shared" si="4"/>
        <v>90.203707616848135</v>
      </c>
      <c r="H16" s="131">
        <f t="shared" si="4"/>
        <v>135.43950344030137</v>
      </c>
      <c r="I16" s="131">
        <f t="shared" si="4"/>
        <v>128.0032969411169</v>
      </c>
      <c r="J16" s="131">
        <f t="shared" si="4"/>
        <v>146.80000406606575</v>
      </c>
      <c r="K16" s="131">
        <f t="shared" si="4"/>
        <v>166.96292243783518</v>
      </c>
      <c r="L16" s="131">
        <f t="shared" si="4"/>
        <v>199.10416031985449</v>
      </c>
      <c r="M16" s="131">
        <f t="shared" si="4"/>
        <v>204.0738228770312</v>
      </c>
      <c r="N16" s="131">
        <f t="shared" si="4"/>
        <v>219.27994713531925</v>
      </c>
      <c r="O16" s="131">
        <f t="shared" si="4"/>
        <v>236.77435592316127</v>
      </c>
      <c r="P16" s="131">
        <f t="shared" si="4"/>
        <v>240.23653032824811</v>
      </c>
      <c r="Q16" s="131">
        <f t="shared" si="4"/>
        <v>280.01041209719824</v>
      </c>
      <c r="R16" s="131">
        <f t="shared" ref="R16:W16" si="5">SUM(R17:R18)</f>
        <v>283.54837069108015</v>
      </c>
      <c r="S16" s="131">
        <f t="shared" si="5"/>
        <v>273.80812439081802</v>
      </c>
      <c r="T16" s="131">
        <f t="shared" si="5"/>
        <v>317.14374921815346</v>
      </c>
      <c r="U16" s="131">
        <f t="shared" si="5"/>
        <v>311.11334591348526</v>
      </c>
      <c r="V16" s="131">
        <f t="shared" si="5"/>
        <v>339.35058002436773</v>
      </c>
      <c r="W16" s="131">
        <f t="shared" si="5"/>
        <v>284.39288725931863</v>
      </c>
      <c r="DA16" s="156" t="s">
        <v>313</v>
      </c>
    </row>
    <row r="17" spans="1:105" ht="12.95" customHeight="1" x14ac:dyDescent="0.25">
      <c r="A17" s="132" t="s">
        <v>73</v>
      </c>
      <c r="B17" s="133">
        <v>2.7246341138454939E-2</v>
      </c>
      <c r="C17" s="133">
        <v>3.8145260703793038E-2</v>
      </c>
      <c r="D17" s="133">
        <v>5.6464902882866319E-2</v>
      </c>
      <c r="E17" s="133">
        <v>6.9976388540439818E-2</v>
      </c>
      <c r="F17" s="133">
        <v>9.906502841920152E-2</v>
      </c>
      <c r="G17" s="133">
        <v>0.13940677106833532</v>
      </c>
      <c r="H17" s="133">
        <v>0.19499400801023303</v>
      </c>
      <c r="I17" s="133">
        <v>0.23588634180166701</v>
      </c>
      <c r="J17" s="133">
        <v>0.31914949151221117</v>
      </c>
      <c r="K17" s="133">
        <v>0.40206394327086087</v>
      </c>
      <c r="L17" s="133">
        <v>0.46640684153333245</v>
      </c>
      <c r="M17" s="133">
        <v>0.51043950857207376</v>
      </c>
      <c r="N17" s="133">
        <v>0.58505891932569876</v>
      </c>
      <c r="O17" s="133">
        <v>0.71973983972999622</v>
      </c>
      <c r="P17" s="133">
        <v>0.91796252085998553</v>
      </c>
      <c r="Q17" s="133">
        <v>1.4191844930548776</v>
      </c>
      <c r="R17" s="133">
        <v>1.6504904457834082</v>
      </c>
      <c r="S17" s="133">
        <v>1.678121984879323</v>
      </c>
      <c r="T17" s="133">
        <v>2.1916050379799392</v>
      </c>
      <c r="U17" s="133">
        <v>2.4673506951947481</v>
      </c>
      <c r="V17" s="133">
        <v>2.9940273293324564</v>
      </c>
      <c r="W17" s="133">
        <v>2.2379549344172545</v>
      </c>
      <c r="DA17" s="157" t="s">
        <v>314</v>
      </c>
    </row>
    <row r="18" spans="1:105" ht="12" customHeight="1" x14ac:dyDescent="0.25">
      <c r="A18" s="132" t="s">
        <v>72</v>
      </c>
      <c r="B18" s="133">
        <v>26.741538127766638</v>
      </c>
      <c r="C18" s="133">
        <v>36.091455538209523</v>
      </c>
      <c r="D18" s="133">
        <v>49.865662994988853</v>
      </c>
      <c r="E18" s="133">
        <v>76.54490297332741</v>
      </c>
      <c r="F18" s="133">
        <v>72.77152575477632</v>
      </c>
      <c r="G18" s="133">
        <v>90.064300845779798</v>
      </c>
      <c r="H18" s="133">
        <v>135.24450943229112</v>
      </c>
      <c r="I18" s="133">
        <v>127.76741059931523</v>
      </c>
      <c r="J18" s="133">
        <v>146.48085457455355</v>
      </c>
      <c r="K18" s="133">
        <v>166.56085849456431</v>
      </c>
      <c r="L18" s="133">
        <v>198.63775347832114</v>
      </c>
      <c r="M18" s="133">
        <v>203.56338336845914</v>
      </c>
      <c r="N18" s="133">
        <v>218.69488821599356</v>
      </c>
      <c r="O18" s="133">
        <v>236.05461608343128</v>
      </c>
      <c r="P18" s="133">
        <v>239.31856780738812</v>
      </c>
      <c r="Q18" s="133">
        <v>278.59122760414334</v>
      </c>
      <c r="R18" s="133">
        <v>281.89788024529673</v>
      </c>
      <c r="S18" s="133">
        <v>272.13000240593868</v>
      </c>
      <c r="T18" s="133">
        <v>314.95214418017355</v>
      </c>
      <c r="U18" s="133">
        <v>308.64599521829052</v>
      </c>
      <c r="V18" s="133">
        <v>336.35655269503525</v>
      </c>
      <c r="W18" s="133">
        <v>282.15493232490138</v>
      </c>
      <c r="DA18" s="157" t="s">
        <v>315</v>
      </c>
    </row>
    <row r="19" spans="1:105" ht="12.95" customHeight="1" x14ac:dyDescent="0.25">
      <c r="A19" s="130" t="s">
        <v>35</v>
      </c>
      <c r="B19" s="131">
        <f t="shared" ref="B19:Q19" si="6">SUM(B20:B27)</f>
        <v>210.82947776444837</v>
      </c>
      <c r="C19" s="131">
        <f t="shared" si="6"/>
        <v>213.38369724228559</v>
      </c>
      <c r="D19" s="131">
        <f t="shared" si="6"/>
        <v>223.71582772816478</v>
      </c>
      <c r="E19" s="131">
        <f t="shared" si="6"/>
        <v>227.55358820427162</v>
      </c>
      <c r="F19" s="131">
        <f t="shared" si="6"/>
        <v>229.96006409388065</v>
      </c>
      <c r="G19" s="131">
        <f t="shared" si="6"/>
        <v>231.15578615860852</v>
      </c>
      <c r="H19" s="131">
        <f t="shared" si="6"/>
        <v>236.40404989956761</v>
      </c>
      <c r="I19" s="131">
        <f t="shared" si="6"/>
        <v>240.48935066862518</v>
      </c>
      <c r="J19" s="131">
        <f t="shared" si="6"/>
        <v>243.68354431256708</v>
      </c>
      <c r="K19" s="131">
        <f t="shared" si="6"/>
        <v>246.81992255536105</v>
      </c>
      <c r="L19" s="131">
        <f t="shared" si="6"/>
        <v>251.37095531438524</v>
      </c>
      <c r="M19" s="131">
        <f t="shared" si="6"/>
        <v>257.55606766074078</v>
      </c>
      <c r="N19" s="131">
        <f t="shared" si="6"/>
        <v>264.31415852289098</v>
      </c>
      <c r="O19" s="131">
        <f t="shared" si="6"/>
        <v>270.59547411962558</v>
      </c>
      <c r="P19" s="131">
        <f t="shared" si="6"/>
        <v>274.64379595471996</v>
      </c>
      <c r="Q19" s="131">
        <f t="shared" si="6"/>
        <v>277.14791017076055</v>
      </c>
      <c r="R19" s="131">
        <f t="shared" ref="R19:W19" si="7">SUM(R20:R27)</f>
        <v>279.25094169061384</v>
      </c>
      <c r="S19" s="131">
        <f t="shared" si="7"/>
        <v>283.38605693015228</v>
      </c>
      <c r="T19" s="131">
        <f t="shared" si="7"/>
        <v>285.6072469562933</v>
      </c>
      <c r="U19" s="131">
        <f t="shared" si="7"/>
        <v>287.83990197709107</v>
      </c>
      <c r="V19" s="131">
        <f t="shared" si="7"/>
        <v>276.87454837280757</v>
      </c>
      <c r="W19" s="131">
        <f t="shared" si="7"/>
        <v>296.74241356504541</v>
      </c>
      <c r="DA19" s="156" t="s">
        <v>316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317</v>
      </c>
    </row>
    <row r="21" spans="1:105" s="2" customFormat="1" ht="12" customHeight="1" x14ac:dyDescent="0.25">
      <c r="A21" s="132" t="s">
        <v>52</v>
      </c>
      <c r="B21" s="133">
        <v>7.1065551582437338</v>
      </c>
      <c r="C21" s="133">
        <v>7.2329155576111361</v>
      </c>
      <c r="D21" s="133">
        <v>7.2023295590112273</v>
      </c>
      <c r="E21" s="133">
        <v>7.0502281031171794</v>
      </c>
      <c r="F21" s="133">
        <v>6.8293886880029024</v>
      </c>
      <c r="G21" s="133">
        <v>3.1634334295195603</v>
      </c>
      <c r="H21" s="133">
        <v>2.949253415387826</v>
      </c>
      <c r="I21" s="133">
        <v>2.4627474232447231</v>
      </c>
      <c r="J21" s="133">
        <v>1.8340190723960348</v>
      </c>
      <c r="K21" s="133">
        <v>1.6560223477918938</v>
      </c>
      <c r="L21" s="133">
        <v>1.4382727504969719</v>
      </c>
      <c r="M21" s="133">
        <v>1.5994241109075451</v>
      </c>
      <c r="N21" s="133">
        <v>1.9479369597560734</v>
      </c>
      <c r="O21" s="133">
        <v>2.1671311803502675</v>
      </c>
      <c r="P21" s="133">
        <v>2.195148118052566</v>
      </c>
      <c r="Q21" s="133">
        <v>2.5022821195474179</v>
      </c>
      <c r="R21" s="133">
        <v>2.6437926778362209</v>
      </c>
      <c r="S21" s="133">
        <v>2.9393203205715857</v>
      </c>
      <c r="T21" s="133">
        <v>3.1339296971630635</v>
      </c>
      <c r="U21" s="133">
        <v>3.1993983076751178</v>
      </c>
      <c r="V21" s="133">
        <v>2.7538083745482886</v>
      </c>
      <c r="W21" s="133">
        <v>3.1344907690517698</v>
      </c>
      <c r="DA21" s="157" t="s">
        <v>318</v>
      </c>
    </row>
    <row r="22" spans="1:105" ht="12" customHeight="1" x14ac:dyDescent="0.25">
      <c r="A22" s="132" t="s">
        <v>168</v>
      </c>
      <c r="B22" s="133">
        <v>61.89597226427145</v>
      </c>
      <c r="C22" s="133">
        <v>61.180250515569917</v>
      </c>
      <c r="D22" s="133">
        <v>60.584795751981204</v>
      </c>
      <c r="E22" s="133">
        <v>60.206919141171845</v>
      </c>
      <c r="F22" s="133">
        <v>59.249767568486078</v>
      </c>
      <c r="G22" s="133">
        <v>58.135994627973808</v>
      </c>
      <c r="H22" s="133">
        <v>57.434822717065302</v>
      </c>
      <c r="I22" s="133">
        <v>56.43966229755376</v>
      </c>
      <c r="J22" s="133">
        <v>53.607059462981461</v>
      </c>
      <c r="K22" s="133">
        <v>53.170705880699096</v>
      </c>
      <c r="L22" s="133">
        <v>52.721436805226368</v>
      </c>
      <c r="M22" s="133">
        <v>53.204766973043817</v>
      </c>
      <c r="N22" s="133">
        <v>53.189374462465672</v>
      </c>
      <c r="O22" s="133">
        <v>53.591943732952238</v>
      </c>
      <c r="P22" s="133">
        <v>53.8344864035667</v>
      </c>
      <c r="Q22" s="133">
        <v>54.192340752308617</v>
      </c>
      <c r="R22" s="133">
        <v>53.0519539814605</v>
      </c>
      <c r="S22" s="133">
        <v>52.617093099097282</v>
      </c>
      <c r="T22" s="133">
        <v>50.925138110985948</v>
      </c>
      <c r="U22" s="133">
        <v>49.309847892340287</v>
      </c>
      <c r="V22" s="133">
        <v>43.865165334641411</v>
      </c>
      <c r="W22" s="133">
        <v>48.558300489627307</v>
      </c>
      <c r="DA22" s="157" t="s">
        <v>319</v>
      </c>
    </row>
    <row r="23" spans="1:105" ht="12" customHeight="1" x14ac:dyDescent="0.25">
      <c r="A23" s="132" t="s">
        <v>153</v>
      </c>
      <c r="B23" s="133">
        <v>104.59273029056408</v>
      </c>
      <c r="C23" s="133">
        <v>107.03977962074927</v>
      </c>
      <c r="D23" s="133">
        <v>109.87867125577313</v>
      </c>
      <c r="E23" s="133">
        <v>112.56943468443288</v>
      </c>
      <c r="F23" s="133">
        <v>115.1459170315985</v>
      </c>
      <c r="G23" s="133">
        <v>117.97287868448612</v>
      </c>
      <c r="H23" s="133">
        <v>120.6407490263402</v>
      </c>
      <c r="I23" s="133">
        <v>124.59860817378603</v>
      </c>
      <c r="J23" s="133">
        <v>127.70190805597991</v>
      </c>
      <c r="K23" s="133">
        <v>129.6247843190211</v>
      </c>
      <c r="L23" s="133">
        <v>133.29163562934176</v>
      </c>
      <c r="M23" s="133">
        <v>138.07414416011233</v>
      </c>
      <c r="N23" s="133">
        <v>143.31744936442695</v>
      </c>
      <c r="O23" s="133">
        <v>146.76460155744357</v>
      </c>
      <c r="P23" s="133">
        <v>149.20389015632924</v>
      </c>
      <c r="Q23" s="133">
        <v>150.03993010303526</v>
      </c>
      <c r="R23" s="133">
        <v>151.40502420190356</v>
      </c>
      <c r="S23" s="133">
        <v>153.86183444522297</v>
      </c>
      <c r="T23" s="133">
        <v>155.5227773297724</v>
      </c>
      <c r="U23" s="133">
        <v>157.50214832490175</v>
      </c>
      <c r="V23" s="133">
        <v>154.4468998724775</v>
      </c>
      <c r="W23" s="133">
        <v>165.98576150808546</v>
      </c>
      <c r="DA23" s="157" t="s">
        <v>320</v>
      </c>
    </row>
    <row r="24" spans="1:105" ht="12" customHeight="1" x14ac:dyDescent="0.25">
      <c r="A24" s="132" t="s">
        <v>128</v>
      </c>
      <c r="B24" s="133">
        <v>0</v>
      </c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321</v>
      </c>
    </row>
    <row r="25" spans="1:105" ht="12" customHeight="1" x14ac:dyDescent="0.25">
      <c r="A25" s="132" t="s">
        <v>169</v>
      </c>
      <c r="B25" s="133">
        <v>5.0793327589308905</v>
      </c>
      <c r="C25" s="133">
        <v>5.0100926131026489</v>
      </c>
      <c r="D25" s="133">
        <v>5.0266306374145033</v>
      </c>
      <c r="E25" s="133">
        <v>4.9888703140454638</v>
      </c>
      <c r="F25" s="133">
        <v>5.0105890655670082</v>
      </c>
      <c r="G25" s="133">
        <v>5.0392096486825206</v>
      </c>
      <c r="H25" s="133">
        <v>5.0288215276718704</v>
      </c>
      <c r="I25" s="133">
        <v>4.9376881736441014</v>
      </c>
      <c r="J25" s="133">
        <v>4.9155789691408671</v>
      </c>
      <c r="K25" s="133">
        <v>4.9216221270785514</v>
      </c>
      <c r="L25" s="133">
        <v>4.9127499869753697</v>
      </c>
      <c r="M25" s="133">
        <v>4.8932764141454452</v>
      </c>
      <c r="N25" s="133">
        <v>4.9492729404955877</v>
      </c>
      <c r="O25" s="133">
        <v>5.0793659162754849</v>
      </c>
      <c r="P25" s="133">
        <v>5.4295328931638487</v>
      </c>
      <c r="Q25" s="133">
        <v>5.8004352951343519</v>
      </c>
      <c r="R25" s="133">
        <v>5.989867529447225</v>
      </c>
      <c r="S25" s="133">
        <v>6.0476810351699726</v>
      </c>
      <c r="T25" s="133">
        <v>6.058974739481803</v>
      </c>
      <c r="U25" s="133">
        <v>6.0554857245692357</v>
      </c>
      <c r="V25" s="133">
        <v>5.8317451084451637</v>
      </c>
      <c r="W25" s="133">
        <v>6.018166477578192</v>
      </c>
      <c r="DA25" s="157" t="s">
        <v>322</v>
      </c>
    </row>
    <row r="26" spans="1:105" ht="12" customHeight="1" x14ac:dyDescent="0.25">
      <c r="A26" s="132" t="s">
        <v>24</v>
      </c>
      <c r="B26" s="65">
        <v>31.605532176359112</v>
      </c>
      <c r="C26" s="65">
        <v>32.75350502295683</v>
      </c>
      <c r="D26" s="65">
        <v>40.832342914354463</v>
      </c>
      <c r="E26" s="65">
        <v>42.451549547058832</v>
      </c>
      <c r="F26" s="65">
        <v>43.413911628446272</v>
      </c>
      <c r="G26" s="65">
        <v>46.533779656166637</v>
      </c>
      <c r="H26" s="65">
        <v>49.968287993841869</v>
      </c>
      <c r="I26" s="65">
        <v>51.501289484317439</v>
      </c>
      <c r="J26" s="65">
        <v>54.884566026359437</v>
      </c>
      <c r="K26" s="65">
        <v>55.918155034682684</v>
      </c>
      <c r="L26" s="65">
        <v>58.213910873213209</v>
      </c>
      <c r="M26" s="65">
        <v>58.934155056701904</v>
      </c>
      <c r="N26" s="65">
        <v>60.06223141655493</v>
      </c>
      <c r="O26" s="65">
        <v>62.092001809990094</v>
      </c>
      <c r="P26" s="65">
        <v>62.970420240873295</v>
      </c>
      <c r="Q26" s="65">
        <v>63.519026801852647</v>
      </c>
      <c r="R26" s="65">
        <v>64.808454632726452</v>
      </c>
      <c r="S26" s="65">
        <v>66.532423816848862</v>
      </c>
      <c r="T26" s="65">
        <v>68.418705668743968</v>
      </c>
      <c r="U26" s="65">
        <v>70.270700145489485</v>
      </c>
      <c r="V26" s="65">
        <v>68.386216011156108</v>
      </c>
      <c r="W26" s="65">
        <v>71.588772566618402</v>
      </c>
      <c r="DA26" s="109" t="s">
        <v>323</v>
      </c>
    </row>
    <row r="27" spans="1:105" ht="12" customHeight="1" x14ac:dyDescent="0.25">
      <c r="A27" s="145" t="s">
        <v>26</v>
      </c>
      <c r="B27" s="146">
        <v>0.5493551160791057</v>
      </c>
      <c r="C27" s="146">
        <v>0.16715391229578669</v>
      </c>
      <c r="D27" s="146">
        <v>0.19105760963026661</v>
      </c>
      <c r="E27" s="146">
        <v>0.28658641444539978</v>
      </c>
      <c r="F27" s="146">
        <v>0.31049011177987967</v>
      </c>
      <c r="G27" s="146">
        <v>0.31049011177987978</v>
      </c>
      <c r="H27" s="146">
        <v>0.38211521926053321</v>
      </c>
      <c r="I27" s="146">
        <v>0.54935511607910559</v>
      </c>
      <c r="J27" s="146">
        <v>0.74041272570937244</v>
      </c>
      <c r="K27" s="146">
        <v>1.5286328460877046</v>
      </c>
      <c r="L27" s="146">
        <v>0.79294926913155606</v>
      </c>
      <c r="M27" s="146">
        <v>0.85030094582975058</v>
      </c>
      <c r="N27" s="146">
        <v>0.84789337919174579</v>
      </c>
      <c r="O27" s="146">
        <v>0.90042992261392985</v>
      </c>
      <c r="P27" s="146">
        <v>1.0103181427343078</v>
      </c>
      <c r="Q27" s="146">
        <v>1.0938950988822003</v>
      </c>
      <c r="R27" s="146">
        <v>1.3518486672398973</v>
      </c>
      <c r="S27" s="146">
        <v>1.387704213241616</v>
      </c>
      <c r="T27" s="146">
        <v>1.5477214101461729</v>
      </c>
      <c r="U27" s="146">
        <v>1.5023215821152185</v>
      </c>
      <c r="V27" s="146">
        <v>1.5907136715391226</v>
      </c>
      <c r="W27" s="146">
        <v>1.4569217540842656</v>
      </c>
      <c r="DA27" s="159" t="s">
        <v>324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166.82711277912423</v>
      </c>
      <c r="C29" s="131">
        <f t="shared" si="8"/>
        <v>172.67150651893553</v>
      </c>
      <c r="D29" s="131">
        <f t="shared" si="8"/>
        <v>180.93107366241634</v>
      </c>
      <c r="E29" s="131">
        <f t="shared" si="8"/>
        <v>179.37326349765812</v>
      </c>
      <c r="F29" s="131">
        <f t="shared" si="8"/>
        <v>187.89622018275929</v>
      </c>
      <c r="G29" s="131">
        <f t="shared" si="8"/>
        <v>193.37599867422006</v>
      </c>
      <c r="H29" s="131">
        <f t="shared" si="8"/>
        <v>196.81455986372475</v>
      </c>
      <c r="I29" s="131">
        <f t="shared" si="8"/>
        <v>205.47208364199292</v>
      </c>
      <c r="J29" s="131">
        <f t="shared" si="8"/>
        <v>210.32835267620698</v>
      </c>
      <c r="K29" s="131">
        <f t="shared" si="8"/>
        <v>213.28686188972577</v>
      </c>
      <c r="L29" s="131">
        <f t="shared" si="8"/>
        <v>217.91179186906118</v>
      </c>
      <c r="M29" s="131">
        <f t="shared" si="8"/>
        <v>219.76296510071353</v>
      </c>
      <c r="N29" s="131">
        <f t="shared" si="8"/>
        <v>225.77382430899254</v>
      </c>
      <c r="O29" s="131">
        <f t="shared" si="8"/>
        <v>228.87346828591586</v>
      </c>
      <c r="P29" s="131">
        <f t="shared" si="8"/>
        <v>230.49719817672235</v>
      </c>
      <c r="Q29" s="131">
        <f t="shared" si="8"/>
        <v>234.98007894788557</v>
      </c>
      <c r="R29" s="131">
        <f t="shared" ref="R29:W29" si="9">SUM(R30:R33)</f>
        <v>234.78069157339971</v>
      </c>
      <c r="S29" s="131">
        <f t="shared" si="9"/>
        <v>236.11050095705824</v>
      </c>
      <c r="T29" s="131">
        <f t="shared" si="9"/>
        <v>237.486952863044</v>
      </c>
      <c r="U29" s="131">
        <f t="shared" si="9"/>
        <v>239.19503492633169</v>
      </c>
      <c r="V29" s="131">
        <f t="shared" si="9"/>
        <v>231.06115363682443</v>
      </c>
      <c r="W29" s="131">
        <f t="shared" si="9"/>
        <v>244.58942256839734</v>
      </c>
      <c r="DA29" s="156" t="s">
        <v>325</v>
      </c>
    </row>
    <row r="30" spans="1:105" ht="12" customHeight="1" x14ac:dyDescent="0.25">
      <c r="A30" s="132" t="s">
        <v>52</v>
      </c>
      <c r="B30" s="133">
        <v>40.301180666374236</v>
      </c>
      <c r="C30" s="133">
        <v>39.506848346214305</v>
      </c>
      <c r="D30" s="133">
        <v>29.846909969864083</v>
      </c>
      <c r="E30" s="133">
        <v>22.383546687383472</v>
      </c>
      <c r="F30" s="133">
        <v>23.314779453743114</v>
      </c>
      <c r="G30" s="133">
        <v>4.9860322840860167</v>
      </c>
      <c r="H30" s="133">
        <v>4.5183792266277676</v>
      </c>
      <c r="I30" s="133">
        <v>4.3381688969499024</v>
      </c>
      <c r="J30" s="133">
        <v>5.7031229938695152</v>
      </c>
      <c r="K30" s="133">
        <v>5.9211368936340625</v>
      </c>
      <c r="L30" s="133">
        <v>7.5914914615977036</v>
      </c>
      <c r="M30" s="133">
        <v>5.3449367468538611</v>
      </c>
      <c r="N30" s="133">
        <v>5.7725357782415001</v>
      </c>
      <c r="O30" s="133">
        <v>6.3498275524101802</v>
      </c>
      <c r="P30" s="133">
        <v>4.9310100051598234</v>
      </c>
      <c r="Q30" s="133">
        <v>8.8754788533112094</v>
      </c>
      <c r="R30" s="133">
        <v>6.6763161600257881</v>
      </c>
      <c r="S30" s="133">
        <v>7.9533227133718709</v>
      </c>
      <c r="T30" s="133">
        <v>7.7620218868853899</v>
      </c>
      <c r="U30" s="133">
        <v>8.4372231993575042</v>
      </c>
      <c r="V30" s="133">
        <v>10.252416476355151</v>
      </c>
      <c r="W30" s="133">
        <v>11.038760371111943</v>
      </c>
      <c r="DA30" s="157" t="s">
        <v>326</v>
      </c>
    </row>
    <row r="31" spans="1:105" ht="12" customHeight="1" x14ac:dyDescent="0.25">
      <c r="A31" s="132" t="s">
        <v>153</v>
      </c>
      <c r="B31" s="133">
        <v>94.01619824076451</v>
      </c>
      <c r="C31" s="133">
        <v>95.061084084608481</v>
      </c>
      <c r="D31" s="133">
        <v>95.664637339278343</v>
      </c>
      <c r="E31" s="133">
        <v>95.702088440642441</v>
      </c>
      <c r="F31" s="133">
        <v>96.633083462968585</v>
      </c>
      <c r="G31" s="133">
        <v>97.285353975433281</v>
      </c>
      <c r="H31" s="133">
        <v>97.454939319852116</v>
      </c>
      <c r="I31" s="133">
        <v>98.11046923795503</v>
      </c>
      <c r="J31" s="133">
        <v>99.442951901897217</v>
      </c>
      <c r="K31" s="133">
        <v>99.699570432583258</v>
      </c>
      <c r="L31" s="133">
        <v>100.59180820378144</v>
      </c>
      <c r="M31" s="133">
        <v>102.19999340290184</v>
      </c>
      <c r="N31" s="133">
        <v>104.89291814463316</v>
      </c>
      <c r="O31" s="133">
        <v>105.96634639561526</v>
      </c>
      <c r="P31" s="133">
        <v>107.44284634590171</v>
      </c>
      <c r="Q31" s="133">
        <v>107.88925183661807</v>
      </c>
      <c r="R31" s="133">
        <v>108.36129356022316</v>
      </c>
      <c r="S31" s="133">
        <v>108.46456158197802</v>
      </c>
      <c r="T31" s="133">
        <v>108.85392751339961</v>
      </c>
      <c r="U31" s="133">
        <v>109.53381594786775</v>
      </c>
      <c r="V31" s="133">
        <v>104.90463363742404</v>
      </c>
      <c r="W31" s="133">
        <v>111.78769228764641</v>
      </c>
      <c r="DA31" s="157" t="s">
        <v>327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0.32851365602513477</v>
      </c>
      <c r="K32" s="133">
        <v>0.28643952362921493</v>
      </c>
      <c r="L32" s="133">
        <v>0.69529607523332393</v>
      </c>
      <c r="M32" s="133">
        <v>0.72267286804787734</v>
      </c>
      <c r="N32" s="133">
        <v>0.39449932999600318</v>
      </c>
      <c r="O32" s="133">
        <v>0.78527444278812275</v>
      </c>
      <c r="P32" s="133">
        <v>0.96871831393914964</v>
      </c>
      <c r="Q32" s="133">
        <v>1.1673166370422881</v>
      </c>
      <c r="R32" s="133">
        <v>1.1898816747053826</v>
      </c>
      <c r="S32" s="133">
        <v>1.1820456406444537</v>
      </c>
      <c r="T32" s="133">
        <v>1.1631464587954388</v>
      </c>
      <c r="U32" s="133">
        <v>1.3242190219509749</v>
      </c>
      <c r="V32" s="133">
        <v>0.28987400424219095</v>
      </c>
      <c r="W32" s="133">
        <v>0.34812479612999364</v>
      </c>
      <c r="DA32" s="157" t="s">
        <v>328</v>
      </c>
    </row>
    <row r="33" spans="1:105" ht="12" customHeight="1" x14ac:dyDescent="0.25">
      <c r="A33" s="62" t="s">
        <v>24</v>
      </c>
      <c r="B33" s="68">
        <v>32.509733871985496</v>
      </c>
      <c r="C33" s="68">
        <v>38.103574088112751</v>
      </c>
      <c r="D33" s="68">
        <v>55.419526353273916</v>
      </c>
      <c r="E33" s="68">
        <v>61.287628369632209</v>
      </c>
      <c r="F33" s="68">
        <v>67.94835726604758</v>
      </c>
      <c r="G33" s="68">
        <v>91.104612414700739</v>
      </c>
      <c r="H33" s="68">
        <v>94.841241317244879</v>
      </c>
      <c r="I33" s="68">
        <v>103.02344550708797</v>
      </c>
      <c r="J33" s="68">
        <v>104.85376412441512</v>
      </c>
      <c r="K33" s="68">
        <v>107.37971503987924</v>
      </c>
      <c r="L33" s="68">
        <v>109.03319612844872</v>
      </c>
      <c r="M33" s="68">
        <v>111.49536208290996</v>
      </c>
      <c r="N33" s="68">
        <v>114.71387105612187</v>
      </c>
      <c r="O33" s="68">
        <v>115.77201989510232</v>
      </c>
      <c r="P33" s="68">
        <v>117.15462351172168</v>
      </c>
      <c r="Q33" s="68">
        <v>117.048031620914</v>
      </c>
      <c r="R33" s="68">
        <v>118.55320017844538</v>
      </c>
      <c r="S33" s="68">
        <v>118.51057102106388</v>
      </c>
      <c r="T33" s="68">
        <v>119.70785700396357</v>
      </c>
      <c r="U33" s="68">
        <v>119.89977675715546</v>
      </c>
      <c r="V33" s="68">
        <v>115.61422951880303</v>
      </c>
      <c r="W33" s="68">
        <v>121.41484511350899</v>
      </c>
      <c r="DA33" s="111" t="s">
        <v>329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330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83</v>
      </c>
      <c r="B3" s="127">
        <f>IF(SER_hh_tes!B3=0,"",SER_hh_tes!B3/SER_hh_fec!B3)</f>
        <v>0.58175435847436563</v>
      </c>
      <c r="C3" s="127">
        <f>IF(SER_hh_tes!C3=0,"",SER_hh_tes!C3/SER_hh_fec!C3)</f>
        <v>0.58855210753909815</v>
      </c>
      <c r="D3" s="127">
        <f>IF(SER_hh_tes!D3=0,"",SER_hh_tes!D3/SER_hh_fec!D3)</f>
        <v>0.58697305716501724</v>
      </c>
      <c r="E3" s="127">
        <f>IF(SER_hh_tes!E3=0,"",SER_hh_tes!E3/SER_hh_fec!E3)</f>
        <v>0.59341974439530465</v>
      </c>
      <c r="F3" s="127">
        <f>IF(SER_hh_tes!F3=0,"",SER_hh_tes!F3/SER_hh_fec!F3)</f>
        <v>0.62797901976614301</v>
      </c>
      <c r="G3" s="127">
        <f>IF(SER_hh_tes!G3=0,"",SER_hh_tes!G3/SER_hh_fec!G3)</f>
        <v>0.63758483692291912</v>
      </c>
      <c r="H3" s="127">
        <f>IF(SER_hh_tes!H3=0,"",SER_hh_tes!H3/SER_hh_fec!H3)</f>
        <v>0.65775907171071168</v>
      </c>
      <c r="I3" s="127">
        <f>IF(SER_hh_tes!I3=0,"",SER_hh_tes!I3/SER_hh_fec!I3)</f>
        <v>0.67282723274616374</v>
      </c>
      <c r="J3" s="127">
        <f>IF(SER_hh_tes!J3=0,"",SER_hh_tes!J3/SER_hh_fec!J3)</f>
        <v>0.67539090230773635</v>
      </c>
      <c r="K3" s="127">
        <f>IF(SER_hh_tes!K3=0,"",SER_hh_tes!K3/SER_hh_fec!K3)</f>
        <v>0.69615205179434847</v>
      </c>
      <c r="L3" s="127">
        <f>IF(SER_hh_tes!L3=0,"",SER_hh_tes!L3/SER_hh_fec!L3)</f>
        <v>0.70765009448390526</v>
      </c>
      <c r="M3" s="127">
        <f>IF(SER_hh_tes!M3=0,"",SER_hh_tes!M3/SER_hh_fec!M3)</f>
        <v>0.72972172589731854</v>
      </c>
      <c r="N3" s="127">
        <f>IF(SER_hh_tes!N3=0,"",SER_hh_tes!N3/SER_hh_fec!N3)</f>
        <v>0.74397152632266916</v>
      </c>
      <c r="O3" s="127">
        <f>IF(SER_hh_tes!O3=0,"",SER_hh_tes!O3/SER_hh_fec!O3)</f>
        <v>0.7553745717345518</v>
      </c>
      <c r="P3" s="127">
        <f>IF(SER_hh_tes!P3=0,"",SER_hh_tes!P3/SER_hh_fec!P3)</f>
        <v>0.77360656499928104</v>
      </c>
      <c r="Q3" s="127">
        <f>IF(SER_hh_tes!Q3=0,"",SER_hh_tes!Q3/SER_hh_fec!Q3)</f>
        <v>0.78065188947761766</v>
      </c>
      <c r="R3" s="127">
        <f>IF(SER_hh_tes!R3=0,"",SER_hh_tes!R3/SER_hh_fec!R3)</f>
        <v>0.79195732679006114</v>
      </c>
      <c r="S3" s="127">
        <f>IF(SER_hh_tes!S3=0,"",SER_hh_tes!S3/SER_hh_fec!S3)</f>
        <v>0.80087997666609168</v>
      </c>
      <c r="T3" s="127">
        <f>IF(SER_hh_tes!T3=0,"",SER_hh_tes!T3/SER_hh_fec!T3)</f>
        <v>0.82487472612518198</v>
      </c>
      <c r="U3" s="127">
        <f>IF(SER_hh_tes!U3=0,"",SER_hh_tes!U3/SER_hh_fec!U3)</f>
        <v>0.83754921379305169</v>
      </c>
      <c r="V3" s="127">
        <f>IF(SER_hh_tes!V3=0,"",SER_hh_tes!V3/SER_hh_fec!V3)</f>
        <v>0.85853759573023103</v>
      </c>
      <c r="W3" s="127">
        <f>IF(SER_hh_tes!W3=0,"",SER_hh_tes!W3/SER_hh_fec!W3)</f>
        <v>0.85985945652085738</v>
      </c>
      <c r="DA3" s="162" t="s">
        <v>238</v>
      </c>
    </row>
    <row r="4" spans="1:105" ht="12.95" customHeight="1" x14ac:dyDescent="0.25">
      <c r="A4" s="130" t="s">
        <v>32</v>
      </c>
      <c r="B4" s="136">
        <f>IF(SER_hh_tes!B4=0,"",SER_hh_tes!B4/SER_hh_fec!B4)</f>
        <v>0.56191471927600312</v>
      </c>
      <c r="C4" s="136">
        <f>IF(SER_hh_tes!C4=0,"",SER_hh_tes!C4/SER_hh_fec!C4)</f>
        <v>0.5670358133391854</v>
      </c>
      <c r="D4" s="136">
        <f>IF(SER_hh_tes!D4=0,"",SER_hh_tes!D4/SER_hh_fec!D4)</f>
        <v>0.55759406566586101</v>
      </c>
      <c r="E4" s="136">
        <f>IF(SER_hh_tes!E4=0,"",SER_hh_tes!E4/SER_hh_fec!E4)</f>
        <v>0.55814901325232669</v>
      </c>
      <c r="F4" s="136">
        <f>IF(SER_hh_tes!F4=0,"",SER_hh_tes!F4/SER_hh_fec!F4)</f>
        <v>0.60576578141151938</v>
      </c>
      <c r="G4" s="136">
        <f>IF(SER_hh_tes!G4=0,"",SER_hh_tes!G4/SER_hh_fec!G4)</f>
        <v>0.60984141846648476</v>
      </c>
      <c r="H4" s="136">
        <f>IF(SER_hh_tes!H4=0,"",SER_hh_tes!H4/SER_hh_fec!H4)</f>
        <v>0.61907769258766454</v>
      </c>
      <c r="I4" s="136">
        <f>IF(SER_hh_tes!I4=0,"",SER_hh_tes!I4/SER_hh_fec!I4)</f>
        <v>0.63458289996763917</v>
      </c>
      <c r="J4" s="136">
        <f>IF(SER_hh_tes!J4=0,"",SER_hh_tes!J4/SER_hh_fec!J4)</f>
        <v>0.63642892160089282</v>
      </c>
      <c r="K4" s="136">
        <f>IF(SER_hh_tes!K4=0,"",SER_hh_tes!K4/SER_hh_fec!K4)</f>
        <v>0.65385642837978919</v>
      </c>
      <c r="L4" s="136">
        <f>IF(SER_hh_tes!L4=0,"",SER_hh_tes!L4/SER_hh_fec!L4)</f>
        <v>0.66190809103934489</v>
      </c>
      <c r="M4" s="136">
        <f>IF(SER_hh_tes!M4=0,"",SER_hh_tes!M4/SER_hh_fec!M4)</f>
        <v>0.67562324281037078</v>
      </c>
      <c r="N4" s="136">
        <f>IF(SER_hh_tes!N4=0,"",SER_hh_tes!N4/SER_hh_fec!N4)</f>
        <v>0.69109630960804447</v>
      </c>
      <c r="O4" s="136">
        <f>IF(SER_hh_tes!O4=0,"",SER_hh_tes!O4/SER_hh_fec!O4)</f>
        <v>0.70322920443900849</v>
      </c>
      <c r="P4" s="136">
        <f>IF(SER_hh_tes!P4=0,"",SER_hh_tes!P4/SER_hh_fec!P4)</f>
        <v>0.70900898986707261</v>
      </c>
      <c r="Q4" s="136">
        <f>IF(SER_hh_tes!Q4=0,"",SER_hh_tes!Q4/SER_hh_fec!Q4)</f>
        <v>0.71290279749231766</v>
      </c>
      <c r="R4" s="136">
        <f>IF(SER_hh_tes!R4=0,"",SER_hh_tes!R4/SER_hh_fec!R4)</f>
        <v>0.72390557573177383</v>
      </c>
      <c r="S4" s="136">
        <f>IF(SER_hh_tes!S4=0,"",SER_hh_tes!S4/SER_hh_fec!S4)</f>
        <v>0.73495881308147726</v>
      </c>
      <c r="T4" s="136">
        <f>IF(SER_hh_tes!T4=0,"",SER_hh_tes!T4/SER_hh_fec!T4)</f>
        <v>0.74976204248915312</v>
      </c>
      <c r="U4" s="136">
        <f>IF(SER_hh_tes!U4=0,"",SER_hh_tes!U4/SER_hh_fec!U4)</f>
        <v>0.76454947070464041</v>
      </c>
      <c r="V4" s="136">
        <f>IF(SER_hh_tes!V4=0,"",SER_hh_tes!V4/SER_hh_fec!V4)</f>
        <v>0.77527889518918358</v>
      </c>
      <c r="W4" s="136">
        <f>IF(SER_hh_tes!W4=0,"",SER_hh_tes!W4/SER_hh_fec!W4)</f>
        <v>0.79611467234856337</v>
      </c>
      <c r="DA4" s="163" t="s">
        <v>239</v>
      </c>
    </row>
    <row r="5" spans="1:105" ht="12" customHeight="1" x14ac:dyDescent="0.25">
      <c r="A5" s="132" t="s">
        <v>29</v>
      </c>
      <c r="B5" s="137" t="str">
        <f>IF(SER_hh_tes!B5=0,"",SER_hh_tes!B5/SER_hh_fec!B5)</f>
        <v/>
      </c>
      <c r="C5" s="137" t="str">
        <f>IF(SER_hh_tes!C5=0,"",SER_hh_tes!C5/SER_hh_fec!C5)</f>
        <v/>
      </c>
      <c r="D5" s="137" t="str">
        <f>IF(SER_hh_tes!D5=0,"",SER_hh_tes!D5/SER_hh_fec!D5)</f>
        <v/>
      </c>
      <c r="E5" s="137" t="str">
        <f>IF(SER_hh_tes!E5=0,"",SER_hh_tes!E5/SER_hh_fec!E5)</f>
        <v/>
      </c>
      <c r="F5" s="137" t="str">
        <f>IF(SER_hh_tes!F5=0,"",SER_hh_tes!F5/SER_hh_fec!F5)</f>
        <v/>
      </c>
      <c r="G5" s="137" t="str">
        <f>IF(SER_hh_tes!G5=0,"",SER_hh_tes!G5/SER_hh_fec!G5)</f>
        <v/>
      </c>
      <c r="H5" s="137" t="str">
        <f>IF(SER_hh_tes!H5=0,"",SER_hh_tes!H5/SER_hh_fec!H5)</f>
        <v/>
      </c>
      <c r="I5" s="137" t="str">
        <f>IF(SER_hh_tes!I5=0,"",SER_hh_tes!I5/SER_hh_fec!I5)</f>
        <v/>
      </c>
      <c r="J5" s="137" t="str">
        <f>IF(SER_hh_tes!J5=0,"",SER_hh_tes!J5/SER_hh_fec!J5)</f>
        <v/>
      </c>
      <c r="K5" s="137" t="str">
        <f>IF(SER_hh_tes!K5=0,"",SER_hh_tes!K5/SER_hh_fec!K5)</f>
        <v/>
      </c>
      <c r="L5" s="137" t="str">
        <f>IF(SER_hh_tes!L5=0,"",SER_hh_tes!L5/SER_hh_fec!L5)</f>
        <v/>
      </c>
      <c r="M5" s="137" t="str">
        <f>IF(SER_hh_tes!M5=0,"",SER_hh_tes!M5/SER_hh_fec!M5)</f>
        <v/>
      </c>
      <c r="N5" s="137" t="str">
        <f>IF(SER_hh_tes!N5=0,"",SER_hh_tes!N5/SER_hh_fec!N5)</f>
        <v/>
      </c>
      <c r="O5" s="137" t="str">
        <f>IF(SER_hh_tes!O5=0,"",SER_hh_tes!O5/SER_hh_fec!O5)</f>
        <v/>
      </c>
      <c r="P5" s="137" t="str">
        <f>IF(SER_hh_tes!P5=0,"",SER_hh_tes!P5/SER_hh_fec!P5)</f>
        <v/>
      </c>
      <c r="Q5" s="137" t="str">
        <f>IF(SER_hh_tes!Q5=0,"",SER_hh_tes!Q5/SER_hh_fec!Q5)</f>
        <v/>
      </c>
      <c r="R5" s="137" t="str">
        <f>IF(SER_hh_tes!R5=0,"",SER_hh_tes!R5/SER_hh_fec!R5)</f>
        <v/>
      </c>
      <c r="S5" s="137" t="str">
        <f>IF(SER_hh_tes!S5=0,"",SER_hh_tes!S5/SER_hh_fec!S5)</f>
        <v/>
      </c>
      <c r="T5" s="137" t="str">
        <f>IF(SER_hh_tes!T5=0,"",SER_hh_tes!T5/SER_hh_fec!T5)</f>
        <v/>
      </c>
      <c r="U5" s="137" t="str">
        <f>IF(SER_hh_tes!U5=0,"",SER_hh_tes!U5/SER_hh_fec!U5)</f>
        <v/>
      </c>
      <c r="V5" s="137" t="str">
        <f>IF(SER_hh_tes!V5=0,"",SER_hh_tes!V5/SER_hh_fec!V5)</f>
        <v/>
      </c>
      <c r="W5" s="137" t="str">
        <f>IF(SER_hh_tes!W5=0,"",SER_hh_tes!W5/SER_hh_fec!W5)</f>
        <v/>
      </c>
      <c r="DA5" s="164" t="s">
        <v>331</v>
      </c>
    </row>
    <row r="6" spans="1:105" ht="12" customHeight="1" x14ac:dyDescent="0.25">
      <c r="A6" s="132" t="s">
        <v>52</v>
      </c>
      <c r="B6" s="137" t="str">
        <f>IF(SER_hh_tes!B6=0,"",SER_hh_tes!B6/SER_hh_fec!B6)</f>
        <v/>
      </c>
      <c r="C6" s="137" t="str">
        <f>IF(SER_hh_tes!C6=0,"",SER_hh_tes!C6/SER_hh_fec!C6)</f>
        <v/>
      </c>
      <c r="D6" s="137" t="str">
        <f>IF(SER_hh_tes!D6=0,"",SER_hh_tes!D6/SER_hh_fec!D6)</f>
        <v/>
      </c>
      <c r="E6" s="137" t="str">
        <f>IF(SER_hh_tes!E6=0,"",SER_hh_tes!E6/SER_hh_fec!E6)</f>
        <v/>
      </c>
      <c r="F6" s="137" t="str">
        <f>IF(SER_hh_tes!F6=0,"",SER_hh_tes!F6/SER_hh_fec!F6)</f>
        <v/>
      </c>
      <c r="G6" s="137" t="str">
        <f>IF(SER_hh_tes!G6=0,"",SER_hh_tes!G6/SER_hh_fec!G6)</f>
        <v/>
      </c>
      <c r="H6" s="137" t="str">
        <f>IF(SER_hh_tes!H6=0,"",SER_hh_tes!H6/SER_hh_fec!H6)</f>
        <v/>
      </c>
      <c r="I6" s="137" t="str">
        <f>IF(SER_hh_tes!I6=0,"",SER_hh_tes!I6/SER_hh_fec!I6)</f>
        <v/>
      </c>
      <c r="J6" s="137" t="str">
        <f>IF(SER_hh_tes!J6=0,"",SER_hh_tes!J6/SER_hh_fec!J6)</f>
        <v/>
      </c>
      <c r="K6" s="137" t="str">
        <f>IF(SER_hh_tes!K6=0,"",SER_hh_tes!K6/SER_hh_fec!K6)</f>
        <v/>
      </c>
      <c r="L6" s="137" t="str">
        <f>IF(SER_hh_tes!L6=0,"",SER_hh_tes!L6/SER_hh_fec!L6)</f>
        <v/>
      </c>
      <c r="M6" s="137" t="str">
        <f>IF(SER_hh_tes!M6=0,"",SER_hh_tes!M6/SER_hh_fec!M6)</f>
        <v/>
      </c>
      <c r="N6" s="137" t="str">
        <f>IF(SER_hh_tes!N6=0,"",SER_hh_tes!N6/SER_hh_fec!N6)</f>
        <v/>
      </c>
      <c r="O6" s="137" t="str">
        <f>IF(SER_hh_tes!O6=0,"",SER_hh_tes!O6/SER_hh_fec!O6)</f>
        <v/>
      </c>
      <c r="P6" s="137" t="str">
        <f>IF(SER_hh_tes!P6=0,"",SER_hh_tes!P6/SER_hh_fec!P6)</f>
        <v/>
      </c>
      <c r="Q6" s="137" t="str">
        <f>IF(SER_hh_tes!Q6=0,"",SER_hh_tes!Q6/SER_hh_fec!Q6)</f>
        <v/>
      </c>
      <c r="R6" s="137" t="str">
        <f>IF(SER_hh_tes!R6=0,"",SER_hh_tes!R6/SER_hh_fec!R6)</f>
        <v/>
      </c>
      <c r="S6" s="137" t="str">
        <f>IF(SER_hh_tes!S6=0,"",SER_hh_tes!S6/SER_hh_fec!S6)</f>
        <v/>
      </c>
      <c r="T6" s="137" t="str">
        <f>IF(SER_hh_tes!T6=0,"",SER_hh_tes!T6/SER_hh_fec!T6)</f>
        <v/>
      </c>
      <c r="U6" s="137" t="str">
        <f>IF(SER_hh_tes!U6=0,"",SER_hh_tes!U6/SER_hh_fec!U6)</f>
        <v/>
      </c>
      <c r="V6" s="137" t="str">
        <f>IF(SER_hh_tes!V6=0,"",SER_hh_tes!V6/SER_hh_fec!V6)</f>
        <v/>
      </c>
      <c r="W6" s="137" t="str">
        <f>IF(SER_hh_tes!W6=0,"",SER_hh_tes!W6/SER_hh_fec!W6)</f>
        <v/>
      </c>
      <c r="DA6" s="164" t="s">
        <v>332</v>
      </c>
    </row>
    <row r="7" spans="1:105" ht="12" customHeight="1" x14ac:dyDescent="0.25">
      <c r="A7" s="132" t="s">
        <v>168</v>
      </c>
      <c r="B7" s="137">
        <f>IF(SER_hh_tes!B7=0,"",SER_hh_tes!B7/SER_hh_fec!B7)</f>
        <v>0.49690435250323139</v>
      </c>
      <c r="C7" s="137">
        <f>IF(SER_hh_tes!C7=0,"",SER_hh_tes!C7/SER_hh_fec!C7)</f>
        <v>0.50770989282036283</v>
      </c>
      <c r="D7" s="137">
        <f>IF(SER_hh_tes!D7=0,"",SER_hh_tes!D7/SER_hh_fec!D7)</f>
        <v>0.51681625512762297</v>
      </c>
      <c r="E7" s="137">
        <f>IF(SER_hh_tes!E7=0,"",SER_hh_tes!E7/SER_hh_fec!E7)</f>
        <v>0.52324449207344115</v>
      </c>
      <c r="F7" s="137">
        <f>IF(SER_hh_tes!F7=0,"",SER_hh_tes!F7/SER_hh_fec!F7)</f>
        <v>0.52920650576923101</v>
      </c>
      <c r="G7" s="137">
        <f>IF(SER_hh_tes!G7=0,"",SER_hh_tes!G7/SER_hh_fec!G7)</f>
        <v>0.5339398328089523</v>
      </c>
      <c r="H7" s="137">
        <f>IF(SER_hh_tes!H7=0,"",SER_hh_tes!H7/SER_hh_fec!H7)</f>
        <v>0.53833246525203482</v>
      </c>
      <c r="I7" s="137">
        <f>IF(SER_hh_tes!I7=0,"",SER_hh_tes!I7/SER_hh_fec!I7)</f>
        <v>0.5427720317940905</v>
      </c>
      <c r="J7" s="137">
        <f>IF(SER_hh_tes!J7=0,"",SER_hh_tes!J7/SER_hh_fec!J7)</f>
        <v>0.5498774968942286</v>
      </c>
      <c r="K7" s="137">
        <f>IF(SER_hh_tes!K7=0,"",SER_hh_tes!K7/SER_hh_fec!K7)</f>
        <v>0.55597752670855305</v>
      </c>
      <c r="L7" s="137">
        <f>IF(SER_hh_tes!L7=0,"",SER_hh_tes!L7/SER_hh_fec!L7)</f>
        <v>0.56629421984312156</v>
      </c>
      <c r="M7" s="137">
        <f>IF(SER_hh_tes!M7=0,"",SER_hh_tes!M7/SER_hh_fec!M7)</f>
        <v>0.57856235141755408</v>
      </c>
      <c r="N7" s="137">
        <f>IF(SER_hh_tes!N7=0,"",SER_hh_tes!N7/SER_hh_fec!N7)</f>
        <v>0.59332773477921141</v>
      </c>
      <c r="O7" s="137">
        <f>IF(SER_hh_tes!O7=0,"",SER_hh_tes!O7/SER_hh_fec!O7)</f>
        <v>0.61032384475455581</v>
      </c>
      <c r="P7" s="137">
        <f>IF(SER_hh_tes!P7=0,"",SER_hh_tes!P7/SER_hh_fec!P7)</f>
        <v>0.61787568936298343</v>
      </c>
      <c r="Q7" s="137">
        <f>IF(SER_hh_tes!Q7=0,"",SER_hh_tes!Q7/SER_hh_fec!Q7)</f>
        <v>0.62947031599341086</v>
      </c>
      <c r="R7" s="137">
        <f>IF(SER_hh_tes!R7=0,"",SER_hh_tes!R7/SER_hh_fec!R7)</f>
        <v>0.64085355177621384</v>
      </c>
      <c r="S7" s="137">
        <f>IF(SER_hh_tes!S7=0,"",SER_hh_tes!S7/SER_hh_fec!S7)</f>
        <v>0.65746030288468327</v>
      </c>
      <c r="T7" s="137">
        <f>IF(SER_hh_tes!T7=0,"",SER_hh_tes!T7/SER_hh_fec!T7)</f>
        <v>0.67131204506421804</v>
      </c>
      <c r="U7" s="137">
        <f>IF(SER_hh_tes!U7=0,"",SER_hh_tes!U7/SER_hh_fec!U7)</f>
        <v>0.68106582681034311</v>
      </c>
      <c r="V7" s="137">
        <f>IF(SER_hh_tes!V7=0,"",SER_hh_tes!V7/SER_hh_fec!V7)</f>
        <v>0.69054798315947574</v>
      </c>
      <c r="W7" s="137">
        <f>IF(SER_hh_tes!W7=0,"",SER_hh_tes!W7/SER_hh_fec!W7)</f>
        <v>0.69708479093716424</v>
      </c>
      <c r="DA7" s="164" t="s">
        <v>333</v>
      </c>
    </row>
    <row r="8" spans="1:105" ht="12" customHeight="1" x14ac:dyDescent="0.25">
      <c r="A8" s="132" t="s">
        <v>73</v>
      </c>
      <c r="B8" s="137">
        <f>IF(SER_hh_tes!B8=0,"",SER_hh_tes!B8/SER_hh_fec!B8)</f>
        <v>1.0284486578070204</v>
      </c>
      <c r="C8" s="137">
        <f>IF(SER_hh_tes!C8=0,"",SER_hh_tes!C8/SER_hh_fec!C8)</f>
        <v>1.0903804736340819</v>
      </c>
      <c r="D8" s="137">
        <f>IF(SER_hh_tes!D8=0,"",SER_hh_tes!D8/SER_hh_fec!D8)</f>
        <v>1.1609424763004159</v>
      </c>
      <c r="E8" s="137">
        <f>IF(SER_hh_tes!E8=0,"",SER_hh_tes!E8/SER_hh_fec!E8)</f>
        <v>1.2217148010686605</v>
      </c>
      <c r="F8" s="137">
        <f>IF(SER_hh_tes!F8=0,"",SER_hh_tes!F8/SER_hh_fec!F8)</f>
        <v>1.2882027158138591</v>
      </c>
      <c r="G8" s="137">
        <f>IF(SER_hh_tes!G8=0,"",SER_hh_tes!G8/SER_hh_fec!G8)</f>
        <v>1.3818839436617123</v>
      </c>
      <c r="H8" s="137">
        <f>IF(SER_hh_tes!H8=0,"",SER_hh_tes!H8/SER_hh_fec!H8)</f>
        <v>1.5075748518832772</v>
      </c>
      <c r="I8" s="137">
        <f>IF(SER_hh_tes!I8=0,"",SER_hh_tes!I8/SER_hh_fec!I8)</f>
        <v>1.640573753528743</v>
      </c>
      <c r="J8" s="137">
        <f>IF(SER_hh_tes!J8=0,"",SER_hh_tes!J8/SER_hh_fec!J8)</f>
        <v>1.7817259248721085</v>
      </c>
      <c r="K8" s="137">
        <f>IF(SER_hh_tes!K8=0,"",SER_hh_tes!K8/SER_hh_fec!K8)</f>
        <v>1.94843758545755</v>
      </c>
      <c r="L8" s="137">
        <f>IF(SER_hh_tes!L8=0,"",SER_hh_tes!L8/SER_hh_fec!L8)</f>
        <v>2.1272777191690762</v>
      </c>
      <c r="M8" s="137">
        <f>IF(SER_hh_tes!M8=0,"",SER_hh_tes!M8/SER_hh_fec!M8)</f>
        <v>2.3382294016522067</v>
      </c>
      <c r="N8" s="137">
        <f>IF(SER_hh_tes!N8=0,"",SER_hh_tes!N8/SER_hh_fec!N8)</f>
        <v>2.5621834624063737</v>
      </c>
      <c r="O8" s="137">
        <f>IF(SER_hh_tes!O8=0,"",SER_hh_tes!O8/SER_hh_fec!O8)</f>
        <v>2.7652430955488012</v>
      </c>
      <c r="P8" s="137">
        <f>IF(SER_hh_tes!P8=0,"",SER_hh_tes!P8/SER_hh_fec!P8)</f>
        <v>2.871630888596397</v>
      </c>
      <c r="Q8" s="137">
        <f>IF(SER_hh_tes!Q8=0,"",SER_hh_tes!Q8/SER_hh_fec!Q8)</f>
        <v>2.9711209012020574</v>
      </c>
      <c r="R8" s="137">
        <f>IF(SER_hh_tes!R8=0,"",SER_hh_tes!R8/SER_hh_fec!R8)</f>
        <v>3.0695605553189114</v>
      </c>
      <c r="S8" s="137">
        <f>IF(SER_hh_tes!S8=0,"",SER_hh_tes!S8/SER_hh_fec!S8)</f>
        <v>3.1694702178120262</v>
      </c>
      <c r="T8" s="137">
        <f>IF(SER_hh_tes!T8=0,"",SER_hh_tes!T8/SER_hh_fec!T8)</f>
        <v>3.2687628432501143</v>
      </c>
      <c r="U8" s="137">
        <f>IF(SER_hh_tes!U8=0,"",SER_hh_tes!U8/SER_hh_fec!U8)</f>
        <v>3.3681748064100758</v>
      </c>
      <c r="V8" s="137">
        <f>IF(SER_hh_tes!V8=0,"",SER_hh_tes!V8/SER_hh_fec!V8)</f>
        <v>3.4695342499392603</v>
      </c>
      <c r="W8" s="137">
        <f>IF(SER_hh_tes!W8=0,"",SER_hh_tes!W8/SER_hh_fec!W8)</f>
        <v>3.5586795548373029</v>
      </c>
      <c r="DA8" s="164" t="s">
        <v>334</v>
      </c>
    </row>
    <row r="9" spans="1:105" ht="12" customHeight="1" x14ac:dyDescent="0.25">
      <c r="A9" s="132" t="s">
        <v>78</v>
      </c>
      <c r="B9" s="137">
        <f>IF(SER_hh_tes!B9=0,"",SER_hh_tes!B9/SER_hh_fec!B9)</f>
        <v>0.54620339905510873</v>
      </c>
      <c r="C9" s="137">
        <f>IF(SER_hh_tes!C9=0,"",SER_hh_tes!C9/SER_hh_fec!C9)</f>
        <v>0.55093678092888465</v>
      </c>
      <c r="D9" s="137">
        <f>IF(SER_hh_tes!D9=0,"",SER_hh_tes!D9/SER_hh_fec!D9)</f>
        <v>0.56218425042056952</v>
      </c>
      <c r="E9" s="137">
        <f>IF(SER_hh_tes!E9=0,"",SER_hh_tes!E9/SER_hh_fec!E9)</f>
        <v>0.56920309753738263</v>
      </c>
      <c r="F9" s="137">
        <f>IF(SER_hh_tes!F9=0,"",SER_hh_tes!F9/SER_hh_fec!F9)</f>
        <v>0.57119553667956136</v>
      </c>
      <c r="G9" s="137">
        <f>IF(SER_hh_tes!G9=0,"",SER_hh_tes!G9/SER_hh_fec!G9)</f>
        <v>0.57278461549838822</v>
      </c>
      <c r="H9" s="137">
        <f>IF(SER_hh_tes!H9=0,"",SER_hh_tes!H9/SER_hh_fec!H9)</f>
        <v>0.58564592436682239</v>
      </c>
      <c r="I9" s="137">
        <f>IF(SER_hh_tes!I9=0,"",SER_hh_tes!I9/SER_hh_fec!I9)</f>
        <v>0.6061371091447102</v>
      </c>
      <c r="J9" s="137">
        <f>IF(SER_hh_tes!J9=0,"",SER_hh_tes!J9/SER_hh_fec!J9)</f>
        <v>0.62576660233277925</v>
      </c>
      <c r="K9" s="137">
        <f>IF(SER_hh_tes!K9=0,"",SER_hh_tes!K9/SER_hh_fec!K9)</f>
        <v>0.64278109656081917</v>
      </c>
      <c r="L9" s="137">
        <f>IF(SER_hh_tes!L9=0,"",SER_hh_tes!L9/SER_hh_fec!L9)</f>
        <v>0.66245965134102147</v>
      </c>
      <c r="M9" s="137">
        <f>IF(SER_hh_tes!M9=0,"",SER_hh_tes!M9/SER_hh_fec!M9)</f>
        <v>0.68113689548852696</v>
      </c>
      <c r="N9" s="137">
        <f>IF(SER_hh_tes!N9=0,"",SER_hh_tes!N9/SER_hh_fec!N9)</f>
        <v>0.7011197819169902</v>
      </c>
      <c r="O9" s="137">
        <f>IF(SER_hh_tes!O9=0,"",SER_hh_tes!O9/SER_hh_fec!O9)</f>
        <v>0.71903378395190598</v>
      </c>
      <c r="P9" s="137">
        <f>IF(SER_hh_tes!P9=0,"",SER_hh_tes!P9/SER_hh_fec!P9)</f>
        <v>0.72389838924694239</v>
      </c>
      <c r="Q9" s="137">
        <f>IF(SER_hh_tes!Q9=0,"",SER_hh_tes!Q9/SER_hh_fec!Q9)</f>
        <v>0.73014607130896647</v>
      </c>
      <c r="R9" s="137">
        <f>IF(SER_hh_tes!R9=0,"",SER_hh_tes!R9/SER_hh_fec!R9)</f>
        <v>0.73933021191961523</v>
      </c>
      <c r="S9" s="137">
        <f>IF(SER_hh_tes!S9=0,"",SER_hh_tes!S9/SER_hh_fec!S9)</f>
        <v>0.74920286168385986</v>
      </c>
      <c r="T9" s="137">
        <f>IF(SER_hh_tes!T9=0,"",SER_hh_tes!T9/SER_hh_fec!T9)</f>
        <v>0.75891511022195735</v>
      </c>
      <c r="U9" s="137">
        <f>IF(SER_hh_tes!U9=0,"",SER_hh_tes!U9/SER_hh_fec!U9)</f>
        <v>0.76704701842026857</v>
      </c>
      <c r="V9" s="137">
        <f>IF(SER_hh_tes!V9=0,"",SER_hh_tes!V9/SER_hh_fec!V9)</f>
        <v>0.7749623452048322</v>
      </c>
      <c r="W9" s="137">
        <f>IF(SER_hh_tes!W9=0,"",SER_hh_tes!W9/SER_hh_fec!W9)</f>
        <v>0.78590367357169855</v>
      </c>
      <c r="DA9" s="164" t="s">
        <v>335</v>
      </c>
    </row>
    <row r="10" spans="1:105" ht="12" customHeight="1" x14ac:dyDescent="0.25">
      <c r="A10" s="132" t="s">
        <v>128</v>
      </c>
      <c r="B10" s="137">
        <f>IF(SER_hh_tes!B10=0,"",SER_hh_tes!B10/SER_hh_fec!B10)</f>
        <v>0.34396142249709438</v>
      </c>
      <c r="C10" s="137">
        <f>IF(SER_hh_tes!C10=0,"",SER_hh_tes!C10/SER_hh_fec!C10)</f>
        <v>0.35330218771359667</v>
      </c>
      <c r="D10" s="137">
        <f>IF(SER_hh_tes!D10=0,"",SER_hh_tes!D10/SER_hh_fec!D10)</f>
        <v>0.43733975288273536</v>
      </c>
      <c r="E10" s="137">
        <f>IF(SER_hh_tes!E10=0,"",SER_hh_tes!E10/SER_hh_fec!E10)</f>
        <v>0.44773415980280473</v>
      </c>
      <c r="F10" s="137">
        <f>IF(SER_hh_tes!F10=0,"",SER_hh_tes!F10/SER_hh_fec!F10)</f>
        <v>0.45565835385814452</v>
      </c>
      <c r="G10" s="137">
        <f>IF(SER_hh_tes!G10=0,"",SER_hh_tes!G10/SER_hh_fec!G10)</f>
        <v>0.46014599212884794</v>
      </c>
      <c r="H10" s="137">
        <f>IF(SER_hh_tes!H10=0,"",SER_hh_tes!H10/SER_hh_fec!H10)</f>
        <v>0.46198755129840985</v>
      </c>
      <c r="I10" s="137">
        <f>IF(SER_hh_tes!I10=0,"",SER_hh_tes!I10/SER_hh_fec!I10)</f>
        <v>0.46208342931119384</v>
      </c>
      <c r="J10" s="137">
        <f>IF(SER_hh_tes!J10=0,"",SER_hh_tes!J10/SER_hh_fec!J10)</f>
        <v>0.46211326888179788</v>
      </c>
      <c r="K10" s="137">
        <f>IF(SER_hh_tes!K10=0,"",SER_hh_tes!K10/SER_hh_fec!K10)</f>
        <v>0.46477331060444532</v>
      </c>
      <c r="L10" s="137">
        <f>IF(SER_hh_tes!L10=0,"",SER_hh_tes!L10/SER_hh_fec!L10)</f>
        <v>0.48799487587018986</v>
      </c>
      <c r="M10" s="137">
        <f>IF(SER_hh_tes!M10=0,"",SER_hh_tes!M10/SER_hh_fec!M10)</f>
        <v>0.50507684839711675</v>
      </c>
      <c r="N10" s="137">
        <f>IF(SER_hh_tes!N10=0,"",SER_hh_tes!N10/SER_hh_fec!N10)</f>
        <v>0.51711529562658864</v>
      </c>
      <c r="O10" s="137">
        <f>IF(SER_hh_tes!O10=0,"",SER_hh_tes!O10/SER_hh_fec!O10)</f>
        <v>0.52435052841078911</v>
      </c>
      <c r="P10" s="137">
        <f>IF(SER_hh_tes!P10=0,"",SER_hh_tes!P10/SER_hh_fec!P10)</f>
        <v>0.52873702346724705</v>
      </c>
      <c r="Q10" s="137">
        <f>IF(SER_hh_tes!Q10=0,"",SER_hh_tes!Q10/SER_hh_fec!Q10)</f>
        <v>0.53105140402974349</v>
      </c>
      <c r="R10" s="137">
        <f>IF(SER_hh_tes!R10=0,"",SER_hh_tes!R10/SER_hh_fec!R10)</f>
        <v>0.53266122787933756</v>
      </c>
      <c r="S10" s="137">
        <f>IF(SER_hh_tes!S10=0,"",SER_hh_tes!S10/SER_hh_fec!S10)</f>
        <v>0.53421683406218712</v>
      </c>
      <c r="T10" s="137">
        <f>IF(SER_hh_tes!T10=0,"",SER_hh_tes!T10/SER_hh_fec!T10)</f>
        <v>0.53691722817911558</v>
      </c>
      <c r="U10" s="137">
        <f>IF(SER_hh_tes!U10=0,"",SER_hh_tes!U10/SER_hh_fec!U10)</f>
        <v>0.540514033953302</v>
      </c>
      <c r="V10" s="137">
        <f>IF(SER_hh_tes!V10=0,"",SER_hh_tes!V10/SER_hh_fec!V10)</f>
        <v>0.5437156515155257</v>
      </c>
      <c r="W10" s="137">
        <f>IF(SER_hh_tes!W10=0,"",SER_hh_tes!W10/SER_hh_fec!W10)</f>
        <v>0.54735664344901636</v>
      </c>
      <c r="DA10" s="164" t="s">
        <v>336</v>
      </c>
    </row>
    <row r="11" spans="1:105" ht="12" customHeight="1" x14ac:dyDescent="0.25">
      <c r="A11" s="132" t="s">
        <v>25</v>
      </c>
      <c r="B11" s="137" t="str">
        <f>IF(SER_hh_tes!B11=0,"",SER_hh_tes!B11/SER_hh_fec!B11)</f>
        <v/>
      </c>
      <c r="C11" s="137" t="str">
        <f>IF(SER_hh_tes!C11=0,"",SER_hh_tes!C11/SER_hh_fec!C11)</f>
        <v/>
      </c>
      <c r="D11" s="137" t="str">
        <f>IF(SER_hh_tes!D11=0,"",SER_hh_tes!D11/SER_hh_fec!D11)</f>
        <v/>
      </c>
      <c r="E11" s="137" t="str">
        <f>IF(SER_hh_tes!E11=0,"",SER_hh_tes!E11/SER_hh_fec!E11)</f>
        <v/>
      </c>
      <c r="F11" s="137" t="str">
        <f>IF(SER_hh_tes!F11=0,"",SER_hh_tes!F11/SER_hh_fec!F11)</f>
        <v/>
      </c>
      <c r="G11" s="137" t="str">
        <f>IF(SER_hh_tes!G11=0,"",SER_hh_tes!G11/SER_hh_fec!G11)</f>
        <v/>
      </c>
      <c r="H11" s="137" t="str">
        <f>IF(SER_hh_tes!H11=0,"",SER_hh_tes!H11/SER_hh_fec!H11)</f>
        <v/>
      </c>
      <c r="I11" s="137" t="str">
        <f>IF(SER_hh_tes!I11=0,"",SER_hh_tes!I11/SER_hh_fec!I11)</f>
        <v/>
      </c>
      <c r="J11" s="137" t="str">
        <f>IF(SER_hh_tes!J11=0,"",SER_hh_tes!J11/SER_hh_fec!J11)</f>
        <v/>
      </c>
      <c r="K11" s="137" t="str">
        <f>IF(SER_hh_tes!K11=0,"",SER_hh_tes!K11/SER_hh_fec!K11)</f>
        <v/>
      </c>
      <c r="L11" s="137" t="str">
        <f>IF(SER_hh_tes!L11=0,"",SER_hh_tes!L11/SER_hh_fec!L11)</f>
        <v/>
      </c>
      <c r="M11" s="137" t="str">
        <f>IF(SER_hh_tes!M11=0,"",SER_hh_tes!M11/SER_hh_fec!M11)</f>
        <v/>
      </c>
      <c r="N11" s="137" t="str">
        <f>IF(SER_hh_tes!N11=0,"",SER_hh_tes!N11/SER_hh_fec!N11)</f>
        <v/>
      </c>
      <c r="O11" s="137" t="str">
        <f>IF(SER_hh_tes!O11=0,"",SER_hh_tes!O11/SER_hh_fec!O11)</f>
        <v/>
      </c>
      <c r="P11" s="137" t="str">
        <f>IF(SER_hh_tes!P11=0,"",SER_hh_tes!P11/SER_hh_fec!P11)</f>
        <v/>
      </c>
      <c r="Q11" s="137" t="str">
        <f>IF(SER_hh_tes!Q11=0,"",SER_hh_tes!Q11/SER_hh_fec!Q11)</f>
        <v/>
      </c>
      <c r="R11" s="137" t="str">
        <f>IF(SER_hh_tes!R11=0,"",SER_hh_tes!R11/SER_hh_fec!R11)</f>
        <v/>
      </c>
      <c r="S11" s="137" t="str">
        <f>IF(SER_hh_tes!S11=0,"",SER_hh_tes!S11/SER_hh_fec!S11)</f>
        <v/>
      </c>
      <c r="T11" s="137" t="str">
        <f>IF(SER_hh_tes!T11=0,"",SER_hh_tes!T11/SER_hh_fec!T11)</f>
        <v/>
      </c>
      <c r="U11" s="137" t="str">
        <f>IF(SER_hh_tes!U11=0,"",SER_hh_tes!U11/SER_hh_fec!U11)</f>
        <v/>
      </c>
      <c r="V11" s="137" t="str">
        <f>IF(SER_hh_tes!V11=0,"",SER_hh_tes!V11/SER_hh_fec!V11)</f>
        <v/>
      </c>
      <c r="W11" s="137" t="str">
        <f>IF(SER_hh_tes!W11=0,"",SER_hh_tes!W11/SER_hh_fec!W11)</f>
        <v/>
      </c>
      <c r="DA11" s="164" t="s">
        <v>337</v>
      </c>
    </row>
    <row r="12" spans="1:105" ht="12" customHeight="1" x14ac:dyDescent="0.25">
      <c r="A12" s="132" t="s">
        <v>169</v>
      </c>
      <c r="B12" s="137">
        <f>IF(SER_hh_tes!B12=0,"",SER_hh_tes!B12/SER_hh_fec!B12)</f>
        <v>0.84938267424098801</v>
      </c>
      <c r="C12" s="137">
        <f>IF(SER_hh_tes!C12=0,"",SER_hh_tes!C12/SER_hh_fec!C12)</f>
        <v>0.85101049809552698</v>
      </c>
      <c r="D12" s="137">
        <f>IF(SER_hh_tes!D12=0,"",SER_hh_tes!D12/SER_hh_fec!D12)</f>
        <v>0.85251771809396315</v>
      </c>
      <c r="E12" s="137">
        <f>IF(SER_hh_tes!E12=0,"",SER_hh_tes!E12/SER_hh_fec!E12)</f>
        <v>0.85369177947731989</v>
      </c>
      <c r="F12" s="137">
        <f>IF(SER_hh_tes!F12=0,"",SER_hh_tes!F12/SER_hh_fec!F12)</f>
        <v>0.8558408856794959</v>
      </c>
      <c r="G12" s="137">
        <f>IF(SER_hh_tes!G12=0,"",SER_hh_tes!G12/SER_hh_fec!G12)</f>
        <v>0.85998831580155777</v>
      </c>
      <c r="H12" s="137">
        <f>IF(SER_hh_tes!H12=0,"",SER_hh_tes!H12/SER_hh_fec!H12)</f>
        <v>0.86447143507226265</v>
      </c>
      <c r="I12" s="137">
        <f>IF(SER_hh_tes!I12=0,"",SER_hh_tes!I12/SER_hh_fec!I12)</f>
        <v>0.86742494966873651</v>
      </c>
      <c r="J12" s="137">
        <f>IF(SER_hh_tes!J12=0,"",SER_hh_tes!J12/SER_hh_fec!J12)</f>
        <v>0.86900213956698547</v>
      </c>
      <c r="K12" s="137">
        <f>IF(SER_hh_tes!K12=0,"",SER_hh_tes!K12/SER_hh_fec!K12)</f>
        <v>0.86975292869466803</v>
      </c>
      <c r="L12" s="137">
        <f>IF(SER_hh_tes!L12=0,"",SER_hh_tes!L12/SER_hh_fec!L12)</f>
        <v>0.8729020874837784</v>
      </c>
      <c r="M12" s="137">
        <f>IF(SER_hh_tes!M12=0,"",SER_hh_tes!M12/SER_hh_fec!M12)</f>
        <v>0.87963013440505033</v>
      </c>
      <c r="N12" s="137">
        <f>IF(SER_hh_tes!N12=0,"",SER_hh_tes!N12/SER_hh_fec!N12)</f>
        <v>0.88715594428324129</v>
      </c>
      <c r="O12" s="137">
        <f>IF(SER_hh_tes!O12=0,"",SER_hh_tes!O12/SER_hh_fec!O12)</f>
        <v>0.89452214785441542</v>
      </c>
      <c r="P12" s="137">
        <f>IF(SER_hh_tes!P12=0,"",SER_hh_tes!P12/SER_hh_fec!P12)</f>
        <v>0.89931472067229257</v>
      </c>
      <c r="Q12" s="137">
        <f>IF(SER_hh_tes!Q12=0,"",SER_hh_tes!Q12/SER_hh_fec!Q12)</f>
        <v>0.90184072369275292</v>
      </c>
      <c r="R12" s="137">
        <f>IF(SER_hh_tes!R12=0,"",SER_hh_tes!R12/SER_hh_fec!R12)</f>
        <v>0.90349449435026963</v>
      </c>
      <c r="S12" s="137">
        <f>IF(SER_hh_tes!S12=0,"",SER_hh_tes!S12/SER_hh_fec!S12)</f>
        <v>0.90477196914804059</v>
      </c>
      <c r="T12" s="137">
        <f>IF(SER_hh_tes!T12=0,"",SER_hh_tes!T12/SER_hh_fec!T12)</f>
        <v>0.90837767004768211</v>
      </c>
      <c r="U12" s="137">
        <f>IF(SER_hh_tes!U12=0,"",SER_hh_tes!U12/SER_hh_fec!U12)</f>
        <v>0.91324477947780436</v>
      </c>
      <c r="V12" s="137">
        <f>IF(SER_hh_tes!V12=0,"",SER_hh_tes!V12/SER_hh_fec!V12)</f>
        <v>0.91981530283380641</v>
      </c>
      <c r="W12" s="137">
        <f>IF(SER_hh_tes!W12=0,"",SER_hh_tes!W12/SER_hh_fec!W12)</f>
        <v>0.92491994215279161</v>
      </c>
      <c r="DA12" s="164" t="s">
        <v>338</v>
      </c>
    </row>
    <row r="13" spans="1:105" ht="12" customHeight="1" x14ac:dyDescent="0.25">
      <c r="A13" s="132" t="s">
        <v>77</v>
      </c>
      <c r="B13" s="137">
        <f>IF(SER_hh_tes!B13=0,"",SER_hh_tes!B13/SER_hh_fec!B13)</f>
        <v>1.4767491771683146</v>
      </c>
      <c r="C13" s="137">
        <f>IF(SER_hh_tes!C13=0,"",SER_hh_tes!C13/SER_hh_fec!C13)</f>
        <v>1.4969475061637101</v>
      </c>
      <c r="D13" s="137">
        <f>IF(SER_hh_tes!D13=0,"",SER_hh_tes!D13/SER_hh_fec!D13)</f>
        <v>1.5274012295412098</v>
      </c>
      <c r="E13" s="137">
        <f>IF(SER_hh_tes!E13=0,"",SER_hh_tes!E13/SER_hh_fec!E13)</f>
        <v>1.5826976709137759</v>
      </c>
      <c r="F13" s="137">
        <f>IF(SER_hh_tes!F13=0,"",SER_hh_tes!F13/SER_hh_fec!F13)</f>
        <v>1.7921438232207274</v>
      </c>
      <c r="G13" s="137">
        <f>IF(SER_hh_tes!G13=0,"",SER_hh_tes!G13/SER_hh_fec!G13)</f>
        <v>1.9476287668093872</v>
      </c>
      <c r="H13" s="137">
        <f>IF(SER_hh_tes!H13=0,"",SER_hh_tes!H13/SER_hh_fec!H13)</f>
        <v>2.070281762840362</v>
      </c>
      <c r="I13" s="137">
        <f>IF(SER_hh_tes!I13=0,"",SER_hh_tes!I13/SER_hh_fec!I13)</f>
        <v>2.1525904649215231</v>
      </c>
      <c r="J13" s="137">
        <f>IF(SER_hh_tes!J13=0,"",SER_hh_tes!J13/SER_hh_fec!J13)</f>
        <v>2.2130548082993822</v>
      </c>
      <c r="K13" s="137">
        <f>IF(SER_hh_tes!K13=0,"",SER_hh_tes!K13/SER_hh_fec!K13)</f>
        <v>2.2727098538063149</v>
      </c>
      <c r="L13" s="137">
        <f>IF(SER_hh_tes!L13=0,"",SER_hh_tes!L13/SER_hh_fec!L13)</f>
        <v>2.323576896584266</v>
      </c>
      <c r="M13" s="137">
        <f>IF(SER_hh_tes!M13=0,"",SER_hh_tes!M13/SER_hh_fec!M13)</f>
        <v>2.3980150641482481</v>
      </c>
      <c r="N13" s="137">
        <f>IF(SER_hh_tes!N13=0,"",SER_hh_tes!N13/SER_hh_fec!N13)</f>
        <v>2.4602859242995878</v>
      </c>
      <c r="O13" s="137">
        <f>IF(SER_hh_tes!O13=0,"",SER_hh_tes!O13/SER_hh_fec!O13)</f>
        <v>2.5161634017943872</v>
      </c>
      <c r="P13" s="137">
        <f>IF(SER_hh_tes!P13=0,"",SER_hh_tes!P13/SER_hh_fec!P13)</f>
        <v>2.5659447552453685</v>
      </c>
      <c r="Q13" s="137">
        <f>IF(SER_hh_tes!Q13=0,"",SER_hh_tes!Q13/SER_hh_fec!Q13)</f>
        <v>2.5791022856536125</v>
      </c>
      <c r="R13" s="137">
        <f>IF(SER_hh_tes!R13=0,"",SER_hh_tes!R13/SER_hh_fec!R13)</f>
        <v>2.7079694424195813</v>
      </c>
      <c r="S13" s="137">
        <f>IF(SER_hh_tes!S13=0,"",SER_hh_tes!S13/SER_hh_fec!S13)</f>
        <v>2.944063119464988</v>
      </c>
      <c r="T13" s="137">
        <f>IF(SER_hh_tes!T13=0,"",SER_hh_tes!T13/SER_hh_fec!T13)</f>
        <v>3.2282077895908938</v>
      </c>
      <c r="U13" s="137">
        <f>IF(SER_hh_tes!U13=0,"",SER_hh_tes!U13/SER_hh_fec!U13)</f>
        <v>3.4239759529695828</v>
      </c>
      <c r="V13" s="137">
        <f>IF(SER_hh_tes!V13=0,"",SER_hh_tes!V13/SER_hh_fec!V13)</f>
        <v>3.5501226127842918</v>
      </c>
      <c r="W13" s="137">
        <f>IF(SER_hh_tes!W13=0,"",SER_hh_tes!W13/SER_hh_fec!W13)</f>
        <v>3.6371091470256971</v>
      </c>
      <c r="DA13" s="164" t="s">
        <v>339</v>
      </c>
    </row>
    <row r="14" spans="1:105" ht="12" customHeight="1" x14ac:dyDescent="0.25">
      <c r="A14" s="60" t="s">
        <v>76</v>
      </c>
      <c r="B14" s="138">
        <f>IF(SER_hh_tes!B14=0,"",SER_hh_tes!B14/SER_hh_fec!B14)</f>
        <v>0.75466790137869899</v>
      </c>
      <c r="C14" s="138">
        <f>IF(SER_hh_tes!C14=0,"",SER_hh_tes!C14/SER_hh_fec!C14)</f>
        <v>0.75573246013600803</v>
      </c>
      <c r="D14" s="138">
        <f>IF(SER_hh_tes!D14=0,"",SER_hh_tes!D14/SER_hh_fec!D14)</f>
        <v>0.75770308072435022</v>
      </c>
      <c r="E14" s="138">
        <f>IF(SER_hh_tes!E14=0,"",SER_hh_tes!E14/SER_hh_fec!E14)</f>
        <v>0.76466390188769362</v>
      </c>
      <c r="F14" s="138">
        <f>IF(SER_hh_tes!F14=0,"",SER_hh_tes!F14/SER_hh_fec!F14)</f>
        <v>0.78329441184768123</v>
      </c>
      <c r="G14" s="138">
        <f>IF(SER_hh_tes!G14=0,"",SER_hh_tes!G14/SER_hh_fec!G14)</f>
        <v>0.79037912333312443</v>
      </c>
      <c r="H14" s="138">
        <f>IF(SER_hh_tes!H14=0,"",SER_hh_tes!H14/SER_hh_fec!H14)</f>
        <v>0.79409152232435076</v>
      </c>
      <c r="I14" s="138">
        <f>IF(SER_hh_tes!I14=0,"",SER_hh_tes!I14/SER_hh_fec!I14)</f>
        <v>0.79596181336129901</v>
      </c>
      <c r="J14" s="138">
        <f>IF(SER_hh_tes!J14=0,"",SER_hh_tes!J14/SER_hh_fec!J14)</f>
        <v>0.79740902134660296</v>
      </c>
      <c r="K14" s="138">
        <f>IF(SER_hh_tes!K14=0,"",SER_hh_tes!K14/SER_hh_fec!K14)</f>
        <v>0.79889273298844865</v>
      </c>
      <c r="L14" s="138">
        <f>IF(SER_hh_tes!L14=0,"",SER_hh_tes!L14/SER_hh_fec!L14)</f>
        <v>0.80058227673899929</v>
      </c>
      <c r="M14" s="138">
        <f>IF(SER_hh_tes!M14=0,"",SER_hh_tes!M14/SER_hh_fec!M14)</f>
        <v>0.80235270083077015</v>
      </c>
      <c r="N14" s="138">
        <f>IF(SER_hh_tes!N14=0,"",SER_hh_tes!N14/SER_hh_fec!N14)</f>
        <v>0.80453253275089553</v>
      </c>
      <c r="O14" s="138">
        <f>IF(SER_hh_tes!O14=0,"",SER_hh_tes!O14/SER_hh_fec!O14)</f>
        <v>0.80656300097644473</v>
      </c>
      <c r="P14" s="138">
        <f>IF(SER_hh_tes!P14=0,"",SER_hh_tes!P14/SER_hh_fec!P14)</f>
        <v>0.80665987025221964</v>
      </c>
      <c r="Q14" s="138">
        <f>IF(SER_hh_tes!Q14=0,"",SER_hh_tes!Q14/SER_hh_fec!Q14)</f>
        <v>0.80677387816422652</v>
      </c>
      <c r="R14" s="138">
        <f>IF(SER_hh_tes!R14=0,"",SER_hh_tes!R14/SER_hh_fec!R14)</f>
        <v>0.80795402915526826</v>
      </c>
      <c r="S14" s="138">
        <f>IF(SER_hh_tes!S14=0,"",SER_hh_tes!S14/SER_hh_fec!S14)</f>
        <v>0.82093154517338773</v>
      </c>
      <c r="T14" s="138">
        <f>IF(SER_hh_tes!T14=0,"",SER_hh_tes!T14/SER_hh_fec!T14)</f>
        <v>0.84246857964328126</v>
      </c>
      <c r="U14" s="138">
        <f>IF(SER_hh_tes!U14=0,"",SER_hh_tes!U14/SER_hh_fec!U14)</f>
        <v>0.87125682962064155</v>
      </c>
      <c r="V14" s="138">
        <f>IF(SER_hh_tes!V14=0,"",SER_hh_tes!V14/SER_hh_fec!V14)</f>
        <v>0.90171047171634833</v>
      </c>
      <c r="W14" s="138">
        <f>IF(SER_hh_tes!W14=0,"",SER_hh_tes!W14/SER_hh_fec!W14)</f>
        <v>0.91846966145425835</v>
      </c>
      <c r="DA14" s="165" t="s">
        <v>340</v>
      </c>
    </row>
    <row r="15" spans="1:105" ht="12" customHeight="1" x14ac:dyDescent="0.25">
      <c r="A15" s="134" t="s">
        <v>80</v>
      </c>
      <c r="B15" s="139">
        <f>IF(SER_hh_tes!B15=0,"",SER_hh_tes!B15/SER_hh_fec!B15)</f>
        <v>1</v>
      </c>
      <c r="C15" s="139">
        <f>IF(SER_hh_tes!C15=0,"",SER_hh_tes!C15/SER_hh_fec!C15)</f>
        <v>1</v>
      </c>
      <c r="D15" s="139">
        <f>IF(SER_hh_tes!D15=0,"",SER_hh_tes!D15/SER_hh_fec!D15)</f>
        <v>1</v>
      </c>
      <c r="E15" s="139">
        <f>IF(SER_hh_tes!E15=0,"",SER_hh_tes!E15/SER_hh_fec!E15)</f>
        <v>1</v>
      </c>
      <c r="F15" s="139">
        <f>IF(SER_hh_tes!F15=0,"",SER_hh_tes!F15/SER_hh_fec!F15)</f>
        <v>1</v>
      </c>
      <c r="G15" s="139">
        <f>IF(SER_hh_tes!G15=0,"",SER_hh_tes!G15/SER_hh_fec!G15)</f>
        <v>1</v>
      </c>
      <c r="H15" s="139">
        <f>IF(SER_hh_tes!H15=0,"",SER_hh_tes!H15/SER_hh_fec!H15)</f>
        <v>1</v>
      </c>
      <c r="I15" s="139">
        <f>IF(SER_hh_tes!I15=0,"",SER_hh_tes!I15/SER_hh_fec!I15)</f>
        <v>1</v>
      </c>
      <c r="J15" s="139">
        <f>IF(SER_hh_tes!J15=0,"",SER_hh_tes!J15/SER_hh_fec!J15)</f>
        <v>1</v>
      </c>
      <c r="K15" s="139">
        <f>IF(SER_hh_tes!K15=0,"",SER_hh_tes!K15/SER_hh_fec!K15)</f>
        <v>1</v>
      </c>
      <c r="L15" s="139">
        <f>IF(SER_hh_tes!L15=0,"",SER_hh_tes!L15/SER_hh_fec!L15)</f>
        <v>1</v>
      </c>
      <c r="M15" s="139">
        <f>IF(SER_hh_tes!M15=0,"",SER_hh_tes!M15/SER_hh_fec!M15)</f>
        <v>1</v>
      </c>
      <c r="N15" s="139">
        <f>IF(SER_hh_tes!N15=0,"",SER_hh_tes!N15/SER_hh_fec!N15)</f>
        <v>1</v>
      </c>
      <c r="O15" s="139">
        <f>IF(SER_hh_tes!O15=0,"",SER_hh_tes!O15/SER_hh_fec!O15)</f>
        <v>1</v>
      </c>
      <c r="P15" s="139">
        <f>IF(SER_hh_tes!P15=0,"",SER_hh_tes!P15/SER_hh_fec!P15)</f>
        <v>1</v>
      </c>
      <c r="Q15" s="139">
        <f>IF(SER_hh_tes!Q15=0,"",SER_hh_tes!Q15/SER_hh_fec!Q15)</f>
        <v>1</v>
      </c>
      <c r="R15" s="139">
        <f>IF(SER_hh_tes!R15=0,"",SER_hh_tes!R15/SER_hh_fec!R15)</f>
        <v>1</v>
      </c>
      <c r="S15" s="139">
        <f>IF(SER_hh_tes!S15=0,"",SER_hh_tes!S15/SER_hh_fec!S15)</f>
        <v>1</v>
      </c>
      <c r="T15" s="139">
        <f>IF(SER_hh_tes!T15=0,"",SER_hh_tes!T15/SER_hh_fec!T15)</f>
        <v>1</v>
      </c>
      <c r="U15" s="139">
        <f>IF(SER_hh_tes!U15=0,"",SER_hh_tes!U15/SER_hh_fec!U15)</f>
        <v>1</v>
      </c>
      <c r="V15" s="139">
        <f>IF(SER_hh_tes!V15=0,"",SER_hh_tes!V15/SER_hh_fec!V15)</f>
        <v>1</v>
      </c>
      <c r="W15" s="139">
        <f>IF(SER_hh_tes!W15=0,"",SER_hh_tes!W15/SER_hh_fec!W15)</f>
        <v>1</v>
      </c>
      <c r="DA15" s="166" t="s">
        <v>341</v>
      </c>
    </row>
    <row r="16" spans="1:105" ht="12.95" customHeight="1" x14ac:dyDescent="0.25">
      <c r="A16" s="130" t="s">
        <v>74</v>
      </c>
      <c r="B16" s="136">
        <f>IF(SER_hh_tes!B16=0,"",SER_hh_tes!B16/SER_hh_fec!B16)</f>
        <v>2.0467028517445387</v>
      </c>
      <c r="C16" s="136">
        <f>IF(SER_hh_tes!C16=0,"",SER_hh_tes!C16/SER_hh_fec!C16)</f>
        <v>2.2180185796149172</v>
      </c>
      <c r="D16" s="136">
        <f>IF(SER_hh_tes!D16=0,"",SER_hh_tes!D16/SER_hh_fec!D16)</f>
        <v>2.3948047178370215</v>
      </c>
      <c r="E16" s="136">
        <f>IF(SER_hh_tes!E16=0,"",SER_hh_tes!E16/SER_hh_fec!E16)</f>
        <v>2.5108388864800006</v>
      </c>
      <c r="F16" s="136">
        <f>IF(SER_hh_tes!F16=0,"",SER_hh_tes!F16/SER_hh_fec!F16)</f>
        <v>2.6287659466834103</v>
      </c>
      <c r="G16" s="136">
        <f>IF(SER_hh_tes!G16=0,"",SER_hh_tes!G16/SER_hh_fec!G16)</f>
        <v>2.7415581194052363</v>
      </c>
      <c r="H16" s="136">
        <f>IF(SER_hh_tes!H16=0,"",SER_hh_tes!H16/SER_hh_fec!H16)</f>
        <v>2.8497042249060343</v>
      </c>
      <c r="I16" s="136">
        <f>IF(SER_hh_tes!I16=0,"",SER_hh_tes!I16/SER_hh_fec!I16)</f>
        <v>2.9598496054549721</v>
      </c>
      <c r="J16" s="136">
        <f>IF(SER_hh_tes!J16=0,"",SER_hh_tes!J16/SER_hh_fec!J16)</f>
        <v>3.0580847790799179</v>
      </c>
      <c r="K16" s="136">
        <f>IF(SER_hh_tes!K16=0,"",SER_hh_tes!K16/SER_hh_fec!K16)</f>
        <v>3.1231453811836207</v>
      </c>
      <c r="L16" s="136">
        <f>IF(SER_hh_tes!L16=0,"",SER_hh_tes!L16/SER_hh_fec!L16)</f>
        <v>3.2043456250797675</v>
      </c>
      <c r="M16" s="136">
        <f>IF(SER_hh_tes!M16=0,"",SER_hh_tes!M16/SER_hh_fec!M16)</f>
        <v>3.3003825072853115</v>
      </c>
      <c r="N16" s="136">
        <f>IF(SER_hh_tes!N16=0,"",SER_hh_tes!N16/SER_hh_fec!N16)</f>
        <v>3.3975398900656559</v>
      </c>
      <c r="O16" s="136">
        <f>IF(SER_hh_tes!O16=0,"",SER_hh_tes!O16/SER_hh_fec!O16)</f>
        <v>3.5041575171878625</v>
      </c>
      <c r="P16" s="136">
        <f>IF(SER_hh_tes!P16=0,"",SER_hh_tes!P16/SER_hh_fec!P16)</f>
        <v>3.6187938556786521</v>
      </c>
      <c r="Q16" s="136">
        <f>IF(SER_hh_tes!Q16=0,"",SER_hh_tes!Q16/SER_hh_fec!Q16)</f>
        <v>3.7377124736626643</v>
      </c>
      <c r="R16" s="136">
        <f>IF(SER_hh_tes!R16=0,"",SER_hh_tes!R16/SER_hh_fec!R16)</f>
        <v>3.8703584479361224</v>
      </c>
      <c r="S16" s="136">
        <f>IF(SER_hh_tes!S16=0,"",SER_hh_tes!S16/SER_hh_fec!S16)</f>
        <v>3.9956180107318566</v>
      </c>
      <c r="T16" s="136">
        <f>IF(SER_hh_tes!T16=0,"",SER_hh_tes!T16/SER_hh_fec!T16)</f>
        <v>4.1101484214585007</v>
      </c>
      <c r="U16" s="136">
        <f>IF(SER_hh_tes!U16=0,"",SER_hh_tes!U16/SER_hh_fec!U16)</f>
        <v>4.2226846547392922</v>
      </c>
      <c r="V16" s="136">
        <f>IF(SER_hh_tes!V16=0,"",SER_hh_tes!V16/SER_hh_fec!V16)</f>
        <v>4.3118802177476212</v>
      </c>
      <c r="W16" s="136">
        <f>IF(SER_hh_tes!W16=0,"",SER_hh_tes!W16/SER_hh_fec!W16)</f>
        <v>4.4575178986083808</v>
      </c>
      <c r="DA16" s="163" t="s">
        <v>240</v>
      </c>
    </row>
    <row r="17" spans="1:105" ht="12.95" customHeight="1" x14ac:dyDescent="0.25">
      <c r="A17" s="132" t="s">
        <v>73</v>
      </c>
      <c r="B17" s="137">
        <f>IF(SER_hh_tes!B17=0,"",SER_hh_tes!B17/SER_hh_fec!B17)</f>
        <v>1.3299318484683362</v>
      </c>
      <c r="C17" s="137">
        <f>IF(SER_hh_tes!C17=0,"",SER_hh_tes!C17/SER_hh_fec!C17)</f>
        <v>1.3449187557199289</v>
      </c>
      <c r="D17" s="137">
        <f>IF(SER_hh_tes!D17=0,"",SER_hh_tes!D17/SER_hh_fec!D17)</f>
        <v>1.3587129536376115</v>
      </c>
      <c r="E17" s="137">
        <f>IF(SER_hh_tes!E17=0,"",SER_hh_tes!E17/SER_hh_fec!E17)</f>
        <v>1.3614395432097308</v>
      </c>
      <c r="F17" s="137">
        <f>IF(SER_hh_tes!F17=0,"",SER_hh_tes!F17/SER_hh_fec!F17)</f>
        <v>1.3750888523210589</v>
      </c>
      <c r="G17" s="137">
        <f>IF(SER_hh_tes!G17=0,"",SER_hh_tes!G17/SER_hh_fec!G17)</f>
        <v>1.3810965456508637</v>
      </c>
      <c r="H17" s="137">
        <f>IF(SER_hh_tes!H17=0,"",SER_hh_tes!H17/SER_hh_fec!H17)</f>
        <v>1.3841096687157484</v>
      </c>
      <c r="I17" s="137">
        <f>IF(SER_hh_tes!I17=0,"",SER_hh_tes!I17/SER_hh_fec!I17)</f>
        <v>1.3896833669266053</v>
      </c>
      <c r="J17" s="137">
        <f>IF(SER_hh_tes!J17=0,"",SER_hh_tes!J17/SER_hh_fec!J17)</f>
        <v>1.3931798613608506</v>
      </c>
      <c r="K17" s="137">
        <f>IF(SER_hh_tes!K17=0,"",SER_hh_tes!K17/SER_hh_fec!K17)</f>
        <v>1.3953889311051482</v>
      </c>
      <c r="L17" s="137">
        <f>IF(SER_hh_tes!L17=0,"",SER_hh_tes!L17/SER_hh_fec!L17)</f>
        <v>1.3969594064289028</v>
      </c>
      <c r="M17" s="137">
        <f>IF(SER_hh_tes!M17=0,"",SER_hh_tes!M17/SER_hh_fec!M17)</f>
        <v>1.4004487602609903</v>
      </c>
      <c r="N17" s="137">
        <f>IF(SER_hh_tes!N17=0,"",SER_hh_tes!N17/SER_hh_fec!N17)</f>
        <v>1.4058430620786611</v>
      </c>
      <c r="O17" s="137">
        <f>IF(SER_hh_tes!O17=0,"",SER_hh_tes!O17/SER_hh_fec!O17)</f>
        <v>1.4178063882601621</v>
      </c>
      <c r="P17" s="137">
        <f>IF(SER_hh_tes!P17=0,"",SER_hh_tes!P17/SER_hh_fec!P17)</f>
        <v>1.4406580882154658</v>
      </c>
      <c r="Q17" s="137">
        <f>IF(SER_hh_tes!Q17=0,"",SER_hh_tes!Q17/SER_hh_fec!Q17)</f>
        <v>1.4702188012244444</v>
      </c>
      <c r="R17" s="137">
        <f>IF(SER_hh_tes!R17=0,"",SER_hh_tes!R17/SER_hh_fec!R17)</f>
        <v>1.4918544404483562</v>
      </c>
      <c r="S17" s="137">
        <f>IF(SER_hh_tes!S17=0,"",SER_hh_tes!S17/SER_hh_fec!S17)</f>
        <v>1.508512984815445</v>
      </c>
      <c r="T17" s="137">
        <f>IF(SER_hh_tes!T17=0,"",SER_hh_tes!T17/SER_hh_fec!T17)</f>
        <v>1.5330952797286543</v>
      </c>
      <c r="U17" s="137">
        <f>IF(SER_hh_tes!U17=0,"",SER_hh_tes!U17/SER_hh_fec!U17)</f>
        <v>1.5621154516544158</v>
      </c>
      <c r="V17" s="137">
        <f>IF(SER_hh_tes!V17=0,"",SER_hh_tes!V17/SER_hh_fec!V17)</f>
        <v>1.5830223928212686</v>
      </c>
      <c r="W17" s="137">
        <f>IF(SER_hh_tes!W17=0,"",SER_hh_tes!W17/SER_hh_fec!W17)</f>
        <v>1.5981388226826443</v>
      </c>
      <c r="DA17" s="164" t="s">
        <v>342</v>
      </c>
    </row>
    <row r="18" spans="1:105" ht="12" customHeight="1" x14ac:dyDescent="0.25">
      <c r="A18" s="132" t="s">
        <v>72</v>
      </c>
      <c r="B18" s="137">
        <f>IF(SER_hh_tes!B18=0,"",SER_hh_tes!B18/SER_hh_fec!B18)</f>
        <v>2.0478273691730795</v>
      </c>
      <c r="C18" s="137">
        <f>IF(SER_hh_tes!C18=0,"",SER_hh_tes!C18/SER_hh_fec!C18)</f>
        <v>2.2195414652974699</v>
      </c>
      <c r="D18" s="137">
        <f>IF(SER_hh_tes!D18=0,"",SER_hh_tes!D18/SER_hh_fec!D18)</f>
        <v>2.3968743480755457</v>
      </c>
      <c r="E18" s="137">
        <f>IF(SER_hh_tes!E18=0,"",SER_hh_tes!E18/SER_hh_fec!E18)</f>
        <v>2.5127782623979797</v>
      </c>
      <c r="F18" s="137">
        <f>IF(SER_hh_tes!F18=0,"",SER_hh_tes!F18/SER_hh_fec!F18)</f>
        <v>2.6320326153301163</v>
      </c>
      <c r="G18" s="137">
        <f>IF(SER_hh_tes!G18=0,"",SER_hh_tes!G18/SER_hh_fec!G18)</f>
        <v>2.74574464327597</v>
      </c>
      <c r="H18" s="137">
        <f>IF(SER_hh_tes!H18=0,"",SER_hh_tes!H18/SER_hh_fec!H18)</f>
        <v>2.8540614327906804</v>
      </c>
      <c r="I18" s="137">
        <f>IF(SER_hh_tes!I18=0,"",SER_hh_tes!I18/SER_hh_fec!I18)</f>
        <v>2.9660367320559629</v>
      </c>
      <c r="J18" s="137">
        <f>IF(SER_hh_tes!J18=0,"",SER_hh_tes!J18/SER_hh_fec!J18)</f>
        <v>3.0660679847902101</v>
      </c>
      <c r="K18" s="137">
        <f>IF(SER_hh_tes!K18=0,"",SER_hh_tes!K18/SER_hh_fec!K18)</f>
        <v>3.1325080923960797</v>
      </c>
      <c r="L18" s="137">
        <f>IF(SER_hh_tes!L18=0,"",SER_hh_tes!L18/SER_hh_fec!L18)</f>
        <v>3.2141096975170953</v>
      </c>
      <c r="M18" s="137">
        <f>IF(SER_hh_tes!M18=0,"",SER_hh_tes!M18/SER_hh_fec!M18)</f>
        <v>3.3116482559245619</v>
      </c>
      <c r="N18" s="137">
        <f>IF(SER_hh_tes!N18=0,"",SER_hh_tes!N18/SER_hh_fec!N18)</f>
        <v>3.4104657980797439</v>
      </c>
      <c r="O18" s="137">
        <f>IF(SER_hh_tes!O18=0,"",SER_hh_tes!O18/SER_hh_fec!O18)</f>
        <v>3.519950715924979</v>
      </c>
      <c r="P18" s="137">
        <f>IF(SER_hh_tes!P18=0,"",SER_hh_tes!P18/SER_hh_fec!P18)</f>
        <v>3.6399025971947121</v>
      </c>
      <c r="Q18" s="137">
        <f>IF(SER_hh_tes!Q18=0,"",SER_hh_tes!Q18/SER_hh_fec!Q18)</f>
        <v>3.767310788189437</v>
      </c>
      <c r="R18" s="137">
        <f>IF(SER_hh_tes!R18=0,"",SER_hh_tes!R18/SER_hh_fec!R18)</f>
        <v>3.9068273645335529</v>
      </c>
      <c r="S18" s="137">
        <f>IF(SER_hh_tes!S18=0,"",SER_hh_tes!S18/SER_hh_fec!S18)</f>
        <v>4.0366586579138</v>
      </c>
      <c r="T18" s="137">
        <f>IF(SER_hh_tes!T18=0,"",SER_hh_tes!T18/SER_hh_fec!T18)</f>
        <v>4.1587935448955031</v>
      </c>
      <c r="U18" s="137">
        <f>IF(SER_hh_tes!U18=0,"",SER_hh_tes!U18/SER_hh_fec!U18)</f>
        <v>4.2809719699347895</v>
      </c>
      <c r="V18" s="137">
        <f>IF(SER_hh_tes!V18=0,"",SER_hh_tes!V18/SER_hh_fec!V18)</f>
        <v>4.379074458039697</v>
      </c>
      <c r="W18" s="137">
        <f>IF(SER_hh_tes!W18=0,"",SER_hh_tes!W18/SER_hh_fec!W18)</f>
        <v>4.5216863198773547</v>
      </c>
      <c r="DA18" s="164" t="s">
        <v>343</v>
      </c>
    </row>
    <row r="19" spans="1:105" ht="12.95" customHeight="1" x14ac:dyDescent="0.25">
      <c r="A19" s="130" t="s">
        <v>35</v>
      </c>
      <c r="B19" s="136">
        <f>IF(SER_hh_tes!B19=0,"",SER_hh_tes!B19/SER_hh_fec!B19)</f>
        <v>0.59086477016139172</v>
      </c>
      <c r="C19" s="136">
        <f>IF(SER_hh_tes!C19=0,"",SER_hh_tes!C19/SER_hh_fec!C19)</f>
        <v>0.59438352491886792</v>
      </c>
      <c r="D19" s="136">
        <f>IF(SER_hh_tes!D19=0,"",SER_hh_tes!D19/SER_hh_fec!D19)</f>
        <v>0.6025465397503148</v>
      </c>
      <c r="E19" s="136">
        <f>IF(SER_hh_tes!E19=0,"",SER_hh_tes!E19/SER_hh_fec!E19)</f>
        <v>0.60705595978492188</v>
      </c>
      <c r="F19" s="136">
        <f>IF(SER_hh_tes!F19=0,"",SER_hh_tes!F19/SER_hh_fec!F19)</f>
        <v>0.61231739449038736</v>
      </c>
      <c r="G19" s="136">
        <f>IF(SER_hh_tes!G19=0,"",SER_hh_tes!G19/SER_hh_fec!G19)</f>
        <v>0.61881281185785764</v>
      </c>
      <c r="H19" s="136">
        <f>IF(SER_hh_tes!H19=0,"",SER_hh_tes!H19/SER_hh_fec!H19)</f>
        <v>0.62549922717418194</v>
      </c>
      <c r="I19" s="136">
        <f>IF(SER_hh_tes!I19=0,"",SER_hh_tes!I19/SER_hh_fec!I19)</f>
        <v>0.63201918685173797</v>
      </c>
      <c r="J19" s="136">
        <f>IF(SER_hh_tes!J19=0,"",SER_hh_tes!J19/SER_hh_fec!J19)</f>
        <v>0.63982682125075796</v>
      </c>
      <c r="K19" s="136">
        <f>IF(SER_hh_tes!K19=0,"",SER_hh_tes!K19/SER_hh_fec!K19)</f>
        <v>0.6463715123115823</v>
      </c>
      <c r="L19" s="136">
        <f>IF(SER_hh_tes!L19=0,"",SER_hh_tes!L19/SER_hh_fec!L19)</f>
        <v>0.65379385885358776</v>
      </c>
      <c r="M19" s="136">
        <f>IF(SER_hh_tes!M19=0,"",SER_hh_tes!M19/SER_hh_fec!M19)</f>
        <v>0.66209935055012714</v>
      </c>
      <c r="N19" s="136">
        <f>IF(SER_hh_tes!N19=0,"",SER_hh_tes!N19/SER_hh_fec!N19)</f>
        <v>0.67227050476806682</v>
      </c>
      <c r="O19" s="136">
        <f>IF(SER_hh_tes!O19=0,"",SER_hh_tes!O19/SER_hh_fec!O19)</f>
        <v>0.683568424144125</v>
      </c>
      <c r="P19" s="136">
        <f>IF(SER_hh_tes!P19=0,"",SER_hh_tes!P19/SER_hh_fec!P19)</f>
        <v>0.68913230478196219</v>
      </c>
      <c r="Q19" s="136">
        <f>IF(SER_hh_tes!Q19=0,"",SER_hh_tes!Q19/SER_hh_fec!Q19)</f>
        <v>0.6966026603138904</v>
      </c>
      <c r="R19" s="136">
        <f>IF(SER_hh_tes!R19=0,"",SER_hh_tes!R19/SER_hh_fec!R19)</f>
        <v>0.70778541830991804</v>
      </c>
      <c r="S19" s="136">
        <f>IF(SER_hh_tes!S19=0,"",SER_hh_tes!S19/SER_hh_fec!S19)</f>
        <v>0.72193145761297894</v>
      </c>
      <c r="T19" s="136">
        <f>IF(SER_hh_tes!T19=0,"",SER_hh_tes!T19/SER_hh_fec!T19)</f>
        <v>0.73781266262204126</v>
      </c>
      <c r="U19" s="136">
        <f>IF(SER_hh_tes!U19=0,"",SER_hh_tes!U19/SER_hh_fec!U19)</f>
        <v>0.75367723231587647</v>
      </c>
      <c r="V19" s="136">
        <f>IF(SER_hh_tes!V19=0,"",SER_hh_tes!V19/SER_hh_fec!V19)</f>
        <v>0.77098838128907454</v>
      </c>
      <c r="W19" s="136">
        <f>IF(SER_hh_tes!W19=0,"",SER_hh_tes!W19/SER_hh_fec!W19)</f>
        <v>0.78593009639879385</v>
      </c>
      <c r="DA19" s="163" t="s">
        <v>241</v>
      </c>
    </row>
    <row r="20" spans="1:105" ht="12" customHeight="1" x14ac:dyDescent="0.25">
      <c r="A20" s="132" t="s">
        <v>29</v>
      </c>
      <c r="B20" s="137" t="str">
        <f>IF(SER_hh_tes!B20=0,"",SER_hh_tes!B20/SER_hh_fec!B20)</f>
        <v/>
      </c>
      <c r="C20" s="137" t="str">
        <f>IF(SER_hh_tes!C20=0,"",SER_hh_tes!C20/SER_hh_fec!C20)</f>
        <v/>
      </c>
      <c r="D20" s="137" t="str">
        <f>IF(SER_hh_tes!D20=0,"",SER_hh_tes!D20/SER_hh_fec!D20)</f>
        <v/>
      </c>
      <c r="E20" s="137" t="str">
        <f>IF(SER_hh_tes!E20=0,"",SER_hh_tes!E20/SER_hh_fec!E20)</f>
        <v/>
      </c>
      <c r="F20" s="137" t="str">
        <f>IF(SER_hh_tes!F20=0,"",SER_hh_tes!F20/SER_hh_fec!F20)</f>
        <v/>
      </c>
      <c r="G20" s="137" t="str">
        <f>IF(SER_hh_tes!G20=0,"",SER_hh_tes!G20/SER_hh_fec!G20)</f>
        <v/>
      </c>
      <c r="H20" s="137" t="str">
        <f>IF(SER_hh_tes!H20=0,"",SER_hh_tes!H20/SER_hh_fec!H20)</f>
        <v/>
      </c>
      <c r="I20" s="137" t="str">
        <f>IF(SER_hh_tes!I20=0,"",SER_hh_tes!I20/SER_hh_fec!I20)</f>
        <v/>
      </c>
      <c r="J20" s="137" t="str">
        <f>IF(SER_hh_tes!J20=0,"",SER_hh_tes!J20/SER_hh_fec!J20)</f>
        <v/>
      </c>
      <c r="K20" s="137" t="str">
        <f>IF(SER_hh_tes!K20=0,"",SER_hh_tes!K20/SER_hh_fec!K20)</f>
        <v/>
      </c>
      <c r="L20" s="137" t="str">
        <f>IF(SER_hh_tes!L20=0,"",SER_hh_tes!L20/SER_hh_fec!L20)</f>
        <v/>
      </c>
      <c r="M20" s="137" t="str">
        <f>IF(SER_hh_tes!M20=0,"",SER_hh_tes!M20/SER_hh_fec!M20)</f>
        <v/>
      </c>
      <c r="N20" s="137" t="str">
        <f>IF(SER_hh_tes!N20=0,"",SER_hh_tes!N20/SER_hh_fec!N20)</f>
        <v/>
      </c>
      <c r="O20" s="137" t="str">
        <f>IF(SER_hh_tes!O20=0,"",SER_hh_tes!O20/SER_hh_fec!O20)</f>
        <v/>
      </c>
      <c r="P20" s="137" t="str">
        <f>IF(SER_hh_tes!P20=0,"",SER_hh_tes!P20/SER_hh_fec!P20)</f>
        <v/>
      </c>
      <c r="Q20" s="137" t="str">
        <f>IF(SER_hh_tes!Q20=0,"",SER_hh_tes!Q20/SER_hh_fec!Q20)</f>
        <v/>
      </c>
      <c r="R20" s="137" t="str">
        <f>IF(SER_hh_tes!R20=0,"",SER_hh_tes!R20/SER_hh_fec!R20)</f>
        <v/>
      </c>
      <c r="S20" s="137" t="str">
        <f>IF(SER_hh_tes!S20=0,"",SER_hh_tes!S20/SER_hh_fec!S20)</f>
        <v/>
      </c>
      <c r="T20" s="137" t="str">
        <f>IF(SER_hh_tes!T20=0,"",SER_hh_tes!T20/SER_hh_fec!T20)</f>
        <v/>
      </c>
      <c r="U20" s="137" t="str">
        <f>IF(SER_hh_tes!U20=0,"",SER_hh_tes!U20/SER_hh_fec!U20)</f>
        <v/>
      </c>
      <c r="V20" s="137" t="str">
        <f>IF(SER_hh_tes!V20=0,"",SER_hh_tes!V20/SER_hh_fec!V20)</f>
        <v/>
      </c>
      <c r="W20" s="137" t="str">
        <f>IF(SER_hh_tes!W20=0,"",SER_hh_tes!W20/SER_hh_fec!W20)</f>
        <v/>
      </c>
      <c r="DA20" s="164" t="s">
        <v>344</v>
      </c>
    </row>
    <row r="21" spans="1:105" s="2" customFormat="1" ht="12" customHeight="1" x14ac:dyDescent="0.25">
      <c r="A21" s="132" t="s">
        <v>52</v>
      </c>
      <c r="B21" s="137">
        <f>IF(SER_hh_tes!B21=0,"",SER_hh_tes!B21/SER_hh_fec!B21)</f>
        <v>0.59383678854224975</v>
      </c>
      <c r="C21" s="137">
        <f>IF(SER_hh_tes!C21=0,"",SER_hh_tes!C21/SER_hh_fec!C21)</f>
        <v>0.59551384908513283</v>
      </c>
      <c r="D21" s="137">
        <f>IF(SER_hh_tes!D21=0,"",SER_hh_tes!D21/SER_hh_fec!D21)</f>
        <v>0.59701855549171257</v>
      </c>
      <c r="E21" s="137">
        <f>IF(SER_hh_tes!E21=0,"",SER_hh_tes!E21/SER_hh_fec!E21)</f>
        <v>0.59758156692834097</v>
      </c>
      <c r="F21" s="137">
        <f>IF(SER_hh_tes!F21=0,"",SER_hh_tes!F21/SER_hh_fec!F21)</f>
        <v>0.59791639606831248</v>
      </c>
      <c r="G21" s="137">
        <f>IF(SER_hh_tes!G21=0,"",SER_hh_tes!G21/SER_hh_fec!G21)</f>
        <v>0.59816412839568023</v>
      </c>
      <c r="H21" s="137">
        <f>IF(SER_hh_tes!H21=0,"",SER_hh_tes!H21/SER_hh_fec!H21)</f>
        <v>0.59816462648572599</v>
      </c>
      <c r="I21" s="137">
        <f>IF(SER_hh_tes!I21=0,"",SER_hh_tes!I21/SER_hh_fec!I21)</f>
        <v>0.59816530094043596</v>
      </c>
      <c r="J21" s="137">
        <f>IF(SER_hh_tes!J21=0,"",SER_hh_tes!J21/SER_hh_fec!J21)</f>
        <v>0.5981654919675915</v>
      </c>
      <c r="K21" s="137">
        <f>IF(SER_hh_tes!K21=0,"",SER_hh_tes!K21/SER_hh_fec!K21)</f>
        <v>0.59816590446882723</v>
      </c>
      <c r="L21" s="137">
        <f>IF(SER_hh_tes!L21=0,"",SER_hh_tes!L21/SER_hh_fec!L21)</f>
        <v>0.59821022525903</v>
      </c>
      <c r="M21" s="137">
        <f>IF(SER_hh_tes!M21=0,"",SER_hh_tes!M21/SER_hh_fec!M21)</f>
        <v>0.60964900559243418</v>
      </c>
      <c r="N21" s="137">
        <f>IF(SER_hh_tes!N21=0,"",SER_hh_tes!N21/SER_hh_fec!N21)</f>
        <v>0.63800955137170179</v>
      </c>
      <c r="O21" s="137">
        <f>IF(SER_hh_tes!O21=0,"",SER_hh_tes!O21/SER_hh_fec!O21)</f>
        <v>0.66698295859931367</v>
      </c>
      <c r="P21" s="137">
        <f>IF(SER_hh_tes!P21=0,"",SER_hh_tes!P21/SER_hh_fec!P21)</f>
        <v>0.67093287595658202</v>
      </c>
      <c r="Q21" s="137">
        <f>IF(SER_hh_tes!Q21=0,"",SER_hh_tes!Q21/SER_hh_fec!Q21)</f>
        <v>0.67760468222165438</v>
      </c>
      <c r="R21" s="137">
        <f>IF(SER_hh_tes!R21=0,"",SER_hh_tes!R21/SER_hh_fec!R21)</f>
        <v>0.68883235174701563</v>
      </c>
      <c r="S21" s="137">
        <f>IF(SER_hh_tes!S21=0,"",SER_hh_tes!S21/SER_hh_fec!S21)</f>
        <v>0.70805608480729476</v>
      </c>
      <c r="T21" s="137">
        <f>IF(SER_hh_tes!T21=0,"",SER_hh_tes!T21/SER_hh_fec!T21)</f>
        <v>0.72102784324925928</v>
      </c>
      <c r="U21" s="137">
        <f>IF(SER_hh_tes!U21=0,"",SER_hh_tes!U21/SER_hh_fec!U21)</f>
        <v>0.72677046450711302</v>
      </c>
      <c r="V21" s="137">
        <f>IF(SER_hh_tes!V21=0,"",SER_hh_tes!V21/SER_hh_fec!V21)</f>
        <v>0.7284636599557015</v>
      </c>
      <c r="W21" s="137">
        <f>IF(SER_hh_tes!W21=0,"",SER_hh_tes!W21/SER_hh_fec!W21)</f>
        <v>0.7341431661818687</v>
      </c>
      <c r="DA21" s="164" t="s">
        <v>345</v>
      </c>
    </row>
    <row r="22" spans="1:105" ht="12" customHeight="1" x14ac:dyDescent="0.25">
      <c r="A22" s="132" t="s">
        <v>168</v>
      </c>
      <c r="B22" s="137">
        <f>IF(SER_hh_tes!B22=0,"",SER_hh_tes!B22/SER_hh_fec!B22)</f>
        <v>0.55962514205895575</v>
      </c>
      <c r="C22" s="137">
        <f>IF(SER_hh_tes!C22=0,"",SER_hh_tes!C22/SER_hh_fec!C22)</f>
        <v>0.56098549302217438</v>
      </c>
      <c r="D22" s="137">
        <f>IF(SER_hh_tes!D22=0,"",SER_hh_tes!D22/SER_hh_fec!D22)</f>
        <v>0.56243320040752076</v>
      </c>
      <c r="E22" s="137">
        <f>IF(SER_hh_tes!E22=0,"",SER_hh_tes!E22/SER_hh_fec!E22)</f>
        <v>0.56409684060827947</v>
      </c>
      <c r="F22" s="137">
        <f>IF(SER_hh_tes!F22=0,"",SER_hh_tes!F22/SER_hh_fec!F22)</f>
        <v>0.56600973511867747</v>
      </c>
      <c r="G22" s="137">
        <f>IF(SER_hh_tes!G22=0,"",SER_hh_tes!G22/SER_hh_fec!G22)</f>
        <v>0.56813658211511309</v>
      </c>
      <c r="H22" s="137">
        <f>IF(SER_hh_tes!H22=0,"",SER_hh_tes!H22/SER_hh_fec!H22)</f>
        <v>0.57041417906461089</v>
      </c>
      <c r="I22" s="137">
        <f>IF(SER_hh_tes!I22=0,"",SER_hh_tes!I22/SER_hh_fec!I22)</f>
        <v>0.57288549212914619</v>
      </c>
      <c r="J22" s="137">
        <f>IF(SER_hh_tes!J22=0,"",SER_hh_tes!J22/SER_hh_fec!J22)</f>
        <v>0.57557426602776329</v>
      </c>
      <c r="K22" s="137">
        <f>IF(SER_hh_tes!K22=0,"",SER_hh_tes!K22/SER_hh_fec!K22)</f>
        <v>0.57891772408755326</v>
      </c>
      <c r="L22" s="137">
        <f>IF(SER_hh_tes!L22=0,"",SER_hh_tes!L22/SER_hh_fec!L22)</f>
        <v>0.5832763942519178</v>
      </c>
      <c r="M22" s="137">
        <f>IF(SER_hh_tes!M22=0,"",SER_hh_tes!M22/SER_hh_fec!M22)</f>
        <v>0.5891280002349143</v>
      </c>
      <c r="N22" s="137">
        <f>IF(SER_hh_tes!N22=0,"",SER_hh_tes!N22/SER_hh_fec!N22)</f>
        <v>0.59728100695328001</v>
      </c>
      <c r="O22" s="137">
        <f>IF(SER_hh_tes!O22=0,"",SER_hh_tes!O22/SER_hh_fec!O22)</f>
        <v>0.60727361305932859</v>
      </c>
      <c r="P22" s="137">
        <f>IF(SER_hh_tes!P22=0,"",SER_hh_tes!P22/SER_hh_fec!P22)</f>
        <v>0.6113451616122163</v>
      </c>
      <c r="Q22" s="137">
        <f>IF(SER_hh_tes!Q22=0,"",SER_hh_tes!Q22/SER_hh_fec!Q22)</f>
        <v>0.61784935682299791</v>
      </c>
      <c r="R22" s="137">
        <f>IF(SER_hh_tes!R22=0,"",SER_hh_tes!R22/SER_hh_fec!R22)</f>
        <v>0.62635287292923381</v>
      </c>
      <c r="S22" s="137">
        <f>IF(SER_hh_tes!S22=0,"",SER_hh_tes!S22/SER_hh_fec!S22)</f>
        <v>0.63803144468510964</v>
      </c>
      <c r="T22" s="137">
        <f>IF(SER_hh_tes!T22=0,"",SER_hh_tes!T22/SER_hh_fec!T22)</f>
        <v>0.64972194426030494</v>
      </c>
      <c r="U22" s="137">
        <f>IF(SER_hh_tes!U22=0,"",SER_hh_tes!U22/SER_hh_fec!U22)</f>
        <v>0.66293648667206828</v>
      </c>
      <c r="V22" s="137">
        <f>IF(SER_hh_tes!V22=0,"",SER_hh_tes!V22/SER_hh_fec!V22)</f>
        <v>0.67655932769316396</v>
      </c>
      <c r="W22" s="137">
        <f>IF(SER_hh_tes!W22=0,"",SER_hh_tes!W22/SER_hh_fec!W22)</f>
        <v>0.69539130116267334</v>
      </c>
      <c r="DA22" s="164" t="s">
        <v>346</v>
      </c>
    </row>
    <row r="23" spans="1:105" ht="12" customHeight="1" x14ac:dyDescent="0.25">
      <c r="A23" s="132" t="s">
        <v>153</v>
      </c>
      <c r="B23" s="137">
        <f>IF(SER_hh_tes!B23=0,"",SER_hh_tes!B23/SER_hh_fec!B23)</f>
        <v>0.57172651907733796</v>
      </c>
      <c r="C23" s="137">
        <f>IF(SER_hh_tes!C23=0,"",SER_hh_tes!C23/SER_hh_fec!C23)</f>
        <v>0.57687441561348263</v>
      </c>
      <c r="D23" s="137">
        <f>IF(SER_hh_tes!D23=0,"",SER_hh_tes!D23/SER_hh_fec!D23)</f>
        <v>0.58356949837559324</v>
      </c>
      <c r="E23" s="137">
        <f>IF(SER_hh_tes!E23=0,"",SER_hh_tes!E23/SER_hh_fec!E23)</f>
        <v>0.58927233749182628</v>
      </c>
      <c r="F23" s="137">
        <f>IF(SER_hh_tes!F23=0,"",SER_hh_tes!F23/SER_hh_fec!F23)</f>
        <v>0.59640732824873022</v>
      </c>
      <c r="G23" s="137">
        <f>IF(SER_hh_tes!G23=0,"",SER_hh_tes!G23/SER_hh_fec!G23)</f>
        <v>0.60350403485704518</v>
      </c>
      <c r="H23" s="137">
        <f>IF(SER_hh_tes!H23=0,"",SER_hh_tes!H23/SER_hh_fec!H23)</f>
        <v>0.61117830387626693</v>
      </c>
      <c r="I23" s="137">
        <f>IF(SER_hh_tes!I23=0,"",SER_hh_tes!I23/SER_hh_fec!I23)</f>
        <v>0.61963390483063463</v>
      </c>
      <c r="J23" s="137">
        <f>IF(SER_hh_tes!J23=0,"",SER_hh_tes!J23/SER_hh_fec!J23)</f>
        <v>0.62782252587118825</v>
      </c>
      <c r="K23" s="137">
        <f>IF(SER_hh_tes!K23=0,"",SER_hh_tes!K23/SER_hh_fec!K23)</f>
        <v>0.63519473008410055</v>
      </c>
      <c r="L23" s="137">
        <f>IF(SER_hh_tes!L23=0,"",SER_hh_tes!L23/SER_hh_fec!L23)</f>
        <v>0.64520833606830275</v>
      </c>
      <c r="M23" s="137">
        <f>IF(SER_hh_tes!M23=0,"",SER_hh_tes!M23/SER_hh_fec!M23)</f>
        <v>0.65634019864646842</v>
      </c>
      <c r="N23" s="137">
        <f>IF(SER_hh_tes!N23=0,"",SER_hh_tes!N23/SER_hh_fec!N23)</f>
        <v>0.66867090092217696</v>
      </c>
      <c r="O23" s="137">
        <f>IF(SER_hh_tes!O23=0,"",SER_hh_tes!O23/SER_hh_fec!O23)</f>
        <v>0.68134714478177949</v>
      </c>
      <c r="P23" s="137">
        <f>IF(SER_hh_tes!P23=0,"",SER_hh_tes!P23/SER_hh_fec!P23)</f>
        <v>0.68726038079703222</v>
      </c>
      <c r="Q23" s="137">
        <f>IF(SER_hh_tes!Q23=0,"",SER_hh_tes!Q23/SER_hh_fec!Q23)</f>
        <v>0.69489514002135999</v>
      </c>
      <c r="R23" s="137">
        <f>IF(SER_hh_tes!R23=0,"",SER_hh_tes!R23/SER_hh_fec!R23)</f>
        <v>0.70613366483710938</v>
      </c>
      <c r="S23" s="137">
        <f>IF(SER_hh_tes!S23=0,"",SER_hh_tes!S23/SER_hh_fec!S23)</f>
        <v>0.72055828058580418</v>
      </c>
      <c r="T23" s="137">
        <f>IF(SER_hh_tes!T23=0,"",SER_hh_tes!T23/SER_hh_fec!T23)</f>
        <v>0.73655533357819936</v>
      </c>
      <c r="U23" s="137">
        <f>IF(SER_hh_tes!U23=0,"",SER_hh_tes!U23/SER_hh_fec!U23)</f>
        <v>0.75277654894308443</v>
      </c>
      <c r="V23" s="137">
        <f>IF(SER_hh_tes!V23=0,"",SER_hh_tes!V23/SER_hh_fec!V23)</f>
        <v>0.76990966992060905</v>
      </c>
      <c r="W23" s="137">
        <f>IF(SER_hh_tes!W23=0,"",SER_hh_tes!W23/SER_hh_fec!W23)</f>
        <v>0.78629337108692565</v>
      </c>
      <c r="DA23" s="164" t="s">
        <v>347</v>
      </c>
    </row>
    <row r="24" spans="1:105" ht="12" customHeight="1" x14ac:dyDescent="0.25">
      <c r="A24" s="132" t="s">
        <v>128</v>
      </c>
      <c r="B24" s="137" t="str">
        <f>IF(SER_hh_tes!B24=0,"",SER_hh_tes!B24/SER_hh_fec!B24)</f>
        <v/>
      </c>
      <c r="C24" s="137" t="str">
        <f>IF(SER_hh_tes!C24=0,"",SER_hh_tes!C24/SER_hh_fec!C24)</f>
        <v/>
      </c>
      <c r="D24" s="137" t="str">
        <f>IF(SER_hh_tes!D24=0,"",SER_hh_tes!D24/SER_hh_fec!D24)</f>
        <v/>
      </c>
      <c r="E24" s="137" t="str">
        <f>IF(SER_hh_tes!E24=0,"",SER_hh_tes!E24/SER_hh_fec!E24)</f>
        <v/>
      </c>
      <c r="F24" s="137" t="str">
        <f>IF(SER_hh_tes!F24=0,"",SER_hh_tes!F24/SER_hh_fec!F24)</f>
        <v/>
      </c>
      <c r="G24" s="137" t="str">
        <f>IF(SER_hh_tes!G24=0,"",SER_hh_tes!G24/SER_hh_fec!G24)</f>
        <v/>
      </c>
      <c r="H24" s="137" t="str">
        <f>IF(SER_hh_tes!H24=0,"",SER_hh_tes!H24/SER_hh_fec!H24)</f>
        <v/>
      </c>
      <c r="I24" s="137" t="str">
        <f>IF(SER_hh_tes!I24=0,"",SER_hh_tes!I24/SER_hh_fec!I24)</f>
        <v/>
      </c>
      <c r="J24" s="137" t="str">
        <f>IF(SER_hh_tes!J24=0,"",SER_hh_tes!J24/SER_hh_fec!J24)</f>
        <v/>
      </c>
      <c r="K24" s="137" t="str">
        <f>IF(SER_hh_tes!K24=0,"",SER_hh_tes!K24/SER_hh_fec!K24)</f>
        <v/>
      </c>
      <c r="L24" s="137" t="str">
        <f>IF(SER_hh_tes!L24=0,"",SER_hh_tes!L24/SER_hh_fec!L24)</f>
        <v/>
      </c>
      <c r="M24" s="137" t="str">
        <f>IF(SER_hh_tes!M24=0,"",SER_hh_tes!M24/SER_hh_fec!M24)</f>
        <v/>
      </c>
      <c r="N24" s="137" t="str">
        <f>IF(SER_hh_tes!N24=0,"",SER_hh_tes!N24/SER_hh_fec!N24)</f>
        <v/>
      </c>
      <c r="O24" s="137" t="str">
        <f>IF(SER_hh_tes!O24=0,"",SER_hh_tes!O24/SER_hh_fec!O24)</f>
        <v/>
      </c>
      <c r="P24" s="137" t="str">
        <f>IF(SER_hh_tes!P24=0,"",SER_hh_tes!P24/SER_hh_fec!P24)</f>
        <v/>
      </c>
      <c r="Q24" s="137" t="str">
        <f>IF(SER_hh_tes!Q24=0,"",SER_hh_tes!Q24/SER_hh_fec!Q24)</f>
        <v/>
      </c>
      <c r="R24" s="137" t="str">
        <f>IF(SER_hh_tes!R24=0,"",SER_hh_tes!R24/SER_hh_fec!R24)</f>
        <v/>
      </c>
      <c r="S24" s="137" t="str">
        <f>IF(SER_hh_tes!S24=0,"",SER_hh_tes!S24/SER_hh_fec!S24)</f>
        <v/>
      </c>
      <c r="T24" s="137" t="str">
        <f>IF(SER_hh_tes!T24=0,"",SER_hh_tes!T24/SER_hh_fec!T24)</f>
        <v/>
      </c>
      <c r="U24" s="137" t="str">
        <f>IF(SER_hh_tes!U24=0,"",SER_hh_tes!U24/SER_hh_fec!U24)</f>
        <v/>
      </c>
      <c r="V24" s="137" t="str">
        <f>IF(SER_hh_tes!V24=0,"",SER_hh_tes!V24/SER_hh_fec!V24)</f>
        <v/>
      </c>
      <c r="W24" s="137" t="str">
        <f>IF(SER_hh_tes!W24=0,"",SER_hh_tes!W24/SER_hh_fec!W24)</f>
        <v/>
      </c>
      <c r="DA24" s="164" t="s">
        <v>348</v>
      </c>
    </row>
    <row r="25" spans="1:105" ht="12" customHeight="1" x14ac:dyDescent="0.25">
      <c r="A25" s="132" t="s">
        <v>169</v>
      </c>
      <c r="B25" s="137">
        <f>IF(SER_hh_tes!B25=0,"",SER_hh_tes!B25/SER_hh_fec!B25)</f>
        <v>0.85580988630977262</v>
      </c>
      <c r="C25" s="137">
        <f>IF(SER_hh_tes!C25=0,"",SER_hh_tes!C25/SER_hh_fec!C25)</f>
        <v>0.85783072501364399</v>
      </c>
      <c r="D25" s="137">
        <f>IF(SER_hh_tes!D25=0,"",SER_hh_tes!D25/SER_hh_fec!D25)</f>
        <v>0.86002373866060011</v>
      </c>
      <c r="E25" s="137">
        <f>IF(SER_hh_tes!E25=0,"",SER_hh_tes!E25/SER_hh_fec!E25)</f>
        <v>0.86243794778883509</v>
      </c>
      <c r="F25" s="137">
        <f>IF(SER_hh_tes!F25=0,"",SER_hh_tes!F25/SER_hh_fec!F25)</f>
        <v>0.86522187699574371</v>
      </c>
      <c r="G25" s="137">
        <f>IF(SER_hh_tes!G25=0,"",SER_hh_tes!G25/SER_hh_fec!G25)</f>
        <v>0.86813094326202189</v>
      </c>
      <c r="H25" s="137">
        <f>IF(SER_hh_tes!H25=0,"",SER_hh_tes!H25/SER_hh_fec!H25)</f>
        <v>0.87104759818950572</v>
      </c>
      <c r="I25" s="137">
        <f>IF(SER_hh_tes!I25=0,"",SER_hh_tes!I25/SER_hh_fec!I25)</f>
        <v>0.87399094083607309</v>
      </c>
      <c r="J25" s="137">
        <f>IF(SER_hh_tes!J25=0,"",SER_hh_tes!J25/SER_hh_fec!J25)</f>
        <v>0.87714074947879039</v>
      </c>
      <c r="K25" s="137">
        <f>IF(SER_hh_tes!K25=0,"",SER_hh_tes!K25/SER_hh_fec!K25)</f>
        <v>0.88047601438387224</v>
      </c>
      <c r="L25" s="137">
        <f>IF(SER_hh_tes!L25=0,"",SER_hh_tes!L25/SER_hh_fec!L25)</f>
        <v>0.88427179393351485</v>
      </c>
      <c r="M25" s="137">
        <f>IF(SER_hh_tes!M25=0,"",SER_hh_tes!M25/SER_hh_fec!M25)</f>
        <v>0.88846700914516508</v>
      </c>
      <c r="N25" s="137">
        <f>IF(SER_hh_tes!N25=0,"",SER_hh_tes!N25/SER_hh_fec!N25)</f>
        <v>0.89345645773529159</v>
      </c>
      <c r="O25" s="137">
        <f>IF(SER_hh_tes!O25=0,"",SER_hh_tes!O25/SER_hh_fec!O25)</f>
        <v>0.89857346410429728</v>
      </c>
      <c r="P25" s="137">
        <f>IF(SER_hh_tes!P25=0,"",SER_hh_tes!P25/SER_hh_fec!P25)</f>
        <v>0.90077903500052781</v>
      </c>
      <c r="Q25" s="137">
        <f>IF(SER_hh_tes!Q25=0,"",SER_hh_tes!Q25/SER_hh_fec!Q25)</f>
        <v>0.90376106836940318</v>
      </c>
      <c r="R25" s="137">
        <f>IF(SER_hh_tes!R25=0,"",SER_hh_tes!R25/SER_hh_fec!R25)</f>
        <v>0.90708977321831763</v>
      </c>
      <c r="S25" s="137">
        <f>IF(SER_hh_tes!S25=0,"",SER_hh_tes!S25/SER_hh_fec!S25)</f>
        <v>0.91075256186966658</v>
      </c>
      <c r="T25" s="137">
        <f>IF(SER_hh_tes!T25=0,"",SER_hh_tes!T25/SER_hh_fec!T25)</f>
        <v>0.91440900444154249</v>
      </c>
      <c r="U25" s="137">
        <f>IF(SER_hh_tes!U25=0,"",SER_hh_tes!U25/SER_hh_fec!U25)</f>
        <v>0.91811326298724383</v>
      </c>
      <c r="V25" s="137">
        <f>IF(SER_hh_tes!V25=0,"",SER_hh_tes!V25/SER_hh_fec!V25)</f>
        <v>0.92202972453878884</v>
      </c>
      <c r="W25" s="137">
        <f>IF(SER_hh_tes!W25=0,"",SER_hh_tes!W25/SER_hh_fec!W25)</f>
        <v>0.92573227154538207</v>
      </c>
      <c r="DA25" s="164" t="s">
        <v>349</v>
      </c>
    </row>
    <row r="26" spans="1:105" ht="12" customHeight="1" x14ac:dyDescent="0.25">
      <c r="A26" s="132" t="s">
        <v>24</v>
      </c>
      <c r="B26" s="138">
        <f>IF(SER_hh_tes!B26=0,"",SER_hh_tes!B26/SER_hh_fec!B26)</f>
        <v>0.70518152412669399</v>
      </c>
      <c r="C26" s="138">
        <f>IF(SER_hh_tes!C26=0,"",SER_hh_tes!C26/SER_hh_fec!C26)</f>
        <v>0.70838331650940545</v>
      </c>
      <c r="D26" s="138">
        <f>IF(SER_hh_tes!D26=0,"",SER_hh_tes!D26/SER_hh_fec!D26)</f>
        <v>0.71412743752868346</v>
      </c>
      <c r="E26" s="138">
        <f>IF(SER_hh_tes!E26=0,"",SER_hh_tes!E26/SER_hh_fec!E26)</f>
        <v>0.71689474866297731</v>
      </c>
      <c r="F26" s="138">
        <f>IF(SER_hh_tes!F26=0,"",SER_hh_tes!F26/SER_hh_fec!F26)</f>
        <v>0.72011191198695068</v>
      </c>
      <c r="G26" s="138">
        <f>IF(SER_hh_tes!G26=0,"",SER_hh_tes!G26/SER_hh_fec!G26)</f>
        <v>0.72329173727288865</v>
      </c>
      <c r="H26" s="138">
        <f>IF(SER_hh_tes!H26=0,"",SER_hh_tes!H26/SER_hh_fec!H26)</f>
        <v>0.72650971061532255</v>
      </c>
      <c r="I26" s="138">
        <f>IF(SER_hh_tes!I26=0,"",SER_hh_tes!I26/SER_hh_fec!I26)</f>
        <v>0.72957299350948979</v>
      </c>
      <c r="J26" s="138">
        <f>IF(SER_hh_tes!J26=0,"",SER_hh_tes!J26/SER_hh_fec!J26)</f>
        <v>0.7327037923100097</v>
      </c>
      <c r="K26" s="138">
        <f>IF(SER_hh_tes!K26=0,"",SER_hh_tes!K26/SER_hh_fec!K26)</f>
        <v>0.7352643693864549</v>
      </c>
      <c r="L26" s="138">
        <f>IF(SER_hh_tes!L26=0,"",SER_hh_tes!L26/SER_hh_fec!L26)</f>
        <v>0.73920451444778135</v>
      </c>
      <c r="M26" s="138">
        <f>IF(SER_hh_tes!M26=0,"",SER_hh_tes!M26/SER_hh_fec!M26)</f>
        <v>0.74283384208461156</v>
      </c>
      <c r="N26" s="138">
        <f>IF(SER_hh_tes!N26=0,"",SER_hh_tes!N26/SER_hh_fec!N26)</f>
        <v>0.74758627047481818</v>
      </c>
      <c r="O26" s="138">
        <f>IF(SER_hh_tes!O26=0,"",SER_hh_tes!O26/SER_hh_fec!O26)</f>
        <v>0.75353215576659782</v>
      </c>
      <c r="P26" s="138">
        <f>IF(SER_hh_tes!P26=0,"",SER_hh_tes!P26/SER_hh_fec!P26)</f>
        <v>0.75806436287085177</v>
      </c>
      <c r="Q26" s="138">
        <f>IF(SER_hh_tes!Q26=0,"",SER_hh_tes!Q26/SER_hh_fec!Q26)</f>
        <v>0.76507689739666696</v>
      </c>
      <c r="R26" s="138">
        <f>IF(SER_hh_tes!R26=0,"",SER_hh_tes!R26/SER_hh_fec!R26)</f>
        <v>0.77490007861130716</v>
      </c>
      <c r="S26" s="138">
        <f>IF(SER_hh_tes!S26=0,"",SER_hh_tes!S26/SER_hh_fec!S26)</f>
        <v>0.78867105753334643</v>
      </c>
      <c r="T26" s="138">
        <f>IF(SER_hh_tes!T26=0,"",SER_hh_tes!T26/SER_hh_fec!T26)</f>
        <v>0.80444378262033345</v>
      </c>
      <c r="U26" s="138">
        <f>IF(SER_hh_tes!U26=0,"",SER_hh_tes!U26/SER_hh_fec!U26)</f>
        <v>0.81896126233768174</v>
      </c>
      <c r="V26" s="138">
        <f>IF(SER_hh_tes!V26=0,"",SER_hh_tes!V26/SER_hh_fec!V26)</f>
        <v>0.83417269361007129</v>
      </c>
      <c r="W26" s="138">
        <f>IF(SER_hh_tes!W26=0,"",SER_hh_tes!W26/SER_hh_fec!W26)</f>
        <v>0.84807556844945431</v>
      </c>
      <c r="DA26" s="165" t="s">
        <v>350</v>
      </c>
    </row>
    <row r="27" spans="1:105" ht="12" customHeight="1" x14ac:dyDescent="0.25">
      <c r="A27" s="145" t="s">
        <v>26</v>
      </c>
      <c r="B27" s="154">
        <f>IF(SER_hh_tes!B27=0,"",SER_hh_tes!B27/SER_hh_fec!B27)</f>
        <v>1</v>
      </c>
      <c r="C27" s="154">
        <f>IF(SER_hh_tes!C27=0,"",SER_hh_tes!C27/SER_hh_fec!C27)</f>
        <v>1</v>
      </c>
      <c r="D27" s="154">
        <f>IF(SER_hh_tes!D27=0,"",SER_hh_tes!D27/SER_hh_fec!D27)</f>
        <v>1</v>
      </c>
      <c r="E27" s="154">
        <f>IF(SER_hh_tes!E27=0,"",SER_hh_tes!E27/SER_hh_fec!E27)</f>
        <v>1</v>
      </c>
      <c r="F27" s="154">
        <f>IF(SER_hh_tes!F27=0,"",SER_hh_tes!F27/SER_hh_fec!F27)</f>
        <v>1</v>
      </c>
      <c r="G27" s="154">
        <f>IF(SER_hh_tes!G27=0,"",SER_hh_tes!G27/SER_hh_fec!G27)</f>
        <v>1</v>
      </c>
      <c r="H27" s="154">
        <f>IF(SER_hh_tes!H27=0,"",SER_hh_tes!H27/SER_hh_fec!H27)</f>
        <v>1</v>
      </c>
      <c r="I27" s="154">
        <f>IF(SER_hh_tes!I27=0,"",SER_hh_tes!I27/SER_hh_fec!I27)</f>
        <v>1</v>
      </c>
      <c r="J27" s="154">
        <f>IF(SER_hh_tes!J27=0,"",SER_hh_tes!J27/SER_hh_fec!J27)</f>
        <v>1</v>
      </c>
      <c r="K27" s="154">
        <f>IF(SER_hh_tes!K27=0,"",SER_hh_tes!K27/SER_hh_fec!K27)</f>
        <v>1</v>
      </c>
      <c r="L27" s="154">
        <f>IF(SER_hh_tes!L27=0,"",SER_hh_tes!L27/SER_hh_fec!L27)</f>
        <v>1</v>
      </c>
      <c r="M27" s="154">
        <f>IF(SER_hh_tes!M27=0,"",SER_hh_tes!M27/SER_hh_fec!M27)</f>
        <v>1</v>
      </c>
      <c r="N27" s="154">
        <f>IF(SER_hh_tes!N27=0,"",SER_hh_tes!N27/SER_hh_fec!N27)</f>
        <v>1</v>
      </c>
      <c r="O27" s="154">
        <f>IF(SER_hh_tes!O27=0,"",SER_hh_tes!O27/SER_hh_fec!O27)</f>
        <v>1</v>
      </c>
      <c r="P27" s="154">
        <f>IF(SER_hh_tes!P27=0,"",SER_hh_tes!P27/SER_hh_fec!P27)</f>
        <v>1</v>
      </c>
      <c r="Q27" s="154">
        <f>IF(SER_hh_tes!Q27=0,"",SER_hh_tes!Q27/SER_hh_fec!Q27)</f>
        <v>1</v>
      </c>
      <c r="R27" s="154">
        <f>IF(SER_hh_tes!R27=0,"",SER_hh_tes!R27/SER_hh_fec!R27)</f>
        <v>1</v>
      </c>
      <c r="S27" s="154">
        <f>IF(SER_hh_tes!S27=0,"",SER_hh_tes!S27/SER_hh_fec!S27)</f>
        <v>1</v>
      </c>
      <c r="T27" s="154">
        <f>IF(SER_hh_tes!T27=0,"",SER_hh_tes!T27/SER_hh_fec!T27)</f>
        <v>1</v>
      </c>
      <c r="U27" s="154">
        <f>IF(SER_hh_tes!U27=0,"",SER_hh_tes!U27/SER_hh_fec!U27)</f>
        <v>1</v>
      </c>
      <c r="V27" s="154">
        <f>IF(SER_hh_tes!V27=0,"",SER_hh_tes!V27/SER_hh_fec!V27)</f>
        <v>1</v>
      </c>
      <c r="W27" s="154">
        <f>IF(SER_hh_tes!W27=0,"",SER_hh_tes!W27/SER_hh_fec!W27)</f>
        <v>1</v>
      </c>
      <c r="DA27" s="177" t="s">
        <v>351</v>
      </c>
    </row>
    <row r="28" spans="1:105" ht="12" hidden="1" customHeight="1" x14ac:dyDescent="0.25">
      <c r="A28" s="78" t="s">
        <v>26</v>
      </c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DA28" s="168"/>
    </row>
    <row r="29" spans="1:105" ht="12.95" customHeight="1" x14ac:dyDescent="0.25">
      <c r="A29" s="130" t="s">
        <v>34</v>
      </c>
      <c r="B29" s="136">
        <f>IF(SER_hh_tes!B29=0,"",SER_hh_tes!B29/SER_hh_fec!B29)</f>
        <v>0.66465670238846941</v>
      </c>
      <c r="C29" s="136">
        <f>IF(SER_hh_tes!C29=0,"",SER_hh_tes!C29/SER_hh_fec!C29)</f>
        <v>0.67000219052305432</v>
      </c>
      <c r="D29" s="136">
        <f>IF(SER_hh_tes!D29=0,"",SER_hh_tes!D29/SER_hh_fec!D29)</f>
        <v>0.6867585755943616</v>
      </c>
      <c r="E29" s="136">
        <f>IF(SER_hh_tes!E29=0,"",SER_hh_tes!E29/SER_hh_fec!E29)</f>
        <v>0.69450672016529214</v>
      </c>
      <c r="F29" s="136">
        <f>IF(SER_hh_tes!F29=0,"",SER_hh_tes!F29/SER_hh_fec!F29)</f>
        <v>0.69927441011735225</v>
      </c>
      <c r="G29" s="136">
        <f>IF(SER_hh_tes!G29=0,"",SER_hh_tes!G29/SER_hh_fec!G29)</f>
        <v>0.72271866245555005</v>
      </c>
      <c r="H29" s="136">
        <f>IF(SER_hh_tes!H29=0,"",SER_hh_tes!H29/SER_hh_fec!H29)</f>
        <v>0.72595616996896861</v>
      </c>
      <c r="I29" s="136">
        <f>IF(SER_hh_tes!I29=0,"",SER_hh_tes!I29/SER_hh_fec!I29)</f>
        <v>0.73102560946025741</v>
      </c>
      <c r="J29" s="136">
        <f>IF(SER_hh_tes!J29=0,"",SER_hh_tes!J29/SER_hh_fec!J29)</f>
        <v>0.73128195773941318</v>
      </c>
      <c r="K29" s="136">
        <f>IF(SER_hh_tes!K29=0,"",SER_hh_tes!K29/SER_hh_fec!K29)</f>
        <v>0.73336632033075566</v>
      </c>
      <c r="L29" s="136">
        <f>IF(SER_hh_tes!L29=0,"",SER_hh_tes!L29/SER_hh_fec!L29)</f>
        <v>0.73357023307132796</v>
      </c>
      <c r="M29" s="136">
        <f>IF(SER_hh_tes!M29=0,"",SER_hh_tes!M29/SER_hh_fec!M29)</f>
        <v>0.73547318926591621</v>
      </c>
      <c r="N29" s="136">
        <f>IF(SER_hh_tes!N29=0,"",SER_hh_tes!N29/SER_hh_fec!N29)</f>
        <v>0.73620569284651971</v>
      </c>
      <c r="O29" s="136">
        <f>IF(SER_hh_tes!O29=0,"",SER_hh_tes!O29/SER_hh_fec!O29)</f>
        <v>0.73647292532292807</v>
      </c>
      <c r="P29" s="136">
        <f>IF(SER_hh_tes!P29=0,"",SER_hh_tes!P29/SER_hh_fec!P29)</f>
        <v>0.7380771616024262</v>
      </c>
      <c r="Q29" s="136">
        <f>IF(SER_hh_tes!Q29=0,"",SER_hh_tes!Q29/SER_hh_fec!Q29)</f>
        <v>0.7368727362653662</v>
      </c>
      <c r="R29" s="136">
        <f>IF(SER_hh_tes!R29=0,"",SER_hh_tes!R29/SER_hh_fec!R29)</f>
        <v>0.73990872868788593</v>
      </c>
      <c r="S29" s="136">
        <f>IF(SER_hh_tes!S29=0,"",SER_hh_tes!S29/SER_hh_fec!S29)</f>
        <v>0.74099190655365355</v>
      </c>
      <c r="T29" s="136">
        <f>IF(SER_hh_tes!T29=0,"",SER_hh_tes!T29/SER_hh_fec!T29)</f>
        <v>0.74351435075897621</v>
      </c>
      <c r="U29" s="136">
        <f>IF(SER_hh_tes!U29=0,"",SER_hh_tes!U29/SER_hh_fec!U29)</f>
        <v>0.74504640697325286</v>
      </c>
      <c r="V29" s="136">
        <f>IF(SER_hh_tes!V29=0,"",SER_hh_tes!V29/SER_hh_fec!V29)</f>
        <v>0.74727668396488101</v>
      </c>
      <c r="W29" s="136">
        <f>IF(SER_hh_tes!W29=0,"",SER_hh_tes!W29/SER_hh_fec!W29)</f>
        <v>0.74889531023217881</v>
      </c>
      <c r="DA29" s="163" t="s">
        <v>242</v>
      </c>
    </row>
    <row r="30" spans="1:105" ht="12" customHeight="1" x14ac:dyDescent="0.25">
      <c r="A30" s="132" t="s">
        <v>52</v>
      </c>
      <c r="B30" s="137">
        <f>IF(SER_hh_tes!B30=0,"",SER_hh_tes!B30/SER_hh_fec!B30)</f>
        <v>0.63125913642409948</v>
      </c>
      <c r="C30" s="137">
        <f>IF(SER_hh_tes!C30=0,"",SER_hh_tes!C30/SER_hh_fec!C30)</f>
        <v>0.63144948590593741</v>
      </c>
      <c r="D30" s="137">
        <f>IF(SER_hh_tes!D30=0,"",SER_hh_tes!D30/SER_hh_fec!D30)</f>
        <v>0.63147359027145589</v>
      </c>
      <c r="E30" s="137">
        <f>IF(SER_hh_tes!E30=0,"",SER_hh_tes!E30/SER_hh_fec!E30)</f>
        <v>0.63148753674677727</v>
      </c>
      <c r="F30" s="137">
        <f>IF(SER_hh_tes!F30=0,"",SER_hh_tes!F30/SER_hh_fec!F30)</f>
        <v>0.63148753674677727</v>
      </c>
      <c r="G30" s="137">
        <f>IF(SER_hh_tes!G30=0,"",SER_hh_tes!G30/SER_hh_fec!G30)</f>
        <v>0.63148753674677738</v>
      </c>
      <c r="H30" s="137">
        <f>IF(SER_hh_tes!H30=0,"",SER_hh_tes!H30/SER_hh_fec!H30)</f>
        <v>0.63148753674677738</v>
      </c>
      <c r="I30" s="137">
        <f>IF(SER_hh_tes!I30=0,"",SER_hh_tes!I30/SER_hh_fec!I30)</f>
        <v>0.63148753674677716</v>
      </c>
      <c r="J30" s="137">
        <f>IF(SER_hh_tes!J30=0,"",SER_hh_tes!J30/SER_hh_fec!J30)</f>
        <v>0.63230558989800278</v>
      </c>
      <c r="K30" s="137">
        <f>IF(SER_hh_tes!K30=0,"",SER_hh_tes!K30/SER_hh_fec!K30)</f>
        <v>0.63551009922584867</v>
      </c>
      <c r="L30" s="137">
        <f>IF(SER_hh_tes!L30=0,"",SER_hh_tes!L30/SER_hh_fec!L30)</f>
        <v>0.63908533961451508</v>
      </c>
      <c r="M30" s="137">
        <f>IF(SER_hh_tes!M30=0,"",SER_hh_tes!M30/SER_hh_fec!M30)</f>
        <v>0.63908551233928834</v>
      </c>
      <c r="N30" s="137">
        <f>IF(SER_hh_tes!N30=0,"",SER_hh_tes!N30/SER_hh_fec!N30)</f>
        <v>0.63908551233928856</v>
      </c>
      <c r="O30" s="137">
        <f>IF(SER_hh_tes!O30=0,"",SER_hh_tes!O30/SER_hh_fec!O30)</f>
        <v>0.63913009701595913</v>
      </c>
      <c r="P30" s="137">
        <f>IF(SER_hh_tes!P30=0,"",SER_hh_tes!P30/SER_hh_fec!P30)</f>
        <v>0.63913377887315048</v>
      </c>
      <c r="Q30" s="137">
        <f>IF(SER_hh_tes!Q30=0,"",SER_hh_tes!Q30/SER_hh_fec!Q30)</f>
        <v>0.63915890783243268</v>
      </c>
      <c r="R30" s="137">
        <f>IF(SER_hh_tes!R30=0,"",SER_hh_tes!R30/SER_hh_fec!R30)</f>
        <v>0.63919409393123139</v>
      </c>
      <c r="S30" s="137">
        <f>IF(SER_hh_tes!S30=0,"",SER_hh_tes!S30/SER_hh_fec!S30)</f>
        <v>0.63938888724512244</v>
      </c>
      <c r="T30" s="137">
        <f>IF(SER_hh_tes!T30=0,"",SER_hh_tes!T30/SER_hh_fec!T30)</f>
        <v>0.63969613513042967</v>
      </c>
      <c r="U30" s="137">
        <f>IF(SER_hh_tes!U30=0,"",SER_hh_tes!U30/SER_hh_fec!U30)</f>
        <v>0.64030863264007154</v>
      </c>
      <c r="V30" s="137">
        <f>IF(SER_hh_tes!V30=0,"",SER_hh_tes!V30/SER_hh_fec!V30)</f>
        <v>0.64116829849006529</v>
      </c>
      <c r="W30" s="137">
        <f>IF(SER_hh_tes!W30=0,"",SER_hh_tes!W30/SER_hh_fec!W30)</f>
        <v>0.64195635956127728</v>
      </c>
      <c r="DA30" s="164" t="s">
        <v>352</v>
      </c>
    </row>
    <row r="31" spans="1:105" ht="12" customHeight="1" x14ac:dyDescent="0.25">
      <c r="A31" s="132" t="s">
        <v>153</v>
      </c>
      <c r="B31" s="137">
        <f>IF(SER_hh_tes!B31=0,"",SER_hh_tes!B31/SER_hh_fec!B31)</f>
        <v>0.63404121348430431</v>
      </c>
      <c r="C31" s="137">
        <f>IF(SER_hh_tes!C31=0,"",SER_hh_tes!C31/SER_hh_fec!C31)</f>
        <v>0.6348065103780447</v>
      </c>
      <c r="D31" s="137">
        <f>IF(SER_hh_tes!D31=0,"",SER_hh_tes!D31/SER_hh_fec!D31)</f>
        <v>0.63550506941898455</v>
      </c>
      <c r="E31" s="137">
        <f>IF(SER_hh_tes!E31=0,"",SER_hh_tes!E31/SER_hh_fec!E31)</f>
        <v>0.63618442942095343</v>
      </c>
      <c r="F31" s="137">
        <f>IF(SER_hh_tes!F31=0,"",SER_hh_tes!F31/SER_hh_fec!F31)</f>
        <v>0.63692551170313083</v>
      </c>
      <c r="G31" s="137">
        <f>IF(SER_hh_tes!G31=0,"",SER_hh_tes!G31/SER_hh_fec!G31)</f>
        <v>0.63764331101859606</v>
      </c>
      <c r="H31" s="137">
        <f>IF(SER_hh_tes!H31=0,"",SER_hh_tes!H31/SER_hh_fec!H31)</f>
        <v>0.63841165961173651</v>
      </c>
      <c r="I31" s="137">
        <f>IF(SER_hh_tes!I31=0,"",SER_hh_tes!I31/SER_hh_fec!I31)</f>
        <v>0.63919406830843906</v>
      </c>
      <c r="J31" s="137">
        <f>IF(SER_hh_tes!J31=0,"",SER_hh_tes!J31/SER_hh_fec!J31)</f>
        <v>0.64001120702099856</v>
      </c>
      <c r="K31" s="137">
        <f>IF(SER_hh_tes!K31=0,"",SER_hh_tes!K31/SER_hh_fec!K31)</f>
        <v>0.64086208021624147</v>
      </c>
      <c r="L31" s="137">
        <f>IF(SER_hh_tes!L31=0,"",SER_hh_tes!L31/SER_hh_fec!L31)</f>
        <v>0.64142171217694688</v>
      </c>
      <c r="M31" s="137">
        <f>IF(SER_hh_tes!M31=0,"",SER_hh_tes!M31/SER_hh_fec!M31)</f>
        <v>0.64150156828366733</v>
      </c>
      <c r="N31" s="137">
        <f>IF(SER_hh_tes!N31=0,"",SER_hh_tes!N31/SER_hh_fec!N31)</f>
        <v>0.6415998998685033</v>
      </c>
      <c r="O31" s="137">
        <f>IF(SER_hh_tes!O31=0,"",SER_hh_tes!O31/SER_hh_fec!O31)</f>
        <v>0.64171806168928747</v>
      </c>
      <c r="P31" s="137">
        <f>IF(SER_hh_tes!P31=0,"",SER_hh_tes!P31/SER_hh_fec!P31)</f>
        <v>0.64181417770882732</v>
      </c>
      <c r="Q31" s="137">
        <f>IF(SER_hh_tes!Q31=0,"",SER_hh_tes!Q31/SER_hh_fec!Q31)</f>
        <v>0.64189258191173115</v>
      </c>
      <c r="R31" s="137">
        <f>IF(SER_hh_tes!R31=0,"",SER_hh_tes!R31/SER_hh_fec!R31)</f>
        <v>0.64201187835707785</v>
      </c>
      <c r="S31" s="137">
        <f>IF(SER_hh_tes!S31=0,"",SER_hh_tes!S31/SER_hh_fec!S31)</f>
        <v>0.64220147079441137</v>
      </c>
      <c r="T31" s="137">
        <f>IF(SER_hh_tes!T31=0,"",SER_hh_tes!T31/SER_hh_fec!T31)</f>
        <v>0.64248566733080414</v>
      </c>
      <c r="U31" s="137">
        <f>IF(SER_hh_tes!U31=0,"",SER_hh_tes!U31/SER_hh_fec!U31)</f>
        <v>0.64286061437443698</v>
      </c>
      <c r="V31" s="137">
        <f>IF(SER_hh_tes!V31=0,"",SER_hh_tes!V31/SER_hh_fec!V31)</f>
        <v>0.64331269466555818</v>
      </c>
      <c r="W31" s="137">
        <f>IF(SER_hh_tes!W31=0,"",SER_hh_tes!W31/SER_hh_fec!W31)</f>
        <v>0.64382528231883229</v>
      </c>
      <c r="DA31" s="164" t="s">
        <v>353</v>
      </c>
    </row>
    <row r="32" spans="1:105" ht="12" customHeight="1" x14ac:dyDescent="0.25">
      <c r="A32" s="132" t="s">
        <v>128</v>
      </c>
      <c r="B32" s="137" t="str">
        <f>IF(SER_hh_tes!B32=0,"",SER_hh_tes!B32/SER_hh_fec!B32)</f>
        <v/>
      </c>
      <c r="C32" s="137" t="str">
        <f>IF(SER_hh_tes!C32=0,"",SER_hh_tes!C32/SER_hh_fec!C32)</f>
        <v/>
      </c>
      <c r="D32" s="137" t="str">
        <f>IF(SER_hh_tes!D32=0,"",SER_hh_tes!D32/SER_hh_fec!D32)</f>
        <v/>
      </c>
      <c r="E32" s="137" t="str">
        <f>IF(SER_hh_tes!E32=0,"",SER_hh_tes!E32/SER_hh_fec!E32)</f>
        <v/>
      </c>
      <c r="F32" s="137" t="str">
        <f>IF(SER_hh_tes!F32=0,"",SER_hh_tes!F32/SER_hh_fec!F32)</f>
        <v/>
      </c>
      <c r="G32" s="137" t="str">
        <f>IF(SER_hh_tes!G32=0,"",SER_hh_tes!G32/SER_hh_fec!G32)</f>
        <v/>
      </c>
      <c r="H32" s="137" t="str">
        <f>IF(SER_hh_tes!H32=0,"",SER_hh_tes!H32/SER_hh_fec!H32)</f>
        <v/>
      </c>
      <c r="I32" s="137" t="str">
        <f>IF(SER_hh_tes!I32=0,"",SER_hh_tes!I32/SER_hh_fec!I32)</f>
        <v/>
      </c>
      <c r="J32" s="137">
        <f>IF(SER_hh_tes!J32=0,"",SER_hh_tes!J32/SER_hh_fec!J32)</f>
        <v>0.62018708279803192</v>
      </c>
      <c r="K32" s="137">
        <f>IF(SER_hh_tes!K32=0,"",SER_hh_tes!K32/SER_hh_fec!K32)</f>
        <v>0.62031080618080447</v>
      </c>
      <c r="L32" s="137">
        <f>IF(SER_hh_tes!L32=0,"",SER_hh_tes!L32/SER_hh_fec!L32)</f>
        <v>0.62048399608344285</v>
      </c>
      <c r="M32" s="137">
        <f>IF(SER_hh_tes!M32=0,"",SER_hh_tes!M32/SER_hh_fec!M32)</f>
        <v>0.62054865152729943</v>
      </c>
      <c r="N32" s="137">
        <f>IF(SER_hh_tes!N32=0,"",SER_hh_tes!N32/SER_hh_fec!N32)</f>
        <v>0.62056362670538079</v>
      </c>
      <c r="O32" s="137">
        <f>IF(SER_hh_tes!O32=0,"",SER_hh_tes!O32/SER_hh_fec!O32)</f>
        <v>0.62067554518639967</v>
      </c>
      <c r="P32" s="137">
        <f>IF(SER_hh_tes!P32=0,"",SER_hh_tes!P32/SER_hh_fec!P32)</f>
        <v>0.62076268582786009</v>
      </c>
      <c r="Q32" s="137">
        <f>IF(SER_hh_tes!Q32=0,"",SER_hh_tes!Q32/SER_hh_fec!Q32)</f>
        <v>0.6208305833819534</v>
      </c>
      <c r="R32" s="137">
        <f>IF(SER_hh_tes!R32=0,"",SER_hh_tes!R32/SER_hh_fec!R32)</f>
        <v>0.62099112888479135</v>
      </c>
      <c r="S32" s="137">
        <f>IF(SER_hh_tes!S32=0,"",SER_hh_tes!S32/SER_hh_fec!S32)</f>
        <v>0.6213042277873575</v>
      </c>
      <c r="T32" s="137">
        <f>IF(SER_hh_tes!T32=0,"",SER_hh_tes!T32/SER_hh_fec!T32)</f>
        <v>0.62145527545633161</v>
      </c>
      <c r="U32" s="137">
        <f>IF(SER_hh_tes!U32=0,"",SER_hh_tes!U32/SER_hh_fec!U32)</f>
        <v>0.62155855372406488</v>
      </c>
      <c r="V32" s="137">
        <f>IF(SER_hh_tes!V32=0,"",SER_hh_tes!V32/SER_hh_fec!V32)</f>
        <v>0.62172092685109781</v>
      </c>
      <c r="W32" s="137">
        <f>IF(SER_hh_tes!W32=0,"",SER_hh_tes!W32/SER_hh_fec!W32)</f>
        <v>0.62178087510951596</v>
      </c>
      <c r="DA32" s="164" t="s">
        <v>354</v>
      </c>
    </row>
    <row r="33" spans="1:105" ht="12" customHeight="1" x14ac:dyDescent="0.25">
      <c r="A33" s="62" t="s">
        <v>24</v>
      </c>
      <c r="B33" s="150">
        <f>IF(SER_hh_tes!B33=0,"",SER_hh_tes!B33/SER_hh_fec!B33)</f>
        <v>0.83628502110412595</v>
      </c>
      <c r="C33" s="150">
        <f>IF(SER_hh_tes!C33=0,"",SER_hh_tes!C33/SER_hh_fec!C33)</f>
        <v>0.83920508335670341</v>
      </c>
      <c r="D33" s="150">
        <f>IF(SER_hh_tes!D33=0,"",SER_hh_tes!D33/SER_hh_fec!D33)</f>
        <v>0.84406538549416832</v>
      </c>
      <c r="E33" s="150">
        <f>IF(SER_hh_tes!E33=0,"",SER_hh_tes!E33/SER_hh_fec!E33)</f>
        <v>0.84654655574318771</v>
      </c>
      <c r="F33" s="150">
        <f>IF(SER_hh_tes!F33=0,"",SER_hh_tes!F33/SER_hh_fec!F33)</f>
        <v>0.84868341298411898</v>
      </c>
      <c r="G33" s="150">
        <f>IF(SER_hh_tes!G33=0,"",SER_hh_tes!G33/SER_hh_fec!G33)</f>
        <v>0.85063734822121406</v>
      </c>
      <c r="H33" s="150">
        <f>IF(SER_hh_tes!H33=0,"",SER_hh_tes!H33/SER_hh_fec!H33)</f>
        <v>0.85209596400054521</v>
      </c>
      <c r="I33" s="150">
        <f>IF(SER_hh_tes!I33=0,"",SER_hh_tes!I33/SER_hh_fec!I33)</f>
        <v>0.853457336305396</v>
      </c>
      <c r="J33" s="150">
        <f>IF(SER_hh_tes!J33=0,"",SER_hh_tes!J33/SER_hh_fec!J33)</f>
        <v>0.85462504131423955</v>
      </c>
      <c r="K33" s="150">
        <f>IF(SER_hh_tes!K33=0,"",SER_hh_tes!K33/SER_hh_fec!K33)</f>
        <v>0.85573318268706544</v>
      </c>
      <c r="L33" s="150">
        <f>IF(SER_hh_tes!L33=0,"",SER_hh_tes!L33/SER_hh_fec!L33)</f>
        <v>0.85697099497307472</v>
      </c>
      <c r="M33" s="150">
        <f>IF(SER_hh_tes!M33=0,"",SER_hh_tes!M33/SER_hh_fec!M33)</f>
        <v>0.85789968302707298</v>
      </c>
      <c r="N33" s="150">
        <f>IF(SER_hh_tes!N33=0,"",SER_hh_tes!N33/SER_hh_fec!N33)</f>
        <v>0.85916725840238906</v>
      </c>
      <c r="O33" s="150">
        <f>IF(SER_hh_tes!O33=0,"",SER_hh_tes!O33/SER_hh_fec!O33)</f>
        <v>0.86114098014596197</v>
      </c>
      <c r="P33" s="150">
        <f>IF(SER_hh_tes!P33=0,"",SER_hh_tes!P33/SER_hh_fec!P33)</f>
        <v>0.86388558501013435</v>
      </c>
      <c r="Q33" s="150">
        <f>IF(SER_hh_tes!Q33=0,"",SER_hh_tes!Q33/SER_hh_fec!Q33)</f>
        <v>0.86675326540431652</v>
      </c>
      <c r="R33" s="150">
        <f>IF(SER_hh_tes!R33=0,"",SER_hh_tes!R33/SER_hh_fec!R33)</f>
        <v>0.87065580042710367</v>
      </c>
      <c r="S33" s="150">
        <f>IF(SER_hh_tes!S33=0,"",SER_hh_tes!S33/SER_hh_fec!S33)</f>
        <v>0.87523198689076109</v>
      </c>
      <c r="T33" s="150">
        <f>IF(SER_hh_tes!T33=0,"",SER_hh_tes!T33/SER_hh_fec!T33)</f>
        <v>0.88033697026538116</v>
      </c>
      <c r="U33" s="150">
        <f>IF(SER_hh_tes!U33=0,"",SER_hh_tes!U33/SER_hh_fec!U33)</f>
        <v>0.88581805080608955</v>
      </c>
      <c r="V33" s="150">
        <f>IF(SER_hh_tes!V33=0,"",SER_hh_tes!V33/SER_hh_fec!V33)</f>
        <v>0.89154576256598106</v>
      </c>
      <c r="W33" s="150">
        <f>IF(SER_hh_tes!W33=0,"",SER_hh_tes!W33/SER_hh_fec!W33)</f>
        <v>0.89794299821752921</v>
      </c>
      <c r="DA33" s="168" t="s">
        <v>355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356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84</v>
      </c>
      <c r="B3" s="126">
        <f t="shared" ref="B3:Q3" si="0">SUM(B4,B16,B19,B29)</f>
        <v>6291.8955835200013</v>
      </c>
      <c r="C3" s="126">
        <f t="shared" si="0"/>
        <v>6596.3799892800007</v>
      </c>
      <c r="D3" s="126">
        <f t="shared" si="0"/>
        <v>7309.0722002399989</v>
      </c>
      <c r="E3" s="126">
        <f t="shared" si="0"/>
        <v>7913.9766312000011</v>
      </c>
      <c r="F3" s="126">
        <f t="shared" si="0"/>
        <v>7781.4818553600016</v>
      </c>
      <c r="G3" s="126">
        <f t="shared" si="0"/>
        <v>7622.0993804399977</v>
      </c>
      <c r="H3" s="126">
        <f t="shared" si="0"/>
        <v>7129.9996689600011</v>
      </c>
      <c r="I3" s="126">
        <f t="shared" si="0"/>
        <v>6477.3342734399994</v>
      </c>
      <c r="J3" s="126">
        <f t="shared" si="0"/>
        <v>7597.9472518799994</v>
      </c>
      <c r="K3" s="126">
        <f t="shared" si="0"/>
        <v>7122.332957399999</v>
      </c>
      <c r="L3" s="126">
        <f t="shared" si="0"/>
        <v>7843.6469026800005</v>
      </c>
      <c r="M3" s="126">
        <f t="shared" si="0"/>
        <v>6480.8318966400002</v>
      </c>
      <c r="N3" s="126">
        <f t="shared" si="0"/>
        <v>6895.3926689999989</v>
      </c>
      <c r="O3" s="126">
        <f t="shared" si="0"/>
        <v>7628.4935992799947</v>
      </c>
      <c r="P3" s="126">
        <f t="shared" si="0"/>
        <v>6087.2413237199999</v>
      </c>
      <c r="Q3" s="126">
        <f t="shared" si="0"/>
        <v>6998.654505599995</v>
      </c>
      <c r="R3" s="126">
        <f t="shared" ref="R3:W3" si="1">SUM(R4,R16,R19,R29)</f>
        <v>6990.0582225599992</v>
      </c>
      <c r="S3" s="126">
        <f t="shared" si="1"/>
        <v>6959.376760680002</v>
      </c>
      <c r="T3" s="126">
        <f t="shared" si="1"/>
        <v>6955.1981625599947</v>
      </c>
      <c r="U3" s="126">
        <f t="shared" si="1"/>
        <v>6800.3080689600019</v>
      </c>
      <c r="V3" s="126">
        <f t="shared" si="1"/>
        <v>6556.123125000001</v>
      </c>
      <c r="W3" s="126">
        <f t="shared" si="1"/>
        <v>6766.990203239995</v>
      </c>
      <c r="DA3" s="155" t="s">
        <v>232</v>
      </c>
    </row>
    <row r="4" spans="1:105" ht="12.95" customHeight="1" x14ac:dyDescent="0.25">
      <c r="A4" s="130" t="s">
        <v>32</v>
      </c>
      <c r="B4" s="131">
        <f t="shared" ref="B4:Q4" si="2">SUM(B5:B15)</f>
        <v>4970.0938112691838</v>
      </c>
      <c r="C4" s="131">
        <f t="shared" si="2"/>
        <v>5274.5857251875805</v>
      </c>
      <c r="D4" s="131">
        <f t="shared" si="2"/>
        <v>6023.6239153230472</v>
      </c>
      <c r="E4" s="131">
        <f t="shared" si="2"/>
        <v>6656.9544054673679</v>
      </c>
      <c r="F4" s="131">
        <f t="shared" si="2"/>
        <v>6519.0127176968354</v>
      </c>
      <c r="G4" s="131">
        <f t="shared" si="2"/>
        <v>6452.0785140589387</v>
      </c>
      <c r="H4" s="131">
        <f t="shared" si="2"/>
        <v>5963.4180971063115</v>
      </c>
      <c r="I4" s="131">
        <f t="shared" si="2"/>
        <v>5310.0443190095684</v>
      </c>
      <c r="J4" s="131">
        <f t="shared" si="2"/>
        <v>6435.0346615774051</v>
      </c>
      <c r="K4" s="131">
        <f t="shared" si="2"/>
        <v>5962.096512530753</v>
      </c>
      <c r="L4" s="131">
        <f t="shared" si="2"/>
        <v>6673.8388361386624</v>
      </c>
      <c r="M4" s="131">
        <f t="shared" si="2"/>
        <v>5308.2677404749666</v>
      </c>
      <c r="N4" s="131">
        <f t="shared" si="2"/>
        <v>5708.271412729493</v>
      </c>
      <c r="O4" s="131">
        <f t="shared" si="2"/>
        <v>6430.4126669682519</v>
      </c>
      <c r="P4" s="131">
        <f t="shared" si="2"/>
        <v>4891.2372151573381</v>
      </c>
      <c r="Q4" s="131">
        <f t="shared" si="2"/>
        <v>5782.8545018655514</v>
      </c>
      <c r="R4" s="131">
        <f t="shared" ref="R4:W4" si="3">SUM(R5:R15)</f>
        <v>5794.1808622342278</v>
      </c>
      <c r="S4" s="131">
        <f t="shared" si="3"/>
        <v>5766.2918529208055</v>
      </c>
      <c r="T4" s="131">
        <f t="shared" si="3"/>
        <v>5777.8435083801796</v>
      </c>
      <c r="U4" s="131">
        <f t="shared" si="3"/>
        <v>5634.1265500944937</v>
      </c>
      <c r="V4" s="131">
        <f t="shared" si="3"/>
        <v>5456.9880457522531</v>
      </c>
      <c r="W4" s="131">
        <f t="shared" si="3"/>
        <v>5597.5755177500787</v>
      </c>
      <c r="DA4" s="156" t="s">
        <v>233</v>
      </c>
    </row>
    <row r="5" spans="1:105" ht="12" customHeight="1" x14ac:dyDescent="0.25">
      <c r="A5" s="132" t="s">
        <v>29</v>
      </c>
      <c r="B5" s="133">
        <v>0</v>
      </c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357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358</v>
      </c>
    </row>
    <row r="7" spans="1:105" ht="12" customHeight="1" x14ac:dyDescent="0.25">
      <c r="A7" s="132" t="s">
        <v>168</v>
      </c>
      <c r="B7" s="133">
        <v>2118.1755977509124</v>
      </c>
      <c r="C7" s="133">
        <v>2190.3319030678795</v>
      </c>
      <c r="D7" s="133">
        <v>3027.4622582679249</v>
      </c>
      <c r="E7" s="133">
        <v>3538.8820023602589</v>
      </c>
      <c r="F7" s="133">
        <v>3502.9058937447148</v>
      </c>
      <c r="G7" s="133">
        <v>3501.904757032336</v>
      </c>
      <c r="H7" s="133">
        <v>2985.0955900329682</v>
      </c>
      <c r="I7" s="133">
        <v>2477.326161126859</v>
      </c>
      <c r="J7" s="133">
        <v>3123.417034281505</v>
      </c>
      <c r="K7" s="133">
        <v>2463.809118432885</v>
      </c>
      <c r="L7" s="133">
        <v>2795.6313270087981</v>
      </c>
      <c r="M7" s="133">
        <v>2316.8007767916151</v>
      </c>
      <c r="N7" s="133">
        <v>2285.3118242287933</v>
      </c>
      <c r="O7" s="133">
        <v>2530.8797681214214</v>
      </c>
      <c r="P7" s="133">
        <v>1927.7145788733842</v>
      </c>
      <c r="Q7" s="133">
        <v>2333.95096399053</v>
      </c>
      <c r="R7" s="133">
        <v>2100.2690210281826</v>
      </c>
      <c r="S7" s="133">
        <v>2103.4233864821317</v>
      </c>
      <c r="T7" s="133">
        <v>2059.2350229703861</v>
      </c>
      <c r="U7" s="133">
        <v>1920.1435938631341</v>
      </c>
      <c r="V7" s="133">
        <v>2004.6061809141188</v>
      </c>
      <c r="W7" s="133">
        <v>1647.2000649497654</v>
      </c>
      <c r="DA7" s="157" t="s">
        <v>359</v>
      </c>
    </row>
    <row r="8" spans="1:105" ht="12" customHeight="1" x14ac:dyDescent="0.25">
      <c r="A8" s="132" t="s">
        <v>73</v>
      </c>
      <c r="B8" s="133">
        <v>4.8991962589682893E-2</v>
      </c>
      <c r="C8" s="133">
        <v>5.255211407187968E-2</v>
      </c>
      <c r="D8" s="133">
        <v>5.4901972889342322E-2</v>
      </c>
      <c r="E8" s="133">
        <v>5.5773930291471534E-2</v>
      </c>
      <c r="F8" s="133">
        <v>6.4991899803753458E-2</v>
      </c>
      <c r="G8" s="133">
        <v>6.3286625459164095E-2</v>
      </c>
      <c r="H8" s="133">
        <v>6.5418557566149851E-2</v>
      </c>
      <c r="I8" s="133">
        <v>5.9376044172516823E-2</v>
      </c>
      <c r="J8" s="133">
        <v>6.6315205815401193E-2</v>
      </c>
      <c r="K8" s="133">
        <v>7.0449835602344177E-2</v>
      </c>
      <c r="L8" s="133">
        <v>7.3859554529190102E-2</v>
      </c>
      <c r="M8" s="133">
        <v>6.5005703787821972E-2</v>
      </c>
      <c r="N8" s="133">
        <v>7.7084174865493918E-2</v>
      </c>
      <c r="O8" s="133">
        <v>9.1728160489741223E-2</v>
      </c>
      <c r="P8" s="133">
        <v>7.6669748856452336E-2</v>
      </c>
      <c r="Q8" s="133">
        <v>9.1041087333809681E-2</v>
      </c>
      <c r="R8" s="133">
        <v>9.7013233378513378E-2</v>
      </c>
      <c r="S8" s="133">
        <v>9.5342043745418312E-2</v>
      </c>
      <c r="T8" s="133">
        <v>9.8332453470919068E-2</v>
      </c>
      <c r="U8" s="133">
        <v>0.10340987953532549</v>
      </c>
      <c r="V8" s="133">
        <v>0.10700822593305991</v>
      </c>
      <c r="W8" s="133">
        <v>0.12152642249458601</v>
      </c>
      <c r="DA8" s="157" t="s">
        <v>360</v>
      </c>
    </row>
    <row r="9" spans="1:105" ht="12" customHeight="1" x14ac:dyDescent="0.25">
      <c r="A9" s="132" t="s">
        <v>78</v>
      </c>
      <c r="B9" s="133">
        <v>2851.8692215556821</v>
      </c>
      <c r="C9" s="133">
        <v>3084.2012700056298</v>
      </c>
      <c r="D9" s="133">
        <v>2996.1067550822331</v>
      </c>
      <c r="E9" s="133">
        <v>3118.0166291768182</v>
      </c>
      <c r="F9" s="133">
        <v>2991.5888320523168</v>
      </c>
      <c r="G9" s="133">
        <v>2919.2224704011442</v>
      </c>
      <c r="H9" s="133">
        <v>2947.6553173157772</v>
      </c>
      <c r="I9" s="133">
        <v>2806.9187818385376</v>
      </c>
      <c r="J9" s="133">
        <v>3311.5513120900846</v>
      </c>
      <c r="K9" s="133">
        <v>3498.2169442622658</v>
      </c>
      <c r="L9" s="133">
        <v>3878.1336495753358</v>
      </c>
      <c r="M9" s="133">
        <v>2991.4019579795636</v>
      </c>
      <c r="N9" s="133">
        <v>3422.8825043258339</v>
      </c>
      <c r="O9" s="133">
        <v>3775.2060207834511</v>
      </c>
      <c r="P9" s="133">
        <v>2839.6299612996181</v>
      </c>
      <c r="Q9" s="133">
        <v>3283.9260886910288</v>
      </c>
      <c r="R9" s="133">
        <v>3528.9526269659086</v>
      </c>
      <c r="S9" s="133">
        <v>3497.9713142794508</v>
      </c>
      <c r="T9" s="133">
        <v>3553.4942217655548</v>
      </c>
      <c r="U9" s="133">
        <v>3549.2722018430218</v>
      </c>
      <c r="V9" s="133">
        <v>3282.2833231565614</v>
      </c>
      <c r="W9" s="133">
        <v>3780.6458318128252</v>
      </c>
      <c r="DA9" s="157" t="s">
        <v>361</v>
      </c>
    </row>
    <row r="10" spans="1:105" ht="12" customHeight="1" x14ac:dyDescent="0.25">
      <c r="A10" s="132" t="s">
        <v>128</v>
      </c>
      <c r="B10" s="133">
        <v>0</v>
      </c>
      <c r="C10" s="133">
        <v>0</v>
      </c>
      <c r="D10" s="133">
        <v>0</v>
      </c>
      <c r="E10" s="133">
        <v>0</v>
      </c>
      <c r="F10" s="133">
        <v>24.452999999999999</v>
      </c>
      <c r="G10" s="133">
        <v>30.888000000000005</v>
      </c>
      <c r="H10" s="133">
        <v>30.601771200000012</v>
      </c>
      <c r="I10" s="133">
        <v>25.740000000000002</v>
      </c>
      <c r="J10" s="133">
        <v>0</v>
      </c>
      <c r="K10" s="133">
        <v>0</v>
      </c>
      <c r="L10" s="133">
        <v>0</v>
      </c>
      <c r="M10" s="133">
        <v>0</v>
      </c>
      <c r="N10" s="133">
        <v>0</v>
      </c>
      <c r="O10" s="133">
        <v>124.2351499028897</v>
      </c>
      <c r="P10" s="133">
        <v>123.81600523548005</v>
      </c>
      <c r="Q10" s="133">
        <v>164.88640809665833</v>
      </c>
      <c r="R10" s="133">
        <v>164.8622010067582</v>
      </c>
      <c r="S10" s="133">
        <v>164.80181011547725</v>
      </c>
      <c r="T10" s="133">
        <v>165.01593119076796</v>
      </c>
      <c r="U10" s="133">
        <v>164.60734450880236</v>
      </c>
      <c r="V10" s="133">
        <v>169.99153345564031</v>
      </c>
      <c r="W10" s="133">
        <v>169.60809456499359</v>
      </c>
      <c r="DA10" s="157" t="s">
        <v>362</v>
      </c>
    </row>
    <row r="11" spans="1:105" ht="12" customHeight="1" x14ac:dyDescent="0.25">
      <c r="A11" s="132" t="s">
        <v>25</v>
      </c>
      <c r="B11" s="133">
        <v>0</v>
      </c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363</v>
      </c>
    </row>
    <row r="12" spans="1:105" ht="12" customHeight="1" x14ac:dyDescent="0.25">
      <c r="A12" s="132" t="s">
        <v>169</v>
      </c>
      <c r="B12" s="133">
        <v>0</v>
      </c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364</v>
      </c>
    </row>
    <row r="13" spans="1:105" ht="12" customHeight="1" x14ac:dyDescent="0.25">
      <c r="A13" s="132" t="s">
        <v>77</v>
      </c>
      <c r="B13" s="133">
        <v>0</v>
      </c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365</v>
      </c>
    </row>
    <row r="14" spans="1:105" ht="12" customHeight="1" x14ac:dyDescent="0.25">
      <c r="A14" s="60" t="s">
        <v>76</v>
      </c>
      <c r="B14" s="65">
        <v>0</v>
      </c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DA14" s="109" t="s">
        <v>366</v>
      </c>
    </row>
    <row r="15" spans="1:105" ht="12" customHeight="1" x14ac:dyDescent="0.25">
      <c r="A15" s="134" t="s">
        <v>80</v>
      </c>
      <c r="B15" s="135">
        <v>0</v>
      </c>
      <c r="C15" s="135">
        <v>0</v>
      </c>
      <c r="D15" s="135">
        <v>0</v>
      </c>
      <c r="E15" s="135">
        <v>0</v>
      </c>
      <c r="F15" s="135">
        <v>0</v>
      </c>
      <c r="G15" s="135">
        <v>0</v>
      </c>
      <c r="H15" s="135">
        <v>0</v>
      </c>
      <c r="I15" s="135">
        <v>0</v>
      </c>
      <c r="J15" s="135">
        <v>0</v>
      </c>
      <c r="K15" s="135">
        <v>0</v>
      </c>
      <c r="L15" s="135">
        <v>0</v>
      </c>
      <c r="M15" s="135">
        <v>0</v>
      </c>
      <c r="N15" s="135">
        <v>0</v>
      </c>
      <c r="O15" s="135">
        <v>0</v>
      </c>
      <c r="P15" s="135">
        <v>0</v>
      </c>
      <c r="Q15" s="135">
        <v>0</v>
      </c>
      <c r="R15" s="135">
        <v>0</v>
      </c>
      <c r="S15" s="135">
        <v>0</v>
      </c>
      <c r="T15" s="135">
        <v>0</v>
      </c>
      <c r="U15" s="135">
        <v>0</v>
      </c>
      <c r="V15" s="135">
        <v>0</v>
      </c>
      <c r="W15" s="135">
        <v>0</v>
      </c>
      <c r="DA15" s="158" t="s">
        <v>367</v>
      </c>
    </row>
    <row r="16" spans="1:105" ht="12.95" customHeight="1" x14ac:dyDescent="0.25">
      <c r="A16" s="130" t="s">
        <v>74</v>
      </c>
      <c r="B16" s="131">
        <f t="shared" ref="B16:Q16" si="4">SUM(B17:B18)</f>
        <v>4.8098990776155051E-2</v>
      </c>
      <c r="C16" s="131">
        <f t="shared" si="4"/>
        <v>6.6460658860637151E-2</v>
      </c>
      <c r="D16" s="131">
        <f t="shared" si="4"/>
        <v>9.7417168706156354E-2</v>
      </c>
      <c r="E16" s="131">
        <f t="shared" si="4"/>
        <v>0.12051825480240476</v>
      </c>
      <c r="F16" s="131">
        <f t="shared" si="4"/>
        <v>0.16914347715680011</v>
      </c>
      <c r="G16" s="131">
        <f t="shared" si="4"/>
        <v>0.23697872045647916</v>
      </c>
      <c r="H16" s="131">
        <f t="shared" si="4"/>
        <v>0.33071719174897979</v>
      </c>
      <c r="I16" s="131">
        <f t="shared" si="4"/>
        <v>0.39823879586227789</v>
      </c>
      <c r="J16" s="131">
        <f t="shared" si="4"/>
        <v>0.5374591855623343</v>
      </c>
      <c r="K16" s="131">
        <f t="shared" si="4"/>
        <v>0.67544076127083086</v>
      </c>
      <c r="L16" s="131">
        <f t="shared" si="4"/>
        <v>0.78186757042453403</v>
      </c>
      <c r="M16" s="131">
        <f t="shared" si="4"/>
        <v>0.85053537180063277</v>
      </c>
      <c r="N16" s="131">
        <f t="shared" si="4"/>
        <v>0.96723559043108454</v>
      </c>
      <c r="O16" s="131">
        <f t="shared" si="4"/>
        <v>1.179308211840191</v>
      </c>
      <c r="P16" s="131">
        <f t="shared" si="4"/>
        <v>1.4711697238144117</v>
      </c>
      <c r="Q16" s="131">
        <f t="shared" si="4"/>
        <v>2.2338450981303906</v>
      </c>
      <c r="R16" s="131">
        <f t="shared" ref="R16:W16" si="5">SUM(R17:R18)</f>
        <v>2.5589110453530197</v>
      </c>
      <c r="S16" s="131">
        <f t="shared" si="5"/>
        <v>2.5721502158734784</v>
      </c>
      <c r="T16" s="131">
        <f t="shared" si="5"/>
        <v>3.3089692167269775</v>
      </c>
      <c r="U16" s="131">
        <f t="shared" si="5"/>
        <v>3.6551198318057585</v>
      </c>
      <c r="V16" s="131">
        <f t="shared" si="5"/>
        <v>4.3677220978132389</v>
      </c>
      <c r="W16" s="131">
        <f t="shared" si="5"/>
        <v>3.2428861009216337</v>
      </c>
      <c r="DA16" s="156" t="s">
        <v>234</v>
      </c>
    </row>
    <row r="17" spans="1:105" ht="12.95" customHeight="1" x14ac:dyDescent="0.25">
      <c r="A17" s="132" t="s">
        <v>73</v>
      </c>
      <c r="B17" s="133">
        <v>4.8098990776155051E-2</v>
      </c>
      <c r="C17" s="133">
        <v>6.6460658860637151E-2</v>
      </c>
      <c r="D17" s="133">
        <v>9.7417168706156354E-2</v>
      </c>
      <c r="E17" s="133">
        <v>0.12051825480240476</v>
      </c>
      <c r="F17" s="133">
        <v>0.16914347715680011</v>
      </c>
      <c r="G17" s="133">
        <v>0.23697872045647916</v>
      </c>
      <c r="H17" s="133">
        <v>0.33071719174897979</v>
      </c>
      <c r="I17" s="133">
        <v>0.39823879586227789</v>
      </c>
      <c r="J17" s="133">
        <v>0.5374591855623343</v>
      </c>
      <c r="K17" s="133">
        <v>0.67544076127083086</v>
      </c>
      <c r="L17" s="133">
        <v>0.78186757042453403</v>
      </c>
      <c r="M17" s="133">
        <v>0.85053537180063277</v>
      </c>
      <c r="N17" s="133">
        <v>0.96723559043108454</v>
      </c>
      <c r="O17" s="133">
        <v>1.179308211840191</v>
      </c>
      <c r="P17" s="133">
        <v>1.4711697238144117</v>
      </c>
      <c r="Q17" s="133">
        <v>2.2338450981303906</v>
      </c>
      <c r="R17" s="133">
        <v>2.5589110453530197</v>
      </c>
      <c r="S17" s="133">
        <v>2.5721502158734784</v>
      </c>
      <c r="T17" s="133">
        <v>3.3089692167269775</v>
      </c>
      <c r="U17" s="133">
        <v>3.6551198318057585</v>
      </c>
      <c r="V17" s="133">
        <v>4.3677220978132389</v>
      </c>
      <c r="W17" s="133">
        <v>3.2428861009216337</v>
      </c>
      <c r="DA17" s="157" t="s">
        <v>368</v>
      </c>
    </row>
    <row r="18" spans="1:105" ht="12" customHeight="1" x14ac:dyDescent="0.25">
      <c r="A18" s="132" t="s">
        <v>72</v>
      </c>
      <c r="B18" s="133">
        <v>0</v>
      </c>
      <c r="C18" s="133">
        <v>0</v>
      </c>
      <c r="D18" s="133">
        <v>0</v>
      </c>
      <c r="E18" s="133">
        <v>0</v>
      </c>
      <c r="F18" s="133">
        <v>0</v>
      </c>
      <c r="G18" s="133">
        <v>0</v>
      </c>
      <c r="H18" s="133">
        <v>0</v>
      </c>
      <c r="I18" s="133">
        <v>0</v>
      </c>
      <c r="J18" s="133">
        <v>0</v>
      </c>
      <c r="K18" s="133">
        <v>0</v>
      </c>
      <c r="L18" s="133">
        <v>0</v>
      </c>
      <c r="M18" s="133">
        <v>0</v>
      </c>
      <c r="N18" s="133">
        <v>0</v>
      </c>
      <c r="O18" s="133">
        <v>0</v>
      </c>
      <c r="P18" s="133">
        <v>0</v>
      </c>
      <c r="Q18" s="133">
        <v>0</v>
      </c>
      <c r="R18" s="133">
        <v>0</v>
      </c>
      <c r="S18" s="133">
        <v>0</v>
      </c>
      <c r="T18" s="133">
        <v>0</v>
      </c>
      <c r="U18" s="133">
        <v>0</v>
      </c>
      <c r="V18" s="133">
        <v>0</v>
      </c>
      <c r="W18" s="133">
        <v>0</v>
      </c>
      <c r="DA18" s="157" t="s">
        <v>369</v>
      </c>
    </row>
    <row r="19" spans="1:105" ht="12.95" customHeight="1" x14ac:dyDescent="0.25">
      <c r="A19" s="130" t="s">
        <v>35</v>
      </c>
      <c r="B19" s="131">
        <f t="shared" ref="B19:Q19" si="6">SUM(B20:B27)</f>
        <v>804.95922877148143</v>
      </c>
      <c r="C19" s="131">
        <f t="shared" si="6"/>
        <v>805.53978591112627</v>
      </c>
      <c r="D19" s="131">
        <f t="shared" si="6"/>
        <v>807.60967046260566</v>
      </c>
      <c r="E19" s="131">
        <f t="shared" si="6"/>
        <v>810.53215888839486</v>
      </c>
      <c r="F19" s="131">
        <f t="shared" si="6"/>
        <v>808.5537179816406</v>
      </c>
      <c r="G19" s="131">
        <f t="shared" si="6"/>
        <v>790.72976747903999</v>
      </c>
      <c r="H19" s="131">
        <f t="shared" si="6"/>
        <v>788.99655292203704</v>
      </c>
      <c r="I19" s="131">
        <f t="shared" si="6"/>
        <v>788.62932172611272</v>
      </c>
      <c r="J19" s="131">
        <f t="shared" si="6"/>
        <v>774.00680002978288</v>
      </c>
      <c r="K19" s="131">
        <f t="shared" si="6"/>
        <v>770.26281476634313</v>
      </c>
      <c r="L19" s="131">
        <f t="shared" si="6"/>
        <v>770.38645255909501</v>
      </c>
      <c r="M19" s="131">
        <f t="shared" si="6"/>
        <v>777.85359052719514</v>
      </c>
      <c r="N19" s="131">
        <f t="shared" si="6"/>
        <v>782.3195223092539</v>
      </c>
      <c r="O19" s="131">
        <f t="shared" si="6"/>
        <v>782.57730194607689</v>
      </c>
      <c r="P19" s="131">
        <f t="shared" si="6"/>
        <v>782.7509961256992</v>
      </c>
      <c r="Q19" s="131">
        <f t="shared" si="6"/>
        <v>781.20091496705652</v>
      </c>
      <c r="R19" s="131">
        <f t="shared" ref="R19:W19" si="7">SUM(R20:R27)</f>
        <v>768.59580336033162</v>
      </c>
      <c r="S19" s="131">
        <f t="shared" si="7"/>
        <v>760.33702351638988</v>
      </c>
      <c r="T19" s="131">
        <f t="shared" si="7"/>
        <v>743.23023333365495</v>
      </c>
      <c r="U19" s="131">
        <f t="shared" si="7"/>
        <v>726.43294571560318</v>
      </c>
      <c r="V19" s="131">
        <f t="shared" si="7"/>
        <v>674.33360741880188</v>
      </c>
      <c r="W19" s="131">
        <f t="shared" si="7"/>
        <v>716.66404387192097</v>
      </c>
      <c r="DA19" s="156" t="s">
        <v>235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370</v>
      </c>
    </row>
    <row r="21" spans="1:105" s="2" customFormat="1" ht="12" customHeight="1" x14ac:dyDescent="0.25">
      <c r="A21" s="132" t="s">
        <v>52</v>
      </c>
      <c r="B21" s="133">
        <v>31.615758611455149</v>
      </c>
      <c r="C21" s="133">
        <v>32.087294762118788</v>
      </c>
      <c r="D21" s="133">
        <v>31.871076667386383</v>
      </c>
      <c r="E21" s="133">
        <v>31.16861829374028</v>
      </c>
      <c r="F21" s="133">
        <v>30.175393542183155</v>
      </c>
      <c r="G21" s="133">
        <v>13.971721152197301</v>
      </c>
      <c r="H21" s="133">
        <v>13.025756012503525</v>
      </c>
      <c r="I21" s="133">
        <v>10.877027629346484</v>
      </c>
      <c r="J21" s="133">
        <v>8.100168764447357</v>
      </c>
      <c r="K21" s="133">
        <v>7.314019492073621</v>
      </c>
      <c r="L21" s="133">
        <v>6.35183188373004</v>
      </c>
      <c r="M21" s="133">
        <v>6.9309911386084346</v>
      </c>
      <c r="N21" s="133">
        <v>8.0660199571560831</v>
      </c>
      <c r="O21" s="133">
        <v>8.5838483747173786</v>
      </c>
      <c r="P21" s="133">
        <v>8.6436332494359949</v>
      </c>
      <c r="Q21" s="133">
        <v>9.7559923041263392</v>
      </c>
      <c r="R21" s="133">
        <v>10.13970766488405</v>
      </c>
      <c r="S21" s="133">
        <v>10.967075480861274</v>
      </c>
      <c r="T21" s="133">
        <v>11.482826126210693</v>
      </c>
      <c r="U21" s="133">
        <v>11.630077692203171</v>
      </c>
      <c r="V21" s="133">
        <v>9.9870540336315479</v>
      </c>
      <c r="W21" s="133">
        <v>11.279706761686302</v>
      </c>
      <c r="DA21" s="157" t="s">
        <v>371</v>
      </c>
    </row>
    <row r="22" spans="1:105" ht="12" customHeight="1" x14ac:dyDescent="0.25">
      <c r="A22" s="132" t="s">
        <v>168</v>
      </c>
      <c r="B22" s="133">
        <v>343.8363938890879</v>
      </c>
      <c r="C22" s="133">
        <v>338.65800001212074</v>
      </c>
      <c r="D22" s="133">
        <v>334.36591341207406</v>
      </c>
      <c r="E22" s="133">
        <v>331.43978003974206</v>
      </c>
      <c r="F22" s="133">
        <v>325.093458855287</v>
      </c>
      <c r="G22" s="133">
        <v>317.82268692766473</v>
      </c>
      <c r="H22" s="133">
        <v>312.59632516703414</v>
      </c>
      <c r="I22" s="133">
        <v>305.97759299314021</v>
      </c>
      <c r="J22" s="133">
        <v>288.68621703849612</v>
      </c>
      <c r="K22" s="133">
        <v>284.57368852711534</v>
      </c>
      <c r="L22" s="133">
        <v>280.24672103120213</v>
      </c>
      <c r="M22" s="133">
        <v>280.01621868838453</v>
      </c>
      <c r="N22" s="133">
        <v>276.10807045120629</v>
      </c>
      <c r="O22" s="133">
        <v>273.58851379857833</v>
      </c>
      <c r="P22" s="133">
        <v>272.85366596661612</v>
      </c>
      <c r="Q22" s="133">
        <v>271.77437836946876</v>
      </c>
      <c r="R22" s="133">
        <v>262.52425153181946</v>
      </c>
      <c r="S22" s="133">
        <v>255.64662135786963</v>
      </c>
      <c r="T22" s="133">
        <v>242.99578942961449</v>
      </c>
      <c r="U22" s="133">
        <v>230.6257436968672</v>
      </c>
      <c r="V22" s="133">
        <v>201.08557816588078</v>
      </c>
      <c r="W22" s="133">
        <v>216.52818949023344</v>
      </c>
      <c r="DA22" s="157" t="s">
        <v>372</v>
      </c>
    </row>
    <row r="23" spans="1:105" ht="12" customHeight="1" x14ac:dyDescent="0.25">
      <c r="A23" s="132" t="s">
        <v>153</v>
      </c>
      <c r="B23" s="133">
        <v>429.5070762709384</v>
      </c>
      <c r="C23" s="133">
        <v>434.79449113688679</v>
      </c>
      <c r="D23" s="133">
        <v>441.37268038314517</v>
      </c>
      <c r="E23" s="133">
        <v>447.92376055491252</v>
      </c>
      <c r="F23" s="133">
        <v>453.28486558417046</v>
      </c>
      <c r="G23" s="133">
        <v>458.93535939917803</v>
      </c>
      <c r="H23" s="133">
        <v>463.3744717424994</v>
      </c>
      <c r="I23" s="133">
        <v>471.77470110362606</v>
      </c>
      <c r="J23" s="133">
        <v>477.22041422683935</v>
      </c>
      <c r="K23" s="133">
        <v>478.37510674715423</v>
      </c>
      <c r="L23" s="133">
        <v>483.78789964416285</v>
      </c>
      <c r="M23" s="133">
        <v>490.90638070020219</v>
      </c>
      <c r="N23" s="133">
        <v>498.14543190089159</v>
      </c>
      <c r="O23" s="133">
        <v>500.40493977278123</v>
      </c>
      <c r="P23" s="133">
        <v>501.25369690964709</v>
      </c>
      <c r="Q23" s="133">
        <v>499.67054429346143</v>
      </c>
      <c r="R23" s="133">
        <v>495.93184416362811</v>
      </c>
      <c r="S23" s="133">
        <v>493.72332667765897</v>
      </c>
      <c r="T23" s="133">
        <v>488.75161777782984</v>
      </c>
      <c r="U23" s="133">
        <v>484.17712432653286</v>
      </c>
      <c r="V23" s="133">
        <v>463.26097521928961</v>
      </c>
      <c r="W23" s="133">
        <v>488.8561476200012</v>
      </c>
      <c r="DA23" s="157" t="s">
        <v>373</v>
      </c>
    </row>
    <row r="24" spans="1:105" ht="12" customHeight="1" x14ac:dyDescent="0.25">
      <c r="A24" s="132" t="s">
        <v>128</v>
      </c>
      <c r="B24" s="133">
        <v>0</v>
      </c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374</v>
      </c>
    </row>
    <row r="25" spans="1:105" ht="12" customHeight="1" x14ac:dyDescent="0.25">
      <c r="A25" s="132" t="s">
        <v>169</v>
      </c>
      <c r="B25" s="133">
        <v>0</v>
      </c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375</v>
      </c>
    </row>
    <row r="26" spans="1:105" ht="12" customHeight="1" x14ac:dyDescent="0.25">
      <c r="A26" s="132" t="s">
        <v>24</v>
      </c>
      <c r="B26" s="65">
        <v>0</v>
      </c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DA26" s="109" t="s">
        <v>376</v>
      </c>
    </row>
    <row r="27" spans="1:105" ht="12" customHeight="1" x14ac:dyDescent="0.25">
      <c r="A27" s="145" t="s">
        <v>26</v>
      </c>
      <c r="B27" s="146">
        <v>0</v>
      </c>
      <c r="C27" s="146">
        <v>0</v>
      </c>
      <c r="D27" s="146">
        <v>0</v>
      </c>
      <c r="E27" s="146">
        <v>0</v>
      </c>
      <c r="F27" s="146">
        <v>0</v>
      </c>
      <c r="G27" s="146">
        <v>0</v>
      </c>
      <c r="H27" s="146">
        <v>0</v>
      </c>
      <c r="I27" s="146">
        <v>0</v>
      </c>
      <c r="J27" s="146">
        <v>0</v>
      </c>
      <c r="K27" s="146">
        <v>0</v>
      </c>
      <c r="L27" s="146">
        <v>0</v>
      </c>
      <c r="M27" s="146">
        <v>0</v>
      </c>
      <c r="N27" s="146">
        <v>0</v>
      </c>
      <c r="O27" s="146">
        <v>0</v>
      </c>
      <c r="P27" s="146">
        <v>0</v>
      </c>
      <c r="Q27" s="146">
        <v>0</v>
      </c>
      <c r="R27" s="146">
        <v>0</v>
      </c>
      <c r="S27" s="146">
        <v>0</v>
      </c>
      <c r="T27" s="146">
        <v>0</v>
      </c>
      <c r="U27" s="146">
        <v>0</v>
      </c>
      <c r="V27" s="146">
        <v>0</v>
      </c>
      <c r="W27" s="146">
        <v>0</v>
      </c>
      <c r="DA27" s="159" t="s">
        <v>377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516.79444448855929</v>
      </c>
      <c r="C29" s="131">
        <f t="shared" si="8"/>
        <v>516.18801752243337</v>
      </c>
      <c r="D29" s="131">
        <f t="shared" si="8"/>
        <v>477.7411972856396</v>
      </c>
      <c r="E29" s="131">
        <f t="shared" si="8"/>
        <v>446.36954858943545</v>
      </c>
      <c r="F29" s="131">
        <f t="shared" si="8"/>
        <v>453.74627620436883</v>
      </c>
      <c r="G29" s="131">
        <f t="shared" si="8"/>
        <v>379.05412018156341</v>
      </c>
      <c r="H29" s="131">
        <f t="shared" si="8"/>
        <v>377.25430173990395</v>
      </c>
      <c r="I29" s="131">
        <f t="shared" si="8"/>
        <v>378.26239390845575</v>
      </c>
      <c r="J29" s="131">
        <f t="shared" si="8"/>
        <v>388.36833108724971</v>
      </c>
      <c r="K29" s="131">
        <f t="shared" si="8"/>
        <v>389.29818934163177</v>
      </c>
      <c r="L29" s="131">
        <f t="shared" si="8"/>
        <v>398.63974641181829</v>
      </c>
      <c r="M29" s="131">
        <f t="shared" si="8"/>
        <v>393.86003026603782</v>
      </c>
      <c r="N29" s="131">
        <f t="shared" si="8"/>
        <v>403.834498370821</v>
      </c>
      <c r="O29" s="131">
        <f t="shared" si="8"/>
        <v>414.32432215382585</v>
      </c>
      <c r="P29" s="131">
        <f t="shared" si="8"/>
        <v>411.78194271314823</v>
      </c>
      <c r="Q29" s="131">
        <f t="shared" si="8"/>
        <v>432.36524366925681</v>
      </c>
      <c r="R29" s="131">
        <f t="shared" ref="R29:W29" si="9">SUM(R30:R33)</f>
        <v>424.72264592008656</v>
      </c>
      <c r="S29" s="131">
        <f t="shared" si="9"/>
        <v>430.17573402693353</v>
      </c>
      <c r="T29" s="131">
        <f t="shared" si="9"/>
        <v>430.81545162943348</v>
      </c>
      <c r="U29" s="131">
        <f t="shared" si="9"/>
        <v>436.09345331809953</v>
      </c>
      <c r="V29" s="131">
        <f t="shared" si="9"/>
        <v>420.43374973113231</v>
      </c>
      <c r="W29" s="131">
        <f t="shared" si="9"/>
        <v>449.5077555170742</v>
      </c>
      <c r="DA29" s="156" t="s">
        <v>236</v>
      </c>
    </row>
    <row r="30" spans="1:105" ht="12" customHeight="1" x14ac:dyDescent="0.25">
      <c r="A30" s="132" t="s">
        <v>52</v>
      </c>
      <c r="B30" s="133">
        <v>168.66371710854486</v>
      </c>
      <c r="C30" s="133">
        <v>165.28953047788124</v>
      </c>
      <c r="D30" s="133">
        <v>124.86932333261363</v>
      </c>
      <c r="E30" s="133">
        <v>93.643080746259741</v>
      </c>
      <c r="F30" s="133">
        <v>97.538955977816826</v>
      </c>
      <c r="G30" s="133">
        <v>20.859403127802707</v>
      </c>
      <c r="H30" s="133">
        <v>18.902944947496465</v>
      </c>
      <c r="I30" s="133">
        <v>18.149022850653513</v>
      </c>
      <c r="J30" s="133">
        <v>23.828532195552626</v>
      </c>
      <c r="K30" s="133">
        <v>24.614681467926356</v>
      </c>
      <c r="L30" s="133">
        <v>31.381942876269953</v>
      </c>
      <c r="M30" s="133">
        <v>22.095059341391568</v>
      </c>
      <c r="N30" s="133">
        <v>23.862681002843892</v>
      </c>
      <c r="O30" s="133">
        <v>26.247275905282617</v>
      </c>
      <c r="P30" s="133">
        <v>20.382417230564009</v>
      </c>
      <c r="Q30" s="133">
        <v>36.68550673587368</v>
      </c>
      <c r="R30" s="133">
        <v>27.594067095115971</v>
      </c>
      <c r="S30" s="133">
        <v>32.862083559138689</v>
      </c>
      <c r="T30" s="133">
        <v>32.056249593789296</v>
      </c>
      <c r="U30" s="133">
        <v>34.811421347796809</v>
      </c>
      <c r="V30" s="133">
        <v>42.244071926368413</v>
      </c>
      <c r="W30" s="133">
        <v>45.428288478313746</v>
      </c>
      <c r="DA30" s="157" t="s">
        <v>378</v>
      </c>
    </row>
    <row r="31" spans="1:105" ht="12" customHeight="1" x14ac:dyDescent="0.25">
      <c r="A31" s="132" t="s">
        <v>153</v>
      </c>
      <c r="B31" s="133">
        <v>348.13072738001438</v>
      </c>
      <c r="C31" s="133">
        <v>350.8984870445521</v>
      </c>
      <c r="D31" s="133">
        <v>352.87187395302595</v>
      </c>
      <c r="E31" s="133">
        <v>352.72646784317573</v>
      </c>
      <c r="F31" s="133">
        <v>356.20732022655199</v>
      </c>
      <c r="G31" s="133">
        <v>358.19471705376071</v>
      </c>
      <c r="H31" s="133">
        <v>358.3513567924075</v>
      </c>
      <c r="I31" s="133">
        <v>360.11337105780223</v>
      </c>
      <c r="J31" s="133">
        <v>364.5397988916971</v>
      </c>
      <c r="K31" s="133">
        <v>364.68350787370542</v>
      </c>
      <c r="L31" s="133">
        <v>367.25780353554836</v>
      </c>
      <c r="M31" s="133">
        <v>371.76497092464626</v>
      </c>
      <c r="N31" s="133">
        <v>379.97181736797711</v>
      </c>
      <c r="O31" s="133">
        <v>383.61219615143301</v>
      </c>
      <c r="P31" s="133">
        <v>386.51553071806433</v>
      </c>
      <c r="Q31" s="133">
        <v>388.96631663004138</v>
      </c>
      <c r="R31" s="133">
        <v>390.39095143172858</v>
      </c>
      <c r="S31" s="133">
        <v>390.51563218327192</v>
      </c>
      <c r="T31" s="133">
        <v>392.175304826412</v>
      </c>
      <c r="U31" s="133">
        <v>394.28954807910549</v>
      </c>
      <c r="V31" s="133">
        <v>376.58138286040423</v>
      </c>
      <c r="W31" s="133">
        <v>402.08773320375423</v>
      </c>
      <c r="DA31" s="157" t="s">
        <v>379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4.4648500971102552</v>
      </c>
      <c r="P32" s="133">
        <v>4.88399476451991</v>
      </c>
      <c r="Q32" s="133">
        <v>6.7134203033417901</v>
      </c>
      <c r="R32" s="133">
        <v>6.7376273932420139</v>
      </c>
      <c r="S32" s="133">
        <v>6.7980182845229473</v>
      </c>
      <c r="T32" s="133">
        <v>6.5838972092322097</v>
      </c>
      <c r="U32" s="133">
        <v>6.9924838911972751</v>
      </c>
      <c r="V32" s="133">
        <v>1.6082949443596928</v>
      </c>
      <c r="W32" s="133">
        <v>1.9917338350062703</v>
      </c>
      <c r="DA32" s="157" t="s">
        <v>380</v>
      </c>
    </row>
    <row r="33" spans="1:105" ht="12" customHeight="1" x14ac:dyDescent="0.25">
      <c r="A33" s="62" t="s">
        <v>24</v>
      </c>
      <c r="B33" s="68">
        <v>0</v>
      </c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DA33" s="111" t="s">
        <v>381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382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87</v>
      </c>
      <c r="B3" s="126">
        <f>IF(SER_hh_fec!B3=0,0,11630*1000*SER_hh_fec!B3/SER_hh_num!B3)</f>
        <v>167311.85786472386</v>
      </c>
      <c r="C3" s="126">
        <f>IF(SER_hh_fec!C3=0,0,11630*1000*SER_hh_fec!C3/SER_hh_num!C3)</f>
        <v>173627.04101358438</v>
      </c>
      <c r="D3" s="126">
        <f>IF(SER_hh_fec!D3=0,0,11630*1000*SER_hh_fec!D3/SER_hh_num!D3)</f>
        <v>170833.93898290308</v>
      </c>
      <c r="E3" s="126">
        <f>IF(SER_hh_fec!E3=0,0,11630*1000*SER_hh_fec!E3/SER_hh_num!E3)</f>
        <v>178840.96656343734</v>
      </c>
      <c r="F3" s="126">
        <f>IF(SER_hh_fec!F3=0,0,11630*1000*SER_hh_fec!F3/SER_hh_num!F3)</f>
        <v>204907.927428236</v>
      </c>
      <c r="G3" s="126">
        <f>IF(SER_hh_fec!G3=0,0,11630*1000*SER_hh_fec!G3/SER_hh_num!G3)</f>
        <v>199802.85641330772</v>
      </c>
      <c r="H3" s="126">
        <f>IF(SER_hh_fec!H3=0,0,11630*1000*SER_hh_fec!H3/SER_hh_num!H3)</f>
        <v>185851.26505544267</v>
      </c>
      <c r="I3" s="126">
        <f>IF(SER_hh_fec!I3=0,0,11630*1000*SER_hh_fec!I3/SER_hh_num!I3)</f>
        <v>169214.83662932913</v>
      </c>
      <c r="J3" s="126">
        <f>IF(SER_hh_fec!J3=0,0,11630*1000*SER_hh_fec!J3/SER_hh_num!J3)</f>
        <v>187034.93684969732</v>
      </c>
      <c r="K3" s="126">
        <f>IF(SER_hh_fec!K3=0,0,11630*1000*SER_hh_fec!K3/SER_hh_num!K3)</f>
        <v>182290.47884767785</v>
      </c>
      <c r="L3" s="126">
        <f>IF(SER_hh_fec!L3=0,0,11630*1000*SER_hh_fec!L3/SER_hh_num!L3)</f>
        <v>191021.97743380701</v>
      </c>
      <c r="M3" s="126">
        <f>IF(SER_hh_fec!M3=0,0,11630*1000*SER_hh_fec!M3/SER_hh_num!M3)</f>
        <v>157882.4760406423</v>
      </c>
      <c r="N3" s="126">
        <f>IF(SER_hh_fec!N3=0,0,11630*1000*SER_hh_fec!N3/SER_hh_num!N3)</f>
        <v>165980.07387867197</v>
      </c>
      <c r="O3" s="126">
        <f>IF(SER_hh_fec!O3=0,0,11630*1000*SER_hh_fec!O3/SER_hh_num!O3)</f>
        <v>177259.46399882194</v>
      </c>
      <c r="P3" s="126">
        <f>IF(SER_hh_fec!P3=0,0,11630*1000*SER_hh_fec!P3/SER_hh_num!P3)</f>
        <v>143980.30953219175</v>
      </c>
      <c r="Q3" s="126">
        <f>IF(SER_hh_fec!Q3=0,0,11630*1000*SER_hh_fec!Q3/SER_hh_num!Q3)</f>
        <v>160368.05522334611</v>
      </c>
      <c r="R3" s="126">
        <f>IF(SER_hh_fec!R3=0,0,11630*1000*SER_hh_fec!R3/SER_hh_num!R3)</f>
        <v>159343.90692978608</v>
      </c>
      <c r="S3" s="126">
        <f>IF(SER_hh_fec!S3=0,0,11630*1000*SER_hh_fec!S3/SER_hh_num!S3)</f>
        <v>156874.94536229342</v>
      </c>
      <c r="T3" s="126">
        <f>IF(SER_hh_fec!T3=0,0,11630*1000*SER_hh_fec!T3/SER_hh_num!T3)</f>
        <v>156471.96690797331</v>
      </c>
      <c r="U3" s="126">
        <f>IF(SER_hh_fec!U3=0,0,11630*1000*SER_hh_fec!U3/SER_hh_num!U3)</f>
        <v>154306.2060596683</v>
      </c>
      <c r="V3" s="126">
        <f>IF(SER_hh_fec!V3=0,0,11630*1000*SER_hh_fec!V3/SER_hh_num!V3)</f>
        <v>147152.37134350592</v>
      </c>
      <c r="W3" s="126">
        <f>IF(SER_hh_fec!W3=0,0,11630*1000*SER_hh_fec!W3/SER_hh_num!W3)</f>
        <v>152338.08719526223</v>
      </c>
      <c r="DA3" s="155" t="s">
        <v>383</v>
      </c>
    </row>
    <row r="4" spans="1:105" ht="12.95" customHeight="1" x14ac:dyDescent="0.25">
      <c r="A4" s="130" t="s">
        <v>32</v>
      </c>
      <c r="B4" s="131">
        <f>IF(SER_hh_fec!B4=0,0,11630*1000*SER_hh_fec!B4/SER_hh_num!B4)</f>
        <v>130201.81657311674</v>
      </c>
      <c r="C4" s="131">
        <f>IF(SER_hh_fec!C4=0,0,11630*1000*SER_hh_fec!C4/SER_hh_num!C4)</f>
        <v>136237.32387887791</v>
      </c>
      <c r="D4" s="131">
        <f>IF(SER_hh_fec!D4=0,0,11630*1000*SER_hh_fec!D4/SER_hh_num!D4)</f>
        <v>133871.23268994424</v>
      </c>
      <c r="E4" s="131">
        <f>IF(SER_hh_fec!E4=0,0,11630*1000*SER_hh_fec!E4/SER_hh_num!E4)</f>
        <v>141839.59140164073</v>
      </c>
      <c r="F4" s="131">
        <f>IF(SER_hh_fec!F4=0,0,11630*1000*SER_hh_fec!F4/SER_hh_num!F4)</f>
        <v>168349.87717328567</v>
      </c>
      <c r="G4" s="131">
        <f>IF(SER_hh_fec!G4=0,0,11630*1000*SER_hh_fec!G4/SER_hh_num!G4)</f>
        <v>163770.95061601832</v>
      </c>
      <c r="H4" s="131">
        <f>IF(SER_hh_fec!H4=0,0,11630*1000*SER_hh_fec!H4/SER_hh_num!H4)</f>
        <v>149410.03025257189</v>
      </c>
      <c r="I4" s="131">
        <f>IF(SER_hh_fec!I4=0,0,11630*1000*SER_hh_fec!I4/SER_hh_num!I4)</f>
        <v>133211.61035670547</v>
      </c>
      <c r="J4" s="131">
        <f>IF(SER_hh_fec!J4=0,0,11630*1000*SER_hh_fec!J4/SER_hh_num!J4)</f>
        <v>150983.26046665796</v>
      </c>
      <c r="K4" s="131">
        <f>IF(SER_hh_fec!K4=0,0,11630*1000*SER_hh_fec!K4/SER_hh_num!K4)</f>
        <v>145523.41811142935</v>
      </c>
      <c r="L4" s="131">
        <f>IF(SER_hh_fec!L4=0,0,11630*1000*SER_hh_fec!L4/SER_hh_num!L4)</f>
        <v>154131.65525273685</v>
      </c>
      <c r="M4" s="131">
        <f>IF(SER_hh_fec!M4=0,0,11630*1000*SER_hh_fec!M4/SER_hh_num!M4)</f>
        <v>121278.37664114062</v>
      </c>
      <c r="N4" s="131">
        <f>IF(SER_hh_fec!N4=0,0,11630*1000*SER_hh_fec!N4/SER_hh_num!N4)</f>
        <v>128939.38408845592</v>
      </c>
      <c r="O4" s="131">
        <f>IF(SER_hh_fec!O4=0,0,11630*1000*SER_hh_fec!O4/SER_hh_num!O4)</f>
        <v>139950.3700602442</v>
      </c>
      <c r="P4" s="131">
        <f>IF(SER_hh_fec!P4=0,0,11630*1000*SER_hh_fec!P4/SER_hh_num!P4)</f>
        <v>106781.16565709934</v>
      </c>
      <c r="Q4" s="131">
        <f>IF(SER_hh_fec!Q4=0,0,11630*1000*SER_hh_fec!Q4/SER_hh_num!Q4)</f>
        <v>122603.99651957084</v>
      </c>
      <c r="R4" s="131">
        <f>IF(SER_hh_fec!R4=0,0,11630*1000*SER_hh_fec!R4/SER_hh_num!R4)</f>
        <v>122204.72055438369</v>
      </c>
      <c r="S4" s="131">
        <f>IF(SER_hh_fec!S4=0,0,11630*1000*SER_hh_fec!S4/SER_hh_num!S4)</f>
        <v>120265.79442521448</v>
      </c>
      <c r="T4" s="131">
        <f>IF(SER_hh_fec!T4=0,0,11630*1000*SER_hh_fec!T4/SER_hh_num!T4)</f>
        <v>120019.18910678808</v>
      </c>
      <c r="U4" s="131">
        <f>IF(SER_hh_fec!U4=0,0,11630*1000*SER_hh_fec!U4/SER_hh_num!U4)</f>
        <v>118506.86817244848</v>
      </c>
      <c r="V4" s="131">
        <f>IF(SER_hh_fec!V4=0,0,11630*1000*SER_hh_fec!V4/SER_hh_num!V4)</f>
        <v>113019.30895970293</v>
      </c>
      <c r="W4" s="131">
        <f>IF(SER_hh_fec!W4=0,0,11630*1000*SER_hh_fec!W4/SER_hh_num!W4)</f>
        <v>117543.78366234159</v>
      </c>
      <c r="DA4" s="156" t="s">
        <v>384</v>
      </c>
    </row>
    <row r="5" spans="1:105" ht="12" customHeight="1" x14ac:dyDescent="0.25">
      <c r="A5" s="132" t="s">
        <v>29</v>
      </c>
      <c r="B5" s="133">
        <f>IF(SER_hh_fec!B5=0,0,11630*1000*SER_hh_fec!B5/SER_hh_num!B5)</f>
        <v>0</v>
      </c>
      <c r="C5" s="133">
        <f>IF(SER_hh_fec!C5=0,0,11630*1000*SER_hh_fec!C5/SER_hh_num!C5)</f>
        <v>0</v>
      </c>
      <c r="D5" s="133">
        <f>IF(SER_hh_fec!D5=0,0,11630*1000*SER_hh_fec!D5/SER_hh_num!D5)</f>
        <v>0</v>
      </c>
      <c r="E5" s="133">
        <f>IF(SER_hh_fec!E5=0,0,11630*1000*SER_hh_fec!E5/SER_hh_num!E5)</f>
        <v>0</v>
      </c>
      <c r="F5" s="133">
        <f>IF(SER_hh_fec!F5=0,0,11630*1000*SER_hh_fec!F5/SER_hh_num!F5)</f>
        <v>0</v>
      </c>
      <c r="G5" s="133">
        <f>IF(SER_hh_fec!G5=0,0,11630*1000*SER_hh_fec!G5/SER_hh_num!G5)</f>
        <v>0</v>
      </c>
      <c r="H5" s="133">
        <f>IF(SER_hh_fec!H5=0,0,11630*1000*SER_hh_fec!H5/SER_hh_num!H5)</f>
        <v>0</v>
      </c>
      <c r="I5" s="133">
        <f>IF(SER_hh_fec!I5=0,0,11630*1000*SER_hh_fec!I5/SER_hh_num!I5)</f>
        <v>0</v>
      </c>
      <c r="J5" s="133">
        <f>IF(SER_hh_fec!J5=0,0,11630*1000*SER_hh_fec!J5/SER_hh_num!J5)</f>
        <v>0</v>
      </c>
      <c r="K5" s="133">
        <f>IF(SER_hh_fec!K5=0,0,11630*1000*SER_hh_fec!K5/SER_hh_num!K5)</f>
        <v>0</v>
      </c>
      <c r="L5" s="133">
        <f>IF(SER_hh_fec!L5=0,0,11630*1000*SER_hh_fec!L5/SER_hh_num!L5)</f>
        <v>0</v>
      </c>
      <c r="M5" s="133">
        <f>IF(SER_hh_fec!M5=0,0,11630*1000*SER_hh_fec!M5/SER_hh_num!M5)</f>
        <v>0</v>
      </c>
      <c r="N5" s="133">
        <f>IF(SER_hh_fec!N5=0,0,11630*1000*SER_hh_fec!N5/SER_hh_num!N5)</f>
        <v>0</v>
      </c>
      <c r="O5" s="133">
        <f>IF(SER_hh_fec!O5=0,0,11630*1000*SER_hh_fec!O5/SER_hh_num!O5)</f>
        <v>0</v>
      </c>
      <c r="P5" s="133">
        <f>IF(SER_hh_fec!P5=0,0,11630*1000*SER_hh_fec!P5/SER_hh_num!P5)</f>
        <v>0</v>
      </c>
      <c r="Q5" s="133">
        <f>IF(SER_hh_fec!Q5=0,0,11630*1000*SER_hh_fec!Q5/SER_hh_num!Q5)</f>
        <v>0</v>
      </c>
      <c r="R5" s="133">
        <f>IF(SER_hh_fec!R5=0,0,11630*1000*SER_hh_fec!R5/SER_hh_num!R5)</f>
        <v>0</v>
      </c>
      <c r="S5" s="133">
        <f>IF(SER_hh_fec!S5=0,0,11630*1000*SER_hh_fec!S5/SER_hh_num!S5)</f>
        <v>0</v>
      </c>
      <c r="T5" s="133">
        <f>IF(SER_hh_fec!T5=0,0,11630*1000*SER_hh_fec!T5/SER_hh_num!T5)</f>
        <v>0</v>
      </c>
      <c r="U5" s="133">
        <f>IF(SER_hh_fec!U5=0,0,11630*1000*SER_hh_fec!U5/SER_hh_num!U5)</f>
        <v>0</v>
      </c>
      <c r="V5" s="133">
        <f>IF(SER_hh_fec!V5=0,0,11630*1000*SER_hh_fec!V5/SER_hh_num!V5)</f>
        <v>0</v>
      </c>
      <c r="W5" s="133">
        <f>IF(SER_hh_fec!W5=0,0,11630*1000*SER_hh_fec!W5/SER_hh_num!W5)</f>
        <v>0</v>
      </c>
      <c r="DA5" s="157" t="s">
        <v>385</v>
      </c>
    </row>
    <row r="6" spans="1:105" ht="12" customHeight="1" x14ac:dyDescent="0.25">
      <c r="A6" s="132" t="s">
        <v>52</v>
      </c>
      <c r="B6" s="133">
        <f>IF(SER_hh_fec!B6=0,0,11630*1000*SER_hh_fec!B6/SER_hh_num!B6)</f>
        <v>0</v>
      </c>
      <c r="C6" s="133">
        <f>IF(SER_hh_fec!C6=0,0,11630*1000*SER_hh_fec!C6/SER_hh_num!C6)</f>
        <v>0</v>
      </c>
      <c r="D6" s="133">
        <f>IF(SER_hh_fec!D6=0,0,11630*1000*SER_hh_fec!D6/SER_hh_num!D6)</f>
        <v>0</v>
      </c>
      <c r="E6" s="133">
        <f>IF(SER_hh_fec!E6=0,0,11630*1000*SER_hh_fec!E6/SER_hh_num!E6)</f>
        <v>0</v>
      </c>
      <c r="F6" s="133">
        <f>IF(SER_hh_fec!F6=0,0,11630*1000*SER_hh_fec!F6/SER_hh_num!F6)</f>
        <v>0</v>
      </c>
      <c r="G6" s="133">
        <f>IF(SER_hh_fec!G6=0,0,11630*1000*SER_hh_fec!G6/SER_hh_num!G6)</f>
        <v>0</v>
      </c>
      <c r="H6" s="133">
        <f>IF(SER_hh_fec!H6=0,0,11630*1000*SER_hh_fec!H6/SER_hh_num!H6)</f>
        <v>0</v>
      </c>
      <c r="I6" s="133">
        <f>IF(SER_hh_fec!I6=0,0,11630*1000*SER_hh_fec!I6/SER_hh_num!I6)</f>
        <v>0</v>
      </c>
      <c r="J6" s="133">
        <f>IF(SER_hh_fec!J6=0,0,11630*1000*SER_hh_fec!J6/SER_hh_num!J6)</f>
        <v>0</v>
      </c>
      <c r="K6" s="133">
        <f>IF(SER_hh_fec!K6=0,0,11630*1000*SER_hh_fec!K6/SER_hh_num!K6)</f>
        <v>0</v>
      </c>
      <c r="L6" s="133">
        <f>IF(SER_hh_fec!L6=0,0,11630*1000*SER_hh_fec!L6/SER_hh_num!L6)</f>
        <v>0</v>
      </c>
      <c r="M6" s="133">
        <f>IF(SER_hh_fec!M6=0,0,11630*1000*SER_hh_fec!M6/SER_hh_num!M6)</f>
        <v>0</v>
      </c>
      <c r="N6" s="133">
        <f>IF(SER_hh_fec!N6=0,0,11630*1000*SER_hh_fec!N6/SER_hh_num!N6)</f>
        <v>0</v>
      </c>
      <c r="O6" s="133">
        <f>IF(SER_hh_fec!O6=0,0,11630*1000*SER_hh_fec!O6/SER_hh_num!O6)</f>
        <v>0</v>
      </c>
      <c r="P6" s="133">
        <f>IF(SER_hh_fec!P6=0,0,11630*1000*SER_hh_fec!P6/SER_hh_num!P6)</f>
        <v>0</v>
      </c>
      <c r="Q6" s="133">
        <f>IF(SER_hh_fec!Q6=0,0,11630*1000*SER_hh_fec!Q6/SER_hh_num!Q6)</f>
        <v>0</v>
      </c>
      <c r="R6" s="133">
        <f>IF(SER_hh_fec!R6=0,0,11630*1000*SER_hh_fec!R6/SER_hh_num!R6)</f>
        <v>0</v>
      </c>
      <c r="S6" s="133">
        <f>IF(SER_hh_fec!S6=0,0,11630*1000*SER_hh_fec!S6/SER_hh_num!S6)</f>
        <v>0</v>
      </c>
      <c r="T6" s="133">
        <f>IF(SER_hh_fec!T6=0,0,11630*1000*SER_hh_fec!T6/SER_hh_num!T6)</f>
        <v>0</v>
      </c>
      <c r="U6" s="133">
        <f>IF(SER_hh_fec!U6=0,0,11630*1000*SER_hh_fec!U6/SER_hh_num!U6)</f>
        <v>0</v>
      </c>
      <c r="V6" s="133">
        <f>IF(SER_hh_fec!V6=0,0,11630*1000*SER_hh_fec!V6/SER_hh_num!V6)</f>
        <v>0</v>
      </c>
      <c r="W6" s="133">
        <f>IF(SER_hh_fec!W6=0,0,11630*1000*SER_hh_fec!W6/SER_hh_num!W6)</f>
        <v>0</v>
      </c>
      <c r="DA6" s="157" t="s">
        <v>386</v>
      </c>
    </row>
    <row r="7" spans="1:105" ht="12" customHeight="1" x14ac:dyDescent="0.25">
      <c r="A7" s="132" t="s">
        <v>168</v>
      </c>
      <c r="B7" s="133">
        <f>IF(SER_hh_fec!B7=0,0,11630*1000*SER_hh_fec!B7/SER_hh_num!B7)</f>
        <v>144420.83959026728</v>
      </c>
      <c r="C7" s="133">
        <f>IF(SER_hh_fec!C7=0,0,11630*1000*SER_hh_fec!C7/SER_hh_num!C7)</f>
        <v>133937.60109849571</v>
      </c>
      <c r="D7" s="133">
        <f>IF(SER_hh_fec!D7=0,0,11630*1000*SER_hh_fec!D7/SER_hh_num!D7)</f>
        <v>170190.07404418633</v>
      </c>
      <c r="E7" s="133">
        <f>IF(SER_hh_fec!E7=0,0,11630*1000*SER_hh_fec!E7/SER_hh_num!E7)</f>
        <v>192813.36397082551</v>
      </c>
      <c r="F7" s="133">
        <f>IF(SER_hh_fec!F7=0,0,11630*1000*SER_hh_fec!F7/SER_hh_num!F7)</f>
        <v>187763.19375029442</v>
      </c>
      <c r="G7" s="133">
        <f>IF(SER_hh_fec!G7=0,0,11630*1000*SER_hh_fec!G7/SER_hh_num!G7)</f>
        <v>190671.65386783407</v>
      </c>
      <c r="H7" s="133">
        <f>IF(SER_hh_fec!H7=0,0,11630*1000*SER_hh_fec!H7/SER_hh_num!H7)</f>
        <v>168077.13303745966</v>
      </c>
      <c r="I7" s="133">
        <f>IF(SER_hh_fec!I7=0,0,11630*1000*SER_hh_fec!I7/SER_hh_num!I7)</f>
        <v>145937.89549729685</v>
      </c>
      <c r="J7" s="133">
        <f>IF(SER_hh_fec!J7=0,0,11630*1000*SER_hh_fec!J7/SER_hh_num!J7)</f>
        <v>186855.09508790751</v>
      </c>
      <c r="K7" s="133">
        <f>IF(SER_hh_fec!K7=0,0,11630*1000*SER_hh_fec!K7/SER_hh_num!K7)</f>
        <v>155278.11195342391</v>
      </c>
      <c r="L7" s="133">
        <f>IF(SER_hh_fec!L7=0,0,11630*1000*SER_hh_fec!L7/SER_hh_num!L7)</f>
        <v>176000.86607192951</v>
      </c>
      <c r="M7" s="133">
        <f>IF(SER_hh_fec!M7=0,0,11630*1000*SER_hh_fec!M7/SER_hh_num!M7)</f>
        <v>145506.96061293449</v>
      </c>
      <c r="N7" s="133">
        <f>IF(SER_hh_fec!N7=0,0,11630*1000*SER_hh_fec!N7/SER_hh_num!N7)</f>
        <v>144150.48471684509</v>
      </c>
      <c r="O7" s="133">
        <f>IF(SER_hh_fec!O7=0,0,11630*1000*SER_hh_fec!O7/SER_hh_num!O7)</f>
        <v>157854.08307069237</v>
      </c>
      <c r="P7" s="133">
        <f>IF(SER_hh_fec!P7=0,0,11630*1000*SER_hh_fec!P7/SER_hh_num!P7)</f>
        <v>119742.02182246276</v>
      </c>
      <c r="Q7" s="133">
        <f>IF(SER_hh_fec!Q7=0,0,11630*1000*SER_hh_fec!Q7/SER_hh_num!Q7)</f>
        <v>142870.3673609003</v>
      </c>
      <c r="R7" s="133">
        <f>IF(SER_hh_fec!R7=0,0,11630*1000*SER_hh_fec!R7/SER_hh_num!R7)</f>
        <v>131243.1509351063</v>
      </c>
      <c r="S7" s="133">
        <f>IF(SER_hh_fec!S7=0,0,11630*1000*SER_hh_fec!S7/SER_hh_num!S7)</f>
        <v>132773.57581791133</v>
      </c>
      <c r="T7" s="133">
        <f>IF(SER_hh_fec!T7=0,0,11630*1000*SER_hh_fec!T7/SER_hh_num!T7)</f>
        <v>131851.80011139193</v>
      </c>
      <c r="U7" s="133">
        <f>IF(SER_hh_fec!U7=0,0,11630*1000*SER_hh_fec!U7/SER_hh_num!U7)</f>
        <v>126994.73919430433</v>
      </c>
      <c r="V7" s="133">
        <f>IF(SER_hh_fec!V7=0,0,11630*1000*SER_hh_fec!V7/SER_hh_num!V7)</f>
        <v>135102.82148237393</v>
      </c>
      <c r="W7" s="133">
        <f>IF(SER_hh_fec!W7=0,0,11630*1000*SER_hh_fec!W7/SER_hh_num!W7)</f>
        <v>116255.5290104234</v>
      </c>
      <c r="DA7" s="157" t="s">
        <v>387</v>
      </c>
    </row>
    <row r="8" spans="1:105" ht="12" customHeight="1" x14ac:dyDescent="0.25">
      <c r="A8" s="132" t="s">
        <v>73</v>
      </c>
      <c r="B8" s="133">
        <f>IF(SER_hh_fec!B8=0,0,11630*1000*SER_hh_fec!B8/SER_hh_num!B8)</f>
        <v>69035.59989705465</v>
      </c>
      <c r="C8" s="133">
        <f>IF(SER_hh_fec!C8=0,0,11630*1000*SER_hh_fec!C8/SER_hh_num!C8)</f>
        <v>69335.913974022056</v>
      </c>
      <c r="D8" s="133">
        <f>IF(SER_hh_fec!D8=0,0,11630*1000*SER_hh_fec!D8/SER_hh_num!D8)</f>
        <v>67367.761685613485</v>
      </c>
      <c r="E8" s="133">
        <f>IF(SER_hh_fec!E8=0,0,11630*1000*SER_hh_fec!E8/SER_hh_num!E8)</f>
        <v>66087.915484725076</v>
      </c>
      <c r="F8" s="133">
        <f>IF(SER_hh_fec!F8=0,0,11630*1000*SER_hh_fec!F8/SER_hh_num!F8)</f>
        <v>74511.619587571331</v>
      </c>
      <c r="G8" s="133">
        <f>IF(SER_hh_fec!G8=0,0,11630*1000*SER_hh_fec!G8/SER_hh_num!G8)</f>
        <v>67778.425884024298</v>
      </c>
      <c r="H8" s="133">
        <f>IF(SER_hh_fec!H8=0,0,11630*1000*SER_hh_fec!H8/SER_hh_num!H8)</f>
        <v>62787.233485641991</v>
      </c>
      <c r="I8" s="133">
        <f>IF(SER_hh_fec!I8=0,0,11630*1000*SER_hh_fec!I8/SER_hh_num!I8)</f>
        <v>51336.016114283324</v>
      </c>
      <c r="J8" s="133">
        <f>IF(SER_hh_fec!J8=0,0,11630*1000*SER_hh_fec!J8/SER_hh_num!J8)</f>
        <v>51927.05131559584</v>
      </c>
      <c r="K8" s="133">
        <f>IF(SER_hh_fec!K8=0,0,11630*1000*SER_hh_fec!K8/SER_hh_num!K8)</f>
        <v>48979.618216474832</v>
      </c>
      <c r="L8" s="133">
        <f>IF(SER_hh_fec!L8=0,0,11630*1000*SER_hh_fec!L8/SER_hh_num!L8)</f>
        <v>45331.76491791827</v>
      </c>
      <c r="M8" s="133">
        <f>IF(SER_hh_fec!M8=0,0,11630*1000*SER_hh_fec!M8/SER_hh_num!M8)</f>
        <v>34133.485953192772</v>
      </c>
      <c r="N8" s="133">
        <f>IF(SER_hh_fec!N8=0,0,11630*1000*SER_hh_fec!N8/SER_hh_num!N8)</f>
        <v>34618.856242080205</v>
      </c>
      <c r="O8" s="133">
        <f>IF(SER_hh_fec!O8=0,0,11630*1000*SER_hh_fec!O8/SER_hh_num!O8)</f>
        <v>35762.885938159874</v>
      </c>
      <c r="P8" s="133">
        <f>IF(SER_hh_fec!P8=0,0,11630*1000*SER_hh_fec!P8/SER_hh_num!P8)</f>
        <v>26808.635472445272</v>
      </c>
      <c r="Q8" s="133">
        <f>IF(SER_hh_fec!Q8=0,0,11630*1000*SER_hh_fec!Q8/SER_hh_num!Q8)</f>
        <v>29336.121630792335</v>
      </c>
      <c r="R8" s="133">
        <f>IF(SER_hh_fec!R8=0,0,11630*1000*SER_hh_fec!R8/SER_hh_num!R8)</f>
        <v>29340.95179173151</v>
      </c>
      <c r="S8" s="133">
        <f>IF(SER_hh_fec!S8=0,0,11630*1000*SER_hh_fec!S8/SER_hh_num!S8)</f>
        <v>27587.298177221055</v>
      </c>
      <c r="T8" s="133">
        <f>IF(SER_hh_fec!T8=0,0,11630*1000*SER_hh_fec!T8/SER_hh_num!T8)</f>
        <v>26911.605494140207</v>
      </c>
      <c r="U8" s="133">
        <f>IF(SER_hh_fec!U8=0,0,11630*1000*SER_hh_fec!U8/SER_hh_num!U8)</f>
        <v>26392.35534870288</v>
      </c>
      <c r="V8" s="133">
        <f>IF(SER_hh_fec!V8=0,0,11630*1000*SER_hh_fec!V8/SER_hh_num!V8)</f>
        <v>25196.277734329578</v>
      </c>
      <c r="W8" s="133">
        <f>IF(SER_hh_fec!W8=0,0,11630*1000*SER_hh_fec!W8/SER_hh_num!W8)</f>
        <v>26909.972058214291</v>
      </c>
      <c r="DA8" s="157" t="s">
        <v>388</v>
      </c>
    </row>
    <row r="9" spans="1:105" ht="12" customHeight="1" x14ac:dyDescent="0.25">
      <c r="A9" s="132" t="s">
        <v>78</v>
      </c>
      <c r="B9" s="133">
        <f>IF(SER_hh_fec!B9=0,0,11630*1000*SER_hh_fec!B9/SER_hh_num!B9)</f>
        <v>127104.58538223409</v>
      </c>
      <c r="C9" s="133">
        <f>IF(SER_hh_fec!C9=0,0,11630*1000*SER_hh_fec!C9/SER_hh_num!C9)</f>
        <v>141255.47640297929</v>
      </c>
      <c r="D9" s="133">
        <f>IF(SER_hh_fec!D9=0,0,11630*1000*SER_hh_fec!D9/SER_hh_num!D9)</f>
        <v>131209.55352022598</v>
      </c>
      <c r="E9" s="133">
        <f>IF(SER_hh_fec!E9=0,0,11630*1000*SER_hh_fec!E9/SER_hh_num!E9)</f>
        <v>138321.09513698902</v>
      </c>
      <c r="F9" s="133">
        <f>IF(SER_hh_fec!F9=0,0,11630*1000*SER_hh_fec!F9/SER_hh_num!F9)</f>
        <v>149718.4240725117</v>
      </c>
      <c r="G9" s="133">
        <f>IF(SER_hh_fec!G9=0,0,11630*1000*SER_hh_fec!G9/SER_hh_num!G9)</f>
        <v>156148.57577977789</v>
      </c>
      <c r="H9" s="133">
        <f>IF(SER_hh_fec!H9=0,0,11630*1000*SER_hh_fec!H9/SER_hh_num!H9)</f>
        <v>154971.19101630469</v>
      </c>
      <c r="I9" s="133">
        <f>IF(SER_hh_fec!I9=0,0,11630*1000*SER_hh_fec!I9/SER_hh_num!I9)</f>
        <v>134998.03857107947</v>
      </c>
      <c r="J9" s="133">
        <f>IF(SER_hh_fec!J9=0,0,11630*1000*SER_hh_fec!J9/SER_hh_num!J9)</f>
        <v>147033.67065594866</v>
      </c>
      <c r="K9" s="133">
        <f>IF(SER_hh_fec!K9=0,0,11630*1000*SER_hh_fec!K9/SER_hh_num!K9)</f>
        <v>149560.01843991739</v>
      </c>
      <c r="L9" s="133">
        <f>IF(SER_hh_fec!L9=0,0,11630*1000*SER_hh_fec!L9/SER_hh_num!L9)</f>
        <v>154419.5425689065</v>
      </c>
      <c r="M9" s="133">
        <f>IF(SER_hh_fec!M9=0,0,11630*1000*SER_hh_fec!M9/SER_hh_num!M9)</f>
        <v>114421.40253118672</v>
      </c>
      <c r="N9" s="133">
        <f>IF(SER_hh_fec!N9=0,0,11630*1000*SER_hh_fec!N9/SER_hh_num!N9)</f>
        <v>126724.22505181123</v>
      </c>
      <c r="O9" s="133">
        <f>IF(SER_hh_fec!O9=0,0,11630*1000*SER_hh_fec!O9/SER_hh_num!O9)</f>
        <v>136954.26070396279</v>
      </c>
      <c r="P9" s="133">
        <f>IF(SER_hh_fec!P9=0,0,11630*1000*SER_hh_fec!P9/SER_hh_num!P9)</f>
        <v>101723.4084092386</v>
      </c>
      <c r="Q9" s="133">
        <f>IF(SER_hh_fec!Q9=0,0,11630*1000*SER_hh_fec!Q9/SER_hh_num!Q9)</f>
        <v>115681.92653195494</v>
      </c>
      <c r="R9" s="133">
        <f>IF(SER_hh_fec!R9=0,0,11630*1000*SER_hh_fec!R9/SER_hh_num!R9)</f>
        <v>120309.49461317123</v>
      </c>
      <c r="S9" s="133">
        <f>IF(SER_hh_fec!S9=0,0,11630*1000*SER_hh_fec!S9/SER_hh_num!S9)</f>
        <v>117145.84198123189</v>
      </c>
      <c r="T9" s="133">
        <f>IF(SER_hh_fec!T9=0,0,11630*1000*SER_hh_fec!T9/SER_hh_num!T9)</f>
        <v>117715.44276160165</v>
      </c>
      <c r="U9" s="133">
        <f>IF(SER_hh_fec!U9=0,0,11630*1000*SER_hh_fec!U9/SER_hh_num!U9)</f>
        <v>116798.86155728941</v>
      </c>
      <c r="V9" s="133">
        <f>IF(SER_hh_fec!V9=0,0,11630*1000*SER_hh_fec!V9/SER_hh_num!V9)</f>
        <v>108002.68903675074</v>
      </c>
      <c r="W9" s="133">
        <f>IF(SER_hh_fec!W9=0,0,11630*1000*SER_hh_fec!W9/SER_hh_num!W9)</f>
        <v>121534.69155158727</v>
      </c>
      <c r="DA9" s="157" t="s">
        <v>389</v>
      </c>
    </row>
    <row r="10" spans="1:105" ht="12" customHeight="1" x14ac:dyDescent="0.25">
      <c r="A10" s="132" t="s">
        <v>128</v>
      </c>
      <c r="B10" s="133">
        <f>IF(SER_hh_fec!B10=0,0,11630*1000*SER_hh_fec!B10/SER_hh_num!B10)</f>
        <v>212737.19549072528</v>
      </c>
      <c r="C10" s="133">
        <f>IF(SER_hh_fec!C10=0,0,11630*1000*SER_hh_fec!C10/SER_hh_num!C10)</f>
        <v>201503.36058071791</v>
      </c>
      <c r="D10" s="133">
        <f>IF(SER_hh_fec!D10=0,0,11630*1000*SER_hh_fec!D10/SER_hh_num!D10)</f>
        <v>12116.526711373319</v>
      </c>
      <c r="E10" s="133">
        <f>IF(SER_hh_fec!E10=0,0,11630*1000*SER_hh_fec!E10/SER_hh_num!E10)</f>
        <v>3845.0817817583788</v>
      </c>
      <c r="F10" s="133">
        <f>IF(SER_hh_fec!F10=0,0,11630*1000*SER_hh_fec!F10/SER_hh_num!F10)</f>
        <v>276198.5105141463</v>
      </c>
      <c r="G10" s="133">
        <f>IF(SER_hh_fec!G10=0,0,11630*1000*SER_hh_fec!G10/SER_hh_num!G10)</f>
        <v>241593.46120501476</v>
      </c>
      <c r="H10" s="133">
        <f>IF(SER_hh_fec!H10=0,0,11630*1000*SER_hh_fec!H10/SER_hh_num!H10)</f>
        <v>217106.19297269991</v>
      </c>
      <c r="I10" s="133">
        <f>IF(SER_hh_fec!I10=0,0,11630*1000*SER_hh_fec!I10/SER_hh_num!I10)</f>
        <v>247877.3823250937</v>
      </c>
      <c r="J10" s="133">
        <f>IF(SER_hh_fec!J10=0,0,11630*1000*SER_hh_fec!J10/SER_hh_num!J10)</f>
        <v>108359.71527490925</v>
      </c>
      <c r="K10" s="133">
        <f>IF(SER_hh_fec!K10=0,0,11630*1000*SER_hh_fec!K10/SER_hh_num!K10)</f>
        <v>56130.593695668664</v>
      </c>
      <c r="L10" s="133">
        <f>IF(SER_hh_fec!L10=0,0,11630*1000*SER_hh_fec!L10/SER_hh_num!L10)</f>
        <v>184109.23201788476</v>
      </c>
      <c r="M10" s="133">
        <f>IF(SER_hh_fec!M10=0,0,11630*1000*SER_hh_fec!M10/SER_hh_num!M10)</f>
        <v>113271.22691447417</v>
      </c>
      <c r="N10" s="133">
        <f>IF(SER_hh_fec!N10=0,0,11630*1000*SER_hh_fec!N10/SER_hh_num!N10)</f>
        <v>146156.35692080687</v>
      </c>
      <c r="O10" s="133">
        <f>IF(SER_hh_fec!O10=0,0,11630*1000*SER_hh_fec!O10/SER_hh_num!O10)</f>
        <v>191169.62048624709</v>
      </c>
      <c r="P10" s="133">
        <f>IF(SER_hh_fec!P10=0,0,11630*1000*SER_hh_fec!P10/SER_hh_num!P10)</f>
        <v>161983.42272149079</v>
      </c>
      <c r="Q10" s="133">
        <f>IF(SER_hh_fec!Q10=0,0,11630*1000*SER_hh_fec!Q10/SER_hh_num!Q10)</f>
        <v>169424.30854543313</v>
      </c>
      <c r="R10" s="133">
        <f>IF(SER_hh_fec!R10=0,0,11630*1000*SER_hh_fec!R10/SER_hh_num!R10)</f>
        <v>166058.85163337906</v>
      </c>
      <c r="S10" s="133">
        <f>IF(SER_hh_fec!S10=0,0,11630*1000*SER_hh_fec!S10/SER_hh_num!S10)</f>
        <v>162528.35778280103</v>
      </c>
      <c r="T10" s="133">
        <f>IF(SER_hh_fec!T10=0,0,11630*1000*SER_hh_fec!T10/SER_hh_num!T10)</f>
        <v>162690.05191969353</v>
      </c>
      <c r="U10" s="133">
        <f>IF(SER_hh_fec!U10=0,0,11630*1000*SER_hh_fec!U10/SER_hh_num!U10)</f>
        <v>170164.82582788059</v>
      </c>
      <c r="V10" s="133">
        <f>IF(SER_hh_fec!V10=0,0,11630*1000*SER_hh_fec!V10/SER_hh_num!V10)</f>
        <v>166765.30207089361</v>
      </c>
      <c r="W10" s="133">
        <f>IF(SER_hh_fec!W10=0,0,11630*1000*SER_hh_fec!W10/SER_hh_num!W10)</f>
        <v>159774.04426935286</v>
      </c>
      <c r="DA10" s="157" t="s">
        <v>390</v>
      </c>
    </row>
    <row r="11" spans="1:105" ht="12" customHeight="1" x14ac:dyDescent="0.25">
      <c r="A11" s="132" t="s">
        <v>25</v>
      </c>
      <c r="B11" s="133">
        <f>IF(SER_hh_fec!B11=0,0,11630*1000*SER_hh_fec!B11/SER_hh_num!B11)</f>
        <v>0</v>
      </c>
      <c r="C11" s="133">
        <f>IF(SER_hh_fec!C11=0,0,11630*1000*SER_hh_fec!C11/SER_hh_num!C11)</f>
        <v>0</v>
      </c>
      <c r="D11" s="133">
        <f>IF(SER_hh_fec!D11=0,0,11630*1000*SER_hh_fec!D11/SER_hh_num!D11)</f>
        <v>0</v>
      </c>
      <c r="E11" s="133">
        <f>IF(SER_hh_fec!E11=0,0,11630*1000*SER_hh_fec!E11/SER_hh_num!E11)</f>
        <v>0</v>
      </c>
      <c r="F11" s="133">
        <f>IF(SER_hh_fec!F11=0,0,11630*1000*SER_hh_fec!F11/SER_hh_num!F11)</f>
        <v>0</v>
      </c>
      <c r="G11" s="133">
        <f>IF(SER_hh_fec!G11=0,0,11630*1000*SER_hh_fec!G11/SER_hh_num!G11)</f>
        <v>0</v>
      </c>
      <c r="H11" s="133">
        <f>IF(SER_hh_fec!H11=0,0,11630*1000*SER_hh_fec!H11/SER_hh_num!H11)</f>
        <v>0</v>
      </c>
      <c r="I11" s="133">
        <f>IF(SER_hh_fec!I11=0,0,11630*1000*SER_hh_fec!I11/SER_hh_num!I11)</f>
        <v>0</v>
      </c>
      <c r="J11" s="133">
        <f>IF(SER_hh_fec!J11=0,0,11630*1000*SER_hh_fec!J11/SER_hh_num!J11)</f>
        <v>0</v>
      </c>
      <c r="K11" s="133">
        <f>IF(SER_hh_fec!K11=0,0,11630*1000*SER_hh_fec!K11/SER_hh_num!K11)</f>
        <v>0</v>
      </c>
      <c r="L11" s="133">
        <f>IF(SER_hh_fec!L11=0,0,11630*1000*SER_hh_fec!L11/SER_hh_num!L11)</f>
        <v>0</v>
      </c>
      <c r="M11" s="133">
        <f>IF(SER_hh_fec!M11=0,0,11630*1000*SER_hh_fec!M11/SER_hh_num!M11)</f>
        <v>0</v>
      </c>
      <c r="N11" s="133">
        <f>IF(SER_hh_fec!N11=0,0,11630*1000*SER_hh_fec!N11/SER_hh_num!N11)</f>
        <v>0</v>
      </c>
      <c r="O11" s="133">
        <f>IF(SER_hh_fec!O11=0,0,11630*1000*SER_hh_fec!O11/SER_hh_num!O11)</f>
        <v>0</v>
      </c>
      <c r="P11" s="133">
        <f>IF(SER_hh_fec!P11=0,0,11630*1000*SER_hh_fec!P11/SER_hh_num!P11)</f>
        <v>0</v>
      </c>
      <c r="Q11" s="133">
        <f>IF(SER_hh_fec!Q11=0,0,11630*1000*SER_hh_fec!Q11/SER_hh_num!Q11)</f>
        <v>0</v>
      </c>
      <c r="R11" s="133">
        <f>IF(SER_hh_fec!R11=0,0,11630*1000*SER_hh_fec!R11/SER_hh_num!R11)</f>
        <v>0</v>
      </c>
      <c r="S11" s="133">
        <f>IF(SER_hh_fec!S11=0,0,11630*1000*SER_hh_fec!S11/SER_hh_num!S11)</f>
        <v>0</v>
      </c>
      <c r="T11" s="133">
        <f>IF(SER_hh_fec!T11=0,0,11630*1000*SER_hh_fec!T11/SER_hh_num!T11)</f>
        <v>0</v>
      </c>
      <c r="U11" s="133">
        <f>IF(SER_hh_fec!U11=0,0,11630*1000*SER_hh_fec!U11/SER_hh_num!U11)</f>
        <v>0</v>
      </c>
      <c r="V11" s="133">
        <f>IF(SER_hh_fec!V11=0,0,11630*1000*SER_hh_fec!V11/SER_hh_num!V11)</f>
        <v>0</v>
      </c>
      <c r="W11" s="133">
        <f>IF(SER_hh_fec!W11=0,0,11630*1000*SER_hh_fec!W11/SER_hh_num!W11)</f>
        <v>0</v>
      </c>
      <c r="DA11" s="157" t="s">
        <v>391</v>
      </c>
    </row>
    <row r="12" spans="1:105" ht="12" customHeight="1" x14ac:dyDescent="0.25">
      <c r="A12" s="132" t="s">
        <v>169</v>
      </c>
      <c r="B12" s="133">
        <f>IF(SER_hh_fec!B12=0,0,11630*1000*SER_hh_fec!B12/SER_hh_num!B12)</f>
        <v>87323.532454906905</v>
      </c>
      <c r="C12" s="133">
        <f>IF(SER_hh_fec!C12=0,0,11630*1000*SER_hh_fec!C12/SER_hh_num!C12)</f>
        <v>88863.621080585814</v>
      </c>
      <c r="D12" s="133">
        <f>IF(SER_hh_fec!D12=0,0,11630*1000*SER_hh_fec!D12/SER_hh_num!D12)</f>
        <v>90182.81956134006</v>
      </c>
      <c r="E12" s="133">
        <f>IF(SER_hh_fec!E12=0,0,11630*1000*SER_hh_fec!E12/SER_hh_num!E12)</f>
        <v>92974.399235985446</v>
      </c>
      <c r="F12" s="133">
        <f>IF(SER_hh_fec!F12=0,0,11630*1000*SER_hh_fec!F12/SER_hh_num!F12)</f>
        <v>111581.48751038188</v>
      </c>
      <c r="G12" s="133">
        <f>IF(SER_hh_fec!G12=0,0,11630*1000*SER_hh_fec!G12/SER_hh_num!G12)</f>
        <v>101823.03183747611</v>
      </c>
      <c r="H12" s="133">
        <f>IF(SER_hh_fec!H12=0,0,11630*1000*SER_hh_fec!H12/SER_hh_num!H12)</f>
        <v>115674.70951444903</v>
      </c>
      <c r="I12" s="133">
        <f>IF(SER_hh_fec!I12=0,0,11630*1000*SER_hh_fec!I12/SER_hh_num!I12)</f>
        <v>126745.76022560749</v>
      </c>
      <c r="J12" s="133">
        <f>IF(SER_hh_fec!J12=0,0,11630*1000*SER_hh_fec!J12/SER_hh_num!J12)</f>
        <v>79421.513730981635</v>
      </c>
      <c r="K12" s="133">
        <f>IF(SER_hh_fec!K12=0,0,11630*1000*SER_hh_fec!K12/SER_hh_num!K12)</f>
        <v>94145.267884193221</v>
      </c>
      <c r="L12" s="133">
        <f>IF(SER_hh_fec!L12=0,0,11630*1000*SER_hh_fec!L12/SER_hh_num!L12)</f>
        <v>118946.48315253515</v>
      </c>
      <c r="M12" s="133">
        <f>IF(SER_hh_fec!M12=0,0,11630*1000*SER_hh_fec!M12/SER_hh_num!M12)</f>
        <v>99493.210391922199</v>
      </c>
      <c r="N12" s="133">
        <f>IF(SER_hh_fec!N12=0,0,11630*1000*SER_hh_fec!N12/SER_hh_num!N12)</f>
        <v>94391.688956003156</v>
      </c>
      <c r="O12" s="133">
        <f>IF(SER_hh_fec!O12=0,0,11630*1000*SER_hh_fec!O12/SER_hh_num!O12)</f>
        <v>81242.319897957219</v>
      </c>
      <c r="P12" s="133">
        <f>IF(SER_hh_fec!P12=0,0,11630*1000*SER_hh_fec!P12/SER_hh_num!P12)</f>
        <v>99382.072940797065</v>
      </c>
      <c r="Q12" s="133">
        <f>IF(SER_hh_fec!Q12=0,0,11630*1000*SER_hh_fec!Q12/SER_hh_num!Q12)</f>
        <v>105556.03414728858</v>
      </c>
      <c r="R12" s="133">
        <f>IF(SER_hh_fec!R12=0,0,11630*1000*SER_hh_fec!R12/SER_hh_num!R12)</f>
        <v>97042.321699896522</v>
      </c>
      <c r="S12" s="133">
        <f>IF(SER_hh_fec!S12=0,0,11630*1000*SER_hh_fec!S12/SER_hh_num!S12)</f>
        <v>90843.420834683551</v>
      </c>
      <c r="T12" s="133">
        <f>IF(SER_hh_fec!T12=0,0,11630*1000*SER_hh_fec!T12/SER_hh_num!T12)</f>
        <v>96939.063155573895</v>
      </c>
      <c r="U12" s="133">
        <f>IF(SER_hh_fec!U12=0,0,11630*1000*SER_hh_fec!U12/SER_hh_num!U12)</f>
        <v>92797.370537449358</v>
      </c>
      <c r="V12" s="133">
        <f>IF(SER_hh_fec!V12=0,0,11630*1000*SER_hh_fec!V12/SER_hh_num!V12)</f>
        <v>99110.662638882903</v>
      </c>
      <c r="W12" s="133">
        <f>IF(SER_hh_fec!W12=0,0,11630*1000*SER_hh_fec!W12/SER_hh_num!W12)</f>
        <v>101609.27577026314</v>
      </c>
      <c r="DA12" s="157" t="s">
        <v>392</v>
      </c>
    </row>
    <row r="13" spans="1:105" ht="12" customHeight="1" x14ac:dyDescent="0.25">
      <c r="A13" s="132" t="s">
        <v>77</v>
      </c>
      <c r="B13" s="133">
        <f>IF(SER_hh_fec!B13=0,0,11630*1000*SER_hh_fec!B13/SER_hh_num!B13)</f>
        <v>42819.562840645885</v>
      </c>
      <c r="C13" s="133">
        <f>IF(SER_hh_fec!C13=0,0,11630*1000*SER_hh_fec!C13/SER_hh_num!C13)</f>
        <v>54364.898863781003</v>
      </c>
      <c r="D13" s="133">
        <f>IF(SER_hh_fec!D13=0,0,11630*1000*SER_hh_fec!D13/SER_hh_num!D13)</f>
        <v>51240.667259982532</v>
      </c>
      <c r="E13" s="133">
        <f>IF(SER_hh_fec!E13=0,0,11630*1000*SER_hh_fec!E13/SER_hh_num!E13)</f>
        <v>44819.522575977389</v>
      </c>
      <c r="F13" s="133">
        <f>IF(SER_hh_fec!F13=0,0,11630*1000*SER_hh_fec!F13/SER_hh_num!F13)</f>
        <v>20126.898620805823</v>
      </c>
      <c r="G13" s="133">
        <f>IF(SER_hh_fec!G13=0,0,11630*1000*SER_hh_fec!G13/SER_hh_num!G13)</f>
        <v>14014.695386813126</v>
      </c>
      <c r="H13" s="133">
        <f>IF(SER_hh_fec!H13=0,0,11630*1000*SER_hh_fec!H13/SER_hh_num!H13)</f>
        <v>47597.555611831936</v>
      </c>
      <c r="I13" s="133">
        <f>IF(SER_hh_fec!I13=0,0,11630*1000*SER_hh_fec!I13/SER_hh_num!I13)</f>
        <v>43309.143285652499</v>
      </c>
      <c r="J13" s="133">
        <f>IF(SER_hh_fec!J13=0,0,11630*1000*SER_hh_fec!J13/SER_hh_num!J13)</f>
        <v>43548.395597439267</v>
      </c>
      <c r="K13" s="133">
        <f>IF(SER_hh_fec!K13=0,0,11630*1000*SER_hh_fec!K13/SER_hh_num!K13)</f>
        <v>43205.024745731112</v>
      </c>
      <c r="L13" s="133">
        <f>IF(SER_hh_fec!L13=0,0,11630*1000*SER_hh_fec!L13/SER_hh_num!L13)</f>
        <v>39529.397723390139</v>
      </c>
      <c r="M13" s="133">
        <f>IF(SER_hh_fec!M13=0,0,11630*1000*SER_hh_fec!M13/SER_hh_num!M13)</f>
        <v>35940.716807369965</v>
      </c>
      <c r="N13" s="133">
        <f>IF(SER_hh_fec!N13=0,0,11630*1000*SER_hh_fec!N13/SER_hh_num!N13)</f>
        <v>35806.65910771973</v>
      </c>
      <c r="O13" s="133">
        <f>IF(SER_hh_fec!O13=0,0,11630*1000*SER_hh_fec!O13/SER_hh_num!O13)</f>
        <v>38001.892669603956</v>
      </c>
      <c r="P13" s="133">
        <f>IF(SER_hh_fec!P13=0,0,11630*1000*SER_hh_fec!P13/SER_hh_num!P13)</f>
        <v>31803.102476521457</v>
      </c>
      <c r="Q13" s="133">
        <f>IF(SER_hh_fec!Q13=0,0,11630*1000*SER_hh_fec!Q13/SER_hh_num!Q13)</f>
        <v>31354.505533673186</v>
      </c>
      <c r="R13" s="133">
        <f>IF(SER_hh_fec!R13=0,0,11630*1000*SER_hh_fec!R13/SER_hh_num!R13)</f>
        <v>27876.082166301905</v>
      </c>
      <c r="S13" s="133">
        <f>IF(SER_hh_fec!S13=0,0,11630*1000*SER_hh_fec!S13/SER_hh_num!S13)</f>
        <v>19482.122679652672</v>
      </c>
      <c r="T13" s="133">
        <f>IF(SER_hh_fec!T13=0,0,11630*1000*SER_hh_fec!T13/SER_hh_num!T13)</f>
        <v>27275.544730221758</v>
      </c>
      <c r="U13" s="133">
        <f>IF(SER_hh_fec!U13=0,0,11630*1000*SER_hh_fec!U13/SER_hh_num!U13)</f>
        <v>25378.491074695958</v>
      </c>
      <c r="V13" s="133">
        <f>IF(SER_hh_fec!V13=0,0,11630*1000*SER_hh_fec!V13/SER_hh_num!V13)</f>
        <v>22232.182788208534</v>
      </c>
      <c r="W13" s="133">
        <f>IF(SER_hh_fec!W13=0,0,11630*1000*SER_hh_fec!W13/SER_hh_num!W13)</f>
        <v>29615.640922977571</v>
      </c>
      <c r="DA13" s="157" t="s">
        <v>393</v>
      </c>
    </row>
    <row r="14" spans="1:105" ht="12" customHeight="1" x14ac:dyDescent="0.25">
      <c r="A14" s="60" t="s">
        <v>76</v>
      </c>
      <c r="B14" s="65">
        <f>IF(SER_hh_fec!B14=0,0,11630*1000*SER_hh_fec!B14/SER_hh_num!B14)</f>
        <v>111457.30807740219</v>
      </c>
      <c r="C14" s="65">
        <f>IF(SER_hh_fec!C14=0,0,11630*1000*SER_hh_fec!C14/SER_hh_num!C14)</f>
        <v>118253.84178831689</v>
      </c>
      <c r="D14" s="65">
        <f>IF(SER_hh_fec!D14=0,0,11630*1000*SER_hh_fec!D14/SER_hh_num!D14)</f>
        <v>30958.328955090674</v>
      </c>
      <c r="E14" s="65">
        <f>IF(SER_hh_fec!E14=0,0,11630*1000*SER_hh_fec!E14/SER_hh_num!E14)</f>
        <v>4278.2458157652536</v>
      </c>
      <c r="F14" s="65">
        <f>IF(SER_hh_fec!F14=0,0,11630*1000*SER_hh_fec!F14/SER_hh_num!F14)</f>
        <v>180090.75859610253</v>
      </c>
      <c r="G14" s="65">
        <f>IF(SER_hh_fec!G14=0,0,11630*1000*SER_hh_fec!G14/SER_hh_num!G14)</f>
        <v>141840.46588485697</v>
      </c>
      <c r="H14" s="65">
        <f>IF(SER_hh_fec!H14=0,0,11630*1000*SER_hh_fec!H14/SER_hh_num!H14)</f>
        <v>116246.45598577039</v>
      </c>
      <c r="I14" s="65">
        <f>IF(SER_hh_fec!I14=0,0,11630*1000*SER_hh_fec!I14/SER_hh_num!I14)</f>
        <v>111423.9131072828</v>
      </c>
      <c r="J14" s="65">
        <f>IF(SER_hh_fec!J14=0,0,11630*1000*SER_hh_fec!J14/SER_hh_num!J14)</f>
        <v>117365.99403945034</v>
      </c>
      <c r="K14" s="65">
        <f>IF(SER_hh_fec!K14=0,0,11630*1000*SER_hh_fec!K14/SER_hh_num!K14)</f>
        <v>123961.66097727296</v>
      </c>
      <c r="L14" s="65">
        <f>IF(SER_hh_fec!L14=0,0,11630*1000*SER_hh_fec!L14/SER_hh_num!L14)</f>
        <v>121657.34839065091</v>
      </c>
      <c r="M14" s="65">
        <f>IF(SER_hh_fec!M14=0,0,11630*1000*SER_hh_fec!M14/SER_hh_num!M14)</f>
        <v>105733.0319221743</v>
      </c>
      <c r="N14" s="65">
        <f>IF(SER_hh_fec!N14=0,0,11630*1000*SER_hh_fec!N14/SER_hh_num!N14)</f>
        <v>110861.26760402427</v>
      </c>
      <c r="O14" s="65">
        <f>IF(SER_hh_fec!O14=0,0,11630*1000*SER_hh_fec!O14/SER_hh_num!O14)</f>
        <v>118964.71335088708</v>
      </c>
      <c r="P14" s="65">
        <f>IF(SER_hh_fec!P14=0,0,11630*1000*SER_hh_fec!P14/SER_hh_num!P14)</f>
        <v>95239.533569525651</v>
      </c>
      <c r="Q14" s="65">
        <f>IF(SER_hh_fec!Q14=0,0,11630*1000*SER_hh_fec!Q14/SER_hh_num!Q14)</f>
        <v>105080.88653225827</v>
      </c>
      <c r="R14" s="65">
        <f>IF(SER_hh_fec!R14=0,0,11630*1000*SER_hh_fec!R14/SER_hh_num!R14)</f>
        <v>105398.82909045617</v>
      </c>
      <c r="S14" s="65">
        <f>IF(SER_hh_fec!S14=0,0,11630*1000*SER_hh_fec!S14/SER_hh_num!S14)</f>
        <v>104798.12121049961</v>
      </c>
      <c r="T14" s="65">
        <f>IF(SER_hh_fec!T14=0,0,11630*1000*SER_hh_fec!T14/SER_hh_num!T14)</f>
        <v>102829.04109038487</v>
      </c>
      <c r="U14" s="65">
        <f>IF(SER_hh_fec!U14=0,0,11630*1000*SER_hh_fec!U14/SER_hh_num!U14)</f>
        <v>108874.3197129773</v>
      </c>
      <c r="V14" s="65">
        <f>IF(SER_hh_fec!V14=0,0,11630*1000*SER_hh_fec!V14/SER_hh_num!V14)</f>
        <v>96752.781955549901</v>
      </c>
      <c r="W14" s="65">
        <f>IF(SER_hh_fec!W14=0,0,11630*1000*SER_hh_fec!W14/SER_hh_num!W14)</f>
        <v>102135.54393149089</v>
      </c>
      <c r="DA14" s="109" t="s">
        <v>394</v>
      </c>
    </row>
    <row r="15" spans="1:105" ht="12" customHeight="1" x14ac:dyDescent="0.25">
      <c r="A15" s="134" t="s">
        <v>80</v>
      </c>
      <c r="B15" s="135">
        <f>IF(SER_hh_fec!B15=0,0,11630*1000*SER_hh_fec!B15/SER_hh_num!B15)</f>
        <v>1370.236393854424</v>
      </c>
      <c r="C15" s="135">
        <f>IF(SER_hh_fec!C15=0,0,11630*1000*SER_hh_fec!C15/SER_hh_num!C15)</f>
        <v>1425.7333803817942</v>
      </c>
      <c r="D15" s="135">
        <f>IF(SER_hh_fec!D15=0,0,11630*1000*SER_hh_fec!D15/SER_hh_num!D15)</f>
        <v>1490.1793566705019</v>
      </c>
      <c r="E15" s="135">
        <f>IF(SER_hh_fec!E15=0,0,11630*1000*SER_hh_fec!E15/SER_hh_num!E15)</f>
        <v>1607.8927893025684</v>
      </c>
      <c r="F15" s="135">
        <f>IF(SER_hh_fec!F15=0,0,11630*1000*SER_hh_fec!F15/SER_hh_num!F15)</f>
        <v>1648.0151555838086</v>
      </c>
      <c r="G15" s="135">
        <f>IF(SER_hh_fec!G15=0,0,11630*1000*SER_hh_fec!G15/SER_hh_num!G15)</f>
        <v>1680.2674587499901</v>
      </c>
      <c r="H15" s="135">
        <f>IF(SER_hh_fec!H15=0,0,11630*1000*SER_hh_fec!H15/SER_hh_num!H15)</f>
        <v>1584.4273496831856</v>
      </c>
      <c r="I15" s="135">
        <f>IF(SER_hh_fec!I15=0,0,11630*1000*SER_hh_fec!I15/SER_hh_num!I15)</f>
        <v>1396.5239097610913</v>
      </c>
      <c r="J15" s="135">
        <f>IF(SER_hh_fec!J15=0,0,11630*1000*SER_hh_fec!J15/SER_hh_num!J15)</f>
        <v>1634.0902227344673</v>
      </c>
      <c r="K15" s="135">
        <f>IF(SER_hh_fec!K15=0,0,11630*1000*SER_hh_fec!K15/SER_hh_num!K15)</f>
        <v>1566.2109627135615</v>
      </c>
      <c r="L15" s="135">
        <f>IF(SER_hh_fec!L15=0,0,11630*1000*SER_hh_fec!L15/SER_hh_num!L15)</f>
        <v>1695.4890435858417</v>
      </c>
      <c r="M15" s="135">
        <f>IF(SER_hh_fec!M15=0,0,11630*1000*SER_hh_fec!M15/SER_hh_num!M15)</f>
        <v>1319.0367095222373</v>
      </c>
      <c r="N15" s="135">
        <f>IF(SER_hh_fec!N15=0,0,11630*1000*SER_hh_fec!N15/SER_hh_num!N15)</f>
        <v>1431.5452107135382</v>
      </c>
      <c r="O15" s="135">
        <f>IF(SER_hh_fec!O15=0,0,11630*1000*SER_hh_fec!O15/SER_hh_num!O15)</f>
        <v>1574.1004385841024</v>
      </c>
      <c r="P15" s="135">
        <f>IF(SER_hh_fec!P15=0,0,11630*1000*SER_hh_fec!P15/SER_hh_num!P15)</f>
        <v>1175.9692647565516</v>
      </c>
      <c r="Q15" s="135">
        <f>IF(SER_hh_fec!Q15=0,0,11630*1000*SER_hh_fec!Q15/SER_hh_num!Q15)</f>
        <v>1359.9457506671044</v>
      </c>
      <c r="R15" s="135">
        <f>IF(SER_hh_fec!R15=0,0,11630*1000*SER_hh_fec!R15/SER_hh_num!R15)</f>
        <v>1374.0885992731817</v>
      </c>
      <c r="S15" s="135">
        <f>IF(SER_hh_fec!S15=0,0,11630*1000*SER_hh_fec!S15/SER_hh_num!S15)</f>
        <v>1370.2713365811794</v>
      </c>
      <c r="T15" s="135">
        <f>IF(SER_hh_fec!T15=0,0,11630*1000*SER_hh_fec!T15/SER_hh_num!T15)</f>
        <v>1387.0529995106508</v>
      </c>
      <c r="U15" s="135">
        <f>IF(SER_hh_fec!U15=0,0,11630*1000*SER_hh_fec!U15/SER_hh_num!U15)</f>
        <v>1373.5479215425141</v>
      </c>
      <c r="V15" s="135">
        <f>IF(SER_hh_fec!V15=0,0,11630*1000*SER_hh_fec!V15/SER_hh_num!V15)</f>
        <v>1328.7233834154679</v>
      </c>
      <c r="W15" s="135">
        <f>IF(SER_hh_fec!W15=0,0,11630*1000*SER_hh_fec!W15/SER_hh_num!W15)</f>
        <v>1407.0249736433486</v>
      </c>
      <c r="DA15" s="158" t="s">
        <v>395</v>
      </c>
    </row>
    <row r="16" spans="1:105" ht="12.95" customHeight="1" x14ac:dyDescent="0.25">
      <c r="A16" s="130" t="s">
        <v>74</v>
      </c>
      <c r="B16" s="131">
        <f>IF(SER_hh_fec!B16=0,0,11630*1000*SER_hh_fec!B16/SER_hh_num!B16)</f>
        <v>13495.050607250647</v>
      </c>
      <c r="C16" s="131">
        <f>IF(SER_hh_fec!C16=0,0,11630*1000*SER_hh_fec!C16/SER_hh_num!C16)</f>
        <v>12836.493761854248</v>
      </c>
      <c r="D16" s="131">
        <f>IF(SER_hh_fec!D16=0,0,11630*1000*SER_hh_fec!D16/SER_hh_num!D16)</f>
        <v>11836.660995309167</v>
      </c>
      <c r="E16" s="131">
        <f>IF(SER_hh_fec!E16=0,0,11630*1000*SER_hh_fec!E16/SER_hh_num!E16)</f>
        <v>14409.277751277303</v>
      </c>
      <c r="F16" s="131">
        <f>IF(SER_hh_fec!F16=0,0,11630*1000*SER_hh_fec!F16/SER_hh_num!F16)</f>
        <v>10655.182736885787</v>
      </c>
      <c r="G16" s="131">
        <f>IF(SER_hh_fec!G16=0,0,11630*1000*SER_hh_fec!G16/SER_hh_num!G16)</f>
        <v>10409.893830993979</v>
      </c>
      <c r="H16" s="131">
        <f>IF(SER_hh_fec!H16=0,0,11630*1000*SER_hh_fec!H16/SER_hh_num!H16)</f>
        <v>12561.237815950883</v>
      </c>
      <c r="I16" s="131">
        <f>IF(SER_hh_fec!I16=0,0,11630*1000*SER_hh_fec!I16/SER_hh_num!I16)</f>
        <v>9474.5131110751281</v>
      </c>
      <c r="J16" s="131">
        <f>IF(SER_hh_fec!J16=0,0,11630*1000*SER_hh_fec!J16/SER_hh_num!J16)</f>
        <v>9276.8435846490083</v>
      </c>
      <c r="K16" s="131">
        <f>IF(SER_hh_fec!K16=0,0,11630*1000*SER_hh_fec!K16/SER_hh_num!K16)</f>
        <v>9241.2929899463597</v>
      </c>
      <c r="L16" s="131">
        <f>IF(SER_hh_fec!L16=0,0,11630*1000*SER_hh_fec!L16/SER_hh_num!L16)</f>
        <v>9613.9299538882296</v>
      </c>
      <c r="M16" s="131">
        <f>IF(SER_hh_fec!M16=0,0,11630*1000*SER_hh_fec!M16/SER_hh_num!M16)</f>
        <v>8802.5796013372437</v>
      </c>
      <c r="N16" s="131">
        <f>IF(SER_hh_fec!N16=0,0,11630*1000*SER_hh_fec!N16/SER_hh_num!N16)</f>
        <v>8703.2277059142216</v>
      </c>
      <c r="O16" s="131">
        <f>IF(SER_hh_fec!O16=0,0,11630*1000*SER_hh_fec!O16/SER_hh_num!O16)</f>
        <v>8583.6608183184653</v>
      </c>
      <c r="P16" s="131">
        <f>IF(SER_hh_fec!P16=0,0,11630*1000*SER_hh_fec!P16/SER_hh_num!P16)</f>
        <v>8071.8163223148758</v>
      </c>
      <c r="Q16" s="131">
        <f>IF(SER_hh_fec!Q16=0,0,11630*1000*SER_hh_fec!Q16/SER_hh_num!Q16)</f>
        <v>8848.1419198362964</v>
      </c>
      <c r="R16" s="131">
        <f>IF(SER_hh_fec!R16=0,0,11630*1000*SER_hh_fec!R16/SER_hh_num!R16)</f>
        <v>8315.4455653880304</v>
      </c>
      <c r="S16" s="131">
        <f>IF(SER_hh_fec!S16=0,0,11630*1000*SER_hh_fec!S16/SER_hh_num!S16)</f>
        <v>7670.1862823710026</v>
      </c>
      <c r="T16" s="131">
        <f>IF(SER_hh_fec!T16=0,0,11630*1000*SER_hh_fec!T16/SER_hh_num!T16)</f>
        <v>8542.9998001163058</v>
      </c>
      <c r="U16" s="131">
        <f>IF(SER_hh_fec!U16=0,0,11630*1000*SER_hh_fec!U16/SER_hh_num!U16)</f>
        <v>8047.4506066599924</v>
      </c>
      <c r="V16" s="131">
        <f>IF(SER_hh_fec!V16=0,0,11630*1000*SER_hh_fec!V16/SER_hh_num!V16)</f>
        <v>9009.4185809787014</v>
      </c>
      <c r="W16" s="131">
        <f>IF(SER_hh_fec!W16=0,0,11630*1000*SER_hh_fec!W16/SER_hh_num!W16)</f>
        <v>6692.109648897198</v>
      </c>
      <c r="DA16" s="156" t="s">
        <v>396</v>
      </c>
    </row>
    <row r="17" spans="1:105" ht="12.95" customHeight="1" x14ac:dyDescent="0.25">
      <c r="A17" s="132" t="s">
        <v>73</v>
      </c>
      <c r="B17" s="133">
        <f>IF(SER_hh_fec!B17=0,0,11630*1000*SER_hh_fec!B17/SER_hh_num!B17)</f>
        <v>20768.251090540274</v>
      </c>
      <c r="C17" s="133">
        <f>IF(SER_hh_fec!C17=0,0,11630*1000*SER_hh_fec!C17/SER_hh_num!C17)</f>
        <v>21169.737903112724</v>
      </c>
      <c r="D17" s="133">
        <f>IF(SER_hh_fec!D17=0,0,11630*1000*SER_hh_fec!D17/SER_hh_num!D17)</f>
        <v>20862.754290159515</v>
      </c>
      <c r="E17" s="133">
        <f>IF(SER_hh_fec!E17=0,0,11630*1000*SER_hh_fec!E17/SER_hh_num!E17)</f>
        <v>26574.354050883936</v>
      </c>
      <c r="F17" s="133">
        <f>IF(SER_hh_fec!F17=0,0,11630*1000*SER_hh_fec!F17/SER_hh_num!F17)</f>
        <v>20369.579352906501</v>
      </c>
      <c r="G17" s="133">
        <f>IF(SER_hh_fec!G17=0,0,11630*1000*SER_hh_fec!G17/SER_hh_num!G17)</f>
        <v>20664.252844671792</v>
      </c>
      <c r="H17" s="133">
        <f>IF(SER_hh_fec!H17=0,0,11630*1000*SER_hh_fec!H17/SER_hh_num!H17)</f>
        <v>25861.976361627861</v>
      </c>
      <c r="I17" s="133">
        <f>IF(SER_hh_fec!I17=0,0,11630*1000*SER_hh_fec!I17/SER_hh_num!I17)</f>
        <v>20179.512920878853</v>
      </c>
      <c r="J17" s="133">
        <f>IF(SER_hh_fec!J17=0,0,11630*1000*SER_hh_fec!J17/SER_hh_num!J17)</f>
        <v>20363.037694176499</v>
      </c>
      <c r="K17" s="133">
        <f>IF(SER_hh_fec!K17=0,0,11630*1000*SER_hh_fec!K17/SER_hh_num!K17)</f>
        <v>20683.768570389548</v>
      </c>
      <c r="L17" s="133">
        <f>IF(SER_hh_fec!L17=0,0,11630*1000*SER_hh_fec!L17/SER_hh_num!L17)</f>
        <v>22052.433839860543</v>
      </c>
      <c r="M17" s="133">
        <f>IF(SER_hh_fec!M17=0,0,11630*1000*SER_hh_fec!M17/SER_hh_num!M17)</f>
        <v>20744.693535101949</v>
      </c>
      <c r="N17" s="133">
        <f>IF(SER_hh_fec!N17=0,0,11630*1000*SER_hh_fec!N17/SER_hh_num!N17)</f>
        <v>21033.333310582577</v>
      </c>
      <c r="O17" s="133">
        <f>IF(SER_hh_fec!O17=0,0,11630*1000*SER_hh_fec!O17/SER_hh_num!O17)</f>
        <v>21214.815198073455</v>
      </c>
      <c r="P17" s="133">
        <f>IF(SER_hh_fec!P17=0,0,11630*1000*SER_hh_fec!P17/SER_hh_num!P17)</f>
        <v>20275.621500904905</v>
      </c>
      <c r="Q17" s="133">
        <f>IF(SER_hh_fec!Q17=0,0,11630*1000*SER_hh_fec!Q17/SER_hh_num!Q17)</f>
        <v>22494.479155774414</v>
      </c>
      <c r="R17" s="133">
        <f>IF(SER_hh_fec!R17=0,0,11630*1000*SER_hh_fec!R17/SER_hh_num!R17)</f>
        <v>21572.982496745441</v>
      </c>
      <c r="S17" s="133">
        <f>IF(SER_hh_fec!S17=0,0,11630*1000*SER_hh_fec!S17/SER_hh_num!S17)</f>
        <v>20316.119411125012</v>
      </c>
      <c r="T17" s="133">
        <f>IF(SER_hh_fec!T17=0,0,11630*1000*SER_hh_fec!T17/SER_hh_num!T17)</f>
        <v>22903.334442824504</v>
      </c>
      <c r="U17" s="133">
        <f>IF(SER_hh_fec!U17=0,0,11630*1000*SER_hh_fec!U17/SER_hh_num!U17)</f>
        <v>21753.734962603718</v>
      </c>
      <c r="V17" s="133">
        <f>IF(SER_hh_fec!V17=0,0,11630*1000*SER_hh_fec!V17/SER_hh_num!V17)</f>
        <v>24269.343499991715</v>
      </c>
      <c r="W17" s="133">
        <f>IF(SER_hh_fec!W17=0,0,11630*1000*SER_hh_fec!W17/SER_hh_num!W17)</f>
        <v>18665.58782153868</v>
      </c>
      <c r="DA17" s="157" t="s">
        <v>397</v>
      </c>
    </row>
    <row r="18" spans="1:105" ht="12" customHeight="1" x14ac:dyDescent="0.25">
      <c r="A18" s="132" t="s">
        <v>72</v>
      </c>
      <c r="B18" s="133">
        <f>IF(SER_hh_fec!B18=0,0,11630*1000*SER_hh_fec!B18/SER_hh_num!B18)</f>
        <v>13487.640109747126</v>
      </c>
      <c r="C18" s="133">
        <f>IF(SER_hh_fec!C18=0,0,11630*1000*SER_hh_fec!C18/SER_hh_num!C18)</f>
        <v>12827.686308362156</v>
      </c>
      <c r="D18" s="133">
        <f>IF(SER_hh_fec!D18=0,0,11630*1000*SER_hh_fec!D18/SER_hh_num!D18)</f>
        <v>11826.440386610548</v>
      </c>
      <c r="E18" s="133">
        <f>IF(SER_hh_fec!E18=0,0,11630*1000*SER_hh_fec!E18/SER_hh_num!E18)</f>
        <v>14398.156591846409</v>
      </c>
      <c r="F18" s="133">
        <f>IF(SER_hh_fec!F18=0,0,11630*1000*SER_hh_fec!F18/SER_hh_num!F18)</f>
        <v>10641.958375183485</v>
      </c>
      <c r="G18" s="133">
        <f>IF(SER_hh_fec!G18=0,0,11630*1000*SER_hh_fec!G18/SER_hh_num!G18)</f>
        <v>10394.021536391301</v>
      </c>
      <c r="H18" s="133">
        <f>IF(SER_hh_fec!H18=0,0,11630*1000*SER_hh_fec!H18/SER_hh_num!H18)</f>
        <v>12542.06096065668</v>
      </c>
      <c r="I18" s="133">
        <f>IF(SER_hh_fec!I18=0,0,11630*1000*SER_hh_fec!I18/SER_hh_num!I18)</f>
        <v>9454.7493601193273</v>
      </c>
      <c r="J18" s="133">
        <f>IF(SER_hh_fec!J18=0,0,11630*1000*SER_hh_fec!J18/SER_hh_num!J18)</f>
        <v>9252.6892114396614</v>
      </c>
      <c r="K18" s="133">
        <f>IF(SER_hh_fec!K18=0,0,11630*1000*SER_hh_fec!K18/SER_hh_num!K18)</f>
        <v>9213.6718137441785</v>
      </c>
      <c r="L18" s="133">
        <f>IF(SER_hh_fec!L18=0,0,11630*1000*SER_hh_fec!L18/SER_hh_num!L18)</f>
        <v>9584.7240093235705</v>
      </c>
      <c r="M18" s="133">
        <f>IF(SER_hh_fec!M18=0,0,11630*1000*SER_hh_fec!M18/SER_hh_num!M18)</f>
        <v>8772.6344975621723</v>
      </c>
      <c r="N18" s="133">
        <f>IF(SER_hh_fec!N18=0,0,11630*1000*SER_hh_fec!N18/SER_hh_num!N18)</f>
        <v>8670.2418518274771</v>
      </c>
      <c r="O18" s="133">
        <f>IF(SER_hh_fec!O18=0,0,11630*1000*SER_hh_fec!O18/SER_hh_num!O18)</f>
        <v>8545.1479313554883</v>
      </c>
      <c r="P18" s="133">
        <f>IF(SER_hh_fec!P18=0,0,11630*1000*SER_hh_fec!P18/SER_hh_num!P18)</f>
        <v>8025.0057621004999</v>
      </c>
      <c r="Q18" s="133">
        <f>IF(SER_hh_fec!Q18=0,0,11630*1000*SER_hh_fec!Q18/SER_hh_num!Q18)</f>
        <v>8778.6254714661172</v>
      </c>
      <c r="R18" s="133">
        <f>IF(SER_hh_fec!R18=0,0,11630*1000*SER_hh_fec!R18/SER_hh_num!R18)</f>
        <v>8237.8236917558352</v>
      </c>
      <c r="S18" s="133">
        <f>IF(SER_hh_fec!S18=0,0,11630*1000*SER_hh_fec!S18/SER_hh_num!S18)</f>
        <v>7592.2036220023219</v>
      </c>
      <c r="T18" s="133">
        <f>IF(SER_hh_fec!T18=0,0,11630*1000*SER_hh_fec!T18/SER_hh_num!T18)</f>
        <v>8443.0729215839274</v>
      </c>
      <c r="U18" s="133">
        <f>IF(SER_hh_fec!U18=0,0,11630*1000*SER_hh_fec!U18/SER_hh_num!U18)</f>
        <v>7937.8810304126218</v>
      </c>
      <c r="V18" s="133">
        <f>IF(SER_hh_fec!V18=0,0,11630*1000*SER_hh_fec!V18/SER_hh_num!V18)</f>
        <v>8872.0555829205459</v>
      </c>
      <c r="W18" s="133">
        <f>IF(SER_hh_fec!W18=0,0,11630*1000*SER_hh_fec!W18/SER_hh_num!W18)</f>
        <v>6597.1401847053094</v>
      </c>
      <c r="DA18" s="157" t="s">
        <v>398</v>
      </c>
    </row>
    <row r="19" spans="1:105" ht="12.95" customHeight="1" x14ac:dyDescent="0.25">
      <c r="A19" s="130" t="s">
        <v>35</v>
      </c>
      <c r="B19" s="131">
        <f>IF(SER_hh_fec!B19=0,0,11630*1000*SER_hh_fec!B19/SER_hh_num!B19)</f>
        <v>21326.469134345472</v>
      </c>
      <c r="C19" s="131">
        <f>IF(SER_hh_fec!C19=0,0,11630*1000*SER_hh_fec!C19/SER_hh_num!C19)</f>
        <v>21204.994062310558</v>
      </c>
      <c r="D19" s="131">
        <f>IF(SER_hh_fec!D19=0,0,11630*1000*SER_hh_fec!D19/SER_hh_num!D19)</f>
        <v>20933.404866556284</v>
      </c>
      <c r="E19" s="131">
        <f>IF(SER_hh_fec!E19=0,0,11630*1000*SER_hh_fec!E19/SER_hh_num!E19)</f>
        <v>20899.843076654703</v>
      </c>
      <c r="F19" s="131">
        <f>IF(SER_hh_fec!F19=0,0,11630*1000*SER_hh_fec!F19/SER_hh_num!F19)</f>
        <v>20431.632611393437</v>
      </c>
      <c r="G19" s="131">
        <f>IF(SER_hh_fec!G19=0,0,11630*1000*SER_hh_fec!G19/SER_hh_num!G19)</f>
        <v>19969.254583755326</v>
      </c>
      <c r="H19" s="131">
        <f>IF(SER_hh_fec!H19=0,0,11630*1000*SER_hh_fec!H19/SER_hh_num!H19)</f>
        <v>19771.898547982652</v>
      </c>
      <c r="I19" s="131">
        <f>IF(SER_hh_fec!I19=0,0,11630*1000*SER_hh_fec!I19/SER_hh_num!I19)</f>
        <v>19436.708592255862</v>
      </c>
      <c r="J19" s="131">
        <f>IF(SER_hh_fec!J19=0,0,11630*1000*SER_hh_fec!J19/SER_hh_num!J19)</f>
        <v>19163.997079796623</v>
      </c>
      <c r="K19" s="131">
        <f>IF(SER_hh_fec!K19=0,0,11630*1000*SER_hh_fec!K19/SER_hh_num!K19)</f>
        <v>19334.472189281609</v>
      </c>
      <c r="L19" s="131">
        <f>IF(SER_hh_fec!L19=0,0,11630*1000*SER_hh_fec!L19/SER_hh_num!L19)</f>
        <v>19072.381612025045</v>
      </c>
      <c r="M19" s="131">
        <f>IF(SER_hh_fec!M19=0,0,11630*1000*SER_hh_fec!M19/SER_hh_num!M19)</f>
        <v>18994.467390470003</v>
      </c>
      <c r="N19" s="131">
        <f>IF(SER_hh_fec!N19=0,0,11630*1000*SER_hh_fec!N19/SER_hh_num!N19)</f>
        <v>19052.258719186466</v>
      </c>
      <c r="O19" s="131">
        <f>IF(SER_hh_fec!O19=0,0,11630*1000*SER_hh_fec!O19/SER_hh_num!O19)</f>
        <v>19076.64809816386</v>
      </c>
      <c r="P19" s="131">
        <f>IF(SER_hh_fec!P19=0,0,11630*1000*SER_hh_fec!P19/SER_hh_num!P19)</f>
        <v>19074.738864761974</v>
      </c>
      <c r="Q19" s="131">
        <f>IF(SER_hh_fec!Q19=0,0,11630*1000*SER_hh_fec!Q19/SER_hh_num!Q19)</f>
        <v>18978.706006717177</v>
      </c>
      <c r="R19" s="131">
        <f>IF(SER_hh_fec!R19=0,0,11630*1000*SER_hh_fec!R19/SER_hh_num!R19)</f>
        <v>18663.490715403183</v>
      </c>
      <c r="S19" s="131">
        <f>IF(SER_hh_fec!S19=0,0,11630*1000*SER_hh_fec!S19/SER_hh_num!S19)</f>
        <v>18430.654375631337</v>
      </c>
      <c r="T19" s="131">
        <f>IF(SER_hh_fec!T19=0,0,11630*1000*SER_hh_fec!T19/SER_hh_num!T19)</f>
        <v>18006.078831697028</v>
      </c>
      <c r="U19" s="131">
        <f>IF(SER_hh_fec!U19=0,0,11630*1000*SER_hh_fec!U19/SER_hh_num!U19)</f>
        <v>17604.433008154327</v>
      </c>
      <c r="V19" s="131">
        <f>IF(SER_hh_fec!V19=0,0,11630*1000*SER_hh_fec!V19/SER_hh_num!V19)</f>
        <v>16408.810134271607</v>
      </c>
      <c r="W19" s="131">
        <f>IF(SER_hh_fec!W19=0,0,11630*1000*SER_hh_fec!W19/SER_hh_num!W19)</f>
        <v>17106.450172234723</v>
      </c>
      <c r="DA19" s="156" t="s">
        <v>399</v>
      </c>
    </row>
    <row r="20" spans="1:105" ht="12" customHeight="1" x14ac:dyDescent="0.25">
      <c r="A20" s="132" t="s">
        <v>29</v>
      </c>
      <c r="B20" s="133">
        <f>IF(SER_hh_fec!B20=0,0,11630*1000*SER_hh_fec!B20/SER_hh_num!B20)</f>
        <v>0</v>
      </c>
      <c r="C20" s="133">
        <f>IF(SER_hh_fec!C20=0,0,11630*1000*SER_hh_fec!C20/SER_hh_num!C20)</f>
        <v>0</v>
      </c>
      <c r="D20" s="133">
        <f>IF(SER_hh_fec!D20=0,0,11630*1000*SER_hh_fec!D20/SER_hh_num!D20)</f>
        <v>0</v>
      </c>
      <c r="E20" s="133">
        <f>IF(SER_hh_fec!E20=0,0,11630*1000*SER_hh_fec!E20/SER_hh_num!E20)</f>
        <v>0</v>
      </c>
      <c r="F20" s="133">
        <f>IF(SER_hh_fec!F20=0,0,11630*1000*SER_hh_fec!F20/SER_hh_num!F20)</f>
        <v>0</v>
      </c>
      <c r="G20" s="133">
        <f>IF(SER_hh_fec!G20=0,0,11630*1000*SER_hh_fec!G20/SER_hh_num!G20)</f>
        <v>0</v>
      </c>
      <c r="H20" s="133">
        <f>IF(SER_hh_fec!H20=0,0,11630*1000*SER_hh_fec!H20/SER_hh_num!H20)</f>
        <v>0</v>
      </c>
      <c r="I20" s="133">
        <f>IF(SER_hh_fec!I20=0,0,11630*1000*SER_hh_fec!I20/SER_hh_num!I20)</f>
        <v>0</v>
      </c>
      <c r="J20" s="133">
        <f>IF(SER_hh_fec!J20=0,0,11630*1000*SER_hh_fec!J20/SER_hh_num!J20)</f>
        <v>0</v>
      </c>
      <c r="K20" s="133">
        <f>IF(SER_hh_fec!K20=0,0,11630*1000*SER_hh_fec!K20/SER_hh_num!K20)</f>
        <v>0</v>
      </c>
      <c r="L20" s="133">
        <f>IF(SER_hh_fec!L20=0,0,11630*1000*SER_hh_fec!L20/SER_hh_num!L20)</f>
        <v>0</v>
      </c>
      <c r="M20" s="133">
        <f>IF(SER_hh_fec!M20=0,0,11630*1000*SER_hh_fec!M20/SER_hh_num!M20)</f>
        <v>0</v>
      </c>
      <c r="N20" s="133">
        <f>IF(SER_hh_fec!N20=0,0,11630*1000*SER_hh_fec!N20/SER_hh_num!N20)</f>
        <v>0</v>
      </c>
      <c r="O20" s="133">
        <f>IF(SER_hh_fec!O20=0,0,11630*1000*SER_hh_fec!O20/SER_hh_num!O20)</f>
        <v>0</v>
      </c>
      <c r="P20" s="133">
        <f>IF(SER_hh_fec!P20=0,0,11630*1000*SER_hh_fec!P20/SER_hh_num!P20)</f>
        <v>0</v>
      </c>
      <c r="Q20" s="133">
        <f>IF(SER_hh_fec!Q20=0,0,11630*1000*SER_hh_fec!Q20/SER_hh_num!Q20)</f>
        <v>0</v>
      </c>
      <c r="R20" s="133">
        <f>IF(SER_hh_fec!R20=0,0,11630*1000*SER_hh_fec!R20/SER_hh_num!R20)</f>
        <v>0</v>
      </c>
      <c r="S20" s="133">
        <f>IF(SER_hh_fec!S20=0,0,11630*1000*SER_hh_fec!S20/SER_hh_num!S20)</f>
        <v>0</v>
      </c>
      <c r="T20" s="133">
        <f>IF(SER_hh_fec!T20=0,0,11630*1000*SER_hh_fec!T20/SER_hh_num!T20)</f>
        <v>0</v>
      </c>
      <c r="U20" s="133">
        <f>IF(SER_hh_fec!U20=0,0,11630*1000*SER_hh_fec!U20/SER_hh_num!U20)</f>
        <v>0</v>
      </c>
      <c r="V20" s="133">
        <f>IF(SER_hh_fec!V20=0,0,11630*1000*SER_hh_fec!V20/SER_hh_num!V20)</f>
        <v>0</v>
      </c>
      <c r="W20" s="133">
        <f>IF(SER_hh_fec!W20=0,0,11630*1000*SER_hh_fec!W20/SER_hh_num!W20)</f>
        <v>0</v>
      </c>
      <c r="DA20" s="157" t="s">
        <v>400</v>
      </c>
    </row>
    <row r="21" spans="1:105" s="2" customFormat="1" ht="12" customHeight="1" x14ac:dyDescent="0.25">
      <c r="A21" s="132" t="s">
        <v>52</v>
      </c>
      <c r="B21" s="133">
        <f>IF(SER_hh_fec!B21=0,0,11630*1000*SER_hh_fec!B21/SER_hh_num!B21)</f>
        <v>21076.352835421902</v>
      </c>
      <c r="C21" s="133">
        <f>IF(SER_hh_fec!C21=0,0,11630*1000*SER_hh_fec!C21/SER_hh_num!C21)</f>
        <v>21270.304827004566</v>
      </c>
      <c r="D21" s="133">
        <f>IF(SER_hh_fec!D21=0,0,11630*1000*SER_hh_fec!D21/SER_hh_num!D21)</f>
        <v>21332.283263025023</v>
      </c>
      <c r="E21" s="133">
        <f>IF(SER_hh_fec!E21=0,0,11630*1000*SER_hh_fec!E21/SER_hh_num!E21)</f>
        <v>22308.602805878749</v>
      </c>
      <c r="F21" s="133">
        <f>IF(SER_hh_fec!F21=0,0,11630*1000*SER_hh_fec!F21/SER_hh_num!F21)</f>
        <v>24731.414883166894</v>
      </c>
      <c r="G21" s="133">
        <f>IF(SER_hh_fec!G21=0,0,11630*1000*SER_hh_fec!G21/SER_hh_num!G21)</f>
        <v>15783.973773788777</v>
      </c>
      <c r="H21" s="133">
        <f>IF(SER_hh_fec!H21=0,0,11630*1000*SER_hh_fec!H21/SER_hh_num!H21)</f>
        <v>19231.147848208013</v>
      </c>
      <c r="I21" s="133">
        <f>IF(SER_hh_fec!I21=0,0,11630*1000*SER_hh_fec!I21/SER_hh_num!I21)</f>
        <v>20919.248851894332</v>
      </c>
      <c r="J21" s="133">
        <f>IF(SER_hh_fec!J21=0,0,11630*1000*SER_hh_fec!J21/SER_hh_num!J21)</f>
        <v>18928.174725849974</v>
      </c>
      <c r="K21" s="133">
        <f>IF(SER_hh_fec!K21=0,0,11630*1000*SER_hh_fec!K21/SER_hh_num!K21)</f>
        <v>19923.727263002242</v>
      </c>
      <c r="L21" s="133">
        <f>IF(SER_hh_fec!L21=0,0,11630*1000*SER_hh_fec!L21/SER_hh_num!L21)</f>
        <v>18724.338753313063</v>
      </c>
      <c r="M21" s="133">
        <f>IF(SER_hh_fec!M21=0,0,11630*1000*SER_hh_fec!M21/SER_hh_num!M21)</f>
        <v>19522.668867116587</v>
      </c>
      <c r="N21" s="133">
        <f>IF(SER_hh_fec!N21=0,0,11630*1000*SER_hh_fec!N21/SER_hh_num!N21)</f>
        <v>20643.617430398699</v>
      </c>
      <c r="O21" s="133">
        <f>IF(SER_hh_fec!O21=0,0,11630*1000*SER_hh_fec!O21/SER_hh_num!O21)</f>
        <v>20042.172458849851</v>
      </c>
      <c r="P21" s="133">
        <f>IF(SER_hh_fec!P21=0,0,11630*1000*SER_hh_fec!P21/SER_hh_num!P21)</f>
        <v>18876.907545389982</v>
      </c>
      <c r="Q21" s="133">
        <f>IF(SER_hh_fec!Q21=0,0,11630*1000*SER_hh_fec!Q21/SER_hh_num!Q21)</f>
        <v>19632.718582462592</v>
      </c>
      <c r="R21" s="133">
        <f>IF(SER_hh_fec!R21=0,0,11630*1000*SER_hh_fec!R21/SER_hh_num!R21)</f>
        <v>18936.425417519175</v>
      </c>
      <c r="S21" s="133">
        <f>IF(SER_hh_fec!S21=0,0,11630*1000*SER_hh_fec!S21/SER_hh_num!S21)</f>
        <v>18959.536806279979</v>
      </c>
      <c r="T21" s="133">
        <f>IF(SER_hh_fec!T21=0,0,11630*1000*SER_hh_fec!T21/SER_hh_num!T21)</f>
        <v>18986.738830761908</v>
      </c>
      <c r="U21" s="133">
        <f>IF(SER_hh_fec!U21=0,0,11630*1000*SER_hh_fec!U21/SER_hh_num!U21)</f>
        <v>18897.292621957185</v>
      </c>
      <c r="V21" s="133">
        <f>IF(SER_hh_fec!V21=0,0,11630*1000*SER_hh_fec!V21/SER_hh_num!V21)</f>
        <v>16595.801003206856</v>
      </c>
      <c r="W21" s="133">
        <f>IF(SER_hh_fec!W21=0,0,11630*1000*SER_hh_fec!W21/SER_hh_num!W21)</f>
        <v>18697.242795483478</v>
      </c>
      <c r="DA21" s="157" t="s">
        <v>401</v>
      </c>
    </row>
    <row r="22" spans="1:105" ht="12" customHeight="1" x14ac:dyDescent="0.25">
      <c r="A22" s="132" t="s">
        <v>168</v>
      </c>
      <c r="B22" s="133">
        <f>IF(SER_hh_fec!B22=0,0,11630*1000*SER_hh_fec!B22/SER_hh_num!B22)</f>
        <v>22584.317564682831</v>
      </c>
      <c r="C22" s="133">
        <f>IF(SER_hh_fec!C22=0,0,11630*1000*SER_hh_fec!C22/SER_hh_num!C22)</f>
        <v>22445.783434224017</v>
      </c>
      <c r="D22" s="133">
        <f>IF(SER_hh_fec!D22=0,0,11630*1000*SER_hh_fec!D22/SER_hh_num!D22)</f>
        <v>22404.715427754345</v>
      </c>
      <c r="E22" s="133">
        <f>IF(SER_hh_fec!E22=0,0,11630*1000*SER_hh_fec!E22/SER_hh_num!E22)</f>
        <v>22404.713918490801</v>
      </c>
      <c r="F22" s="133">
        <f>IF(SER_hh_fec!F22=0,0,11630*1000*SER_hh_fec!F22/SER_hh_num!F22)</f>
        <v>22125.240768467971</v>
      </c>
      <c r="G22" s="133">
        <f>IF(SER_hh_fec!G22=0,0,11630*1000*SER_hh_fec!G22/SER_hh_num!G22)</f>
        <v>21798.181890707499</v>
      </c>
      <c r="H22" s="133">
        <f>IF(SER_hh_fec!H22=0,0,11630*1000*SER_hh_fec!H22/SER_hh_num!H22)</f>
        <v>21742.002845484782</v>
      </c>
      <c r="I22" s="133">
        <f>IF(SER_hh_fec!I22=0,0,11630*1000*SER_hh_fec!I22/SER_hh_num!I22)</f>
        <v>21695.675335010743</v>
      </c>
      <c r="J22" s="133">
        <f>IF(SER_hh_fec!J22=0,0,11630*1000*SER_hh_fec!J22/SER_hh_num!J22)</f>
        <v>21115.246784937979</v>
      </c>
      <c r="K22" s="133">
        <f>IF(SER_hh_fec!K22=0,0,11630*1000*SER_hh_fec!K22/SER_hh_num!K22)</f>
        <v>21306.241593199553</v>
      </c>
      <c r="L22" s="133">
        <f>IF(SER_hh_fec!L22=0,0,11630*1000*SER_hh_fec!L22/SER_hh_num!L22)</f>
        <v>21287.368993237371</v>
      </c>
      <c r="M22" s="133">
        <f>IF(SER_hh_fec!M22=0,0,11630*1000*SER_hh_fec!M22/SER_hh_num!M22)</f>
        <v>21452.964393622849</v>
      </c>
      <c r="N22" s="133">
        <f>IF(SER_hh_fec!N22=0,0,11630*1000*SER_hh_fec!N22/SER_hh_num!N22)</f>
        <v>21376.490755093928</v>
      </c>
      <c r="O22" s="133">
        <f>IF(SER_hh_fec!O22=0,0,11630*1000*SER_hh_fec!O22/SER_hh_num!O22)</f>
        <v>21362.620887825808</v>
      </c>
      <c r="P22" s="133">
        <f>IF(SER_hh_fec!P22=0,0,11630*1000*SER_hh_fec!P22/SER_hh_num!P22)</f>
        <v>21468.720921955206</v>
      </c>
      <c r="Q22" s="133">
        <f>IF(SER_hh_fec!Q22=0,0,11630*1000*SER_hh_fec!Q22/SER_hh_num!Q22)</f>
        <v>21530.935625352791</v>
      </c>
      <c r="R22" s="133">
        <f>IF(SER_hh_fec!R22=0,0,11630*1000*SER_hh_fec!R22/SER_hh_num!R22)</f>
        <v>21090.976518273772</v>
      </c>
      <c r="S22" s="133">
        <f>IF(SER_hh_fec!S22=0,0,11630*1000*SER_hh_fec!S22/SER_hh_num!S22)</f>
        <v>20934.552011663513</v>
      </c>
      <c r="T22" s="133">
        <f>IF(SER_hh_fec!T22=0,0,11630*1000*SER_hh_fec!T22/SER_hh_num!T22)</f>
        <v>20507.524094288485</v>
      </c>
      <c r="U22" s="133">
        <f>IF(SER_hh_fec!U22=0,0,11630*1000*SER_hh_fec!U22/SER_hh_num!U22)</f>
        <v>20052.211799065579</v>
      </c>
      <c r="V22" s="133">
        <f>IF(SER_hh_fec!V22=0,0,11630*1000*SER_hh_fec!V22/SER_hh_num!V22)</f>
        <v>18152.733157182531</v>
      </c>
      <c r="W22" s="133">
        <f>IF(SER_hh_fec!W22=0,0,11630*1000*SER_hh_fec!W22/SER_hh_num!W22)</f>
        <v>19563.19305950584</v>
      </c>
      <c r="DA22" s="157" t="s">
        <v>402</v>
      </c>
    </row>
    <row r="23" spans="1:105" ht="12" customHeight="1" x14ac:dyDescent="0.25">
      <c r="A23" s="132" t="s">
        <v>153</v>
      </c>
      <c r="B23" s="133">
        <f>IF(SER_hh_fec!B23=0,0,11630*1000*SER_hh_fec!B23/SER_hh_num!B23)</f>
        <v>22031.930067196517</v>
      </c>
      <c r="C23" s="133">
        <f>IF(SER_hh_fec!C23=0,0,11630*1000*SER_hh_fec!C23/SER_hh_num!C23)</f>
        <v>21993.91775681841</v>
      </c>
      <c r="D23" s="133">
        <f>IF(SER_hh_fec!D23=0,0,11630*1000*SER_hh_fec!D23/SER_hh_num!D23)</f>
        <v>21433.934328774103</v>
      </c>
      <c r="E23" s="133">
        <f>IF(SER_hh_fec!E23=0,0,11630*1000*SER_hh_fec!E23/SER_hh_num!E23)</f>
        <v>21429.138163686435</v>
      </c>
      <c r="F23" s="133">
        <f>IF(SER_hh_fec!F23=0,0,11630*1000*SER_hh_fec!F23/SER_hh_num!F23)</f>
        <v>20912.303334679495</v>
      </c>
      <c r="G23" s="133">
        <f>IF(SER_hh_fec!G23=0,0,11630*1000*SER_hh_fec!G23/SER_hh_num!G23)</f>
        <v>20598.084463813564</v>
      </c>
      <c r="H23" s="133">
        <f>IF(SER_hh_fec!H23=0,0,11630*1000*SER_hh_fec!H23/SER_hh_num!H23)</f>
        <v>20152.275661275296</v>
      </c>
      <c r="I23" s="133">
        <f>IF(SER_hh_fec!I23=0,0,11630*1000*SER_hh_fec!I23/SER_hh_num!I23)</f>
        <v>19725.417913809579</v>
      </c>
      <c r="J23" s="133">
        <f>IF(SER_hh_fec!J23=0,0,11630*1000*SER_hh_fec!J23/SER_hh_num!J23)</f>
        <v>19454.100613424514</v>
      </c>
      <c r="K23" s="133">
        <f>IF(SER_hh_fec!K23=0,0,11630*1000*SER_hh_fec!K23/SER_hh_num!K23)</f>
        <v>19586.511316416818</v>
      </c>
      <c r="L23" s="133">
        <f>IF(SER_hh_fec!L23=0,0,11630*1000*SER_hh_fec!L23/SER_hh_num!L23)</f>
        <v>19275.10862007472</v>
      </c>
      <c r="M23" s="133">
        <f>IF(SER_hh_fec!M23=0,0,11630*1000*SER_hh_fec!M23/SER_hh_num!M23)</f>
        <v>19087.221863373168</v>
      </c>
      <c r="N23" s="133">
        <f>IF(SER_hh_fec!N23=0,0,11630*1000*SER_hh_fec!N23/SER_hh_num!N23)</f>
        <v>19189.014161928895</v>
      </c>
      <c r="O23" s="133">
        <f>IF(SER_hh_fec!O23=0,0,11630*1000*SER_hh_fec!O23/SER_hh_num!O23)</f>
        <v>19136.493930411416</v>
      </c>
      <c r="P23" s="133">
        <f>IF(SER_hh_fec!P23=0,0,11630*1000*SER_hh_fec!P23/SER_hh_num!P23)</f>
        <v>19117.832790761091</v>
      </c>
      <c r="Q23" s="133">
        <f>IF(SER_hh_fec!Q23=0,0,11630*1000*SER_hh_fec!Q23/SER_hh_num!Q23)</f>
        <v>18997.226189584362</v>
      </c>
      <c r="R23" s="133">
        <f>IF(SER_hh_fec!R23=0,0,11630*1000*SER_hh_fec!R23/SER_hh_num!R23)</f>
        <v>18672.662902748067</v>
      </c>
      <c r="S23" s="133">
        <f>IF(SER_hh_fec!S23=0,0,11630*1000*SER_hh_fec!S23/SER_hh_num!S23)</f>
        <v>18430.937152271152</v>
      </c>
      <c r="T23" s="133">
        <f>IF(SER_hh_fec!T23=0,0,11630*1000*SER_hh_fec!T23/SER_hh_num!T23)</f>
        <v>17961.987932554111</v>
      </c>
      <c r="U23" s="133">
        <f>IF(SER_hh_fec!U23=0,0,11630*1000*SER_hh_fec!U23/SER_hh_num!U23)</f>
        <v>17515.61829487254</v>
      </c>
      <c r="V23" s="133">
        <f>IF(SER_hh_fec!V23=0,0,11630*1000*SER_hh_fec!V23/SER_hh_num!V23)</f>
        <v>16470.581474480121</v>
      </c>
      <c r="W23" s="133">
        <f>IF(SER_hh_fec!W23=0,0,11630*1000*SER_hh_fec!W23/SER_hh_num!W23)</f>
        <v>17049.868202474943</v>
      </c>
      <c r="DA23" s="157" t="s">
        <v>403</v>
      </c>
    </row>
    <row r="24" spans="1:105" ht="12" customHeight="1" x14ac:dyDescent="0.25">
      <c r="A24" s="132" t="s">
        <v>128</v>
      </c>
      <c r="B24" s="133">
        <f>IF(SER_hh_fec!B24=0,0,11630*1000*SER_hh_fec!B24/SER_hh_num!B24)</f>
        <v>0</v>
      </c>
      <c r="C24" s="133">
        <f>IF(SER_hh_fec!C24=0,0,11630*1000*SER_hh_fec!C24/SER_hh_num!C24)</f>
        <v>0</v>
      </c>
      <c r="D24" s="133">
        <f>IF(SER_hh_fec!D24=0,0,11630*1000*SER_hh_fec!D24/SER_hh_num!D24)</f>
        <v>0</v>
      </c>
      <c r="E24" s="133">
        <f>IF(SER_hh_fec!E24=0,0,11630*1000*SER_hh_fec!E24/SER_hh_num!E24)</f>
        <v>0</v>
      </c>
      <c r="F24" s="133">
        <f>IF(SER_hh_fec!F24=0,0,11630*1000*SER_hh_fec!F24/SER_hh_num!F24)</f>
        <v>0</v>
      </c>
      <c r="G24" s="133">
        <f>IF(SER_hh_fec!G24=0,0,11630*1000*SER_hh_fec!G24/SER_hh_num!G24)</f>
        <v>0</v>
      </c>
      <c r="H24" s="133">
        <f>IF(SER_hh_fec!H24=0,0,11630*1000*SER_hh_fec!H24/SER_hh_num!H24)</f>
        <v>0</v>
      </c>
      <c r="I24" s="133">
        <f>IF(SER_hh_fec!I24=0,0,11630*1000*SER_hh_fec!I24/SER_hh_num!I24)</f>
        <v>0</v>
      </c>
      <c r="J24" s="133">
        <f>IF(SER_hh_fec!J24=0,0,11630*1000*SER_hh_fec!J24/SER_hh_num!J24)</f>
        <v>0</v>
      </c>
      <c r="K24" s="133">
        <f>IF(SER_hh_fec!K24=0,0,11630*1000*SER_hh_fec!K24/SER_hh_num!K24)</f>
        <v>0</v>
      </c>
      <c r="L24" s="133">
        <f>IF(SER_hh_fec!L24=0,0,11630*1000*SER_hh_fec!L24/SER_hh_num!L24)</f>
        <v>0</v>
      </c>
      <c r="M24" s="133">
        <f>IF(SER_hh_fec!M24=0,0,11630*1000*SER_hh_fec!M24/SER_hh_num!M24)</f>
        <v>0</v>
      </c>
      <c r="N24" s="133">
        <f>IF(SER_hh_fec!N24=0,0,11630*1000*SER_hh_fec!N24/SER_hh_num!N24)</f>
        <v>0</v>
      </c>
      <c r="O24" s="133">
        <f>IF(SER_hh_fec!O24=0,0,11630*1000*SER_hh_fec!O24/SER_hh_num!O24)</f>
        <v>0</v>
      </c>
      <c r="P24" s="133">
        <f>IF(SER_hh_fec!P24=0,0,11630*1000*SER_hh_fec!P24/SER_hh_num!P24)</f>
        <v>0</v>
      </c>
      <c r="Q24" s="133">
        <f>IF(SER_hh_fec!Q24=0,0,11630*1000*SER_hh_fec!Q24/SER_hh_num!Q24)</f>
        <v>0</v>
      </c>
      <c r="R24" s="133">
        <f>IF(SER_hh_fec!R24=0,0,11630*1000*SER_hh_fec!R24/SER_hh_num!R24)</f>
        <v>0</v>
      </c>
      <c r="S24" s="133">
        <f>IF(SER_hh_fec!S24=0,0,11630*1000*SER_hh_fec!S24/SER_hh_num!S24)</f>
        <v>0</v>
      </c>
      <c r="T24" s="133">
        <f>IF(SER_hh_fec!T24=0,0,11630*1000*SER_hh_fec!T24/SER_hh_num!T24)</f>
        <v>0</v>
      </c>
      <c r="U24" s="133">
        <f>IF(SER_hh_fec!U24=0,0,11630*1000*SER_hh_fec!U24/SER_hh_num!U24)</f>
        <v>0</v>
      </c>
      <c r="V24" s="133">
        <f>IF(SER_hh_fec!V24=0,0,11630*1000*SER_hh_fec!V24/SER_hh_num!V24)</f>
        <v>0</v>
      </c>
      <c r="W24" s="133">
        <f>IF(SER_hh_fec!W24=0,0,11630*1000*SER_hh_fec!W24/SER_hh_num!W24)</f>
        <v>0</v>
      </c>
      <c r="DA24" s="157" t="s">
        <v>404</v>
      </c>
    </row>
    <row r="25" spans="1:105" ht="12" customHeight="1" x14ac:dyDescent="0.25">
      <c r="A25" s="132" t="s">
        <v>169</v>
      </c>
      <c r="B25" s="133">
        <f>IF(SER_hh_fec!B25=0,0,11630*1000*SER_hh_fec!B25/SER_hh_num!B25)</f>
        <v>14778.400804904448</v>
      </c>
      <c r="C25" s="133">
        <f>IF(SER_hh_fec!C25=0,0,11630*1000*SER_hh_fec!C25/SER_hh_num!C25)</f>
        <v>14623.277186090534</v>
      </c>
      <c r="D25" s="133">
        <f>IF(SER_hh_fec!D25=0,0,11630*1000*SER_hh_fec!D25/SER_hh_num!D25)</f>
        <v>14682.878815175211</v>
      </c>
      <c r="E25" s="133">
        <f>IF(SER_hh_fec!E25=0,0,11630*1000*SER_hh_fec!E25/SER_hh_num!E25)</f>
        <v>14542.191200569123</v>
      </c>
      <c r="F25" s="133">
        <f>IF(SER_hh_fec!F25=0,0,11630*1000*SER_hh_fec!F25/SER_hh_num!F25)</f>
        <v>14438.108741544402</v>
      </c>
      <c r="G25" s="133">
        <f>IF(SER_hh_fec!G25=0,0,11630*1000*SER_hh_fec!G25/SER_hh_num!G25)</f>
        <v>14358.270764645391</v>
      </c>
      <c r="H25" s="133">
        <f>IF(SER_hh_fec!H25=0,0,11630*1000*SER_hh_fec!H25/SER_hh_num!H25)</f>
        <v>14255.414135048628</v>
      </c>
      <c r="I25" s="133">
        <f>IF(SER_hh_fec!I25=0,0,11630*1000*SER_hh_fec!I25/SER_hh_num!I25)</f>
        <v>14025.680655945143</v>
      </c>
      <c r="J25" s="133">
        <f>IF(SER_hh_fec!J25=0,0,11630*1000*SER_hh_fec!J25/SER_hh_num!J25)</f>
        <v>14009.056167146495</v>
      </c>
      <c r="K25" s="133">
        <f>IF(SER_hh_fec!K25=0,0,11630*1000*SER_hh_fec!K25/SER_hh_num!K25)</f>
        <v>14108.628096580074</v>
      </c>
      <c r="L25" s="133">
        <f>IF(SER_hh_fec!L25=0,0,11630*1000*SER_hh_fec!L25/SER_hh_num!L25)</f>
        <v>14122.169866005133</v>
      </c>
      <c r="M25" s="133">
        <f>IF(SER_hh_fec!M25=0,0,11630*1000*SER_hh_fec!M25/SER_hh_num!M25)</f>
        <v>14103.774104741404</v>
      </c>
      <c r="N25" s="133">
        <f>IF(SER_hh_fec!N25=0,0,11630*1000*SER_hh_fec!N25/SER_hh_num!N25)</f>
        <v>14152.861482307246</v>
      </c>
      <c r="O25" s="133">
        <f>IF(SER_hh_fec!O25=0,0,11630*1000*SER_hh_fec!O25/SER_hh_num!O25)</f>
        <v>14169.91782760251</v>
      </c>
      <c r="P25" s="133">
        <f>IF(SER_hh_fec!P25=0,0,11630*1000*SER_hh_fec!P25/SER_hh_num!P25)</f>
        <v>14511.836114612646</v>
      </c>
      <c r="Q25" s="133">
        <f>IF(SER_hh_fec!Q25=0,0,11630*1000*SER_hh_fec!Q25/SER_hh_num!Q25)</f>
        <v>14795.994991367665</v>
      </c>
      <c r="R25" s="133">
        <f>IF(SER_hh_fec!R25=0,0,11630*1000*SER_hh_fec!R25/SER_hh_num!R25)</f>
        <v>14752.862555763952</v>
      </c>
      <c r="S25" s="133">
        <f>IF(SER_hh_fec!S25=0,0,11630*1000*SER_hh_fec!S25/SER_hh_num!S25)</f>
        <v>14628.572381911281</v>
      </c>
      <c r="T25" s="133">
        <f>IF(SER_hh_fec!T25=0,0,11630*1000*SER_hh_fec!T25/SER_hh_num!T25)</f>
        <v>14505.780504666949</v>
      </c>
      <c r="U25" s="133">
        <f>IF(SER_hh_fec!U25=0,0,11630*1000*SER_hh_fec!U25/SER_hh_num!U25)</f>
        <v>14434.739231089938</v>
      </c>
      <c r="V25" s="133">
        <f>IF(SER_hh_fec!V25=0,0,11630*1000*SER_hh_fec!V25/SER_hh_num!V25)</f>
        <v>13832.522145397586</v>
      </c>
      <c r="W25" s="133">
        <f>IF(SER_hh_fec!W25=0,0,11630*1000*SER_hh_fec!W25/SER_hh_num!W25)</f>
        <v>14357.286707540261</v>
      </c>
      <c r="DA25" s="157" t="s">
        <v>405</v>
      </c>
    </row>
    <row r="26" spans="1:105" ht="12" customHeight="1" x14ac:dyDescent="0.25">
      <c r="A26" s="132" t="s">
        <v>24</v>
      </c>
      <c r="B26" s="65">
        <f>IF(SER_hh_fec!B26=0,0,11630*1000*SER_hh_fec!B26/SER_hh_num!B26)</f>
        <v>17501.429686326457</v>
      </c>
      <c r="C26" s="65">
        <f>IF(SER_hh_fec!C26=0,0,11630*1000*SER_hh_fec!C26/SER_hh_num!C26)</f>
        <v>17354.052730263396</v>
      </c>
      <c r="D26" s="65">
        <f>IF(SER_hh_fec!D26=0,0,11630*1000*SER_hh_fec!D26/SER_hh_num!D26)</f>
        <v>17978.048856232766</v>
      </c>
      <c r="E26" s="65">
        <f>IF(SER_hh_fec!E26=0,0,11630*1000*SER_hh_fec!E26/SER_hh_num!E26)</f>
        <v>17780.147652225984</v>
      </c>
      <c r="F26" s="65">
        <f>IF(SER_hh_fec!F26=0,0,11630*1000*SER_hh_fec!F26/SER_hh_num!F26)</f>
        <v>16959.488213343768</v>
      </c>
      <c r="G26" s="65">
        <f>IF(SER_hh_fec!G26=0,0,11630*1000*SER_hh_fec!G26/SER_hh_num!G26)</f>
        <v>17009.903243159701</v>
      </c>
      <c r="H26" s="65">
        <f>IF(SER_hh_fec!H26=0,0,11630*1000*SER_hh_fec!H26/SER_hh_num!H26)</f>
        <v>17075.916562286322</v>
      </c>
      <c r="I26" s="65">
        <f>IF(SER_hh_fec!I26=0,0,11630*1000*SER_hh_fec!I26/SER_hh_num!I26)</f>
        <v>16640.372092795857</v>
      </c>
      <c r="J26" s="65">
        <f>IF(SER_hh_fec!J26=0,0,11630*1000*SER_hh_fec!J26/SER_hh_num!J26)</f>
        <v>16851.368591375231</v>
      </c>
      <c r="K26" s="65">
        <f>IF(SER_hh_fec!K26=0,0,11630*1000*SER_hh_fec!K26/SER_hh_num!K26)</f>
        <v>16956.438308382352</v>
      </c>
      <c r="L26" s="65">
        <f>IF(SER_hh_fec!L26=0,0,11630*1000*SER_hh_fec!L26/SER_hh_num!L26)</f>
        <v>16851.528656325536</v>
      </c>
      <c r="M26" s="65">
        <f>IF(SER_hh_fec!M26=0,0,11630*1000*SER_hh_fec!M26/SER_hh_num!M26)</f>
        <v>16796.234230076861</v>
      </c>
      <c r="N26" s="65">
        <f>IF(SER_hh_fec!N26=0,0,11630*1000*SER_hh_fec!N26/SER_hh_num!N26)</f>
        <v>16873.18461836881</v>
      </c>
      <c r="O26" s="65">
        <f>IF(SER_hh_fec!O26=0,0,11630*1000*SER_hh_fec!O26/SER_hh_num!O26)</f>
        <v>17157.559429670571</v>
      </c>
      <c r="P26" s="65">
        <f>IF(SER_hh_fec!P26=0,0,11630*1000*SER_hh_fec!P26/SER_hh_num!P26)</f>
        <v>17137.567225023682</v>
      </c>
      <c r="Q26" s="65">
        <f>IF(SER_hh_fec!Q26=0,0,11630*1000*SER_hh_fec!Q26/SER_hh_num!Q26)</f>
        <v>16936.641441839642</v>
      </c>
      <c r="R26" s="65">
        <f>IF(SER_hh_fec!R26=0,0,11630*1000*SER_hh_fec!R26/SER_hh_num!R26)</f>
        <v>16757.836472998697</v>
      </c>
      <c r="S26" s="65">
        <f>IF(SER_hh_fec!S26=0,0,11630*1000*SER_hh_fec!S26/SER_hh_num!S26)</f>
        <v>16539.732740264</v>
      </c>
      <c r="T26" s="65">
        <f>IF(SER_hh_fec!T26=0,0,11630*1000*SER_hh_fec!T26/SER_hh_num!T26)</f>
        <v>16245.793765898601</v>
      </c>
      <c r="U26" s="65">
        <f>IF(SER_hh_fec!U26=0,0,11630*1000*SER_hh_fec!U26/SER_hh_num!U26)</f>
        <v>16039.118847450538</v>
      </c>
      <c r="V26" s="65">
        <f>IF(SER_hh_fec!V26=0,0,11630*1000*SER_hh_fec!V26/SER_hh_num!V26)</f>
        <v>15044.173544432986</v>
      </c>
      <c r="W26" s="65">
        <f>IF(SER_hh_fec!W26=0,0,11630*1000*SER_hh_fec!W26/SER_hh_num!W26)</f>
        <v>15517.465507091181</v>
      </c>
      <c r="DA26" s="109" t="s">
        <v>406</v>
      </c>
    </row>
    <row r="27" spans="1:105" ht="12" customHeight="1" x14ac:dyDescent="0.25">
      <c r="A27" s="145" t="s">
        <v>86</v>
      </c>
      <c r="B27" s="146">
        <f>IF(SER_hh_fec!B27=0,0,11630*1000*SER_hh_fec!B27/SER_hh_num!B19)</f>
        <v>32.834385678726385</v>
      </c>
      <c r="C27" s="146">
        <f>IF(SER_hh_fec!C27=0,0,11630*1000*SER_hh_fec!C27/SER_hh_num!C19)</f>
        <v>9.8732521497910319</v>
      </c>
      <c r="D27" s="146">
        <f>IF(SER_hh_fec!D27=0,0,11630*1000*SER_hh_fec!D27/SER_hh_num!D19)</f>
        <v>10.772043500185225</v>
      </c>
      <c r="E27" s="146">
        <f>IF(SER_hh_fec!E27=0,0,11630*1000*SER_hh_fec!E27/SER_hh_num!E19)</f>
        <v>15.978781690750576</v>
      </c>
      <c r="F27" s="146">
        <f>IF(SER_hh_fec!F27=0,0,11630*1000*SER_hh_fec!F27/SER_hh_num!F19)</f>
        <v>16.891764591919863</v>
      </c>
      <c r="G27" s="146">
        <f>IF(SER_hh_fec!G27=0,0,11630*1000*SER_hh_fec!G27/SER_hh_num!G19)</f>
        <v>16.598320845586187</v>
      </c>
      <c r="H27" s="146">
        <f>IF(SER_hh_fec!H27=0,0,11630*1000*SER_hh_fec!H27/SER_hh_num!H19)</f>
        <v>19.990081929262093</v>
      </c>
      <c r="I27" s="146">
        <f>IF(SER_hh_fec!I27=0,0,11630*1000*SER_hh_fec!I27/SER_hh_num!I19)</f>
        <v>28.061463031605964</v>
      </c>
      <c r="J27" s="146">
        <f>IF(SER_hh_fec!J27=0,0,11630*1000*SER_hh_fec!J27/SER_hh_num!J19)</f>
        <v>37.255998662452832</v>
      </c>
      <c r="K27" s="146">
        <f>IF(SER_hh_fec!K27=0,0,11630*1000*SER_hh_fec!K27/SER_hh_num!K19)</f>
        <v>77.399383887543777</v>
      </c>
      <c r="L27" s="146">
        <f>IF(SER_hh_fec!L27=0,0,11630*1000*SER_hh_fec!L27/SER_hh_num!L19)</f>
        <v>39.334720828671294</v>
      </c>
      <c r="M27" s="146">
        <f>IF(SER_hh_fec!M27=0,0,11630*1000*SER_hh_fec!M27/SER_hh_num!M19)</f>
        <v>41.519408586384081</v>
      </c>
      <c r="N27" s="146">
        <f>IF(SER_hh_fec!N27=0,0,11630*1000*SER_hh_fec!N27/SER_hh_num!N19)</f>
        <v>41.087653939733116</v>
      </c>
      <c r="O27" s="146">
        <f>IF(SER_hh_fec!O27=0,0,11630*1000*SER_hh_fec!O27/SER_hh_num!O19)</f>
        <v>43.392378099391223</v>
      </c>
      <c r="P27" s="146">
        <f>IF(SER_hh_fec!P27=0,0,11630*1000*SER_hh_fec!P27/SER_hh_num!P19)</f>
        <v>48.355910937659765</v>
      </c>
      <c r="Q27" s="146">
        <f>IF(SER_hh_fec!Q27=0,0,11630*1000*SER_hh_fec!Q27/SER_hh_num!Q19)</f>
        <v>52.18140823782732</v>
      </c>
      <c r="R27" s="146">
        <f>IF(SER_hh_fec!R27=0,0,11630*1000*SER_hh_fec!R27/SER_hh_num!R19)</f>
        <v>63.948139995025947</v>
      </c>
      <c r="S27" s="146">
        <f>IF(SER_hh_fec!S27=0,0,11630*1000*SER_hh_fec!S27/SER_hh_num!S19)</f>
        <v>65.156110284859651</v>
      </c>
      <c r="T27" s="146">
        <f>IF(SER_hh_fec!T27=0,0,11630*1000*SER_hh_fec!T27/SER_hh_num!T19)</f>
        <v>71.992759263352383</v>
      </c>
      <c r="U27" s="146">
        <f>IF(SER_hh_fec!U27=0,0,11630*1000*SER_hh_fec!U27/SER_hh_num!U19)</f>
        <v>69.249931207604263</v>
      </c>
      <c r="V27" s="146">
        <f>IF(SER_hh_fec!V27=0,0,11630*1000*SER_hh_fec!V27/SER_hh_num!V19)</f>
        <v>72.683176917317709</v>
      </c>
      <c r="W27" s="146">
        <f>IF(SER_hh_fec!W27=0,0,11630*1000*SER_hh_fec!W27/SER_hh_num!W19)</f>
        <v>66.008584534437063</v>
      </c>
      <c r="DA27" s="159" t="s">
        <v>407</v>
      </c>
    </row>
    <row r="28" spans="1:105" ht="12" customHeight="1" x14ac:dyDescent="0.25">
      <c r="A28" s="78" t="s">
        <v>85</v>
      </c>
      <c r="B28" s="147">
        <f>IF(SER_hh_fec!B27=0,0,11630*1000*SER_hh_fec!B27/SER_hh_num!B27)</f>
        <v>7139.683988667889</v>
      </c>
      <c r="C28" s="147">
        <f>IF(SER_hh_fec!C27=0,0,11630*1000*SER_hh_fec!C27/SER_hh_num!C27)</f>
        <v>7266.2352124934123</v>
      </c>
      <c r="D28" s="147">
        <f>IF(SER_hh_fec!D27=0,0,11630*1000*SER_hh_fec!D27/SER_hh_num!D27)</f>
        <v>7154.0252883140984</v>
      </c>
      <c r="E28" s="147">
        <f>IF(SER_hh_fec!E27=0,0,11630*1000*SER_hh_fec!E27/SER_hh_num!E27)</f>
        <v>7099.3846102346752</v>
      </c>
      <c r="F28" s="147">
        <f>IF(SER_hh_fec!F27=0,0,11630*1000*SER_hh_fec!F27/SER_hh_num!F27)</f>
        <v>7331.6613933725612</v>
      </c>
      <c r="G28" s="147">
        <f>IF(SER_hh_fec!G27=0,0,11630*1000*SER_hh_fec!G27/SER_hh_num!G27)</f>
        <v>7134.3529600801894</v>
      </c>
      <c r="H28" s="147">
        <f>IF(SER_hh_fec!H27=0,0,11630*1000*SER_hh_fec!H27/SER_hh_num!H27)</f>
        <v>7063.8002494200673</v>
      </c>
      <c r="I28" s="147">
        <f>IF(SER_hh_fec!I27=0,0,11630*1000*SER_hh_fec!I27/SER_hh_num!I27)</f>
        <v>6724.0128514945627</v>
      </c>
      <c r="J28" s="147">
        <f>IF(SER_hh_fec!J27=0,0,11630*1000*SER_hh_fec!J27/SER_hh_num!J27)</f>
        <v>7308.2371108273765</v>
      </c>
      <c r="K28" s="147">
        <f>IF(SER_hh_fec!K27=0,0,11630*1000*SER_hh_fec!K27/SER_hh_num!K27)</f>
        <v>7313.7624914820681</v>
      </c>
      <c r="L28" s="147">
        <f>IF(SER_hh_fec!L27=0,0,11630*1000*SER_hh_fec!L27/SER_hh_num!L27)</f>
        <v>7271.6487950193132</v>
      </c>
      <c r="M28" s="147">
        <f>IF(SER_hh_fec!M27=0,0,11630*1000*SER_hh_fec!M27/SER_hh_num!M27)</f>
        <v>7471.5979813811327</v>
      </c>
      <c r="N28" s="147">
        <f>IF(SER_hh_fec!N27=0,0,11630*1000*SER_hh_fec!N27/SER_hh_num!N27)</f>
        <v>7497.5140114994419</v>
      </c>
      <c r="O28" s="147">
        <f>IF(SER_hh_fec!O27=0,0,11630*1000*SER_hh_fec!O27/SER_hh_num!O27)</f>
        <v>8460.3760469965255</v>
      </c>
      <c r="P28" s="147">
        <f>IF(SER_hh_fec!P27=0,0,11630*1000*SER_hh_fec!P27/SER_hh_num!P27)</f>
        <v>8764.0755724659884</v>
      </c>
      <c r="Q28" s="147">
        <f>IF(SER_hh_fec!Q27=0,0,11630*1000*SER_hh_fec!Q27/SER_hh_num!Q27)</f>
        <v>8470.22925689978</v>
      </c>
      <c r="R28" s="147">
        <f>IF(SER_hh_fec!R27=0,0,11630*1000*SER_hh_fec!R27/SER_hh_num!R27)</f>
        <v>7504.737141425011</v>
      </c>
      <c r="S28" s="147">
        <f>IF(SER_hh_fec!S27=0,0,11630*1000*SER_hh_fec!S27/SER_hh_num!S27)</f>
        <v>7263.7345708272524</v>
      </c>
      <c r="T28" s="147">
        <f>IF(SER_hh_fec!T27=0,0,11630*1000*SER_hh_fec!T27/SER_hh_num!T27)</f>
        <v>7595.8235346185074</v>
      </c>
      <c r="U28" s="147">
        <f>IF(SER_hh_fec!U27=0,0,11630*1000*SER_hh_fec!U27/SER_hh_num!U27)</f>
        <v>7494.9420731185273</v>
      </c>
      <c r="V28" s="147">
        <f>IF(SER_hh_fec!V27=0,0,11630*1000*SER_hh_fec!V27/SER_hh_num!V27)</f>
        <v>7840.8126330782588</v>
      </c>
      <c r="W28" s="147">
        <f>IF(SER_hh_fec!W27=0,0,11630*1000*SER_hh_fec!W27/SER_hh_num!W27)</f>
        <v>7974.750128150552</v>
      </c>
      <c r="DA28" s="160"/>
    </row>
    <row r="29" spans="1:105" ht="12.95" customHeight="1" x14ac:dyDescent="0.25">
      <c r="A29" s="130" t="s">
        <v>34</v>
      </c>
      <c r="B29" s="131">
        <f>IF(SER_hh_fec!B29=0,0,11630*1000*SER_hh_fec!B29/SER_hh_num!B29)</f>
        <v>15001.855118748512</v>
      </c>
      <c r="C29" s="131">
        <f>IF(SER_hh_fec!C29=0,0,11630*1000*SER_hh_fec!C29/SER_hh_num!C29)</f>
        <v>15222.575550024645</v>
      </c>
      <c r="D29" s="131">
        <f>IF(SER_hh_fec!D29=0,0,11630*1000*SER_hh_fec!D29/SER_hh_num!D29)</f>
        <v>14853.979760027949</v>
      </c>
      <c r="E29" s="131">
        <f>IF(SER_hh_fec!E29=0,0,11630*1000*SER_hh_fec!E29/SER_hh_num!E29)</f>
        <v>14400.226450900962</v>
      </c>
      <c r="F29" s="131">
        <f>IF(SER_hh_fec!F29=0,0,11630*1000*SER_hh_fec!F29/SER_hh_num!F29)</f>
        <v>14618.32640483186</v>
      </c>
      <c r="G29" s="131">
        <f>IF(SER_hh_fec!G29=0,0,11630*1000*SER_hh_fec!G29/SER_hh_num!G29)</f>
        <v>14303.74244875009</v>
      </c>
      <c r="H29" s="131">
        <f>IF(SER_hh_fec!H29=0,0,11630*1000*SER_hh_fec!H29/SER_hh_num!H29)</f>
        <v>14182.965979663717</v>
      </c>
      <c r="I29" s="131">
        <f>IF(SER_hh_fec!I29=0,0,11630*1000*SER_hh_fec!I29/SER_hh_num!I29)</f>
        <v>14357.451901840825</v>
      </c>
      <c r="J29" s="131">
        <f>IF(SER_hh_fec!J29=0,0,11630*1000*SER_hh_fec!J29/SER_hh_num!J29)</f>
        <v>14472.224690895318</v>
      </c>
      <c r="K29" s="131">
        <f>IF(SER_hh_fec!K29=0,0,11630*1000*SER_hh_fec!K29/SER_hh_num!K29)</f>
        <v>14725.751240903399</v>
      </c>
      <c r="L29" s="131">
        <f>IF(SER_hh_fec!L29=0,0,11630*1000*SER_hh_fec!L29/SER_hh_num!L29)</f>
        <v>14735.663677606382</v>
      </c>
      <c r="M29" s="131">
        <f>IF(SER_hh_fec!M29=0,0,11630*1000*SER_hh_fec!M29/SER_hh_num!M29)</f>
        <v>14590.365010743772</v>
      </c>
      <c r="N29" s="131">
        <f>IF(SER_hh_fec!N29=0,0,11630*1000*SER_hh_fec!N29/SER_hh_num!N29)</f>
        <v>14860.879687701785</v>
      </c>
      <c r="O29" s="131">
        <f>IF(SER_hh_fec!O29=0,0,11630*1000*SER_hh_fec!O29/SER_hh_num!O29)</f>
        <v>14976.219560226387</v>
      </c>
      <c r="P29" s="131">
        <f>IF(SER_hh_fec!P29=0,0,11630*1000*SER_hh_fec!P29/SER_hh_num!P29)</f>
        <v>14947.043577517394</v>
      </c>
      <c r="Q29" s="131">
        <f>IF(SER_hh_fec!Q29=0,0,11630*1000*SER_hh_fec!Q29/SER_hh_num!Q29)</f>
        <v>15211.73237052534</v>
      </c>
      <c r="R29" s="131">
        <f>IF(SER_hh_fec!R29=0,0,11630*1000*SER_hh_fec!R29/SER_hh_num!R29)</f>
        <v>15010.116626708688</v>
      </c>
      <c r="S29" s="131">
        <f>IF(SER_hh_fec!S29=0,0,11630*1000*SER_hh_fec!S29/SER_hh_num!S29)</f>
        <v>14960.981333126501</v>
      </c>
      <c r="T29" s="131">
        <f>IF(SER_hh_fec!T29=0,0,11630*1000*SER_hh_fec!T29/SER_hh_num!T29)</f>
        <v>14857.523591650692</v>
      </c>
      <c r="U29" s="131">
        <f>IF(SER_hh_fec!U29=0,0,11630*1000*SER_hh_fec!U29/SER_hh_num!U29)</f>
        <v>14798.758258957203</v>
      </c>
      <c r="V29" s="131">
        <f>IF(SER_hh_fec!V29=0,0,11630*1000*SER_hh_fec!V29/SER_hh_num!V29)</f>
        <v>14128.218193749413</v>
      </c>
      <c r="W29" s="131">
        <f>IF(SER_hh_fec!W29=0,0,11630*1000*SER_hh_fec!W29/SER_hh_num!W29)</f>
        <v>14797.241191900717</v>
      </c>
      <c r="DA29" s="156" t="s">
        <v>408</v>
      </c>
    </row>
    <row r="30" spans="1:105" ht="12" customHeight="1" x14ac:dyDescent="0.25">
      <c r="A30" s="132" t="s">
        <v>52</v>
      </c>
      <c r="B30" s="133">
        <f>IF(SER_hh_fec!B30=0,0,11630*1000*SER_hh_fec!B30/SER_hh_num!B30)</f>
        <v>16018.191190445317</v>
      </c>
      <c r="C30" s="133">
        <f>IF(SER_hh_fec!C30=0,0,11630*1000*SER_hh_fec!C30/SER_hh_num!C30)</f>
        <v>17008.057879905144</v>
      </c>
      <c r="D30" s="133">
        <f>IF(SER_hh_fec!D30=0,0,11630*1000*SER_hh_fec!D30/SER_hh_num!D30)</f>
        <v>15625.379844360976</v>
      </c>
      <c r="E30" s="133">
        <f>IF(SER_hh_fec!E30=0,0,11630*1000*SER_hh_fec!E30/SER_hh_num!E30)</f>
        <v>14942.365339698819</v>
      </c>
      <c r="F30" s="133">
        <f>IF(SER_hh_fec!F30=0,0,11630*1000*SER_hh_fec!F30/SER_hh_num!F30)</f>
        <v>20592.623903555315</v>
      </c>
      <c r="G30" s="133">
        <f>IF(SER_hh_fec!G30=0,0,11630*1000*SER_hh_fec!G30/SER_hh_num!G30)</f>
        <v>7879.874989459031</v>
      </c>
      <c r="H30" s="133">
        <f>IF(SER_hh_fec!H30=0,0,11630*1000*SER_hh_fec!H30/SER_hh_num!H30)</f>
        <v>11238.95160663643</v>
      </c>
      <c r="I30" s="133">
        <f>IF(SER_hh_fec!I30=0,0,11630*1000*SER_hh_fec!I30/SER_hh_num!I30)</f>
        <v>14807.486300593195</v>
      </c>
      <c r="J30" s="133">
        <f>IF(SER_hh_fec!J30=0,0,11630*1000*SER_hh_fec!J30/SER_hh_num!J30)</f>
        <v>17279.229477857614</v>
      </c>
      <c r="K30" s="133">
        <f>IF(SER_hh_fec!K30=0,0,11630*1000*SER_hh_fec!K30/SER_hh_num!K30)</f>
        <v>16676.770824024836</v>
      </c>
      <c r="L30" s="133">
        <f>IF(SER_hh_fec!L30=0,0,11630*1000*SER_hh_fec!L30/SER_hh_num!L30)</f>
        <v>19902.669331381698</v>
      </c>
      <c r="M30" s="133">
        <f>IF(SER_hh_fec!M30=0,0,11630*1000*SER_hh_fec!M30/SER_hh_num!M30)</f>
        <v>14998.599383207496</v>
      </c>
      <c r="N30" s="133">
        <f>IF(SER_hh_fec!N30=0,0,11630*1000*SER_hh_fec!N30/SER_hh_num!N30)</f>
        <v>16704.267617168949</v>
      </c>
      <c r="O30" s="133">
        <f>IF(SER_hh_fec!O30=0,0,11630*1000*SER_hh_fec!O30/SER_hh_num!O30)</f>
        <v>17927.268245235271</v>
      </c>
      <c r="P30" s="133">
        <f>IF(SER_hh_fec!P30=0,0,11630*1000*SER_hh_fec!P30/SER_hh_num!P30)</f>
        <v>13650.874466781728</v>
      </c>
      <c r="Q30" s="133">
        <f>IF(SER_hh_fec!Q30=0,0,11630*1000*SER_hh_fec!Q30/SER_hh_num!Q30)</f>
        <v>21178.674755567503</v>
      </c>
      <c r="R30" s="133">
        <f>IF(SER_hh_fec!R30=0,0,11630*1000*SER_hh_fec!R30/SER_hh_num!R30)</f>
        <v>15891.290848151271</v>
      </c>
      <c r="S30" s="133">
        <f>IF(SER_hh_fec!S30=0,0,11630*1000*SER_hh_fec!S30/SER_hh_num!S30)</f>
        <v>17683.193330756549</v>
      </c>
      <c r="T30" s="133">
        <f>IF(SER_hh_fec!T30=0,0,11630*1000*SER_hh_fec!T30/SER_hh_num!T30)</f>
        <v>16513.022893124802</v>
      </c>
      <c r="U30" s="133">
        <f>IF(SER_hh_fec!U30=0,0,11630*1000*SER_hh_fec!U30/SER_hh_num!U30)</f>
        <v>16223.92669378573</v>
      </c>
      <c r="V30" s="133">
        <f>IF(SER_hh_fec!V30=0,0,11630*1000*SER_hh_fec!V30/SER_hh_num!V30)</f>
        <v>17270.574869415137</v>
      </c>
      <c r="W30" s="133">
        <f>IF(SER_hh_fec!W30=0,0,11630*1000*SER_hh_fec!W30/SER_hh_num!W30)</f>
        <v>17408.568959967808</v>
      </c>
      <c r="DA30" s="157" t="s">
        <v>409</v>
      </c>
    </row>
    <row r="31" spans="1:105" ht="12" customHeight="1" x14ac:dyDescent="0.25">
      <c r="A31" s="132" t="s">
        <v>153</v>
      </c>
      <c r="B31" s="133">
        <f>IF(SER_hh_fec!B31=0,0,11630*1000*SER_hh_fec!B31/SER_hh_num!B31)</f>
        <v>15900.668127807461</v>
      </c>
      <c r="C31" s="133">
        <f>IF(SER_hh_fec!C31=0,0,11630*1000*SER_hh_fec!C31/SER_hh_num!C31)</f>
        <v>15818.34061727972</v>
      </c>
      <c r="D31" s="133">
        <f>IF(SER_hh_fec!D31=0,0,11630*1000*SER_hh_fec!D31/SER_hh_num!D31)</f>
        <v>15864.45359255097</v>
      </c>
      <c r="E31" s="133">
        <f>IF(SER_hh_fec!E31=0,0,11630*1000*SER_hh_fec!E31/SER_hh_num!E31)</f>
        <v>15933.562986586017</v>
      </c>
      <c r="F31" s="133">
        <f>IF(SER_hh_fec!F31=0,0,11630*1000*SER_hh_fec!F31/SER_hh_num!F31)</f>
        <v>16009.029290443341</v>
      </c>
      <c r="G31" s="133">
        <f>IF(SER_hh_fec!G31=0,0,11630*1000*SER_hh_fec!G31/SER_hh_num!G31)</f>
        <v>16208.494791541902</v>
      </c>
      <c r="H31" s="133">
        <f>IF(SER_hh_fec!H31=0,0,11630*1000*SER_hh_fec!H31/SER_hh_num!H31)</f>
        <v>16217.2018170015</v>
      </c>
      <c r="I31" s="133">
        <f>IF(SER_hh_fec!I31=0,0,11630*1000*SER_hh_fec!I31/SER_hh_num!I31)</f>
        <v>16371.117631197734</v>
      </c>
      <c r="J31" s="133">
        <f>IF(SER_hh_fec!J31=0,0,11630*1000*SER_hh_fec!J31/SER_hh_num!J31)</f>
        <v>16615.077713395607</v>
      </c>
      <c r="K31" s="133">
        <f>IF(SER_hh_fec!K31=0,0,11630*1000*SER_hh_fec!K31/SER_hh_num!K31)</f>
        <v>16691.536855700648</v>
      </c>
      <c r="L31" s="133">
        <f>IF(SER_hh_fec!L31=0,0,11630*1000*SER_hh_fec!L31/SER_hh_num!L31)</f>
        <v>16733.858682474434</v>
      </c>
      <c r="M31" s="133">
        <f>IF(SER_hh_fec!M31=0,0,11630*1000*SER_hh_fec!M31/SER_hh_num!M31)</f>
        <v>16819.371051503436</v>
      </c>
      <c r="N31" s="133">
        <f>IF(SER_hh_fec!N31=0,0,11630*1000*SER_hh_fec!N31/SER_hh_num!N31)</f>
        <v>17091.044062843703</v>
      </c>
      <c r="O31" s="133">
        <f>IF(SER_hh_fec!O31=0,0,11630*1000*SER_hh_fec!O31/SER_hh_num!O31)</f>
        <v>17159.577642403183</v>
      </c>
      <c r="P31" s="133">
        <f>IF(SER_hh_fec!P31=0,0,11630*1000*SER_hh_fec!P31/SER_hh_num!P31)</f>
        <v>17299.664506853074</v>
      </c>
      <c r="Q31" s="133">
        <f>IF(SER_hh_fec!Q31=0,0,11630*1000*SER_hh_fec!Q31/SER_hh_num!Q31)</f>
        <v>17348.27380182136</v>
      </c>
      <c r="R31" s="133">
        <f>IF(SER_hh_fec!R31=0,0,11630*1000*SER_hh_fec!R31/SER_hh_num!R31)</f>
        <v>17321.802795400534</v>
      </c>
      <c r="S31" s="133">
        <f>IF(SER_hh_fec!S31=0,0,11630*1000*SER_hh_fec!S31/SER_hh_num!S31)</f>
        <v>17248.742432338971</v>
      </c>
      <c r="T31" s="133">
        <f>IF(SER_hh_fec!T31=0,0,11630*1000*SER_hh_fec!T31/SER_hh_num!T31)</f>
        <v>17192.794259928414</v>
      </c>
      <c r="U31" s="133">
        <f>IF(SER_hh_fec!U31=0,0,11630*1000*SER_hh_fec!U31/SER_hh_num!U31)</f>
        <v>17177.982632754334</v>
      </c>
      <c r="V31" s="133">
        <f>IF(SER_hh_fec!V31=0,0,11630*1000*SER_hh_fec!V31/SER_hh_num!V31)</f>
        <v>16350.389187018731</v>
      </c>
      <c r="W31" s="133">
        <f>IF(SER_hh_fec!W31=0,0,11630*1000*SER_hh_fec!W31/SER_hh_num!W31)</f>
        <v>17299.15662499105</v>
      </c>
      <c r="DA31" s="157" t="s">
        <v>410</v>
      </c>
    </row>
    <row r="32" spans="1:105" ht="12" customHeight="1" x14ac:dyDescent="0.25">
      <c r="A32" s="132" t="s">
        <v>128</v>
      </c>
      <c r="B32" s="133">
        <f>IF(SER_hh_fec!B32=0,0,11630*1000*SER_hh_fec!B32/SER_hh_num!B32)</f>
        <v>0</v>
      </c>
      <c r="C32" s="133">
        <f>IF(SER_hh_fec!C32=0,0,11630*1000*SER_hh_fec!C32/SER_hh_num!C32)</f>
        <v>0</v>
      </c>
      <c r="D32" s="133">
        <f>IF(SER_hh_fec!D32=0,0,11630*1000*SER_hh_fec!D32/SER_hh_num!D32)</f>
        <v>0</v>
      </c>
      <c r="E32" s="133">
        <f>IF(SER_hh_fec!E32=0,0,11630*1000*SER_hh_fec!E32/SER_hh_num!E32)</f>
        <v>0</v>
      </c>
      <c r="F32" s="133">
        <f>IF(SER_hh_fec!F32=0,0,11630*1000*SER_hh_fec!F32/SER_hh_num!F32)</f>
        <v>0</v>
      </c>
      <c r="G32" s="133">
        <f>IF(SER_hh_fec!G32=0,0,11630*1000*SER_hh_fec!G32/SER_hh_num!G32)</f>
        <v>0</v>
      </c>
      <c r="H32" s="133">
        <f>IF(SER_hh_fec!H32=0,0,11630*1000*SER_hh_fec!H32/SER_hh_num!H32)</f>
        <v>0</v>
      </c>
      <c r="I32" s="133">
        <f>IF(SER_hh_fec!I32=0,0,11630*1000*SER_hh_fec!I32/SER_hh_num!I32)</f>
        <v>0</v>
      </c>
      <c r="J32" s="133">
        <f>IF(SER_hh_fec!J32=0,0,11630*1000*SER_hh_fec!J32/SER_hh_num!J32)</f>
        <v>21930.816047562388</v>
      </c>
      <c r="K32" s="133">
        <f>IF(SER_hh_fec!K32=0,0,11630*1000*SER_hh_fec!K32/SER_hh_num!K32)</f>
        <v>12680.185674058981</v>
      </c>
      <c r="L32" s="133">
        <f>IF(SER_hh_fec!L32=0,0,11630*1000*SER_hh_fec!L32/SER_hh_num!L32)</f>
        <v>21880.927150562402</v>
      </c>
      <c r="M32" s="133">
        <f>IF(SER_hh_fec!M32=0,0,11630*1000*SER_hh_fec!M32/SER_hh_num!M32)</f>
        <v>20508.172969206389</v>
      </c>
      <c r="N32" s="133">
        <f>IF(SER_hh_fec!N32=0,0,11630*1000*SER_hh_fec!N32/SER_hh_num!N32)</f>
        <v>11085.817215315557</v>
      </c>
      <c r="O32" s="133">
        <f>IF(SER_hh_fec!O32=0,0,11630*1000*SER_hh_fec!O32/SER_hh_num!O32)</f>
        <v>17971.241344738737</v>
      </c>
      <c r="P32" s="133">
        <f>IF(SER_hh_fec!P32=0,0,11630*1000*SER_hh_fec!P32/SER_hh_num!P32)</f>
        <v>18465.08976391676</v>
      </c>
      <c r="Q32" s="133">
        <f>IF(SER_hh_fec!Q32=0,0,11630*1000*SER_hh_fec!Q32/SER_hh_num!Q32)</f>
        <v>19102.557919872714</v>
      </c>
      <c r="R32" s="133">
        <f>IF(SER_hh_fec!R32=0,0,11630*1000*SER_hh_fec!R32/SER_hh_num!R32)</f>
        <v>18367.603596066525</v>
      </c>
      <c r="S32" s="133">
        <f>IF(SER_hh_fec!S32=0,0,11630*1000*SER_hh_fec!S32/SER_hh_num!S32)</f>
        <v>17687.878470683409</v>
      </c>
      <c r="T32" s="133">
        <f>IF(SER_hh_fec!T32=0,0,11630*1000*SER_hh_fec!T32/SER_hh_num!T32)</f>
        <v>18545.551107421754</v>
      </c>
      <c r="U32" s="133">
        <f>IF(SER_hh_fec!U32=0,0,11630*1000*SER_hh_fec!U32/SER_hh_num!U32)</f>
        <v>24102.130582663343</v>
      </c>
      <c r="V32" s="133">
        <f>IF(SER_hh_fec!V32=0,0,11630*1000*SER_hh_fec!V32/SER_hh_num!V32)</f>
        <v>9034.6133845101322</v>
      </c>
      <c r="W32" s="133">
        <f>IF(SER_hh_fec!W32=0,0,11630*1000*SER_hh_fec!W32/SER_hh_num!W32)</f>
        <v>18604.212536492832</v>
      </c>
      <c r="DA32" s="157" t="s">
        <v>411</v>
      </c>
    </row>
    <row r="33" spans="1:105" ht="12" customHeight="1" x14ac:dyDescent="0.25">
      <c r="A33" s="62" t="s">
        <v>24</v>
      </c>
      <c r="B33" s="68">
        <f>IF(SER_hh_fec!B33=0,0,11630*1000*SER_hh_fec!B33/SER_hh_num!B33)</f>
        <v>11366.615314712291</v>
      </c>
      <c r="C33" s="68">
        <f>IF(SER_hh_fec!C33=0,0,11630*1000*SER_hh_fec!C33/SER_hh_num!C33)</f>
        <v>11996.932840274556</v>
      </c>
      <c r="D33" s="68">
        <f>IF(SER_hh_fec!D33=0,0,11630*1000*SER_hh_fec!D33/SER_hh_num!D33)</f>
        <v>12571.38882217798</v>
      </c>
      <c r="E33" s="68">
        <f>IF(SER_hh_fec!E33=0,0,11630*1000*SER_hh_fec!E33/SER_hh_num!E33)</f>
        <v>11825.538180956915</v>
      </c>
      <c r="F33" s="68">
        <f>IF(SER_hh_fec!F33=0,0,11630*1000*SER_hh_fec!F33/SER_hh_num!F33)</f>
        <v>11258.707839523388</v>
      </c>
      <c r="G33" s="68">
        <f>IF(SER_hh_fec!G33=0,0,11630*1000*SER_hh_fec!G33/SER_hh_num!G33)</f>
        <v>12917.607774016069</v>
      </c>
      <c r="H33" s="68">
        <f>IF(SER_hh_fec!H33=0,0,11630*1000*SER_hh_fec!H33/SER_hh_num!H33)</f>
        <v>12277.531473589352</v>
      </c>
      <c r="I33" s="68">
        <f>IF(SER_hh_fec!I33=0,0,11630*1000*SER_hh_fec!I33/SER_hh_num!I33)</f>
        <v>12397.100150041126</v>
      </c>
      <c r="J33" s="68">
        <f>IF(SER_hh_fec!J33=0,0,11630*1000*SER_hh_fec!J33/SER_hh_num!J33)</f>
        <v>12298.557571567124</v>
      </c>
      <c r="K33" s="68">
        <f>IF(SER_hh_fec!K33=0,0,11630*1000*SER_hh_fec!K33/SER_hh_num!K33)</f>
        <v>12759.470625891903</v>
      </c>
      <c r="L33" s="68">
        <f>IF(SER_hh_fec!L33=0,0,11630*1000*SER_hh_fec!L33/SER_hh_num!L33)</f>
        <v>12548.455648038984</v>
      </c>
      <c r="M33" s="68">
        <f>IF(SER_hh_fec!M33=0,0,11630*1000*SER_hh_fec!M33/SER_hh_num!M33)</f>
        <v>12504.675982199342</v>
      </c>
      <c r="N33" s="68">
        <f>IF(SER_hh_fec!N33=0,0,11630*1000*SER_hh_fec!N33/SER_hh_num!N33)</f>
        <v>12749.331689497165</v>
      </c>
      <c r="O33" s="68">
        <f>IF(SER_hh_fec!O33=0,0,11630*1000*SER_hh_fec!O33/SER_hh_num!O33)</f>
        <v>12800.006687318732</v>
      </c>
      <c r="P33" s="68">
        <f>IF(SER_hh_fec!P33=0,0,11630*1000*SER_hh_fec!P33/SER_hh_num!P33)</f>
        <v>12833.793439771709</v>
      </c>
      <c r="Q33" s="68">
        <f>IF(SER_hh_fec!Q33=0,0,11630*1000*SER_hh_fec!Q33/SER_hh_num!Q33)</f>
        <v>12835.89633594652</v>
      </c>
      <c r="R33" s="68">
        <f>IF(SER_hh_fec!R33=0,0,11630*1000*SER_hh_fec!R33/SER_hh_num!R33)</f>
        <v>12804.532152756758</v>
      </c>
      <c r="S33" s="68">
        <f>IF(SER_hh_fec!S33=0,0,11630*1000*SER_hh_fec!S33/SER_hh_num!S33)</f>
        <v>12660.060950369181</v>
      </c>
      <c r="T33" s="68">
        <f>IF(SER_hh_fec!T33=0,0,11630*1000*SER_hh_fec!T33/SER_hh_num!T33)</f>
        <v>12581.300380843029</v>
      </c>
      <c r="U33" s="68">
        <f>IF(SER_hh_fec!U33=0,0,11630*1000*SER_hh_fec!U33/SER_hh_num!U33)</f>
        <v>12446.634223658171</v>
      </c>
      <c r="V33" s="68">
        <f>IF(SER_hh_fec!V33=0,0,11630*1000*SER_hh_fec!V33/SER_hh_num!V33)</f>
        <v>11859.364672484067</v>
      </c>
      <c r="W33" s="68">
        <f>IF(SER_hh_fec!W33=0,0,11630*1000*SER_hh_fec!W33/SER_hh_num!W33)</f>
        <v>12273.349624087983</v>
      </c>
      <c r="DA33" s="111" t="s">
        <v>412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413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88</v>
      </c>
      <c r="B3" s="126">
        <f>IF(SER_hh_tes!B3=0,0,11630*1000*SER_hh_tes!B3/SER_hh_num!B3)</f>
        <v>97334.402537246686</v>
      </c>
      <c r="C3" s="126">
        <f>IF(SER_hh_tes!C3=0,0,11630*1000*SER_hh_tes!C3/SER_hh_num!C3)</f>
        <v>102188.56091432252</v>
      </c>
      <c r="D3" s="126">
        <f>IF(SER_hh_tes!D3=0,0,11630*1000*SER_hh_tes!D3/SER_hh_num!D3)</f>
        <v>100274.91943233664</v>
      </c>
      <c r="E3" s="126">
        <f>IF(SER_hh_tes!E3=0,0,11630*1000*SER_hh_tes!E3/SER_hh_num!E3)</f>
        <v>106127.76066548421</v>
      </c>
      <c r="F3" s="126">
        <f>IF(SER_hh_tes!F3=0,0,11630*1000*SER_hh_tes!F3/SER_hh_num!F3)</f>
        <v>128677.87940869562</v>
      </c>
      <c r="G3" s="126">
        <f>IF(SER_hh_tes!G3=0,0,11630*1000*SER_hh_tes!G3/SER_hh_num!G3)</f>
        <v>127391.27162301222</v>
      </c>
      <c r="H3" s="126">
        <f>IF(SER_hh_tes!H3=0,0,11630*1000*SER_hh_tes!H3/SER_hh_num!H3)</f>
        <v>122245.35557912938</v>
      </c>
      <c r="I3" s="126">
        <f>IF(SER_hh_tes!I3=0,0,11630*1000*SER_hh_tes!I3/SER_hh_num!I3)</f>
        <v>113852.35026890571</v>
      </c>
      <c r="J3" s="126">
        <f>IF(SER_hh_tes!J3=0,0,11630*1000*SER_hh_tes!J3/SER_hh_num!J3)</f>
        <v>126321.69476198756</v>
      </c>
      <c r="K3" s="126">
        <f>IF(SER_hh_tes!K3=0,0,11630*1000*SER_hh_tes!K3/SER_hh_num!K3)</f>
        <v>126901.89087238521</v>
      </c>
      <c r="L3" s="126">
        <f>IF(SER_hh_tes!L3=0,0,11630*1000*SER_hh_tes!L3/SER_hh_num!L3)</f>
        <v>135176.72037953595</v>
      </c>
      <c r="M3" s="126">
        <f>IF(SER_hh_tes!M3=0,0,11630*1000*SER_hh_tes!M3/SER_hh_num!M3)</f>
        <v>115210.27290531955</v>
      </c>
      <c r="N3" s="126">
        <f>IF(SER_hh_tes!N3=0,0,11630*1000*SER_hh_tes!N3/SER_hh_num!N3)</f>
        <v>123484.448902665</v>
      </c>
      <c r="O3" s="126">
        <f>IF(SER_hh_tes!O3=0,0,11630*1000*SER_hh_tes!O3/SER_hh_num!O3)</f>
        <v>133897.29170400632</v>
      </c>
      <c r="P3" s="126">
        <f>IF(SER_hh_tes!P3=0,0,11630*1000*SER_hh_tes!P3/SER_hh_num!P3)</f>
        <v>111384.11268473213</v>
      </c>
      <c r="Q3" s="126">
        <f>IF(SER_hh_tes!Q3=0,0,11630*1000*SER_hh_tes!Q3/SER_hh_num!Q3)</f>
        <v>125191.62532195605</v>
      </c>
      <c r="R3" s="126">
        <f>IF(SER_hh_tes!R3=0,0,11630*1000*SER_hh_tes!R3/SER_hh_num!R3)</f>
        <v>126193.57457239769</v>
      </c>
      <c r="S3" s="126">
        <f>IF(SER_hh_tes!S3=0,0,11630*1000*SER_hh_tes!S3/SER_hh_num!S3)</f>
        <v>125638.00258124794</v>
      </c>
      <c r="T3" s="126">
        <f>IF(SER_hh_tes!T3=0,0,11630*1000*SER_hh_tes!T3/SER_hh_num!T3)</f>
        <v>129069.77084948301</v>
      </c>
      <c r="U3" s="126">
        <f>IF(SER_hh_tes!U3=0,0,11630*1000*SER_hh_tes!U3/SER_hh_num!U3)</f>
        <v>129239.04156866382</v>
      </c>
      <c r="V3" s="126">
        <f>IF(SER_hh_tes!V3=0,0,11630*1000*SER_hh_tes!V3/SER_hh_num!V3)</f>
        <v>126335.84309925571</v>
      </c>
      <c r="W3" s="126">
        <f>IF(SER_hh_tes!W3=0,0,11630*1000*SER_hh_tes!W3/SER_hh_num!W3)</f>
        <v>130989.34486314516</v>
      </c>
      <c r="DA3" s="155" t="s">
        <v>414</v>
      </c>
    </row>
    <row r="4" spans="1:105" ht="12.95" customHeight="1" x14ac:dyDescent="0.25">
      <c r="A4" s="130" t="s">
        <v>32</v>
      </c>
      <c r="B4" s="131">
        <f>IF(SER_hh_tes!B4=0,0,11630*1000*SER_hh_tes!B4/SER_hh_num!B4)</f>
        <v>73162.317208908542</v>
      </c>
      <c r="C4" s="131">
        <f>IF(SER_hh_tes!C4=0,0,11630*1000*SER_hh_tes!C4/SER_hh_num!C4)</f>
        <v>77251.441752813553</v>
      </c>
      <c r="D4" s="131">
        <f>IF(SER_hh_tes!D4=0,0,11630*1000*SER_hh_tes!D4/SER_hh_num!D4)</f>
        <v>74645.804911286526</v>
      </c>
      <c r="E4" s="131">
        <f>IF(SER_hh_tes!E4=0,0,11630*1000*SER_hh_tes!E4/SER_hh_num!E4)</f>
        <v>79167.627980938967</v>
      </c>
      <c r="F4" s="131">
        <f>IF(SER_hh_tes!F4=0,0,11630*1000*SER_hh_tes!F4/SER_hh_num!F4)</f>
        <v>101980.5948964087</v>
      </c>
      <c r="G4" s="131">
        <f>IF(SER_hh_tes!G4=0,0,11630*1000*SER_hh_tes!G4/SER_hh_num!G4)</f>
        <v>99874.308827277244</v>
      </c>
      <c r="H4" s="131">
        <f>IF(SER_hh_tes!H4=0,0,11630*1000*SER_hh_tes!H4/SER_hh_num!H4)</f>
        <v>92496.416778215367</v>
      </c>
      <c r="I4" s="131">
        <f>IF(SER_hh_tes!I4=0,0,11630*1000*SER_hh_tes!I4/SER_hh_num!I4)</f>
        <v>84533.810009517343</v>
      </c>
      <c r="J4" s="131">
        <f>IF(SER_hh_tes!J4=0,0,11630*1000*SER_hh_tes!J4/SER_hh_num!J4)</f>
        <v>96090.113638581824</v>
      </c>
      <c r="K4" s="131">
        <f>IF(SER_hh_tes!K4=0,0,11630*1000*SER_hh_tes!K4/SER_hh_num!K4)</f>
        <v>95151.422411957916</v>
      </c>
      <c r="L4" s="131">
        <f>IF(SER_hh_tes!L4=0,0,11630*1000*SER_hh_tes!L4/SER_hh_num!L4)</f>
        <v>102020.98969707347</v>
      </c>
      <c r="M4" s="131">
        <f>IF(SER_hh_tes!M4=0,0,11630*1000*SER_hh_tes!M4/SER_hh_num!M4)</f>
        <v>81938.490109064951</v>
      </c>
      <c r="N4" s="131">
        <f>IF(SER_hh_tes!N4=0,0,11630*1000*SER_hh_tes!N4/SER_hh_num!N4)</f>
        <v>89109.532506666088</v>
      </c>
      <c r="O4" s="131">
        <f>IF(SER_hh_tes!O4=0,0,11630*1000*SER_hh_tes!O4/SER_hh_num!O4)</f>
        <v>98417.187398410344</v>
      </c>
      <c r="P4" s="131">
        <f>IF(SER_hh_tes!P4=0,0,11630*1000*SER_hh_tes!P4/SER_hh_num!P4)</f>
        <v>75708.80639936855</v>
      </c>
      <c r="Q4" s="131">
        <f>IF(SER_hh_tes!Q4=0,0,11630*1000*SER_hh_tes!Q4/SER_hh_num!Q4)</f>
        <v>87404.732102540438</v>
      </c>
      <c r="R4" s="131">
        <f>IF(SER_hh_tes!R4=0,0,11630*1000*SER_hh_tes!R4/SER_hh_num!R4)</f>
        <v>88464.678590061681</v>
      </c>
      <c r="S4" s="131">
        <f>IF(SER_hh_tes!S4=0,0,11630*1000*SER_hh_tes!S4/SER_hh_num!S4)</f>
        <v>88390.405525056587</v>
      </c>
      <c r="T4" s="131">
        <f>IF(SER_hh_tes!T4=0,0,11630*1000*SER_hh_tes!T4/SER_hh_num!T4)</f>
        <v>89985.832362597343</v>
      </c>
      <c r="U4" s="131">
        <f>IF(SER_hh_tes!U4=0,0,11630*1000*SER_hh_tes!U4/SER_hh_num!U4)</f>
        <v>90604.363336110066</v>
      </c>
      <c r="V4" s="131">
        <f>IF(SER_hh_tes!V4=0,0,11630*1000*SER_hh_tes!V4/SER_hh_num!V4)</f>
        <v>87621.484985323492</v>
      </c>
      <c r="W4" s="131">
        <f>IF(SER_hh_tes!W4=0,0,11630*1000*SER_hh_tes!W4/SER_hh_num!W4)</f>
        <v>93578.330816955495</v>
      </c>
      <c r="DA4" s="156" t="s">
        <v>415</v>
      </c>
    </row>
    <row r="5" spans="1:105" ht="12" customHeight="1" x14ac:dyDescent="0.25">
      <c r="A5" s="132" t="s">
        <v>29</v>
      </c>
      <c r="B5" s="133">
        <f>IF(SER_hh_tes!B5=0,0,11630*1000*SER_hh_tes!B5/SER_hh_num!B5)</f>
        <v>0</v>
      </c>
      <c r="C5" s="133">
        <f>IF(SER_hh_tes!C5=0,0,11630*1000*SER_hh_tes!C5/SER_hh_num!C5)</f>
        <v>0</v>
      </c>
      <c r="D5" s="133">
        <f>IF(SER_hh_tes!D5=0,0,11630*1000*SER_hh_tes!D5/SER_hh_num!D5)</f>
        <v>0</v>
      </c>
      <c r="E5" s="133">
        <f>IF(SER_hh_tes!E5=0,0,11630*1000*SER_hh_tes!E5/SER_hh_num!E5)</f>
        <v>0</v>
      </c>
      <c r="F5" s="133">
        <f>IF(SER_hh_tes!F5=0,0,11630*1000*SER_hh_tes!F5/SER_hh_num!F5)</f>
        <v>0</v>
      </c>
      <c r="G5" s="133">
        <f>IF(SER_hh_tes!G5=0,0,11630*1000*SER_hh_tes!G5/SER_hh_num!G5)</f>
        <v>0</v>
      </c>
      <c r="H5" s="133">
        <f>IF(SER_hh_tes!H5=0,0,11630*1000*SER_hh_tes!H5/SER_hh_num!H5)</f>
        <v>0</v>
      </c>
      <c r="I5" s="133">
        <f>IF(SER_hh_tes!I5=0,0,11630*1000*SER_hh_tes!I5/SER_hh_num!I5)</f>
        <v>0</v>
      </c>
      <c r="J5" s="133">
        <f>IF(SER_hh_tes!J5=0,0,11630*1000*SER_hh_tes!J5/SER_hh_num!J5)</f>
        <v>0</v>
      </c>
      <c r="K5" s="133">
        <f>IF(SER_hh_tes!K5=0,0,11630*1000*SER_hh_tes!K5/SER_hh_num!K5)</f>
        <v>0</v>
      </c>
      <c r="L5" s="133">
        <f>IF(SER_hh_tes!L5=0,0,11630*1000*SER_hh_tes!L5/SER_hh_num!L5)</f>
        <v>0</v>
      </c>
      <c r="M5" s="133">
        <f>IF(SER_hh_tes!M5=0,0,11630*1000*SER_hh_tes!M5/SER_hh_num!M5)</f>
        <v>0</v>
      </c>
      <c r="N5" s="133">
        <f>IF(SER_hh_tes!N5=0,0,11630*1000*SER_hh_tes!N5/SER_hh_num!N5)</f>
        <v>0</v>
      </c>
      <c r="O5" s="133">
        <f>IF(SER_hh_tes!O5=0,0,11630*1000*SER_hh_tes!O5/SER_hh_num!O5)</f>
        <v>0</v>
      </c>
      <c r="P5" s="133">
        <f>IF(SER_hh_tes!P5=0,0,11630*1000*SER_hh_tes!P5/SER_hh_num!P5)</f>
        <v>0</v>
      </c>
      <c r="Q5" s="133">
        <f>IF(SER_hh_tes!Q5=0,0,11630*1000*SER_hh_tes!Q5/SER_hh_num!Q5)</f>
        <v>0</v>
      </c>
      <c r="R5" s="133">
        <f>IF(SER_hh_tes!R5=0,0,11630*1000*SER_hh_tes!R5/SER_hh_num!R5)</f>
        <v>0</v>
      </c>
      <c r="S5" s="133">
        <f>IF(SER_hh_tes!S5=0,0,11630*1000*SER_hh_tes!S5/SER_hh_num!S5)</f>
        <v>0</v>
      </c>
      <c r="T5" s="133">
        <f>IF(SER_hh_tes!T5=0,0,11630*1000*SER_hh_tes!T5/SER_hh_num!T5)</f>
        <v>0</v>
      </c>
      <c r="U5" s="133">
        <f>IF(SER_hh_tes!U5=0,0,11630*1000*SER_hh_tes!U5/SER_hh_num!U5)</f>
        <v>0</v>
      </c>
      <c r="V5" s="133">
        <f>IF(SER_hh_tes!V5=0,0,11630*1000*SER_hh_tes!V5/SER_hh_num!V5)</f>
        <v>0</v>
      </c>
      <c r="W5" s="133">
        <f>IF(SER_hh_tes!W5=0,0,11630*1000*SER_hh_tes!W5/SER_hh_num!W5)</f>
        <v>0</v>
      </c>
      <c r="DA5" s="157" t="s">
        <v>416</v>
      </c>
    </row>
    <row r="6" spans="1:105" ht="12" customHeight="1" x14ac:dyDescent="0.25">
      <c r="A6" s="132" t="s">
        <v>52</v>
      </c>
      <c r="B6" s="133">
        <f>IF(SER_hh_tes!B6=0,0,11630*1000*SER_hh_tes!B6/SER_hh_num!B6)</f>
        <v>0</v>
      </c>
      <c r="C6" s="133">
        <f>IF(SER_hh_tes!C6=0,0,11630*1000*SER_hh_tes!C6/SER_hh_num!C6)</f>
        <v>0</v>
      </c>
      <c r="D6" s="133">
        <f>IF(SER_hh_tes!D6=0,0,11630*1000*SER_hh_tes!D6/SER_hh_num!D6)</f>
        <v>0</v>
      </c>
      <c r="E6" s="133">
        <f>IF(SER_hh_tes!E6=0,0,11630*1000*SER_hh_tes!E6/SER_hh_num!E6)</f>
        <v>0</v>
      </c>
      <c r="F6" s="133">
        <f>IF(SER_hh_tes!F6=0,0,11630*1000*SER_hh_tes!F6/SER_hh_num!F6)</f>
        <v>0</v>
      </c>
      <c r="G6" s="133">
        <f>IF(SER_hh_tes!G6=0,0,11630*1000*SER_hh_tes!G6/SER_hh_num!G6)</f>
        <v>0</v>
      </c>
      <c r="H6" s="133">
        <f>IF(SER_hh_tes!H6=0,0,11630*1000*SER_hh_tes!H6/SER_hh_num!H6)</f>
        <v>0</v>
      </c>
      <c r="I6" s="133">
        <f>IF(SER_hh_tes!I6=0,0,11630*1000*SER_hh_tes!I6/SER_hh_num!I6)</f>
        <v>0</v>
      </c>
      <c r="J6" s="133">
        <f>IF(SER_hh_tes!J6=0,0,11630*1000*SER_hh_tes!J6/SER_hh_num!J6)</f>
        <v>0</v>
      </c>
      <c r="K6" s="133">
        <f>IF(SER_hh_tes!K6=0,0,11630*1000*SER_hh_tes!K6/SER_hh_num!K6)</f>
        <v>0</v>
      </c>
      <c r="L6" s="133">
        <f>IF(SER_hh_tes!L6=0,0,11630*1000*SER_hh_tes!L6/SER_hh_num!L6)</f>
        <v>0</v>
      </c>
      <c r="M6" s="133">
        <f>IF(SER_hh_tes!M6=0,0,11630*1000*SER_hh_tes!M6/SER_hh_num!M6)</f>
        <v>0</v>
      </c>
      <c r="N6" s="133">
        <f>IF(SER_hh_tes!N6=0,0,11630*1000*SER_hh_tes!N6/SER_hh_num!N6)</f>
        <v>0</v>
      </c>
      <c r="O6" s="133">
        <f>IF(SER_hh_tes!O6=0,0,11630*1000*SER_hh_tes!O6/SER_hh_num!O6)</f>
        <v>0</v>
      </c>
      <c r="P6" s="133">
        <f>IF(SER_hh_tes!P6=0,0,11630*1000*SER_hh_tes!P6/SER_hh_num!P6)</f>
        <v>0</v>
      </c>
      <c r="Q6" s="133">
        <f>IF(SER_hh_tes!Q6=0,0,11630*1000*SER_hh_tes!Q6/SER_hh_num!Q6)</f>
        <v>0</v>
      </c>
      <c r="R6" s="133">
        <f>IF(SER_hh_tes!R6=0,0,11630*1000*SER_hh_tes!R6/SER_hh_num!R6)</f>
        <v>0</v>
      </c>
      <c r="S6" s="133">
        <f>IF(SER_hh_tes!S6=0,0,11630*1000*SER_hh_tes!S6/SER_hh_num!S6)</f>
        <v>0</v>
      </c>
      <c r="T6" s="133">
        <f>IF(SER_hh_tes!T6=0,0,11630*1000*SER_hh_tes!T6/SER_hh_num!T6)</f>
        <v>0</v>
      </c>
      <c r="U6" s="133">
        <f>IF(SER_hh_tes!U6=0,0,11630*1000*SER_hh_tes!U6/SER_hh_num!U6)</f>
        <v>0</v>
      </c>
      <c r="V6" s="133">
        <f>IF(SER_hh_tes!V6=0,0,11630*1000*SER_hh_tes!V6/SER_hh_num!V6)</f>
        <v>0</v>
      </c>
      <c r="W6" s="133">
        <f>IF(SER_hh_tes!W6=0,0,11630*1000*SER_hh_tes!W6/SER_hh_num!W6)</f>
        <v>0</v>
      </c>
      <c r="DA6" s="157" t="s">
        <v>417</v>
      </c>
    </row>
    <row r="7" spans="1:105" ht="12" customHeight="1" x14ac:dyDescent="0.25">
      <c r="A7" s="132" t="s">
        <v>168</v>
      </c>
      <c r="B7" s="133">
        <f>IF(SER_hh_tes!B7=0,0,11630*1000*SER_hh_tes!B7/SER_hh_num!B7)</f>
        <v>71763.343784574812</v>
      </c>
      <c r="C7" s="133">
        <f>IF(SER_hh_tes!C7=0,0,11630*1000*SER_hh_tes!C7/SER_hh_num!C7)</f>
        <v>68001.445098333774</v>
      </c>
      <c r="D7" s="133">
        <f>IF(SER_hh_tes!D7=0,0,11630*1000*SER_hh_tes!D7/SER_hh_num!D7)</f>
        <v>87956.996727409249</v>
      </c>
      <c r="E7" s="133">
        <f>IF(SER_hh_tes!E7=0,0,11630*1000*SER_hh_tes!E7/SER_hh_num!E7)</f>
        <v>100888.53069588615</v>
      </c>
      <c r="F7" s="133">
        <f>IF(SER_hh_tes!F7=0,0,11630*1000*SER_hh_tes!F7/SER_hh_num!F7)</f>
        <v>99365.503676664404</v>
      </c>
      <c r="G7" s="133">
        <f>IF(SER_hh_tes!G7=0,0,11630*1000*SER_hh_tes!G7/SER_hh_num!G7)</f>
        <v>101807.19098759774</v>
      </c>
      <c r="H7" s="133">
        <f>IF(SER_hh_tes!H7=0,0,11630*1000*SER_hh_tes!H7/SER_hh_num!H7)</f>
        <v>90481.377380549879</v>
      </c>
      <c r="I7" s="133">
        <f>IF(SER_hh_tes!I7=0,0,11630*1000*SER_hh_tes!I7/SER_hh_num!I7)</f>
        <v>79211.008054821476</v>
      </c>
      <c r="J7" s="133">
        <f>IF(SER_hh_tes!J7=0,0,11630*1000*SER_hh_tes!J7/SER_hh_num!J7)</f>
        <v>102747.41196887166</v>
      </c>
      <c r="K7" s="133">
        <f>IF(SER_hh_tes!K7=0,0,11630*1000*SER_hh_tes!K7/SER_hh_num!K7)</f>
        <v>86331.140635838427</v>
      </c>
      <c r="L7" s="133">
        <f>IF(SER_hh_tes!L7=0,0,11630*1000*SER_hh_tes!L7/SER_hh_num!L7)</f>
        <v>99668.273143917046</v>
      </c>
      <c r="M7" s="133">
        <f>IF(SER_hh_tes!M7=0,0,11630*1000*SER_hh_tes!M7/SER_hh_num!M7)</f>
        <v>84184.849279840826</v>
      </c>
      <c r="N7" s="133">
        <f>IF(SER_hh_tes!N7=0,0,11630*1000*SER_hh_tes!N7/SER_hh_num!N7)</f>
        <v>85528.480564371028</v>
      </c>
      <c r="O7" s="133">
        <f>IF(SER_hh_tes!O7=0,0,11630*1000*SER_hh_tes!O7/SER_hh_num!O7)</f>
        <v>96342.110889909993</v>
      </c>
      <c r="P7" s="133">
        <f>IF(SER_hh_tes!P7=0,0,11630*1000*SER_hh_tes!P7/SER_hh_num!P7)</f>
        <v>73985.684279271576</v>
      </c>
      <c r="Q7" s="133">
        <f>IF(SER_hh_tes!Q7=0,0,11630*1000*SER_hh_tes!Q7/SER_hh_num!Q7)</f>
        <v>89932.655288760609</v>
      </c>
      <c r="R7" s="133">
        <f>IF(SER_hh_tes!R7=0,0,11630*1000*SER_hh_tes!R7/SER_hh_num!R7)</f>
        <v>84107.639423064582</v>
      </c>
      <c r="S7" s="133">
        <f>IF(SER_hh_tes!S7=0,0,11630*1000*SER_hh_tes!S7/SER_hh_num!S7)</f>
        <v>87293.355372326463</v>
      </c>
      <c r="T7" s="133">
        <f>IF(SER_hh_tes!T7=0,0,11630*1000*SER_hh_tes!T7/SER_hh_num!T7)</f>
        <v>88513.701578176988</v>
      </c>
      <c r="U7" s="133">
        <f>IF(SER_hh_tes!U7=0,0,11630*1000*SER_hh_tes!U7/SER_hh_num!U7)</f>
        <v>86491.777049932774</v>
      </c>
      <c r="V7" s="133">
        <f>IF(SER_hh_tes!V7=0,0,11630*1000*SER_hh_tes!V7/SER_hh_num!V7)</f>
        <v>93294.98089380798</v>
      </c>
      <c r="W7" s="133">
        <f>IF(SER_hh_tes!W7=0,0,11630*1000*SER_hh_tes!W7/SER_hh_num!W7)</f>
        <v>81039.961135520425</v>
      </c>
      <c r="DA7" s="157" t="s">
        <v>418</v>
      </c>
    </row>
    <row r="8" spans="1:105" ht="12" customHeight="1" x14ac:dyDescent="0.25">
      <c r="A8" s="132" t="s">
        <v>73</v>
      </c>
      <c r="B8" s="133">
        <f>IF(SER_hh_tes!B8=0,0,11630*1000*SER_hh_tes!B8/SER_hh_num!B8)</f>
        <v>70999.570055028322</v>
      </c>
      <c r="C8" s="133">
        <f>IF(SER_hh_tes!C8=0,0,11630*1000*SER_hh_tes!C8/SER_hh_num!C8)</f>
        <v>75602.526718846115</v>
      </c>
      <c r="D8" s="133">
        <f>IF(SER_hh_tes!D8=0,0,11630*1000*SER_hh_tes!D8/SER_hh_num!D8)</f>
        <v>78210.096074112414</v>
      </c>
      <c r="E8" s="133">
        <f>IF(SER_hh_tes!E8=0,0,11630*1000*SER_hh_tes!E8/SER_hh_num!E8)</f>
        <v>80740.584519463329</v>
      </c>
      <c r="F8" s="133">
        <f>IF(SER_hh_tes!F8=0,0,11630*1000*SER_hh_tes!F8/SER_hh_num!F8)</f>
        <v>95986.070712398519</v>
      </c>
      <c r="G8" s="133">
        <f>IF(SER_hh_tes!G8=0,0,11630*1000*SER_hh_tes!G8/SER_hh_num!G8)</f>
        <v>93661.918455798572</v>
      </c>
      <c r="H8" s="133">
        <f>IF(SER_hh_tes!H8=0,0,11630*1000*SER_hh_tes!H8/SER_hh_num!H8)</f>
        <v>94656.454222277476</v>
      </c>
      <c r="I8" s="133">
        <f>IF(SER_hh_tes!I8=0,0,11630*1000*SER_hh_tes!I8/SER_hh_num!I8)</f>
        <v>84220.520647821832</v>
      </c>
      <c r="J8" s="133">
        <f>IF(SER_hh_tes!J8=0,0,11630*1000*SER_hh_tes!J8/SER_hh_num!J8)</f>
        <v>92519.773531161423</v>
      </c>
      <c r="K8" s="133">
        <f>IF(SER_hh_tes!K8=0,0,11630*1000*SER_hh_tes!K8/SER_hh_num!K8)</f>
        <v>95433.72905434086</v>
      </c>
      <c r="L8" s="133">
        <f>IF(SER_hh_tes!L8=0,0,11630*1000*SER_hh_tes!L8/SER_hh_num!L8)</f>
        <v>96433.253480497922</v>
      </c>
      <c r="M8" s="133">
        <f>IF(SER_hh_tes!M8=0,0,11630*1000*SER_hh_tes!M8/SER_hh_num!M8)</f>
        <v>79811.920436637942</v>
      </c>
      <c r="N8" s="133">
        <f>IF(SER_hh_tes!N8=0,0,11630*1000*SER_hh_tes!N8/SER_hh_num!N8)</f>
        <v>88699.860950881572</v>
      </c>
      <c r="O8" s="133">
        <f>IF(SER_hh_tes!O8=0,0,11630*1000*SER_hh_tes!O8/SER_hh_num!O8)</f>
        <v>98893.073417395892</v>
      </c>
      <c r="P8" s="133">
        <f>IF(SER_hh_tes!P8=0,0,11630*1000*SER_hh_tes!P8/SER_hh_num!P8)</f>
        <v>76984.505703794901</v>
      </c>
      <c r="Q8" s="133">
        <f>IF(SER_hh_tes!Q8=0,0,11630*1000*SER_hh_tes!Q8/SER_hh_num!Q8)</f>
        <v>87161.16413745287</v>
      </c>
      <c r="R8" s="133">
        <f>IF(SER_hh_tes!R8=0,0,11630*1000*SER_hh_tes!R8/SER_hh_num!R8)</f>
        <v>90063.828275412787</v>
      </c>
      <c r="S8" s="133">
        <f>IF(SER_hh_tes!S8=0,0,11630*1000*SER_hh_tes!S8/SER_hh_num!S8)</f>
        <v>87437.119962602126</v>
      </c>
      <c r="T8" s="133">
        <f>IF(SER_hh_tes!T8=0,0,11630*1000*SER_hh_tes!T8/SER_hh_num!T8)</f>
        <v>87967.656091451136</v>
      </c>
      <c r="U8" s="133">
        <f>IF(SER_hh_tes!U8=0,0,11630*1000*SER_hh_tes!U8/SER_hh_num!U8)</f>
        <v>88894.066367323248</v>
      </c>
      <c r="V8" s="133">
        <f>IF(SER_hh_tes!V8=0,0,11630*1000*SER_hh_tes!V8/SER_hh_num!V8)</f>
        <v>87419.34857023845</v>
      </c>
      <c r="W8" s="133">
        <f>IF(SER_hh_tes!W8=0,0,11630*1000*SER_hh_tes!W8/SER_hh_num!W8)</f>
        <v>95763.967384810298</v>
      </c>
      <c r="DA8" s="157" t="s">
        <v>419</v>
      </c>
    </row>
    <row r="9" spans="1:105" ht="12" customHeight="1" x14ac:dyDescent="0.25">
      <c r="A9" s="132" t="s">
        <v>78</v>
      </c>
      <c r="B9" s="133">
        <f>IF(SER_hh_tes!B9=0,0,11630*1000*SER_hh_tes!B9/SER_hh_num!B9)</f>
        <v>69424.95657126655</v>
      </c>
      <c r="C9" s="133">
        <f>IF(SER_hh_tes!C9=0,0,11630*1000*SER_hh_tes!C9/SER_hh_num!C9)</f>
        <v>77822.837458033435</v>
      </c>
      <c r="D9" s="133">
        <f>IF(SER_hh_tes!D9=0,0,11630*1000*SER_hh_tes!D9/SER_hh_num!D9)</f>
        <v>73763.94449378585</v>
      </c>
      <c r="E9" s="133">
        <f>IF(SER_hh_tes!E9=0,0,11630*1000*SER_hh_tes!E9/SER_hh_num!E9)</f>
        <v>78732.795806737136</v>
      </c>
      <c r="F9" s="133">
        <f>IF(SER_hh_tes!F9=0,0,11630*1000*SER_hh_tes!F9/SER_hh_num!F9)</f>
        <v>85518.495588916485</v>
      </c>
      <c r="G9" s="133">
        <f>IF(SER_hh_tes!G9=0,0,11630*1000*SER_hh_tes!G9/SER_hh_num!G9)</f>
        <v>89439.501938641013</v>
      </c>
      <c r="H9" s="133">
        <f>IF(SER_hh_tes!H9=0,0,11630*1000*SER_hh_tes!H9/SER_hh_num!H9)</f>
        <v>90758.246412971144</v>
      </c>
      <c r="I9" s="133">
        <f>IF(SER_hh_tes!I9=0,0,11630*1000*SER_hh_tes!I9/SER_hh_num!I9)</f>
        <v>81827.320839680178</v>
      </c>
      <c r="J9" s="133">
        <f>IF(SER_hh_tes!J9=0,0,11630*1000*SER_hh_tes!J9/SER_hh_num!J9)</f>
        <v>92008.760514889873</v>
      </c>
      <c r="K9" s="133">
        <f>IF(SER_hh_tes!K9=0,0,11630*1000*SER_hh_tes!K9/SER_hh_num!K9)</f>
        <v>96134.352654466449</v>
      </c>
      <c r="L9" s="133">
        <f>IF(SER_hh_tes!L9=0,0,11630*1000*SER_hh_tes!L9/SER_hh_num!L9)</f>
        <v>102296.71633043782</v>
      </c>
      <c r="M9" s="133">
        <f>IF(SER_hh_tes!M9=0,0,11630*1000*SER_hh_tes!M9/SER_hh_num!M9)</f>
        <v>77936.638897535595</v>
      </c>
      <c r="N9" s="133">
        <f>IF(SER_hh_tes!N9=0,0,11630*1000*SER_hh_tes!N9/SER_hh_num!N9)</f>
        <v>88848.86103192548</v>
      </c>
      <c r="O9" s="133">
        <f>IF(SER_hh_tes!O9=0,0,11630*1000*SER_hh_tes!O9/SER_hh_num!O9)</f>
        <v>98474.740302306163</v>
      </c>
      <c r="P9" s="133">
        <f>IF(SER_hh_tes!P9=0,0,11630*1000*SER_hh_tes!P9/SER_hh_num!P9)</f>
        <v>73637.411496156696</v>
      </c>
      <c r="Q9" s="133">
        <f>IF(SER_hh_tes!Q9=0,0,11630*1000*SER_hh_tes!Q9/SER_hh_num!Q9)</f>
        <v>84464.704178759392</v>
      </c>
      <c r="R9" s="133">
        <f>IF(SER_hh_tes!R9=0,0,11630*1000*SER_hh_tes!R9/SER_hh_num!R9)</f>
        <v>88948.444148297684</v>
      </c>
      <c r="S9" s="133">
        <f>IF(SER_hh_tes!S9=0,0,11630*1000*SER_hh_tes!S9/SER_hh_num!S9)</f>
        <v>87766.000046704168</v>
      </c>
      <c r="T9" s="133">
        <f>IF(SER_hh_tes!T9=0,0,11630*1000*SER_hh_tes!T9/SER_hh_num!T9)</f>
        <v>89336.028218247404</v>
      </c>
      <c r="U9" s="133">
        <f>IF(SER_hh_tes!U9=0,0,11630*1000*SER_hh_tes!U9/SER_hh_num!U9)</f>
        <v>89590.218512400563</v>
      </c>
      <c r="V9" s="133">
        <f>IF(SER_hh_tes!V9=0,0,11630*1000*SER_hh_tes!V9/SER_hh_num!V9)</f>
        <v>83698.017184348573</v>
      </c>
      <c r="W9" s="133">
        <f>IF(SER_hh_tes!W9=0,0,11630*1000*SER_hh_tes!W9/SER_hh_num!W9)</f>
        <v>95514.56055679571</v>
      </c>
      <c r="DA9" s="157" t="s">
        <v>420</v>
      </c>
    </row>
    <row r="10" spans="1:105" ht="12" customHeight="1" x14ac:dyDescent="0.25">
      <c r="A10" s="132" t="s">
        <v>128</v>
      </c>
      <c r="B10" s="133">
        <f>IF(SER_hh_tes!B10=0,0,11630*1000*SER_hh_tes!B10/SER_hh_num!B10)</f>
        <v>73173.388379032316</v>
      </c>
      <c r="C10" s="133">
        <f>IF(SER_hh_tes!C10=0,0,11630*1000*SER_hh_tes!C10/SER_hh_num!C10)</f>
        <v>71191.57812480937</v>
      </c>
      <c r="D10" s="133">
        <f>IF(SER_hh_tes!D10=0,0,11630*1000*SER_hh_tes!D10/SER_hh_num!D10)</f>
        <v>5299.03879774907</v>
      </c>
      <c r="E10" s="133">
        <f>IF(SER_hh_tes!E10=0,0,11630*1000*SER_hh_tes!E10/SER_hh_num!E10)</f>
        <v>1721.5744609286592</v>
      </c>
      <c r="F10" s="133">
        <f>IF(SER_hh_tes!F10=0,0,11630*1000*SER_hh_tes!F10/SER_hh_num!F10)</f>
        <v>125852.15863894734</v>
      </c>
      <c r="G10" s="133">
        <f>IF(SER_hh_tes!G10=0,0,11630*1000*SER_hh_tes!G10/SER_hh_num!G10)</f>
        <v>111168.26289802385</v>
      </c>
      <c r="H10" s="133">
        <f>IF(SER_hh_tes!H10=0,0,11630*1000*SER_hh_tes!H10/SER_hh_num!H10)</f>
        <v>100300.35846317766</v>
      </c>
      <c r="I10" s="133">
        <f>IF(SER_hh_tes!I10=0,0,11630*1000*SER_hh_tes!I10/SER_hh_num!I10)</f>
        <v>114540.03087346119</v>
      </c>
      <c r="J10" s="133">
        <f>IF(SER_hh_tes!J10=0,0,11630*1000*SER_hh_tes!J10/SER_hh_num!J10)</f>
        <v>50074.462240789202</v>
      </c>
      <c r="K10" s="133">
        <f>IF(SER_hh_tes!K10=0,0,11630*1000*SER_hh_tes!K10/SER_hh_num!K10)</f>
        <v>26088.00185812893</v>
      </c>
      <c r="L10" s="133">
        <f>IF(SER_hh_tes!L10=0,0,11630*1000*SER_hh_tes!L10/SER_hh_num!L10)</f>
        <v>89844.361825123677</v>
      </c>
      <c r="M10" s="133">
        <f>IF(SER_hh_tes!M10=0,0,11630*1000*SER_hh_tes!M10/SER_hh_num!M10)</f>
        <v>57210.674304037275</v>
      </c>
      <c r="N10" s="133">
        <f>IF(SER_hh_tes!N10=0,0,11630*1000*SER_hh_tes!N10/SER_hh_num!N10)</f>
        <v>75579.687716808257</v>
      </c>
      <c r="O10" s="133">
        <f>IF(SER_hh_tes!O10=0,0,11630*1000*SER_hh_tes!O10/SER_hh_num!O10)</f>
        <v>100239.89151805367</v>
      </c>
      <c r="P10" s="133">
        <f>IF(SER_hh_tes!P10=0,0,11630*1000*SER_hh_tes!P10/SER_hh_num!P10)</f>
        <v>85646.632780797867</v>
      </c>
      <c r="Q10" s="133">
        <f>IF(SER_hh_tes!Q10=0,0,11630*1000*SER_hh_tes!Q10/SER_hh_num!Q10)</f>
        <v>89973.016929820747</v>
      </c>
      <c r="R10" s="133">
        <f>IF(SER_hh_tes!R10=0,0,11630*1000*SER_hh_tes!R10/SER_hh_num!R10)</f>
        <v>88453.111811268434</v>
      </c>
      <c r="S10" s="133">
        <f>IF(SER_hh_tes!S10=0,0,11630*1000*SER_hh_tes!S10/SER_hh_num!S10)</f>
        <v>86825.384740054404</v>
      </c>
      <c r="T10" s="133">
        <f>IF(SER_hh_tes!T10=0,0,11630*1000*SER_hh_tes!T10/SER_hh_num!T10)</f>
        <v>87351.091729038249</v>
      </c>
      <c r="U10" s="133">
        <f>IF(SER_hh_tes!U10=0,0,11630*1000*SER_hh_tes!U10/SER_hh_num!U10)</f>
        <v>91976.47644518876</v>
      </c>
      <c r="V10" s="133">
        <f>IF(SER_hh_tes!V10=0,0,11630*1000*SER_hh_tes!V10/SER_hh_num!V10)</f>
        <v>90672.904865659366</v>
      </c>
      <c r="W10" s="133">
        <f>IF(SER_hh_tes!W10=0,0,11630*1000*SER_hh_tes!W10/SER_hh_num!W10)</f>
        <v>87453.384581547522</v>
      </c>
      <c r="DA10" s="157" t="s">
        <v>421</v>
      </c>
    </row>
    <row r="11" spans="1:105" ht="12" customHeight="1" x14ac:dyDescent="0.25">
      <c r="A11" s="132" t="s">
        <v>25</v>
      </c>
      <c r="B11" s="133">
        <f>IF(SER_hh_tes!B11=0,0,11630*1000*SER_hh_tes!B11/SER_hh_num!B11)</f>
        <v>0</v>
      </c>
      <c r="C11" s="133">
        <f>IF(SER_hh_tes!C11=0,0,11630*1000*SER_hh_tes!C11/SER_hh_num!C11)</f>
        <v>0</v>
      </c>
      <c r="D11" s="133">
        <f>IF(SER_hh_tes!D11=0,0,11630*1000*SER_hh_tes!D11/SER_hh_num!D11)</f>
        <v>0</v>
      </c>
      <c r="E11" s="133">
        <f>IF(SER_hh_tes!E11=0,0,11630*1000*SER_hh_tes!E11/SER_hh_num!E11)</f>
        <v>0</v>
      </c>
      <c r="F11" s="133">
        <f>IF(SER_hh_tes!F11=0,0,11630*1000*SER_hh_tes!F11/SER_hh_num!F11)</f>
        <v>0</v>
      </c>
      <c r="G11" s="133">
        <f>IF(SER_hh_tes!G11=0,0,11630*1000*SER_hh_tes!G11/SER_hh_num!G11)</f>
        <v>0</v>
      </c>
      <c r="H11" s="133">
        <f>IF(SER_hh_tes!H11=0,0,11630*1000*SER_hh_tes!H11/SER_hh_num!H11)</f>
        <v>0</v>
      </c>
      <c r="I11" s="133">
        <f>IF(SER_hh_tes!I11=0,0,11630*1000*SER_hh_tes!I11/SER_hh_num!I11)</f>
        <v>0</v>
      </c>
      <c r="J11" s="133">
        <f>IF(SER_hh_tes!J11=0,0,11630*1000*SER_hh_tes!J11/SER_hh_num!J11)</f>
        <v>0</v>
      </c>
      <c r="K11" s="133">
        <f>IF(SER_hh_tes!K11=0,0,11630*1000*SER_hh_tes!K11/SER_hh_num!K11)</f>
        <v>0</v>
      </c>
      <c r="L11" s="133">
        <f>IF(SER_hh_tes!L11=0,0,11630*1000*SER_hh_tes!L11/SER_hh_num!L11)</f>
        <v>0</v>
      </c>
      <c r="M11" s="133">
        <f>IF(SER_hh_tes!M11=0,0,11630*1000*SER_hh_tes!M11/SER_hh_num!M11)</f>
        <v>0</v>
      </c>
      <c r="N11" s="133">
        <f>IF(SER_hh_tes!N11=0,0,11630*1000*SER_hh_tes!N11/SER_hh_num!N11)</f>
        <v>0</v>
      </c>
      <c r="O11" s="133">
        <f>IF(SER_hh_tes!O11=0,0,11630*1000*SER_hh_tes!O11/SER_hh_num!O11)</f>
        <v>0</v>
      </c>
      <c r="P11" s="133">
        <f>IF(SER_hh_tes!P11=0,0,11630*1000*SER_hh_tes!P11/SER_hh_num!P11)</f>
        <v>0</v>
      </c>
      <c r="Q11" s="133">
        <f>IF(SER_hh_tes!Q11=0,0,11630*1000*SER_hh_tes!Q11/SER_hh_num!Q11)</f>
        <v>0</v>
      </c>
      <c r="R11" s="133">
        <f>IF(SER_hh_tes!R11=0,0,11630*1000*SER_hh_tes!R11/SER_hh_num!R11)</f>
        <v>0</v>
      </c>
      <c r="S11" s="133">
        <f>IF(SER_hh_tes!S11=0,0,11630*1000*SER_hh_tes!S11/SER_hh_num!S11)</f>
        <v>0</v>
      </c>
      <c r="T11" s="133">
        <f>IF(SER_hh_tes!T11=0,0,11630*1000*SER_hh_tes!T11/SER_hh_num!T11)</f>
        <v>0</v>
      </c>
      <c r="U11" s="133">
        <f>IF(SER_hh_tes!U11=0,0,11630*1000*SER_hh_tes!U11/SER_hh_num!U11)</f>
        <v>0</v>
      </c>
      <c r="V11" s="133">
        <f>IF(SER_hh_tes!V11=0,0,11630*1000*SER_hh_tes!V11/SER_hh_num!V11)</f>
        <v>0</v>
      </c>
      <c r="W11" s="133">
        <f>IF(SER_hh_tes!W11=0,0,11630*1000*SER_hh_tes!W11/SER_hh_num!W11)</f>
        <v>0</v>
      </c>
      <c r="DA11" s="157" t="s">
        <v>422</v>
      </c>
    </row>
    <row r="12" spans="1:105" ht="12" customHeight="1" x14ac:dyDescent="0.25">
      <c r="A12" s="132" t="s">
        <v>169</v>
      </c>
      <c r="B12" s="133">
        <f>IF(SER_hh_tes!B12=0,0,11630*1000*SER_hh_tes!B12/SER_hh_num!B12)</f>
        <v>74171.095520718532</v>
      </c>
      <c r="C12" s="133">
        <f>IF(SER_hh_tes!C12=0,0,11630*1000*SER_hh_tes!C12/SER_hh_num!C12)</f>
        <v>75623.874438361498</v>
      </c>
      <c r="D12" s="133">
        <f>IF(SER_hh_tes!D12=0,0,11630*1000*SER_hh_tes!D12/SER_hh_num!D12)</f>
        <v>76882.451543713236</v>
      </c>
      <c r="E12" s="133">
        <f>IF(SER_hh_tes!E12=0,0,11630*1000*SER_hh_tes!E12/SER_hh_num!E12)</f>
        <v>79371.48032960319</v>
      </c>
      <c r="F12" s="133">
        <f>IF(SER_hh_tes!F12=0,0,11630*1000*SER_hh_tes!F12/SER_hh_num!F12)</f>
        <v>95495.999096320855</v>
      </c>
      <c r="G12" s="133">
        <f>IF(SER_hh_tes!G12=0,0,11630*1000*SER_hh_tes!G12/SER_hh_num!G12)</f>
        <v>87566.617659719472</v>
      </c>
      <c r="H12" s="133">
        <f>IF(SER_hh_tes!H12=0,0,11630*1000*SER_hh_tes!H12/SER_hh_num!H12)</f>
        <v>99997.482135522878</v>
      </c>
      <c r="I12" s="133">
        <f>IF(SER_hh_tes!I12=0,0,11630*1000*SER_hh_tes!I12/SER_hh_num!I12)</f>
        <v>109942.43468442334</v>
      </c>
      <c r="J12" s="133">
        <f>IF(SER_hh_tes!J12=0,0,11630*1000*SER_hh_tes!J12/SER_hh_num!J12)</f>
        <v>69017.465359871756</v>
      </c>
      <c r="K12" s="133">
        <f>IF(SER_hh_tes!K12=0,0,11630*1000*SER_hh_tes!K12/SER_hh_num!K12)</f>
        <v>81883.122465021137</v>
      </c>
      <c r="L12" s="133">
        <f>IF(SER_hh_tes!L12=0,0,11630*1000*SER_hh_tes!L12/SER_hh_num!L12)</f>
        <v>103828.633442702</v>
      </c>
      <c r="M12" s="133">
        <f>IF(SER_hh_tes!M12=0,0,11630*1000*SER_hh_tes!M12/SER_hh_num!M12)</f>
        <v>87517.226029436482</v>
      </c>
      <c r="N12" s="133">
        <f>IF(SER_hh_tes!N12=0,0,11630*1000*SER_hh_tes!N12/SER_hh_num!N12)</f>
        <v>83740.147948252983</v>
      </c>
      <c r="O12" s="133">
        <f>IF(SER_hh_tes!O12=0,0,11630*1000*SER_hh_tes!O12/SER_hh_num!O12)</f>
        <v>72673.054491796196</v>
      </c>
      <c r="P12" s="133">
        <f>IF(SER_hh_tes!P12=0,0,11630*1000*SER_hh_tes!P12/SER_hh_num!P12)</f>
        <v>89375.761166586322</v>
      </c>
      <c r="Q12" s="133">
        <f>IF(SER_hh_tes!Q12=0,0,11630*1000*SER_hh_tes!Q12/SER_hh_num!Q12)</f>
        <v>95194.730225527674</v>
      </c>
      <c r="R12" s="133">
        <f>IF(SER_hh_tes!R12=0,0,11630*1000*SER_hh_tes!R12/SER_hh_num!R12)</f>
        <v>87677.20337482421</v>
      </c>
      <c r="S12" s="133">
        <f>IF(SER_hh_tes!S12=0,0,11630*1000*SER_hh_tes!S12/SER_hh_num!S12)</f>
        <v>82192.580752740789</v>
      </c>
      <c r="T12" s="133">
        <f>IF(SER_hh_tes!T12=0,0,11630*1000*SER_hh_tes!T12/SER_hh_num!T12)</f>
        <v>88057.280325865329</v>
      </c>
      <c r="U12" s="133">
        <f>IF(SER_hh_tes!U12=0,0,11630*1000*SER_hh_tes!U12/SER_hh_num!U12)</f>
        <v>84746.714192593034</v>
      </c>
      <c r="V12" s="133">
        <f>IF(SER_hh_tes!V12=0,0,11630*1000*SER_hh_tes!V12/SER_hh_num!V12)</f>
        <v>91163.504169243301</v>
      </c>
      <c r="W12" s="133">
        <f>IF(SER_hh_tes!W12=0,0,11630*1000*SER_hh_tes!W12/SER_hh_num!W12)</f>
        <v>93980.445467618832</v>
      </c>
      <c r="DA12" s="157" t="s">
        <v>423</v>
      </c>
    </row>
    <row r="13" spans="1:105" ht="12" customHeight="1" x14ac:dyDescent="0.25">
      <c r="A13" s="132" t="s">
        <v>77</v>
      </c>
      <c r="B13" s="133">
        <f>IF(SER_hh_tes!B13=0,0,11630*1000*SER_hh_tes!B13/SER_hh_num!B13)</f>
        <v>63233.754191630745</v>
      </c>
      <c r="C13" s="133">
        <f>IF(SER_hh_tes!C13=0,0,11630*1000*SER_hh_tes!C13/SER_hh_num!C13)</f>
        <v>81381.399776979277</v>
      </c>
      <c r="D13" s="133">
        <f>IF(SER_hh_tes!D13=0,0,11630*1000*SER_hh_tes!D13/SER_hh_num!D13)</f>
        <v>78265.058175409329</v>
      </c>
      <c r="E13" s="133">
        <f>IF(SER_hh_tes!E13=0,0,11630*1000*SER_hh_tes!E13/SER_hh_num!E13)</f>
        <v>70935.753992466824</v>
      </c>
      <c r="F13" s="133">
        <f>IF(SER_hh_tes!F13=0,0,11630*1000*SER_hh_tes!F13/SER_hh_num!F13)</f>
        <v>36070.297043866922</v>
      </c>
      <c r="G13" s="133">
        <f>IF(SER_hh_tes!G13=0,0,11630*1000*SER_hh_tes!G13/SER_hh_num!G13)</f>
        <v>27295.423893428058</v>
      </c>
      <c r="H13" s="133">
        <f>IF(SER_hh_tes!H13=0,0,11630*1000*SER_hh_tes!H13/SER_hh_num!H13)</f>
        <v>98540.351338955588</v>
      </c>
      <c r="I13" s="133">
        <f>IF(SER_hh_tes!I13=0,0,11630*1000*SER_hh_tes!I13/SER_hh_num!I13)</f>
        <v>93226.84888061558</v>
      </c>
      <c r="J13" s="133">
        <f>IF(SER_hh_tes!J13=0,0,11630*1000*SER_hh_tes!J13/SER_hh_num!J13)</f>
        <v>96374.986270636626</v>
      </c>
      <c r="K13" s="133">
        <f>IF(SER_hh_tes!K13=0,0,11630*1000*SER_hh_tes!K13/SER_hh_num!K13)</f>
        <v>98192.48547356877</v>
      </c>
      <c r="L13" s="133">
        <f>IF(SER_hh_tes!L13=0,0,11630*1000*SER_hh_tes!L13/SER_hh_num!L13)</f>
        <v>91849.595285960007</v>
      </c>
      <c r="M13" s="133">
        <f>IF(SER_hh_tes!M13=0,0,11630*1000*SER_hh_tes!M13/SER_hh_num!M13)</f>
        <v>86186.380320359298</v>
      </c>
      <c r="N13" s="133">
        <f>IF(SER_hh_tes!N13=0,0,11630*1000*SER_hh_tes!N13/SER_hh_num!N13)</f>
        <v>88094.619398916489</v>
      </c>
      <c r="O13" s="133">
        <f>IF(SER_hh_tes!O13=0,0,11630*1000*SER_hh_tes!O13/SER_hh_num!O13)</f>
        <v>95618.971534175857</v>
      </c>
      <c r="P13" s="133">
        <f>IF(SER_hh_tes!P13=0,0,11630*1000*SER_hh_tes!P13/SER_hh_num!P13)</f>
        <v>81605.004000161221</v>
      </c>
      <c r="Q13" s="133">
        <f>IF(SER_hh_tes!Q13=0,0,11630*1000*SER_hh_tes!Q13/SER_hh_num!Q13)</f>
        <v>80866.476887435361</v>
      </c>
      <c r="R13" s="133">
        <f>IF(SER_hh_tes!R13=0,0,11630*1000*SER_hh_tes!R13/SER_hh_num!R13)</f>
        <v>75487.578680722989</v>
      </c>
      <c r="S13" s="133">
        <f>IF(SER_hh_tes!S13=0,0,11630*1000*SER_hh_tes!S13/SER_hh_num!S13)</f>
        <v>57356.598870057831</v>
      </c>
      <c r="T13" s="133">
        <f>IF(SER_hh_tes!T13=0,0,11630*1000*SER_hh_tes!T13/SER_hh_num!T13)</f>
        <v>88051.12596343676</v>
      </c>
      <c r="U13" s="133">
        <f>IF(SER_hh_tes!U13=0,0,11630*1000*SER_hh_tes!U13/SER_hh_num!U13)</f>
        <v>86895.343162412129</v>
      </c>
      <c r="V13" s="133">
        <f>IF(SER_hh_tes!V13=0,0,11630*1000*SER_hh_tes!V13/SER_hh_num!V13)</f>
        <v>78926.974847972844</v>
      </c>
      <c r="W13" s="133">
        <f>IF(SER_hh_tes!W13=0,0,11630*1000*SER_hh_tes!W13/SER_hh_num!W13)</f>
        <v>107715.31849599027</v>
      </c>
      <c r="DA13" s="157" t="s">
        <v>424</v>
      </c>
    </row>
    <row r="14" spans="1:105" ht="12" customHeight="1" x14ac:dyDescent="0.25">
      <c r="A14" s="60" t="s">
        <v>76</v>
      </c>
      <c r="B14" s="65">
        <f>IF(SER_hh_tes!B14=0,0,11630*1000*SER_hh_tes!B14/SER_hh_num!B14)</f>
        <v>84113.252780092225</v>
      </c>
      <c r="C14" s="65">
        <f>IF(SER_hh_tes!C14=0,0,11630*1000*SER_hh_tes!C14/SER_hh_num!C14)</f>
        <v>89368.266775219003</v>
      </c>
      <c r="D14" s="65">
        <f>IF(SER_hh_tes!D14=0,0,11630*1000*SER_hh_tes!D14/SER_hh_num!D14)</f>
        <v>23457.221223350058</v>
      </c>
      <c r="E14" s="65">
        <f>IF(SER_hh_tes!E14=0,0,11630*1000*SER_hh_tes!E14/SER_hh_num!E14)</f>
        <v>3271.4201387177582</v>
      </c>
      <c r="F14" s="65">
        <f>IF(SER_hh_tes!F14=0,0,11630*1000*SER_hh_tes!F14/SER_hh_num!F14)</f>
        <v>141064.08483373685</v>
      </c>
      <c r="G14" s="65">
        <f>IF(SER_hh_tes!G14=0,0,11630*1000*SER_hh_tes!G14/SER_hh_num!G14)</f>
        <v>112107.74307923518</v>
      </c>
      <c r="H14" s="65">
        <f>IF(SER_hh_tes!H14=0,0,11630*1000*SER_hh_tes!H14/SER_hh_num!H14)</f>
        <v>92310.325198551043</v>
      </c>
      <c r="I14" s="65">
        <f>IF(SER_hh_tes!I14=0,0,11630*1000*SER_hh_tes!I14/SER_hh_num!I14)</f>
        <v>88689.179928684622</v>
      </c>
      <c r="J14" s="65">
        <f>IF(SER_hh_tes!J14=0,0,11630*1000*SER_hh_tes!J14/SER_hh_num!J14)</f>
        <v>93588.702446369323</v>
      </c>
      <c r="K14" s="65">
        <f>IF(SER_hh_tes!K14=0,0,11630*1000*SER_hh_tes!K14/SER_hh_num!K14)</f>
        <v>99032.070123921105</v>
      </c>
      <c r="L14" s="65">
        <f>IF(SER_hh_tes!L14=0,0,11630*1000*SER_hh_tes!L14/SER_hh_num!L14)</f>
        <v>97396.716956616947</v>
      </c>
      <c r="M14" s="65">
        <f>IF(SER_hh_tes!M14=0,0,11630*1000*SER_hh_tes!M14/SER_hh_num!M14)</f>
        <v>84835.183729782584</v>
      </c>
      <c r="N14" s="65">
        <f>IF(SER_hh_tes!N14=0,0,11630*1000*SER_hh_tes!N14/SER_hh_num!N14)</f>
        <v>89191.496409440442</v>
      </c>
      <c r="O14" s="65">
        <f>IF(SER_hh_tes!O14=0,0,11630*1000*SER_hh_tes!O14/SER_hh_num!O14)</f>
        <v>95952.536210593986</v>
      </c>
      <c r="P14" s="65">
        <f>IF(SER_hh_tes!P14=0,0,11630*1000*SER_hh_tes!P14/SER_hh_num!P14)</f>
        <v>76825.909792075472</v>
      </c>
      <c r="Q14" s="65">
        <f>IF(SER_hh_tes!Q14=0,0,11630*1000*SER_hh_tes!Q14/SER_hh_num!Q14)</f>
        <v>84776.514348565048</v>
      </c>
      <c r="R14" s="65">
        <f>IF(SER_hh_tes!R14=0,0,11630*1000*SER_hh_tes!R14/SER_hh_num!R14)</f>
        <v>85157.408631881568</v>
      </c>
      <c r="S14" s="65">
        <f>IF(SER_hh_tes!S14=0,0,11630*1000*SER_hh_tes!S14/SER_hh_num!S14)</f>
        <v>86032.083576603414</v>
      </c>
      <c r="T14" s="65">
        <f>IF(SER_hh_tes!T14=0,0,11630*1000*SER_hh_tes!T14/SER_hh_num!T14)</f>
        <v>86630.236193497141</v>
      </c>
      <c r="U14" s="65">
        <f>IF(SER_hh_tes!U14=0,0,11630*1000*SER_hh_tes!U14/SER_hh_num!U14)</f>
        <v>94857.494620232726</v>
      </c>
      <c r="V14" s="65">
        <f>IF(SER_hh_tes!V14=0,0,11630*1000*SER_hh_tes!V14/SER_hh_num!V14)</f>
        <v>87242.996657007898</v>
      </c>
      <c r="W14" s="65">
        <f>IF(SER_hh_tes!W14=0,0,11630*1000*SER_hh_tes!W14/SER_hh_num!W14)</f>
        <v>93808.398457202973</v>
      </c>
      <c r="DA14" s="109" t="s">
        <v>425</v>
      </c>
    </row>
    <row r="15" spans="1:105" ht="12" customHeight="1" x14ac:dyDescent="0.25">
      <c r="A15" s="134" t="s">
        <v>80</v>
      </c>
      <c r="B15" s="135">
        <f>IF(SER_hh_tes!B15=0,0,11630*1000*SER_hh_tes!B15/SER_hh_num!B15)</f>
        <v>1370.236393854424</v>
      </c>
      <c r="C15" s="135">
        <f>IF(SER_hh_tes!C15=0,0,11630*1000*SER_hh_tes!C15/SER_hh_num!C15)</f>
        <v>1425.7333803817942</v>
      </c>
      <c r="D15" s="135">
        <f>IF(SER_hh_tes!D15=0,0,11630*1000*SER_hh_tes!D15/SER_hh_num!D15)</f>
        <v>1490.1793566705019</v>
      </c>
      <c r="E15" s="135">
        <f>IF(SER_hh_tes!E15=0,0,11630*1000*SER_hh_tes!E15/SER_hh_num!E15)</f>
        <v>1607.8927893025684</v>
      </c>
      <c r="F15" s="135">
        <f>IF(SER_hh_tes!F15=0,0,11630*1000*SER_hh_tes!F15/SER_hh_num!F15)</f>
        <v>1648.0151555838086</v>
      </c>
      <c r="G15" s="135">
        <f>IF(SER_hh_tes!G15=0,0,11630*1000*SER_hh_tes!G15/SER_hh_num!G15)</f>
        <v>1680.2674587499901</v>
      </c>
      <c r="H15" s="135">
        <f>IF(SER_hh_tes!H15=0,0,11630*1000*SER_hh_tes!H15/SER_hh_num!H15)</f>
        <v>1584.4273496831856</v>
      </c>
      <c r="I15" s="135">
        <f>IF(SER_hh_tes!I15=0,0,11630*1000*SER_hh_tes!I15/SER_hh_num!I15)</f>
        <v>1396.5239097610913</v>
      </c>
      <c r="J15" s="135">
        <f>IF(SER_hh_tes!J15=0,0,11630*1000*SER_hh_tes!J15/SER_hh_num!J15)</f>
        <v>1634.0902227344673</v>
      </c>
      <c r="K15" s="135">
        <f>IF(SER_hh_tes!K15=0,0,11630*1000*SER_hh_tes!K15/SER_hh_num!K15)</f>
        <v>1566.2109627135615</v>
      </c>
      <c r="L15" s="135">
        <f>IF(SER_hh_tes!L15=0,0,11630*1000*SER_hh_tes!L15/SER_hh_num!L15)</f>
        <v>1695.4890435858417</v>
      </c>
      <c r="M15" s="135">
        <f>IF(SER_hh_tes!M15=0,0,11630*1000*SER_hh_tes!M15/SER_hh_num!M15)</f>
        <v>1319.0367095222373</v>
      </c>
      <c r="N15" s="135">
        <f>IF(SER_hh_tes!N15=0,0,11630*1000*SER_hh_tes!N15/SER_hh_num!N15)</f>
        <v>1431.5452107135382</v>
      </c>
      <c r="O15" s="135">
        <f>IF(SER_hh_tes!O15=0,0,11630*1000*SER_hh_tes!O15/SER_hh_num!O15)</f>
        <v>1574.1004385841024</v>
      </c>
      <c r="P15" s="135">
        <f>IF(SER_hh_tes!P15=0,0,11630*1000*SER_hh_tes!P15/SER_hh_num!P15)</f>
        <v>1175.9692647565516</v>
      </c>
      <c r="Q15" s="135">
        <f>IF(SER_hh_tes!Q15=0,0,11630*1000*SER_hh_tes!Q15/SER_hh_num!Q15)</f>
        <v>1359.9457506671044</v>
      </c>
      <c r="R15" s="135">
        <f>IF(SER_hh_tes!R15=0,0,11630*1000*SER_hh_tes!R15/SER_hh_num!R15)</f>
        <v>1374.0885992731817</v>
      </c>
      <c r="S15" s="135">
        <f>IF(SER_hh_tes!S15=0,0,11630*1000*SER_hh_tes!S15/SER_hh_num!S15)</f>
        <v>1370.2713365811794</v>
      </c>
      <c r="T15" s="135">
        <f>IF(SER_hh_tes!T15=0,0,11630*1000*SER_hh_tes!T15/SER_hh_num!T15)</f>
        <v>1387.0529995106508</v>
      </c>
      <c r="U15" s="135">
        <f>IF(SER_hh_tes!U15=0,0,11630*1000*SER_hh_tes!U15/SER_hh_num!U15)</f>
        <v>1373.5479215425141</v>
      </c>
      <c r="V15" s="135">
        <f>IF(SER_hh_tes!V15=0,0,11630*1000*SER_hh_tes!V15/SER_hh_num!V15)</f>
        <v>1328.7233834154679</v>
      </c>
      <c r="W15" s="135">
        <f>IF(SER_hh_tes!W15=0,0,11630*1000*SER_hh_tes!W15/SER_hh_num!W15)</f>
        <v>1407.0249736433486</v>
      </c>
      <c r="DA15" s="158" t="s">
        <v>426</v>
      </c>
    </row>
    <row r="16" spans="1:105" ht="12.95" customHeight="1" x14ac:dyDescent="0.25">
      <c r="A16" s="130" t="s">
        <v>74</v>
      </c>
      <c r="B16" s="131">
        <f>IF(SER_hh_tes!B16=0,0,11630*1000*SER_hh_tes!B16/SER_hh_num!B16)</f>
        <v>27620.358562296762</v>
      </c>
      <c r="C16" s="131">
        <f>IF(SER_hh_tes!C16=0,0,11630*1000*SER_hh_tes!C16/SER_hh_num!C16)</f>
        <v>28471.581660903707</v>
      </c>
      <c r="D16" s="131">
        <f>IF(SER_hh_tes!D16=0,0,11630*1000*SER_hh_tes!D16/SER_hh_num!D16)</f>
        <v>28346.491595003848</v>
      </c>
      <c r="E16" s="131">
        <f>IF(SER_hh_tes!E16=0,0,11630*1000*SER_hh_tes!E16/SER_hh_num!E16)</f>
        <v>36179.374903998149</v>
      </c>
      <c r="F16" s="131">
        <f>IF(SER_hh_tes!F16=0,0,11630*1000*SER_hh_tes!F16/SER_hh_num!F16)</f>
        <v>28009.981534414292</v>
      </c>
      <c r="G16" s="131">
        <f>IF(SER_hh_tes!G16=0,0,11630*1000*SER_hh_tes!G16/SER_hh_num!G16)</f>
        <v>28539.32895450803</v>
      </c>
      <c r="H16" s="131">
        <f>IF(SER_hh_tes!H16=0,0,11630*1000*SER_hh_tes!H16/SER_hh_num!H16)</f>
        <v>35795.812474164682</v>
      </c>
      <c r="I16" s="131">
        <f>IF(SER_hh_tes!I16=0,0,11630*1000*SER_hh_tes!I16/SER_hh_num!I16)</f>
        <v>28043.133893693677</v>
      </c>
      <c r="J16" s="131">
        <f>IF(SER_hh_tes!J16=0,0,11630*1000*SER_hh_tes!J16/SER_hh_num!J16)</f>
        <v>28369.374164120316</v>
      </c>
      <c r="K16" s="131">
        <f>IF(SER_hh_tes!K16=0,0,11630*1000*SER_hh_tes!K16/SER_hh_num!K16)</f>
        <v>28861.901517715545</v>
      </c>
      <c r="L16" s="131">
        <f>IF(SER_hh_tes!L16=0,0,11630*1000*SER_hh_tes!L16/SER_hh_num!L16)</f>
        <v>30806.354387565079</v>
      </c>
      <c r="M16" s="131">
        <f>IF(SER_hh_tes!M16=0,0,11630*1000*SER_hh_tes!M16/SER_hh_num!M16)</f>
        <v>29051.879735239952</v>
      </c>
      <c r="N16" s="131">
        <f>IF(SER_hh_tes!N16=0,0,11630*1000*SER_hh_tes!N16/SER_hh_num!N16)</f>
        <v>29569.563303168183</v>
      </c>
      <c r="O16" s="131">
        <f>IF(SER_hh_tes!O16=0,0,11630*1000*SER_hh_tes!O16/SER_hh_num!O16)</f>
        <v>30078.499581501565</v>
      </c>
      <c r="P16" s="131">
        <f>IF(SER_hh_tes!P16=0,0,11630*1000*SER_hh_tes!P16/SER_hh_num!P16)</f>
        <v>29210.239311359728</v>
      </c>
      <c r="Q16" s="131">
        <f>IF(SER_hh_tes!Q16=0,0,11630*1000*SER_hh_tes!Q16/SER_hh_num!Q16)</f>
        <v>33071.810422509639</v>
      </c>
      <c r="R16" s="131">
        <f>IF(SER_hh_tes!R16=0,0,11630*1000*SER_hh_tes!R16/SER_hh_num!R16)</f>
        <v>32183.754992352533</v>
      </c>
      <c r="S16" s="131">
        <f>IF(SER_hh_tes!S16=0,0,11630*1000*SER_hh_tes!S16/SER_hh_num!S16)</f>
        <v>30647.13445551</v>
      </c>
      <c r="T16" s="131">
        <f>IF(SER_hh_tes!T16=0,0,11630*1000*SER_hh_tes!T16/SER_hh_num!T16)</f>
        <v>35112.997142968321</v>
      </c>
      <c r="U16" s="131">
        <f>IF(SER_hh_tes!U16=0,0,11630*1000*SER_hh_tes!U16/SER_hh_num!U16)</f>
        <v>33981.846186515562</v>
      </c>
      <c r="V16" s="131">
        <f>IF(SER_hh_tes!V16=0,0,11630*1000*SER_hh_tes!V16/SER_hh_num!V16)</f>
        <v>38847.533752729905</v>
      </c>
      <c r="W16" s="131">
        <f>IF(SER_hh_tes!W16=0,0,11630*1000*SER_hh_tes!W16/SER_hh_num!W16)</f>
        <v>29830.198539409106</v>
      </c>
      <c r="DA16" s="156" t="s">
        <v>427</v>
      </c>
    </row>
    <row r="17" spans="1:105" ht="12.95" customHeight="1" x14ac:dyDescent="0.25">
      <c r="A17" s="132" t="s">
        <v>73</v>
      </c>
      <c r="B17" s="133">
        <f>IF(SER_hh_tes!B17=0,0,11630*1000*SER_hh_tes!B17/SER_hh_num!B17)</f>
        <v>27620.358562296766</v>
      </c>
      <c r="C17" s="133">
        <f>IF(SER_hh_tes!C17=0,0,11630*1000*SER_hh_tes!C17/SER_hh_num!C17)</f>
        <v>28471.577559571379</v>
      </c>
      <c r="D17" s="133">
        <f>IF(SER_hh_tes!D17=0,0,11630*1000*SER_hh_tes!D17/SER_hh_num!D17)</f>
        <v>28346.494502598383</v>
      </c>
      <c r="E17" s="133">
        <f>IF(SER_hh_tes!E17=0,0,11630*1000*SER_hh_tes!E17/SER_hh_num!E17)</f>
        <v>36179.376440129097</v>
      </c>
      <c r="F17" s="133">
        <f>IF(SER_hh_tes!F17=0,0,11630*1000*SER_hh_tes!F17/SER_hh_num!F17)</f>
        <v>28009.981494650936</v>
      </c>
      <c r="G17" s="133">
        <f>IF(SER_hh_tes!G17=0,0,11630*1000*SER_hh_tes!G17/SER_hh_num!G17)</f>
        <v>28539.328222232241</v>
      </c>
      <c r="H17" s="133">
        <f>IF(SER_hh_tes!H17=0,0,11630*1000*SER_hh_tes!H17/SER_hh_num!H17)</f>
        <v>35795.811534227258</v>
      </c>
      <c r="I17" s="133">
        <f>IF(SER_hh_tes!I17=0,0,11630*1000*SER_hh_tes!I17/SER_hh_num!I17)</f>
        <v>28043.133458825861</v>
      </c>
      <c r="J17" s="133">
        <f>IF(SER_hh_tes!J17=0,0,11630*1000*SER_hh_tes!J17/SER_hh_num!J17)</f>
        <v>28369.37403165859</v>
      </c>
      <c r="K17" s="133">
        <f>IF(SER_hh_tes!K17=0,0,11630*1000*SER_hh_tes!K17/SER_hh_num!K17)</f>
        <v>28861.901716662131</v>
      </c>
      <c r="L17" s="133">
        <f>IF(SER_hh_tes!L17=0,0,11630*1000*SER_hh_tes!L17/SER_hh_num!L17)</f>
        <v>30806.354887244237</v>
      </c>
      <c r="M17" s="133">
        <f>IF(SER_hh_tes!M17=0,0,11630*1000*SER_hh_tes!M17/SER_hh_num!M17)</f>
        <v>29051.880343227713</v>
      </c>
      <c r="N17" s="133">
        <f>IF(SER_hh_tes!N17=0,0,11630*1000*SER_hh_tes!N17/SER_hh_num!N17)</f>
        <v>29569.565707070509</v>
      </c>
      <c r="O17" s="133">
        <f>IF(SER_hh_tes!O17=0,0,11630*1000*SER_hh_tes!O17/SER_hh_num!O17)</f>
        <v>30078.500513587322</v>
      </c>
      <c r="P17" s="133">
        <f>IF(SER_hh_tes!P17=0,0,11630*1000*SER_hh_tes!P17/SER_hh_num!P17)</f>
        <v>29210.238108874055</v>
      </c>
      <c r="Q17" s="133">
        <f>IF(SER_hh_tes!Q17=0,0,11630*1000*SER_hh_tes!Q17/SER_hh_num!Q17)</f>
        <v>33071.806178570907</v>
      </c>
      <c r="R17" s="133">
        <f>IF(SER_hh_tes!R17=0,0,11630*1000*SER_hh_tes!R17/SER_hh_num!R17)</f>
        <v>32183.749731484357</v>
      </c>
      <c r="S17" s="133">
        <f>IF(SER_hh_tes!S17=0,0,11630*1000*SER_hh_tes!S17/SER_hh_num!S17)</f>
        <v>30647.129932743195</v>
      </c>
      <c r="T17" s="133">
        <f>IF(SER_hh_tes!T17=0,0,11630*1000*SER_hh_tes!T17/SER_hh_num!T17)</f>
        <v>35112.993924340954</v>
      </c>
      <c r="U17" s="133">
        <f>IF(SER_hh_tes!U17=0,0,11630*1000*SER_hh_tes!U17/SER_hh_num!U17)</f>
        <v>33981.845516278161</v>
      </c>
      <c r="V17" s="133">
        <f>IF(SER_hh_tes!V17=0,0,11630*1000*SER_hh_tes!V17/SER_hh_num!V17)</f>
        <v>38418.914219558188</v>
      </c>
      <c r="W17" s="133">
        <f>IF(SER_hh_tes!W17=0,0,11630*1000*SER_hh_tes!W17/SER_hh_num!W17)</f>
        <v>29830.20054579333</v>
      </c>
      <c r="DA17" s="157" t="s">
        <v>428</v>
      </c>
    </row>
    <row r="18" spans="1:105" ht="12" customHeight="1" x14ac:dyDescent="0.25">
      <c r="A18" s="132" t="s">
        <v>72</v>
      </c>
      <c r="B18" s="133">
        <f>IF(SER_hh_tes!B18=0,0,11630*1000*SER_hh_tes!B18/SER_hh_num!B18)</f>
        <v>27620.358562296766</v>
      </c>
      <c r="C18" s="133">
        <f>IF(SER_hh_tes!C18=0,0,11630*1000*SER_hh_tes!C18/SER_hh_num!C18)</f>
        <v>28471.581665238427</v>
      </c>
      <c r="D18" s="133">
        <f>IF(SER_hh_tes!D18=0,0,11630*1000*SER_hh_tes!D18/SER_hh_num!D18)</f>
        <v>28346.491591711459</v>
      </c>
      <c r="E18" s="133">
        <f>IF(SER_hh_tes!E18=0,0,11630*1000*SER_hh_tes!E18/SER_hh_num!E18)</f>
        <v>36179.374902593838</v>
      </c>
      <c r="F18" s="133">
        <f>IF(SER_hh_tes!F18=0,0,11630*1000*SER_hh_tes!F18/SER_hh_num!F18)</f>
        <v>28009.981534468425</v>
      </c>
      <c r="G18" s="133">
        <f>IF(SER_hh_tes!G18=0,0,11630*1000*SER_hh_tes!G18/SER_hh_num!G18)</f>
        <v>28539.328955641486</v>
      </c>
      <c r="H18" s="133">
        <f>IF(SER_hh_tes!H18=0,0,11630*1000*SER_hh_tes!H18/SER_hh_num!H18)</f>
        <v>35795.812475519866</v>
      </c>
      <c r="I18" s="133">
        <f>IF(SER_hh_tes!I18=0,0,11630*1000*SER_hh_tes!I18/SER_hh_num!I18)</f>
        <v>28043.133894496536</v>
      </c>
      <c r="J18" s="133">
        <f>IF(SER_hh_tes!J18=0,0,11630*1000*SER_hh_tes!J18/SER_hh_num!J18)</f>
        <v>28369.374164408924</v>
      </c>
      <c r="K18" s="133">
        <f>IF(SER_hh_tes!K18=0,0,11630*1000*SER_hh_tes!K18/SER_hh_num!K18)</f>
        <v>28861.90151723531</v>
      </c>
      <c r="L18" s="133">
        <f>IF(SER_hh_tes!L18=0,0,11630*1000*SER_hh_tes!L18/SER_hh_num!L18)</f>
        <v>30806.354386391824</v>
      </c>
      <c r="M18" s="133">
        <f>IF(SER_hh_tes!M18=0,0,11630*1000*SER_hh_tes!M18/SER_hh_num!M18)</f>
        <v>29051.879733715414</v>
      </c>
      <c r="N18" s="133">
        <f>IF(SER_hh_tes!N18=0,0,11630*1000*SER_hh_tes!N18/SER_hh_num!N18)</f>
        <v>29569.563296737193</v>
      </c>
      <c r="O18" s="133">
        <f>IF(SER_hh_tes!O18=0,0,11630*1000*SER_hh_tes!O18/SER_hh_num!O18)</f>
        <v>30078.499578659601</v>
      </c>
      <c r="P18" s="133">
        <f>IF(SER_hh_tes!P18=0,0,11630*1000*SER_hh_tes!P18/SER_hh_num!P18)</f>
        <v>29210.23931597214</v>
      </c>
      <c r="Q18" s="133">
        <f>IF(SER_hh_tes!Q18=0,0,11630*1000*SER_hh_tes!Q18/SER_hh_num!Q18)</f>
        <v>33071.810444128889</v>
      </c>
      <c r="R18" s="133">
        <f>IF(SER_hh_tes!R18=0,0,11630*1000*SER_hh_tes!R18/SER_hh_num!R18)</f>
        <v>32183.755023154514</v>
      </c>
      <c r="S18" s="133">
        <f>IF(SER_hh_tes!S18=0,0,11630*1000*SER_hh_tes!S18/SER_hh_num!S18)</f>
        <v>30647.134483400179</v>
      </c>
      <c r="T18" s="133">
        <f>IF(SER_hh_tes!T18=0,0,11630*1000*SER_hh_tes!T18/SER_hh_num!T18)</f>
        <v>35112.997165365246</v>
      </c>
      <c r="U18" s="133">
        <f>IF(SER_hh_tes!U18=0,0,11630*1000*SER_hh_tes!U18/SER_hh_num!U18)</f>
        <v>33981.846191873512</v>
      </c>
      <c r="V18" s="133">
        <f>IF(SER_hh_tes!V18=0,0,11630*1000*SER_hh_tes!V18/SER_hh_num!V18)</f>
        <v>38851.391993475852</v>
      </c>
      <c r="W18" s="133">
        <f>IF(SER_hh_tes!W18=0,0,11630*1000*SER_hh_tes!W18/SER_hh_num!W18)</f>
        <v>29830.198523495164</v>
      </c>
      <c r="DA18" s="157" t="s">
        <v>429</v>
      </c>
    </row>
    <row r="19" spans="1:105" ht="12.95" customHeight="1" x14ac:dyDescent="0.25">
      <c r="A19" s="130" t="s">
        <v>35</v>
      </c>
      <c r="B19" s="131">
        <f>IF(SER_hh_tes!B19=0,0,11630*1000*SER_hh_tes!B19/SER_hh_num!B19)</f>
        <v>12601.059283419054</v>
      </c>
      <c r="C19" s="131">
        <f>IF(SER_hh_tes!C19=0,0,11630*1000*SER_hh_tes!C19/SER_hh_num!C19)</f>
        <v>12603.899116639815</v>
      </c>
      <c r="D19" s="131">
        <f>IF(SER_hh_tes!D19=0,0,11630*1000*SER_hh_tes!D19/SER_hh_num!D19)</f>
        <v>12613.350667535893</v>
      </c>
      <c r="E19" s="131">
        <f>IF(SER_hh_tes!E19=0,0,11630*1000*SER_hh_tes!E19/SER_hh_num!E19)</f>
        <v>12687.374298252875</v>
      </c>
      <c r="F19" s="131">
        <f>IF(SER_hh_tes!F19=0,0,11630*1000*SER_hh_tes!F19/SER_hh_num!F19)</f>
        <v>12510.64404579326</v>
      </c>
      <c r="G19" s="131">
        <f>IF(SER_hh_tes!G19=0,0,11630*1000*SER_hh_tes!G19/SER_hh_num!G19)</f>
        <v>12357.230579679044</v>
      </c>
      <c r="H19" s="131">
        <f>IF(SER_hh_tes!H19=0,0,11630*1000*SER_hh_tes!H19/SER_hh_num!H19)</f>
        <v>12367.307261529477</v>
      </c>
      <c r="I19" s="131">
        <f>IF(SER_hh_tes!I19=0,0,11630*1000*SER_hh_tes!I19/SER_hh_num!I19)</f>
        <v>12284.372759551739</v>
      </c>
      <c r="J19" s="131">
        <f>IF(SER_hh_tes!J19=0,0,11630*1000*SER_hh_tes!J19/SER_hh_num!J19)</f>
        <v>12261.63933402508</v>
      </c>
      <c r="K19" s="131">
        <f>IF(SER_hh_tes!K19=0,0,11630*1000*SER_hh_tes!K19/SER_hh_num!K19)</f>
        <v>12497.252028732184</v>
      </c>
      <c r="L19" s="131">
        <f>IF(SER_hh_tes!L19=0,0,11630*1000*SER_hh_tes!L19/SER_hh_num!L19)</f>
        <v>12469.405971654063</v>
      </c>
      <c r="M19" s="131">
        <f>IF(SER_hh_tes!M19=0,0,11630*1000*SER_hh_tes!M19/SER_hh_num!M19)</f>
        <v>12576.224523275756</v>
      </c>
      <c r="N19" s="131">
        <f>IF(SER_hh_tes!N19=0,0,11630*1000*SER_hh_tes!N19/SER_hh_num!N19)</f>
        <v>12808.271586119288</v>
      </c>
      <c r="O19" s="131">
        <f>IF(SER_hh_tes!O19=0,0,11630*1000*SER_hh_tes!O19/SER_hh_num!O19)</f>
        <v>13040.194278413885</v>
      </c>
      <c r="P19" s="131">
        <f>IF(SER_hh_tes!P19=0,0,11630*1000*SER_hh_tes!P19/SER_hh_num!P19)</f>
        <v>13145.018756987489</v>
      </c>
      <c r="Q19" s="131">
        <f>IF(SER_hh_tes!Q19=0,0,11630*1000*SER_hh_tes!Q19/SER_hh_num!Q19)</f>
        <v>13220.617093594399</v>
      </c>
      <c r="R19" s="131">
        <f>IF(SER_hh_tes!R19=0,0,11630*1000*SER_hh_tes!R19/SER_hh_num!R19)</f>
        <v>13209.746583124914</v>
      </c>
      <c r="S19" s="131">
        <f>IF(SER_hh_tes!S19=0,0,11630*1000*SER_hh_tes!S19/SER_hh_num!S19)</f>
        <v>13305.669178160559</v>
      </c>
      <c r="T19" s="131">
        <f>IF(SER_hh_tes!T19=0,0,11630*1000*SER_hh_tes!T19/SER_hh_num!T19)</f>
        <v>13285.112966196761</v>
      </c>
      <c r="U19" s="131">
        <f>IF(SER_hh_tes!U19=0,0,11630*1000*SER_hh_tes!U19/SER_hh_num!U19)</f>
        <v>13268.060346076014</v>
      </c>
      <c r="V19" s="131">
        <f>IF(SER_hh_tes!V19=0,0,11630*1000*SER_hh_tes!V19/SER_hh_num!V19)</f>
        <v>12651.001964301828</v>
      </c>
      <c r="W19" s="131">
        <f>IF(SER_hh_tes!W19=0,0,11630*1000*SER_hh_tes!W19/SER_hh_num!W19)</f>
        <v>13444.474032905597</v>
      </c>
      <c r="DA19" s="156" t="s">
        <v>430</v>
      </c>
    </row>
    <row r="20" spans="1:105" ht="12" customHeight="1" x14ac:dyDescent="0.25">
      <c r="A20" s="132" t="s">
        <v>29</v>
      </c>
      <c r="B20" s="133">
        <f>IF(SER_hh_tes!B20=0,0,11630*1000*SER_hh_tes!B20/SER_hh_num!B20)</f>
        <v>0</v>
      </c>
      <c r="C20" s="133">
        <f>IF(SER_hh_tes!C20=0,0,11630*1000*SER_hh_tes!C20/SER_hh_num!C20)</f>
        <v>0</v>
      </c>
      <c r="D20" s="133">
        <f>IF(SER_hh_tes!D20=0,0,11630*1000*SER_hh_tes!D20/SER_hh_num!D20)</f>
        <v>0</v>
      </c>
      <c r="E20" s="133">
        <f>IF(SER_hh_tes!E20=0,0,11630*1000*SER_hh_tes!E20/SER_hh_num!E20)</f>
        <v>0</v>
      </c>
      <c r="F20" s="133">
        <f>IF(SER_hh_tes!F20=0,0,11630*1000*SER_hh_tes!F20/SER_hh_num!F20)</f>
        <v>0</v>
      </c>
      <c r="G20" s="133">
        <f>IF(SER_hh_tes!G20=0,0,11630*1000*SER_hh_tes!G20/SER_hh_num!G20)</f>
        <v>0</v>
      </c>
      <c r="H20" s="133">
        <f>IF(SER_hh_tes!H20=0,0,11630*1000*SER_hh_tes!H20/SER_hh_num!H20)</f>
        <v>0</v>
      </c>
      <c r="I20" s="133">
        <f>IF(SER_hh_tes!I20=0,0,11630*1000*SER_hh_tes!I20/SER_hh_num!I20)</f>
        <v>0</v>
      </c>
      <c r="J20" s="133">
        <f>IF(SER_hh_tes!J20=0,0,11630*1000*SER_hh_tes!J20/SER_hh_num!J20)</f>
        <v>0</v>
      </c>
      <c r="K20" s="133">
        <f>IF(SER_hh_tes!K20=0,0,11630*1000*SER_hh_tes!K20/SER_hh_num!K20)</f>
        <v>0</v>
      </c>
      <c r="L20" s="133">
        <f>IF(SER_hh_tes!L20=0,0,11630*1000*SER_hh_tes!L20/SER_hh_num!L20)</f>
        <v>0</v>
      </c>
      <c r="M20" s="133">
        <f>IF(SER_hh_tes!M20=0,0,11630*1000*SER_hh_tes!M20/SER_hh_num!M20)</f>
        <v>0</v>
      </c>
      <c r="N20" s="133">
        <f>IF(SER_hh_tes!N20=0,0,11630*1000*SER_hh_tes!N20/SER_hh_num!N20)</f>
        <v>0</v>
      </c>
      <c r="O20" s="133">
        <f>IF(SER_hh_tes!O20=0,0,11630*1000*SER_hh_tes!O20/SER_hh_num!O20)</f>
        <v>0</v>
      </c>
      <c r="P20" s="133">
        <f>IF(SER_hh_tes!P20=0,0,11630*1000*SER_hh_tes!P20/SER_hh_num!P20)</f>
        <v>0</v>
      </c>
      <c r="Q20" s="133">
        <f>IF(SER_hh_tes!Q20=0,0,11630*1000*SER_hh_tes!Q20/SER_hh_num!Q20)</f>
        <v>0</v>
      </c>
      <c r="R20" s="133">
        <f>IF(SER_hh_tes!R20=0,0,11630*1000*SER_hh_tes!R20/SER_hh_num!R20)</f>
        <v>0</v>
      </c>
      <c r="S20" s="133">
        <f>IF(SER_hh_tes!S20=0,0,11630*1000*SER_hh_tes!S20/SER_hh_num!S20)</f>
        <v>0</v>
      </c>
      <c r="T20" s="133">
        <f>IF(SER_hh_tes!T20=0,0,11630*1000*SER_hh_tes!T20/SER_hh_num!T20)</f>
        <v>0</v>
      </c>
      <c r="U20" s="133">
        <f>IF(SER_hh_tes!U20=0,0,11630*1000*SER_hh_tes!U20/SER_hh_num!U20)</f>
        <v>0</v>
      </c>
      <c r="V20" s="133">
        <f>IF(SER_hh_tes!V20=0,0,11630*1000*SER_hh_tes!V20/SER_hh_num!V20)</f>
        <v>0</v>
      </c>
      <c r="W20" s="133">
        <f>IF(SER_hh_tes!W20=0,0,11630*1000*SER_hh_tes!W20/SER_hh_num!W20)</f>
        <v>0</v>
      </c>
      <c r="DA20" s="157" t="s">
        <v>431</v>
      </c>
    </row>
    <row r="21" spans="1:105" s="2" customFormat="1" ht="12" customHeight="1" x14ac:dyDescent="0.25">
      <c r="A21" s="132" t="s">
        <v>52</v>
      </c>
      <c r="B21" s="133">
        <f>IF(SER_hh_tes!B21=0,0,11630*1000*SER_hh_tes!B21/SER_hh_num!B21)</f>
        <v>12515.913681970282</v>
      </c>
      <c r="C21" s="133">
        <f>IF(SER_hh_tes!C21=0,0,11630*1000*SER_hh_tes!C21/SER_hh_num!C21)</f>
        <v>12666.761098743569</v>
      </c>
      <c r="D21" s="133">
        <f>IF(SER_hh_tes!D21=0,0,11630*1000*SER_hh_tes!D21/SER_hh_num!D21)</f>
        <v>12735.768939031235</v>
      </c>
      <c r="E21" s="133">
        <f>IF(SER_hh_tes!E21=0,0,11630*1000*SER_hh_tes!E21/SER_hh_num!E21)</f>
        <v>13331.209820719007</v>
      </c>
      <c r="F21" s="133">
        <f>IF(SER_hh_tes!F21=0,0,11630*1000*SER_hh_tes!F21/SER_hh_num!F21)</f>
        <v>14787.318456613373</v>
      </c>
      <c r="G21" s="133">
        <f>IF(SER_hh_tes!G21=0,0,11630*1000*SER_hh_tes!G21/SER_hh_num!G21)</f>
        <v>9441.4069150186388</v>
      </c>
      <c r="H21" s="133">
        <f>IF(SER_hh_tes!H21=0,0,11630*1000*SER_hh_tes!H21/SER_hh_num!H21)</f>
        <v>11503.392369515119</v>
      </c>
      <c r="I21" s="133">
        <f>IF(SER_hh_tes!I21=0,0,11630*1000*SER_hh_tes!I21/SER_hh_num!I21)</f>
        <v>12513.168784941243</v>
      </c>
      <c r="J21" s="133">
        <f>IF(SER_hh_tes!J21=0,0,11630*1000*SER_hh_tes!J21/SER_hh_num!J21)</f>
        <v>11322.180946936582</v>
      </c>
      <c r="K21" s="133">
        <f>IF(SER_hh_tes!K21=0,0,11630*1000*SER_hh_tes!K21/SER_hh_num!K21)</f>
        <v>11917.694338663969</v>
      </c>
      <c r="L21" s="133">
        <f>IF(SER_hh_tes!L21=0,0,11630*1000*SER_hh_tes!L21/SER_hh_num!L21)</f>
        <v>11201.090903445793</v>
      </c>
      <c r="M21" s="133">
        <f>IF(SER_hh_tes!M21=0,0,11630*1000*SER_hh_tes!M21/SER_hh_num!M21)</f>
        <v>11901.975661348002</v>
      </c>
      <c r="N21" s="133">
        <f>IF(SER_hh_tes!N21=0,0,11630*1000*SER_hh_tes!N21/SER_hh_num!N21)</f>
        <v>13170.825095457718</v>
      </c>
      <c r="O21" s="133">
        <f>IF(SER_hh_tes!O21=0,0,11630*1000*SER_hh_tes!O21/SER_hh_num!O21)</f>
        <v>13367.787483361353</v>
      </c>
      <c r="P21" s="133">
        <f>IF(SER_hh_tes!P21=0,0,11630*1000*SER_hh_tes!P21/SER_hh_num!P21)</f>
        <v>12665.137868595004</v>
      </c>
      <c r="Q21" s="133">
        <f>IF(SER_hh_tes!Q21=0,0,11630*1000*SER_hh_tes!Q21/SER_hh_num!Q21)</f>
        <v>13303.222036216734</v>
      </c>
      <c r="R21" s="133">
        <f>IF(SER_hh_tes!R21=0,0,11630*1000*SER_hh_tes!R21/SER_hh_num!R21)</f>
        <v>13044.022454031694</v>
      </c>
      <c r="S21" s="133">
        <f>IF(SER_hh_tes!S21=0,0,11630*1000*SER_hh_tes!S21/SER_hh_num!S21)</f>
        <v>13424.415400814401</v>
      </c>
      <c r="T21" s="133">
        <f>IF(SER_hh_tes!T21=0,0,11630*1000*SER_hh_tes!T21/SER_hh_num!T21)</f>
        <v>13689.96734948122</v>
      </c>
      <c r="U21" s="133">
        <f>IF(SER_hh_tes!U21=0,0,11630*1000*SER_hh_tes!U21/SER_hh_num!U21)</f>
        <v>13733.994136786665</v>
      </c>
      <c r="V21" s="133">
        <f>IF(SER_hh_tes!V21=0,0,11630*1000*SER_hh_tes!V21/SER_hh_num!V21)</f>
        <v>12089.437938692567</v>
      </c>
      <c r="W21" s="133">
        <f>IF(SER_hh_tes!W21=0,0,11630*1000*SER_hh_tes!W21/SER_hh_num!W21)</f>
        <v>13726.453024747374</v>
      </c>
      <c r="DA21" s="157" t="s">
        <v>432</v>
      </c>
    </row>
    <row r="22" spans="1:105" ht="12" customHeight="1" x14ac:dyDescent="0.25">
      <c r="A22" s="132" t="s">
        <v>168</v>
      </c>
      <c r="B22" s="133">
        <f>IF(SER_hh_tes!B22=0,0,11630*1000*SER_hh_tes!B22/SER_hh_num!B22)</f>
        <v>12638.751925440196</v>
      </c>
      <c r="C22" s="133">
        <f>IF(SER_hh_tes!C22=0,0,11630*1000*SER_hh_tes!C22/SER_hh_num!C22)</f>
        <v>12591.758886117115</v>
      </c>
      <c r="D22" s="133">
        <f>IF(SER_hh_tes!D22=0,0,11630*1000*SER_hh_tes!D22/SER_hh_num!D22)</f>
        <v>12601.155802251629</v>
      </c>
      <c r="E22" s="133">
        <f>IF(SER_hh_tes!E22=0,0,11630*1000*SER_hh_tes!E22/SER_hh_num!E22)</f>
        <v>12638.428336153005</v>
      </c>
      <c r="F22" s="133">
        <f>IF(SER_hh_tes!F22=0,0,11630*1000*SER_hh_tes!F22/SER_hh_num!F22)</f>
        <v>12523.10166679752</v>
      </c>
      <c r="G22" s="133">
        <f>IF(SER_hh_tes!G22=0,0,11630*1000*SER_hh_tes!G22/SER_hh_num!G22)</f>
        <v>12384.344555710111</v>
      </c>
      <c r="H22" s="133">
        <f>IF(SER_hh_tes!H22=0,0,11630*1000*SER_hh_tes!H22/SER_hh_num!H22)</f>
        <v>12401.946704327638</v>
      </c>
      <c r="I22" s="133">
        <f>IF(SER_hh_tes!I22=0,0,11630*1000*SER_hh_tes!I22/SER_hh_num!I22)</f>
        <v>12429.13764137181</v>
      </c>
      <c r="J22" s="133">
        <f>IF(SER_hh_tes!J22=0,0,11630*1000*SER_hh_tes!J22/SER_hh_num!J22)</f>
        <v>12153.392670235764</v>
      </c>
      <c r="K22" s="133">
        <f>IF(SER_hh_tes!K22=0,0,11630*1000*SER_hh_tes!K22/SER_hh_num!K22)</f>
        <v>12334.560891994648</v>
      </c>
      <c r="L22" s="133">
        <f>IF(SER_hh_tes!L22=0,0,11630*1000*SER_hh_tes!L22/SER_hh_num!L22)</f>
        <v>12416.419829485572</v>
      </c>
      <c r="M22" s="133">
        <f>IF(SER_hh_tes!M22=0,0,11630*1000*SER_hh_tes!M22/SER_hh_num!M22)</f>
        <v>12638.54201232585</v>
      </c>
      <c r="N22" s="133">
        <f>IF(SER_hh_tes!N22=0,0,11630*1000*SER_hh_tes!N22/SER_hh_num!N22)</f>
        <v>12767.771923329985</v>
      </c>
      <c r="O22" s="133">
        <f>IF(SER_hh_tes!O22=0,0,11630*1000*SER_hh_tes!O22/SER_hh_num!O22)</f>
        <v>12972.955970966661</v>
      </c>
      <c r="P22" s="133">
        <f>IF(SER_hh_tes!P22=0,0,11630*1000*SER_hh_tes!P22/SER_hh_num!P22)</f>
        <v>13124.798661640272</v>
      </c>
      <c r="Q22" s="133">
        <f>IF(SER_hh_tes!Q22=0,0,11630*1000*SER_hh_tes!Q22/SER_hh_num!Q22)</f>
        <v>13302.874727921593</v>
      </c>
      <c r="R22" s="133">
        <f>IF(SER_hh_tes!R22=0,0,11630*1000*SER_hh_tes!R22/SER_hh_num!R22)</f>
        <v>13210.393735103788</v>
      </c>
      <c r="S22" s="133">
        <f>IF(SER_hh_tes!S22=0,0,11630*1000*SER_hh_tes!S22/SER_hh_num!S22)</f>
        <v>13356.902463837239</v>
      </c>
      <c r="T22" s="133">
        <f>IF(SER_hh_tes!T22=0,0,11630*1000*SER_hh_tes!T22/SER_hh_num!T22)</f>
        <v>13324.188426506162</v>
      </c>
      <c r="U22" s="133">
        <f>IF(SER_hh_tes!U22=0,0,11630*1000*SER_hh_tes!U22/SER_hh_num!U22)</f>
        <v>13293.342840076728</v>
      </c>
      <c r="V22" s="133">
        <f>IF(SER_hh_tes!V22=0,0,11630*1000*SER_hh_tes!V22/SER_hh_num!V22)</f>
        <v>12281.400940616819</v>
      </c>
      <c r="W22" s="133">
        <f>IF(SER_hh_tes!W22=0,0,11630*1000*SER_hh_tes!W22/SER_hh_num!W22)</f>
        <v>13604.074276546349</v>
      </c>
      <c r="DA22" s="157" t="s">
        <v>433</v>
      </c>
    </row>
    <row r="23" spans="1:105" ht="12" customHeight="1" x14ac:dyDescent="0.25">
      <c r="A23" s="132" t="s">
        <v>153</v>
      </c>
      <c r="B23" s="133">
        <f>IF(SER_hh_tes!B23=0,0,11630*1000*SER_hh_tes!B23/SER_hh_num!B23)</f>
        <v>12596.238685873606</v>
      </c>
      <c r="C23" s="133">
        <f>IF(SER_hh_tes!C23=0,0,11630*1000*SER_hh_tes!C23/SER_hh_num!C23)</f>
        <v>12687.728453015619</v>
      </c>
      <c r="D23" s="133">
        <f>IF(SER_hh_tes!D23=0,0,11630*1000*SER_hh_tes!D23/SER_hh_num!D23)</f>
        <v>12508.190304458112</v>
      </c>
      <c r="E23" s="133">
        <f>IF(SER_hh_tes!E23=0,0,11630*1000*SER_hh_tes!E23/SER_hh_num!E23)</f>
        <v>12627.59833615081</v>
      </c>
      <c r="F23" s="133">
        <f>IF(SER_hh_tes!F23=0,0,11630*1000*SER_hh_tes!F23/SER_hh_num!F23)</f>
        <v>12472.250959363209</v>
      </c>
      <c r="G23" s="133">
        <f>IF(SER_hh_tes!G23=0,0,11630*1000*SER_hh_tes!G23/SER_hh_num!G23)</f>
        <v>12431.027084237701</v>
      </c>
      <c r="H23" s="133">
        <f>IF(SER_hh_tes!H23=0,0,11630*1000*SER_hh_tes!H23/SER_hh_num!H23)</f>
        <v>12316.633657905209</v>
      </c>
      <c r="I23" s="133">
        <f>IF(SER_hh_tes!I23=0,0,11630*1000*SER_hh_tes!I23/SER_hh_num!I23)</f>
        <v>12222.537726349979</v>
      </c>
      <c r="J23" s="133">
        <f>IF(SER_hh_tes!J23=0,0,11630*1000*SER_hh_tes!J23/SER_hh_num!J23)</f>
        <v>12213.722585672411</v>
      </c>
      <c r="K23" s="133">
        <f>IF(SER_hh_tes!K23=0,0,11630*1000*SER_hh_tes!K23/SER_hh_num!K23)</f>
        <v>12441.248768920563</v>
      </c>
      <c r="L23" s="133">
        <f>IF(SER_hh_tes!L23=0,0,11630*1000*SER_hh_tes!L23/SER_hh_num!L23)</f>
        <v>12436.460760294207</v>
      </c>
      <c r="M23" s="133">
        <f>IF(SER_hh_tes!M23=0,0,11630*1000*SER_hh_tes!M23/SER_hh_num!M23)</f>
        <v>12527.71098941556</v>
      </c>
      <c r="N23" s="133">
        <f>IF(SER_hh_tes!N23=0,0,11630*1000*SER_hh_tes!N23/SER_hh_num!N23)</f>
        <v>12831.135387465409</v>
      </c>
      <c r="O23" s="133">
        <f>IF(SER_hh_tes!O23=0,0,11630*1000*SER_hh_tes!O23/SER_hh_num!O23)</f>
        <v>13038.595500619673</v>
      </c>
      <c r="P23" s="133">
        <f>IF(SER_hh_tes!P23=0,0,11630*1000*SER_hh_tes!P23/SER_hh_num!P23)</f>
        <v>13138.929043792456</v>
      </c>
      <c r="Q23" s="133">
        <f>IF(SER_hh_tes!Q23=0,0,11630*1000*SER_hh_tes!Q23/SER_hh_num!Q23)</f>
        <v>13201.08015302867</v>
      </c>
      <c r="R23" s="133">
        <f>IF(SER_hh_tes!R23=0,0,11630*1000*SER_hh_tes!R23/SER_hh_num!R23)</f>
        <v>13185.395887785429</v>
      </c>
      <c r="S23" s="133">
        <f>IF(SER_hh_tes!S23=0,0,11630*1000*SER_hh_tes!S23/SER_hh_num!S23)</f>
        <v>13280.56438402552</v>
      </c>
      <c r="T23" s="133">
        <f>IF(SER_hh_tes!T23=0,0,11630*1000*SER_hh_tes!T23/SER_hh_num!T23)</f>
        <v>13229.998013389984</v>
      </c>
      <c r="U23" s="133">
        <f>IF(SER_hh_tes!U23=0,0,11630*1000*SER_hh_tes!U23/SER_hh_num!U23)</f>
        <v>13185.346692618501</v>
      </c>
      <c r="V23" s="133">
        <f>IF(SER_hh_tes!V23=0,0,11630*1000*SER_hh_tes!V23/SER_hh_num!V23)</f>
        <v>12680.859946417489</v>
      </c>
      <c r="W23" s="133">
        <f>IF(SER_hh_tes!W23=0,0,11630*1000*SER_hh_tes!W23/SER_hh_num!W23)</f>
        <v>13406.198345511804</v>
      </c>
      <c r="DA23" s="157" t="s">
        <v>434</v>
      </c>
    </row>
    <row r="24" spans="1:105" ht="12" customHeight="1" x14ac:dyDescent="0.25">
      <c r="A24" s="132" t="s">
        <v>128</v>
      </c>
      <c r="B24" s="133">
        <f>IF(SER_hh_tes!B24=0,0,11630*1000*SER_hh_tes!B24/SER_hh_num!B24)</f>
        <v>0</v>
      </c>
      <c r="C24" s="133">
        <f>IF(SER_hh_tes!C24=0,0,11630*1000*SER_hh_tes!C24/SER_hh_num!C24)</f>
        <v>0</v>
      </c>
      <c r="D24" s="133">
        <f>IF(SER_hh_tes!D24=0,0,11630*1000*SER_hh_tes!D24/SER_hh_num!D24)</f>
        <v>0</v>
      </c>
      <c r="E24" s="133">
        <f>IF(SER_hh_tes!E24=0,0,11630*1000*SER_hh_tes!E24/SER_hh_num!E24)</f>
        <v>0</v>
      </c>
      <c r="F24" s="133">
        <f>IF(SER_hh_tes!F24=0,0,11630*1000*SER_hh_tes!F24/SER_hh_num!F24)</f>
        <v>0</v>
      </c>
      <c r="G24" s="133">
        <f>IF(SER_hh_tes!G24=0,0,11630*1000*SER_hh_tes!G24/SER_hh_num!G24)</f>
        <v>0</v>
      </c>
      <c r="H24" s="133">
        <f>IF(SER_hh_tes!H24=0,0,11630*1000*SER_hh_tes!H24/SER_hh_num!H24)</f>
        <v>0</v>
      </c>
      <c r="I24" s="133">
        <f>IF(SER_hh_tes!I24=0,0,11630*1000*SER_hh_tes!I24/SER_hh_num!I24)</f>
        <v>0</v>
      </c>
      <c r="J24" s="133">
        <f>IF(SER_hh_tes!J24=0,0,11630*1000*SER_hh_tes!J24/SER_hh_num!J24)</f>
        <v>0</v>
      </c>
      <c r="K24" s="133">
        <f>IF(SER_hh_tes!K24=0,0,11630*1000*SER_hh_tes!K24/SER_hh_num!K24)</f>
        <v>0</v>
      </c>
      <c r="L24" s="133">
        <f>IF(SER_hh_tes!L24=0,0,11630*1000*SER_hh_tes!L24/SER_hh_num!L24)</f>
        <v>0</v>
      </c>
      <c r="M24" s="133">
        <f>IF(SER_hh_tes!M24=0,0,11630*1000*SER_hh_tes!M24/SER_hh_num!M24)</f>
        <v>0</v>
      </c>
      <c r="N24" s="133">
        <f>IF(SER_hh_tes!N24=0,0,11630*1000*SER_hh_tes!N24/SER_hh_num!N24)</f>
        <v>0</v>
      </c>
      <c r="O24" s="133">
        <f>IF(SER_hh_tes!O24=0,0,11630*1000*SER_hh_tes!O24/SER_hh_num!O24)</f>
        <v>0</v>
      </c>
      <c r="P24" s="133">
        <f>IF(SER_hh_tes!P24=0,0,11630*1000*SER_hh_tes!P24/SER_hh_num!P24)</f>
        <v>0</v>
      </c>
      <c r="Q24" s="133">
        <f>IF(SER_hh_tes!Q24=0,0,11630*1000*SER_hh_tes!Q24/SER_hh_num!Q24)</f>
        <v>0</v>
      </c>
      <c r="R24" s="133">
        <f>IF(SER_hh_tes!R24=0,0,11630*1000*SER_hh_tes!R24/SER_hh_num!R24)</f>
        <v>0</v>
      </c>
      <c r="S24" s="133">
        <f>IF(SER_hh_tes!S24=0,0,11630*1000*SER_hh_tes!S24/SER_hh_num!S24)</f>
        <v>0</v>
      </c>
      <c r="T24" s="133">
        <f>IF(SER_hh_tes!T24=0,0,11630*1000*SER_hh_tes!T24/SER_hh_num!T24)</f>
        <v>0</v>
      </c>
      <c r="U24" s="133">
        <f>IF(SER_hh_tes!U24=0,0,11630*1000*SER_hh_tes!U24/SER_hh_num!U24)</f>
        <v>0</v>
      </c>
      <c r="V24" s="133">
        <f>IF(SER_hh_tes!V24=0,0,11630*1000*SER_hh_tes!V24/SER_hh_num!V24)</f>
        <v>0</v>
      </c>
      <c r="W24" s="133">
        <f>IF(SER_hh_tes!W24=0,0,11630*1000*SER_hh_tes!W24/SER_hh_num!W24)</f>
        <v>0</v>
      </c>
      <c r="DA24" s="157" t="s">
        <v>435</v>
      </c>
    </row>
    <row r="25" spans="1:105" ht="12" customHeight="1" x14ac:dyDescent="0.25">
      <c r="A25" s="132" t="s">
        <v>169</v>
      </c>
      <c r="B25" s="133">
        <f>IF(SER_hh_tes!B25=0,0,11630*1000*SER_hh_tes!B25/SER_hh_num!B25)</f>
        <v>12647.501512685529</v>
      </c>
      <c r="C25" s="133">
        <f>IF(SER_hh_tes!C25=0,0,11630*1000*SER_hh_tes!C25/SER_hh_num!C25)</f>
        <v>12544.296470619522</v>
      </c>
      <c r="D25" s="133">
        <f>IF(SER_hh_tes!D25=0,0,11630*1000*SER_hh_tes!D25/SER_hh_num!D25)</f>
        <v>12627.624332927506</v>
      </c>
      <c r="E25" s="133">
        <f>IF(SER_hh_tes!E25=0,0,11630*1000*SER_hh_tes!E25/SER_hh_num!E25)</f>
        <v>12541.737535371693</v>
      </c>
      <c r="F25" s="133">
        <f>IF(SER_hh_tes!F25=0,0,11630*1000*SER_hh_tes!F25/SER_hh_num!F25)</f>
        <v>12492.167545627703</v>
      </c>
      <c r="G25" s="133">
        <f>IF(SER_hh_tes!G25=0,0,11630*1000*SER_hh_tes!G25/SER_hh_num!G25)</f>
        <v>12464.859142523115</v>
      </c>
      <c r="H25" s="133">
        <f>IF(SER_hh_tes!H25=0,0,11630*1000*SER_hh_tes!H25/SER_hh_num!H25)</f>
        <v>12417.144243530836</v>
      </c>
      <c r="I25" s="133">
        <f>IF(SER_hh_tes!I25=0,0,11630*1000*SER_hh_tes!I25/SER_hh_num!I25)</f>
        <v>12258.317832355806</v>
      </c>
      <c r="J25" s="133">
        <f>IF(SER_hh_tes!J25=0,0,11630*1000*SER_hh_tes!J25/SER_hh_num!J25)</f>
        <v>12287.914025941347</v>
      </c>
      <c r="K25" s="133">
        <f>IF(SER_hh_tes!K25=0,0,11630*1000*SER_hh_tes!K25/SER_hh_num!K25)</f>
        <v>12422.308634901141</v>
      </c>
      <c r="L25" s="133">
        <f>IF(SER_hh_tes!L25=0,0,11630*1000*SER_hh_tes!L25/SER_hh_num!L25)</f>
        <v>12487.836481646185</v>
      </c>
      <c r="M25" s="133">
        <f>IF(SER_hh_tes!M25=0,0,11630*1000*SER_hh_tes!M25/SER_hh_num!M25)</f>
        <v>12530.737996498625</v>
      </c>
      <c r="N25" s="133">
        <f>IF(SER_hh_tes!N25=0,0,11630*1000*SER_hh_tes!N25/SER_hh_num!N25)</f>
        <v>12644.96548680048</v>
      </c>
      <c r="O25" s="133">
        <f>IF(SER_hh_tes!O25=0,0,11630*1000*SER_hh_tes!O25/SER_hh_num!O25)</f>
        <v>12732.712148422026</v>
      </c>
      <c r="P25" s="133">
        <f>IF(SER_hh_tes!P25=0,0,11630*1000*SER_hh_tes!P25/SER_hh_num!P25)</f>
        <v>13071.95773140659</v>
      </c>
      <c r="Q25" s="133">
        <f>IF(SER_hh_tes!Q25=0,0,11630*1000*SER_hh_tes!Q25/SER_hh_num!Q25)</f>
        <v>13372.044240986781</v>
      </c>
      <c r="R25" s="133">
        <f>IF(SER_hh_tes!R25=0,0,11630*1000*SER_hh_tes!R25/SER_hh_num!R25)</f>
        <v>13382.170750028934</v>
      </c>
      <c r="S25" s="133">
        <f>IF(SER_hh_tes!S25=0,0,11630*1000*SER_hh_tes!S25/SER_hh_num!S25)</f>
        <v>13323.00977332155</v>
      </c>
      <c r="T25" s="133">
        <f>IF(SER_hh_tes!T25=0,0,11630*1000*SER_hh_tes!T25/SER_hh_num!T25)</f>
        <v>13264.216309920041</v>
      </c>
      <c r="U25" s="133">
        <f>IF(SER_hh_tes!U25=0,0,11630*1000*SER_hh_tes!U25/SER_hh_num!U25)</f>
        <v>13252.725535825961</v>
      </c>
      <c r="V25" s="133">
        <f>IF(SER_hh_tes!V25=0,0,11630*1000*SER_hh_tes!V25/SER_hh_num!V25)</f>
        <v>12753.996583397635</v>
      </c>
      <c r="W25" s="133">
        <f>IF(SER_hh_tes!W25=0,0,11630*1000*SER_hh_tes!W25/SER_hh_num!W25)</f>
        <v>13291.003636999565</v>
      </c>
      <c r="DA25" s="157" t="s">
        <v>436</v>
      </c>
    </row>
    <row r="26" spans="1:105" ht="12" customHeight="1" x14ac:dyDescent="0.25">
      <c r="A26" s="132" t="s">
        <v>24</v>
      </c>
      <c r="B26" s="65">
        <f>IF(SER_hh_tes!B26=0,0,11630*1000*SER_hh_tes!B26/SER_hh_num!B26)</f>
        <v>12341.68486059986</v>
      </c>
      <c r="C26" s="65">
        <f>IF(SER_hh_tes!C26=0,0,11630*1000*SER_hh_tes!C26/SER_hh_num!C26)</f>
        <v>12293.321427943089</v>
      </c>
      <c r="D26" s="65">
        <f>IF(SER_hh_tes!D26=0,0,11630*1000*SER_hh_tes!D26/SER_hh_num!D26)</f>
        <v>12838.617961466984</v>
      </c>
      <c r="E26" s="65">
        <f>IF(SER_hh_tes!E26=0,0,11630*1000*SER_hh_tes!E26/SER_hh_num!E26)</f>
        <v>12746.494482333173</v>
      </c>
      <c r="F26" s="65">
        <f>IF(SER_hh_tes!F26=0,0,11630*1000*SER_hh_tes!F26/SER_hh_num!F26)</f>
        <v>12212.729483631134</v>
      </c>
      <c r="G26" s="65">
        <f>IF(SER_hh_tes!G26=0,0,11630*1000*SER_hh_tes!G26/SER_hh_num!G26)</f>
        <v>12303.122467588721</v>
      </c>
      <c r="H26" s="65">
        <f>IF(SER_hh_tes!H26=0,0,11630*1000*SER_hh_tes!H26/SER_hh_num!H26)</f>
        <v>12405.81920015803</v>
      </c>
      <c r="I26" s="65">
        <f>IF(SER_hh_tes!I26=0,0,11630*1000*SER_hh_tes!I26/SER_hh_num!I26)</f>
        <v>12140.366080852846</v>
      </c>
      <c r="J26" s="65">
        <f>IF(SER_hh_tes!J26=0,0,11630*1000*SER_hh_tes!J26/SER_hh_num!J26)</f>
        <v>12347.061672514417</v>
      </c>
      <c r="K26" s="65">
        <f>IF(SER_hh_tes!K26=0,0,11630*1000*SER_hh_tes!K26/SER_hh_num!K26)</f>
        <v>12467.464919853077</v>
      </c>
      <c r="L26" s="65">
        <f>IF(SER_hh_tes!L26=0,0,11630*1000*SER_hh_tes!L26/SER_hh_num!L26)</f>
        <v>12456.726058101993</v>
      </c>
      <c r="M26" s="65">
        <f>IF(SER_hh_tes!M26=0,0,11630*1000*SER_hh_tes!M26/SER_hh_num!M26)</f>
        <v>12476.811205681062</v>
      </c>
      <c r="N26" s="65">
        <f>IF(SER_hh_tes!N26=0,0,11630*1000*SER_hh_tes!N26/SER_hh_num!N26)</f>
        <v>12614.16115987941</v>
      </c>
      <c r="O26" s="65">
        <f>IF(SER_hh_tes!O26=0,0,11630*1000*SER_hh_tes!O26/SER_hh_num!O26)</f>
        <v>12928.772744733185</v>
      </c>
      <c r="P26" s="65">
        <f>IF(SER_hh_tes!P26=0,0,11630*1000*SER_hh_tes!P26/SER_hh_num!P26)</f>
        <v>12991.378979593968</v>
      </c>
      <c r="Q26" s="65">
        <f>IF(SER_hh_tes!Q26=0,0,11630*1000*SER_hh_tes!Q26/SER_hh_num!Q26)</f>
        <v>12957.833086642486</v>
      </c>
      <c r="R26" s="65">
        <f>IF(SER_hh_tes!R26=0,0,11630*1000*SER_hh_tes!R26/SER_hh_num!R26)</f>
        <v>12985.648800282121</v>
      </c>
      <c r="S26" s="65">
        <f>IF(SER_hh_tes!S26=0,0,11630*1000*SER_hh_tes!S26/SER_hh_num!S26)</f>
        <v>13044.408511582924</v>
      </c>
      <c r="T26" s="65">
        <f>IF(SER_hh_tes!T26=0,0,11630*1000*SER_hh_tes!T26/SER_hh_num!T26)</f>
        <v>13068.827788709305</v>
      </c>
      <c r="U26" s="65">
        <f>IF(SER_hh_tes!U26=0,0,11630*1000*SER_hh_tes!U26/SER_hh_num!U26)</f>
        <v>13135.417018092196</v>
      </c>
      <c r="V26" s="65">
        <f>IF(SER_hh_tes!V26=0,0,11630*1000*SER_hh_tes!V26/SER_hh_num!V26)</f>
        <v>12549.438768697039</v>
      </c>
      <c r="W26" s="65">
        <f>IF(SER_hh_tes!W26=0,0,11630*1000*SER_hh_tes!W26/SER_hh_num!W26)</f>
        <v>13159.983380821153</v>
      </c>
      <c r="DA26" s="109" t="s">
        <v>437</v>
      </c>
    </row>
    <row r="27" spans="1:105" ht="12" customHeight="1" x14ac:dyDescent="0.25">
      <c r="A27" s="145" t="s">
        <v>86</v>
      </c>
      <c r="B27" s="146">
        <f>IF(SER_hh_tes!B27=0,0,11630*1000*SER_hh_tes!B27/SER_hh_num!B19)</f>
        <v>32.834385678726385</v>
      </c>
      <c r="C27" s="146">
        <f>IF(SER_hh_tes!C27=0,0,11630*1000*SER_hh_tes!C27/SER_hh_num!C19)</f>
        <v>9.8732521497910319</v>
      </c>
      <c r="D27" s="146">
        <f>IF(SER_hh_tes!D27=0,0,11630*1000*SER_hh_tes!D27/SER_hh_num!D19)</f>
        <v>10.772043500185225</v>
      </c>
      <c r="E27" s="146">
        <f>IF(SER_hh_tes!E27=0,0,11630*1000*SER_hh_tes!E27/SER_hh_num!E19)</f>
        <v>15.978781690750576</v>
      </c>
      <c r="F27" s="146">
        <f>IF(SER_hh_tes!F27=0,0,11630*1000*SER_hh_tes!F27/SER_hh_num!F19)</f>
        <v>16.891764591919863</v>
      </c>
      <c r="G27" s="146">
        <f>IF(SER_hh_tes!G27=0,0,11630*1000*SER_hh_tes!G27/SER_hh_num!G19)</f>
        <v>16.598320845586187</v>
      </c>
      <c r="H27" s="146">
        <f>IF(SER_hh_tes!H27=0,0,11630*1000*SER_hh_tes!H27/SER_hh_num!H19)</f>
        <v>19.990081929262093</v>
      </c>
      <c r="I27" s="146">
        <f>IF(SER_hh_tes!I27=0,0,11630*1000*SER_hh_tes!I27/SER_hh_num!I19)</f>
        <v>28.061463031605964</v>
      </c>
      <c r="J27" s="146">
        <f>IF(SER_hh_tes!J27=0,0,11630*1000*SER_hh_tes!J27/SER_hh_num!J19)</f>
        <v>37.255998662452832</v>
      </c>
      <c r="K27" s="146">
        <f>IF(SER_hh_tes!K27=0,0,11630*1000*SER_hh_tes!K27/SER_hh_num!K19)</f>
        <v>77.399383887543777</v>
      </c>
      <c r="L27" s="146">
        <f>IF(SER_hh_tes!L27=0,0,11630*1000*SER_hh_tes!L27/SER_hh_num!L19)</f>
        <v>39.334720828671294</v>
      </c>
      <c r="M27" s="146">
        <f>IF(SER_hh_tes!M27=0,0,11630*1000*SER_hh_tes!M27/SER_hh_num!M19)</f>
        <v>41.519408586384081</v>
      </c>
      <c r="N27" s="146">
        <f>IF(SER_hh_tes!N27=0,0,11630*1000*SER_hh_tes!N27/SER_hh_num!N19)</f>
        <v>41.087653939733116</v>
      </c>
      <c r="O27" s="146">
        <f>IF(SER_hh_tes!O27=0,0,11630*1000*SER_hh_tes!O27/SER_hh_num!O19)</f>
        <v>43.392378099391223</v>
      </c>
      <c r="P27" s="146">
        <f>IF(SER_hh_tes!P27=0,0,11630*1000*SER_hh_tes!P27/SER_hh_num!P19)</f>
        <v>48.355910937659765</v>
      </c>
      <c r="Q27" s="146">
        <f>IF(SER_hh_tes!Q27=0,0,11630*1000*SER_hh_tes!Q27/SER_hh_num!Q19)</f>
        <v>52.18140823782732</v>
      </c>
      <c r="R27" s="146">
        <f>IF(SER_hh_tes!R27=0,0,11630*1000*SER_hh_tes!R27/SER_hh_num!R19)</f>
        <v>63.948139995025947</v>
      </c>
      <c r="S27" s="146">
        <f>IF(SER_hh_tes!S27=0,0,11630*1000*SER_hh_tes!S27/SER_hh_num!S19)</f>
        <v>65.156110284859651</v>
      </c>
      <c r="T27" s="146">
        <f>IF(SER_hh_tes!T27=0,0,11630*1000*SER_hh_tes!T27/SER_hh_num!T19)</f>
        <v>71.992759263352383</v>
      </c>
      <c r="U27" s="146">
        <f>IF(SER_hh_tes!U27=0,0,11630*1000*SER_hh_tes!U27/SER_hh_num!U19)</f>
        <v>69.249931207604263</v>
      </c>
      <c r="V27" s="146">
        <f>IF(SER_hh_tes!V27=0,0,11630*1000*SER_hh_tes!V27/SER_hh_num!V19)</f>
        <v>72.683176917317709</v>
      </c>
      <c r="W27" s="146">
        <f>IF(SER_hh_tes!W27=0,0,11630*1000*SER_hh_tes!W27/SER_hh_num!W19)</f>
        <v>66.008584534437063</v>
      </c>
      <c r="DA27" s="159" t="s">
        <v>438</v>
      </c>
    </row>
    <row r="28" spans="1:105" ht="12" customHeight="1" x14ac:dyDescent="0.25">
      <c r="A28" s="78" t="s">
        <v>85</v>
      </c>
      <c r="B28" s="147">
        <f>IF(SER_hh_tes!B27=0,0,11630*1000*SER_hh_tes!B27/SER_hh_num!B27)</f>
        <v>7139.683988667889</v>
      </c>
      <c r="C28" s="147">
        <f>IF(SER_hh_tes!C27=0,0,11630*1000*SER_hh_tes!C27/SER_hh_num!C27)</f>
        <v>7266.2352124934123</v>
      </c>
      <c r="D28" s="147">
        <f>IF(SER_hh_tes!D27=0,0,11630*1000*SER_hh_tes!D27/SER_hh_num!D27)</f>
        <v>7154.0252883140984</v>
      </c>
      <c r="E28" s="147">
        <f>IF(SER_hh_tes!E27=0,0,11630*1000*SER_hh_tes!E27/SER_hh_num!E27)</f>
        <v>7099.3846102346752</v>
      </c>
      <c r="F28" s="147">
        <f>IF(SER_hh_tes!F27=0,0,11630*1000*SER_hh_tes!F27/SER_hh_num!F27)</f>
        <v>7331.6613933725612</v>
      </c>
      <c r="G28" s="147">
        <f>IF(SER_hh_tes!G27=0,0,11630*1000*SER_hh_tes!G27/SER_hh_num!G27)</f>
        <v>7134.3529600801894</v>
      </c>
      <c r="H28" s="147">
        <f>IF(SER_hh_tes!H27=0,0,11630*1000*SER_hh_tes!H27/SER_hh_num!H27)</f>
        <v>7063.8002494200673</v>
      </c>
      <c r="I28" s="147">
        <f>IF(SER_hh_tes!I27=0,0,11630*1000*SER_hh_tes!I27/SER_hh_num!I27)</f>
        <v>6724.0128514945627</v>
      </c>
      <c r="J28" s="147">
        <f>IF(SER_hh_tes!J27=0,0,11630*1000*SER_hh_tes!J27/SER_hh_num!J27)</f>
        <v>7308.2371108273765</v>
      </c>
      <c r="K28" s="147">
        <f>IF(SER_hh_tes!K27=0,0,11630*1000*SER_hh_tes!K27/SER_hh_num!K27)</f>
        <v>7313.7624914820681</v>
      </c>
      <c r="L28" s="147">
        <f>IF(SER_hh_tes!L27=0,0,11630*1000*SER_hh_tes!L27/SER_hh_num!L27)</f>
        <v>7271.6487950193132</v>
      </c>
      <c r="M28" s="147">
        <f>IF(SER_hh_tes!M27=0,0,11630*1000*SER_hh_tes!M27/SER_hh_num!M27)</f>
        <v>7471.5979813811327</v>
      </c>
      <c r="N28" s="147">
        <f>IF(SER_hh_tes!N27=0,0,11630*1000*SER_hh_tes!N27/SER_hh_num!N27)</f>
        <v>7497.5140114994419</v>
      </c>
      <c r="O28" s="147">
        <f>IF(SER_hh_tes!O27=0,0,11630*1000*SER_hh_tes!O27/SER_hh_num!O27)</f>
        <v>8460.3760469965255</v>
      </c>
      <c r="P28" s="147">
        <f>IF(SER_hh_tes!P27=0,0,11630*1000*SER_hh_tes!P27/SER_hh_num!P27)</f>
        <v>8764.0755724659884</v>
      </c>
      <c r="Q28" s="147">
        <f>IF(SER_hh_tes!Q27=0,0,11630*1000*SER_hh_tes!Q27/SER_hh_num!Q27)</f>
        <v>8470.22925689978</v>
      </c>
      <c r="R28" s="147">
        <f>IF(SER_hh_tes!R27=0,0,11630*1000*SER_hh_tes!R27/SER_hh_num!R27)</f>
        <v>7504.737141425011</v>
      </c>
      <c r="S28" s="147">
        <f>IF(SER_hh_tes!S27=0,0,11630*1000*SER_hh_tes!S27/SER_hh_num!S27)</f>
        <v>7263.7345708272524</v>
      </c>
      <c r="T28" s="147">
        <f>IF(SER_hh_tes!T27=0,0,11630*1000*SER_hh_tes!T27/SER_hh_num!T27)</f>
        <v>7595.8235346185074</v>
      </c>
      <c r="U28" s="147">
        <f>IF(SER_hh_tes!U27=0,0,11630*1000*SER_hh_tes!U27/SER_hh_num!U27)</f>
        <v>7494.9420731185273</v>
      </c>
      <c r="V28" s="147">
        <f>IF(SER_hh_tes!V27=0,0,11630*1000*SER_hh_tes!V27/SER_hh_num!V27)</f>
        <v>7840.8126330782588</v>
      </c>
      <c r="W28" s="147">
        <f>IF(SER_hh_tes!W27=0,0,11630*1000*SER_hh_tes!W27/SER_hh_num!W27)</f>
        <v>7974.750128150552</v>
      </c>
      <c r="DA28" s="160"/>
    </row>
    <row r="29" spans="1:105" ht="12.95" customHeight="1" x14ac:dyDescent="0.25">
      <c r="A29" s="130" t="s">
        <v>34</v>
      </c>
      <c r="B29" s="131">
        <f>IF(SER_hh_tes!B29=0,0,11630*1000*SER_hh_tes!B29/SER_hh_num!B29)</f>
        <v>9971.083552936967</v>
      </c>
      <c r="C29" s="131">
        <f>IF(SER_hh_tes!C29=0,0,11630*1000*SER_hh_tes!C29/SER_hh_num!C29)</f>
        <v>10199.158963919199</v>
      </c>
      <c r="D29" s="131">
        <f>IF(SER_hh_tes!D29=0,0,11630*1000*SER_hh_tes!D29/SER_hh_num!D29)</f>
        <v>10201.097981904271</v>
      </c>
      <c r="E29" s="131">
        <f>IF(SER_hh_tes!E29=0,0,11630*1000*SER_hh_tes!E29/SER_hh_num!E29)</f>
        <v>10001.054042052712</v>
      </c>
      <c r="F29" s="131">
        <f>IF(SER_hh_tes!F29=0,0,11630*1000*SER_hh_tes!F29/SER_hh_num!F29)</f>
        <v>10222.221573641713</v>
      </c>
      <c r="G29" s="131">
        <f>IF(SER_hh_tes!G29=0,0,11630*1000*SER_hh_tes!G29/SER_hh_num!G29)</f>
        <v>10337.581610669338</v>
      </c>
      <c r="H29" s="131">
        <f>IF(SER_hh_tes!H29=0,0,11630*1000*SER_hh_tes!H29/SER_hh_num!H29)</f>
        <v>10296.211661396854</v>
      </c>
      <c r="I29" s="131">
        <f>IF(SER_hh_tes!I29=0,0,11630*1000*SER_hh_tes!I29/SER_hh_num!I29)</f>
        <v>10495.665026839521</v>
      </c>
      <c r="J29" s="131">
        <f>IF(SER_hh_tes!J29=0,0,11630*1000*SER_hh_tes!J29/SER_hh_num!J29)</f>
        <v>10583.276804802603</v>
      </c>
      <c r="K29" s="131">
        <f>IF(SER_hh_tes!K29=0,0,11630*1000*SER_hh_tes!K29/SER_hh_num!K29)</f>
        <v>10799.370001647385</v>
      </c>
      <c r="L29" s="131">
        <f>IF(SER_hh_tes!L29=0,0,11630*1000*SER_hh_tes!L29/SER_hh_num!L29)</f>
        <v>10809.644238442415</v>
      </c>
      <c r="M29" s="131">
        <f>IF(SER_hh_tes!M29=0,0,11630*1000*SER_hh_tes!M29/SER_hh_num!M29)</f>
        <v>10730.822287005556</v>
      </c>
      <c r="N29" s="131">
        <f>IF(SER_hh_tes!N29=0,0,11630*1000*SER_hh_tes!N29/SER_hh_num!N29)</f>
        <v>10940.664226793264</v>
      </c>
      <c r="O29" s="131">
        <f>IF(SER_hh_tes!O29=0,0,11630*1000*SER_hh_tes!O29/SER_hh_num!O29)</f>
        <v>11029.580229798383</v>
      </c>
      <c r="P29" s="131">
        <f>IF(SER_hh_tes!P29=0,0,11630*1000*SER_hh_tes!P29/SER_hh_num!P29)</f>
        <v>11032.071498041812</v>
      </c>
      <c r="Q29" s="131">
        <f>IF(SER_hh_tes!Q29=0,0,11630*1000*SER_hh_tes!Q29/SER_hh_num!Q29)</f>
        <v>11209.110855205452</v>
      </c>
      <c r="R29" s="131">
        <f>IF(SER_hh_tes!R29=0,0,11630*1000*SER_hh_tes!R29/SER_hh_num!R29)</f>
        <v>11106.116310724927</v>
      </c>
      <c r="S29" s="131">
        <f>IF(SER_hh_tes!S29=0,0,11630*1000*SER_hh_tes!S29/SER_hh_num!S29)</f>
        <v>11085.966081947028</v>
      </c>
      <c r="T29" s="131">
        <f>IF(SER_hh_tes!T29=0,0,11630*1000*SER_hh_tes!T29/SER_hh_num!T29)</f>
        <v>11046.782007132335</v>
      </c>
      <c r="U29" s="131">
        <f>IF(SER_hh_tes!U29=0,0,11630*1000*SER_hh_tes!U29/SER_hh_num!U29)</f>
        <v>11025.761668501815</v>
      </c>
      <c r="V29" s="131">
        <f>IF(SER_hh_tes!V29=0,0,11630*1000*SER_hh_tes!V29/SER_hh_num!V29)</f>
        <v>10557.688042157362</v>
      </c>
      <c r="W29" s="131">
        <f>IF(SER_hh_tes!W29=0,0,11630*1000*SER_hh_tes!W29/SER_hh_num!W29)</f>
        <v>11081.584532988862</v>
      </c>
      <c r="DA29" s="156" t="s">
        <v>439</v>
      </c>
    </row>
    <row r="30" spans="1:105" ht="12" customHeight="1" x14ac:dyDescent="0.25">
      <c r="A30" s="132" t="s">
        <v>52</v>
      </c>
      <c r="B30" s="133">
        <f>IF(SER_hh_tes!B30=0,0,11630*1000*SER_hh_tes!B30/SER_hh_num!B30)</f>
        <v>10111.629537956629</v>
      </c>
      <c r="C30" s="133">
        <f>IF(SER_hh_tes!C30=0,0,11630*1000*SER_hh_tes!C30/SER_hh_num!C30)</f>
        <v>10739.729404524529</v>
      </c>
      <c r="D30" s="133">
        <f>IF(SER_hh_tes!D30=0,0,11630*1000*SER_hh_tes!D30/SER_hh_num!D30)</f>
        <v>9867.0147096738674</v>
      </c>
      <c r="E30" s="133">
        <f>IF(SER_hh_tes!E30=0,0,11630*1000*SER_hh_tes!E30/SER_hh_num!E30)</f>
        <v>9435.9174815368297</v>
      </c>
      <c r="F30" s="133">
        <f>IF(SER_hh_tes!F30=0,0,11630*1000*SER_hh_tes!F30/SER_hh_num!F30)</f>
        <v>13003.98534400895</v>
      </c>
      <c r="G30" s="133">
        <f>IF(SER_hh_tes!G30=0,0,11630*1000*SER_hh_tes!G30/SER_hh_num!G30)</f>
        <v>4976.0428469660228</v>
      </c>
      <c r="H30" s="133">
        <f>IF(SER_hh_tes!H30=0,0,11630*1000*SER_hh_tes!H30/SER_hh_num!H30)</f>
        <v>7097.2578656910755</v>
      </c>
      <c r="I30" s="133">
        <f>IF(SER_hh_tes!I30=0,0,11630*1000*SER_hh_tes!I30/SER_hh_num!I30)</f>
        <v>9350.7430493732427</v>
      </c>
      <c r="J30" s="133">
        <f>IF(SER_hh_tes!J30=0,0,11630*1000*SER_hh_tes!J30/SER_hh_num!J30)</f>
        <v>10925.753387979717</v>
      </c>
      <c r="K30" s="133">
        <f>IF(SER_hh_tes!K30=0,0,11630*1000*SER_hh_tes!K30/SER_hh_num!K30)</f>
        <v>10598.256281142762</v>
      </c>
      <c r="L30" s="133">
        <f>IF(SER_hh_tes!L30=0,0,11630*1000*SER_hh_tes!L30/SER_hh_num!L30)</f>
        <v>12719.504188881467</v>
      </c>
      <c r="M30" s="133">
        <f>IF(SER_hh_tes!M30=0,0,11630*1000*SER_hh_tes!M30/SER_hh_num!M30)</f>
        <v>9585.3875711888977</v>
      </c>
      <c r="N30" s="133">
        <f>IF(SER_hh_tes!N30=0,0,11630*1000*SER_hh_tes!N30/SER_hh_num!N30)</f>
        <v>10675.455428371004</v>
      </c>
      <c r="O30" s="133">
        <f>IF(SER_hh_tes!O30=0,0,11630*1000*SER_hh_tes!O30/SER_hh_num!O30)</f>
        <v>11457.856692808344</v>
      </c>
      <c r="P30" s="133">
        <f>IF(SER_hh_tes!P30=0,0,11630*1000*SER_hh_tes!P30/SER_hh_num!P30)</f>
        <v>8724.7349828772094</v>
      </c>
      <c r="Q30" s="133">
        <f>IF(SER_hh_tes!Q30=0,0,11630*1000*SER_hh_tes!Q30/SER_hh_num!Q30)</f>
        <v>13536.538626106836</v>
      </c>
      <c r="R30" s="133">
        <f>IF(SER_hh_tes!R30=0,0,11630*1000*SER_hh_tes!R30/SER_hh_num!R30)</f>
        <v>10157.619255081721</v>
      </c>
      <c r="S30" s="133">
        <f>IF(SER_hh_tes!S30=0,0,11630*1000*SER_hh_tes!S30/SER_hh_num!S30)</f>
        <v>11306.4373066928</v>
      </c>
      <c r="T30" s="133">
        <f>IF(SER_hh_tes!T30=0,0,11630*1000*SER_hh_tes!T30/SER_hh_num!T30)</f>
        <v>10563.316924052244</v>
      </c>
      <c r="U30" s="133">
        <f>IF(SER_hh_tes!U30=0,0,11630*1000*SER_hh_tes!U30/SER_hh_num!U30)</f>
        <v>10388.320317350695</v>
      </c>
      <c r="V30" s="133">
        <f>IF(SER_hh_tes!V30=0,0,11630*1000*SER_hh_tes!V30/SER_hh_num!V30)</f>
        <v>11073.345102968184</v>
      </c>
      <c r="W30" s="133">
        <f>IF(SER_hh_tes!W30=0,0,11630*1000*SER_hh_tes!W30/SER_hh_num!W30)</f>
        <v>11175.541554712385</v>
      </c>
      <c r="DA30" s="157" t="s">
        <v>440</v>
      </c>
    </row>
    <row r="31" spans="1:105" ht="12" customHeight="1" x14ac:dyDescent="0.25">
      <c r="A31" s="132" t="s">
        <v>153</v>
      </c>
      <c r="B31" s="133">
        <f>IF(SER_hh_tes!B31=0,0,11630*1000*SER_hh_tes!B31/SER_hh_num!B31)</f>
        <v>10081.678914966244</v>
      </c>
      <c r="C31" s="133">
        <f>IF(SER_hh_tes!C31=0,0,11630*1000*SER_hh_tes!C31/SER_hh_num!C31)</f>
        <v>10041.585607226625</v>
      </c>
      <c r="D31" s="133">
        <f>IF(SER_hh_tes!D31=0,0,11630*1000*SER_hh_tes!D31/SER_hh_num!D31)</f>
        <v>10081.940681628363</v>
      </c>
      <c r="E31" s="133">
        <f>IF(SER_hh_tes!E31=0,0,11630*1000*SER_hh_tes!E31/SER_hh_num!E31)</f>
        <v>10136.684677264046</v>
      </c>
      <c r="F31" s="133">
        <f>IF(SER_hh_tes!F31=0,0,11630*1000*SER_hh_tes!F31/SER_hh_num!F31)</f>
        <v>10196.559172686035</v>
      </c>
      <c r="G31" s="133">
        <f>IF(SER_hh_tes!G31=0,0,11630*1000*SER_hh_tes!G31/SER_hh_num!G31)</f>
        <v>10335.238285506446</v>
      </c>
      <c r="H31" s="133">
        <f>IF(SER_hh_tes!H31=0,0,11630*1000*SER_hh_tes!H31/SER_hh_num!H31)</f>
        <v>10353.250726250395</v>
      </c>
      <c r="I31" s="133">
        <f>IF(SER_hh_tes!I31=0,0,11630*1000*SER_hh_tes!I31/SER_hh_num!I31)</f>
        <v>10464.321281441296</v>
      </c>
      <c r="J31" s="133">
        <f>IF(SER_hh_tes!J31=0,0,11630*1000*SER_hh_tes!J31/SER_hh_num!J31)</f>
        <v>10633.835942098014</v>
      </c>
      <c r="K31" s="133">
        <f>IF(SER_hh_tes!K31=0,0,11630*1000*SER_hh_tes!K31/SER_hh_num!K31)</f>
        <v>10696.973031350379</v>
      </c>
      <c r="L31" s="133">
        <f>IF(SER_hh_tes!L31=0,0,11630*1000*SER_hh_tes!L31/SER_hh_num!L31)</f>
        <v>10733.460287439821</v>
      </c>
      <c r="M31" s="133">
        <f>IF(SER_hh_tes!M31=0,0,11630*1000*SER_hh_tes!M31/SER_hh_num!M31)</f>
        <v>10789.65290708437</v>
      </c>
      <c r="N31" s="133">
        <f>IF(SER_hh_tes!N31=0,0,11630*1000*SER_hh_tes!N31/SER_hh_num!N31)</f>
        <v>10965.612159368697</v>
      </c>
      <c r="O31" s="133">
        <f>IF(SER_hh_tes!O31=0,0,11630*1000*SER_hh_tes!O31/SER_hh_num!O31)</f>
        <v>11011.610904089805</v>
      </c>
      <c r="P31" s="133">
        <f>IF(SER_hh_tes!P31=0,0,11630*1000*SER_hh_tes!P31/SER_hh_num!P31)</f>
        <v>11103.169950104493</v>
      </c>
      <c r="Q31" s="133">
        <f>IF(SER_hh_tes!Q31=0,0,11630*1000*SER_hh_tes!Q31/SER_hh_num!Q31)</f>
        <v>11135.728262362758</v>
      </c>
      <c r="R31" s="133">
        <f>IF(SER_hh_tes!R31=0,0,11630*1000*SER_hh_tes!R31/SER_hh_num!R31)</f>
        <v>11120.80314920598</v>
      </c>
      <c r="S31" s="133">
        <f>IF(SER_hh_tes!S31=0,0,11630*1000*SER_hh_tes!S31/SER_hh_num!S31)</f>
        <v>11077.167759402058</v>
      </c>
      <c r="T31" s="133">
        <f>IF(SER_hh_tes!T31=0,0,11630*1000*SER_hh_tes!T31/SER_hh_num!T31)</f>
        <v>11046.123893371327</v>
      </c>
      <c r="U31" s="133">
        <f>IF(SER_hh_tes!U31=0,0,11630*1000*SER_hh_tes!U31/SER_hh_num!U31)</f>
        <v>11043.048469005862</v>
      </c>
      <c r="V31" s="133">
        <f>IF(SER_hh_tes!V31=0,0,11630*1000*SER_hh_tes!V31/SER_hh_num!V31)</f>
        <v>10518.412926731624</v>
      </c>
      <c r="W31" s="133">
        <f>IF(SER_hh_tes!W31=0,0,11630*1000*SER_hh_tes!W31/SER_hh_num!W31)</f>
        <v>11137.634397962562</v>
      </c>
      <c r="DA31" s="157" t="s">
        <v>441</v>
      </c>
    </row>
    <row r="32" spans="1:105" ht="12" customHeight="1" x14ac:dyDescent="0.25">
      <c r="A32" s="132" t="s">
        <v>128</v>
      </c>
      <c r="B32" s="133">
        <f>IF(SER_hh_tes!B32=0,0,11630*1000*SER_hh_tes!B32/SER_hh_num!B32)</f>
        <v>0</v>
      </c>
      <c r="C32" s="133">
        <f>IF(SER_hh_tes!C32=0,0,11630*1000*SER_hh_tes!C32/SER_hh_num!C32)</f>
        <v>0</v>
      </c>
      <c r="D32" s="133">
        <f>IF(SER_hh_tes!D32=0,0,11630*1000*SER_hh_tes!D32/SER_hh_num!D32)</f>
        <v>0</v>
      </c>
      <c r="E32" s="133">
        <f>IF(SER_hh_tes!E32=0,0,11630*1000*SER_hh_tes!E32/SER_hh_num!E32)</f>
        <v>0</v>
      </c>
      <c r="F32" s="133">
        <f>IF(SER_hh_tes!F32=0,0,11630*1000*SER_hh_tes!F32/SER_hh_num!F32)</f>
        <v>0</v>
      </c>
      <c r="G32" s="133">
        <f>IF(SER_hh_tes!G32=0,0,11630*1000*SER_hh_tes!G32/SER_hh_num!G32)</f>
        <v>0</v>
      </c>
      <c r="H32" s="133">
        <f>IF(SER_hh_tes!H32=0,0,11630*1000*SER_hh_tes!H32/SER_hh_num!H32)</f>
        <v>0</v>
      </c>
      <c r="I32" s="133">
        <f>IF(SER_hh_tes!I32=0,0,11630*1000*SER_hh_tes!I32/SER_hh_num!I32)</f>
        <v>0</v>
      </c>
      <c r="J32" s="133">
        <f>IF(SER_hh_tes!J32=0,0,11630*1000*SER_hh_tes!J32/SER_hh_num!J32)</f>
        <v>13601.208827917982</v>
      </c>
      <c r="K32" s="133">
        <f>IF(SER_hh_tes!K32=0,0,11630*1000*SER_hh_tes!K32/SER_hh_num!K32)</f>
        <v>7865.6561979978133</v>
      </c>
      <c r="L32" s="133">
        <f>IF(SER_hh_tes!L32=0,0,11630*1000*SER_hh_tes!L32/SER_hh_num!L32)</f>
        <v>13576.765116391658</v>
      </c>
      <c r="M32" s="133">
        <f>IF(SER_hh_tes!M32=0,0,11630*1000*SER_hh_tes!M32/SER_hh_num!M32)</f>
        <v>12726.319081329639</v>
      </c>
      <c r="N32" s="133">
        <f>IF(SER_hh_tes!N32=0,0,11630*1000*SER_hh_tes!N32/SER_hh_num!N32)</f>
        <v>6879.4549361291665</v>
      </c>
      <c r="O32" s="133">
        <f>IF(SER_hh_tes!O32=0,0,11630*1000*SER_hh_tes!O32/SER_hh_num!O32)</f>
        <v>11154.310019322082</v>
      </c>
      <c r="P32" s="133">
        <f>IF(SER_hh_tes!P32=0,0,11630*1000*SER_hh_tes!P32/SER_hh_num!P32)</f>
        <v>11462.438715901493</v>
      </c>
      <c r="Q32" s="133">
        <f>IF(SER_hh_tes!Q32=0,0,11630*1000*SER_hh_tes!Q32/SER_hh_num!Q32)</f>
        <v>11859.452177482131</v>
      </c>
      <c r="R32" s="133">
        <f>IF(SER_hh_tes!R32=0,0,11630*1000*SER_hh_tes!R32/SER_hh_num!R32)</f>
        <v>11406.118892029706</v>
      </c>
      <c r="S32" s="133">
        <f>IF(SER_hh_tes!S32=0,0,11630*1000*SER_hh_tes!S32/SER_hh_num!S32)</f>
        <v>10989.553674424582</v>
      </c>
      <c r="T32" s="133">
        <f>IF(SER_hh_tes!T32=0,0,11630*1000*SER_hh_tes!T32/SER_hh_num!T32)</f>
        <v>11525.230571952261</v>
      </c>
      <c r="U32" s="133">
        <f>IF(SER_hh_tes!U32=0,0,11630*1000*SER_hh_tes!U32/SER_hh_num!U32)</f>
        <v>14980.88542662878</v>
      </c>
      <c r="V32" s="133">
        <f>IF(SER_hh_tes!V32=0,0,11630*1000*SER_hh_tes!V32/SER_hh_num!V32)</f>
        <v>5617.0082071589732</v>
      </c>
      <c r="W32" s="133">
        <f>IF(SER_hh_tes!W32=0,0,11630*1000*SER_hh_tes!W32/SER_hh_num!W32)</f>
        <v>11567.743551663942</v>
      </c>
      <c r="DA32" s="157" t="s">
        <v>442</v>
      </c>
    </row>
    <row r="33" spans="1:105" ht="12" customHeight="1" x14ac:dyDescent="0.25">
      <c r="A33" s="62" t="s">
        <v>24</v>
      </c>
      <c r="B33" s="68">
        <f>IF(SER_hh_tes!B33=0,0,11630*1000*SER_hh_tes!B33/SER_hh_num!B33)</f>
        <v>9505.7301283466495</v>
      </c>
      <c r="C33" s="68">
        <f>IF(SER_hh_tes!C33=0,0,11630*1000*SER_hh_tes!C33/SER_hh_num!C33)</f>
        <v>10067.887024247382</v>
      </c>
      <c r="D33" s="68">
        <f>IF(SER_hh_tes!D33=0,0,11630*1000*SER_hh_tes!D33/SER_hh_num!D33)</f>
        <v>10611.074152388737</v>
      </c>
      <c r="E33" s="68">
        <f>IF(SER_hh_tes!E33=0,0,11630*1000*SER_hh_tes!E33/SER_hh_num!E33)</f>
        <v>10010.868616898639</v>
      </c>
      <c r="F33" s="68">
        <f>IF(SER_hh_tes!F33=0,0,11630*1000*SER_hh_tes!F33/SER_hh_num!F33)</f>
        <v>9555.0785950377649</v>
      </c>
      <c r="G33" s="68">
        <f>IF(SER_hh_tes!G33=0,0,11630*1000*SER_hh_tes!G33/SER_hh_num!G33)</f>
        <v>10988.199622250768</v>
      </c>
      <c r="H33" s="68">
        <f>IF(SER_hh_tes!H33=0,0,11630*1000*SER_hh_tes!H33/SER_hh_num!H33)</f>
        <v>10461.635016535152</v>
      </c>
      <c r="I33" s="68">
        <f>IF(SER_hh_tes!I33=0,0,11630*1000*SER_hh_tes!I33/SER_hh_num!I33)</f>
        <v>10580.396071965326</v>
      </c>
      <c r="J33" s="68">
        <f>IF(SER_hh_tes!J33=0,0,11630*1000*SER_hh_tes!J33/SER_hh_num!J33)</f>
        <v>10510.655272706108</v>
      </c>
      <c r="K33" s="68">
        <f>IF(SER_hh_tes!K33=0,0,11630*1000*SER_hh_tes!K33/SER_hh_num!K33)</f>
        <v>10918.702408096602</v>
      </c>
      <c r="L33" s="68">
        <f>IF(SER_hh_tes!L33=0,0,11630*1000*SER_hh_tes!L33/SER_hh_num!L33)</f>
        <v>10753.662522075467</v>
      </c>
      <c r="M33" s="68">
        <f>IF(SER_hh_tes!M33=0,0,11630*1000*SER_hh_tes!M33/SER_hh_num!M33)</f>
        <v>10727.757561485068</v>
      </c>
      <c r="N33" s="68">
        <f>IF(SER_hh_tes!N33=0,0,11630*1000*SER_hh_tes!N33/SER_hh_num!N33)</f>
        <v>10953.808354127978</v>
      </c>
      <c r="O33" s="68">
        <f>IF(SER_hh_tes!O33=0,0,11630*1000*SER_hh_tes!O33/SER_hh_num!O33)</f>
        <v>11022.610304592521</v>
      </c>
      <c r="P33" s="68">
        <f>IF(SER_hh_tes!P33=0,0,11630*1000*SER_hh_tes!P33/SER_hh_num!P33)</f>
        <v>11086.929153616407</v>
      </c>
      <c r="Q33" s="68">
        <f>IF(SER_hh_tes!Q33=0,0,11630*1000*SER_hh_tes!Q33/SER_hh_num!Q33)</f>
        <v>11125.555063572949</v>
      </c>
      <c r="R33" s="68">
        <f>IF(SER_hh_tes!R33=0,0,11630*1000*SER_hh_tes!R33/SER_hh_num!R33)</f>
        <v>11148.340190553021</v>
      </c>
      <c r="S33" s="68">
        <f>IF(SER_hh_tes!S33=0,0,11630*1000*SER_hh_tes!S33/SER_hh_num!S33)</f>
        <v>11080.490299749754</v>
      </c>
      <c r="T33" s="68">
        <f>IF(SER_hh_tes!T33=0,0,11630*1000*SER_hh_tes!T33/SER_hh_num!T33)</f>
        <v>11075.783859270041</v>
      </c>
      <c r="U33" s="68">
        <f>IF(SER_hh_tes!U33=0,0,11630*1000*SER_hh_tes!U33/SER_hh_num!U33)</f>
        <v>11025.453267097246</v>
      </c>
      <c r="V33" s="68">
        <f>IF(SER_hh_tes!V33=0,0,11630*1000*SER_hh_tes!V33/SER_hh_num!V33)</f>
        <v>10573.166320477863</v>
      </c>
      <c r="W33" s="68">
        <f>IF(SER_hh_tes!W33=0,0,11630*1000*SER_hh_tes!W33/SER_hh_num!W33)</f>
        <v>11020.768359625548</v>
      </c>
      <c r="DA33" s="111" t="s">
        <v>443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444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89</v>
      </c>
      <c r="B3" s="126">
        <f>IF(SER_hh_emi!B3=0,0,1000000*SER_hh_emi!B3/SER_hh_num!B3)</f>
        <v>32335.346101044132</v>
      </c>
      <c r="C3" s="126">
        <f>IF(SER_hh_emi!C3=0,0,1000000*SER_hh_emi!C3/SER_hh_num!C3)</f>
        <v>33501.915077159116</v>
      </c>
      <c r="D3" s="126">
        <f>IF(SER_hh_emi!D3=0,0,1000000*SER_hh_emi!D3/SER_hh_num!D3)</f>
        <v>35433.683027443665</v>
      </c>
      <c r="E3" s="126">
        <f>IF(SER_hh_emi!E3=0,0,1000000*SER_hh_emi!E3/SER_hh_num!E3)</f>
        <v>37940.505519245904</v>
      </c>
      <c r="F3" s="126">
        <f>IF(SER_hh_emi!F3=0,0,1000000*SER_hh_emi!F3/SER_hh_num!F3)</f>
        <v>36400.708855451936</v>
      </c>
      <c r="G3" s="126">
        <f>IF(SER_hh_emi!G3=0,0,1000000*SER_hh_emi!G3/SER_hh_num!G3)</f>
        <v>35035.738308913518</v>
      </c>
      <c r="H3" s="126">
        <f>IF(SER_hh_emi!H3=0,0,1000000*SER_hh_emi!H3/SER_hh_num!H3)</f>
        <v>32072.294675545003</v>
      </c>
      <c r="I3" s="126">
        <f>IF(SER_hh_emi!I3=0,0,1000000*SER_hh_emi!I3/SER_hh_num!I3)</f>
        <v>28449.440641335248</v>
      </c>
      <c r="J3" s="126">
        <f>IF(SER_hh_emi!J3=0,0,1000000*SER_hh_emi!J3/SER_hh_num!J3)</f>
        <v>32872.966281898538</v>
      </c>
      <c r="K3" s="126">
        <f>IF(SER_hh_emi!K3=0,0,1000000*SER_hh_emi!K3/SER_hh_num!K3)</f>
        <v>31008.222676606347</v>
      </c>
      <c r="L3" s="126">
        <f>IF(SER_hh_emi!L3=0,0,1000000*SER_hh_emi!L3/SER_hh_num!L3)</f>
        <v>33455.6127950109</v>
      </c>
      <c r="M3" s="126">
        <f>IF(SER_hh_emi!M3=0,0,1000000*SER_hh_emi!M3/SER_hh_num!M3)</f>
        <v>27210.062442741088</v>
      </c>
      <c r="N3" s="126">
        <f>IF(SER_hh_emi!N3=0,0,1000000*SER_hh_emi!N3/SER_hh_num!N3)</f>
        <v>28730.910431238666</v>
      </c>
      <c r="O3" s="126">
        <f>IF(SER_hh_emi!O3=0,0,1000000*SER_hh_emi!O3/SER_hh_num!O3)</f>
        <v>31609.862355685938</v>
      </c>
      <c r="P3" s="126">
        <f>IF(SER_hh_emi!P3=0,0,1000000*SER_hh_emi!P3/SER_hh_num!P3)</f>
        <v>25051.412706880546</v>
      </c>
      <c r="Q3" s="126">
        <f>IF(SER_hh_emi!Q3=0,0,1000000*SER_hh_emi!Q3/SER_hh_num!Q3)</f>
        <v>28706.150595206975</v>
      </c>
      <c r="R3" s="126">
        <f>IF(SER_hh_emi!R3=0,0,1000000*SER_hh_emi!R3/SER_hh_num!R3)</f>
        <v>28431.574977079832</v>
      </c>
      <c r="S3" s="126">
        <f>IF(SER_hh_emi!S3=0,0,1000000*SER_hh_emi!S3/SER_hh_num!S3)</f>
        <v>28096.283520215351</v>
      </c>
      <c r="T3" s="126">
        <f>IF(SER_hh_emi!T3=0,0,1000000*SER_hh_emi!T3/SER_hh_num!T3)</f>
        <v>27817.994830338481</v>
      </c>
      <c r="U3" s="126">
        <f>IF(SER_hh_emi!U3=0,0,1000000*SER_hh_emi!U3/SER_hh_num!U3)</f>
        <v>26952.888390910986</v>
      </c>
      <c r="V3" s="126">
        <f>IF(SER_hh_emi!V3=0,0,1000000*SER_hh_emi!V3/SER_hh_num!V3)</f>
        <v>25757.830107356363</v>
      </c>
      <c r="W3" s="126">
        <f>IF(SER_hh_emi!W3=0,0,1000000*SER_hh_emi!W3/SER_hh_num!W3)</f>
        <v>26362.101326385407</v>
      </c>
      <c r="DA3" s="155" t="s">
        <v>445</v>
      </c>
    </row>
    <row r="4" spans="1:105" ht="12.95" customHeight="1" x14ac:dyDescent="0.25">
      <c r="A4" s="130" t="s">
        <v>32</v>
      </c>
      <c r="B4" s="131">
        <f>IF(SER_hh_emi!B4=0,0,1000000*SER_hh_emi!B4/SER_hh_num!B4)</f>
        <v>25542.334803359456</v>
      </c>
      <c r="C4" s="131">
        <f>IF(SER_hh_emi!C4=0,0,1000000*SER_hh_emi!C4/SER_hh_num!C4)</f>
        <v>26788.742207029511</v>
      </c>
      <c r="D4" s="131">
        <f>IF(SER_hh_emi!D4=0,0,1000000*SER_hh_emi!D4/SER_hh_num!D4)</f>
        <v>29201.952675344703</v>
      </c>
      <c r="E4" s="131">
        <f>IF(SER_hh_emi!E4=0,0,1000000*SER_hh_emi!E4/SER_hh_num!E4)</f>
        <v>31914.197770850122</v>
      </c>
      <c r="F4" s="131">
        <f>IF(SER_hh_emi!F4=0,0,1000000*SER_hh_emi!F4/SER_hh_num!F4)</f>
        <v>30495.050733610271</v>
      </c>
      <c r="G4" s="131">
        <f>IF(SER_hh_emi!G4=0,0,1000000*SER_hh_emi!G4/SER_hh_num!G4)</f>
        <v>29657.620962964054</v>
      </c>
      <c r="H4" s="131">
        <f>IF(SER_hh_emi!H4=0,0,1000000*SER_hh_emi!H4/SER_hh_num!H4)</f>
        <v>26824.756152025067</v>
      </c>
      <c r="I4" s="131">
        <f>IF(SER_hh_emi!I4=0,0,1000000*SER_hh_emi!I4/SER_hh_num!I4)</f>
        <v>23322.525020202902</v>
      </c>
      <c r="J4" s="131">
        <f>IF(SER_hh_emi!J4=0,0,1000000*SER_hh_emi!J4/SER_hh_num!J4)</f>
        <v>27841.556467839426</v>
      </c>
      <c r="K4" s="131">
        <f>IF(SER_hh_emi!K4=0,0,1000000*SER_hh_emi!K4/SER_hh_num!K4)</f>
        <v>25956.946605239838</v>
      </c>
      <c r="L4" s="131">
        <f>IF(SER_hh_emi!L4=0,0,1000000*SER_hh_emi!L4/SER_hh_num!L4)</f>
        <v>28466.014690420645</v>
      </c>
      <c r="M4" s="131">
        <f>IF(SER_hh_emi!M4=0,0,1000000*SER_hh_emi!M4/SER_hh_num!M4)</f>
        <v>22286.999413762962</v>
      </c>
      <c r="N4" s="131">
        <f>IF(SER_hh_emi!N4=0,0,1000000*SER_hh_emi!N4/SER_hh_num!N4)</f>
        <v>23784.553331335639</v>
      </c>
      <c r="O4" s="131">
        <f>IF(SER_hh_emi!O4=0,0,1000000*SER_hh_emi!O4/SER_hh_num!O4)</f>
        <v>26645.425685657076</v>
      </c>
      <c r="P4" s="131">
        <f>IF(SER_hh_emi!P4=0,0,1000000*SER_hh_emi!P4/SER_hh_num!P4)</f>
        <v>20129.381374562996</v>
      </c>
      <c r="Q4" s="131">
        <f>IF(SER_hh_emi!Q4=0,0,1000000*SER_hh_emi!Q4/SER_hh_num!Q4)</f>
        <v>23719.343777849717</v>
      </c>
      <c r="R4" s="131">
        <f>IF(SER_hh_emi!R4=0,0,1000000*SER_hh_emi!R4/SER_hh_num!R4)</f>
        <v>23567.427104354065</v>
      </c>
      <c r="S4" s="131">
        <f>IF(SER_hh_emi!S4=0,0,1000000*SER_hh_emi!S4/SER_hh_num!S4)</f>
        <v>23279.580389342322</v>
      </c>
      <c r="T4" s="131">
        <f>IF(SER_hh_emi!T4=0,0,1000000*SER_hh_emi!T4/SER_hh_num!T4)</f>
        <v>23109.049820007647</v>
      </c>
      <c r="U4" s="131">
        <f>IF(SER_hh_emi!U4=0,0,1000000*SER_hh_emi!U4/SER_hh_num!U4)</f>
        <v>22330.750687327196</v>
      </c>
      <c r="V4" s="131">
        <f>IF(SER_hh_emi!V4=0,0,1000000*SER_hh_emi!V4/SER_hh_num!V4)</f>
        <v>21439.52581432966</v>
      </c>
      <c r="W4" s="131">
        <f>IF(SER_hh_emi!W4=0,0,1000000*SER_hh_emi!W4/SER_hh_num!W4)</f>
        <v>21806.423321016358</v>
      </c>
      <c r="DA4" s="156" t="s">
        <v>446</v>
      </c>
    </row>
    <row r="5" spans="1:105" ht="12" customHeight="1" x14ac:dyDescent="0.25">
      <c r="A5" s="132" t="s">
        <v>29</v>
      </c>
      <c r="B5" s="133">
        <f>IF(SER_hh_emi!B5=0,0,1000000*SER_hh_emi!B5/SER_hh_num!B5)</f>
        <v>0</v>
      </c>
      <c r="C5" s="133">
        <f>IF(SER_hh_emi!C5=0,0,1000000*SER_hh_emi!C5/SER_hh_num!C5)</f>
        <v>0</v>
      </c>
      <c r="D5" s="133">
        <f>IF(SER_hh_emi!D5=0,0,1000000*SER_hh_emi!D5/SER_hh_num!D5)</f>
        <v>0</v>
      </c>
      <c r="E5" s="133">
        <f>IF(SER_hh_emi!E5=0,0,1000000*SER_hh_emi!E5/SER_hh_num!E5)</f>
        <v>0</v>
      </c>
      <c r="F5" s="133">
        <f>IF(SER_hh_emi!F5=0,0,1000000*SER_hh_emi!F5/SER_hh_num!F5)</f>
        <v>0</v>
      </c>
      <c r="G5" s="133">
        <f>IF(SER_hh_emi!G5=0,0,1000000*SER_hh_emi!G5/SER_hh_num!G5)</f>
        <v>0</v>
      </c>
      <c r="H5" s="133">
        <f>IF(SER_hh_emi!H5=0,0,1000000*SER_hh_emi!H5/SER_hh_num!H5)</f>
        <v>0</v>
      </c>
      <c r="I5" s="133">
        <f>IF(SER_hh_emi!I5=0,0,1000000*SER_hh_emi!I5/SER_hh_num!I5)</f>
        <v>0</v>
      </c>
      <c r="J5" s="133">
        <f>IF(SER_hh_emi!J5=0,0,1000000*SER_hh_emi!J5/SER_hh_num!J5)</f>
        <v>0</v>
      </c>
      <c r="K5" s="133">
        <f>IF(SER_hh_emi!K5=0,0,1000000*SER_hh_emi!K5/SER_hh_num!K5)</f>
        <v>0</v>
      </c>
      <c r="L5" s="133">
        <f>IF(SER_hh_emi!L5=0,0,1000000*SER_hh_emi!L5/SER_hh_num!L5)</f>
        <v>0</v>
      </c>
      <c r="M5" s="133">
        <f>IF(SER_hh_emi!M5=0,0,1000000*SER_hh_emi!M5/SER_hh_num!M5)</f>
        <v>0</v>
      </c>
      <c r="N5" s="133">
        <f>IF(SER_hh_emi!N5=0,0,1000000*SER_hh_emi!N5/SER_hh_num!N5)</f>
        <v>0</v>
      </c>
      <c r="O5" s="133">
        <f>IF(SER_hh_emi!O5=0,0,1000000*SER_hh_emi!O5/SER_hh_num!O5)</f>
        <v>0</v>
      </c>
      <c r="P5" s="133">
        <f>IF(SER_hh_emi!P5=0,0,1000000*SER_hh_emi!P5/SER_hh_num!P5)</f>
        <v>0</v>
      </c>
      <c r="Q5" s="133">
        <f>IF(SER_hh_emi!Q5=0,0,1000000*SER_hh_emi!Q5/SER_hh_num!Q5)</f>
        <v>0</v>
      </c>
      <c r="R5" s="133">
        <f>IF(SER_hh_emi!R5=0,0,1000000*SER_hh_emi!R5/SER_hh_num!R5)</f>
        <v>0</v>
      </c>
      <c r="S5" s="133">
        <f>IF(SER_hh_emi!S5=0,0,1000000*SER_hh_emi!S5/SER_hh_num!S5)</f>
        <v>0</v>
      </c>
      <c r="T5" s="133">
        <f>IF(SER_hh_emi!T5=0,0,1000000*SER_hh_emi!T5/SER_hh_num!T5)</f>
        <v>0</v>
      </c>
      <c r="U5" s="133">
        <f>IF(SER_hh_emi!U5=0,0,1000000*SER_hh_emi!U5/SER_hh_num!U5)</f>
        <v>0</v>
      </c>
      <c r="V5" s="133">
        <f>IF(SER_hh_emi!V5=0,0,1000000*SER_hh_emi!V5/SER_hh_num!V5)</f>
        <v>0</v>
      </c>
      <c r="W5" s="133">
        <f>IF(SER_hh_emi!W5=0,0,1000000*SER_hh_emi!W5/SER_hh_num!W5)</f>
        <v>0</v>
      </c>
      <c r="DA5" s="157" t="s">
        <v>447</v>
      </c>
    </row>
    <row r="6" spans="1:105" ht="12" customHeight="1" x14ac:dyDescent="0.25">
      <c r="A6" s="132" t="s">
        <v>52</v>
      </c>
      <c r="B6" s="133">
        <f>IF(SER_hh_emi!B6=0,0,1000000*SER_hh_emi!B6/SER_hh_num!B6)</f>
        <v>0</v>
      </c>
      <c r="C6" s="133">
        <f>IF(SER_hh_emi!C6=0,0,1000000*SER_hh_emi!C6/SER_hh_num!C6)</f>
        <v>0</v>
      </c>
      <c r="D6" s="133">
        <f>IF(SER_hh_emi!D6=0,0,1000000*SER_hh_emi!D6/SER_hh_num!D6)</f>
        <v>0</v>
      </c>
      <c r="E6" s="133">
        <f>IF(SER_hh_emi!E6=0,0,1000000*SER_hh_emi!E6/SER_hh_num!E6)</f>
        <v>0</v>
      </c>
      <c r="F6" s="133">
        <f>IF(SER_hh_emi!F6=0,0,1000000*SER_hh_emi!F6/SER_hh_num!F6)</f>
        <v>0</v>
      </c>
      <c r="G6" s="133">
        <f>IF(SER_hh_emi!G6=0,0,1000000*SER_hh_emi!G6/SER_hh_num!G6)</f>
        <v>0</v>
      </c>
      <c r="H6" s="133">
        <f>IF(SER_hh_emi!H6=0,0,1000000*SER_hh_emi!H6/SER_hh_num!H6)</f>
        <v>0</v>
      </c>
      <c r="I6" s="133">
        <f>IF(SER_hh_emi!I6=0,0,1000000*SER_hh_emi!I6/SER_hh_num!I6)</f>
        <v>0</v>
      </c>
      <c r="J6" s="133">
        <f>IF(SER_hh_emi!J6=0,0,1000000*SER_hh_emi!J6/SER_hh_num!J6)</f>
        <v>0</v>
      </c>
      <c r="K6" s="133">
        <f>IF(SER_hh_emi!K6=0,0,1000000*SER_hh_emi!K6/SER_hh_num!K6)</f>
        <v>0</v>
      </c>
      <c r="L6" s="133">
        <f>IF(SER_hh_emi!L6=0,0,1000000*SER_hh_emi!L6/SER_hh_num!L6)</f>
        <v>0</v>
      </c>
      <c r="M6" s="133">
        <f>IF(SER_hh_emi!M6=0,0,1000000*SER_hh_emi!M6/SER_hh_num!M6)</f>
        <v>0</v>
      </c>
      <c r="N6" s="133">
        <f>IF(SER_hh_emi!N6=0,0,1000000*SER_hh_emi!N6/SER_hh_num!N6)</f>
        <v>0</v>
      </c>
      <c r="O6" s="133">
        <f>IF(SER_hh_emi!O6=0,0,1000000*SER_hh_emi!O6/SER_hh_num!O6)</f>
        <v>0</v>
      </c>
      <c r="P6" s="133">
        <f>IF(SER_hh_emi!P6=0,0,1000000*SER_hh_emi!P6/SER_hh_num!P6)</f>
        <v>0</v>
      </c>
      <c r="Q6" s="133">
        <f>IF(SER_hh_emi!Q6=0,0,1000000*SER_hh_emi!Q6/SER_hh_num!Q6)</f>
        <v>0</v>
      </c>
      <c r="R6" s="133">
        <f>IF(SER_hh_emi!R6=0,0,1000000*SER_hh_emi!R6/SER_hh_num!R6)</f>
        <v>0</v>
      </c>
      <c r="S6" s="133">
        <f>IF(SER_hh_emi!S6=0,0,1000000*SER_hh_emi!S6/SER_hh_num!S6)</f>
        <v>0</v>
      </c>
      <c r="T6" s="133">
        <f>IF(SER_hh_emi!T6=0,0,1000000*SER_hh_emi!T6/SER_hh_num!T6)</f>
        <v>0</v>
      </c>
      <c r="U6" s="133">
        <f>IF(SER_hh_emi!U6=0,0,1000000*SER_hh_emi!U6/SER_hh_num!U6)</f>
        <v>0</v>
      </c>
      <c r="V6" s="133">
        <f>IF(SER_hh_emi!V6=0,0,1000000*SER_hh_emi!V6/SER_hh_num!V6)</f>
        <v>0</v>
      </c>
      <c r="W6" s="133">
        <f>IF(SER_hh_emi!W6=0,0,1000000*SER_hh_emi!W6/SER_hh_num!W6)</f>
        <v>0</v>
      </c>
      <c r="DA6" s="157" t="s">
        <v>448</v>
      </c>
    </row>
    <row r="7" spans="1:105" ht="12" customHeight="1" x14ac:dyDescent="0.25">
      <c r="A7" s="132" t="s">
        <v>168</v>
      </c>
      <c r="B7" s="133">
        <f>IF(SER_hh_emi!B7=0,0,1000000*SER_hh_emi!B7/SER_hh_num!B7)</f>
        <v>38604.401380376199</v>
      </c>
      <c r="C7" s="133">
        <f>IF(SER_hh_emi!C7=0,0,1000000*SER_hh_emi!C7/SER_hh_num!C7)</f>
        <v>35762.224107472488</v>
      </c>
      <c r="D7" s="133">
        <f>IF(SER_hh_emi!D7=0,0,1000000*SER_hh_emi!D7/SER_hh_num!D7)</f>
        <v>45423.836385372022</v>
      </c>
      <c r="E7" s="133">
        <f>IF(SER_hh_emi!E7=0,0,1000000*SER_hh_emi!E7/SER_hh_num!E7)</f>
        <v>51483.647961299008</v>
      </c>
      <c r="F7" s="133">
        <f>IF(SER_hh_emi!F7=0,0,1000000*SER_hh_emi!F7/SER_hh_num!F7)</f>
        <v>50139.064917841177</v>
      </c>
      <c r="G7" s="133">
        <f>IF(SER_hh_emi!G7=0,0,1000000*SER_hh_emi!G7/SER_hh_num!G7)</f>
        <v>50921.238857157376</v>
      </c>
      <c r="H7" s="133">
        <f>IF(SER_hh_emi!H7=0,0,1000000*SER_hh_emi!H7/SER_hh_num!H7)</f>
        <v>44867.080671114178</v>
      </c>
      <c r="I7" s="133">
        <f>IF(SER_hh_emi!I7=0,0,1000000*SER_hh_emi!I7/SER_hh_num!I7)</f>
        <v>38972.781807126812</v>
      </c>
      <c r="J7" s="133">
        <f>IF(SER_hh_emi!J7=0,0,1000000*SER_hh_emi!J7/SER_hh_num!J7)</f>
        <v>49800.151319487792</v>
      </c>
      <c r="K7" s="133">
        <f>IF(SER_hh_emi!K7=0,0,1000000*SER_hh_emi!K7/SER_hh_num!K7)</f>
        <v>41368.492032834372</v>
      </c>
      <c r="L7" s="133">
        <f>IF(SER_hh_emi!L7=0,0,1000000*SER_hh_emi!L7/SER_hh_num!L7)</f>
        <v>46920.517465422286</v>
      </c>
      <c r="M7" s="133">
        <f>IF(SER_hh_emi!M7=0,0,1000000*SER_hh_emi!M7/SER_hh_num!M7)</f>
        <v>38792.374175171819</v>
      </c>
      <c r="N7" s="133">
        <f>IF(SER_hh_emi!N7=0,0,1000000*SER_hh_emi!N7/SER_hh_num!N7)</f>
        <v>38429.905388232619</v>
      </c>
      <c r="O7" s="133">
        <f>IF(SER_hh_emi!O7=0,0,1000000*SER_hh_emi!O7/SER_hh_num!O7)</f>
        <v>42078.366053215461</v>
      </c>
      <c r="P7" s="133">
        <f>IF(SER_hh_emi!P7=0,0,1000000*SER_hh_emi!P7/SER_hh_num!P7)</f>
        <v>31902.342305011964</v>
      </c>
      <c r="Q7" s="133">
        <f>IF(SER_hh_emi!Q7=0,0,1000000*SER_hh_emi!Q7/SER_hh_num!Q7)</f>
        <v>38064.10709379115</v>
      </c>
      <c r="R7" s="133">
        <f>IF(SER_hh_emi!R7=0,0,1000000*SER_hh_emi!R7/SER_hh_num!R7)</f>
        <v>34977.120427043512</v>
      </c>
      <c r="S7" s="133">
        <f>IF(SER_hh_emi!S7=0,0,1000000*SER_hh_emi!S7/SER_hh_num!S7)</f>
        <v>35390.543003665465</v>
      </c>
      <c r="T7" s="133">
        <f>IF(SER_hh_emi!T7=0,0,1000000*SER_hh_emi!T7/SER_hh_num!T7)</f>
        <v>35147.983732506786</v>
      </c>
      <c r="U7" s="133">
        <f>IF(SER_hh_emi!U7=0,0,1000000*SER_hh_emi!U7/SER_hh_num!U7)</f>
        <v>33857.27954026415</v>
      </c>
      <c r="V7" s="133">
        <f>IF(SER_hh_emi!V7=0,0,1000000*SER_hh_emi!V7/SER_hh_num!V7)</f>
        <v>36028.961463153559</v>
      </c>
      <c r="W7" s="133">
        <f>IF(SER_hh_emi!W7=0,0,1000000*SER_hh_emi!W7/SER_hh_num!W7)</f>
        <v>30996.604494969975</v>
      </c>
      <c r="DA7" s="157" t="s">
        <v>449</v>
      </c>
    </row>
    <row r="8" spans="1:105" ht="12" customHeight="1" x14ac:dyDescent="0.25">
      <c r="A8" s="132" t="s">
        <v>73</v>
      </c>
      <c r="B8" s="133">
        <f>IF(SER_hh_emi!B8=0,0,1000000*SER_hh_emi!B8/SER_hh_num!B8)</f>
        <v>13936.39826550384</v>
      </c>
      <c r="C8" s="133">
        <f>IF(SER_hh_emi!C8=0,0,1000000*SER_hh_emi!C8/SER_hh_num!C8)</f>
        <v>13970.071698887175</v>
      </c>
      <c r="D8" s="133">
        <f>IF(SER_hh_emi!D8=0,0,1000000*SER_hh_emi!D8/SER_hh_num!D8)</f>
        <v>13578.663842430131</v>
      </c>
      <c r="E8" s="133">
        <f>IF(SER_hh_emi!E8=0,0,1000000*SER_hh_emi!E8/SER_hh_num!E8)</f>
        <v>13324.226565575898</v>
      </c>
      <c r="F8" s="133">
        <f>IF(SER_hh_emi!F8=0,0,1000000*SER_hh_emi!F8/SER_hh_num!F8)</f>
        <v>15042.150715465379</v>
      </c>
      <c r="G8" s="133">
        <f>IF(SER_hh_emi!G8=0,0,1000000*SER_hh_emi!G8/SER_hh_num!G8)</f>
        <v>13682.368556864929</v>
      </c>
      <c r="H8" s="133">
        <f>IF(SER_hh_emi!H8=0,0,1000000*SER_hh_emi!H8/SER_hh_num!H8)</f>
        <v>12673.531273733392</v>
      </c>
      <c r="I8" s="133">
        <f>IF(SER_hh_emi!I8=0,0,1000000*SER_hh_emi!I8/SER_hh_num!I8)</f>
        <v>10356.167789541822</v>
      </c>
      <c r="J8" s="133">
        <f>IF(SER_hh_emi!J8=0,0,1000000*SER_hh_emi!J8/SER_hh_num!J8)</f>
        <v>10475.444686689259</v>
      </c>
      <c r="K8" s="133">
        <f>IF(SER_hh_emi!K8=0,0,1000000*SER_hh_emi!K8/SER_hh_num!K8)</f>
        <v>9872.4079371815824</v>
      </c>
      <c r="L8" s="133">
        <f>IF(SER_hh_emi!L8=0,0,1000000*SER_hh_emi!L8/SER_hh_num!L8)</f>
        <v>9127.9864662922246</v>
      </c>
      <c r="M8" s="133">
        <f>IF(SER_hh_emi!M8=0,0,1000000*SER_hh_emi!M8/SER_hh_num!M8)</f>
        <v>6848.8278528622632</v>
      </c>
      <c r="N8" s="133">
        <f>IF(SER_hh_emi!N8=0,0,1000000*SER_hh_emi!N8/SER_hh_num!N8)</f>
        <v>6918.3496357978838</v>
      </c>
      <c r="O8" s="133">
        <f>IF(SER_hh_emi!O8=0,0,1000000*SER_hh_emi!O8/SER_hh_num!O8)</f>
        <v>7143.6727514364575</v>
      </c>
      <c r="P8" s="133">
        <f>IF(SER_hh_emi!P8=0,0,1000000*SER_hh_emi!P8/SER_hh_num!P8)</f>
        <v>5322.2313073645391</v>
      </c>
      <c r="Q8" s="133">
        <f>IF(SER_hh_emi!Q8=0,0,1000000*SER_hh_emi!Q8/SER_hh_num!Q8)</f>
        <v>5837.395949638696</v>
      </c>
      <c r="R8" s="133">
        <f>IF(SER_hh_emi!R8=0,0,1000000*SER_hh_emi!R8/SER_hh_num!R8)</f>
        <v>5835.2989257491854</v>
      </c>
      <c r="S8" s="133">
        <f>IF(SER_hh_emi!S8=0,0,1000000*SER_hh_emi!S8/SER_hh_num!S8)</f>
        <v>5484.6801783904548</v>
      </c>
      <c r="T8" s="133">
        <f>IF(SER_hh_emi!T8=0,0,1000000*SER_hh_emi!T8/SER_hh_num!T8)</f>
        <v>5356.2331903006088</v>
      </c>
      <c r="U8" s="133">
        <f>IF(SER_hh_emi!U8=0,0,1000000*SER_hh_emi!U8/SER_hh_num!U8)</f>
        <v>5251.4870776597481</v>
      </c>
      <c r="V8" s="133">
        <f>IF(SER_hh_emi!V8=0,0,1000000*SER_hh_emi!V8/SER_hh_num!V8)</f>
        <v>5003.1435999713076</v>
      </c>
      <c r="W8" s="133">
        <f>IF(SER_hh_emi!W8=0,0,1000000*SER_hh_emi!W8/SER_hh_num!W8)</f>
        <v>5358.3168661077307</v>
      </c>
      <c r="DA8" s="157" t="s">
        <v>450</v>
      </c>
    </row>
    <row r="9" spans="1:105" ht="12" customHeight="1" x14ac:dyDescent="0.25">
      <c r="A9" s="132" t="s">
        <v>78</v>
      </c>
      <c r="B9" s="133">
        <f>IF(SER_hh_emi!B9=0,0,1000000*SER_hh_emi!B9/SER_hh_num!B9)</f>
        <v>25658.937213553876</v>
      </c>
      <c r="C9" s="133">
        <f>IF(SER_hh_emi!C9=0,0,1000000*SER_hh_emi!C9/SER_hh_num!C9)</f>
        <v>28460.707014685599</v>
      </c>
      <c r="D9" s="133">
        <f>IF(SER_hh_emi!D9=0,0,1000000*SER_hh_emi!D9/SER_hh_num!D9)</f>
        <v>26446.632270208982</v>
      </c>
      <c r="E9" s="133">
        <f>IF(SER_hh_emi!E9=0,0,1000000*SER_hh_emi!E9/SER_hh_num!E9)</f>
        <v>27887.422335628038</v>
      </c>
      <c r="F9" s="133">
        <f>IF(SER_hh_emi!F9=0,0,1000000*SER_hh_emi!F9/SER_hh_num!F9)</f>
        <v>30224.642978453427</v>
      </c>
      <c r="G9" s="133">
        <f>IF(SER_hh_emi!G9=0,0,1000000*SER_hh_emi!G9/SER_hh_num!G9)</f>
        <v>31521.569519838213</v>
      </c>
      <c r="H9" s="133">
        <f>IF(SER_hh_emi!H9=0,0,1000000*SER_hh_emi!H9/SER_hh_num!H9)</f>
        <v>31280.757676988236</v>
      </c>
      <c r="I9" s="133">
        <f>IF(SER_hh_emi!I9=0,0,1000000*SER_hh_emi!I9/SER_hh_num!I9)</f>
        <v>27233.55734478492</v>
      </c>
      <c r="J9" s="133">
        <f>IF(SER_hh_emi!J9=0,0,1000000*SER_hh_emi!J9/SER_hh_num!J9)</f>
        <v>29661.67045912498</v>
      </c>
      <c r="K9" s="133">
        <f>IF(SER_hh_emi!K9=0,0,1000000*SER_hh_emi!K9/SER_hh_num!K9)</f>
        <v>30145.549657114749</v>
      </c>
      <c r="L9" s="133">
        <f>IF(SER_hh_emi!L9=0,0,1000000*SER_hh_emi!L9/SER_hh_num!L9)</f>
        <v>31093.858737956754</v>
      </c>
      <c r="M9" s="133">
        <f>IF(SER_hh_emi!M9=0,0,1000000*SER_hh_emi!M9/SER_hh_num!M9)</f>
        <v>22958.466348669412</v>
      </c>
      <c r="N9" s="133">
        <f>IF(SER_hh_emi!N9=0,0,1000000*SER_hh_emi!N9/SER_hh_num!N9)</f>
        <v>25324.998899538634</v>
      </c>
      <c r="O9" s="133">
        <f>IF(SER_hh_emi!O9=0,0,1000000*SER_hh_emi!O9/SER_hh_num!O9)</f>
        <v>27356.752530424103</v>
      </c>
      <c r="P9" s="133">
        <f>IF(SER_hh_emi!P9=0,0,1000000*SER_hh_emi!P9/SER_hh_num!P9)</f>
        <v>20194.817803537284</v>
      </c>
      <c r="Q9" s="133">
        <f>IF(SER_hh_emi!Q9=0,0,1000000*SER_hh_emi!Q9/SER_hh_num!Q9)</f>
        <v>23018.762257763261</v>
      </c>
      <c r="R9" s="133">
        <f>IF(SER_hh_emi!R9=0,0,1000000*SER_hh_emi!R9/SER_hh_num!R9)</f>
        <v>23927.031053965533</v>
      </c>
      <c r="S9" s="133">
        <f>IF(SER_hh_emi!S9=0,0,1000000*SER_hh_emi!S9/SER_hh_num!S9)</f>
        <v>23289.9747328589</v>
      </c>
      <c r="T9" s="133">
        <f>IF(SER_hh_emi!T9=0,0,1000000*SER_hh_emi!T9/SER_hh_num!T9)</f>
        <v>23428.976084979811</v>
      </c>
      <c r="U9" s="133">
        <f>IF(SER_hh_emi!U9=0,0,1000000*SER_hh_emi!U9/SER_hh_num!U9)</f>
        <v>23240.355172908839</v>
      </c>
      <c r="V9" s="133">
        <f>IF(SER_hh_emi!V9=0,0,1000000*SER_hh_emi!V9/SER_hh_num!V9)</f>
        <v>21445.745603037525</v>
      </c>
      <c r="W9" s="133">
        <f>IF(SER_hh_emi!W9=0,0,1000000*SER_hh_emi!W9/SER_hh_num!W9)</f>
        <v>24200.002368983693</v>
      </c>
      <c r="DA9" s="157" t="s">
        <v>451</v>
      </c>
    </row>
    <row r="10" spans="1:105" ht="12" customHeight="1" x14ac:dyDescent="0.25">
      <c r="A10" s="132" t="s">
        <v>128</v>
      </c>
      <c r="B10" s="133">
        <f>IF(SER_hh_emi!B10=0,0,1000000*SER_hh_emi!B10/SER_hh_num!B10)</f>
        <v>0</v>
      </c>
      <c r="C10" s="133">
        <f>IF(SER_hh_emi!C10=0,0,1000000*SER_hh_emi!C10/SER_hh_num!C10)</f>
        <v>0</v>
      </c>
      <c r="D10" s="133">
        <f>IF(SER_hh_emi!D10=0,0,1000000*SER_hh_emi!D10/SER_hh_num!D10)</f>
        <v>0</v>
      </c>
      <c r="E10" s="133">
        <f>IF(SER_hh_emi!E10=0,0,1000000*SER_hh_emi!E10/SER_hh_num!E10)</f>
        <v>0</v>
      </c>
      <c r="F10" s="133">
        <f>IF(SER_hh_emi!F10=0,0,1000000*SER_hh_emi!F10/SER_hh_num!F10)</f>
        <v>141359.66716066853</v>
      </c>
      <c r="G10" s="133">
        <f>IF(SER_hh_emi!G10=0,0,1000000*SER_hh_emi!G10/SER_hh_num!G10)</f>
        <v>123798.71312419945</v>
      </c>
      <c r="H10" s="133">
        <f>IF(SER_hh_emi!H10=0,0,1000000*SER_hh_emi!H10/SER_hh_num!H10)</f>
        <v>111246.00722436643</v>
      </c>
      <c r="I10" s="133">
        <f>IF(SER_hh_emi!I10=0,0,1000000*SER_hh_emi!I10/SER_hh_num!I10)</f>
        <v>103933.34019201994</v>
      </c>
      <c r="J10" s="133">
        <f>IF(SER_hh_emi!J10=0,0,1000000*SER_hh_emi!J10/SER_hh_num!J10)</f>
        <v>0</v>
      </c>
      <c r="K10" s="133">
        <f>IF(SER_hh_emi!K10=0,0,1000000*SER_hh_emi!K10/SER_hh_num!K10)</f>
        <v>0</v>
      </c>
      <c r="L10" s="133">
        <f>IF(SER_hh_emi!L10=0,0,1000000*SER_hh_emi!L10/SER_hh_num!L10)</f>
        <v>0</v>
      </c>
      <c r="M10" s="133">
        <f>IF(SER_hh_emi!M10=0,0,1000000*SER_hh_emi!M10/SER_hh_num!M10)</f>
        <v>0</v>
      </c>
      <c r="N10" s="133">
        <f>IF(SER_hh_emi!N10=0,0,1000000*SER_hh_emi!N10/SER_hh_num!N10)</f>
        <v>0</v>
      </c>
      <c r="O10" s="133">
        <f>IF(SER_hh_emi!O10=0,0,1000000*SER_hh_emi!O10/SER_hh_num!O10)</f>
        <v>58008.176933929695</v>
      </c>
      <c r="P10" s="133">
        <f>IF(SER_hh_emi!P10=0,0,1000000*SER_hh_emi!P10/SER_hh_num!P10)</f>
        <v>43590.729752756648</v>
      </c>
      <c r="Q10" s="133">
        <f>IF(SER_hh_emi!Q10=0,0,1000000*SER_hh_emi!Q10/SER_hh_num!Q10)</f>
        <v>52014.481366979497</v>
      </c>
      <c r="R10" s="133">
        <f>IF(SER_hh_emi!R10=0,0,1000000*SER_hh_emi!R10/SER_hh_num!R10)</f>
        <v>50207.769193450702</v>
      </c>
      <c r="S10" s="133">
        <f>IF(SER_hh_emi!S10=0,0,1000000*SER_hh_emi!S10/SER_hh_num!S10)</f>
        <v>49934.628595685572</v>
      </c>
      <c r="T10" s="133">
        <f>IF(SER_hh_emi!T10=0,0,1000000*SER_hh_emi!T10/SER_hh_num!T10)</f>
        <v>49208.463092762991</v>
      </c>
      <c r="U10" s="133">
        <f>IF(SER_hh_emi!U10=0,0,1000000*SER_hh_emi!U10/SER_hh_num!U10)</f>
        <v>48022.390921512357</v>
      </c>
      <c r="V10" s="133">
        <f>IF(SER_hh_emi!V10=0,0,1000000*SER_hh_emi!V10/SER_hh_num!V10)</f>
        <v>49462.708330996204</v>
      </c>
      <c r="W10" s="133">
        <f>IF(SER_hh_emi!W10=0,0,1000000*SER_hh_emi!W10/SER_hh_num!W10)</f>
        <v>48872.011727976751</v>
      </c>
      <c r="DA10" s="157" t="s">
        <v>452</v>
      </c>
    </row>
    <row r="11" spans="1:105" ht="12" customHeight="1" x14ac:dyDescent="0.25">
      <c r="A11" s="132" t="s">
        <v>25</v>
      </c>
      <c r="B11" s="133">
        <f>IF(SER_hh_emi!B11=0,0,1000000*SER_hh_emi!B11/SER_hh_num!B11)</f>
        <v>0</v>
      </c>
      <c r="C11" s="133">
        <f>IF(SER_hh_emi!C11=0,0,1000000*SER_hh_emi!C11/SER_hh_num!C11)</f>
        <v>0</v>
      </c>
      <c r="D11" s="133">
        <f>IF(SER_hh_emi!D11=0,0,1000000*SER_hh_emi!D11/SER_hh_num!D11)</f>
        <v>0</v>
      </c>
      <c r="E11" s="133">
        <f>IF(SER_hh_emi!E11=0,0,1000000*SER_hh_emi!E11/SER_hh_num!E11)</f>
        <v>0</v>
      </c>
      <c r="F11" s="133">
        <f>IF(SER_hh_emi!F11=0,0,1000000*SER_hh_emi!F11/SER_hh_num!F11)</f>
        <v>0</v>
      </c>
      <c r="G11" s="133">
        <f>IF(SER_hh_emi!G11=0,0,1000000*SER_hh_emi!G11/SER_hh_num!G11)</f>
        <v>0</v>
      </c>
      <c r="H11" s="133">
        <f>IF(SER_hh_emi!H11=0,0,1000000*SER_hh_emi!H11/SER_hh_num!H11)</f>
        <v>0</v>
      </c>
      <c r="I11" s="133">
        <f>IF(SER_hh_emi!I11=0,0,1000000*SER_hh_emi!I11/SER_hh_num!I11)</f>
        <v>0</v>
      </c>
      <c r="J11" s="133">
        <f>IF(SER_hh_emi!J11=0,0,1000000*SER_hh_emi!J11/SER_hh_num!J11)</f>
        <v>0</v>
      </c>
      <c r="K11" s="133">
        <f>IF(SER_hh_emi!K11=0,0,1000000*SER_hh_emi!K11/SER_hh_num!K11)</f>
        <v>0</v>
      </c>
      <c r="L11" s="133">
        <f>IF(SER_hh_emi!L11=0,0,1000000*SER_hh_emi!L11/SER_hh_num!L11)</f>
        <v>0</v>
      </c>
      <c r="M11" s="133">
        <f>IF(SER_hh_emi!M11=0,0,1000000*SER_hh_emi!M11/SER_hh_num!M11)</f>
        <v>0</v>
      </c>
      <c r="N11" s="133">
        <f>IF(SER_hh_emi!N11=0,0,1000000*SER_hh_emi!N11/SER_hh_num!N11)</f>
        <v>0</v>
      </c>
      <c r="O11" s="133">
        <f>IF(SER_hh_emi!O11=0,0,1000000*SER_hh_emi!O11/SER_hh_num!O11)</f>
        <v>0</v>
      </c>
      <c r="P11" s="133">
        <f>IF(SER_hh_emi!P11=0,0,1000000*SER_hh_emi!P11/SER_hh_num!P11)</f>
        <v>0</v>
      </c>
      <c r="Q11" s="133">
        <f>IF(SER_hh_emi!Q11=0,0,1000000*SER_hh_emi!Q11/SER_hh_num!Q11)</f>
        <v>0</v>
      </c>
      <c r="R11" s="133">
        <f>IF(SER_hh_emi!R11=0,0,1000000*SER_hh_emi!R11/SER_hh_num!R11)</f>
        <v>0</v>
      </c>
      <c r="S11" s="133">
        <f>IF(SER_hh_emi!S11=0,0,1000000*SER_hh_emi!S11/SER_hh_num!S11)</f>
        <v>0</v>
      </c>
      <c r="T11" s="133">
        <f>IF(SER_hh_emi!T11=0,0,1000000*SER_hh_emi!T11/SER_hh_num!T11)</f>
        <v>0</v>
      </c>
      <c r="U11" s="133">
        <f>IF(SER_hh_emi!U11=0,0,1000000*SER_hh_emi!U11/SER_hh_num!U11)</f>
        <v>0</v>
      </c>
      <c r="V11" s="133">
        <f>IF(SER_hh_emi!V11=0,0,1000000*SER_hh_emi!V11/SER_hh_num!V11)</f>
        <v>0</v>
      </c>
      <c r="W11" s="133">
        <f>IF(SER_hh_emi!W11=0,0,1000000*SER_hh_emi!W11/SER_hh_num!W11)</f>
        <v>0</v>
      </c>
      <c r="DA11" s="157" t="s">
        <v>453</v>
      </c>
    </row>
    <row r="12" spans="1:105" ht="12" customHeight="1" x14ac:dyDescent="0.25">
      <c r="A12" s="132" t="s">
        <v>169</v>
      </c>
      <c r="B12" s="133">
        <f>IF(SER_hh_emi!B12=0,0,1000000*SER_hh_emi!B12/SER_hh_num!B12)</f>
        <v>0</v>
      </c>
      <c r="C12" s="133">
        <f>IF(SER_hh_emi!C12=0,0,1000000*SER_hh_emi!C12/SER_hh_num!C12)</f>
        <v>0</v>
      </c>
      <c r="D12" s="133">
        <f>IF(SER_hh_emi!D12=0,0,1000000*SER_hh_emi!D12/SER_hh_num!D12)</f>
        <v>0</v>
      </c>
      <c r="E12" s="133">
        <f>IF(SER_hh_emi!E12=0,0,1000000*SER_hh_emi!E12/SER_hh_num!E12)</f>
        <v>0</v>
      </c>
      <c r="F12" s="133">
        <f>IF(SER_hh_emi!F12=0,0,1000000*SER_hh_emi!F12/SER_hh_num!F12)</f>
        <v>0</v>
      </c>
      <c r="G12" s="133">
        <f>IF(SER_hh_emi!G12=0,0,1000000*SER_hh_emi!G12/SER_hh_num!G12)</f>
        <v>0</v>
      </c>
      <c r="H12" s="133">
        <f>IF(SER_hh_emi!H12=0,0,1000000*SER_hh_emi!H12/SER_hh_num!H12)</f>
        <v>0</v>
      </c>
      <c r="I12" s="133">
        <f>IF(SER_hh_emi!I12=0,0,1000000*SER_hh_emi!I12/SER_hh_num!I12)</f>
        <v>0</v>
      </c>
      <c r="J12" s="133">
        <f>IF(SER_hh_emi!J12=0,0,1000000*SER_hh_emi!J12/SER_hh_num!J12)</f>
        <v>0</v>
      </c>
      <c r="K12" s="133">
        <f>IF(SER_hh_emi!K12=0,0,1000000*SER_hh_emi!K12/SER_hh_num!K12)</f>
        <v>0</v>
      </c>
      <c r="L12" s="133">
        <f>IF(SER_hh_emi!L12=0,0,1000000*SER_hh_emi!L12/SER_hh_num!L12)</f>
        <v>0</v>
      </c>
      <c r="M12" s="133">
        <f>IF(SER_hh_emi!M12=0,0,1000000*SER_hh_emi!M12/SER_hh_num!M12)</f>
        <v>0</v>
      </c>
      <c r="N12" s="133">
        <f>IF(SER_hh_emi!N12=0,0,1000000*SER_hh_emi!N12/SER_hh_num!N12)</f>
        <v>0</v>
      </c>
      <c r="O12" s="133">
        <f>IF(SER_hh_emi!O12=0,0,1000000*SER_hh_emi!O12/SER_hh_num!O12)</f>
        <v>0</v>
      </c>
      <c r="P12" s="133">
        <f>IF(SER_hh_emi!P12=0,0,1000000*SER_hh_emi!P12/SER_hh_num!P12)</f>
        <v>0</v>
      </c>
      <c r="Q12" s="133">
        <f>IF(SER_hh_emi!Q12=0,0,1000000*SER_hh_emi!Q12/SER_hh_num!Q12)</f>
        <v>0</v>
      </c>
      <c r="R12" s="133">
        <f>IF(SER_hh_emi!R12=0,0,1000000*SER_hh_emi!R12/SER_hh_num!R12)</f>
        <v>0</v>
      </c>
      <c r="S12" s="133">
        <f>IF(SER_hh_emi!S12=0,0,1000000*SER_hh_emi!S12/SER_hh_num!S12)</f>
        <v>0</v>
      </c>
      <c r="T12" s="133">
        <f>IF(SER_hh_emi!T12=0,0,1000000*SER_hh_emi!T12/SER_hh_num!T12)</f>
        <v>0</v>
      </c>
      <c r="U12" s="133">
        <f>IF(SER_hh_emi!U12=0,0,1000000*SER_hh_emi!U12/SER_hh_num!U12)</f>
        <v>0</v>
      </c>
      <c r="V12" s="133">
        <f>IF(SER_hh_emi!V12=0,0,1000000*SER_hh_emi!V12/SER_hh_num!V12)</f>
        <v>0</v>
      </c>
      <c r="W12" s="133">
        <f>IF(SER_hh_emi!W12=0,0,1000000*SER_hh_emi!W12/SER_hh_num!W12)</f>
        <v>0</v>
      </c>
      <c r="DA12" s="157" t="s">
        <v>454</v>
      </c>
    </row>
    <row r="13" spans="1:105" ht="12" customHeight="1" x14ac:dyDescent="0.25">
      <c r="A13" s="132" t="s">
        <v>77</v>
      </c>
      <c r="B13" s="133">
        <f>IF(SER_hh_emi!B13=0,0,1000000*SER_hh_emi!B13/SER_hh_num!B13)</f>
        <v>0</v>
      </c>
      <c r="C13" s="133">
        <f>IF(SER_hh_emi!C13=0,0,1000000*SER_hh_emi!C13/SER_hh_num!C13)</f>
        <v>0</v>
      </c>
      <c r="D13" s="133">
        <f>IF(SER_hh_emi!D13=0,0,1000000*SER_hh_emi!D13/SER_hh_num!D13)</f>
        <v>0</v>
      </c>
      <c r="E13" s="133">
        <f>IF(SER_hh_emi!E13=0,0,1000000*SER_hh_emi!E13/SER_hh_num!E13)</f>
        <v>0</v>
      </c>
      <c r="F13" s="133">
        <f>IF(SER_hh_emi!F13=0,0,1000000*SER_hh_emi!F13/SER_hh_num!F13)</f>
        <v>0</v>
      </c>
      <c r="G13" s="133">
        <f>IF(SER_hh_emi!G13=0,0,1000000*SER_hh_emi!G13/SER_hh_num!G13)</f>
        <v>0</v>
      </c>
      <c r="H13" s="133">
        <f>IF(SER_hh_emi!H13=0,0,1000000*SER_hh_emi!H13/SER_hh_num!H13)</f>
        <v>0</v>
      </c>
      <c r="I13" s="133">
        <f>IF(SER_hh_emi!I13=0,0,1000000*SER_hh_emi!I13/SER_hh_num!I13)</f>
        <v>0</v>
      </c>
      <c r="J13" s="133">
        <f>IF(SER_hh_emi!J13=0,0,1000000*SER_hh_emi!J13/SER_hh_num!J13)</f>
        <v>0</v>
      </c>
      <c r="K13" s="133">
        <f>IF(SER_hh_emi!K13=0,0,1000000*SER_hh_emi!K13/SER_hh_num!K13)</f>
        <v>0</v>
      </c>
      <c r="L13" s="133">
        <f>IF(SER_hh_emi!L13=0,0,1000000*SER_hh_emi!L13/SER_hh_num!L13)</f>
        <v>0</v>
      </c>
      <c r="M13" s="133">
        <f>IF(SER_hh_emi!M13=0,0,1000000*SER_hh_emi!M13/SER_hh_num!M13)</f>
        <v>0</v>
      </c>
      <c r="N13" s="133">
        <f>IF(SER_hh_emi!N13=0,0,1000000*SER_hh_emi!N13/SER_hh_num!N13)</f>
        <v>0</v>
      </c>
      <c r="O13" s="133">
        <f>IF(SER_hh_emi!O13=0,0,1000000*SER_hh_emi!O13/SER_hh_num!O13)</f>
        <v>0</v>
      </c>
      <c r="P13" s="133">
        <f>IF(SER_hh_emi!P13=0,0,1000000*SER_hh_emi!P13/SER_hh_num!P13)</f>
        <v>0</v>
      </c>
      <c r="Q13" s="133">
        <f>IF(SER_hh_emi!Q13=0,0,1000000*SER_hh_emi!Q13/SER_hh_num!Q13)</f>
        <v>0</v>
      </c>
      <c r="R13" s="133">
        <f>IF(SER_hh_emi!R13=0,0,1000000*SER_hh_emi!R13/SER_hh_num!R13)</f>
        <v>0</v>
      </c>
      <c r="S13" s="133">
        <f>IF(SER_hh_emi!S13=0,0,1000000*SER_hh_emi!S13/SER_hh_num!S13)</f>
        <v>0</v>
      </c>
      <c r="T13" s="133">
        <f>IF(SER_hh_emi!T13=0,0,1000000*SER_hh_emi!T13/SER_hh_num!T13)</f>
        <v>0</v>
      </c>
      <c r="U13" s="133">
        <f>IF(SER_hh_emi!U13=0,0,1000000*SER_hh_emi!U13/SER_hh_num!U13)</f>
        <v>0</v>
      </c>
      <c r="V13" s="133">
        <f>IF(SER_hh_emi!V13=0,0,1000000*SER_hh_emi!V13/SER_hh_num!V13)</f>
        <v>0</v>
      </c>
      <c r="W13" s="133">
        <f>IF(SER_hh_emi!W13=0,0,1000000*SER_hh_emi!W13/SER_hh_num!W13)</f>
        <v>0</v>
      </c>
      <c r="DA13" s="157" t="s">
        <v>455</v>
      </c>
    </row>
    <row r="14" spans="1:105" ht="12" customHeight="1" x14ac:dyDescent="0.25">
      <c r="A14" s="60" t="s">
        <v>76</v>
      </c>
      <c r="B14" s="65">
        <f>IF(SER_hh_emi!B14=0,0,1000000*SER_hh_emi!B14/SER_hh_num!B14)</f>
        <v>0</v>
      </c>
      <c r="C14" s="65">
        <f>IF(SER_hh_emi!C14=0,0,1000000*SER_hh_emi!C14/SER_hh_num!C14)</f>
        <v>0</v>
      </c>
      <c r="D14" s="65">
        <f>IF(SER_hh_emi!D14=0,0,1000000*SER_hh_emi!D14/SER_hh_num!D14)</f>
        <v>0</v>
      </c>
      <c r="E14" s="65">
        <f>IF(SER_hh_emi!E14=0,0,1000000*SER_hh_emi!E14/SER_hh_num!E14)</f>
        <v>0</v>
      </c>
      <c r="F14" s="65">
        <f>IF(SER_hh_emi!F14=0,0,1000000*SER_hh_emi!F14/SER_hh_num!F14)</f>
        <v>0</v>
      </c>
      <c r="G14" s="65">
        <f>IF(SER_hh_emi!G14=0,0,1000000*SER_hh_emi!G14/SER_hh_num!G14)</f>
        <v>0</v>
      </c>
      <c r="H14" s="65">
        <f>IF(SER_hh_emi!H14=0,0,1000000*SER_hh_emi!H14/SER_hh_num!H14)</f>
        <v>0</v>
      </c>
      <c r="I14" s="65">
        <f>IF(SER_hh_emi!I14=0,0,1000000*SER_hh_emi!I14/SER_hh_num!I14)</f>
        <v>0</v>
      </c>
      <c r="J14" s="65">
        <f>IF(SER_hh_emi!J14=0,0,1000000*SER_hh_emi!J14/SER_hh_num!J14)</f>
        <v>0</v>
      </c>
      <c r="K14" s="65">
        <f>IF(SER_hh_emi!K14=0,0,1000000*SER_hh_emi!K14/SER_hh_num!K14)</f>
        <v>0</v>
      </c>
      <c r="L14" s="65">
        <f>IF(SER_hh_emi!L14=0,0,1000000*SER_hh_emi!L14/SER_hh_num!L14)</f>
        <v>0</v>
      </c>
      <c r="M14" s="65">
        <f>IF(SER_hh_emi!M14=0,0,1000000*SER_hh_emi!M14/SER_hh_num!M14)</f>
        <v>0</v>
      </c>
      <c r="N14" s="65">
        <f>IF(SER_hh_emi!N14=0,0,1000000*SER_hh_emi!N14/SER_hh_num!N14)</f>
        <v>0</v>
      </c>
      <c r="O14" s="65">
        <f>IF(SER_hh_emi!O14=0,0,1000000*SER_hh_emi!O14/SER_hh_num!O14)</f>
        <v>0</v>
      </c>
      <c r="P14" s="65">
        <f>IF(SER_hh_emi!P14=0,0,1000000*SER_hh_emi!P14/SER_hh_num!P14)</f>
        <v>0</v>
      </c>
      <c r="Q14" s="65">
        <f>IF(SER_hh_emi!Q14=0,0,1000000*SER_hh_emi!Q14/SER_hh_num!Q14)</f>
        <v>0</v>
      </c>
      <c r="R14" s="65">
        <f>IF(SER_hh_emi!R14=0,0,1000000*SER_hh_emi!R14/SER_hh_num!R14)</f>
        <v>0</v>
      </c>
      <c r="S14" s="65">
        <f>IF(SER_hh_emi!S14=0,0,1000000*SER_hh_emi!S14/SER_hh_num!S14)</f>
        <v>0</v>
      </c>
      <c r="T14" s="65">
        <f>IF(SER_hh_emi!T14=0,0,1000000*SER_hh_emi!T14/SER_hh_num!T14)</f>
        <v>0</v>
      </c>
      <c r="U14" s="65">
        <f>IF(SER_hh_emi!U14=0,0,1000000*SER_hh_emi!U14/SER_hh_num!U14)</f>
        <v>0</v>
      </c>
      <c r="V14" s="65">
        <f>IF(SER_hh_emi!V14=0,0,1000000*SER_hh_emi!V14/SER_hh_num!V14)</f>
        <v>0</v>
      </c>
      <c r="W14" s="65">
        <f>IF(SER_hh_emi!W14=0,0,1000000*SER_hh_emi!W14/SER_hh_num!W14)</f>
        <v>0</v>
      </c>
      <c r="DA14" s="109" t="s">
        <v>456</v>
      </c>
    </row>
    <row r="15" spans="1:105" ht="12" customHeight="1" x14ac:dyDescent="0.25">
      <c r="A15" s="134" t="s">
        <v>80</v>
      </c>
      <c r="B15" s="135">
        <f>IF(SER_hh_emi!B15=0,0,1000000*SER_hh_emi!B15/SER_hh_num!B15)</f>
        <v>0</v>
      </c>
      <c r="C15" s="135">
        <f>IF(SER_hh_emi!C15=0,0,1000000*SER_hh_emi!C15/SER_hh_num!C15)</f>
        <v>0</v>
      </c>
      <c r="D15" s="135">
        <f>IF(SER_hh_emi!D15=0,0,1000000*SER_hh_emi!D15/SER_hh_num!D15)</f>
        <v>0</v>
      </c>
      <c r="E15" s="135">
        <f>IF(SER_hh_emi!E15=0,0,1000000*SER_hh_emi!E15/SER_hh_num!E15)</f>
        <v>0</v>
      </c>
      <c r="F15" s="135">
        <f>IF(SER_hh_emi!F15=0,0,1000000*SER_hh_emi!F15/SER_hh_num!F15)</f>
        <v>0</v>
      </c>
      <c r="G15" s="135">
        <f>IF(SER_hh_emi!G15=0,0,1000000*SER_hh_emi!G15/SER_hh_num!G15)</f>
        <v>0</v>
      </c>
      <c r="H15" s="135">
        <f>IF(SER_hh_emi!H15=0,0,1000000*SER_hh_emi!H15/SER_hh_num!H15)</f>
        <v>0</v>
      </c>
      <c r="I15" s="135">
        <f>IF(SER_hh_emi!I15=0,0,1000000*SER_hh_emi!I15/SER_hh_num!I15)</f>
        <v>0</v>
      </c>
      <c r="J15" s="135">
        <f>IF(SER_hh_emi!J15=0,0,1000000*SER_hh_emi!J15/SER_hh_num!J15)</f>
        <v>0</v>
      </c>
      <c r="K15" s="135">
        <f>IF(SER_hh_emi!K15=0,0,1000000*SER_hh_emi!K15/SER_hh_num!K15)</f>
        <v>0</v>
      </c>
      <c r="L15" s="135">
        <f>IF(SER_hh_emi!L15=0,0,1000000*SER_hh_emi!L15/SER_hh_num!L15)</f>
        <v>0</v>
      </c>
      <c r="M15" s="135">
        <f>IF(SER_hh_emi!M15=0,0,1000000*SER_hh_emi!M15/SER_hh_num!M15)</f>
        <v>0</v>
      </c>
      <c r="N15" s="135">
        <f>IF(SER_hh_emi!N15=0,0,1000000*SER_hh_emi!N15/SER_hh_num!N15)</f>
        <v>0</v>
      </c>
      <c r="O15" s="135">
        <f>IF(SER_hh_emi!O15=0,0,1000000*SER_hh_emi!O15/SER_hh_num!O15)</f>
        <v>0</v>
      </c>
      <c r="P15" s="135">
        <f>IF(SER_hh_emi!P15=0,0,1000000*SER_hh_emi!P15/SER_hh_num!P15)</f>
        <v>0</v>
      </c>
      <c r="Q15" s="135">
        <f>IF(SER_hh_emi!Q15=0,0,1000000*SER_hh_emi!Q15/SER_hh_num!Q15)</f>
        <v>0</v>
      </c>
      <c r="R15" s="135">
        <f>IF(SER_hh_emi!R15=0,0,1000000*SER_hh_emi!R15/SER_hh_num!R15)</f>
        <v>0</v>
      </c>
      <c r="S15" s="135">
        <f>IF(SER_hh_emi!S15=0,0,1000000*SER_hh_emi!S15/SER_hh_num!S15)</f>
        <v>0</v>
      </c>
      <c r="T15" s="135">
        <f>IF(SER_hh_emi!T15=0,0,1000000*SER_hh_emi!T15/SER_hh_num!T15)</f>
        <v>0</v>
      </c>
      <c r="U15" s="135">
        <f>IF(SER_hh_emi!U15=0,0,1000000*SER_hh_emi!U15/SER_hh_num!U15)</f>
        <v>0</v>
      </c>
      <c r="V15" s="135">
        <f>IF(SER_hh_emi!V15=0,0,1000000*SER_hh_emi!V15/SER_hh_num!V15)</f>
        <v>0</v>
      </c>
      <c r="W15" s="135">
        <f>IF(SER_hh_emi!W15=0,0,1000000*SER_hh_emi!W15/SER_hh_num!W15)</f>
        <v>0</v>
      </c>
      <c r="DA15" s="158" t="s">
        <v>457</v>
      </c>
    </row>
    <row r="16" spans="1:105" ht="12.95" customHeight="1" x14ac:dyDescent="0.25">
      <c r="A16" s="130" t="s">
        <v>74</v>
      </c>
      <c r="B16" s="131">
        <f>IF(SER_hh_emi!B16=0,0,1000000*SER_hh_emi!B16/SER_hh_num!B16)</f>
        <v>4.2673366975571376</v>
      </c>
      <c r="C16" s="131">
        <f>IF(SER_hh_emi!C16=0,0,1000000*SER_hh_emi!C16/SER_hh_num!C16)</f>
        <v>4.5033257033684784</v>
      </c>
      <c r="D16" s="131">
        <f>IF(SER_hh_emi!D16=0,0,1000000*SER_hh_emi!D16/SER_hh_num!D16)</f>
        <v>4.7562208727243105</v>
      </c>
      <c r="E16" s="131">
        <f>IF(SER_hh_emi!E16=0,0,1000000*SER_hh_emi!E16/SER_hh_num!E16)</f>
        <v>4.8935164919981453</v>
      </c>
      <c r="F16" s="131">
        <f>IF(SER_hh_emi!F16=0,0,1000000*SER_hh_emi!F16/SER_hh_num!F16)</f>
        <v>5.590312318233174</v>
      </c>
      <c r="G16" s="131">
        <f>IF(SER_hh_emi!G16=0,0,1000000*SER_hh_emi!G16/SER_hh_num!G16)</f>
        <v>6.4468713567778266</v>
      </c>
      <c r="H16" s="131">
        <f>IF(SER_hh_emi!H16=0,0,1000000*SER_hh_emi!H16/SER_hh_num!H16)</f>
        <v>7.5156046801669163</v>
      </c>
      <c r="I16" s="131">
        <f>IF(SER_hh_emi!I16=0,0,1000000*SER_hh_emi!I16/SER_hh_num!I16)</f>
        <v>7.5018649417132615</v>
      </c>
      <c r="J16" s="131">
        <f>IF(SER_hh_emi!J16=0,0,1000000*SER_hh_emi!J16/SER_hh_num!J16)</f>
        <v>8.9307814697726684</v>
      </c>
      <c r="K16" s="131">
        <f>IF(SER_hh_emi!K16=0,0,1000000*SER_hh_emi!K16/SER_hh_num!K16)</f>
        <v>10.039508544333321</v>
      </c>
      <c r="L16" s="131">
        <f>IF(SER_hh_emi!L16=0,0,1000000*SER_hh_emi!L16/SER_hh_num!L16)</f>
        <v>10.40191876634756</v>
      </c>
      <c r="M16" s="131">
        <f>IF(SER_hh_emi!M16=0,0,1000000*SER_hh_emi!M16/SER_hh_num!M16)</f>
        <v>10.411171545889516</v>
      </c>
      <c r="N16" s="131">
        <f>IF(SER_hh_emi!N16=0,0,1000000*SER_hh_emi!N16/SER_hh_num!N16)</f>
        <v>11.214981115198906</v>
      </c>
      <c r="O16" s="131">
        <f>IF(SER_hh_emi!O16=0,0,1000000*SER_hh_emi!O16/SER_hh_num!O16)</f>
        <v>12.881579328863262</v>
      </c>
      <c r="P16" s="131">
        <f>IF(SER_hh_emi!P16=0,0,1000000*SER_hh_emi!P16/SER_hh_num!P16)</f>
        <v>15.38080733787864</v>
      </c>
      <c r="Q16" s="131">
        <f>IF(SER_hh_emi!Q16=0,0,1000000*SER_hh_emi!Q16/SER_hh_num!Q16)</f>
        <v>22.685958265231463</v>
      </c>
      <c r="R16" s="131">
        <f>IF(SER_hh_emi!R16=0,0,1000000*SER_hh_emi!R16/SER_hh_num!R16)</f>
        <v>24.973823120060871</v>
      </c>
      <c r="S16" s="131">
        <f>IF(SER_hh_emi!S16=0,0,1000000*SER_hh_emi!S16/SER_hh_num!S16)</f>
        <v>24.754841890599749</v>
      </c>
      <c r="T16" s="131">
        <f>IF(SER_hh_emi!T16=0,0,1000000*SER_hh_emi!T16/SER_hh_num!T16)</f>
        <v>31.501030220292417</v>
      </c>
      <c r="U16" s="131">
        <f>IF(SER_hh_emi!U16=0,0,1000000*SER_hh_emi!U16/SER_hh_num!U16)</f>
        <v>34.328136879150073</v>
      </c>
      <c r="V16" s="131">
        <f>IF(SER_hh_emi!V16=0,0,1000000*SER_hh_emi!V16/SER_hh_num!V16)</f>
        <v>42.992246596886652</v>
      </c>
      <c r="W16" s="131">
        <f>IF(SER_hh_emi!W16=0,0,1000000*SER_hh_emi!W16/SER_hh_num!W16)</f>
        <v>29.247543401115077</v>
      </c>
      <c r="DA16" s="156" t="s">
        <v>458</v>
      </c>
    </row>
    <row r="17" spans="1:105" ht="12.95" customHeight="1" x14ac:dyDescent="0.25">
      <c r="A17" s="132" t="s">
        <v>73</v>
      </c>
      <c r="B17" s="133">
        <f>IF(SER_hh_emi!B17=0,0,1000000*SER_hh_emi!B17/SER_hh_num!B17)</f>
        <v>4192.5415134706773</v>
      </c>
      <c r="C17" s="133">
        <f>IF(SER_hh_emi!C17=0,0,1000000*SER_hh_emi!C17/SER_hh_num!C17)</f>
        <v>4265.3617642357685</v>
      </c>
      <c r="D17" s="133">
        <f>IF(SER_hh_emi!D17=0,0,1000000*SER_hh_emi!D17/SER_hh_num!D17)</f>
        <v>4205.1022662044288</v>
      </c>
      <c r="E17" s="133">
        <f>IF(SER_hh_emi!E17=0,0,1000000*SER_hh_emi!E17/SER_hh_num!E17)</f>
        <v>5357.7527995968721</v>
      </c>
      <c r="F17" s="133">
        <f>IF(SER_hh_emi!F17=0,0,1000000*SER_hh_emi!F17/SER_hh_num!F17)</f>
        <v>4112.1409564443247</v>
      </c>
      <c r="G17" s="133">
        <f>IF(SER_hh_emi!G17=0,0,1000000*SER_hh_emi!G17/SER_hh_num!G17)</f>
        <v>4171.4737349733323</v>
      </c>
      <c r="H17" s="133">
        <f>IF(SER_hh_emi!H17=0,0,1000000*SER_hh_emi!H17/SER_hh_num!H17)</f>
        <v>5220.2103520709552</v>
      </c>
      <c r="I17" s="133">
        <f>IF(SER_hh_emi!I17=0,0,1000000*SER_hh_emi!I17/SER_hh_num!I17)</f>
        <v>4070.8733855509099</v>
      </c>
      <c r="J17" s="133">
        <f>IF(SER_hh_emi!J17=0,0,1000000*SER_hh_emi!J17/SER_hh_num!J17)</f>
        <v>4107.9142684585267</v>
      </c>
      <c r="K17" s="133">
        <f>IF(SER_hh_emi!K17=0,0,1000000*SER_hh_emi!K17/SER_hh_num!K17)</f>
        <v>4169.0525251267945</v>
      </c>
      <c r="L17" s="133">
        <f>IF(SER_hh_emi!L17=0,0,1000000*SER_hh_emi!L17/SER_hh_num!L17)</f>
        <v>4440.469458966204</v>
      </c>
      <c r="M17" s="133">
        <f>IF(SER_hh_emi!M17=0,0,1000000*SER_hh_emi!M17/SER_hh_num!M17)</f>
        <v>4162.3886607165714</v>
      </c>
      <c r="N17" s="133">
        <f>IF(SER_hh_emi!N17=0,0,1000000*SER_hh_emi!N17/SER_hh_num!N17)</f>
        <v>4203.3726600131204</v>
      </c>
      <c r="O17" s="133">
        <f>IF(SER_hh_emi!O17=0,0,1000000*SER_hh_emi!O17/SER_hh_num!O17)</f>
        <v>4237.680860523843</v>
      </c>
      <c r="P17" s="133">
        <f>IF(SER_hh_emi!P17=0,0,1000000*SER_hh_emi!P17/SER_hh_num!P17)</f>
        <v>4025.2532673400865</v>
      </c>
      <c r="Q17" s="133">
        <f>IF(SER_hh_emi!Q17=0,0,1000000*SER_hh_emi!Q17/SER_hh_num!Q17)</f>
        <v>4476.0238986506793</v>
      </c>
      <c r="R17" s="133">
        <f>IF(SER_hh_emi!R17=0,0,1000000*SER_hh_emi!R17/SER_hh_num!R17)</f>
        <v>4290.4130200690997</v>
      </c>
      <c r="S17" s="133">
        <f>IF(SER_hh_emi!S17=0,0,1000000*SER_hh_emi!S17/SER_hh_num!S17)</f>
        <v>4039.0841002333809</v>
      </c>
      <c r="T17" s="133">
        <f>IF(SER_hh_emi!T17=0,0,1000000*SER_hh_emi!T17/SER_hh_num!T17)</f>
        <v>4558.4645679323503</v>
      </c>
      <c r="U17" s="133">
        <f>IF(SER_hh_emi!U17=0,0,1000000*SER_hh_emi!U17/SER_hh_num!U17)</f>
        <v>4328.5056046565796</v>
      </c>
      <c r="V17" s="133">
        <f>IF(SER_hh_emi!V17=0,0,1000000*SER_hh_emi!V17/SER_hh_num!V17)</f>
        <v>4819.0852588535981</v>
      </c>
      <c r="W17" s="133">
        <f>IF(SER_hh_emi!W17=0,0,1000000*SER_hh_emi!W17/SER_hh_num!W17)</f>
        <v>3716.6940873666108</v>
      </c>
      <c r="DA17" s="157" t="s">
        <v>459</v>
      </c>
    </row>
    <row r="18" spans="1:105" ht="12" customHeight="1" x14ac:dyDescent="0.25">
      <c r="A18" s="132" t="s">
        <v>72</v>
      </c>
      <c r="B18" s="133">
        <f>IF(SER_hh_emi!B18=0,0,1000000*SER_hh_emi!B18/SER_hh_num!B18)</f>
        <v>0</v>
      </c>
      <c r="C18" s="133">
        <f>IF(SER_hh_emi!C18=0,0,1000000*SER_hh_emi!C18/SER_hh_num!C18)</f>
        <v>0</v>
      </c>
      <c r="D18" s="133">
        <f>IF(SER_hh_emi!D18=0,0,1000000*SER_hh_emi!D18/SER_hh_num!D18)</f>
        <v>0</v>
      </c>
      <c r="E18" s="133">
        <f>IF(SER_hh_emi!E18=0,0,1000000*SER_hh_emi!E18/SER_hh_num!E18)</f>
        <v>0</v>
      </c>
      <c r="F18" s="133">
        <f>IF(SER_hh_emi!F18=0,0,1000000*SER_hh_emi!F18/SER_hh_num!F18)</f>
        <v>0</v>
      </c>
      <c r="G18" s="133">
        <f>IF(SER_hh_emi!G18=0,0,1000000*SER_hh_emi!G18/SER_hh_num!G18)</f>
        <v>0</v>
      </c>
      <c r="H18" s="133">
        <f>IF(SER_hh_emi!H18=0,0,1000000*SER_hh_emi!H18/SER_hh_num!H18)</f>
        <v>0</v>
      </c>
      <c r="I18" s="133">
        <f>IF(SER_hh_emi!I18=0,0,1000000*SER_hh_emi!I18/SER_hh_num!I18)</f>
        <v>0</v>
      </c>
      <c r="J18" s="133">
        <f>IF(SER_hh_emi!J18=0,0,1000000*SER_hh_emi!J18/SER_hh_num!J18)</f>
        <v>0</v>
      </c>
      <c r="K18" s="133">
        <f>IF(SER_hh_emi!K18=0,0,1000000*SER_hh_emi!K18/SER_hh_num!K18)</f>
        <v>0</v>
      </c>
      <c r="L18" s="133">
        <f>IF(SER_hh_emi!L18=0,0,1000000*SER_hh_emi!L18/SER_hh_num!L18)</f>
        <v>0</v>
      </c>
      <c r="M18" s="133">
        <f>IF(SER_hh_emi!M18=0,0,1000000*SER_hh_emi!M18/SER_hh_num!M18)</f>
        <v>0</v>
      </c>
      <c r="N18" s="133">
        <f>IF(SER_hh_emi!N18=0,0,1000000*SER_hh_emi!N18/SER_hh_num!N18)</f>
        <v>0</v>
      </c>
      <c r="O18" s="133">
        <f>IF(SER_hh_emi!O18=0,0,1000000*SER_hh_emi!O18/SER_hh_num!O18)</f>
        <v>0</v>
      </c>
      <c r="P18" s="133">
        <f>IF(SER_hh_emi!P18=0,0,1000000*SER_hh_emi!P18/SER_hh_num!P18)</f>
        <v>0</v>
      </c>
      <c r="Q18" s="133">
        <f>IF(SER_hh_emi!Q18=0,0,1000000*SER_hh_emi!Q18/SER_hh_num!Q18)</f>
        <v>0</v>
      </c>
      <c r="R18" s="133">
        <f>IF(SER_hh_emi!R18=0,0,1000000*SER_hh_emi!R18/SER_hh_num!R18)</f>
        <v>0</v>
      </c>
      <c r="S18" s="133">
        <f>IF(SER_hh_emi!S18=0,0,1000000*SER_hh_emi!S18/SER_hh_num!S18)</f>
        <v>0</v>
      </c>
      <c r="T18" s="133">
        <f>IF(SER_hh_emi!T18=0,0,1000000*SER_hh_emi!T18/SER_hh_num!T18)</f>
        <v>0</v>
      </c>
      <c r="U18" s="133">
        <f>IF(SER_hh_emi!U18=0,0,1000000*SER_hh_emi!U18/SER_hh_num!U18)</f>
        <v>0</v>
      </c>
      <c r="V18" s="133">
        <f>IF(SER_hh_emi!V18=0,0,1000000*SER_hh_emi!V18/SER_hh_num!V18)</f>
        <v>0</v>
      </c>
      <c r="W18" s="133">
        <f>IF(SER_hh_emi!W18=0,0,1000000*SER_hh_emi!W18/SER_hh_num!W18)</f>
        <v>0</v>
      </c>
      <c r="DA18" s="157" t="s">
        <v>460</v>
      </c>
    </row>
    <row r="19" spans="1:105" ht="12.95" customHeight="1" x14ac:dyDescent="0.25">
      <c r="A19" s="130" t="s">
        <v>35</v>
      </c>
      <c r="B19" s="131">
        <f>IF(SER_hh_emi!B19=0,0,1000000*SER_hh_emi!B19/SER_hh_num!B19)</f>
        <v>4136.8511149057704</v>
      </c>
      <c r="C19" s="131">
        <f>IF(SER_hh_emi!C19=0,0,1000000*SER_hh_emi!C19/SER_hh_num!C19)</f>
        <v>4091.2023780808836</v>
      </c>
      <c r="D19" s="131">
        <f>IF(SER_hh_emi!D19=0,0,1000000*SER_hh_emi!D19/SER_hh_num!D19)</f>
        <v>3915.2144470717558</v>
      </c>
      <c r="E19" s="131">
        <f>IF(SER_hh_emi!E19=0,0,1000000*SER_hh_emi!E19/SER_hh_num!E19)</f>
        <v>3885.7835044135682</v>
      </c>
      <c r="F19" s="131">
        <f>IF(SER_hh_emi!F19=0,0,1000000*SER_hh_emi!F19/SER_hh_num!F19)</f>
        <v>3782.3038117051879</v>
      </c>
      <c r="G19" s="131">
        <f>IF(SER_hh_emi!G19=0,0,1000000*SER_hh_emi!G19/SER_hh_num!G19)</f>
        <v>3634.6680650160238</v>
      </c>
      <c r="H19" s="131">
        <f>IF(SER_hh_emi!H19=0,0,1000000*SER_hh_emi!H19/SER_hh_num!H19)</f>
        <v>3549.0786982036211</v>
      </c>
      <c r="I19" s="131">
        <f>IF(SER_hh_emi!I19=0,0,1000000*SER_hh_emi!I19/SER_hh_num!I19)</f>
        <v>3463.7803345214911</v>
      </c>
      <c r="J19" s="131">
        <f>IF(SER_hh_emi!J19=0,0,1000000*SER_hh_emi!J19/SER_hh_num!J19)</f>
        <v>3348.7860070420375</v>
      </c>
      <c r="K19" s="131">
        <f>IF(SER_hh_emi!K19=0,0,1000000*SER_hh_emi!K19/SER_hh_num!K19)</f>
        <v>3353.4631170210487</v>
      </c>
      <c r="L19" s="131">
        <f>IF(SER_hh_emi!L19=0,0,1000000*SER_hh_emi!L19/SER_hh_num!L19)</f>
        <v>3285.9397139018042</v>
      </c>
      <c r="M19" s="131">
        <f>IF(SER_hh_emi!M19=0,0,1000000*SER_hh_emi!M19/SER_hh_num!M19)</f>
        <v>3265.8530736661455</v>
      </c>
      <c r="N19" s="131">
        <f>IF(SER_hh_emi!N19=0,0,1000000*SER_hh_emi!N19/SER_hh_num!N19)</f>
        <v>3259.6768890518138</v>
      </c>
      <c r="O19" s="131">
        <f>IF(SER_hh_emi!O19=0,0,1000000*SER_hh_emi!O19/SER_hh_num!O19)</f>
        <v>3242.7320643664639</v>
      </c>
      <c r="P19" s="131">
        <f>IF(SER_hh_emi!P19=0,0,1000000*SER_hh_emi!P19/SER_hh_num!P19)</f>
        <v>3221.3308472356402</v>
      </c>
      <c r="Q19" s="131">
        <f>IF(SER_hh_emi!Q19=0,0,1000000*SER_hh_emi!Q19/SER_hh_num!Q19)</f>
        <v>3204.2260540528409</v>
      </c>
      <c r="R19" s="131">
        <f>IF(SER_hh_emi!R19=0,0,1000000*SER_hh_emi!R19/SER_hh_num!R19)</f>
        <v>3126.2098990507507</v>
      </c>
      <c r="S19" s="131">
        <f>IF(SER_hh_emi!S19=0,0,1000000*SER_hh_emi!S19/SER_hh_num!S19)</f>
        <v>3069.6203580082929</v>
      </c>
      <c r="T19" s="131">
        <f>IF(SER_hh_emi!T19=0,0,1000000*SER_hh_emi!T19/SER_hh_num!T19)</f>
        <v>2972.6219592019484</v>
      </c>
      <c r="U19" s="131">
        <f>IF(SER_hh_emi!U19=0,0,1000000*SER_hh_emi!U19/SER_hh_num!U19)</f>
        <v>2879.2028112261255</v>
      </c>
      <c r="V19" s="131">
        <f>IF(SER_hh_emi!V19=0,0,1000000*SER_hh_emi!V19/SER_hh_num!V19)</f>
        <v>2649.3356156385867</v>
      </c>
      <c r="W19" s="131">
        <f>IF(SER_hh_emi!W19=0,0,1000000*SER_hh_emi!W19/SER_hh_num!W19)</f>
        <v>2791.9015062978742</v>
      </c>
      <c r="DA19" s="156" t="s">
        <v>461</v>
      </c>
    </row>
    <row r="20" spans="1:105" ht="12" customHeight="1" x14ac:dyDescent="0.25">
      <c r="A20" s="132" t="s">
        <v>29</v>
      </c>
      <c r="B20" s="133">
        <f>IF(SER_hh_emi!B20=0,0,1000000*SER_hh_emi!B20/SER_hh_num!B20)</f>
        <v>0</v>
      </c>
      <c r="C20" s="133">
        <f>IF(SER_hh_emi!C20=0,0,1000000*SER_hh_emi!C20/SER_hh_num!C20)</f>
        <v>0</v>
      </c>
      <c r="D20" s="133">
        <f>IF(SER_hh_emi!D20=0,0,1000000*SER_hh_emi!D20/SER_hh_num!D20)</f>
        <v>0</v>
      </c>
      <c r="E20" s="133">
        <f>IF(SER_hh_emi!E20=0,0,1000000*SER_hh_emi!E20/SER_hh_num!E20)</f>
        <v>0</v>
      </c>
      <c r="F20" s="133">
        <f>IF(SER_hh_emi!F20=0,0,1000000*SER_hh_emi!F20/SER_hh_num!F20)</f>
        <v>0</v>
      </c>
      <c r="G20" s="133">
        <f>IF(SER_hh_emi!G20=0,0,1000000*SER_hh_emi!G20/SER_hh_num!G20)</f>
        <v>0</v>
      </c>
      <c r="H20" s="133">
        <f>IF(SER_hh_emi!H20=0,0,1000000*SER_hh_emi!H20/SER_hh_num!H20)</f>
        <v>0</v>
      </c>
      <c r="I20" s="133">
        <f>IF(SER_hh_emi!I20=0,0,1000000*SER_hh_emi!I20/SER_hh_num!I20)</f>
        <v>0</v>
      </c>
      <c r="J20" s="133">
        <f>IF(SER_hh_emi!J20=0,0,1000000*SER_hh_emi!J20/SER_hh_num!J20)</f>
        <v>0</v>
      </c>
      <c r="K20" s="133">
        <f>IF(SER_hh_emi!K20=0,0,1000000*SER_hh_emi!K20/SER_hh_num!K20)</f>
        <v>0</v>
      </c>
      <c r="L20" s="133">
        <f>IF(SER_hh_emi!L20=0,0,1000000*SER_hh_emi!L20/SER_hh_num!L20)</f>
        <v>0</v>
      </c>
      <c r="M20" s="133">
        <f>IF(SER_hh_emi!M20=0,0,1000000*SER_hh_emi!M20/SER_hh_num!M20)</f>
        <v>0</v>
      </c>
      <c r="N20" s="133">
        <f>IF(SER_hh_emi!N20=0,0,1000000*SER_hh_emi!N20/SER_hh_num!N20)</f>
        <v>0</v>
      </c>
      <c r="O20" s="133">
        <f>IF(SER_hh_emi!O20=0,0,1000000*SER_hh_emi!O20/SER_hh_num!O20)</f>
        <v>0</v>
      </c>
      <c r="P20" s="133">
        <f>IF(SER_hh_emi!P20=0,0,1000000*SER_hh_emi!P20/SER_hh_num!P20)</f>
        <v>0</v>
      </c>
      <c r="Q20" s="133">
        <f>IF(SER_hh_emi!Q20=0,0,1000000*SER_hh_emi!Q20/SER_hh_num!Q20)</f>
        <v>0</v>
      </c>
      <c r="R20" s="133">
        <f>IF(SER_hh_emi!R20=0,0,1000000*SER_hh_emi!R20/SER_hh_num!R20)</f>
        <v>0</v>
      </c>
      <c r="S20" s="133">
        <f>IF(SER_hh_emi!S20=0,0,1000000*SER_hh_emi!S20/SER_hh_num!S20)</f>
        <v>0</v>
      </c>
      <c r="T20" s="133">
        <f>IF(SER_hh_emi!T20=0,0,1000000*SER_hh_emi!T20/SER_hh_num!T20)</f>
        <v>0</v>
      </c>
      <c r="U20" s="133">
        <f>IF(SER_hh_emi!U20=0,0,1000000*SER_hh_emi!U20/SER_hh_num!U20)</f>
        <v>0</v>
      </c>
      <c r="V20" s="133">
        <f>IF(SER_hh_emi!V20=0,0,1000000*SER_hh_emi!V20/SER_hh_num!V20)</f>
        <v>0</v>
      </c>
      <c r="W20" s="133">
        <f>IF(SER_hh_emi!W20=0,0,1000000*SER_hh_emi!W20/SER_hh_num!W20)</f>
        <v>0</v>
      </c>
      <c r="DA20" s="157" t="s">
        <v>462</v>
      </c>
    </row>
    <row r="21" spans="1:105" s="2" customFormat="1" ht="12" customHeight="1" x14ac:dyDescent="0.25">
      <c r="A21" s="132" t="s">
        <v>52</v>
      </c>
      <c r="B21" s="133">
        <f>IF(SER_hh_emi!B21=0,0,1000000*SER_hh_emi!B21/SER_hh_num!B21)</f>
        <v>4787.7043100944402</v>
      </c>
      <c r="C21" s="133">
        <f>IF(SER_hh_emi!C21=0,0,1000000*SER_hh_emi!C21/SER_hh_num!C21)</f>
        <v>4831.7624445023575</v>
      </c>
      <c r="D21" s="133">
        <f>IF(SER_hh_emi!D21=0,0,1000000*SER_hh_emi!D21/SER_hh_num!D21)</f>
        <v>4845.8414660287654</v>
      </c>
      <c r="E21" s="133">
        <f>IF(SER_hh_emi!E21=0,0,1000000*SER_hh_emi!E21/SER_hh_num!E21)</f>
        <v>5067.6222133834171</v>
      </c>
      <c r="F21" s="133">
        <f>IF(SER_hh_emi!F21=0,0,1000000*SER_hh_emi!F21/SER_hh_num!F21)</f>
        <v>5617.9882048601921</v>
      </c>
      <c r="G21" s="133">
        <f>IF(SER_hh_emi!G21=0,0,1000000*SER_hh_emi!G21/SER_hh_num!G21)</f>
        <v>3585.4874824538597</v>
      </c>
      <c r="H21" s="133">
        <f>IF(SER_hh_emi!H21=0,0,1000000*SER_hh_emi!H21/SER_hh_num!H21)</f>
        <v>4368.5475451989332</v>
      </c>
      <c r="I21" s="133">
        <f>IF(SER_hh_emi!I21=0,0,1000000*SER_hh_emi!I21/SER_hh_num!I21)</f>
        <v>4752.0165691963175</v>
      </c>
      <c r="J21" s="133">
        <f>IF(SER_hh_emi!J21=0,0,1000000*SER_hh_emi!J21/SER_hh_num!J21)</f>
        <v>4299.724170724081</v>
      </c>
      <c r="K21" s="133">
        <f>IF(SER_hh_emi!K21=0,0,1000000*SER_hh_emi!K21/SER_hh_num!K21)</f>
        <v>4525.87388506359</v>
      </c>
      <c r="L21" s="133">
        <f>IF(SER_hh_emi!L21=0,0,1000000*SER_hh_emi!L21/SER_hh_num!L21)</f>
        <v>4253.4207912025959</v>
      </c>
      <c r="M21" s="133">
        <f>IF(SER_hh_emi!M21=0,0,1000000*SER_hh_emi!M21/SER_hh_num!M21)</f>
        <v>4434.7694598542039</v>
      </c>
      <c r="N21" s="133">
        <f>IF(SER_hh_emi!N21=0,0,1000000*SER_hh_emi!N21/SER_hh_num!N21)</f>
        <v>4689.4041354893689</v>
      </c>
      <c r="O21" s="133">
        <f>IF(SER_hh_emi!O21=0,0,1000000*SER_hh_emi!O21/SER_hh_num!O21)</f>
        <v>4552.7798957523328</v>
      </c>
      <c r="P21" s="133">
        <f>IF(SER_hh_emi!P21=0,0,1000000*SER_hh_emi!P21/SER_hh_num!P21)</f>
        <v>4288.0783180107892</v>
      </c>
      <c r="Q21" s="133">
        <f>IF(SER_hh_emi!Q21=0,0,1000000*SER_hh_emi!Q21/SER_hh_num!Q21)</f>
        <v>4459.7683531922039</v>
      </c>
      <c r="R21" s="133">
        <f>IF(SER_hh_emi!R21=0,0,1000000*SER_hh_emi!R21/SER_hh_num!R21)</f>
        <v>4301.5983978436561</v>
      </c>
      <c r="S21" s="133">
        <f>IF(SER_hh_emi!S21=0,0,1000000*SER_hh_emi!S21/SER_hh_num!S21)</f>
        <v>4306.8483809145609</v>
      </c>
      <c r="T21" s="133">
        <f>IF(SER_hh_emi!T21=0,0,1000000*SER_hh_emi!T21/SER_hh_num!T21)</f>
        <v>4313.0275927958755</v>
      </c>
      <c r="U21" s="133">
        <f>IF(SER_hh_emi!U21=0,0,1000000*SER_hh_emi!U21/SER_hh_num!U21)</f>
        <v>4292.7089920037952</v>
      </c>
      <c r="V21" s="133">
        <f>IF(SER_hh_emi!V21=0,0,1000000*SER_hh_emi!V21/SER_hh_num!V21)</f>
        <v>3769.9021558884701</v>
      </c>
      <c r="W21" s="133">
        <f>IF(SER_hh_emi!W21=0,0,1000000*SER_hh_emi!W21/SER_hh_num!W21)</f>
        <v>4247.2656734220272</v>
      </c>
      <c r="DA21" s="157" t="s">
        <v>463</v>
      </c>
    </row>
    <row r="22" spans="1:105" ht="12" customHeight="1" x14ac:dyDescent="0.25">
      <c r="A22" s="132" t="s">
        <v>168</v>
      </c>
      <c r="B22" s="133">
        <f>IF(SER_hh_emi!B22=0,0,1000000*SER_hh_emi!B22/SER_hh_num!B22)</f>
        <v>6036.8992635855839</v>
      </c>
      <c r="C22" s="133">
        <f>IF(SER_hh_emi!C22=0,0,1000000*SER_hh_emi!C22/SER_hh_num!C22)</f>
        <v>5993.1724240171425</v>
      </c>
      <c r="D22" s="133">
        <f>IF(SER_hh_emi!D22=0,0,1000000*SER_hh_emi!D22/SER_hh_num!D22)</f>
        <v>5979.8324524314321</v>
      </c>
      <c r="E22" s="133">
        <f>IF(SER_hh_emi!E22=0,0,1000000*SER_hh_emi!E22/SER_hh_num!E22)</f>
        <v>5982.3467642405121</v>
      </c>
      <c r="F22" s="133">
        <f>IF(SER_hh_emi!F22=0,0,1000000*SER_hh_emi!F22/SER_hh_num!F22)</f>
        <v>5908.1807305024213</v>
      </c>
      <c r="G22" s="133">
        <f>IF(SER_hh_emi!G22=0,0,1000000*SER_hh_emi!G22/SER_hh_num!G22)</f>
        <v>5821.4758418043593</v>
      </c>
      <c r="H22" s="133">
        <f>IF(SER_hh_emi!H22=0,0,1000000*SER_hh_emi!H22/SER_hh_num!H22)</f>
        <v>5803.8840738826038</v>
      </c>
      <c r="I22" s="133">
        <f>IF(SER_hh_emi!I22=0,0,1000000*SER_hh_emi!I22/SER_hh_num!I22)</f>
        <v>5793.8400311199375</v>
      </c>
      <c r="J22" s="133">
        <f>IF(SER_hh_emi!J22=0,0,1000000*SER_hh_emi!J22/SER_hh_num!J22)</f>
        <v>5627.5826171265626</v>
      </c>
      <c r="K22" s="133">
        <f>IF(SER_hh_emi!K22=0,0,1000000*SER_hh_emi!K22/SER_hh_num!K22)</f>
        <v>5676.3124854474054</v>
      </c>
      <c r="L22" s="133">
        <f>IF(SER_hh_emi!L22=0,0,1000000*SER_hh_emi!L22/SER_hh_num!L22)</f>
        <v>5675.0537138372902</v>
      </c>
      <c r="M22" s="133">
        <f>IF(SER_hh_emi!M22=0,0,1000000*SER_hh_emi!M22/SER_hh_num!M22)</f>
        <v>5719.3925185327389</v>
      </c>
      <c r="N22" s="133">
        <f>IF(SER_hh_emi!N22=0,0,1000000*SER_hh_emi!N22/SER_hh_num!N22)</f>
        <v>5698.8814076092431</v>
      </c>
      <c r="O22" s="133">
        <f>IF(SER_hh_emi!O22=0,0,1000000*SER_hh_emi!O22/SER_hh_num!O22)</f>
        <v>5694.5260083734502</v>
      </c>
      <c r="P22" s="133">
        <f>IF(SER_hh_emi!P22=0,0,1000000*SER_hh_emi!P22/SER_hh_num!P22)</f>
        <v>5719.8172644726801</v>
      </c>
      <c r="Q22" s="133">
        <f>IF(SER_hh_emi!Q22=0,0,1000000*SER_hh_emi!Q22/SER_hh_num!Q22)</f>
        <v>5736.3598527236782</v>
      </c>
      <c r="R22" s="133">
        <f>IF(SER_hh_emi!R22=0,0,1000000*SER_hh_emi!R22/SER_hh_num!R22)</f>
        <v>5620.8771303301628</v>
      </c>
      <c r="S22" s="133">
        <f>IF(SER_hh_emi!S22=0,0,1000000*SER_hh_emi!S22/SER_hh_num!S22)</f>
        <v>5580.0648485005431</v>
      </c>
      <c r="T22" s="133">
        <f>IF(SER_hh_emi!T22=0,0,1000000*SER_hh_emi!T22/SER_hh_num!T22)</f>
        <v>5466.729484550784</v>
      </c>
      <c r="U22" s="133">
        <f>IF(SER_hh_emi!U22=0,0,1000000*SER_hh_emi!U22/SER_hh_num!U22)</f>
        <v>5345.995783674126</v>
      </c>
      <c r="V22" s="133">
        <f>IF(SER_hh_emi!V22=0,0,1000000*SER_hh_emi!V22/SER_hh_num!V22)</f>
        <v>4840.9360825700151</v>
      </c>
      <c r="W22" s="133">
        <f>IF(SER_hh_emi!W22=0,0,1000000*SER_hh_emi!W22/SER_hh_num!W22)</f>
        <v>5216.0319864862113</v>
      </c>
      <c r="DA22" s="157" t="s">
        <v>464</v>
      </c>
    </row>
    <row r="23" spans="1:105" ht="12" customHeight="1" x14ac:dyDescent="0.25">
      <c r="A23" s="132" t="s">
        <v>153</v>
      </c>
      <c r="B23" s="133">
        <f>IF(SER_hh_emi!B23=0,0,1000000*SER_hh_emi!B23/SER_hh_num!B23)</f>
        <v>4447.643714721733</v>
      </c>
      <c r="C23" s="133">
        <f>IF(SER_hh_emi!C23=0,0,1000000*SER_hh_emi!C23/SER_hh_num!C23)</f>
        <v>4431.4207514059772</v>
      </c>
      <c r="D23" s="133">
        <f>IF(SER_hh_emi!D23=0,0,1000000*SER_hh_emi!D23/SER_hh_num!D23)</f>
        <v>4320.2294656807617</v>
      </c>
      <c r="E23" s="133">
        <f>IF(SER_hh_emi!E23=0,0,1000000*SER_hh_emi!E23/SER_hh_num!E23)</f>
        <v>4320.4069897465743</v>
      </c>
      <c r="F23" s="133">
        <f>IF(SER_hh_emi!F23=0,0,1000000*SER_hh_emi!F23/SER_hh_num!F23)</f>
        <v>4221.7042161870859</v>
      </c>
      <c r="G23" s="133">
        <f>IF(SER_hh_emi!G23=0,0,1000000*SER_hh_emi!G23/SER_hh_num!G23)</f>
        <v>4158.1163847264788</v>
      </c>
      <c r="H23" s="133">
        <f>IF(SER_hh_emi!H23=0,0,1000000*SER_hh_emi!H23/SER_hh_num!H23)</f>
        <v>4067.7137954879477</v>
      </c>
      <c r="I23" s="133">
        <f>IF(SER_hh_emi!I23=0,0,1000000*SER_hh_emi!I23/SER_hh_num!I23)</f>
        <v>3979.2674441172471</v>
      </c>
      <c r="J23" s="133">
        <f>IF(SER_hh_emi!J23=0,0,1000000*SER_hh_emi!J23/SER_hh_num!J23)</f>
        <v>3924.5508793989502</v>
      </c>
      <c r="K23" s="133">
        <f>IF(SER_hh_emi!K23=0,0,1000000*SER_hh_emi!K23/SER_hh_num!K23)</f>
        <v>3947.8876484351504</v>
      </c>
      <c r="L23" s="133">
        <f>IF(SER_hh_emi!L23=0,0,1000000*SER_hh_emi!L23/SER_hh_num!L23)</f>
        <v>3881.228338206829</v>
      </c>
      <c r="M23" s="133">
        <f>IF(SER_hh_emi!M23=0,0,1000000*SER_hh_emi!M23/SER_hh_num!M23)</f>
        <v>3829.819694094384</v>
      </c>
      <c r="N23" s="133">
        <f>IF(SER_hh_emi!N23=0,0,1000000*SER_hh_emi!N23/SER_hh_num!N23)</f>
        <v>3834.7976666292102</v>
      </c>
      <c r="O23" s="133">
        <f>IF(SER_hh_emi!O23=0,0,1000000*SER_hh_emi!O23/SER_hh_num!O23)</f>
        <v>3822.5340786281959</v>
      </c>
      <c r="P23" s="133">
        <f>IF(SER_hh_emi!P23=0,0,1000000*SER_hh_emi!P23/SER_hh_num!P23)</f>
        <v>3795.4012360133097</v>
      </c>
      <c r="Q23" s="133">
        <f>IF(SER_hh_emi!Q23=0,0,1000000*SER_hh_emi!Q23/SER_hh_num!Q23)</f>
        <v>3780.1292416599103</v>
      </c>
      <c r="R23" s="133">
        <f>IF(SER_hh_emi!R23=0,0,1000000*SER_hh_emi!R23/SER_hh_num!R23)</f>
        <v>3713.6003818386125</v>
      </c>
      <c r="S23" s="133">
        <f>IF(SER_hh_emi!S23=0,0,1000000*SER_hh_emi!S23/SER_hh_num!S23)</f>
        <v>3664.2876376959011</v>
      </c>
      <c r="T23" s="133">
        <f>IF(SER_hh_emi!T23=0,0,1000000*SER_hh_emi!T23/SER_hh_num!T23)</f>
        <v>3574.9853701249453</v>
      </c>
      <c r="U23" s="133">
        <f>IF(SER_hh_emi!U23=0,0,1000000*SER_hh_emi!U23/SER_hh_num!U23)</f>
        <v>3485.2153935273736</v>
      </c>
      <c r="V23" s="133">
        <f>IF(SER_hh_emi!V23=0,0,1000000*SER_hh_emi!V23/SER_hh_num!V23)</f>
        <v>3270.5102380886983</v>
      </c>
      <c r="W23" s="133">
        <f>IF(SER_hh_emi!W23=0,0,1000000*SER_hh_emi!W23/SER_hh_num!W23)</f>
        <v>3394.9718028914899</v>
      </c>
      <c r="DA23" s="157" t="s">
        <v>465</v>
      </c>
    </row>
    <row r="24" spans="1:105" ht="12" customHeight="1" x14ac:dyDescent="0.25">
      <c r="A24" s="132" t="s">
        <v>128</v>
      </c>
      <c r="B24" s="133">
        <f>IF(SER_hh_emi!B24=0,0,1000000*SER_hh_emi!B24/SER_hh_num!B24)</f>
        <v>0</v>
      </c>
      <c r="C24" s="133">
        <f>IF(SER_hh_emi!C24=0,0,1000000*SER_hh_emi!C24/SER_hh_num!C24)</f>
        <v>0</v>
      </c>
      <c r="D24" s="133">
        <f>IF(SER_hh_emi!D24=0,0,1000000*SER_hh_emi!D24/SER_hh_num!D24)</f>
        <v>0</v>
      </c>
      <c r="E24" s="133">
        <f>IF(SER_hh_emi!E24=0,0,1000000*SER_hh_emi!E24/SER_hh_num!E24)</f>
        <v>0</v>
      </c>
      <c r="F24" s="133">
        <f>IF(SER_hh_emi!F24=0,0,1000000*SER_hh_emi!F24/SER_hh_num!F24)</f>
        <v>0</v>
      </c>
      <c r="G24" s="133">
        <f>IF(SER_hh_emi!G24=0,0,1000000*SER_hh_emi!G24/SER_hh_num!G24)</f>
        <v>0</v>
      </c>
      <c r="H24" s="133">
        <f>IF(SER_hh_emi!H24=0,0,1000000*SER_hh_emi!H24/SER_hh_num!H24)</f>
        <v>0</v>
      </c>
      <c r="I24" s="133">
        <f>IF(SER_hh_emi!I24=0,0,1000000*SER_hh_emi!I24/SER_hh_num!I24)</f>
        <v>0</v>
      </c>
      <c r="J24" s="133">
        <f>IF(SER_hh_emi!J24=0,0,1000000*SER_hh_emi!J24/SER_hh_num!J24)</f>
        <v>0</v>
      </c>
      <c r="K24" s="133">
        <f>IF(SER_hh_emi!K24=0,0,1000000*SER_hh_emi!K24/SER_hh_num!K24)</f>
        <v>0</v>
      </c>
      <c r="L24" s="133">
        <f>IF(SER_hh_emi!L24=0,0,1000000*SER_hh_emi!L24/SER_hh_num!L24)</f>
        <v>0</v>
      </c>
      <c r="M24" s="133">
        <f>IF(SER_hh_emi!M24=0,0,1000000*SER_hh_emi!M24/SER_hh_num!M24)</f>
        <v>0</v>
      </c>
      <c r="N24" s="133">
        <f>IF(SER_hh_emi!N24=0,0,1000000*SER_hh_emi!N24/SER_hh_num!N24)</f>
        <v>0</v>
      </c>
      <c r="O24" s="133">
        <f>IF(SER_hh_emi!O24=0,0,1000000*SER_hh_emi!O24/SER_hh_num!O24)</f>
        <v>0</v>
      </c>
      <c r="P24" s="133">
        <f>IF(SER_hh_emi!P24=0,0,1000000*SER_hh_emi!P24/SER_hh_num!P24)</f>
        <v>0</v>
      </c>
      <c r="Q24" s="133">
        <f>IF(SER_hh_emi!Q24=0,0,1000000*SER_hh_emi!Q24/SER_hh_num!Q24)</f>
        <v>0</v>
      </c>
      <c r="R24" s="133">
        <f>IF(SER_hh_emi!R24=0,0,1000000*SER_hh_emi!R24/SER_hh_num!R24)</f>
        <v>0</v>
      </c>
      <c r="S24" s="133">
        <f>IF(SER_hh_emi!S24=0,0,1000000*SER_hh_emi!S24/SER_hh_num!S24)</f>
        <v>0</v>
      </c>
      <c r="T24" s="133">
        <f>IF(SER_hh_emi!T24=0,0,1000000*SER_hh_emi!T24/SER_hh_num!T24)</f>
        <v>0</v>
      </c>
      <c r="U24" s="133">
        <f>IF(SER_hh_emi!U24=0,0,1000000*SER_hh_emi!U24/SER_hh_num!U24)</f>
        <v>0</v>
      </c>
      <c r="V24" s="133">
        <f>IF(SER_hh_emi!V24=0,0,1000000*SER_hh_emi!V24/SER_hh_num!V24)</f>
        <v>0</v>
      </c>
      <c r="W24" s="133">
        <f>IF(SER_hh_emi!W24=0,0,1000000*SER_hh_emi!W24/SER_hh_num!W24)</f>
        <v>0</v>
      </c>
      <c r="DA24" s="157" t="s">
        <v>466</v>
      </c>
    </row>
    <row r="25" spans="1:105" ht="12" customHeight="1" x14ac:dyDescent="0.25">
      <c r="A25" s="132" t="s">
        <v>169</v>
      </c>
      <c r="B25" s="133">
        <f>IF(SER_hh_emi!B25=0,0,1000000*SER_hh_emi!B25/SER_hh_num!B25)</f>
        <v>0</v>
      </c>
      <c r="C25" s="133">
        <f>IF(SER_hh_emi!C25=0,0,1000000*SER_hh_emi!C25/SER_hh_num!C25)</f>
        <v>0</v>
      </c>
      <c r="D25" s="133">
        <f>IF(SER_hh_emi!D25=0,0,1000000*SER_hh_emi!D25/SER_hh_num!D25)</f>
        <v>0</v>
      </c>
      <c r="E25" s="133">
        <f>IF(SER_hh_emi!E25=0,0,1000000*SER_hh_emi!E25/SER_hh_num!E25)</f>
        <v>0</v>
      </c>
      <c r="F25" s="133">
        <f>IF(SER_hh_emi!F25=0,0,1000000*SER_hh_emi!F25/SER_hh_num!F25)</f>
        <v>0</v>
      </c>
      <c r="G25" s="133">
        <f>IF(SER_hh_emi!G25=0,0,1000000*SER_hh_emi!G25/SER_hh_num!G25)</f>
        <v>0</v>
      </c>
      <c r="H25" s="133">
        <f>IF(SER_hh_emi!H25=0,0,1000000*SER_hh_emi!H25/SER_hh_num!H25)</f>
        <v>0</v>
      </c>
      <c r="I25" s="133">
        <f>IF(SER_hh_emi!I25=0,0,1000000*SER_hh_emi!I25/SER_hh_num!I25)</f>
        <v>0</v>
      </c>
      <c r="J25" s="133">
        <f>IF(SER_hh_emi!J25=0,0,1000000*SER_hh_emi!J25/SER_hh_num!J25)</f>
        <v>0</v>
      </c>
      <c r="K25" s="133">
        <f>IF(SER_hh_emi!K25=0,0,1000000*SER_hh_emi!K25/SER_hh_num!K25)</f>
        <v>0</v>
      </c>
      <c r="L25" s="133">
        <f>IF(SER_hh_emi!L25=0,0,1000000*SER_hh_emi!L25/SER_hh_num!L25)</f>
        <v>0</v>
      </c>
      <c r="M25" s="133">
        <f>IF(SER_hh_emi!M25=0,0,1000000*SER_hh_emi!M25/SER_hh_num!M25)</f>
        <v>0</v>
      </c>
      <c r="N25" s="133">
        <f>IF(SER_hh_emi!N25=0,0,1000000*SER_hh_emi!N25/SER_hh_num!N25)</f>
        <v>0</v>
      </c>
      <c r="O25" s="133">
        <f>IF(SER_hh_emi!O25=0,0,1000000*SER_hh_emi!O25/SER_hh_num!O25)</f>
        <v>0</v>
      </c>
      <c r="P25" s="133">
        <f>IF(SER_hh_emi!P25=0,0,1000000*SER_hh_emi!P25/SER_hh_num!P25)</f>
        <v>0</v>
      </c>
      <c r="Q25" s="133">
        <f>IF(SER_hh_emi!Q25=0,0,1000000*SER_hh_emi!Q25/SER_hh_num!Q25)</f>
        <v>0</v>
      </c>
      <c r="R25" s="133">
        <f>IF(SER_hh_emi!R25=0,0,1000000*SER_hh_emi!R25/SER_hh_num!R25)</f>
        <v>0</v>
      </c>
      <c r="S25" s="133">
        <f>IF(SER_hh_emi!S25=0,0,1000000*SER_hh_emi!S25/SER_hh_num!S25)</f>
        <v>0</v>
      </c>
      <c r="T25" s="133">
        <f>IF(SER_hh_emi!T25=0,0,1000000*SER_hh_emi!T25/SER_hh_num!T25)</f>
        <v>0</v>
      </c>
      <c r="U25" s="133">
        <f>IF(SER_hh_emi!U25=0,0,1000000*SER_hh_emi!U25/SER_hh_num!U25)</f>
        <v>0</v>
      </c>
      <c r="V25" s="133">
        <f>IF(SER_hh_emi!V25=0,0,1000000*SER_hh_emi!V25/SER_hh_num!V25)</f>
        <v>0</v>
      </c>
      <c r="W25" s="133">
        <f>IF(SER_hh_emi!W25=0,0,1000000*SER_hh_emi!W25/SER_hh_num!W25)</f>
        <v>0</v>
      </c>
      <c r="DA25" s="157" t="s">
        <v>467</v>
      </c>
    </row>
    <row r="26" spans="1:105" ht="12" customHeight="1" x14ac:dyDescent="0.25">
      <c r="A26" s="132" t="s">
        <v>24</v>
      </c>
      <c r="B26" s="65">
        <f>IF(SER_hh_emi!B26=0,0,1000000*SER_hh_emi!B26/SER_hh_num!B26)</f>
        <v>0</v>
      </c>
      <c r="C26" s="65">
        <f>IF(SER_hh_emi!C26=0,0,1000000*SER_hh_emi!C26/SER_hh_num!C26)</f>
        <v>0</v>
      </c>
      <c r="D26" s="65">
        <f>IF(SER_hh_emi!D26=0,0,1000000*SER_hh_emi!D26/SER_hh_num!D26)</f>
        <v>0</v>
      </c>
      <c r="E26" s="65">
        <f>IF(SER_hh_emi!E26=0,0,1000000*SER_hh_emi!E26/SER_hh_num!E26)</f>
        <v>0</v>
      </c>
      <c r="F26" s="65">
        <f>IF(SER_hh_emi!F26=0,0,1000000*SER_hh_emi!F26/SER_hh_num!F26)</f>
        <v>0</v>
      </c>
      <c r="G26" s="65">
        <f>IF(SER_hh_emi!G26=0,0,1000000*SER_hh_emi!G26/SER_hh_num!G26)</f>
        <v>0</v>
      </c>
      <c r="H26" s="65">
        <f>IF(SER_hh_emi!H26=0,0,1000000*SER_hh_emi!H26/SER_hh_num!H26)</f>
        <v>0</v>
      </c>
      <c r="I26" s="65">
        <f>IF(SER_hh_emi!I26=0,0,1000000*SER_hh_emi!I26/SER_hh_num!I26)</f>
        <v>0</v>
      </c>
      <c r="J26" s="65">
        <f>IF(SER_hh_emi!J26=0,0,1000000*SER_hh_emi!J26/SER_hh_num!J26)</f>
        <v>0</v>
      </c>
      <c r="K26" s="65">
        <f>IF(SER_hh_emi!K26=0,0,1000000*SER_hh_emi!K26/SER_hh_num!K26)</f>
        <v>0</v>
      </c>
      <c r="L26" s="65">
        <f>IF(SER_hh_emi!L26=0,0,1000000*SER_hh_emi!L26/SER_hh_num!L26)</f>
        <v>0</v>
      </c>
      <c r="M26" s="65">
        <f>IF(SER_hh_emi!M26=0,0,1000000*SER_hh_emi!M26/SER_hh_num!M26)</f>
        <v>0</v>
      </c>
      <c r="N26" s="65">
        <f>IF(SER_hh_emi!N26=0,0,1000000*SER_hh_emi!N26/SER_hh_num!N26)</f>
        <v>0</v>
      </c>
      <c r="O26" s="65">
        <f>IF(SER_hh_emi!O26=0,0,1000000*SER_hh_emi!O26/SER_hh_num!O26)</f>
        <v>0</v>
      </c>
      <c r="P26" s="65">
        <f>IF(SER_hh_emi!P26=0,0,1000000*SER_hh_emi!P26/SER_hh_num!P26)</f>
        <v>0</v>
      </c>
      <c r="Q26" s="65">
        <f>IF(SER_hh_emi!Q26=0,0,1000000*SER_hh_emi!Q26/SER_hh_num!Q26)</f>
        <v>0</v>
      </c>
      <c r="R26" s="65">
        <f>IF(SER_hh_emi!R26=0,0,1000000*SER_hh_emi!R26/SER_hh_num!R26)</f>
        <v>0</v>
      </c>
      <c r="S26" s="65">
        <f>IF(SER_hh_emi!S26=0,0,1000000*SER_hh_emi!S26/SER_hh_num!S26)</f>
        <v>0</v>
      </c>
      <c r="T26" s="65">
        <f>IF(SER_hh_emi!T26=0,0,1000000*SER_hh_emi!T26/SER_hh_num!T26)</f>
        <v>0</v>
      </c>
      <c r="U26" s="65">
        <f>IF(SER_hh_emi!U26=0,0,1000000*SER_hh_emi!U26/SER_hh_num!U26)</f>
        <v>0</v>
      </c>
      <c r="V26" s="65">
        <f>IF(SER_hh_emi!V26=0,0,1000000*SER_hh_emi!V26/SER_hh_num!V26)</f>
        <v>0</v>
      </c>
      <c r="W26" s="65">
        <f>IF(SER_hh_emi!W26=0,0,1000000*SER_hh_emi!W26/SER_hh_num!W26)</f>
        <v>0</v>
      </c>
      <c r="DA26" s="109" t="s">
        <v>468</v>
      </c>
    </row>
    <row r="27" spans="1:105" ht="12" customHeight="1" x14ac:dyDescent="0.25">
      <c r="A27" s="145" t="s">
        <v>86</v>
      </c>
      <c r="B27" s="146">
        <f>IF(SER_hh_emi!B27=0,0,1000000*SER_hh_emi!B27/SER_hh_num!B19)</f>
        <v>0</v>
      </c>
      <c r="C27" s="146">
        <f>IF(SER_hh_emi!C27=0,0,1000000*SER_hh_emi!C27/SER_hh_num!C19)</f>
        <v>0</v>
      </c>
      <c r="D27" s="146">
        <f>IF(SER_hh_emi!D27=0,0,1000000*SER_hh_emi!D27/SER_hh_num!D19)</f>
        <v>0</v>
      </c>
      <c r="E27" s="146">
        <f>IF(SER_hh_emi!E27=0,0,1000000*SER_hh_emi!E27/SER_hh_num!E19)</f>
        <v>0</v>
      </c>
      <c r="F27" s="146">
        <f>IF(SER_hh_emi!F27=0,0,1000000*SER_hh_emi!F27/SER_hh_num!F19)</f>
        <v>0</v>
      </c>
      <c r="G27" s="146">
        <f>IF(SER_hh_emi!G27=0,0,1000000*SER_hh_emi!G27/SER_hh_num!G19)</f>
        <v>0</v>
      </c>
      <c r="H27" s="146">
        <f>IF(SER_hh_emi!H27=0,0,1000000*SER_hh_emi!H27/SER_hh_num!H19)</f>
        <v>0</v>
      </c>
      <c r="I27" s="146">
        <f>IF(SER_hh_emi!I27=0,0,1000000*SER_hh_emi!I27/SER_hh_num!I19)</f>
        <v>0</v>
      </c>
      <c r="J27" s="146">
        <f>IF(SER_hh_emi!J27=0,0,1000000*SER_hh_emi!J27/SER_hh_num!J19)</f>
        <v>0</v>
      </c>
      <c r="K27" s="146">
        <f>IF(SER_hh_emi!K27=0,0,1000000*SER_hh_emi!K27/SER_hh_num!K19)</f>
        <v>0</v>
      </c>
      <c r="L27" s="146">
        <f>IF(SER_hh_emi!L27=0,0,1000000*SER_hh_emi!L27/SER_hh_num!L19)</f>
        <v>0</v>
      </c>
      <c r="M27" s="146">
        <f>IF(SER_hh_emi!M27=0,0,1000000*SER_hh_emi!M27/SER_hh_num!M19)</f>
        <v>0</v>
      </c>
      <c r="N27" s="146">
        <f>IF(SER_hh_emi!N27=0,0,1000000*SER_hh_emi!N27/SER_hh_num!N19)</f>
        <v>0</v>
      </c>
      <c r="O27" s="146">
        <f>IF(SER_hh_emi!O27=0,0,1000000*SER_hh_emi!O27/SER_hh_num!O19)</f>
        <v>0</v>
      </c>
      <c r="P27" s="146">
        <f>IF(SER_hh_emi!P27=0,0,1000000*SER_hh_emi!P27/SER_hh_num!P19)</f>
        <v>0</v>
      </c>
      <c r="Q27" s="146">
        <f>IF(SER_hh_emi!Q27=0,0,1000000*SER_hh_emi!Q27/SER_hh_num!Q19)</f>
        <v>0</v>
      </c>
      <c r="R27" s="146">
        <f>IF(SER_hh_emi!R27=0,0,1000000*SER_hh_emi!R27/SER_hh_num!R19)</f>
        <v>0</v>
      </c>
      <c r="S27" s="146">
        <f>IF(SER_hh_emi!S27=0,0,1000000*SER_hh_emi!S27/SER_hh_num!S19)</f>
        <v>0</v>
      </c>
      <c r="T27" s="146">
        <f>IF(SER_hh_emi!T27=0,0,1000000*SER_hh_emi!T27/SER_hh_num!T19)</f>
        <v>0</v>
      </c>
      <c r="U27" s="146">
        <f>IF(SER_hh_emi!U27=0,0,1000000*SER_hh_emi!U27/SER_hh_num!U19)</f>
        <v>0</v>
      </c>
      <c r="V27" s="146">
        <f>IF(SER_hh_emi!V27=0,0,1000000*SER_hh_emi!V27/SER_hh_num!V19)</f>
        <v>0</v>
      </c>
      <c r="W27" s="146">
        <f>IF(SER_hh_emi!W27=0,0,1000000*SER_hh_emi!W27/SER_hh_num!W19)</f>
        <v>0</v>
      </c>
      <c r="DA27" s="159" t="s">
        <v>469</v>
      </c>
    </row>
    <row r="28" spans="1:105" ht="12" customHeight="1" x14ac:dyDescent="0.25">
      <c r="A28" s="78" t="s">
        <v>85</v>
      </c>
      <c r="B28" s="147">
        <f>IF(SER_hh_emi!B27=0,0,1000000*SER_hh_emi!B27/SER_hh_num!B27)</f>
        <v>0</v>
      </c>
      <c r="C28" s="147">
        <f>IF(SER_hh_emi!C27=0,0,1000000*SER_hh_emi!C27/SER_hh_num!C27)</f>
        <v>0</v>
      </c>
      <c r="D28" s="147">
        <f>IF(SER_hh_emi!D27=0,0,1000000*SER_hh_emi!D27/SER_hh_num!D27)</f>
        <v>0</v>
      </c>
      <c r="E28" s="147">
        <f>IF(SER_hh_emi!E27=0,0,1000000*SER_hh_emi!E27/SER_hh_num!E27)</f>
        <v>0</v>
      </c>
      <c r="F28" s="147">
        <f>IF(SER_hh_emi!F27=0,0,1000000*SER_hh_emi!F27/SER_hh_num!F27)</f>
        <v>0</v>
      </c>
      <c r="G28" s="147">
        <f>IF(SER_hh_emi!G27=0,0,1000000*SER_hh_emi!G27/SER_hh_num!G27)</f>
        <v>0</v>
      </c>
      <c r="H28" s="147">
        <f>IF(SER_hh_emi!H27=0,0,1000000*SER_hh_emi!H27/SER_hh_num!H27)</f>
        <v>0</v>
      </c>
      <c r="I28" s="147">
        <f>IF(SER_hh_emi!I27=0,0,1000000*SER_hh_emi!I27/SER_hh_num!I27)</f>
        <v>0</v>
      </c>
      <c r="J28" s="147">
        <f>IF(SER_hh_emi!J27=0,0,1000000*SER_hh_emi!J27/SER_hh_num!J27)</f>
        <v>0</v>
      </c>
      <c r="K28" s="147">
        <f>IF(SER_hh_emi!K27=0,0,1000000*SER_hh_emi!K27/SER_hh_num!K27)</f>
        <v>0</v>
      </c>
      <c r="L28" s="147">
        <f>IF(SER_hh_emi!L27=0,0,1000000*SER_hh_emi!L27/SER_hh_num!L27)</f>
        <v>0</v>
      </c>
      <c r="M28" s="147">
        <f>IF(SER_hh_emi!M27=0,0,1000000*SER_hh_emi!M27/SER_hh_num!M27)</f>
        <v>0</v>
      </c>
      <c r="N28" s="147">
        <f>IF(SER_hh_emi!N27=0,0,1000000*SER_hh_emi!N27/SER_hh_num!N27)</f>
        <v>0</v>
      </c>
      <c r="O28" s="147">
        <f>IF(SER_hh_emi!O27=0,0,1000000*SER_hh_emi!O27/SER_hh_num!O27)</f>
        <v>0</v>
      </c>
      <c r="P28" s="147">
        <f>IF(SER_hh_emi!P27=0,0,1000000*SER_hh_emi!P27/SER_hh_num!P27)</f>
        <v>0</v>
      </c>
      <c r="Q28" s="147">
        <f>IF(SER_hh_emi!Q27=0,0,1000000*SER_hh_emi!Q27/SER_hh_num!Q27)</f>
        <v>0</v>
      </c>
      <c r="R28" s="147">
        <f>IF(SER_hh_emi!R27=0,0,1000000*SER_hh_emi!R27/SER_hh_num!R27)</f>
        <v>0</v>
      </c>
      <c r="S28" s="147">
        <f>IF(SER_hh_emi!S27=0,0,1000000*SER_hh_emi!S27/SER_hh_num!S27)</f>
        <v>0</v>
      </c>
      <c r="T28" s="147">
        <f>IF(SER_hh_emi!T27=0,0,1000000*SER_hh_emi!T27/SER_hh_num!T27)</f>
        <v>0</v>
      </c>
      <c r="U28" s="147">
        <f>IF(SER_hh_emi!U27=0,0,1000000*SER_hh_emi!U27/SER_hh_num!U27)</f>
        <v>0</v>
      </c>
      <c r="V28" s="147">
        <f>IF(SER_hh_emi!V27=0,0,1000000*SER_hh_emi!V27/SER_hh_num!V27)</f>
        <v>0</v>
      </c>
      <c r="W28" s="147">
        <f>IF(SER_hh_emi!W27=0,0,1000000*SER_hh_emi!W27/SER_hh_num!W27)</f>
        <v>0</v>
      </c>
      <c r="DA28" s="160"/>
    </row>
    <row r="29" spans="1:105" ht="12.95" customHeight="1" x14ac:dyDescent="0.25">
      <c r="A29" s="130" t="s">
        <v>34</v>
      </c>
      <c r="B29" s="131">
        <f>IF(SER_hh_emi!B29=0,0,1000000*SER_hh_emi!B29/SER_hh_num!B29)</f>
        <v>2655.9129921678687</v>
      </c>
      <c r="C29" s="131">
        <f>IF(SER_hh_emi!C29=0,0,1000000*SER_hh_emi!C29/SER_hh_num!C29)</f>
        <v>2621.6329494340221</v>
      </c>
      <c r="D29" s="131">
        <f>IF(SER_hh_emi!D29=0,0,1000000*SER_hh_emi!D29/SER_hh_num!D29)</f>
        <v>2316.0436359097575</v>
      </c>
      <c r="E29" s="131">
        <f>IF(SER_hh_emi!E29=0,0,1000000*SER_hh_emi!E29/SER_hh_num!E29)</f>
        <v>2139.9464657394165</v>
      </c>
      <c r="F29" s="131">
        <f>IF(SER_hh_emi!F29=0,0,1000000*SER_hh_emi!F29/SER_hh_num!F29)</f>
        <v>2122.563080062157</v>
      </c>
      <c r="G29" s="131">
        <f>IF(SER_hh_emi!G29=0,0,1000000*SER_hh_emi!G29/SER_hh_num!G29)</f>
        <v>1742.3599846621353</v>
      </c>
      <c r="H29" s="131">
        <f>IF(SER_hh_emi!H29=0,0,1000000*SER_hh_emi!H29/SER_hh_num!H29)</f>
        <v>1696.9721872068501</v>
      </c>
      <c r="I29" s="131">
        <f>IF(SER_hh_emi!I29=0,0,1000000*SER_hh_emi!I29/SER_hh_num!I29)</f>
        <v>1661.3861610438109</v>
      </c>
      <c r="J29" s="131">
        <f>IF(SER_hh_emi!J29=0,0,1000000*SER_hh_emi!J29/SER_hh_num!J29)</f>
        <v>1680.2984581959827</v>
      </c>
      <c r="K29" s="131">
        <f>IF(SER_hh_emi!K29=0,0,1000000*SER_hh_emi!K29/SER_hh_num!K29)</f>
        <v>1694.8723142973711</v>
      </c>
      <c r="L29" s="131">
        <f>IF(SER_hh_emi!L29=0,0,1000000*SER_hh_emi!L29/SER_hh_num!L29)</f>
        <v>1700.3234804078513</v>
      </c>
      <c r="M29" s="131">
        <f>IF(SER_hh_emi!M29=0,0,1000000*SER_hh_emi!M29/SER_hh_num!M29)</f>
        <v>1653.6389445304103</v>
      </c>
      <c r="N29" s="131">
        <f>IF(SER_hh_emi!N29=0,0,1000000*SER_hh_emi!N29/SER_hh_num!N29)</f>
        <v>1682.6500474582699</v>
      </c>
      <c r="O29" s="131">
        <f>IF(SER_hh_emi!O29=0,0,1000000*SER_hh_emi!O29/SER_hh_num!O29)</f>
        <v>1716.8179567105406</v>
      </c>
      <c r="P29" s="131">
        <f>IF(SER_hh_emi!P29=0,0,1000000*SER_hh_emi!P29/SER_hh_num!P29)</f>
        <v>1694.6460380913625</v>
      </c>
      <c r="Q29" s="131">
        <f>IF(SER_hh_emi!Q29=0,0,1000000*SER_hh_emi!Q29/SER_hh_num!Q29)</f>
        <v>1773.4182744657439</v>
      </c>
      <c r="R29" s="131">
        <f>IF(SER_hh_emi!R29=0,0,1000000*SER_hh_emi!R29/SER_hh_num!R29)</f>
        <v>1727.5297812209342</v>
      </c>
      <c r="S29" s="131">
        <f>IF(SER_hh_emi!S29=0,0,1000000*SER_hh_emi!S29/SER_hh_num!S29)</f>
        <v>1736.6985295327675</v>
      </c>
      <c r="T29" s="131">
        <f>IF(SER_hh_emi!T29=0,0,1000000*SER_hh_emi!T29/SER_hh_num!T29)</f>
        <v>1723.0885053383461</v>
      </c>
      <c r="U29" s="131">
        <f>IF(SER_hh_emi!U29=0,0,1000000*SER_hh_emi!U29/SER_hh_num!U29)</f>
        <v>1728.4478961976311</v>
      </c>
      <c r="V29" s="131">
        <f>IF(SER_hh_emi!V29=0,0,1000000*SER_hh_emi!V29/SER_hh_num!V29)</f>
        <v>1651.8086818226573</v>
      </c>
      <c r="W29" s="131">
        <f>IF(SER_hh_emi!W29=0,0,1000000*SER_hh_emi!W29/SER_hh_num!W29)</f>
        <v>1751.1432175952457</v>
      </c>
      <c r="DA29" s="156" t="s">
        <v>470</v>
      </c>
    </row>
    <row r="30" spans="1:105" ht="12" customHeight="1" x14ac:dyDescent="0.25">
      <c r="A30" s="132" t="s">
        <v>52</v>
      </c>
      <c r="B30" s="133">
        <f>IF(SER_hh_emi!B30=0,0,1000000*SER_hh_emi!B30/SER_hh_num!B30)</f>
        <v>3638.6923108215583</v>
      </c>
      <c r="C30" s="133">
        <f>IF(SER_hh_emi!C30=0,0,1000000*SER_hh_emi!C30/SER_hh_num!C30)</f>
        <v>3863.5504279992533</v>
      </c>
      <c r="D30" s="133">
        <f>IF(SER_hh_emi!D30=0,0,1000000*SER_hh_emi!D30/SER_hh_num!D30)</f>
        <v>3549.4612854450397</v>
      </c>
      <c r="E30" s="133">
        <f>IF(SER_hh_emi!E30=0,0,1000000*SER_hh_emi!E30/SER_hh_num!E30)</f>
        <v>3394.3077105659836</v>
      </c>
      <c r="F30" s="133">
        <f>IF(SER_hh_emi!F30=0,0,1000000*SER_hh_emi!F30/SER_hh_num!F30)</f>
        <v>4677.8204459316257</v>
      </c>
      <c r="G30" s="133">
        <f>IF(SER_hh_emi!G30=0,0,1000000*SER_hh_emi!G30/SER_hh_num!G30)</f>
        <v>1789.9924026055139</v>
      </c>
      <c r="H30" s="133">
        <f>IF(SER_hh_emi!H30=0,0,1000000*SER_hh_emi!H30/SER_hh_num!H30)</f>
        <v>2553.0402469635319</v>
      </c>
      <c r="I30" s="133">
        <f>IF(SER_hh_emi!I30=0,0,1000000*SER_hh_emi!I30/SER_hh_num!I30)</f>
        <v>3363.6685880427508</v>
      </c>
      <c r="J30" s="133">
        <f>IF(SER_hh_emi!J30=0,0,1000000*SER_hh_emi!J30/SER_hh_num!J30)</f>
        <v>3925.1497681901365</v>
      </c>
      <c r="K30" s="133">
        <f>IF(SER_hh_emi!K30=0,0,1000000*SER_hh_emi!K30/SER_hh_num!K30)</f>
        <v>3788.2952603854824</v>
      </c>
      <c r="L30" s="133">
        <f>IF(SER_hh_emi!L30=0,0,1000000*SER_hh_emi!L30/SER_hh_num!L30)</f>
        <v>4521.090365316667</v>
      </c>
      <c r="M30" s="133">
        <f>IF(SER_hh_emi!M30=0,0,1000000*SER_hh_emi!M30/SER_hh_num!M30)</f>
        <v>3407.0818358894153</v>
      </c>
      <c r="N30" s="133">
        <f>IF(SER_hh_emi!N30=0,0,1000000*SER_hh_emi!N30/SER_hh_num!N30)</f>
        <v>3794.5414319160996</v>
      </c>
      <c r="O30" s="133">
        <f>IF(SER_hh_emi!O30=0,0,1000000*SER_hh_emi!O30/SER_hh_num!O30)</f>
        <v>4072.3582545876448</v>
      </c>
      <c r="P30" s="133">
        <f>IF(SER_hh_emi!P30=0,0,1000000*SER_hh_emi!P30/SER_hh_num!P30)</f>
        <v>3100.9326438741377</v>
      </c>
      <c r="Q30" s="133">
        <f>IF(SER_hh_emi!Q30=0,0,1000000*SER_hh_emi!Q30/SER_hh_num!Q30)</f>
        <v>4810.9477574747143</v>
      </c>
      <c r="R30" s="133">
        <f>IF(SER_hh_emi!R30=0,0,1000000*SER_hh_emi!R30/SER_hh_num!R30)</f>
        <v>3609.8656290660433</v>
      </c>
      <c r="S30" s="133">
        <f>IF(SER_hh_emi!S30=0,0,1000000*SER_hh_emi!S30/SER_hh_num!S30)</f>
        <v>4016.9141970146588</v>
      </c>
      <c r="T30" s="133">
        <f>IF(SER_hh_emi!T30=0,0,1000000*SER_hh_emi!T30/SER_hh_num!T30)</f>
        <v>3751.0982804022306</v>
      </c>
      <c r="U30" s="133">
        <f>IF(SER_hh_emi!U30=0,0,1000000*SER_hh_emi!U30/SER_hh_num!U30)</f>
        <v>3685.4271877603669</v>
      </c>
      <c r="V30" s="133">
        <f>IF(SER_hh_emi!V30=0,0,1000000*SER_hh_emi!V30/SER_hh_num!V30)</f>
        <v>3923.1837873363434</v>
      </c>
      <c r="W30" s="133">
        <f>IF(SER_hh_emi!W30=0,0,1000000*SER_hh_emi!W30/SER_hh_num!W30)</f>
        <v>3954.5305249462876</v>
      </c>
      <c r="DA30" s="157" t="s">
        <v>471</v>
      </c>
    </row>
    <row r="31" spans="1:105" ht="12" customHeight="1" x14ac:dyDescent="0.25">
      <c r="A31" s="132" t="s">
        <v>153</v>
      </c>
      <c r="B31" s="133">
        <f>IF(SER_hh_emi!B31=0,0,1000000*SER_hh_emi!B31/SER_hh_num!B31)</f>
        <v>3209.9097284179948</v>
      </c>
      <c r="C31" s="133">
        <f>IF(SER_hh_emi!C31=0,0,1000000*SER_hh_emi!C31/SER_hh_num!C31)</f>
        <v>3187.1412651113578</v>
      </c>
      <c r="D31" s="133">
        <f>IF(SER_hh_emi!D31=0,0,1000000*SER_hh_emi!D31/SER_hh_num!D31)</f>
        <v>3197.643457153566</v>
      </c>
      <c r="E31" s="133">
        <f>IF(SER_hh_emi!E31=0,0,1000000*SER_hh_emi!E31/SER_hh_num!E31)</f>
        <v>3212.423960916361</v>
      </c>
      <c r="F31" s="133">
        <f>IF(SER_hh_emi!F31=0,0,1000000*SER_hh_emi!F31/SER_hh_num!F31)</f>
        <v>3231.8480356225687</v>
      </c>
      <c r="G31" s="133">
        <f>IF(SER_hh_emi!G31=0,0,1000000*SER_hh_emi!G31/SER_hh_num!G31)</f>
        <v>3271.993950838777</v>
      </c>
      <c r="H31" s="133">
        <f>IF(SER_hh_emi!H31=0,0,1000000*SER_hh_emi!H31/SER_hh_num!H31)</f>
        <v>3273.4236402885049</v>
      </c>
      <c r="I31" s="133">
        <f>IF(SER_hh_emi!I31=0,0,1000000*SER_hh_emi!I31/SER_hh_num!I31)</f>
        <v>3302.5944341605846</v>
      </c>
      <c r="J31" s="133">
        <f>IF(SER_hh_emi!J31=0,0,1000000*SER_hh_emi!J31/SER_hh_num!J31)</f>
        <v>3351.8238209579335</v>
      </c>
      <c r="K31" s="133">
        <f>IF(SER_hh_emi!K31=0,0,1000000*SER_hh_emi!K31/SER_hh_num!K31)</f>
        <v>3364.372098812124</v>
      </c>
      <c r="L31" s="133">
        <f>IF(SER_hh_emi!L31=0,0,1000000*SER_hh_emi!L31/SER_hh_num!L31)</f>
        <v>3369.5232440000859</v>
      </c>
      <c r="M31" s="133">
        <f>IF(SER_hh_emi!M31=0,0,1000000*SER_hh_emi!M31/SER_hh_num!M31)</f>
        <v>3374.779156255122</v>
      </c>
      <c r="N31" s="133">
        <f>IF(SER_hh_emi!N31=0,0,1000000*SER_hh_emi!N31/SER_hh_num!N31)</f>
        <v>3415.5322070939483</v>
      </c>
      <c r="O31" s="133">
        <f>IF(SER_hh_emi!O31=0,0,1000000*SER_hh_emi!O31/SER_hh_num!O31)</f>
        <v>3427.6430443046393</v>
      </c>
      <c r="P31" s="133">
        <f>IF(SER_hh_emi!P31=0,0,1000000*SER_hh_emi!P31/SER_hh_num!P31)</f>
        <v>3434.446193276483</v>
      </c>
      <c r="Q31" s="133">
        <f>IF(SER_hh_emi!Q31=0,0,1000000*SER_hh_emi!Q31/SER_hh_num!Q31)</f>
        <v>3452.0153856220554</v>
      </c>
      <c r="R31" s="133">
        <f>IF(SER_hh_emi!R31=0,0,1000000*SER_hh_emi!R31/SER_hh_num!R31)</f>
        <v>3444.9426849378647</v>
      </c>
      <c r="S31" s="133">
        <f>IF(SER_hh_emi!S31=0,0,1000000*SER_hh_emi!S31/SER_hh_num!S31)</f>
        <v>3429.253387304404</v>
      </c>
      <c r="T31" s="133">
        <f>IF(SER_hh_emi!T31=0,0,1000000*SER_hh_emi!T31/SER_hh_num!T31)</f>
        <v>3421.8922861770529</v>
      </c>
      <c r="U31" s="133">
        <f>IF(SER_hh_emi!U31=0,0,1000000*SER_hh_emi!U31/SER_hh_num!U31)</f>
        <v>3418.0334655355637</v>
      </c>
      <c r="V31" s="133">
        <f>IF(SER_hh_emi!V31=0,0,1000000*SER_hh_emi!V31/SER_hh_num!V31)</f>
        <v>3246.6440432436148</v>
      </c>
      <c r="W31" s="133">
        <f>IF(SER_hh_emi!W31=0,0,1000000*SER_hh_emi!W31/SER_hh_num!W31)</f>
        <v>3444.6101435038022</v>
      </c>
      <c r="DA31" s="157" t="s">
        <v>472</v>
      </c>
    </row>
    <row r="32" spans="1:105" ht="12" customHeight="1" x14ac:dyDescent="0.25">
      <c r="A32" s="132" t="s">
        <v>128</v>
      </c>
      <c r="B32" s="133">
        <f>IF(SER_hh_emi!B32=0,0,1000000*SER_hh_emi!B32/SER_hh_num!B32)</f>
        <v>0</v>
      </c>
      <c r="C32" s="133">
        <f>IF(SER_hh_emi!C32=0,0,1000000*SER_hh_emi!C32/SER_hh_num!C32)</f>
        <v>0</v>
      </c>
      <c r="D32" s="133">
        <f>IF(SER_hh_emi!D32=0,0,1000000*SER_hh_emi!D32/SER_hh_num!D32)</f>
        <v>0</v>
      </c>
      <c r="E32" s="133">
        <f>IF(SER_hh_emi!E32=0,0,1000000*SER_hh_emi!E32/SER_hh_num!E32)</f>
        <v>0</v>
      </c>
      <c r="F32" s="133">
        <f>IF(SER_hh_emi!F32=0,0,1000000*SER_hh_emi!F32/SER_hh_num!F32)</f>
        <v>0</v>
      </c>
      <c r="G32" s="133">
        <f>IF(SER_hh_emi!G32=0,0,1000000*SER_hh_emi!G32/SER_hh_num!G32)</f>
        <v>0</v>
      </c>
      <c r="H32" s="133">
        <f>IF(SER_hh_emi!H32=0,0,1000000*SER_hh_emi!H32/SER_hh_num!H32)</f>
        <v>0</v>
      </c>
      <c r="I32" s="133">
        <f>IF(SER_hh_emi!I32=0,0,1000000*SER_hh_emi!I32/SER_hh_num!I32)</f>
        <v>0</v>
      </c>
      <c r="J32" s="133">
        <f>IF(SER_hh_emi!J32=0,0,1000000*SER_hh_emi!J32/SER_hh_num!J32)</f>
        <v>0</v>
      </c>
      <c r="K32" s="133">
        <f>IF(SER_hh_emi!K32=0,0,1000000*SER_hh_emi!K32/SER_hh_num!K32)</f>
        <v>0</v>
      </c>
      <c r="L32" s="133">
        <f>IF(SER_hh_emi!L32=0,0,1000000*SER_hh_emi!L32/SER_hh_num!L32)</f>
        <v>0</v>
      </c>
      <c r="M32" s="133">
        <f>IF(SER_hh_emi!M32=0,0,1000000*SER_hh_emi!M32/SER_hh_num!M32)</f>
        <v>0</v>
      </c>
      <c r="N32" s="133">
        <f>IF(SER_hh_emi!N32=0,0,1000000*SER_hh_emi!N32/SER_hh_num!N32)</f>
        <v>0</v>
      </c>
      <c r="O32" s="133">
        <f>IF(SER_hh_emi!O32=0,0,1000000*SER_hh_emi!O32/SER_hh_num!O32)</f>
        <v>5453.1621969870175</v>
      </c>
      <c r="P32" s="133">
        <f>IF(SER_hh_emi!P32=0,0,1000000*SER_hh_emi!P32/SER_hh_num!P32)</f>
        <v>4969.0685888470198</v>
      </c>
      <c r="Q32" s="133">
        <f>IF(SER_hh_emi!Q32=0,0,1000000*SER_hh_emi!Q32/SER_hh_num!Q32)</f>
        <v>5864.622683222683</v>
      </c>
      <c r="R32" s="133">
        <f>IF(SER_hh_emi!R32=0,0,1000000*SER_hh_emi!R32/SER_hh_num!R32)</f>
        <v>5553.4311656213749</v>
      </c>
      <c r="S32" s="133">
        <f>IF(SER_hh_emi!S32=0,0,1000000*SER_hh_emi!S32/SER_hh_num!S32)</f>
        <v>5434.3602195226522</v>
      </c>
      <c r="T32" s="133">
        <f>IF(SER_hh_emi!T32=0,0,1000000*SER_hh_emi!T32/SER_hh_num!T32)</f>
        <v>5609.4275982835525</v>
      </c>
      <c r="U32" s="133">
        <f>IF(SER_hh_emi!U32=0,0,1000000*SER_hh_emi!U32/SER_hh_num!U32)</f>
        <v>6801.8871188616513</v>
      </c>
      <c r="V32" s="133">
        <f>IF(SER_hh_emi!V32=0,0,1000000*SER_hh_emi!V32/SER_hh_num!V32)</f>
        <v>2679.672816659232</v>
      </c>
      <c r="W32" s="133">
        <f>IF(SER_hh_emi!W32=0,0,1000000*SER_hh_emi!W32/SER_hh_num!W32)</f>
        <v>5690.6946145798565</v>
      </c>
      <c r="DA32" s="157" t="s">
        <v>473</v>
      </c>
    </row>
    <row r="33" spans="1:105" ht="12" customHeight="1" x14ac:dyDescent="0.25">
      <c r="A33" s="62" t="s">
        <v>24</v>
      </c>
      <c r="B33" s="68">
        <f>IF(SER_hh_emi!B33=0,0,1000000*SER_hh_emi!B33/SER_hh_num!B33)</f>
        <v>0</v>
      </c>
      <c r="C33" s="68">
        <f>IF(SER_hh_emi!C33=0,0,1000000*SER_hh_emi!C33/SER_hh_num!C33)</f>
        <v>0</v>
      </c>
      <c r="D33" s="68">
        <f>IF(SER_hh_emi!D33=0,0,1000000*SER_hh_emi!D33/SER_hh_num!D33)</f>
        <v>0</v>
      </c>
      <c r="E33" s="68">
        <f>IF(SER_hh_emi!E33=0,0,1000000*SER_hh_emi!E33/SER_hh_num!E33)</f>
        <v>0</v>
      </c>
      <c r="F33" s="68">
        <f>IF(SER_hh_emi!F33=0,0,1000000*SER_hh_emi!F33/SER_hh_num!F33)</f>
        <v>0</v>
      </c>
      <c r="G33" s="68">
        <f>IF(SER_hh_emi!G33=0,0,1000000*SER_hh_emi!G33/SER_hh_num!G33)</f>
        <v>0</v>
      </c>
      <c r="H33" s="68">
        <f>IF(SER_hh_emi!H33=0,0,1000000*SER_hh_emi!H33/SER_hh_num!H33)</f>
        <v>0</v>
      </c>
      <c r="I33" s="68">
        <f>IF(SER_hh_emi!I33=0,0,1000000*SER_hh_emi!I33/SER_hh_num!I33)</f>
        <v>0</v>
      </c>
      <c r="J33" s="68">
        <f>IF(SER_hh_emi!J33=0,0,1000000*SER_hh_emi!J33/SER_hh_num!J33)</f>
        <v>0</v>
      </c>
      <c r="K33" s="68">
        <f>IF(SER_hh_emi!K33=0,0,1000000*SER_hh_emi!K33/SER_hh_num!K33)</f>
        <v>0</v>
      </c>
      <c r="L33" s="68">
        <f>IF(SER_hh_emi!L33=0,0,1000000*SER_hh_emi!L33/SER_hh_num!L33)</f>
        <v>0</v>
      </c>
      <c r="M33" s="68">
        <f>IF(SER_hh_emi!M33=0,0,1000000*SER_hh_emi!M33/SER_hh_num!M33)</f>
        <v>0</v>
      </c>
      <c r="N33" s="68">
        <f>IF(SER_hh_emi!N33=0,0,1000000*SER_hh_emi!N33/SER_hh_num!N33)</f>
        <v>0</v>
      </c>
      <c r="O33" s="68">
        <f>IF(SER_hh_emi!O33=0,0,1000000*SER_hh_emi!O33/SER_hh_num!O33)</f>
        <v>0</v>
      </c>
      <c r="P33" s="68">
        <f>IF(SER_hh_emi!P33=0,0,1000000*SER_hh_emi!P33/SER_hh_num!P33)</f>
        <v>0</v>
      </c>
      <c r="Q33" s="68">
        <f>IF(SER_hh_emi!Q33=0,0,1000000*SER_hh_emi!Q33/SER_hh_num!Q33)</f>
        <v>0</v>
      </c>
      <c r="R33" s="68">
        <f>IF(SER_hh_emi!R33=0,0,1000000*SER_hh_emi!R33/SER_hh_num!R33)</f>
        <v>0</v>
      </c>
      <c r="S33" s="68">
        <f>IF(SER_hh_emi!S33=0,0,1000000*SER_hh_emi!S33/SER_hh_num!S33)</f>
        <v>0</v>
      </c>
      <c r="T33" s="68">
        <f>IF(SER_hh_emi!T33=0,0,1000000*SER_hh_emi!T33/SER_hh_num!T33)</f>
        <v>0</v>
      </c>
      <c r="U33" s="68">
        <f>IF(SER_hh_emi!U33=0,0,1000000*SER_hh_emi!U33/SER_hh_num!U33)</f>
        <v>0</v>
      </c>
      <c r="V33" s="68">
        <f>IF(SER_hh_emi!V33=0,0,1000000*SER_hh_emi!V33/SER_hh_num!V33)</f>
        <v>0</v>
      </c>
      <c r="W33" s="68">
        <f>IF(SER_hh_emi!W33=0,0,1000000*SER_hh_emi!W33/SER_hh_num!W33)</f>
        <v>0</v>
      </c>
      <c r="DA33" s="111" t="s">
        <v>474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475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90</v>
      </c>
      <c r="B3" s="126">
        <f>IF(SER_hh_fech!B3=0,0,SER_hh_fech!B3/SER_summary!B$26)</f>
        <v>185.90206429413766</v>
      </c>
      <c r="C3" s="126">
        <f>IF(SER_hh_fech!C3=0,0,SER_hh_fech!C3/SER_summary!C$26)</f>
        <v>192.91893445953824</v>
      </c>
      <c r="D3" s="126">
        <f>IF(SER_hh_fech!D3=0,0,SER_hh_fech!D3/SER_summary!D$26)</f>
        <v>189.81548775878122</v>
      </c>
      <c r="E3" s="126">
        <f>IF(SER_hh_fech!E3=0,0,SER_hh_fech!E3/SER_summary!E$26)</f>
        <v>198.71218507048593</v>
      </c>
      <c r="F3" s="126">
        <f>IF(SER_hh_fech!F3=0,0,SER_hh_fech!F3/SER_summary!F$26)</f>
        <v>227.67547492026222</v>
      </c>
      <c r="G3" s="126">
        <f>IF(SER_hh_fech!G3=0,0,SER_hh_fech!G3/SER_summary!G$26)</f>
        <v>222.00317379256413</v>
      </c>
      <c r="H3" s="126">
        <f>IF(SER_hh_fech!H3=0,0,SER_hh_fech!H3/SER_summary!H$26)</f>
        <v>206.50140561715853</v>
      </c>
      <c r="I3" s="126">
        <f>IF(SER_hh_fech!I3=0,0,SER_hh_fech!I3/SER_summary!I$26)</f>
        <v>188.01648514369904</v>
      </c>
      <c r="J3" s="126">
        <f>IF(SER_hh_fech!J3=0,0,SER_hh_fech!J3/SER_summary!J$26)</f>
        <v>207.81659649966372</v>
      </c>
      <c r="K3" s="126">
        <f>IF(SER_hh_fech!K3=0,0,SER_hh_fech!K3/SER_summary!K$26)</f>
        <v>202.54497649741984</v>
      </c>
      <c r="L3" s="126">
        <f>IF(SER_hh_fech!L3=0,0,SER_hh_fech!L3/SER_summary!L$26)</f>
        <v>212.24664159311894</v>
      </c>
      <c r="M3" s="126">
        <f>IF(SER_hh_fech!M3=0,0,SER_hh_fech!M3/SER_summary!M$26)</f>
        <v>175.42497337849144</v>
      </c>
      <c r="N3" s="126">
        <f>IF(SER_hh_fech!N3=0,0,SER_hh_fech!N3/SER_summary!N$26)</f>
        <v>184.42230430963554</v>
      </c>
      <c r="O3" s="126">
        <f>IF(SER_hh_fech!O3=0,0,SER_hh_fech!O3/SER_summary!O$26)</f>
        <v>196.95495999869104</v>
      </c>
      <c r="P3" s="126">
        <f>IF(SER_hh_fech!P3=0,0,SER_hh_fech!P3/SER_summary!P$26)</f>
        <v>159.97812170243529</v>
      </c>
      <c r="Q3" s="126">
        <f>IF(SER_hh_fech!Q3=0,0,SER_hh_fech!Q3/SER_summary!Q$26)</f>
        <v>178.18672802594011</v>
      </c>
      <c r="R3" s="126">
        <f>IF(SER_hh_fech!R3=0,0,SER_hh_fech!R3/SER_summary!R$26)</f>
        <v>177.04878547754009</v>
      </c>
      <c r="S3" s="126">
        <f>IF(SER_hh_fech!S3=0,0,SER_hh_fech!S3/SER_summary!S$26)</f>
        <v>174.30549484699267</v>
      </c>
      <c r="T3" s="126">
        <f>IF(SER_hh_fech!T3=0,0,SER_hh_fech!T3/SER_summary!T$26)</f>
        <v>173.85774100885925</v>
      </c>
      <c r="U3" s="126">
        <f>IF(SER_hh_fech!U3=0,0,SER_hh_fech!U3/SER_summary!U$26)</f>
        <v>171.45134006629812</v>
      </c>
      <c r="V3" s="126">
        <f>IF(SER_hh_fech!V3=0,0,SER_hh_fech!V3/SER_summary!V$26)</f>
        <v>163.50263482611771</v>
      </c>
      <c r="W3" s="126">
        <f>IF(SER_hh_fech!W3=0,0,SER_hh_fech!W3/SER_summary!W$26)</f>
        <v>169.26454132806913</v>
      </c>
      <c r="DA3" s="155" t="s">
        <v>476</v>
      </c>
    </row>
    <row r="4" spans="1:105" ht="12.95" customHeight="1" x14ac:dyDescent="0.25">
      <c r="A4" s="130" t="s">
        <v>32</v>
      </c>
      <c r="B4" s="131">
        <f>IF(SER_hh_fech!B4=0,0,SER_hh_fech!B4/SER_summary!B$26)</f>
        <v>144.66868508124085</v>
      </c>
      <c r="C4" s="131">
        <f>IF(SER_hh_fech!C4=0,0,SER_hh_fech!C4/SER_summary!C$26)</f>
        <v>151.37480430986437</v>
      </c>
      <c r="D4" s="131">
        <f>IF(SER_hh_fech!D4=0,0,SER_hh_fech!D4/SER_summary!D$26)</f>
        <v>148.74581409993806</v>
      </c>
      <c r="E4" s="131">
        <f>IF(SER_hh_fech!E4=0,0,SER_hh_fech!E4/SER_summary!E$26)</f>
        <v>157.59954600182303</v>
      </c>
      <c r="F4" s="131">
        <f>IF(SER_hh_fech!F4=0,0,SER_hh_fech!F4/SER_summary!F$26)</f>
        <v>187.05541908142851</v>
      </c>
      <c r="G4" s="131">
        <f>IF(SER_hh_fech!G4=0,0,SER_hh_fech!G4/SER_summary!G$26)</f>
        <v>181.96772290668702</v>
      </c>
      <c r="H4" s="131">
        <f>IF(SER_hh_fech!H4=0,0,SER_hh_fech!H4/SER_summary!H$26)</f>
        <v>166.01114472507987</v>
      </c>
      <c r="I4" s="131">
        <f>IF(SER_hh_fech!I4=0,0,SER_hh_fech!I4/SER_summary!I$26)</f>
        <v>148.0129003963394</v>
      </c>
      <c r="J4" s="131">
        <f>IF(SER_hh_fech!J4=0,0,SER_hh_fech!J4/SER_summary!J$26)</f>
        <v>167.75917829628665</v>
      </c>
      <c r="K4" s="131">
        <f>IF(SER_hh_fech!K4=0,0,SER_hh_fech!K4/SER_summary!K$26)</f>
        <v>161.69268679047704</v>
      </c>
      <c r="L4" s="131">
        <f>IF(SER_hh_fech!L4=0,0,SER_hh_fech!L4/SER_summary!L$26)</f>
        <v>171.2573947252632</v>
      </c>
      <c r="M4" s="131">
        <f>IF(SER_hh_fech!M4=0,0,SER_hh_fech!M4/SER_summary!M$26)</f>
        <v>134.75375182348958</v>
      </c>
      <c r="N4" s="131">
        <f>IF(SER_hh_fech!N4=0,0,SER_hh_fech!N4/SER_summary!N$26)</f>
        <v>143.26598232050657</v>
      </c>
      <c r="O4" s="131">
        <f>IF(SER_hh_fech!O4=0,0,SER_hh_fech!O4/SER_summary!O$26)</f>
        <v>155.50041117804912</v>
      </c>
      <c r="P4" s="131">
        <f>IF(SER_hh_fech!P4=0,0,SER_hh_fech!P4/SER_summary!P$26)</f>
        <v>118.64573961899926</v>
      </c>
      <c r="Q4" s="131">
        <f>IF(SER_hh_fech!Q4=0,0,SER_hh_fech!Q4/SER_summary!Q$26)</f>
        <v>136.22666279952315</v>
      </c>
      <c r="R4" s="131">
        <f>IF(SER_hh_fech!R4=0,0,SER_hh_fech!R4/SER_summary!R$26)</f>
        <v>135.78302283820409</v>
      </c>
      <c r="S4" s="131">
        <f>IF(SER_hh_fech!S4=0,0,SER_hh_fech!S4/SER_summary!S$26)</f>
        <v>133.62866047246052</v>
      </c>
      <c r="T4" s="131">
        <f>IF(SER_hh_fech!T4=0,0,SER_hh_fech!T4/SER_summary!T$26)</f>
        <v>133.35465456309785</v>
      </c>
      <c r="U4" s="131">
        <f>IF(SER_hh_fech!U4=0,0,SER_hh_fech!U4/SER_summary!U$26)</f>
        <v>131.6742979693872</v>
      </c>
      <c r="V4" s="131">
        <f>IF(SER_hh_fech!V4=0,0,SER_hh_fech!V4/SER_summary!V$26)</f>
        <v>125.57700995522549</v>
      </c>
      <c r="W4" s="131">
        <f>IF(SER_hh_fech!W4=0,0,SER_hh_fech!W4/SER_summary!W$26)</f>
        <v>130.60420406926843</v>
      </c>
      <c r="DA4" s="156" t="s">
        <v>477</v>
      </c>
    </row>
    <row r="5" spans="1:105" ht="12" customHeight="1" x14ac:dyDescent="0.25">
      <c r="A5" s="132" t="s">
        <v>29</v>
      </c>
      <c r="B5" s="133">
        <f>IF(SER_hh_fech!B5=0,0,SER_hh_fech!B5/SER_summary!B$26)</f>
        <v>0</v>
      </c>
      <c r="C5" s="133">
        <f>IF(SER_hh_fech!C5=0,0,SER_hh_fech!C5/SER_summary!C$26)</f>
        <v>0</v>
      </c>
      <c r="D5" s="133">
        <f>IF(SER_hh_fech!D5=0,0,SER_hh_fech!D5/SER_summary!D$26)</f>
        <v>0</v>
      </c>
      <c r="E5" s="133">
        <f>IF(SER_hh_fech!E5=0,0,SER_hh_fech!E5/SER_summary!E$26)</f>
        <v>0</v>
      </c>
      <c r="F5" s="133">
        <f>IF(SER_hh_fech!F5=0,0,SER_hh_fech!F5/SER_summary!F$26)</f>
        <v>0</v>
      </c>
      <c r="G5" s="133">
        <f>IF(SER_hh_fech!G5=0,0,SER_hh_fech!G5/SER_summary!G$26)</f>
        <v>0</v>
      </c>
      <c r="H5" s="133">
        <f>IF(SER_hh_fech!H5=0,0,SER_hh_fech!H5/SER_summary!H$26)</f>
        <v>0</v>
      </c>
      <c r="I5" s="133">
        <f>IF(SER_hh_fech!I5=0,0,SER_hh_fech!I5/SER_summary!I$26)</f>
        <v>0</v>
      </c>
      <c r="J5" s="133">
        <f>IF(SER_hh_fech!J5=0,0,SER_hh_fech!J5/SER_summary!J$26)</f>
        <v>0</v>
      </c>
      <c r="K5" s="133">
        <f>IF(SER_hh_fech!K5=0,0,SER_hh_fech!K5/SER_summary!K$26)</f>
        <v>0</v>
      </c>
      <c r="L5" s="133">
        <f>IF(SER_hh_fech!L5=0,0,SER_hh_fech!L5/SER_summary!L$26)</f>
        <v>0</v>
      </c>
      <c r="M5" s="133">
        <f>IF(SER_hh_fech!M5=0,0,SER_hh_fech!M5/SER_summary!M$26)</f>
        <v>0</v>
      </c>
      <c r="N5" s="133">
        <f>IF(SER_hh_fech!N5=0,0,SER_hh_fech!N5/SER_summary!N$26)</f>
        <v>0</v>
      </c>
      <c r="O5" s="133">
        <f>IF(SER_hh_fech!O5=0,0,SER_hh_fech!O5/SER_summary!O$26)</f>
        <v>0</v>
      </c>
      <c r="P5" s="133">
        <f>IF(SER_hh_fech!P5=0,0,SER_hh_fech!P5/SER_summary!P$26)</f>
        <v>0</v>
      </c>
      <c r="Q5" s="133">
        <f>IF(SER_hh_fech!Q5=0,0,SER_hh_fech!Q5/SER_summary!Q$26)</f>
        <v>0</v>
      </c>
      <c r="R5" s="133">
        <f>IF(SER_hh_fech!R5=0,0,SER_hh_fech!R5/SER_summary!R$26)</f>
        <v>0</v>
      </c>
      <c r="S5" s="133">
        <f>IF(SER_hh_fech!S5=0,0,SER_hh_fech!S5/SER_summary!S$26)</f>
        <v>0</v>
      </c>
      <c r="T5" s="133">
        <f>IF(SER_hh_fech!T5=0,0,SER_hh_fech!T5/SER_summary!T$26)</f>
        <v>0</v>
      </c>
      <c r="U5" s="133">
        <f>IF(SER_hh_fech!U5=0,0,SER_hh_fech!U5/SER_summary!U$26)</f>
        <v>0</v>
      </c>
      <c r="V5" s="133">
        <f>IF(SER_hh_fech!V5=0,0,SER_hh_fech!V5/SER_summary!V$26)</f>
        <v>0</v>
      </c>
      <c r="W5" s="133">
        <f>IF(SER_hh_fech!W5=0,0,SER_hh_fech!W5/SER_summary!W$26)</f>
        <v>0</v>
      </c>
      <c r="DA5" s="157" t="s">
        <v>478</v>
      </c>
    </row>
    <row r="6" spans="1:105" ht="12" customHeight="1" x14ac:dyDescent="0.25">
      <c r="A6" s="132" t="s">
        <v>52</v>
      </c>
      <c r="B6" s="133">
        <f>IF(SER_hh_fech!B6=0,0,SER_hh_fech!B6/SER_summary!B$26)</f>
        <v>0</v>
      </c>
      <c r="C6" s="133">
        <f>IF(SER_hh_fech!C6=0,0,SER_hh_fech!C6/SER_summary!C$26)</f>
        <v>0</v>
      </c>
      <c r="D6" s="133">
        <f>IF(SER_hh_fech!D6=0,0,SER_hh_fech!D6/SER_summary!D$26)</f>
        <v>0</v>
      </c>
      <c r="E6" s="133">
        <f>IF(SER_hh_fech!E6=0,0,SER_hh_fech!E6/SER_summary!E$26)</f>
        <v>0</v>
      </c>
      <c r="F6" s="133">
        <f>IF(SER_hh_fech!F6=0,0,SER_hh_fech!F6/SER_summary!F$26)</f>
        <v>0</v>
      </c>
      <c r="G6" s="133">
        <f>IF(SER_hh_fech!G6=0,0,SER_hh_fech!G6/SER_summary!G$26)</f>
        <v>0</v>
      </c>
      <c r="H6" s="133">
        <f>IF(SER_hh_fech!H6=0,0,SER_hh_fech!H6/SER_summary!H$26)</f>
        <v>0</v>
      </c>
      <c r="I6" s="133">
        <f>IF(SER_hh_fech!I6=0,0,SER_hh_fech!I6/SER_summary!I$26)</f>
        <v>0</v>
      </c>
      <c r="J6" s="133">
        <f>IF(SER_hh_fech!J6=0,0,SER_hh_fech!J6/SER_summary!J$26)</f>
        <v>0</v>
      </c>
      <c r="K6" s="133">
        <f>IF(SER_hh_fech!K6=0,0,SER_hh_fech!K6/SER_summary!K$26)</f>
        <v>0</v>
      </c>
      <c r="L6" s="133">
        <f>IF(SER_hh_fech!L6=0,0,SER_hh_fech!L6/SER_summary!L$26)</f>
        <v>0</v>
      </c>
      <c r="M6" s="133">
        <f>IF(SER_hh_fech!M6=0,0,SER_hh_fech!M6/SER_summary!M$26)</f>
        <v>0</v>
      </c>
      <c r="N6" s="133">
        <f>IF(SER_hh_fech!N6=0,0,SER_hh_fech!N6/SER_summary!N$26)</f>
        <v>0</v>
      </c>
      <c r="O6" s="133">
        <f>IF(SER_hh_fech!O6=0,0,SER_hh_fech!O6/SER_summary!O$26)</f>
        <v>0</v>
      </c>
      <c r="P6" s="133">
        <f>IF(SER_hh_fech!P6=0,0,SER_hh_fech!P6/SER_summary!P$26)</f>
        <v>0</v>
      </c>
      <c r="Q6" s="133">
        <f>IF(SER_hh_fech!Q6=0,0,SER_hh_fech!Q6/SER_summary!Q$26)</f>
        <v>0</v>
      </c>
      <c r="R6" s="133">
        <f>IF(SER_hh_fech!R6=0,0,SER_hh_fech!R6/SER_summary!R$26)</f>
        <v>0</v>
      </c>
      <c r="S6" s="133">
        <f>IF(SER_hh_fech!S6=0,0,SER_hh_fech!S6/SER_summary!S$26)</f>
        <v>0</v>
      </c>
      <c r="T6" s="133">
        <f>IF(SER_hh_fech!T6=0,0,SER_hh_fech!T6/SER_summary!T$26)</f>
        <v>0</v>
      </c>
      <c r="U6" s="133">
        <f>IF(SER_hh_fech!U6=0,0,SER_hh_fech!U6/SER_summary!U$26)</f>
        <v>0</v>
      </c>
      <c r="V6" s="133">
        <f>IF(SER_hh_fech!V6=0,0,SER_hh_fech!V6/SER_summary!V$26)</f>
        <v>0</v>
      </c>
      <c r="W6" s="133">
        <f>IF(SER_hh_fech!W6=0,0,SER_hh_fech!W6/SER_summary!W$26)</f>
        <v>0</v>
      </c>
      <c r="DA6" s="157" t="s">
        <v>479</v>
      </c>
    </row>
    <row r="7" spans="1:105" ht="12" customHeight="1" x14ac:dyDescent="0.25">
      <c r="A7" s="132" t="s">
        <v>168</v>
      </c>
      <c r="B7" s="133">
        <f>IF(SER_hh_fech!B7=0,0,SER_hh_fech!B7/SER_summary!B$26)</f>
        <v>160.46759954474143</v>
      </c>
      <c r="C7" s="133">
        <f>IF(SER_hh_fech!C7=0,0,SER_hh_fech!C7/SER_summary!C$26)</f>
        <v>148.81955677610637</v>
      </c>
      <c r="D7" s="133">
        <f>IF(SER_hh_fech!D7=0,0,SER_hh_fech!D7/SER_summary!D$26)</f>
        <v>189.10008227131814</v>
      </c>
      <c r="E7" s="133">
        <f>IF(SER_hh_fech!E7=0,0,SER_hh_fech!E7/SER_summary!E$26)</f>
        <v>214.23707107869501</v>
      </c>
      <c r="F7" s="133">
        <f>IF(SER_hh_fech!F7=0,0,SER_hh_fech!F7/SER_summary!F$26)</f>
        <v>208.62577083366045</v>
      </c>
      <c r="G7" s="133">
        <f>IF(SER_hh_fech!G7=0,0,SER_hh_fech!G7/SER_summary!G$26)</f>
        <v>211.85739318648231</v>
      </c>
      <c r="H7" s="133">
        <f>IF(SER_hh_fech!H7=0,0,SER_hh_fech!H7/SER_summary!H$26)</f>
        <v>186.75237004162184</v>
      </c>
      <c r="I7" s="133">
        <f>IF(SER_hh_fech!I7=0,0,SER_hh_fech!I7/SER_summary!I$26)</f>
        <v>162.15321721921873</v>
      </c>
      <c r="J7" s="133">
        <f>IF(SER_hh_fech!J7=0,0,SER_hh_fech!J7/SER_summary!J$26)</f>
        <v>207.61677231989725</v>
      </c>
      <c r="K7" s="133">
        <f>IF(SER_hh_fech!K7=0,0,SER_hh_fech!K7/SER_summary!K$26)</f>
        <v>172.53123550380434</v>
      </c>
      <c r="L7" s="133">
        <f>IF(SER_hh_fech!L7=0,0,SER_hh_fech!L7/SER_summary!L$26)</f>
        <v>195.55651785769948</v>
      </c>
      <c r="M7" s="133">
        <f>IF(SER_hh_fech!M7=0,0,SER_hh_fech!M7/SER_summary!M$26)</f>
        <v>161.67440068103832</v>
      </c>
      <c r="N7" s="133">
        <f>IF(SER_hh_fech!N7=0,0,SER_hh_fech!N7/SER_summary!N$26)</f>
        <v>160.16720524093898</v>
      </c>
      <c r="O7" s="133">
        <f>IF(SER_hh_fech!O7=0,0,SER_hh_fech!O7/SER_summary!O$26)</f>
        <v>175.39342563410264</v>
      </c>
      <c r="P7" s="133">
        <f>IF(SER_hh_fech!P7=0,0,SER_hh_fech!P7/SER_summary!P$26)</f>
        <v>133.0466909138475</v>
      </c>
      <c r="Q7" s="133">
        <f>IF(SER_hh_fech!Q7=0,0,SER_hh_fech!Q7/SER_summary!Q$26)</f>
        <v>158.74485262322256</v>
      </c>
      <c r="R7" s="133">
        <f>IF(SER_hh_fech!R7=0,0,SER_hh_fech!R7/SER_summary!R$26)</f>
        <v>145.82572326122923</v>
      </c>
      <c r="S7" s="133">
        <f>IF(SER_hh_fech!S7=0,0,SER_hh_fech!S7/SER_summary!S$26)</f>
        <v>147.52619535323478</v>
      </c>
      <c r="T7" s="133">
        <f>IF(SER_hh_fech!T7=0,0,SER_hh_fech!T7/SER_summary!T$26)</f>
        <v>146.50200012376882</v>
      </c>
      <c r="U7" s="133">
        <f>IF(SER_hh_fech!U7=0,0,SER_hh_fech!U7/SER_summary!U$26)</f>
        <v>141.10526577144927</v>
      </c>
      <c r="V7" s="133">
        <f>IF(SER_hh_fech!V7=0,0,SER_hh_fech!V7/SER_summary!V$26)</f>
        <v>150.11424609152661</v>
      </c>
      <c r="W7" s="133">
        <f>IF(SER_hh_fech!W7=0,0,SER_hh_fech!W7/SER_summary!W$26)</f>
        <v>129.17281001158153</v>
      </c>
      <c r="DA7" s="157" t="s">
        <v>480</v>
      </c>
    </row>
    <row r="8" spans="1:105" ht="12" customHeight="1" x14ac:dyDescent="0.25">
      <c r="A8" s="132" t="s">
        <v>73</v>
      </c>
      <c r="B8" s="133">
        <f>IF(SER_hh_fech!B8=0,0,SER_hh_fech!B8/SER_summary!B$26)</f>
        <v>76.706222107838514</v>
      </c>
      <c r="C8" s="133">
        <f>IF(SER_hh_fech!C8=0,0,SER_hh_fech!C8/SER_summary!C$26)</f>
        <v>77.039904415580068</v>
      </c>
      <c r="D8" s="133">
        <f>IF(SER_hh_fech!D8=0,0,SER_hh_fech!D8/SER_summary!D$26)</f>
        <v>74.853068539570543</v>
      </c>
      <c r="E8" s="133">
        <f>IF(SER_hh_fech!E8=0,0,SER_hh_fech!E8/SER_summary!E$26)</f>
        <v>73.431017205250086</v>
      </c>
      <c r="F8" s="133">
        <f>IF(SER_hh_fech!F8=0,0,SER_hh_fech!F8/SER_summary!F$26)</f>
        <v>82.790688430634816</v>
      </c>
      <c r="G8" s="133">
        <f>IF(SER_hh_fech!G8=0,0,SER_hh_fech!G8/SER_summary!G$26)</f>
        <v>75.309362093360335</v>
      </c>
      <c r="H8" s="133">
        <f>IF(SER_hh_fech!H8=0,0,SER_hh_fech!H8/SER_summary!H$26)</f>
        <v>69.763592761824441</v>
      </c>
      <c r="I8" s="133">
        <f>IF(SER_hh_fech!I8=0,0,SER_hh_fech!I8/SER_summary!I$26)</f>
        <v>57.040017904759246</v>
      </c>
      <c r="J8" s="133">
        <f>IF(SER_hh_fech!J8=0,0,SER_hh_fech!J8/SER_summary!J$26)</f>
        <v>57.696723683995387</v>
      </c>
      <c r="K8" s="133">
        <f>IF(SER_hh_fech!K8=0,0,SER_hh_fech!K8/SER_summary!K$26)</f>
        <v>54.421798018305367</v>
      </c>
      <c r="L8" s="133">
        <f>IF(SER_hh_fech!L8=0,0,SER_hh_fech!L8/SER_summary!L$26)</f>
        <v>50.368627686575863</v>
      </c>
      <c r="M8" s="133">
        <f>IF(SER_hh_fech!M8=0,0,SER_hh_fech!M8/SER_summary!M$26)</f>
        <v>37.926095503547522</v>
      </c>
      <c r="N8" s="133">
        <f>IF(SER_hh_fech!N8=0,0,SER_hh_fech!N8/SER_summary!N$26)</f>
        <v>38.465395824533559</v>
      </c>
      <c r="O8" s="133">
        <f>IF(SER_hh_fech!O8=0,0,SER_hh_fech!O8/SER_summary!O$26)</f>
        <v>39.736539931288746</v>
      </c>
      <c r="P8" s="133">
        <f>IF(SER_hh_fech!P8=0,0,SER_hh_fech!P8/SER_summary!P$26)</f>
        <v>29.787372747161413</v>
      </c>
      <c r="Q8" s="133">
        <f>IF(SER_hh_fech!Q8=0,0,SER_hh_fech!Q8/SER_summary!Q$26)</f>
        <v>32.595690700880375</v>
      </c>
      <c r="R8" s="133">
        <f>IF(SER_hh_fech!R8=0,0,SER_hh_fech!R8/SER_summary!R$26)</f>
        <v>32.601057546368345</v>
      </c>
      <c r="S8" s="133">
        <f>IF(SER_hh_fech!S8=0,0,SER_hh_fech!S8/SER_summary!S$26)</f>
        <v>30.652553530245612</v>
      </c>
      <c r="T8" s="133">
        <f>IF(SER_hh_fech!T8=0,0,SER_hh_fech!T8/SER_summary!T$26)</f>
        <v>29.901783882378009</v>
      </c>
      <c r="U8" s="133">
        <f>IF(SER_hh_fech!U8=0,0,SER_hh_fech!U8/SER_summary!U$26)</f>
        <v>29.324839276336533</v>
      </c>
      <c r="V8" s="133">
        <f>IF(SER_hh_fech!V8=0,0,SER_hh_fech!V8/SER_summary!V$26)</f>
        <v>27.995864149255091</v>
      </c>
      <c r="W8" s="133">
        <f>IF(SER_hh_fech!W8=0,0,SER_hh_fech!W8/SER_summary!W$26)</f>
        <v>29.899968953571431</v>
      </c>
      <c r="DA8" s="157" t="s">
        <v>481</v>
      </c>
    </row>
    <row r="9" spans="1:105" ht="12" customHeight="1" x14ac:dyDescent="0.25">
      <c r="A9" s="132" t="s">
        <v>78</v>
      </c>
      <c r="B9" s="133">
        <f>IF(SER_hh_fech!B9=0,0,SER_hh_fech!B9/SER_summary!B$26)</f>
        <v>141.22731709137122</v>
      </c>
      <c r="C9" s="133">
        <f>IF(SER_hh_fech!C9=0,0,SER_hh_fech!C9/SER_summary!C$26)</f>
        <v>156.95052933664368</v>
      </c>
      <c r="D9" s="133">
        <f>IF(SER_hh_fech!D9=0,0,SER_hh_fech!D9/SER_summary!D$26)</f>
        <v>145.78839280025107</v>
      </c>
      <c r="E9" s="133">
        <f>IF(SER_hh_fech!E9=0,0,SER_hh_fech!E9/SER_summary!E$26)</f>
        <v>153.69010570776558</v>
      </c>
      <c r="F9" s="133">
        <f>IF(SER_hh_fech!F9=0,0,SER_hh_fech!F9/SER_summary!F$26)</f>
        <v>166.353804525013</v>
      </c>
      <c r="G9" s="133">
        <f>IF(SER_hh_fech!G9=0,0,SER_hh_fech!G9/SER_summary!G$26)</f>
        <v>173.49841753308655</v>
      </c>
      <c r="H9" s="133">
        <f>IF(SER_hh_fech!H9=0,0,SER_hh_fech!H9/SER_summary!H$26)</f>
        <v>172.19021224033852</v>
      </c>
      <c r="I9" s="133">
        <f>IF(SER_hh_fech!I9=0,0,SER_hh_fech!I9/SER_summary!I$26)</f>
        <v>149.99782063453273</v>
      </c>
      <c r="J9" s="133">
        <f>IF(SER_hh_fech!J9=0,0,SER_hh_fech!J9/SER_summary!J$26)</f>
        <v>163.3707451732763</v>
      </c>
      <c r="K9" s="133">
        <f>IF(SER_hh_fech!K9=0,0,SER_hh_fech!K9/SER_summary!K$26)</f>
        <v>166.17779826657488</v>
      </c>
      <c r="L9" s="133">
        <f>IF(SER_hh_fech!L9=0,0,SER_hh_fech!L9/SER_summary!L$26)</f>
        <v>171.57726952100725</v>
      </c>
      <c r="M9" s="133">
        <f>IF(SER_hh_fech!M9=0,0,SER_hh_fech!M9/SER_summary!M$26)</f>
        <v>127.13489170131857</v>
      </c>
      <c r="N9" s="133">
        <f>IF(SER_hh_fech!N9=0,0,SER_hh_fech!N9/SER_summary!N$26)</f>
        <v>140.80469450201247</v>
      </c>
      <c r="O9" s="133">
        <f>IF(SER_hh_fech!O9=0,0,SER_hh_fech!O9/SER_summary!O$26)</f>
        <v>152.17140078218088</v>
      </c>
      <c r="P9" s="133">
        <f>IF(SER_hh_fech!P9=0,0,SER_hh_fech!P9/SER_summary!P$26)</f>
        <v>113.02600934359845</v>
      </c>
      <c r="Q9" s="133">
        <f>IF(SER_hh_fech!Q9=0,0,SER_hh_fech!Q9/SER_summary!Q$26)</f>
        <v>128.53547392439438</v>
      </c>
      <c r="R9" s="133">
        <f>IF(SER_hh_fech!R9=0,0,SER_hh_fech!R9/SER_summary!R$26)</f>
        <v>133.67721623685694</v>
      </c>
      <c r="S9" s="133">
        <f>IF(SER_hh_fech!S9=0,0,SER_hh_fech!S9/SER_summary!S$26)</f>
        <v>130.16204664581321</v>
      </c>
      <c r="T9" s="133">
        <f>IF(SER_hh_fech!T9=0,0,SER_hh_fech!T9/SER_summary!T$26)</f>
        <v>130.79493640177961</v>
      </c>
      <c r="U9" s="133">
        <f>IF(SER_hh_fech!U9=0,0,SER_hh_fech!U9/SER_summary!U$26)</f>
        <v>129.77651284143266</v>
      </c>
      <c r="V9" s="133">
        <f>IF(SER_hh_fech!V9=0,0,SER_hh_fech!V9/SER_summary!V$26)</f>
        <v>120.00298781861196</v>
      </c>
      <c r="W9" s="133">
        <f>IF(SER_hh_fech!W9=0,0,SER_hh_fech!W9/SER_summary!W$26)</f>
        <v>135.03854616843029</v>
      </c>
      <c r="DA9" s="157" t="s">
        <v>482</v>
      </c>
    </row>
    <row r="10" spans="1:105" ht="12" customHeight="1" x14ac:dyDescent="0.25">
      <c r="A10" s="132" t="s">
        <v>128</v>
      </c>
      <c r="B10" s="133">
        <f>IF(SER_hh_fech!B10=0,0,SER_hh_fech!B10/SER_summary!B$26)</f>
        <v>236.37466165636144</v>
      </c>
      <c r="C10" s="133">
        <f>IF(SER_hh_fech!C10=0,0,SER_hh_fech!C10/SER_summary!C$26)</f>
        <v>223.89262286746438</v>
      </c>
      <c r="D10" s="133">
        <f>IF(SER_hh_fech!D10=0,0,SER_hh_fech!D10/SER_summary!D$26)</f>
        <v>13.462807457081466</v>
      </c>
      <c r="E10" s="133">
        <f>IF(SER_hh_fech!E10=0,0,SER_hh_fech!E10/SER_summary!E$26)</f>
        <v>4.2723130908426432</v>
      </c>
      <c r="F10" s="133">
        <f>IF(SER_hh_fech!F10=0,0,SER_hh_fech!F10/SER_summary!F$26)</f>
        <v>306.887233904607</v>
      </c>
      <c r="G10" s="133">
        <f>IF(SER_hh_fech!G10=0,0,SER_hh_fech!G10/SER_summary!G$26)</f>
        <v>268.43717911668307</v>
      </c>
      <c r="H10" s="133">
        <f>IF(SER_hh_fech!H10=0,0,SER_hh_fech!H10/SER_summary!H$26)</f>
        <v>241.2291033029999</v>
      </c>
      <c r="I10" s="133">
        <f>IF(SER_hh_fech!I10=0,0,SER_hh_fech!I10/SER_summary!I$26)</f>
        <v>275.41931369454858</v>
      </c>
      <c r="J10" s="133">
        <f>IF(SER_hh_fech!J10=0,0,SER_hh_fech!J10/SER_summary!J$26)</f>
        <v>120.39968363878808</v>
      </c>
      <c r="K10" s="133">
        <f>IF(SER_hh_fech!K10=0,0,SER_hh_fech!K10/SER_summary!K$26)</f>
        <v>62.36732632852074</v>
      </c>
      <c r="L10" s="133">
        <f>IF(SER_hh_fech!L10=0,0,SER_hh_fech!L10/SER_summary!L$26)</f>
        <v>204.5658133532053</v>
      </c>
      <c r="M10" s="133">
        <f>IF(SER_hh_fech!M10=0,0,SER_hh_fech!M10/SER_summary!M$26)</f>
        <v>125.85691879386019</v>
      </c>
      <c r="N10" s="133">
        <f>IF(SER_hh_fech!N10=0,0,SER_hh_fech!N10/SER_summary!N$26)</f>
        <v>162.39595213422984</v>
      </c>
      <c r="O10" s="133">
        <f>IF(SER_hh_fech!O10=0,0,SER_hh_fech!O10/SER_summary!O$26)</f>
        <v>212.41068942916343</v>
      </c>
      <c r="P10" s="133">
        <f>IF(SER_hh_fech!P10=0,0,SER_hh_fech!P10/SER_summary!P$26)</f>
        <v>179.98158080165643</v>
      </c>
      <c r="Q10" s="133">
        <f>IF(SER_hh_fech!Q10=0,0,SER_hh_fech!Q10/SER_summary!Q$26)</f>
        <v>188.24923171714792</v>
      </c>
      <c r="R10" s="133">
        <f>IF(SER_hh_fech!R10=0,0,SER_hh_fech!R10/SER_summary!R$26)</f>
        <v>184.50983514819896</v>
      </c>
      <c r="S10" s="133">
        <f>IF(SER_hh_fech!S10=0,0,SER_hh_fech!S10/SER_summary!S$26)</f>
        <v>180.58706420311222</v>
      </c>
      <c r="T10" s="133">
        <f>IF(SER_hh_fech!T10=0,0,SER_hh_fech!T10/SER_summary!T$26)</f>
        <v>180.76672435521505</v>
      </c>
      <c r="U10" s="133">
        <f>IF(SER_hh_fech!U10=0,0,SER_hh_fech!U10/SER_summary!U$26)</f>
        <v>189.0720286976451</v>
      </c>
      <c r="V10" s="133">
        <f>IF(SER_hh_fech!V10=0,0,SER_hh_fech!V10/SER_summary!V$26)</f>
        <v>185.29478007877071</v>
      </c>
      <c r="W10" s="133">
        <f>IF(SER_hh_fech!W10=0,0,SER_hh_fech!W10/SER_summary!W$26)</f>
        <v>177.52671585483648</v>
      </c>
      <c r="DA10" s="157" t="s">
        <v>483</v>
      </c>
    </row>
    <row r="11" spans="1:105" ht="12" customHeight="1" x14ac:dyDescent="0.25">
      <c r="A11" s="132" t="s">
        <v>25</v>
      </c>
      <c r="B11" s="133">
        <f>IF(SER_hh_fech!B11=0,0,SER_hh_fech!B11/SER_summary!B$26)</f>
        <v>0</v>
      </c>
      <c r="C11" s="133">
        <f>IF(SER_hh_fech!C11=0,0,SER_hh_fech!C11/SER_summary!C$26)</f>
        <v>0</v>
      </c>
      <c r="D11" s="133">
        <f>IF(SER_hh_fech!D11=0,0,SER_hh_fech!D11/SER_summary!D$26)</f>
        <v>0</v>
      </c>
      <c r="E11" s="133">
        <f>IF(SER_hh_fech!E11=0,0,SER_hh_fech!E11/SER_summary!E$26)</f>
        <v>0</v>
      </c>
      <c r="F11" s="133">
        <f>IF(SER_hh_fech!F11=0,0,SER_hh_fech!F11/SER_summary!F$26)</f>
        <v>0</v>
      </c>
      <c r="G11" s="133">
        <f>IF(SER_hh_fech!G11=0,0,SER_hh_fech!G11/SER_summary!G$26)</f>
        <v>0</v>
      </c>
      <c r="H11" s="133">
        <f>IF(SER_hh_fech!H11=0,0,SER_hh_fech!H11/SER_summary!H$26)</f>
        <v>0</v>
      </c>
      <c r="I11" s="133">
        <f>IF(SER_hh_fech!I11=0,0,SER_hh_fech!I11/SER_summary!I$26)</f>
        <v>0</v>
      </c>
      <c r="J11" s="133">
        <f>IF(SER_hh_fech!J11=0,0,SER_hh_fech!J11/SER_summary!J$26)</f>
        <v>0</v>
      </c>
      <c r="K11" s="133">
        <f>IF(SER_hh_fech!K11=0,0,SER_hh_fech!K11/SER_summary!K$26)</f>
        <v>0</v>
      </c>
      <c r="L11" s="133">
        <f>IF(SER_hh_fech!L11=0,0,SER_hh_fech!L11/SER_summary!L$26)</f>
        <v>0</v>
      </c>
      <c r="M11" s="133">
        <f>IF(SER_hh_fech!M11=0,0,SER_hh_fech!M11/SER_summary!M$26)</f>
        <v>0</v>
      </c>
      <c r="N11" s="133">
        <f>IF(SER_hh_fech!N11=0,0,SER_hh_fech!N11/SER_summary!N$26)</f>
        <v>0</v>
      </c>
      <c r="O11" s="133">
        <f>IF(SER_hh_fech!O11=0,0,SER_hh_fech!O11/SER_summary!O$26)</f>
        <v>0</v>
      </c>
      <c r="P11" s="133">
        <f>IF(SER_hh_fech!P11=0,0,SER_hh_fech!P11/SER_summary!P$26)</f>
        <v>0</v>
      </c>
      <c r="Q11" s="133">
        <f>IF(SER_hh_fech!Q11=0,0,SER_hh_fech!Q11/SER_summary!Q$26)</f>
        <v>0</v>
      </c>
      <c r="R11" s="133">
        <f>IF(SER_hh_fech!R11=0,0,SER_hh_fech!R11/SER_summary!R$26)</f>
        <v>0</v>
      </c>
      <c r="S11" s="133">
        <f>IF(SER_hh_fech!S11=0,0,SER_hh_fech!S11/SER_summary!S$26)</f>
        <v>0</v>
      </c>
      <c r="T11" s="133">
        <f>IF(SER_hh_fech!T11=0,0,SER_hh_fech!T11/SER_summary!T$26)</f>
        <v>0</v>
      </c>
      <c r="U11" s="133">
        <f>IF(SER_hh_fech!U11=0,0,SER_hh_fech!U11/SER_summary!U$26)</f>
        <v>0</v>
      </c>
      <c r="V11" s="133">
        <f>IF(SER_hh_fech!V11=0,0,SER_hh_fech!V11/SER_summary!V$26)</f>
        <v>0</v>
      </c>
      <c r="W11" s="133">
        <f>IF(SER_hh_fech!W11=0,0,SER_hh_fech!W11/SER_summary!W$26)</f>
        <v>0</v>
      </c>
      <c r="DA11" s="157" t="s">
        <v>484</v>
      </c>
    </row>
    <row r="12" spans="1:105" ht="12" customHeight="1" x14ac:dyDescent="0.25">
      <c r="A12" s="132" t="s">
        <v>169</v>
      </c>
      <c r="B12" s="133">
        <f>IF(SER_hh_fech!B12=0,0,SER_hh_fech!B12/SER_summary!B$26)</f>
        <v>97.026147172118797</v>
      </c>
      <c r="C12" s="133">
        <f>IF(SER_hh_fech!C12=0,0,SER_hh_fech!C12/SER_summary!C$26)</f>
        <v>98.737356756206466</v>
      </c>
      <c r="D12" s="133">
        <f>IF(SER_hh_fech!D12=0,0,SER_hh_fech!D12/SER_summary!D$26)</f>
        <v>100.2031328459334</v>
      </c>
      <c r="E12" s="133">
        <f>IF(SER_hh_fech!E12=0,0,SER_hh_fech!E12/SER_summary!E$26)</f>
        <v>103.30488803998382</v>
      </c>
      <c r="F12" s="133">
        <f>IF(SER_hh_fech!F12=0,0,SER_hh_fech!F12/SER_summary!F$26)</f>
        <v>123.97943056709097</v>
      </c>
      <c r="G12" s="133">
        <f>IF(SER_hh_fech!G12=0,0,SER_hh_fech!G12/SER_summary!G$26)</f>
        <v>113.13670204164012</v>
      </c>
      <c r="H12" s="133">
        <f>IF(SER_hh_fech!H12=0,0,SER_hh_fech!H12/SER_summary!H$26)</f>
        <v>128.52745501605449</v>
      </c>
      <c r="I12" s="133">
        <f>IF(SER_hh_fech!I12=0,0,SER_hh_fech!I12/SER_summary!I$26)</f>
        <v>140.82862247289722</v>
      </c>
      <c r="J12" s="133">
        <f>IF(SER_hh_fech!J12=0,0,SER_hh_fech!J12/SER_summary!J$26)</f>
        <v>88.246126367757384</v>
      </c>
      <c r="K12" s="133">
        <f>IF(SER_hh_fech!K12=0,0,SER_hh_fech!K12/SER_summary!K$26)</f>
        <v>104.60585320465914</v>
      </c>
      <c r="L12" s="133">
        <f>IF(SER_hh_fech!L12=0,0,SER_hh_fech!L12/SER_summary!L$26)</f>
        <v>132.16275905837242</v>
      </c>
      <c r="M12" s="133">
        <f>IF(SER_hh_fech!M12=0,0,SER_hh_fech!M12/SER_summary!M$26)</f>
        <v>110.54801154658023</v>
      </c>
      <c r="N12" s="133">
        <f>IF(SER_hh_fech!N12=0,0,SER_hh_fech!N12/SER_summary!N$26)</f>
        <v>104.87965439555906</v>
      </c>
      <c r="O12" s="133">
        <f>IF(SER_hh_fech!O12=0,0,SER_hh_fech!O12/SER_summary!O$26)</f>
        <v>90.269244331063575</v>
      </c>
      <c r="P12" s="133">
        <f>IF(SER_hh_fech!P12=0,0,SER_hh_fech!P12/SER_summary!P$26)</f>
        <v>110.42452548977451</v>
      </c>
      <c r="Q12" s="133">
        <f>IF(SER_hh_fech!Q12=0,0,SER_hh_fech!Q12/SER_summary!Q$26)</f>
        <v>117.2844823858762</v>
      </c>
      <c r="R12" s="133">
        <f>IF(SER_hh_fech!R12=0,0,SER_hh_fech!R12/SER_summary!R$26)</f>
        <v>107.82480188877392</v>
      </c>
      <c r="S12" s="133">
        <f>IF(SER_hh_fech!S12=0,0,SER_hh_fech!S12/SER_summary!S$26)</f>
        <v>100.93713426075949</v>
      </c>
      <c r="T12" s="133">
        <f>IF(SER_hh_fech!T12=0,0,SER_hh_fech!T12/SER_summary!T$26)</f>
        <v>107.71007017285989</v>
      </c>
      <c r="U12" s="133">
        <f>IF(SER_hh_fech!U12=0,0,SER_hh_fech!U12/SER_summary!U$26)</f>
        <v>103.10818948605484</v>
      </c>
      <c r="V12" s="133">
        <f>IF(SER_hh_fech!V12=0,0,SER_hh_fech!V12/SER_summary!V$26)</f>
        <v>110.12295848764768</v>
      </c>
      <c r="W12" s="133">
        <f>IF(SER_hh_fech!W12=0,0,SER_hh_fech!W12/SER_summary!W$26)</f>
        <v>112.89919530029236</v>
      </c>
      <c r="DA12" s="157" t="s">
        <v>485</v>
      </c>
    </row>
    <row r="13" spans="1:105" ht="12" customHeight="1" x14ac:dyDescent="0.25">
      <c r="A13" s="132" t="s">
        <v>77</v>
      </c>
      <c r="B13" s="133">
        <f>IF(SER_hh_fech!B13=0,0,SER_hh_fech!B13/SER_summary!B$26)</f>
        <v>47.577292045162103</v>
      </c>
      <c r="C13" s="133">
        <f>IF(SER_hh_fech!C13=0,0,SER_hh_fech!C13/SER_summary!C$26)</f>
        <v>60.405443181978903</v>
      </c>
      <c r="D13" s="133">
        <f>IF(SER_hh_fech!D13=0,0,SER_hh_fech!D13/SER_summary!D$26)</f>
        <v>56.934074733313928</v>
      </c>
      <c r="E13" s="133">
        <f>IF(SER_hh_fech!E13=0,0,SER_hh_fech!E13/SER_summary!E$26)</f>
        <v>49.799469528863767</v>
      </c>
      <c r="F13" s="133">
        <f>IF(SER_hh_fech!F13=0,0,SER_hh_fech!F13/SER_summary!F$26)</f>
        <v>22.363220689784249</v>
      </c>
      <c r="G13" s="133">
        <f>IF(SER_hh_fech!G13=0,0,SER_hh_fech!G13/SER_summary!G$26)</f>
        <v>15.571883763125696</v>
      </c>
      <c r="H13" s="133">
        <f>IF(SER_hh_fech!H13=0,0,SER_hh_fech!H13/SER_summary!H$26)</f>
        <v>52.886172902035483</v>
      </c>
      <c r="I13" s="133">
        <f>IF(SER_hh_fech!I13=0,0,SER_hh_fech!I13/SER_summary!I$26)</f>
        <v>48.121270317391662</v>
      </c>
      <c r="J13" s="133">
        <f>IF(SER_hh_fech!J13=0,0,SER_hh_fech!J13/SER_summary!J$26)</f>
        <v>48.387106219376967</v>
      </c>
      <c r="K13" s="133">
        <f>IF(SER_hh_fech!K13=0,0,SER_hh_fech!K13/SER_summary!K$26)</f>
        <v>48.005583050812348</v>
      </c>
      <c r="L13" s="133">
        <f>IF(SER_hh_fech!L13=0,0,SER_hh_fech!L13/SER_summary!L$26)</f>
        <v>43.921553025989049</v>
      </c>
      <c r="M13" s="133">
        <f>IF(SER_hh_fech!M13=0,0,SER_hh_fech!M13/SER_summary!M$26)</f>
        <v>39.934129785966626</v>
      </c>
      <c r="N13" s="133">
        <f>IF(SER_hh_fech!N13=0,0,SER_hh_fech!N13/SER_summary!N$26)</f>
        <v>39.785176786355258</v>
      </c>
      <c r="O13" s="133">
        <f>IF(SER_hh_fech!O13=0,0,SER_hh_fech!O13/SER_summary!O$26)</f>
        <v>42.224325188448837</v>
      </c>
      <c r="P13" s="133">
        <f>IF(SER_hh_fech!P13=0,0,SER_hh_fech!P13/SER_summary!P$26)</f>
        <v>35.336780529468285</v>
      </c>
      <c r="Q13" s="133">
        <f>IF(SER_hh_fech!Q13=0,0,SER_hh_fech!Q13/SER_summary!Q$26)</f>
        <v>34.838339481859094</v>
      </c>
      <c r="R13" s="133">
        <f>IF(SER_hh_fech!R13=0,0,SER_hh_fech!R13/SER_summary!R$26)</f>
        <v>30.97342462922434</v>
      </c>
      <c r="S13" s="133">
        <f>IF(SER_hh_fech!S13=0,0,SER_hh_fech!S13/SER_summary!S$26)</f>
        <v>21.646802977391854</v>
      </c>
      <c r="T13" s="133">
        <f>IF(SER_hh_fech!T13=0,0,SER_hh_fech!T13/SER_summary!T$26)</f>
        <v>30.306160811357508</v>
      </c>
      <c r="U13" s="133">
        <f>IF(SER_hh_fech!U13=0,0,SER_hh_fech!U13/SER_summary!U$26)</f>
        <v>28.19832341632884</v>
      </c>
      <c r="V13" s="133">
        <f>IF(SER_hh_fech!V13=0,0,SER_hh_fech!V13/SER_summary!V$26)</f>
        <v>24.702425320231708</v>
      </c>
      <c r="W13" s="133">
        <f>IF(SER_hh_fech!W13=0,0,SER_hh_fech!W13/SER_summary!W$26)</f>
        <v>32.906267692197297</v>
      </c>
      <c r="DA13" s="157" t="s">
        <v>486</v>
      </c>
    </row>
    <row r="14" spans="1:105" ht="12" customHeight="1" x14ac:dyDescent="0.25">
      <c r="A14" s="60" t="s">
        <v>76</v>
      </c>
      <c r="B14" s="65">
        <f>IF(SER_hh_fech!B14=0,0,SER_hh_fech!B14/SER_summary!B$26)</f>
        <v>123.84145341933579</v>
      </c>
      <c r="C14" s="65">
        <f>IF(SER_hh_fech!C14=0,0,SER_hh_fech!C14/SER_summary!C$26)</f>
        <v>131.39315754257433</v>
      </c>
      <c r="D14" s="65">
        <f>IF(SER_hh_fech!D14=0,0,SER_hh_fech!D14/SER_summary!D$26)</f>
        <v>34.398143283434081</v>
      </c>
      <c r="E14" s="65">
        <f>IF(SER_hh_fech!E14=0,0,SER_hh_fech!E14/SER_summary!E$26)</f>
        <v>4.7536064619613931</v>
      </c>
      <c r="F14" s="65">
        <f>IF(SER_hh_fech!F14=0,0,SER_hh_fech!F14/SER_summary!F$26)</f>
        <v>200.10084288455838</v>
      </c>
      <c r="G14" s="65">
        <f>IF(SER_hh_fech!G14=0,0,SER_hh_fech!G14/SER_summary!G$26)</f>
        <v>157.60051764984107</v>
      </c>
      <c r="H14" s="65">
        <f>IF(SER_hh_fech!H14=0,0,SER_hh_fech!H14/SER_summary!H$26)</f>
        <v>129.16272887307821</v>
      </c>
      <c r="I14" s="65">
        <f>IF(SER_hh_fech!I14=0,0,SER_hh_fech!I14/SER_summary!I$26)</f>
        <v>123.80434789698089</v>
      </c>
      <c r="J14" s="65">
        <f>IF(SER_hh_fech!J14=0,0,SER_hh_fech!J14/SER_summary!J$26)</f>
        <v>130.40666004383371</v>
      </c>
      <c r="K14" s="65">
        <f>IF(SER_hh_fech!K14=0,0,SER_hh_fech!K14/SER_summary!K$26)</f>
        <v>137.73517886363661</v>
      </c>
      <c r="L14" s="65">
        <f>IF(SER_hh_fech!L14=0,0,SER_hh_fech!L14/SER_summary!L$26)</f>
        <v>135.17483154516768</v>
      </c>
      <c r="M14" s="65">
        <f>IF(SER_hh_fech!M14=0,0,SER_hh_fech!M14/SER_summary!M$26)</f>
        <v>117.48114658019367</v>
      </c>
      <c r="N14" s="65">
        <f>IF(SER_hh_fech!N14=0,0,SER_hh_fech!N14/SER_summary!N$26)</f>
        <v>123.17918622669363</v>
      </c>
      <c r="O14" s="65">
        <f>IF(SER_hh_fech!O14=0,0,SER_hh_fech!O14/SER_summary!O$26)</f>
        <v>132.18301483431898</v>
      </c>
      <c r="P14" s="65">
        <f>IF(SER_hh_fech!P14=0,0,SER_hh_fech!P14/SER_summary!P$26)</f>
        <v>105.82170396613961</v>
      </c>
      <c r="Q14" s="65">
        <f>IF(SER_hh_fech!Q14=0,0,SER_hh_fech!Q14/SER_summary!Q$26)</f>
        <v>116.75654059139808</v>
      </c>
      <c r="R14" s="65">
        <f>IF(SER_hh_fech!R14=0,0,SER_hh_fech!R14/SER_summary!R$26)</f>
        <v>117.10981010050686</v>
      </c>
      <c r="S14" s="65">
        <f>IF(SER_hh_fech!S14=0,0,SER_hh_fech!S14/SER_summary!S$26)</f>
        <v>116.44235690055511</v>
      </c>
      <c r="T14" s="65">
        <f>IF(SER_hh_fech!T14=0,0,SER_hh_fech!T14/SER_summary!T$26)</f>
        <v>114.25449010042763</v>
      </c>
      <c r="U14" s="65">
        <f>IF(SER_hh_fech!U14=0,0,SER_hh_fech!U14/SER_summary!U$26)</f>
        <v>120.97146634775255</v>
      </c>
      <c r="V14" s="65">
        <f>IF(SER_hh_fech!V14=0,0,SER_hh_fech!V14/SER_summary!V$26)</f>
        <v>107.50309106172213</v>
      </c>
      <c r="W14" s="65">
        <f>IF(SER_hh_fech!W14=0,0,SER_hh_fech!W14/SER_summary!W$26)</f>
        <v>113.48393770165653</v>
      </c>
      <c r="DA14" s="109" t="s">
        <v>487</v>
      </c>
    </row>
    <row r="15" spans="1:105" ht="12" customHeight="1" x14ac:dyDescent="0.25">
      <c r="A15" s="134" t="s">
        <v>80</v>
      </c>
      <c r="B15" s="135">
        <f>IF(SER_hh_fech!B15=0,0,SER_hh_fech!B15/SER_summary!B$26)</f>
        <v>1.5224848820604713</v>
      </c>
      <c r="C15" s="135">
        <f>IF(SER_hh_fech!C15=0,0,SER_hh_fech!C15/SER_summary!C$26)</f>
        <v>1.584148200424216</v>
      </c>
      <c r="D15" s="135">
        <f>IF(SER_hh_fech!D15=0,0,SER_hh_fech!D15/SER_summary!D$26)</f>
        <v>1.655754840745002</v>
      </c>
      <c r="E15" s="135">
        <f>IF(SER_hh_fech!E15=0,0,SER_hh_fech!E15/SER_summary!E$26)</f>
        <v>1.7865475436695204</v>
      </c>
      <c r="F15" s="135">
        <f>IF(SER_hh_fech!F15=0,0,SER_hh_fech!F15/SER_summary!F$26)</f>
        <v>1.8311279506486762</v>
      </c>
      <c r="G15" s="135">
        <f>IF(SER_hh_fech!G15=0,0,SER_hh_fech!G15/SER_summary!G$26)</f>
        <v>1.8669638430555444</v>
      </c>
      <c r="H15" s="135">
        <f>IF(SER_hh_fech!H15=0,0,SER_hh_fech!H15/SER_summary!H$26)</f>
        <v>1.7604748329813174</v>
      </c>
      <c r="I15" s="135">
        <f>IF(SER_hh_fech!I15=0,0,SER_hh_fech!I15/SER_summary!I$26)</f>
        <v>1.5516932330678792</v>
      </c>
      <c r="J15" s="135">
        <f>IF(SER_hh_fech!J15=0,0,SER_hh_fech!J15/SER_summary!J$26)</f>
        <v>1.8156558030382972</v>
      </c>
      <c r="K15" s="135">
        <f>IF(SER_hh_fech!K15=0,0,SER_hh_fech!K15/SER_summary!K$26)</f>
        <v>1.7402344030150683</v>
      </c>
      <c r="L15" s="135">
        <f>IF(SER_hh_fech!L15=0,0,SER_hh_fech!L15/SER_summary!L$26)</f>
        <v>1.8838767150953799</v>
      </c>
      <c r="M15" s="135">
        <f>IF(SER_hh_fech!M15=0,0,SER_hh_fech!M15/SER_summary!M$26)</f>
        <v>1.4655963439135971</v>
      </c>
      <c r="N15" s="135">
        <f>IF(SER_hh_fech!N15=0,0,SER_hh_fech!N15/SER_summary!N$26)</f>
        <v>1.590605789681709</v>
      </c>
      <c r="O15" s="135">
        <f>IF(SER_hh_fech!O15=0,0,SER_hh_fech!O15/SER_summary!O$26)</f>
        <v>1.7490004873156695</v>
      </c>
      <c r="P15" s="135">
        <f>IF(SER_hh_fech!P15=0,0,SER_hh_fech!P15/SER_summary!P$26)</f>
        <v>1.3066325163961685</v>
      </c>
      <c r="Q15" s="135">
        <f>IF(SER_hh_fech!Q15=0,0,SER_hh_fech!Q15/SER_summary!Q$26)</f>
        <v>1.5110508340745605</v>
      </c>
      <c r="R15" s="135">
        <f>IF(SER_hh_fech!R15=0,0,SER_hh_fech!R15/SER_summary!R$26)</f>
        <v>1.5267651103035351</v>
      </c>
      <c r="S15" s="135">
        <f>IF(SER_hh_fech!S15=0,0,SER_hh_fech!S15/SER_summary!S$26)</f>
        <v>1.5225237073124214</v>
      </c>
      <c r="T15" s="135">
        <f>IF(SER_hh_fech!T15=0,0,SER_hh_fech!T15/SER_summary!T$26)</f>
        <v>1.5411699994562786</v>
      </c>
      <c r="U15" s="135">
        <f>IF(SER_hh_fech!U15=0,0,SER_hh_fech!U15/SER_summary!U$26)</f>
        <v>1.5261643572694601</v>
      </c>
      <c r="V15" s="135">
        <f>IF(SER_hh_fech!V15=0,0,SER_hh_fech!V15/SER_summary!V$26)</f>
        <v>1.4763593149060756</v>
      </c>
      <c r="W15" s="135">
        <f>IF(SER_hh_fech!W15=0,0,SER_hh_fech!W15/SER_summary!W$26)</f>
        <v>1.5633610818259427</v>
      </c>
      <c r="DA15" s="158" t="s">
        <v>488</v>
      </c>
    </row>
    <row r="16" spans="1:105" ht="12.95" customHeight="1" x14ac:dyDescent="0.25">
      <c r="A16" s="130" t="s">
        <v>74</v>
      </c>
      <c r="B16" s="131">
        <f>IF(SER_hh_fech!B16=0,0,SER_hh_fech!B16/SER_summary!B$26)</f>
        <v>14.994500674722943</v>
      </c>
      <c r="C16" s="131">
        <f>IF(SER_hh_fech!C16=0,0,SER_hh_fech!C16/SER_summary!C$26)</f>
        <v>14.262770846504722</v>
      </c>
      <c r="D16" s="131">
        <f>IF(SER_hh_fech!D16=0,0,SER_hh_fech!D16/SER_summary!D$26)</f>
        <v>13.151845550343518</v>
      </c>
      <c r="E16" s="131">
        <f>IF(SER_hh_fech!E16=0,0,SER_hh_fech!E16/SER_summary!E$26)</f>
        <v>16.010308612530338</v>
      </c>
      <c r="F16" s="131">
        <f>IF(SER_hh_fech!F16=0,0,SER_hh_fech!F16/SER_summary!F$26)</f>
        <v>11.839091929873096</v>
      </c>
      <c r="G16" s="131">
        <f>IF(SER_hh_fech!G16=0,0,SER_hh_fech!G16/SER_summary!G$26)</f>
        <v>11.56654870110442</v>
      </c>
      <c r="H16" s="131">
        <f>IF(SER_hh_fech!H16=0,0,SER_hh_fech!H16/SER_summary!H$26)</f>
        <v>13.956930906612092</v>
      </c>
      <c r="I16" s="131">
        <f>IF(SER_hh_fech!I16=0,0,SER_hh_fech!I16/SER_summary!I$26)</f>
        <v>10.527236790083476</v>
      </c>
      <c r="J16" s="131">
        <f>IF(SER_hh_fech!J16=0,0,SER_hh_fech!J16/SER_summary!J$26)</f>
        <v>10.307603982943343</v>
      </c>
      <c r="K16" s="131">
        <f>IF(SER_hh_fech!K16=0,0,SER_hh_fech!K16/SER_summary!K$26)</f>
        <v>10.268103322162622</v>
      </c>
      <c r="L16" s="131">
        <f>IF(SER_hh_fech!L16=0,0,SER_hh_fech!L16/SER_summary!L$26)</f>
        <v>10.682144393209146</v>
      </c>
      <c r="M16" s="131">
        <f>IF(SER_hh_fech!M16=0,0,SER_hh_fech!M16/SER_summary!M$26)</f>
        <v>9.7806440014858271</v>
      </c>
      <c r="N16" s="131">
        <f>IF(SER_hh_fech!N16=0,0,SER_hh_fech!N16/SER_summary!N$26)</f>
        <v>9.6702530065713574</v>
      </c>
      <c r="O16" s="131">
        <f>IF(SER_hh_fech!O16=0,0,SER_hh_fech!O16/SER_summary!O$26)</f>
        <v>9.5374009092427396</v>
      </c>
      <c r="P16" s="131">
        <f>IF(SER_hh_fech!P16=0,0,SER_hh_fech!P16/SER_summary!P$26)</f>
        <v>8.9686848025720849</v>
      </c>
      <c r="Q16" s="131">
        <f>IF(SER_hh_fech!Q16=0,0,SER_hh_fech!Q16/SER_summary!Q$26)</f>
        <v>9.8312687998181065</v>
      </c>
      <c r="R16" s="131">
        <f>IF(SER_hh_fech!R16=0,0,SER_hh_fech!R16/SER_summary!R$26)</f>
        <v>9.2393839615422557</v>
      </c>
      <c r="S16" s="131">
        <f>IF(SER_hh_fech!S16=0,0,SER_hh_fech!S16/SER_summary!S$26)</f>
        <v>8.5224292026344468</v>
      </c>
      <c r="T16" s="131">
        <f>IF(SER_hh_fech!T16=0,0,SER_hh_fech!T16/SER_summary!T$26)</f>
        <v>9.4922220001292281</v>
      </c>
      <c r="U16" s="131">
        <f>IF(SER_hh_fech!U16=0,0,SER_hh_fech!U16/SER_summary!U$26)</f>
        <v>8.9416117851777699</v>
      </c>
      <c r="V16" s="131">
        <f>IF(SER_hh_fech!V16=0,0,SER_hh_fech!V16/SER_summary!V$26)</f>
        <v>10.010465089976336</v>
      </c>
      <c r="W16" s="131">
        <f>IF(SER_hh_fech!W16=0,0,SER_hh_fech!W16/SER_summary!W$26)</f>
        <v>7.435677387663552</v>
      </c>
      <c r="DA16" s="156" t="s">
        <v>489</v>
      </c>
    </row>
    <row r="17" spans="1:105" ht="12.95" customHeight="1" x14ac:dyDescent="0.25">
      <c r="A17" s="132" t="s">
        <v>73</v>
      </c>
      <c r="B17" s="133">
        <f>IF(SER_hh_fech!B17=0,0,SER_hh_fech!B17/SER_summary!B$26)</f>
        <v>23.075834545044753</v>
      </c>
      <c r="C17" s="133">
        <f>IF(SER_hh_fech!C17=0,0,SER_hh_fech!C17/SER_summary!C$26)</f>
        <v>23.521931003458587</v>
      </c>
      <c r="D17" s="133">
        <f>IF(SER_hh_fech!D17=0,0,SER_hh_fech!D17/SER_summary!D$26)</f>
        <v>23.18083810017724</v>
      </c>
      <c r="E17" s="133">
        <f>IF(SER_hh_fech!E17=0,0,SER_hh_fech!E17/SER_summary!E$26)</f>
        <v>29.527060056537707</v>
      </c>
      <c r="F17" s="133">
        <f>IF(SER_hh_fech!F17=0,0,SER_hh_fech!F17/SER_summary!F$26)</f>
        <v>22.632865947673892</v>
      </c>
      <c r="G17" s="133">
        <f>IF(SER_hh_fech!G17=0,0,SER_hh_fech!G17/SER_summary!G$26)</f>
        <v>22.960280938524214</v>
      </c>
      <c r="H17" s="133">
        <f>IF(SER_hh_fech!H17=0,0,SER_hh_fech!H17/SER_summary!H$26)</f>
        <v>28.735529290697624</v>
      </c>
      <c r="I17" s="133">
        <f>IF(SER_hh_fech!I17=0,0,SER_hh_fech!I17/SER_summary!I$26)</f>
        <v>22.421681023198726</v>
      </c>
      <c r="J17" s="133">
        <f>IF(SER_hh_fech!J17=0,0,SER_hh_fech!J17/SER_summary!J$26)</f>
        <v>22.625597437973891</v>
      </c>
      <c r="K17" s="133">
        <f>IF(SER_hh_fech!K17=0,0,SER_hh_fech!K17/SER_summary!K$26)</f>
        <v>22.98196507821061</v>
      </c>
      <c r="L17" s="133">
        <f>IF(SER_hh_fech!L17=0,0,SER_hh_fech!L17/SER_summary!L$26)</f>
        <v>24.502704266511717</v>
      </c>
      <c r="M17" s="133">
        <f>IF(SER_hh_fech!M17=0,0,SER_hh_fech!M17/SER_summary!M$26)</f>
        <v>23.049659483446611</v>
      </c>
      <c r="N17" s="133">
        <f>IF(SER_hh_fech!N17=0,0,SER_hh_fech!N17/SER_summary!N$26)</f>
        <v>23.370370345091754</v>
      </c>
      <c r="O17" s="133">
        <f>IF(SER_hh_fech!O17=0,0,SER_hh_fech!O17/SER_summary!O$26)</f>
        <v>23.572016886748283</v>
      </c>
      <c r="P17" s="133">
        <f>IF(SER_hh_fech!P17=0,0,SER_hh_fech!P17/SER_summary!P$26)</f>
        <v>22.528468334338783</v>
      </c>
      <c r="Q17" s="133">
        <f>IF(SER_hh_fech!Q17=0,0,SER_hh_fech!Q17/SER_summary!Q$26)</f>
        <v>24.993865728638237</v>
      </c>
      <c r="R17" s="133">
        <f>IF(SER_hh_fech!R17=0,0,SER_hh_fech!R17/SER_summary!R$26)</f>
        <v>23.969980551939379</v>
      </c>
      <c r="S17" s="133">
        <f>IF(SER_hh_fech!S17=0,0,SER_hh_fech!S17/SER_summary!S$26)</f>
        <v>22.57346601236112</v>
      </c>
      <c r="T17" s="133">
        <f>IF(SER_hh_fech!T17=0,0,SER_hh_fech!T17/SER_summary!T$26)</f>
        <v>25.448149380916114</v>
      </c>
      <c r="U17" s="133">
        <f>IF(SER_hh_fech!U17=0,0,SER_hh_fech!U17/SER_summary!U$26)</f>
        <v>24.170816625115243</v>
      </c>
      <c r="V17" s="133">
        <f>IF(SER_hh_fech!V17=0,0,SER_hh_fech!V17/SER_summary!V$26)</f>
        <v>26.965937222213022</v>
      </c>
      <c r="W17" s="133">
        <f>IF(SER_hh_fech!W17=0,0,SER_hh_fech!W17/SER_summary!W$26)</f>
        <v>20.739542023931865</v>
      </c>
      <c r="DA17" s="157" t="s">
        <v>490</v>
      </c>
    </row>
    <row r="18" spans="1:105" ht="12" customHeight="1" x14ac:dyDescent="0.25">
      <c r="A18" s="132" t="s">
        <v>72</v>
      </c>
      <c r="B18" s="133">
        <f>IF(SER_hh_fech!B18=0,0,SER_hh_fech!B18/SER_summary!B$26)</f>
        <v>14.986266788607919</v>
      </c>
      <c r="C18" s="133">
        <f>IF(SER_hh_fech!C18=0,0,SER_hh_fech!C18/SER_summary!C$26)</f>
        <v>14.252984787069064</v>
      </c>
      <c r="D18" s="133">
        <f>IF(SER_hh_fech!D18=0,0,SER_hh_fech!D18/SER_summary!D$26)</f>
        <v>13.140489318456163</v>
      </c>
      <c r="E18" s="133">
        <f>IF(SER_hh_fech!E18=0,0,SER_hh_fech!E18/SER_summary!E$26)</f>
        <v>15.997951768718233</v>
      </c>
      <c r="F18" s="133">
        <f>IF(SER_hh_fech!F18=0,0,SER_hh_fech!F18/SER_summary!F$26)</f>
        <v>11.824398194648317</v>
      </c>
      <c r="G18" s="133">
        <f>IF(SER_hh_fech!G18=0,0,SER_hh_fech!G18/SER_summary!G$26)</f>
        <v>11.548912818212557</v>
      </c>
      <c r="H18" s="133">
        <f>IF(SER_hh_fech!H18=0,0,SER_hh_fech!H18/SER_summary!H$26)</f>
        <v>13.935623289618533</v>
      </c>
      <c r="I18" s="133">
        <f>IF(SER_hh_fech!I18=0,0,SER_hh_fech!I18/SER_summary!I$26)</f>
        <v>10.505277066799252</v>
      </c>
      <c r="J18" s="133">
        <f>IF(SER_hh_fech!J18=0,0,SER_hh_fech!J18/SER_summary!J$26)</f>
        <v>10.280765790488514</v>
      </c>
      <c r="K18" s="133">
        <f>IF(SER_hh_fech!K18=0,0,SER_hh_fech!K18/SER_summary!K$26)</f>
        <v>10.237413126382421</v>
      </c>
      <c r="L18" s="133">
        <f>IF(SER_hh_fech!L18=0,0,SER_hh_fech!L18/SER_summary!L$26)</f>
        <v>10.649693343692858</v>
      </c>
      <c r="M18" s="133">
        <f>IF(SER_hh_fech!M18=0,0,SER_hh_fech!M18/SER_summary!M$26)</f>
        <v>9.7473716639579688</v>
      </c>
      <c r="N18" s="133">
        <f>IF(SER_hh_fech!N18=0,0,SER_hh_fech!N18/SER_summary!N$26)</f>
        <v>9.633602057586085</v>
      </c>
      <c r="O18" s="133">
        <f>IF(SER_hh_fech!O18=0,0,SER_hh_fech!O18/SER_summary!O$26)</f>
        <v>9.4946088126172086</v>
      </c>
      <c r="P18" s="133">
        <f>IF(SER_hh_fech!P18=0,0,SER_hh_fech!P18/SER_summary!P$26)</f>
        <v>8.9166730690005558</v>
      </c>
      <c r="Q18" s="133">
        <f>IF(SER_hh_fech!Q18=0,0,SER_hh_fech!Q18/SER_summary!Q$26)</f>
        <v>9.7540283016290186</v>
      </c>
      <c r="R18" s="133">
        <f>IF(SER_hh_fech!R18=0,0,SER_hh_fech!R18/SER_summary!R$26)</f>
        <v>9.1531374352842612</v>
      </c>
      <c r="S18" s="133">
        <f>IF(SER_hh_fech!S18=0,0,SER_hh_fech!S18/SER_summary!S$26)</f>
        <v>8.4357818022248008</v>
      </c>
      <c r="T18" s="133">
        <f>IF(SER_hh_fech!T18=0,0,SER_hh_fech!T18/SER_summary!T$26)</f>
        <v>9.3811921350932526</v>
      </c>
      <c r="U18" s="133">
        <f>IF(SER_hh_fech!U18=0,0,SER_hh_fech!U18/SER_summary!U$26)</f>
        <v>8.8198678115695799</v>
      </c>
      <c r="V18" s="133">
        <f>IF(SER_hh_fech!V18=0,0,SER_hh_fech!V18/SER_summary!V$26)</f>
        <v>9.8578395365783855</v>
      </c>
      <c r="W18" s="133">
        <f>IF(SER_hh_fech!W18=0,0,SER_hh_fech!W18/SER_summary!W$26)</f>
        <v>7.3301557607836765</v>
      </c>
      <c r="DA18" s="157" t="s">
        <v>491</v>
      </c>
    </row>
    <row r="19" spans="1:105" ht="12.95" customHeight="1" x14ac:dyDescent="0.25">
      <c r="A19" s="130" t="s">
        <v>35</v>
      </c>
      <c r="B19" s="131">
        <f>IF(SER_hh_fech!B19=0,0,SER_hh_fech!B19/SER_summary!B$26)</f>
        <v>23.696076815939417</v>
      </c>
      <c r="C19" s="131">
        <f>IF(SER_hh_fech!C19=0,0,SER_hh_fech!C19/SER_summary!C$26)</f>
        <v>23.561104513678401</v>
      </c>
      <c r="D19" s="131">
        <f>IF(SER_hh_fech!D19=0,0,SER_hh_fech!D19/SER_summary!D$26)</f>
        <v>23.259338740618094</v>
      </c>
      <c r="E19" s="131">
        <f>IF(SER_hh_fech!E19=0,0,SER_hh_fech!E19/SER_summary!E$26)</f>
        <v>23.222047862949669</v>
      </c>
      <c r="F19" s="131">
        <f>IF(SER_hh_fech!F19=0,0,SER_hh_fech!F19/SER_summary!F$26)</f>
        <v>22.701814012659376</v>
      </c>
      <c r="G19" s="131">
        <f>IF(SER_hh_fech!G19=0,0,SER_hh_fech!G19/SER_summary!G$26)</f>
        <v>22.188060648617029</v>
      </c>
      <c r="H19" s="131">
        <f>IF(SER_hh_fech!H19=0,0,SER_hh_fech!H19/SER_summary!H$26)</f>
        <v>21.968776164425169</v>
      </c>
      <c r="I19" s="131">
        <f>IF(SER_hh_fech!I19=0,0,SER_hh_fech!I19/SER_summary!I$26)</f>
        <v>21.59634288028429</v>
      </c>
      <c r="J19" s="131">
        <f>IF(SER_hh_fech!J19=0,0,SER_hh_fech!J19/SER_summary!J$26)</f>
        <v>21.293330088662916</v>
      </c>
      <c r="K19" s="131">
        <f>IF(SER_hh_fech!K19=0,0,SER_hh_fech!K19/SER_summary!K$26)</f>
        <v>21.482746876979565</v>
      </c>
      <c r="L19" s="131">
        <f>IF(SER_hh_fech!L19=0,0,SER_hh_fech!L19/SER_summary!L$26)</f>
        <v>21.191535124472274</v>
      </c>
      <c r="M19" s="131">
        <f>IF(SER_hh_fech!M19=0,0,SER_hh_fech!M19/SER_summary!M$26)</f>
        <v>21.104963767188892</v>
      </c>
      <c r="N19" s="131">
        <f>IF(SER_hh_fech!N19=0,0,SER_hh_fech!N19/SER_summary!N$26)</f>
        <v>21.169176354651629</v>
      </c>
      <c r="O19" s="131">
        <f>IF(SER_hh_fech!O19=0,0,SER_hh_fech!O19/SER_summary!O$26)</f>
        <v>21.196275664626512</v>
      </c>
      <c r="P19" s="131">
        <f>IF(SER_hh_fech!P19=0,0,SER_hh_fech!P19/SER_summary!P$26)</f>
        <v>21.19415429417997</v>
      </c>
      <c r="Q19" s="131">
        <f>IF(SER_hh_fech!Q19=0,0,SER_hh_fech!Q19/SER_summary!Q$26)</f>
        <v>21.087451118574641</v>
      </c>
      <c r="R19" s="131">
        <f>IF(SER_hh_fech!R19=0,0,SER_hh_fech!R19/SER_summary!R$26)</f>
        <v>20.737211906003537</v>
      </c>
      <c r="S19" s="131">
        <f>IF(SER_hh_fech!S19=0,0,SER_hh_fech!S19/SER_summary!S$26)</f>
        <v>20.478504861812596</v>
      </c>
      <c r="T19" s="131">
        <f>IF(SER_hh_fech!T19=0,0,SER_hh_fech!T19/SER_summary!T$26)</f>
        <v>20.006754257441141</v>
      </c>
      <c r="U19" s="131">
        <f>IF(SER_hh_fech!U19=0,0,SER_hh_fech!U19/SER_summary!U$26)</f>
        <v>19.560481120171474</v>
      </c>
      <c r="V19" s="131">
        <f>IF(SER_hh_fech!V19=0,0,SER_hh_fech!V19/SER_summary!V$26)</f>
        <v>18.232011260301789</v>
      </c>
      <c r="W19" s="131">
        <f>IF(SER_hh_fech!W19=0,0,SER_hh_fech!W19/SER_summary!W$26)</f>
        <v>19.00716685803858</v>
      </c>
      <c r="DA19" s="156" t="s">
        <v>492</v>
      </c>
    </row>
    <row r="20" spans="1:105" ht="12" customHeight="1" x14ac:dyDescent="0.25">
      <c r="A20" s="132" t="s">
        <v>29</v>
      </c>
      <c r="B20" s="133">
        <f>IF(SER_hh_fech!B20=0,0,SER_hh_fech!B20/SER_summary!B$26)</f>
        <v>0</v>
      </c>
      <c r="C20" s="133">
        <f>IF(SER_hh_fech!C20=0,0,SER_hh_fech!C20/SER_summary!C$26)</f>
        <v>0</v>
      </c>
      <c r="D20" s="133">
        <f>IF(SER_hh_fech!D20=0,0,SER_hh_fech!D20/SER_summary!D$26)</f>
        <v>0</v>
      </c>
      <c r="E20" s="133">
        <f>IF(SER_hh_fech!E20=0,0,SER_hh_fech!E20/SER_summary!E$26)</f>
        <v>0</v>
      </c>
      <c r="F20" s="133">
        <f>IF(SER_hh_fech!F20=0,0,SER_hh_fech!F20/SER_summary!F$26)</f>
        <v>0</v>
      </c>
      <c r="G20" s="133">
        <f>IF(SER_hh_fech!G20=0,0,SER_hh_fech!G20/SER_summary!G$26)</f>
        <v>0</v>
      </c>
      <c r="H20" s="133">
        <f>IF(SER_hh_fech!H20=0,0,SER_hh_fech!H20/SER_summary!H$26)</f>
        <v>0</v>
      </c>
      <c r="I20" s="133">
        <f>IF(SER_hh_fech!I20=0,0,SER_hh_fech!I20/SER_summary!I$26)</f>
        <v>0</v>
      </c>
      <c r="J20" s="133">
        <f>IF(SER_hh_fech!J20=0,0,SER_hh_fech!J20/SER_summary!J$26)</f>
        <v>0</v>
      </c>
      <c r="K20" s="133">
        <f>IF(SER_hh_fech!K20=0,0,SER_hh_fech!K20/SER_summary!K$26)</f>
        <v>0</v>
      </c>
      <c r="L20" s="133">
        <f>IF(SER_hh_fech!L20=0,0,SER_hh_fech!L20/SER_summary!L$26)</f>
        <v>0</v>
      </c>
      <c r="M20" s="133">
        <f>IF(SER_hh_fech!M20=0,0,SER_hh_fech!M20/SER_summary!M$26)</f>
        <v>0</v>
      </c>
      <c r="N20" s="133">
        <f>IF(SER_hh_fech!N20=0,0,SER_hh_fech!N20/SER_summary!N$26)</f>
        <v>0</v>
      </c>
      <c r="O20" s="133">
        <f>IF(SER_hh_fech!O20=0,0,SER_hh_fech!O20/SER_summary!O$26)</f>
        <v>0</v>
      </c>
      <c r="P20" s="133">
        <f>IF(SER_hh_fech!P20=0,0,SER_hh_fech!P20/SER_summary!P$26)</f>
        <v>0</v>
      </c>
      <c r="Q20" s="133">
        <f>IF(SER_hh_fech!Q20=0,0,SER_hh_fech!Q20/SER_summary!Q$26)</f>
        <v>0</v>
      </c>
      <c r="R20" s="133">
        <f>IF(SER_hh_fech!R20=0,0,SER_hh_fech!R20/SER_summary!R$26)</f>
        <v>0</v>
      </c>
      <c r="S20" s="133">
        <f>IF(SER_hh_fech!S20=0,0,SER_hh_fech!S20/SER_summary!S$26)</f>
        <v>0</v>
      </c>
      <c r="T20" s="133">
        <f>IF(SER_hh_fech!T20=0,0,SER_hh_fech!T20/SER_summary!T$26)</f>
        <v>0</v>
      </c>
      <c r="U20" s="133">
        <f>IF(SER_hh_fech!U20=0,0,SER_hh_fech!U20/SER_summary!U$26)</f>
        <v>0</v>
      </c>
      <c r="V20" s="133">
        <f>IF(SER_hh_fech!V20=0,0,SER_hh_fech!V20/SER_summary!V$26)</f>
        <v>0</v>
      </c>
      <c r="W20" s="133">
        <f>IF(SER_hh_fech!W20=0,0,SER_hh_fech!W20/SER_summary!W$26)</f>
        <v>0</v>
      </c>
      <c r="DA20" s="157" t="s">
        <v>493</v>
      </c>
    </row>
    <row r="21" spans="1:105" s="2" customFormat="1" ht="12" customHeight="1" x14ac:dyDescent="0.25">
      <c r="A21" s="132" t="s">
        <v>52</v>
      </c>
      <c r="B21" s="133">
        <f>IF(SER_hh_fech!B21=0,0,SER_hh_fech!B21/SER_summary!B$26)</f>
        <v>23.41816981713545</v>
      </c>
      <c r="C21" s="133">
        <f>IF(SER_hh_fech!C21=0,0,SER_hh_fech!C21/SER_summary!C$26)</f>
        <v>23.633672030005076</v>
      </c>
      <c r="D21" s="133">
        <f>IF(SER_hh_fech!D21=0,0,SER_hh_fech!D21/SER_summary!D$26)</f>
        <v>23.702536958916692</v>
      </c>
      <c r="E21" s="133">
        <f>IF(SER_hh_fech!E21=0,0,SER_hh_fech!E21/SER_summary!E$26)</f>
        <v>24.787336450976387</v>
      </c>
      <c r="F21" s="133">
        <f>IF(SER_hh_fech!F21=0,0,SER_hh_fech!F21/SER_summary!F$26)</f>
        <v>27.479349870185438</v>
      </c>
      <c r="G21" s="133">
        <f>IF(SER_hh_fech!G21=0,0,SER_hh_fech!G21/SER_summary!G$26)</f>
        <v>17.537748637543086</v>
      </c>
      <c r="H21" s="133">
        <f>IF(SER_hh_fech!H21=0,0,SER_hh_fech!H21/SER_summary!H$26)</f>
        <v>21.367942053564459</v>
      </c>
      <c r="I21" s="133">
        <f>IF(SER_hh_fech!I21=0,0,SER_hh_fech!I21/SER_summary!I$26)</f>
        <v>23.243609835438146</v>
      </c>
      <c r="J21" s="133">
        <f>IF(SER_hh_fech!J21=0,0,SER_hh_fech!J21/SER_summary!J$26)</f>
        <v>21.03130525094442</v>
      </c>
      <c r="K21" s="133">
        <f>IF(SER_hh_fech!K21=0,0,SER_hh_fech!K21/SER_summary!K$26)</f>
        <v>22.137474736669159</v>
      </c>
      <c r="L21" s="133">
        <f>IF(SER_hh_fech!L21=0,0,SER_hh_fech!L21/SER_summary!L$26)</f>
        <v>20.804820837014518</v>
      </c>
      <c r="M21" s="133">
        <f>IF(SER_hh_fech!M21=0,0,SER_hh_fech!M21/SER_summary!M$26)</f>
        <v>21.691854296796208</v>
      </c>
      <c r="N21" s="133">
        <f>IF(SER_hh_fech!N21=0,0,SER_hh_fech!N21/SER_summary!N$26)</f>
        <v>22.937352700443</v>
      </c>
      <c r="O21" s="133">
        <f>IF(SER_hh_fech!O21=0,0,SER_hh_fech!O21/SER_summary!O$26)</f>
        <v>22.269080509833167</v>
      </c>
      <c r="P21" s="133">
        <f>IF(SER_hh_fech!P21=0,0,SER_hh_fech!P21/SER_summary!P$26)</f>
        <v>20.974341717099982</v>
      </c>
      <c r="Q21" s="133">
        <f>IF(SER_hh_fech!Q21=0,0,SER_hh_fech!Q21/SER_summary!Q$26)</f>
        <v>21.814131758291769</v>
      </c>
      <c r="R21" s="133">
        <f>IF(SER_hh_fech!R21=0,0,SER_hh_fech!R21/SER_summary!R$26)</f>
        <v>21.040472686132418</v>
      </c>
      <c r="S21" s="133">
        <f>IF(SER_hh_fech!S21=0,0,SER_hh_fech!S21/SER_summary!S$26)</f>
        <v>21.066152006977752</v>
      </c>
      <c r="T21" s="133">
        <f>IF(SER_hh_fech!T21=0,0,SER_hh_fech!T21/SER_summary!T$26)</f>
        <v>21.096376478624343</v>
      </c>
      <c r="U21" s="133">
        <f>IF(SER_hh_fech!U21=0,0,SER_hh_fech!U21/SER_summary!U$26)</f>
        <v>20.996991802174652</v>
      </c>
      <c r="V21" s="133">
        <f>IF(SER_hh_fech!V21=0,0,SER_hh_fech!V21/SER_summary!V$26)</f>
        <v>18.439778892452065</v>
      </c>
      <c r="W21" s="133">
        <f>IF(SER_hh_fech!W21=0,0,SER_hh_fech!W21/SER_summary!W$26)</f>
        <v>20.774714217203861</v>
      </c>
      <c r="DA21" s="157" t="s">
        <v>494</v>
      </c>
    </row>
    <row r="22" spans="1:105" ht="12" customHeight="1" x14ac:dyDescent="0.25">
      <c r="A22" s="132" t="s">
        <v>168</v>
      </c>
      <c r="B22" s="133">
        <f>IF(SER_hh_fech!B22=0,0,SER_hh_fech!B22/SER_summary!B$26)</f>
        <v>25.093686182980928</v>
      </c>
      <c r="C22" s="133">
        <f>IF(SER_hh_fech!C22=0,0,SER_hh_fech!C22/SER_summary!C$26)</f>
        <v>24.939759371360022</v>
      </c>
      <c r="D22" s="133">
        <f>IF(SER_hh_fech!D22=0,0,SER_hh_fech!D22/SER_summary!D$26)</f>
        <v>24.894128253060384</v>
      </c>
      <c r="E22" s="133">
        <f>IF(SER_hh_fech!E22=0,0,SER_hh_fech!E22/SER_summary!E$26)</f>
        <v>24.894126576100891</v>
      </c>
      <c r="F22" s="133">
        <f>IF(SER_hh_fech!F22=0,0,SER_hh_fech!F22/SER_summary!F$26)</f>
        <v>24.583600853853302</v>
      </c>
      <c r="G22" s="133">
        <f>IF(SER_hh_fech!G22=0,0,SER_hh_fech!G22/SER_summary!G$26)</f>
        <v>24.220202100786111</v>
      </c>
      <c r="H22" s="133">
        <f>IF(SER_hh_fech!H22=0,0,SER_hh_fech!H22/SER_summary!H$26)</f>
        <v>24.157780939427536</v>
      </c>
      <c r="I22" s="133">
        <f>IF(SER_hh_fech!I22=0,0,SER_hh_fech!I22/SER_summary!I$26)</f>
        <v>24.106305927789716</v>
      </c>
      <c r="J22" s="133">
        <f>IF(SER_hh_fech!J22=0,0,SER_hh_fech!J22/SER_summary!J$26)</f>
        <v>23.461385316597756</v>
      </c>
      <c r="K22" s="133">
        <f>IF(SER_hh_fech!K22=0,0,SER_hh_fech!K22/SER_summary!K$26)</f>
        <v>23.673601770221726</v>
      </c>
      <c r="L22" s="133">
        <f>IF(SER_hh_fech!L22=0,0,SER_hh_fech!L22/SER_summary!L$26)</f>
        <v>23.652632214708191</v>
      </c>
      <c r="M22" s="133">
        <f>IF(SER_hh_fech!M22=0,0,SER_hh_fech!M22/SER_summary!M$26)</f>
        <v>23.836627104025389</v>
      </c>
      <c r="N22" s="133">
        <f>IF(SER_hh_fech!N22=0,0,SER_hh_fech!N22/SER_summary!N$26)</f>
        <v>23.75165639454881</v>
      </c>
      <c r="O22" s="133">
        <f>IF(SER_hh_fech!O22=0,0,SER_hh_fech!O22/SER_summary!O$26)</f>
        <v>23.736245430917563</v>
      </c>
      <c r="P22" s="133">
        <f>IF(SER_hh_fech!P22=0,0,SER_hh_fech!P22/SER_summary!P$26)</f>
        <v>23.854134357728007</v>
      </c>
      <c r="Q22" s="133">
        <f>IF(SER_hh_fech!Q22=0,0,SER_hh_fech!Q22/SER_summary!Q$26)</f>
        <v>23.923261805947547</v>
      </c>
      <c r="R22" s="133">
        <f>IF(SER_hh_fech!R22=0,0,SER_hh_fech!R22/SER_summary!R$26)</f>
        <v>23.434418353637525</v>
      </c>
      <c r="S22" s="133">
        <f>IF(SER_hh_fech!S22=0,0,SER_hh_fech!S22/SER_summary!S$26)</f>
        <v>23.260613346292789</v>
      </c>
      <c r="T22" s="133">
        <f>IF(SER_hh_fech!T22=0,0,SER_hh_fech!T22/SER_summary!T$26)</f>
        <v>22.786137882542761</v>
      </c>
      <c r="U22" s="133">
        <f>IF(SER_hh_fech!U22=0,0,SER_hh_fech!U22/SER_summary!U$26)</f>
        <v>22.280235332295089</v>
      </c>
      <c r="V22" s="133">
        <f>IF(SER_hh_fech!V22=0,0,SER_hh_fech!V22/SER_summary!V$26)</f>
        <v>20.169703507980593</v>
      </c>
      <c r="W22" s="133">
        <f>IF(SER_hh_fech!W22=0,0,SER_hh_fech!W22/SER_summary!W$26)</f>
        <v>21.73688117722871</v>
      </c>
      <c r="DA22" s="157" t="s">
        <v>495</v>
      </c>
    </row>
    <row r="23" spans="1:105" ht="12" customHeight="1" x14ac:dyDescent="0.25">
      <c r="A23" s="132" t="s">
        <v>153</v>
      </c>
      <c r="B23" s="133">
        <f>IF(SER_hh_fech!B23=0,0,SER_hh_fech!B23/SER_summary!B$26)</f>
        <v>24.479922296885022</v>
      </c>
      <c r="C23" s="133">
        <f>IF(SER_hh_fech!C23=0,0,SER_hh_fech!C23/SER_summary!C$26)</f>
        <v>24.437686396464901</v>
      </c>
      <c r="D23" s="133">
        <f>IF(SER_hh_fech!D23=0,0,SER_hh_fech!D23/SER_summary!D$26)</f>
        <v>23.81548258752678</v>
      </c>
      <c r="E23" s="133">
        <f>IF(SER_hh_fech!E23=0,0,SER_hh_fech!E23/SER_summary!E$26)</f>
        <v>23.810153515207151</v>
      </c>
      <c r="F23" s="133">
        <f>IF(SER_hh_fech!F23=0,0,SER_hh_fech!F23/SER_summary!F$26)</f>
        <v>23.235892594088327</v>
      </c>
      <c r="G23" s="133">
        <f>IF(SER_hh_fech!G23=0,0,SER_hh_fech!G23/SER_summary!G$26)</f>
        <v>22.886760515348403</v>
      </c>
      <c r="H23" s="133">
        <f>IF(SER_hh_fech!H23=0,0,SER_hh_fech!H23/SER_summary!H$26)</f>
        <v>22.391417401416994</v>
      </c>
      <c r="I23" s="133">
        <f>IF(SER_hh_fech!I23=0,0,SER_hh_fech!I23/SER_summary!I$26)</f>
        <v>21.917131015343976</v>
      </c>
      <c r="J23" s="133">
        <f>IF(SER_hh_fech!J23=0,0,SER_hh_fech!J23/SER_summary!J$26)</f>
        <v>21.615667348249463</v>
      </c>
      <c r="K23" s="133">
        <f>IF(SER_hh_fech!K23=0,0,SER_hh_fech!K23/SER_summary!K$26)</f>
        <v>21.762790351574242</v>
      </c>
      <c r="L23" s="133">
        <f>IF(SER_hh_fech!L23=0,0,SER_hh_fech!L23/SER_summary!L$26)</f>
        <v>21.416787355638579</v>
      </c>
      <c r="M23" s="133">
        <f>IF(SER_hh_fech!M23=0,0,SER_hh_fech!M23/SER_summary!M$26)</f>
        <v>21.208024292636853</v>
      </c>
      <c r="N23" s="133">
        <f>IF(SER_hh_fech!N23=0,0,SER_hh_fech!N23/SER_summary!N$26)</f>
        <v>21.32112684658766</v>
      </c>
      <c r="O23" s="133">
        <f>IF(SER_hh_fech!O23=0,0,SER_hh_fech!O23/SER_summary!O$26)</f>
        <v>21.262771033790461</v>
      </c>
      <c r="P23" s="133">
        <f>IF(SER_hh_fech!P23=0,0,SER_hh_fech!P23/SER_summary!P$26)</f>
        <v>21.242036434178988</v>
      </c>
      <c r="Q23" s="133">
        <f>IF(SER_hh_fech!Q23=0,0,SER_hh_fech!Q23/SER_summary!Q$26)</f>
        <v>21.108029099538179</v>
      </c>
      <c r="R23" s="133">
        <f>IF(SER_hh_fech!R23=0,0,SER_hh_fech!R23/SER_summary!R$26)</f>
        <v>20.74740322527563</v>
      </c>
      <c r="S23" s="133">
        <f>IF(SER_hh_fech!S23=0,0,SER_hh_fech!S23/SER_summary!S$26)</f>
        <v>20.478819058079054</v>
      </c>
      <c r="T23" s="133">
        <f>IF(SER_hh_fech!T23=0,0,SER_hh_fech!T23/SER_summary!T$26)</f>
        <v>19.957764369504567</v>
      </c>
      <c r="U23" s="133">
        <f>IF(SER_hh_fech!U23=0,0,SER_hh_fech!U23/SER_summary!U$26)</f>
        <v>19.461798105413934</v>
      </c>
      <c r="V23" s="133">
        <f>IF(SER_hh_fech!V23=0,0,SER_hh_fech!V23/SER_summary!V$26)</f>
        <v>18.300646082755691</v>
      </c>
      <c r="W23" s="133">
        <f>IF(SER_hh_fech!W23=0,0,SER_hh_fech!W23/SER_summary!W$26)</f>
        <v>18.944298002749935</v>
      </c>
      <c r="DA23" s="157" t="s">
        <v>496</v>
      </c>
    </row>
    <row r="24" spans="1:105" ht="12" customHeight="1" x14ac:dyDescent="0.25">
      <c r="A24" s="132" t="s">
        <v>128</v>
      </c>
      <c r="B24" s="133">
        <f>IF(SER_hh_fech!B24=0,0,SER_hh_fech!B24/SER_summary!B$26)</f>
        <v>0</v>
      </c>
      <c r="C24" s="133">
        <f>IF(SER_hh_fech!C24=0,0,SER_hh_fech!C24/SER_summary!C$26)</f>
        <v>0</v>
      </c>
      <c r="D24" s="133">
        <f>IF(SER_hh_fech!D24=0,0,SER_hh_fech!D24/SER_summary!D$26)</f>
        <v>0</v>
      </c>
      <c r="E24" s="133">
        <f>IF(SER_hh_fech!E24=0,0,SER_hh_fech!E24/SER_summary!E$26)</f>
        <v>0</v>
      </c>
      <c r="F24" s="133">
        <f>IF(SER_hh_fech!F24=0,0,SER_hh_fech!F24/SER_summary!F$26)</f>
        <v>0</v>
      </c>
      <c r="G24" s="133">
        <f>IF(SER_hh_fech!G24=0,0,SER_hh_fech!G24/SER_summary!G$26)</f>
        <v>0</v>
      </c>
      <c r="H24" s="133">
        <f>IF(SER_hh_fech!H24=0,0,SER_hh_fech!H24/SER_summary!H$26)</f>
        <v>0</v>
      </c>
      <c r="I24" s="133">
        <f>IF(SER_hh_fech!I24=0,0,SER_hh_fech!I24/SER_summary!I$26)</f>
        <v>0</v>
      </c>
      <c r="J24" s="133">
        <f>IF(SER_hh_fech!J24=0,0,SER_hh_fech!J24/SER_summary!J$26)</f>
        <v>0</v>
      </c>
      <c r="K24" s="133">
        <f>IF(SER_hh_fech!K24=0,0,SER_hh_fech!K24/SER_summary!K$26)</f>
        <v>0</v>
      </c>
      <c r="L24" s="133">
        <f>IF(SER_hh_fech!L24=0,0,SER_hh_fech!L24/SER_summary!L$26)</f>
        <v>0</v>
      </c>
      <c r="M24" s="133">
        <f>IF(SER_hh_fech!M24=0,0,SER_hh_fech!M24/SER_summary!M$26)</f>
        <v>0</v>
      </c>
      <c r="N24" s="133">
        <f>IF(SER_hh_fech!N24=0,0,SER_hh_fech!N24/SER_summary!N$26)</f>
        <v>0</v>
      </c>
      <c r="O24" s="133">
        <f>IF(SER_hh_fech!O24=0,0,SER_hh_fech!O24/SER_summary!O$26)</f>
        <v>0</v>
      </c>
      <c r="P24" s="133">
        <f>IF(SER_hh_fech!P24=0,0,SER_hh_fech!P24/SER_summary!P$26)</f>
        <v>0</v>
      </c>
      <c r="Q24" s="133">
        <f>IF(SER_hh_fech!Q24=0,0,SER_hh_fech!Q24/SER_summary!Q$26)</f>
        <v>0</v>
      </c>
      <c r="R24" s="133">
        <f>IF(SER_hh_fech!R24=0,0,SER_hh_fech!R24/SER_summary!R$26)</f>
        <v>0</v>
      </c>
      <c r="S24" s="133">
        <f>IF(SER_hh_fech!S24=0,0,SER_hh_fech!S24/SER_summary!S$26)</f>
        <v>0</v>
      </c>
      <c r="T24" s="133">
        <f>IF(SER_hh_fech!T24=0,0,SER_hh_fech!T24/SER_summary!T$26)</f>
        <v>0</v>
      </c>
      <c r="U24" s="133">
        <f>IF(SER_hh_fech!U24=0,0,SER_hh_fech!U24/SER_summary!U$26)</f>
        <v>0</v>
      </c>
      <c r="V24" s="133">
        <f>IF(SER_hh_fech!V24=0,0,SER_hh_fech!V24/SER_summary!V$26)</f>
        <v>0</v>
      </c>
      <c r="W24" s="133">
        <f>IF(SER_hh_fech!W24=0,0,SER_hh_fech!W24/SER_summary!W$26)</f>
        <v>0</v>
      </c>
      <c r="DA24" s="157" t="s">
        <v>497</v>
      </c>
    </row>
    <row r="25" spans="1:105" ht="12" customHeight="1" x14ac:dyDescent="0.25">
      <c r="A25" s="132" t="s">
        <v>169</v>
      </c>
      <c r="B25" s="133">
        <f>IF(SER_hh_fech!B25=0,0,SER_hh_fech!B25/SER_summary!B$26)</f>
        <v>16.420445338782724</v>
      </c>
      <c r="C25" s="133">
        <f>IF(SER_hh_fech!C25=0,0,SER_hh_fech!C25/SER_summary!C$26)</f>
        <v>16.248085762322816</v>
      </c>
      <c r="D25" s="133">
        <f>IF(SER_hh_fech!D25=0,0,SER_hh_fech!D25/SER_summary!D$26)</f>
        <v>16.314309794639122</v>
      </c>
      <c r="E25" s="133">
        <f>IF(SER_hh_fech!E25=0,0,SER_hh_fech!E25/SER_summary!E$26)</f>
        <v>16.157990222854583</v>
      </c>
      <c r="F25" s="133">
        <f>IF(SER_hh_fech!F25=0,0,SER_hh_fech!F25/SER_summary!F$26)</f>
        <v>16.042343046160447</v>
      </c>
      <c r="G25" s="133">
        <f>IF(SER_hh_fech!G25=0,0,SER_hh_fech!G25/SER_summary!G$26)</f>
        <v>15.953634182939323</v>
      </c>
      <c r="H25" s="133">
        <f>IF(SER_hh_fech!H25=0,0,SER_hh_fech!H25/SER_summary!H$26)</f>
        <v>15.83934903894292</v>
      </c>
      <c r="I25" s="133">
        <f>IF(SER_hh_fech!I25=0,0,SER_hh_fech!I25/SER_summary!I$26)</f>
        <v>15.584089617716826</v>
      </c>
      <c r="J25" s="133">
        <f>IF(SER_hh_fech!J25=0,0,SER_hh_fech!J25/SER_summary!J$26)</f>
        <v>15.565617963496107</v>
      </c>
      <c r="K25" s="133">
        <f>IF(SER_hh_fech!K25=0,0,SER_hh_fech!K25/SER_summary!K$26)</f>
        <v>15.676253440644526</v>
      </c>
      <c r="L25" s="133">
        <f>IF(SER_hh_fech!L25=0,0,SER_hh_fech!L25/SER_summary!L$26)</f>
        <v>15.691299851116817</v>
      </c>
      <c r="M25" s="133">
        <f>IF(SER_hh_fech!M25=0,0,SER_hh_fech!M25/SER_summary!M$26)</f>
        <v>15.670860116379338</v>
      </c>
      <c r="N25" s="133">
        <f>IF(SER_hh_fech!N25=0,0,SER_hh_fech!N25/SER_summary!N$26)</f>
        <v>15.72540164700805</v>
      </c>
      <c r="O25" s="133">
        <f>IF(SER_hh_fech!O25=0,0,SER_hh_fech!O25/SER_summary!O$26)</f>
        <v>15.744353141780568</v>
      </c>
      <c r="P25" s="133">
        <f>IF(SER_hh_fech!P25=0,0,SER_hh_fech!P25/SER_summary!P$26)</f>
        <v>16.124262349569609</v>
      </c>
      <c r="Q25" s="133">
        <f>IF(SER_hh_fech!Q25=0,0,SER_hh_fech!Q25/SER_summary!Q$26)</f>
        <v>16.439994434852959</v>
      </c>
      <c r="R25" s="133">
        <f>IF(SER_hh_fech!R25=0,0,SER_hh_fech!R25/SER_summary!R$26)</f>
        <v>16.39206950640439</v>
      </c>
      <c r="S25" s="133">
        <f>IF(SER_hh_fech!S25=0,0,SER_hh_fech!S25/SER_summary!S$26)</f>
        <v>16.253969313234755</v>
      </c>
      <c r="T25" s="133">
        <f>IF(SER_hh_fech!T25=0,0,SER_hh_fech!T25/SER_summary!T$26)</f>
        <v>16.117533894074388</v>
      </c>
      <c r="U25" s="133">
        <f>IF(SER_hh_fech!U25=0,0,SER_hh_fech!U25/SER_summary!U$26)</f>
        <v>16.038599145655486</v>
      </c>
      <c r="V25" s="133">
        <f>IF(SER_hh_fech!V25=0,0,SER_hh_fech!V25/SER_summary!V$26)</f>
        <v>15.369469050441765</v>
      </c>
      <c r="W25" s="133">
        <f>IF(SER_hh_fech!W25=0,0,SER_hh_fech!W25/SER_summary!W$26)</f>
        <v>15.952540786155843</v>
      </c>
      <c r="DA25" s="157" t="s">
        <v>498</v>
      </c>
    </row>
    <row r="26" spans="1:105" ht="12" customHeight="1" x14ac:dyDescent="0.25">
      <c r="A26" s="132" t="s">
        <v>24</v>
      </c>
      <c r="B26" s="65">
        <f>IF(SER_hh_fech!B26=0,0,SER_hh_fech!B26/SER_summary!B$26)</f>
        <v>19.446032984807179</v>
      </c>
      <c r="C26" s="65">
        <f>IF(SER_hh_fech!C26=0,0,SER_hh_fech!C26/SER_summary!C$26)</f>
        <v>19.282280811403776</v>
      </c>
      <c r="D26" s="65">
        <f>IF(SER_hh_fech!D26=0,0,SER_hh_fech!D26/SER_summary!D$26)</f>
        <v>19.975609840258631</v>
      </c>
      <c r="E26" s="65">
        <f>IF(SER_hh_fech!E26=0,0,SER_hh_fech!E26/SER_summary!E$26)</f>
        <v>19.755719613584425</v>
      </c>
      <c r="F26" s="65">
        <f>IF(SER_hh_fech!F26=0,0,SER_hh_fech!F26/SER_summary!F$26)</f>
        <v>18.843875792604187</v>
      </c>
      <c r="G26" s="65">
        <f>IF(SER_hh_fech!G26=0,0,SER_hh_fech!G26/SER_summary!G$26)</f>
        <v>18.899892492399669</v>
      </c>
      <c r="H26" s="65">
        <f>IF(SER_hh_fech!H26=0,0,SER_hh_fech!H26/SER_summary!H$26)</f>
        <v>18.973240624762582</v>
      </c>
      <c r="I26" s="65">
        <f>IF(SER_hh_fech!I26=0,0,SER_hh_fech!I26/SER_summary!I$26)</f>
        <v>18.48930232532873</v>
      </c>
      <c r="J26" s="65">
        <f>IF(SER_hh_fech!J26=0,0,SER_hh_fech!J26/SER_summary!J$26)</f>
        <v>18.723742879305814</v>
      </c>
      <c r="K26" s="65">
        <f>IF(SER_hh_fech!K26=0,0,SER_hh_fech!K26/SER_summary!K$26)</f>
        <v>18.840487009313726</v>
      </c>
      <c r="L26" s="65">
        <f>IF(SER_hh_fech!L26=0,0,SER_hh_fech!L26/SER_summary!L$26)</f>
        <v>18.723920729250597</v>
      </c>
      <c r="M26" s="65">
        <f>IF(SER_hh_fech!M26=0,0,SER_hh_fech!M26/SER_summary!M$26)</f>
        <v>18.662482477863179</v>
      </c>
      <c r="N26" s="65">
        <f>IF(SER_hh_fech!N26=0,0,SER_hh_fech!N26/SER_summary!N$26)</f>
        <v>18.747982909298678</v>
      </c>
      <c r="O26" s="65">
        <f>IF(SER_hh_fech!O26=0,0,SER_hh_fech!O26/SER_summary!O$26)</f>
        <v>19.06395492185619</v>
      </c>
      <c r="P26" s="65">
        <f>IF(SER_hh_fech!P26=0,0,SER_hh_fech!P26/SER_summary!P$26)</f>
        <v>19.041741361137426</v>
      </c>
      <c r="Q26" s="65">
        <f>IF(SER_hh_fech!Q26=0,0,SER_hh_fech!Q26/SER_summary!Q$26)</f>
        <v>18.818490490932934</v>
      </c>
      <c r="R26" s="65">
        <f>IF(SER_hh_fech!R26=0,0,SER_hh_fech!R26/SER_summary!R$26)</f>
        <v>18.619818303331886</v>
      </c>
      <c r="S26" s="65">
        <f>IF(SER_hh_fech!S26=0,0,SER_hh_fech!S26/SER_summary!S$26)</f>
        <v>18.377480822515555</v>
      </c>
      <c r="T26" s="65">
        <f>IF(SER_hh_fech!T26=0,0,SER_hh_fech!T26/SER_summary!T$26)</f>
        <v>18.050881962109557</v>
      </c>
      <c r="U26" s="65">
        <f>IF(SER_hh_fech!U26=0,0,SER_hh_fech!U26/SER_summary!U$26)</f>
        <v>17.82124316383393</v>
      </c>
      <c r="V26" s="65">
        <f>IF(SER_hh_fech!V26=0,0,SER_hh_fech!V26/SER_summary!V$26)</f>
        <v>16.715748382703321</v>
      </c>
      <c r="W26" s="65">
        <f>IF(SER_hh_fech!W26=0,0,SER_hh_fech!W26/SER_summary!W$26)</f>
        <v>17.241628341212422</v>
      </c>
      <c r="DA26" s="109" t="s">
        <v>499</v>
      </c>
    </row>
    <row r="27" spans="1:105" ht="12" customHeight="1" x14ac:dyDescent="0.25">
      <c r="A27" s="145" t="s">
        <v>86</v>
      </c>
      <c r="B27" s="146">
        <f>IF(SER_hh_fech!B27=0,0,SER_hh_fech!B27/SER_summary!B$26)</f>
        <v>3.6482650754140429E-2</v>
      </c>
      <c r="C27" s="146">
        <f>IF(SER_hh_fech!C27=0,0,SER_hh_fech!C27/SER_summary!C$26)</f>
        <v>1.0970280166434481E-2</v>
      </c>
      <c r="D27" s="146">
        <f>IF(SER_hh_fech!D27=0,0,SER_hh_fech!D27/SER_summary!D$26)</f>
        <v>1.1968937222428028E-2</v>
      </c>
      <c r="E27" s="146">
        <f>IF(SER_hh_fech!E27=0,0,SER_hh_fech!E27/SER_summary!E$26)</f>
        <v>1.775420187861175E-2</v>
      </c>
      <c r="F27" s="146">
        <f>IF(SER_hh_fech!F27=0,0,SER_hh_fech!F27/SER_summary!F$26)</f>
        <v>1.8768627324355403E-2</v>
      </c>
      <c r="G27" s="146">
        <f>IF(SER_hh_fech!G27=0,0,SER_hh_fech!G27/SER_summary!G$26)</f>
        <v>1.8442578717317984E-2</v>
      </c>
      <c r="H27" s="146">
        <f>IF(SER_hh_fech!H27=0,0,SER_hh_fech!H27/SER_summary!H$26)</f>
        <v>2.2211202143624549E-2</v>
      </c>
      <c r="I27" s="146">
        <f>IF(SER_hh_fech!I27=0,0,SER_hh_fech!I27/SER_summary!I$26)</f>
        <v>3.117940336845107E-2</v>
      </c>
      <c r="J27" s="146">
        <f>IF(SER_hh_fech!J27=0,0,SER_hh_fech!J27/SER_summary!J$26)</f>
        <v>4.1395554069392042E-2</v>
      </c>
      <c r="K27" s="146">
        <f>IF(SER_hh_fech!K27=0,0,SER_hh_fech!K27/SER_summary!K$26)</f>
        <v>8.5999315430604198E-2</v>
      </c>
      <c r="L27" s="146">
        <f>IF(SER_hh_fech!L27=0,0,SER_hh_fech!L27/SER_summary!L$26)</f>
        <v>4.3705245365190333E-2</v>
      </c>
      <c r="M27" s="146">
        <f>IF(SER_hh_fech!M27=0,0,SER_hh_fech!M27/SER_summary!M$26)</f>
        <v>4.6132676207093423E-2</v>
      </c>
      <c r="N27" s="146">
        <f>IF(SER_hh_fech!N27=0,0,SER_hh_fech!N27/SER_summary!N$26)</f>
        <v>4.5652948821925686E-2</v>
      </c>
      <c r="O27" s="146">
        <f>IF(SER_hh_fech!O27=0,0,SER_hh_fech!O27/SER_summary!O$26)</f>
        <v>4.8213753443768027E-2</v>
      </c>
      <c r="P27" s="146">
        <f>IF(SER_hh_fech!P27=0,0,SER_hh_fech!P27/SER_summary!P$26)</f>
        <v>5.3728789930733073E-2</v>
      </c>
      <c r="Q27" s="146">
        <f>IF(SER_hh_fech!Q27=0,0,SER_hh_fech!Q27/SER_summary!Q$26)</f>
        <v>5.7979342486474801E-2</v>
      </c>
      <c r="R27" s="146">
        <f>IF(SER_hh_fech!R27=0,0,SER_hh_fech!R27/SER_summary!R$26)</f>
        <v>7.1053488883362159E-2</v>
      </c>
      <c r="S27" s="146">
        <f>IF(SER_hh_fech!S27=0,0,SER_hh_fech!S27/SER_summary!S$26)</f>
        <v>7.2395678094288485E-2</v>
      </c>
      <c r="T27" s="146">
        <f>IF(SER_hh_fech!T27=0,0,SER_hh_fech!T27/SER_summary!T$26)</f>
        <v>7.999195473705821E-2</v>
      </c>
      <c r="U27" s="146">
        <f>IF(SER_hh_fech!U27=0,0,SER_hh_fech!U27/SER_summary!U$26)</f>
        <v>7.6944368008449185E-2</v>
      </c>
      <c r="V27" s="146">
        <f>IF(SER_hh_fech!V27=0,0,SER_hh_fech!V27/SER_summary!V$26)</f>
        <v>8.0759085463686348E-2</v>
      </c>
      <c r="W27" s="146">
        <f>IF(SER_hh_fech!W27=0,0,SER_hh_fech!W27/SER_summary!W$26)</f>
        <v>7.3342871704930063E-2</v>
      </c>
      <c r="DA27" s="159" t="s">
        <v>500</v>
      </c>
    </row>
    <row r="28" spans="1:105" ht="12" customHeight="1" x14ac:dyDescent="0.25">
      <c r="A28" s="78" t="s">
        <v>85</v>
      </c>
      <c r="B28" s="147">
        <f>IF(SER_hh_fech!B28=0,0,SER_hh_fech!B28/SER_summary!B$26)</f>
        <v>7.932982209630989</v>
      </c>
      <c r="C28" s="147">
        <f>IF(SER_hh_fech!C28=0,0,SER_hh_fech!C28/SER_summary!C$26)</f>
        <v>8.0735946805482364</v>
      </c>
      <c r="D28" s="147">
        <f>IF(SER_hh_fech!D28=0,0,SER_hh_fech!D28/SER_summary!D$26)</f>
        <v>7.9489169870156644</v>
      </c>
      <c r="E28" s="147">
        <f>IF(SER_hh_fech!E28=0,0,SER_hh_fech!E28/SER_summary!E$26)</f>
        <v>7.8882051224829723</v>
      </c>
      <c r="F28" s="147">
        <f>IF(SER_hh_fech!F28=0,0,SER_hh_fech!F28/SER_summary!F$26)</f>
        <v>8.1462904370806228</v>
      </c>
      <c r="G28" s="147">
        <f>IF(SER_hh_fech!G28=0,0,SER_hh_fech!G28/SER_summary!G$26)</f>
        <v>7.9270588445335441</v>
      </c>
      <c r="H28" s="147">
        <f>IF(SER_hh_fech!H28=0,0,SER_hh_fech!H28/SER_summary!H$26)</f>
        <v>7.8486669438000751</v>
      </c>
      <c r="I28" s="147">
        <f>IF(SER_hh_fech!I28=0,0,SER_hh_fech!I28/SER_summary!I$26)</f>
        <v>7.4711253905495143</v>
      </c>
      <c r="J28" s="147">
        <f>IF(SER_hh_fech!J28=0,0,SER_hh_fech!J28/SER_summary!J$26)</f>
        <v>8.1202634564748646</v>
      </c>
      <c r="K28" s="147">
        <f>IF(SER_hh_fech!K28=0,0,SER_hh_fech!K28/SER_summary!K$26)</f>
        <v>8.1264027683134081</v>
      </c>
      <c r="L28" s="147">
        <f>IF(SER_hh_fech!L28=0,0,SER_hh_fech!L28/SER_summary!L$26)</f>
        <v>8.0796097722436819</v>
      </c>
      <c r="M28" s="147">
        <f>IF(SER_hh_fech!M28=0,0,SER_hh_fech!M28/SER_summary!M$26)</f>
        <v>8.3017755348679252</v>
      </c>
      <c r="N28" s="147">
        <f>IF(SER_hh_fech!N28=0,0,SER_hh_fech!N28/SER_summary!N$26)</f>
        <v>8.3305711238882694</v>
      </c>
      <c r="O28" s="147">
        <f>IF(SER_hh_fech!O28=0,0,SER_hh_fech!O28/SER_summary!O$26)</f>
        <v>9.4004178299961403</v>
      </c>
      <c r="P28" s="147">
        <f>IF(SER_hh_fech!P28=0,0,SER_hh_fech!P28/SER_summary!P$26)</f>
        <v>9.7378617471844322</v>
      </c>
      <c r="Q28" s="147">
        <f>IF(SER_hh_fech!Q28=0,0,SER_hh_fech!Q28/SER_summary!Q$26)</f>
        <v>9.4113658409997552</v>
      </c>
      <c r="R28" s="147">
        <f>IF(SER_hh_fech!R28=0,0,SER_hh_fech!R28/SER_summary!R$26)</f>
        <v>8.3385968238055685</v>
      </c>
      <c r="S28" s="147">
        <f>IF(SER_hh_fech!S28=0,0,SER_hh_fech!S28/SER_summary!S$26)</f>
        <v>8.0708161898080579</v>
      </c>
      <c r="T28" s="147">
        <f>IF(SER_hh_fech!T28=0,0,SER_hh_fech!T28/SER_summary!T$26)</f>
        <v>8.4398039273538963</v>
      </c>
      <c r="U28" s="147">
        <f>IF(SER_hh_fech!U28=0,0,SER_hh_fech!U28/SER_summary!U$26)</f>
        <v>8.3277134145761416</v>
      </c>
      <c r="V28" s="147">
        <f>IF(SER_hh_fech!V28=0,0,SER_hh_fech!V28/SER_summary!V$26)</f>
        <v>8.7120140367536223</v>
      </c>
      <c r="W28" s="147">
        <f>IF(SER_hh_fech!W28=0,0,SER_hh_fech!W28/SER_summary!W$26)</f>
        <v>8.8608334757228349</v>
      </c>
      <c r="DA28" s="160"/>
    </row>
    <row r="29" spans="1:105" ht="12.95" customHeight="1" x14ac:dyDescent="0.25">
      <c r="A29" s="130" t="s">
        <v>34</v>
      </c>
      <c r="B29" s="131">
        <f>IF(SER_hh_fech!B29=0,0,SER_hh_fech!B29/SER_summary!B$26)</f>
        <v>16.66872790972057</v>
      </c>
      <c r="C29" s="131">
        <f>IF(SER_hh_fech!C29=0,0,SER_hh_fech!C29/SER_summary!C$26)</f>
        <v>16.91397283336072</v>
      </c>
      <c r="D29" s="131">
        <f>IF(SER_hh_fech!D29=0,0,SER_hh_fech!D29/SER_summary!D$26)</f>
        <v>16.504421955586611</v>
      </c>
      <c r="E29" s="131">
        <f>IF(SER_hh_fech!E29=0,0,SER_hh_fech!E29/SER_summary!E$26)</f>
        <v>16.00025161211218</v>
      </c>
      <c r="F29" s="131">
        <f>IF(SER_hh_fech!F29=0,0,SER_hh_fech!F29/SER_summary!F$26)</f>
        <v>16.242584894257622</v>
      </c>
      <c r="G29" s="131">
        <f>IF(SER_hh_fech!G29=0,0,SER_hh_fech!G29/SER_summary!G$26)</f>
        <v>15.893047165277878</v>
      </c>
      <c r="H29" s="131">
        <f>IF(SER_hh_fech!H29=0,0,SER_hh_fech!H29/SER_summary!H$26)</f>
        <v>15.758851088515241</v>
      </c>
      <c r="I29" s="131">
        <f>IF(SER_hh_fech!I29=0,0,SER_hh_fech!I29/SER_summary!I$26)</f>
        <v>15.952724335378694</v>
      </c>
      <c r="J29" s="131">
        <f>IF(SER_hh_fech!J29=0,0,SER_hh_fech!J29/SER_summary!J$26)</f>
        <v>16.080249656550357</v>
      </c>
      <c r="K29" s="131">
        <f>IF(SER_hh_fech!K29=0,0,SER_hh_fech!K29/SER_summary!K$26)</f>
        <v>16.361945823225998</v>
      </c>
      <c r="L29" s="131">
        <f>IF(SER_hh_fech!L29=0,0,SER_hh_fech!L29/SER_summary!L$26)</f>
        <v>16.37295964178487</v>
      </c>
      <c r="M29" s="131">
        <f>IF(SER_hh_fech!M29=0,0,SER_hh_fech!M29/SER_summary!M$26)</f>
        <v>16.211516678604191</v>
      </c>
      <c r="N29" s="131">
        <f>IF(SER_hh_fech!N29=0,0,SER_hh_fech!N29/SER_summary!N$26)</f>
        <v>16.512088541890872</v>
      </c>
      <c r="O29" s="131">
        <f>IF(SER_hh_fech!O29=0,0,SER_hh_fech!O29/SER_summary!O$26)</f>
        <v>16.640243955807097</v>
      </c>
      <c r="P29" s="131">
        <f>IF(SER_hh_fech!P29=0,0,SER_hh_fech!P29/SER_summary!P$26)</f>
        <v>16.607826197241547</v>
      </c>
      <c r="Q29" s="131">
        <f>IF(SER_hh_fech!Q29=0,0,SER_hh_fech!Q29/SER_summary!Q$26)</f>
        <v>16.901924856139267</v>
      </c>
      <c r="R29" s="131">
        <f>IF(SER_hh_fech!R29=0,0,SER_hh_fech!R29/SER_summary!R$26)</f>
        <v>16.677907363009652</v>
      </c>
      <c r="S29" s="131">
        <f>IF(SER_hh_fech!S29=0,0,SER_hh_fech!S29/SER_summary!S$26)</f>
        <v>16.623312592362776</v>
      </c>
      <c r="T29" s="131">
        <f>IF(SER_hh_fech!T29=0,0,SER_hh_fech!T29/SER_summary!T$26)</f>
        <v>16.508359546278545</v>
      </c>
      <c r="U29" s="131">
        <f>IF(SER_hh_fech!U29=0,0,SER_hh_fech!U29/SER_summary!U$26)</f>
        <v>16.443064732174669</v>
      </c>
      <c r="V29" s="131">
        <f>IF(SER_hh_fech!V29=0,0,SER_hh_fech!V29/SER_summary!V$26)</f>
        <v>15.698020215277127</v>
      </c>
      <c r="W29" s="131">
        <f>IF(SER_hh_fech!W29=0,0,SER_hh_fech!W29/SER_summary!W$26)</f>
        <v>16.441379102111906</v>
      </c>
      <c r="DA29" s="156" t="s">
        <v>501</v>
      </c>
    </row>
    <row r="30" spans="1:105" ht="12" customHeight="1" x14ac:dyDescent="0.25">
      <c r="A30" s="132" t="s">
        <v>52</v>
      </c>
      <c r="B30" s="133">
        <f>IF(SER_hh_fech!B30=0,0,SER_hh_fech!B30/SER_summary!B$26)</f>
        <v>17.79799021160591</v>
      </c>
      <c r="C30" s="133">
        <f>IF(SER_hh_fech!C30=0,0,SER_hh_fech!C30/SER_summary!C$26)</f>
        <v>18.897842088783495</v>
      </c>
      <c r="D30" s="133">
        <f>IF(SER_hh_fech!D30=0,0,SER_hh_fech!D30/SER_summary!D$26)</f>
        <v>17.361533160401084</v>
      </c>
      <c r="E30" s="133">
        <f>IF(SER_hh_fech!E30=0,0,SER_hh_fech!E30/SER_summary!E$26)</f>
        <v>16.602628155220909</v>
      </c>
      <c r="F30" s="133">
        <f>IF(SER_hh_fech!F30=0,0,SER_hh_fech!F30/SER_summary!F$26)</f>
        <v>22.880693226172571</v>
      </c>
      <c r="G30" s="133">
        <f>IF(SER_hh_fech!G30=0,0,SER_hh_fech!G30/SER_summary!G$26)</f>
        <v>8.7554166549544785</v>
      </c>
      <c r="H30" s="133">
        <f>IF(SER_hh_fech!H30=0,0,SER_hh_fech!H30/SER_summary!H$26)</f>
        <v>12.487724007373812</v>
      </c>
      <c r="I30" s="133">
        <f>IF(SER_hh_fech!I30=0,0,SER_hh_fech!I30/SER_summary!I$26)</f>
        <v>16.452762556214662</v>
      </c>
      <c r="J30" s="133">
        <f>IF(SER_hh_fech!J30=0,0,SER_hh_fech!J30/SER_summary!J$26)</f>
        <v>19.199143864286242</v>
      </c>
      <c r="K30" s="133">
        <f>IF(SER_hh_fech!K30=0,0,SER_hh_fech!K30/SER_summary!K$26)</f>
        <v>18.529745360027594</v>
      </c>
      <c r="L30" s="133">
        <f>IF(SER_hh_fech!L30=0,0,SER_hh_fech!L30/SER_summary!L$26)</f>
        <v>22.114077034868554</v>
      </c>
      <c r="M30" s="133">
        <f>IF(SER_hh_fech!M30=0,0,SER_hh_fech!M30/SER_summary!M$26)</f>
        <v>16.665110425786107</v>
      </c>
      <c r="N30" s="133">
        <f>IF(SER_hh_fech!N30=0,0,SER_hh_fech!N30/SER_summary!N$26)</f>
        <v>18.560297352409943</v>
      </c>
      <c r="O30" s="133">
        <f>IF(SER_hh_fech!O30=0,0,SER_hh_fech!O30/SER_summary!O$26)</f>
        <v>19.9191869391503</v>
      </c>
      <c r="P30" s="133">
        <f>IF(SER_hh_fech!P30=0,0,SER_hh_fech!P30/SER_summary!P$26)</f>
        <v>15.167638296424142</v>
      </c>
      <c r="Q30" s="133">
        <f>IF(SER_hh_fech!Q30=0,0,SER_hh_fech!Q30/SER_summary!Q$26)</f>
        <v>23.531860839519446</v>
      </c>
      <c r="R30" s="133">
        <f>IF(SER_hh_fech!R30=0,0,SER_hh_fech!R30/SER_summary!R$26)</f>
        <v>17.656989831279191</v>
      </c>
      <c r="S30" s="133">
        <f>IF(SER_hh_fech!S30=0,0,SER_hh_fech!S30/SER_summary!S$26)</f>
        <v>19.647992589729498</v>
      </c>
      <c r="T30" s="133">
        <f>IF(SER_hh_fech!T30=0,0,SER_hh_fech!T30/SER_summary!T$26)</f>
        <v>18.347803214583113</v>
      </c>
      <c r="U30" s="133">
        <f>IF(SER_hh_fech!U30=0,0,SER_hh_fech!U30/SER_summary!U$26)</f>
        <v>18.026585215317478</v>
      </c>
      <c r="V30" s="133">
        <f>IF(SER_hh_fech!V30=0,0,SER_hh_fech!V30/SER_summary!V$26)</f>
        <v>19.18952763268349</v>
      </c>
      <c r="W30" s="133">
        <f>IF(SER_hh_fech!W30=0,0,SER_hh_fech!W30/SER_summary!W$26)</f>
        <v>19.342854399964228</v>
      </c>
      <c r="DA30" s="157" t="s">
        <v>502</v>
      </c>
    </row>
    <row r="31" spans="1:105" ht="12" customHeight="1" x14ac:dyDescent="0.25">
      <c r="A31" s="132" t="s">
        <v>153</v>
      </c>
      <c r="B31" s="133">
        <f>IF(SER_hh_fech!B31=0,0,SER_hh_fech!B31/SER_summary!B$26)</f>
        <v>17.667409030897183</v>
      </c>
      <c r="C31" s="133">
        <f>IF(SER_hh_fech!C31=0,0,SER_hh_fech!C31/SER_summary!C$26)</f>
        <v>17.575934019199693</v>
      </c>
      <c r="D31" s="133">
        <f>IF(SER_hh_fech!D31=0,0,SER_hh_fech!D31/SER_summary!D$26)</f>
        <v>17.627170658389968</v>
      </c>
      <c r="E31" s="133">
        <f>IF(SER_hh_fech!E31=0,0,SER_hh_fech!E31/SER_summary!E$26)</f>
        <v>17.703958873984465</v>
      </c>
      <c r="F31" s="133">
        <f>IF(SER_hh_fech!F31=0,0,SER_hh_fech!F31/SER_summary!F$26)</f>
        <v>17.787810322714822</v>
      </c>
      <c r="G31" s="133">
        <f>IF(SER_hh_fech!G31=0,0,SER_hh_fech!G31/SER_summary!G$26)</f>
        <v>18.009438657268781</v>
      </c>
      <c r="H31" s="133">
        <f>IF(SER_hh_fech!H31=0,0,SER_hh_fech!H31/SER_summary!H$26)</f>
        <v>18.019113130001667</v>
      </c>
      <c r="I31" s="133">
        <f>IF(SER_hh_fech!I31=0,0,SER_hh_fech!I31/SER_summary!I$26)</f>
        <v>18.190130701330816</v>
      </c>
      <c r="J31" s="133">
        <f>IF(SER_hh_fech!J31=0,0,SER_hh_fech!J31/SER_summary!J$26)</f>
        <v>18.461197459328456</v>
      </c>
      <c r="K31" s="133">
        <f>IF(SER_hh_fech!K31=0,0,SER_hh_fech!K31/SER_summary!K$26)</f>
        <v>18.546152061889607</v>
      </c>
      <c r="L31" s="133">
        <f>IF(SER_hh_fech!L31=0,0,SER_hh_fech!L31/SER_summary!L$26)</f>
        <v>18.593176313860486</v>
      </c>
      <c r="M31" s="133">
        <f>IF(SER_hh_fech!M31=0,0,SER_hh_fech!M31/SER_summary!M$26)</f>
        <v>18.688190057226041</v>
      </c>
      <c r="N31" s="133">
        <f>IF(SER_hh_fech!N31=0,0,SER_hh_fech!N31/SER_summary!N$26)</f>
        <v>18.990048958715224</v>
      </c>
      <c r="O31" s="133">
        <f>IF(SER_hh_fech!O31=0,0,SER_hh_fech!O31/SER_summary!O$26)</f>
        <v>19.066197380447981</v>
      </c>
      <c r="P31" s="133">
        <f>IF(SER_hh_fech!P31=0,0,SER_hh_fech!P31/SER_summary!P$26)</f>
        <v>19.221849452058972</v>
      </c>
      <c r="Q31" s="133">
        <f>IF(SER_hh_fech!Q31=0,0,SER_hh_fech!Q31/SER_summary!Q$26)</f>
        <v>19.275859779801511</v>
      </c>
      <c r="R31" s="133">
        <f>IF(SER_hh_fech!R31=0,0,SER_hh_fech!R31/SER_summary!R$26)</f>
        <v>19.246447550445037</v>
      </c>
      <c r="S31" s="133">
        <f>IF(SER_hh_fech!S31=0,0,SER_hh_fech!S31/SER_summary!S$26)</f>
        <v>19.16526936926552</v>
      </c>
      <c r="T31" s="133">
        <f>IF(SER_hh_fech!T31=0,0,SER_hh_fech!T31/SER_summary!T$26)</f>
        <v>19.103104733253794</v>
      </c>
      <c r="U31" s="133">
        <f>IF(SER_hh_fech!U31=0,0,SER_hh_fech!U31/SER_summary!U$26)</f>
        <v>19.086647369727039</v>
      </c>
      <c r="V31" s="133">
        <f>IF(SER_hh_fech!V31=0,0,SER_hh_fech!V31/SER_summary!V$26)</f>
        <v>18.16709909668748</v>
      </c>
      <c r="W31" s="133">
        <f>IF(SER_hh_fech!W31=0,0,SER_hh_fech!W31/SER_summary!W$26)</f>
        <v>19.221285138878944</v>
      </c>
      <c r="DA31" s="157" t="s">
        <v>503</v>
      </c>
    </row>
    <row r="32" spans="1:105" ht="12" customHeight="1" x14ac:dyDescent="0.25">
      <c r="A32" s="132" t="s">
        <v>128</v>
      </c>
      <c r="B32" s="133">
        <f>IF(SER_hh_fech!B32=0,0,SER_hh_fech!B32/SER_summary!B$26)</f>
        <v>0</v>
      </c>
      <c r="C32" s="133">
        <f>IF(SER_hh_fech!C32=0,0,SER_hh_fech!C32/SER_summary!C$26)</f>
        <v>0</v>
      </c>
      <c r="D32" s="133">
        <f>IF(SER_hh_fech!D32=0,0,SER_hh_fech!D32/SER_summary!D$26)</f>
        <v>0</v>
      </c>
      <c r="E32" s="133">
        <f>IF(SER_hh_fech!E32=0,0,SER_hh_fech!E32/SER_summary!E$26)</f>
        <v>0</v>
      </c>
      <c r="F32" s="133">
        <f>IF(SER_hh_fech!F32=0,0,SER_hh_fech!F32/SER_summary!F$26)</f>
        <v>0</v>
      </c>
      <c r="G32" s="133">
        <f>IF(SER_hh_fech!G32=0,0,SER_hh_fech!G32/SER_summary!G$26)</f>
        <v>0</v>
      </c>
      <c r="H32" s="133">
        <f>IF(SER_hh_fech!H32=0,0,SER_hh_fech!H32/SER_summary!H$26)</f>
        <v>0</v>
      </c>
      <c r="I32" s="133">
        <f>IF(SER_hh_fech!I32=0,0,SER_hh_fech!I32/SER_summary!I$26)</f>
        <v>0</v>
      </c>
      <c r="J32" s="133">
        <f>IF(SER_hh_fech!J32=0,0,SER_hh_fech!J32/SER_summary!J$26)</f>
        <v>24.367573386180435</v>
      </c>
      <c r="K32" s="133">
        <f>IF(SER_hh_fech!K32=0,0,SER_hh_fech!K32/SER_summary!K$26)</f>
        <v>14.089095193398867</v>
      </c>
      <c r="L32" s="133">
        <f>IF(SER_hh_fech!L32=0,0,SER_hh_fech!L32/SER_summary!L$26)</f>
        <v>24.31214127840267</v>
      </c>
      <c r="M32" s="133">
        <f>IF(SER_hh_fech!M32=0,0,SER_hh_fech!M32/SER_summary!M$26)</f>
        <v>22.786858854673767</v>
      </c>
      <c r="N32" s="133">
        <f>IF(SER_hh_fech!N32=0,0,SER_hh_fech!N32/SER_summary!N$26)</f>
        <v>12.317574683683953</v>
      </c>
      <c r="O32" s="133">
        <f>IF(SER_hh_fech!O32=0,0,SER_hh_fech!O32/SER_summary!O$26)</f>
        <v>19.968045938598596</v>
      </c>
      <c r="P32" s="133">
        <f>IF(SER_hh_fech!P32=0,0,SER_hh_fech!P32/SER_summary!P$26)</f>
        <v>20.516766404351955</v>
      </c>
      <c r="Q32" s="133">
        <f>IF(SER_hh_fech!Q32=0,0,SER_hh_fech!Q32/SER_summary!Q$26)</f>
        <v>21.225064355414126</v>
      </c>
      <c r="R32" s="133">
        <f>IF(SER_hh_fech!R32=0,0,SER_hh_fech!R32/SER_summary!R$26)</f>
        <v>20.408448440073915</v>
      </c>
      <c r="S32" s="133">
        <f>IF(SER_hh_fech!S32=0,0,SER_hh_fech!S32/SER_summary!S$26)</f>
        <v>19.653198300759339</v>
      </c>
      <c r="T32" s="133">
        <f>IF(SER_hh_fech!T32=0,0,SER_hh_fech!T32/SER_summary!T$26)</f>
        <v>20.606167897135283</v>
      </c>
      <c r="U32" s="133">
        <f>IF(SER_hh_fech!U32=0,0,SER_hh_fech!U32/SER_summary!U$26)</f>
        <v>26.780145091848159</v>
      </c>
      <c r="V32" s="133">
        <f>IF(SER_hh_fech!V32=0,0,SER_hh_fech!V32/SER_summary!V$26)</f>
        <v>10.038459316122371</v>
      </c>
      <c r="W32" s="133">
        <f>IF(SER_hh_fech!W32=0,0,SER_hh_fech!W32/SER_summary!W$26)</f>
        <v>20.67134726276981</v>
      </c>
      <c r="DA32" s="157" t="s">
        <v>504</v>
      </c>
    </row>
    <row r="33" spans="1:105" ht="12" customHeight="1" x14ac:dyDescent="0.25">
      <c r="A33" s="62" t="s">
        <v>24</v>
      </c>
      <c r="B33" s="68">
        <f>IF(SER_hh_fech!B33=0,0,SER_hh_fech!B33/SER_summary!B$26)</f>
        <v>12.629572571902548</v>
      </c>
      <c r="C33" s="68">
        <f>IF(SER_hh_fech!C33=0,0,SER_hh_fech!C33/SER_summary!C$26)</f>
        <v>13.329925378082841</v>
      </c>
      <c r="D33" s="68">
        <f>IF(SER_hh_fech!D33=0,0,SER_hh_fech!D33/SER_summary!D$26)</f>
        <v>13.968209802419977</v>
      </c>
      <c r="E33" s="68">
        <f>IF(SER_hh_fech!E33=0,0,SER_hh_fech!E33/SER_summary!E$26)</f>
        <v>13.139486867729905</v>
      </c>
      <c r="F33" s="68">
        <f>IF(SER_hh_fech!F33=0,0,SER_hh_fech!F33/SER_summary!F$26)</f>
        <v>12.509675377248209</v>
      </c>
      <c r="G33" s="68">
        <f>IF(SER_hh_fech!G33=0,0,SER_hh_fech!G33/SER_summary!G$26)</f>
        <v>14.35289752668452</v>
      </c>
      <c r="H33" s="68">
        <f>IF(SER_hh_fech!H33=0,0,SER_hh_fech!H33/SER_summary!H$26)</f>
        <v>13.641701637321502</v>
      </c>
      <c r="I33" s="68">
        <f>IF(SER_hh_fech!I33=0,0,SER_hh_fech!I33/SER_summary!I$26)</f>
        <v>13.774555722267918</v>
      </c>
      <c r="J33" s="68">
        <f>IF(SER_hh_fech!J33=0,0,SER_hh_fech!J33/SER_summary!J$26)</f>
        <v>13.665063968407917</v>
      </c>
      <c r="K33" s="68">
        <f>IF(SER_hh_fech!K33=0,0,SER_hh_fech!K33/SER_summary!K$26)</f>
        <v>14.177189584324337</v>
      </c>
      <c r="L33" s="68">
        <f>IF(SER_hh_fech!L33=0,0,SER_hh_fech!L33/SER_summary!L$26)</f>
        <v>13.942728497821095</v>
      </c>
      <c r="M33" s="68">
        <f>IF(SER_hh_fech!M33=0,0,SER_hh_fech!M33/SER_summary!M$26)</f>
        <v>13.894084424665936</v>
      </c>
      <c r="N33" s="68">
        <f>IF(SER_hh_fech!N33=0,0,SER_hh_fech!N33/SER_summary!N$26)</f>
        <v>14.165924099441295</v>
      </c>
      <c r="O33" s="68">
        <f>IF(SER_hh_fech!O33=0,0,SER_hh_fech!O33/SER_summary!O$26)</f>
        <v>14.222229652576369</v>
      </c>
      <c r="P33" s="68">
        <f>IF(SER_hh_fech!P33=0,0,SER_hh_fech!P33/SER_summary!P$26)</f>
        <v>14.259770488635231</v>
      </c>
      <c r="Q33" s="68">
        <f>IF(SER_hh_fech!Q33=0,0,SER_hh_fech!Q33/SER_summary!Q$26)</f>
        <v>14.262107039940577</v>
      </c>
      <c r="R33" s="68">
        <f>IF(SER_hh_fech!R33=0,0,SER_hh_fech!R33/SER_summary!R$26)</f>
        <v>14.227257947507509</v>
      </c>
      <c r="S33" s="68">
        <f>IF(SER_hh_fech!S33=0,0,SER_hh_fech!S33/SER_summary!S$26)</f>
        <v>14.066734389299089</v>
      </c>
      <c r="T33" s="68">
        <f>IF(SER_hh_fech!T33=0,0,SER_hh_fech!T33/SER_summary!T$26)</f>
        <v>13.979222645381144</v>
      </c>
      <c r="U33" s="68">
        <f>IF(SER_hh_fech!U33=0,0,SER_hh_fech!U33/SER_summary!U$26)</f>
        <v>13.829593581842413</v>
      </c>
      <c r="V33" s="68">
        <f>IF(SER_hh_fech!V33=0,0,SER_hh_fech!V33/SER_summary!V$26)</f>
        <v>13.177071858315632</v>
      </c>
      <c r="W33" s="68">
        <f>IF(SER_hh_fech!W33=0,0,SER_hh_fech!W33/SER_summary!W$26)</f>
        <v>13.637055137875535</v>
      </c>
      <c r="DA33" s="111" t="s">
        <v>505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506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91</v>
      </c>
      <c r="B3" s="126">
        <f>IF(SER_hh_tesh!B3=0,0,SER_hh_tesh!B3/SER_summary!B$26)</f>
        <v>108.14933615249633</v>
      </c>
      <c r="C3" s="126">
        <f>IF(SER_hh_tesh!C3=0,0,SER_hh_tesh!C3/SER_summary!C$26)</f>
        <v>113.54284546035836</v>
      </c>
      <c r="D3" s="126">
        <f>IF(SER_hh_tesh!D3=0,0,SER_hh_tesh!D3/SER_summary!D$26)</f>
        <v>111.41657714704071</v>
      </c>
      <c r="E3" s="126">
        <f>IF(SER_hh_tesh!E3=0,0,SER_hh_tesh!E3/SER_summary!E$26)</f>
        <v>117.91973407276024</v>
      </c>
      <c r="F3" s="126">
        <f>IF(SER_hh_tesh!F3=0,0,SER_hh_tesh!F3/SER_summary!F$26)</f>
        <v>142.97542156521735</v>
      </c>
      <c r="G3" s="126">
        <f>IF(SER_hh_tesh!G3=0,0,SER_hh_tesh!G3/SER_summary!G$26)</f>
        <v>141.54585735890245</v>
      </c>
      <c r="H3" s="126">
        <f>IF(SER_hh_tesh!H3=0,0,SER_hh_tesh!H3/SER_summary!H$26)</f>
        <v>135.82817286569932</v>
      </c>
      <c r="I3" s="126">
        <f>IF(SER_hh_tesh!I3=0,0,SER_hh_tesh!I3/SER_summary!I$26)</f>
        <v>126.50261140989522</v>
      </c>
      <c r="J3" s="126">
        <f>IF(SER_hh_tesh!J3=0,0,SER_hh_tesh!J3/SER_summary!J$26)</f>
        <v>140.35743862443064</v>
      </c>
      <c r="K3" s="126">
        <f>IF(SER_hh_tesh!K3=0,0,SER_hh_tesh!K3/SER_summary!K$26)</f>
        <v>141.0021009693169</v>
      </c>
      <c r="L3" s="126">
        <f>IF(SER_hh_tesh!L3=0,0,SER_hh_tesh!L3/SER_summary!L$26)</f>
        <v>150.19635597726219</v>
      </c>
      <c r="M3" s="126">
        <f>IF(SER_hh_tesh!M3=0,0,SER_hh_tesh!M3/SER_summary!M$26)</f>
        <v>128.01141433924394</v>
      </c>
      <c r="N3" s="126">
        <f>IF(SER_hh_tesh!N3=0,0,SER_hh_tesh!N3/SER_summary!N$26)</f>
        <v>137.20494322518334</v>
      </c>
      <c r="O3" s="126">
        <f>IF(SER_hh_tesh!O3=0,0,SER_hh_tesh!O3/SER_summary!O$26)</f>
        <v>148.77476856000703</v>
      </c>
      <c r="P3" s="126">
        <f>IF(SER_hh_tesh!P3=0,0,SER_hh_tesh!P3/SER_summary!P$26)</f>
        <v>123.76012520525792</v>
      </c>
      <c r="Q3" s="126">
        <f>IF(SER_hh_tesh!Q3=0,0,SER_hh_tesh!Q3/SER_summary!Q$26)</f>
        <v>139.10180591328449</v>
      </c>
      <c r="R3" s="126">
        <f>IF(SER_hh_tesh!R3=0,0,SER_hh_tesh!R3/SER_summary!R$26)</f>
        <v>140.21508285821966</v>
      </c>
      <c r="S3" s="126">
        <f>IF(SER_hh_tesh!S3=0,0,SER_hh_tesh!S3/SER_summary!S$26)</f>
        <v>139.59778064583102</v>
      </c>
      <c r="T3" s="126">
        <f>IF(SER_hh_tesh!T3=0,0,SER_hh_tesh!T3/SER_summary!T$26)</f>
        <v>143.41085649942556</v>
      </c>
      <c r="U3" s="126">
        <f>IF(SER_hh_tesh!U3=0,0,SER_hh_tesh!U3/SER_summary!U$26)</f>
        <v>143.59893507629312</v>
      </c>
      <c r="V3" s="126">
        <f>IF(SER_hh_tesh!V3=0,0,SER_hh_tesh!V3/SER_summary!V$26)</f>
        <v>140.37315899917303</v>
      </c>
      <c r="W3" s="126">
        <f>IF(SER_hh_tesh!W3=0,0,SER_hh_tesh!W3/SER_summary!W$26)</f>
        <v>145.54371651460571</v>
      </c>
      <c r="DA3" s="155" t="s">
        <v>507</v>
      </c>
    </row>
    <row r="4" spans="1:105" ht="12.95" customHeight="1" x14ac:dyDescent="0.25">
      <c r="A4" s="130" t="s">
        <v>32</v>
      </c>
      <c r="B4" s="131">
        <f>IF(SER_hh_tesh!B4=0,0,SER_hh_tesh!B4/SER_summary!B$26)</f>
        <v>81.291463565453952</v>
      </c>
      <c r="C4" s="131">
        <f>IF(SER_hh_tesh!C4=0,0,SER_hh_tesh!C4/SER_summary!C$26)</f>
        <v>85.834935280903963</v>
      </c>
      <c r="D4" s="131">
        <f>IF(SER_hh_tesh!D4=0,0,SER_hh_tesh!D4/SER_summary!D$26)</f>
        <v>82.939783234762814</v>
      </c>
      <c r="E4" s="131">
        <f>IF(SER_hh_tesh!E4=0,0,SER_hh_tesh!E4/SER_summary!E$26)</f>
        <v>87.964031089932192</v>
      </c>
      <c r="F4" s="131">
        <f>IF(SER_hh_tesh!F4=0,0,SER_hh_tesh!F4/SER_summary!F$26)</f>
        <v>113.31177210712077</v>
      </c>
      <c r="G4" s="131">
        <f>IF(SER_hh_tesh!G4=0,0,SER_hh_tesh!G4/SER_summary!G$26)</f>
        <v>110.97145425253026</v>
      </c>
      <c r="H4" s="131">
        <f>IF(SER_hh_tesh!H4=0,0,SER_hh_tesh!H4/SER_summary!H$26)</f>
        <v>102.77379642023929</v>
      </c>
      <c r="I4" s="131">
        <f>IF(SER_hh_tesh!I4=0,0,SER_hh_tesh!I4/SER_summary!I$26)</f>
        <v>93.926455566130386</v>
      </c>
      <c r="J4" s="131">
        <f>IF(SER_hh_tesh!J4=0,0,SER_hh_tesh!J4/SER_summary!J$26)</f>
        <v>106.76679293175759</v>
      </c>
      <c r="K4" s="131">
        <f>IF(SER_hh_tesh!K4=0,0,SER_hh_tesh!K4/SER_summary!K$26)</f>
        <v>105.72380267995324</v>
      </c>
      <c r="L4" s="131">
        <f>IF(SER_hh_tesh!L4=0,0,SER_hh_tesh!L4/SER_summary!L$26)</f>
        <v>113.35665521897053</v>
      </c>
      <c r="M4" s="131">
        <f>IF(SER_hh_tesh!M4=0,0,SER_hh_tesh!M4/SER_summary!M$26)</f>
        <v>91.042766787849942</v>
      </c>
      <c r="N4" s="131">
        <f>IF(SER_hh_tesh!N4=0,0,SER_hh_tesh!N4/SER_summary!N$26)</f>
        <v>99.010591674073424</v>
      </c>
      <c r="O4" s="131">
        <f>IF(SER_hh_tesh!O4=0,0,SER_hh_tesh!O4/SER_summary!O$26)</f>
        <v>109.35243044267816</v>
      </c>
      <c r="P4" s="131">
        <f>IF(SER_hh_tesh!P4=0,0,SER_hh_tesh!P4/SER_summary!P$26)</f>
        <v>84.120895999298384</v>
      </c>
      <c r="Q4" s="131">
        <f>IF(SER_hh_tesh!Q4=0,0,SER_hh_tesh!Q4/SER_summary!Q$26)</f>
        <v>97.116369002822708</v>
      </c>
      <c r="R4" s="131">
        <f>IF(SER_hh_tesh!R4=0,0,SER_hh_tesh!R4/SER_summary!R$26)</f>
        <v>98.294087322290764</v>
      </c>
      <c r="S4" s="131">
        <f>IF(SER_hh_tesh!S4=0,0,SER_hh_tesh!S4/SER_summary!S$26)</f>
        <v>98.21156169450731</v>
      </c>
      <c r="T4" s="131">
        <f>IF(SER_hh_tesh!T4=0,0,SER_hh_tesh!T4/SER_summary!T$26)</f>
        <v>99.984258180663716</v>
      </c>
      <c r="U4" s="131">
        <f>IF(SER_hh_tesh!U4=0,0,SER_hh_tesh!U4/SER_summary!U$26)</f>
        <v>100.67151481790007</v>
      </c>
      <c r="V4" s="131">
        <f>IF(SER_hh_tesh!V4=0,0,SER_hh_tesh!V4/SER_summary!V$26)</f>
        <v>97.357205539248341</v>
      </c>
      <c r="W4" s="131">
        <f>IF(SER_hh_tesh!W4=0,0,SER_hh_tesh!W4/SER_summary!W$26)</f>
        <v>103.97592312995053</v>
      </c>
      <c r="DA4" s="156" t="s">
        <v>508</v>
      </c>
    </row>
    <row r="5" spans="1:105" ht="12" customHeight="1" x14ac:dyDescent="0.25">
      <c r="A5" s="132" t="s">
        <v>29</v>
      </c>
      <c r="B5" s="133">
        <f>IF(SER_hh_tesh!B5=0,0,SER_hh_tesh!B5/SER_summary!B$26)</f>
        <v>0</v>
      </c>
      <c r="C5" s="133">
        <f>IF(SER_hh_tesh!C5=0,0,SER_hh_tesh!C5/SER_summary!C$26)</f>
        <v>0</v>
      </c>
      <c r="D5" s="133">
        <f>IF(SER_hh_tesh!D5=0,0,SER_hh_tesh!D5/SER_summary!D$26)</f>
        <v>0</v>
      </c>
      <c r="E5" s="133">
        <f>IF(SER_hh_tesh!E5=0,0,SER_hh_tesh!E5/SER_summary!E$26)</f>
        <v>0</v>
      </c>
      <c r="F5" s="133">
        <f>IF(SER_hh_tesh!F5=0,0,SER_hh_tesh!F5/SER_summary!F$26)</f>
        <v>0</v>
      </c>
      <c r="G5" s="133">
        <f>IF(SER_hh_tesh!G5=0,0,SER_hh_tesh!G5/SER_summary!G$26)</f>
        <v>0</v>
      </c>
      <c r="H5" s="133">
        <f>IF(SER_hh_tesh!H5=0,0,SER_hh_tesh!H5/SER_summary!H$26)</f>
        <v>0</v>
      </c>
      <c r="I5" s="133">
        <f>IF(SER_hh_tesh!I5=0,0,SER_hh_tesh!I5/SER_summary!I$26)</f>
        <v>0</v>
      </c>
      <c r="J5" s="133">
        <f>IF(SER_hh_tesh!J5=0,0,SER_hh_tesh!J5/SER_summary!J$26)</f>
        <v>0</v>
      </c>
      <c r="K5" s="133">
        <f>IF(SER_hh_tesh!K5=0,0,SER_hh_tesh!K5/SER_summary!K$26)</f>
        <v>0</v>
      </c>
      <c r="L5" s="133">
        <f>IF(SER_hh_tesh!L5=0,0,SER_hh_tesh!L5/SER_summary!L$26)</f>
        <v>0</v>
      </c>
      <c r="M5" s="133">
        <f>IF(SER_hh_tesh!M5=0,0,SER_hh_tesh!M5/SER_summary!M$26)</f>
        <v>0</v>
      </c>
      <c r="N5" s="133">
        <f>IF(SER_hh_tesh!N5=0,0,SER_hh_tesh!N5/SER_summary!N$26)</f>
        <v>0</v>
      </c>
      <c r="O5" s="133">
        <f>IF(SER_hh_tesh!O5=0,0,SER_hh_tesh!O5/SER_summary!O$26)</f>
        <v>0</v>
      </c>
      <c r="P5" s="133">
        <f>IF(SER_hh_tesh!P5=0,0,SER_hh_tesh!P5/SER_summary!P$26)</f>
        <v>0</v>
      </c>
      <c r="Q5" s="133">
        <f>IF(SER_hh_tesh!Q5=0,0,SER_hh_tesh!Q5/SER_summary!Q$26)</f>
        <v>0</v>
      </c>
      <c r="R5" s="133">
        <f>IF(SER_hh_tesh!R5=0,0,SER_hh_tesh!R5/SER_summary!R$26)</f>
        <v>0</v>
      </c>
      <c r="S5" s="133">
        <f>IF(SER_hh_tesh!S5=0,0,SER_hh_tesh!S5/SER_summary!S$26)</f>
        <v>0</v>
      </c>
      <c r="T5" s="133">
        <f>IF(SER_hh_tesh!T5=0,0,SER_hh_tesh!T5/SER_summary!T$26)</f>
        <v>0</v>
      </c>
      <c r="U5" s="133">
        <f>IF(SER_hh_tesh!U5=0,0,SER_hh_tesh!U5/SER_summary!U$26)</f>
        <v>0</v>
      </c>
      <c r="V5" s="133">
        <f>IF(SER_hh_tesh!V5=0,0,SER_hh_tesh!V5/SER_summary!V$26)</f>
        <v>0</v>
      </c>
      <c r="W5" s="133">
        <f>IF(SER_hh_tesh!W5=0,0,SER_hh_tesh!W5/SER_summary!W$26)</f>
        <v>0</v>
      </c>
      <c r="DA5" s="157" t="s">
        <v>509</v>
      </c>
    </row>
    <row r="6" spans="1:105" ht="12" customHeight="1" x14ac:dyDescent="0.25">
      <c r="A6" s="132" t="s">
        <v>52</v>
      </c>
      <c r="B6" s="133">
        <f>IF(SER_hh_tesh!B6=0,0,SER_hh_tesh!B6/SER_summary!B$26)</f>
        <v>0</v>
      </c>
      <c r="C6" s="133">
        <f>IF(SER_hh_tesh!C6=0,0,SER_hh_tesh!C6/SER_summary!C$26)</f>
        <v>0</v>
      </c>
      <c r="D6" s="133">
        <f>IF(SER_hh_tesh!D6=0,0,SER_hh_tesh!D6/SER_summary!D$26)</f>
        <v>0</v>
      </c>
      <c r="E6" s="133">
        <f>IF(SER_hh_tesh!E6=0,0,SER_hh_tesh!E6/SER_summary!E$26)</f>
        <v>0</v>
      </c>
      <c r="F6" s="133">
        <f>IF(SER_hh_tesh!F6=0,0,SER_hh_tesh!F6/SER_summary!F$26)</f>
        <v>0</v>
      </c>
      <c r="G6" s="133">
        <f>IF(SER_hh_tesh!G6=0,0,SER_hh_tesh!G6/SER_summary!G$26)</f>
        <v>0</v>
      </c>
      <c r="H6" s="133">
        <f>IF(SER_hh_tesh!H6=0,0,SER_hh_tesh!H6/SER_summary!H$26)</f>
        <v>0</v>
      </c>
      <c r="I6" s="133">
        <f>IF(SER_hh_tesh!I6=0,0,SER_hh_tesh!I6/SER_summary!I$26)</f>
        <v>0</v>
      </c>
      <c r="J6" s="133">
        <f>IF(SER_hh_tesh!J6=0,0,SER_hh_tesh!J6/SER_summary!J$26)</f>
        <v>0</v>
      </c>
      <c r="K6" s="133">
        <f>IF(SER_hh_tesh!K6=0,0,SER_hh_tesh!K6/SER_summary!K$26)</f>
        <v>0</v>
      </c>
      <c r="L6" s="133">
        <f>IF(SER_hh_tesh!L6=0,0,SER_hh_tesh!L6/SER_summary!L$26)</f>
        <v>0</v>
      </c>
      <c r="M6" s="133">
        <f>IF(SER_hh_tesh!M6=0,0,SER_hh_tesh!M6/SER_summary!M$26)</f>
        <v>0</v>
      </c>
      <c r="N6" s="133">
        <f>IF(SER_hh_tesh!N6=0,0,SER_hh_tesh!N6/SER_summary!N$26)</f>
        <v>0</v>
      </c>
      <c r="O6" s="133">
        <f>IF(SER_hh_tesh!O6=0,0,SER_hh_tesh!O6/SER_summary!O$26)</f>
        <v>0</v>
      </c>
      <c r="P6" s="133">
        <f>IF(SER_hh_tesh!P6=0,0,SER_hh_tesh!P6/SER_summary!P$26)</f>
        <v>0</v>
      </c>
      <c r="Q6" s="133">
        <f>IF(SER_hh_tesh!Q6=0,0,SER_hh_tesh!Q6/SER_summary!Q$26)</f>
        <v>0</v>
      </c>
      <c r="R6" s="133">
        <f>IF(SER_hh_tesh!R6=0,0,SER_hh_tesh!R6/SER_summary!R$26)</f>
        <v>0</v>
      </c>
      <c r="S6" s="133">
        <f>IF(SER_hh_tesh!S6=0,0,SER_hh_tesh!S6/SER_summary!S$26)</f>
        <v>0</v>
      </c>
      <c r="T6" s="133">
        <f>IF(SER_hh_tesh!T6=0,0,SER_hh_tesh!T6/SER_summary!T$26)</f>
        <v>0</v>
      </c>
      <c r="U6" s="133">
        <f>IF(SER_hh_tesh!U6=0,0,SER_hh_tesh!U6/SER_summary!U$26)</f>
        <v>0</v>
      </c>
      <c r="V6" s="133">
        <f>IF(SER_hh_tesh!V6=0,0,SER_hh_tesh!V6/SER_summary!V$26)</f>
        <v>0</v>
      </c>
      <c r="W6" s="133">
        <f>IF(SER_hh_tesh!W6=0,0,SER_hh_tesh!W6/SER_summary!W$26)</f>
        <v>0</v>
      </c>
      <c r="DA6" s="157" t="s">
        <v>510</v>
      </c>
    </row>
    <row r="7" spans="1:105" ht="12" customHeight="1" x14ac:dyDescent="0.25">
      <c r="A7" s="132" t="s">
        <v>168</v>
      </c>
      <c r="B7" s="133">
        <f>IF(SER_hh_tesh!B7=0,0,SER_hh_tesh!B7/SER_summary!B$26)</f>
        <v>79.73704864952758</v>
      </c>
      <c r="C7" s="133">
        <f>IF(SER_hh_tesh!C7=0,0,SER_hh_tesh!C7/SER_summary!C$26)</f>
        <v>75.557161220370872</v>
      </c>
      <c r="D7" s="133">
        <f>IF(SER_hh_tesh!D7=0,0,SER_hh_tesh!D7/SER_summary!D$26)</f>
        <v>97.729996363788061</v>
      </c>
      <c r="E7" s="133">
        <f>IF(SER_hh_tesh!E7=0,0,SER_hh_tesh!E7/SER_summary!E$26)</f>
        <v>112.0983674398735</v>
      </c>
      <c r="F7" s="133">
        <f>IF(SER_hh_tesh!F7=0,0,SER_hh_tesh!F7/SER_summary!F$26)</f>
        <v>110.40611519629378</v>
      </c>
      <c r="G7" s="133">
        <f>IF(SER_hh_tesh!G7=0,0,SER_hh_tesh!G7/SER_summary!G$26)</f>
        <v>113.11910109733083</v>
      </c>
      <c r="H7" s="133">
        <f>IF(SER_hh_tesh!H7=0,0,SER_hh_tesh!H7/SER_summary!H$26)</f>
        <v>100.53486375616653</v>
      </c>
      <c r="I7" s="133">
        <f>IF(SER_hh_tesh!I7=0,0,SER_hh_tesh!I7/SER_summary!I$26)</f>
        <v>88.01223117202386</v>
      </c>
      <c r="J7" s="133">
        <f>IF(SER_hh_tesh!J7=0,0,SER_hh_tesh!J7/SER_summary!J$26)</f>
        <v>114.16379107652408</v>
      </c>
      <c r="K7" s="133">
        <f>IF(SER_hh_tesh!K7=0,0,SER_hh_tesh!K7/SER_summary!K$26)</f>
        <v>95.923489595376026</v>
      </c>
      <c r="L7" s="133">
        <f>IF(SER_hh_tesh!L7=0,0,SER_hh_tesh!L7/SER_summary!L$26)</f>
        <v>110.7425257154634</v>
      </c>
      <c r="M7" s="133">
        <f>IF(SER_hh_tesh!M7=0,0,SER_hh_tesh!M7/SER_summary!M$26)</f>
        <v>93.538721422045356</v>
      </c>
      <c r="N7" s="133">
        <f>IF(SER_hh_tesh!N7=0,0,SER_hh_tesh!N7/SER_summary!N$26)</f>
        <v>95.031645071523371</v>
      </c>
      <c r="O7" s="133">
        <f>IF(SER_hh_tesh!O7=0,0,SER_hh_tesh!O7/SER_summary!O$26)</f>
        <v>107.04678987767777</v>
      </c>
      <c r="P7" s="133">
        <f>IF(SER_hh_tesh!P7=0,0,SER_hh_tesh!P7/SER_summary!P$26)</f>
        <v>82.206315865857306</v>
      </c>
      <c r="Q7" s="133">
        <f>IF(SER_hh_tesh!Q7=0,0,SER_hh_tesh!Q7/SER_summary!Q$26)</f>
        <v>99.925172543067347</v>
      </c>
      <c r="R7" s="133">
        <f>IF(SER_hh_tesh!R7=0,0,SER_hh_tesh!R7/SER_summary!R$26)</f>
        <v>93.452932692293984</v>
      </c>
      <c r="S7" s="133">
        <f>IF(SER_hh_tesh!S7=0,0,SER_hh_tesh!S7/SER_summary!S$26)</f>
        <v>96.99261708036272</v>
      </c>
      <c r="T7" s="133">
        <f>IF(SER_hh_tesh!T7=0,0,SER_hh_tesh!T7/SER_summary!T$26)</f>
        <v>98.348557309085535</v>
      </c>
      <c r="U7" s="133">
        <f>IF(SER_hh_tesh!U7=0,0,SER_hh_tesh!U7/SER_summary!U$26)</f>
        <v>96.101974499925305</v>
      </c>
      <c r="V7" s="133">
        <f>IF(SER_hh_tesh!V7=0,0,SER_hh_tesh!V7/SER_summary!V$26)</f>
        <v>103.66108988200888</v>
      </c>
      <c r="W7" s="133">
        <f>IF(SER_hh_tesh!W7=0,0,SER_hh_tesh!W7/SER_summary!W$26)</f>
        <v>90.044401261689345</v>
      </c>
      <c r="DA7" s="157" t="s">
        <v>511</v>
      </c>
    </row>
    <row r="8" spans="1:105" ht="12" customHeight="1" x14ac:dyDescent="0.25">
      <c r="A8" s="132" t="s">
        <v>73</v>
      </c>
      <c r="B8" s="133">
        <f>IF(SER_hh_tesh!B8=0,0,SER_hh_tesh!B8/SER_summary!B$26)</f>
        <v>78.888411172253697</v>
      </c>
      <c r="C8" s="133">
        <f>IF(SER_hh_tesh!C8=0,0,SER_hh_tesh!C8/SER_summary!C$26)</f>
        <v>84.002807465384578</v>
      </c>
      <c r="D8" s="133">
        <f>IF(SER_hh_tesh!D8=0,0,SER_hh_tesh!D8/SER_summary!D$26)</f>
        <v>86.900106749013787</v>
      </c>
      <c r="E8" s="133">
        <f>IF(SER_hh_tesh!E8=0,0,SER_hh_tesh!E8/SER_summary!E$26)</f>
        <v>89.711760577181479</v>
      </c>
      <c r="F8" s="133">
        <f>IF(SER_hh_tesh!F8=0,0,SER_hh_tesh!F8/SER_summary!F$26)</f>
        <v>106.6511896804428</v>
      </c>
      <c r="G8" s="133">
        <f>IF(SER_hh_tesh!G8=0,0,SER_hh_tesh!G8/SER_summary!G$26)</f>
        <v>104.06879828422063</v>
      </c>
      <c r="H8" s="133">
        <f>IF(SER_hh_tesh!H8=0,0,SER_hh_tesh!H8/SER_summary!H$26)</f>
        <v>105.17383802475275</v>
      </c>
      <c r="I8" s="133">
        <f>IF(SER_hh_tesh!I8=0,0,SER_hh_tesh!I8/SER_summary!I$26)</f>
        <v>93.578356275357592</v>
      </c>
      <c r="J8" s="133">
        <f>IF(SER_hh_tesh!J8=0,0,SER_hh_tesh!J8/SER_summary!J$26)</f>
        <v>102.79974836795715</v>
      </c>
      <c r="K8" s="133">
        <f>IF(SER_hh_tesh!K8=0,0,SER_hh_tesh!K8/SER_summary!K$26)</f>
        <v>106.0374767270454</v>
      </c>
      <c r="L8" s="133">
        <f>IF(SER_hh_tesh!L8=0,0,SER_hh_tesh!L8/SER_summary!L$26)</f>
        <v>107.14805942277549</v>
      </c>
      <c r="M8" s="133">
        <f>IF(SER_hh_tesh!M8=0,0,SER_hh_tesh!M8/SER_summary!M$26)</f>
        <v>88.679911596264375</v>
      </c>
      <c r="N8" s="133">
        <f>IF(SER_hh_tesh!N8=0,0,SER_hh_tesh!N8/SER_summary!N$26)</f>
        <v>98.555401056535075</v>
      </c>
      <c r="O8" s="133">
        <f>IF(SER_hh_tesh!O8=0,0,SER_hh_tesh!O8/SER_summary!O$26)</f>
        <v>109.88119268599543</v>
      </c>
      <c r="P8" s="133">
        <f>IF(SER_hh_tesh!P8=0,0,SER_hh_tesh!P8/SER_summary!P$26)</f>
        <v>85.538339670883218</v>
      </c>
      <c r="Q8" s="133">
        <f>IF(SER_hh_tesh!Q8=0,0,SER_hh_tesh!Q8/SER_summary!Q$26)</f>
        <v>96.845737930503191</v>
      </c>
      <c r="R8" s="133">
        <f>IF(SER_hh_tesh!R8=0,0,SER_hh_tesh!R8/SER_summary!R$26)</f>
        <v>100.0709203060142</v>
      </c>
      <c r="S8" s="133">
        <f>IF(SER_hh_tesh!S8=0,0,SER_hh_tesh!S8/SER_summary!S$26)</f>
        <v>97.152355514002352</v>
      </c>
      <c r="T8" s="133">
        <f>IF(SER_hh_tesh!T8=0,0,SER_hh_tesh!T8/SER_summary!T$26)</f>
        <v>97.741840101612368</v>
      </c>
      <c r="U8" s="133">
        <f>IF(SER_hh_tesh!U8=0,0,SER_hh_tesh!U8/SER_summary!U$26)</f>
        <v>98.771184852581385</v>
      </c>
      <c r="V8" s="133">
        <f>IF(SER_hh_tesh!V8=0,0,SER_hh_tesh!V8/SER_summary!V$26)</f>
        <v>97.132609522487172</v>
      </c>
      <c r="W8" s="133">
        <f>IF(SER_hh_tesh!W8=0,0,SER_hh_tesh!W8/SER_summary!W$26)</f>
        <v>106.40440820534477</v>
      </c>
      <c r="DA8" s="157" t="s">
        <v>512</v>
      </c>
    </row>
    <row r="9" spans="1:105" ht="12" customHeight="1" x14ac:dyDescent="0.25">
      <c r="A9" s="132" t="s">
        <v>78</v>
      </c>
      <c r="B9" s="133">
        <f>IF(SER_hh_tesh!B9=0,0,SER_hh_tesh!B9/SER_summary!B$26)</f>
        <v>77.138840634740617</v>
      </c>
      <c r="C9" s="133">
        <f>IF(SER_hh_tesh!C9=0,0,SER_hh_tesh!C9/SER_summary!C$26)</f>
        <v>86.469819397814945</v>
      </c>
      <c r="D9" s="133">
        <f>IF(SER_hh_tesh!D9=0,0,SER_hh_tesh!D9/SER_summary!D$26)</f>
        <v>81.959938326428727</v>
      </c>
      <c r="E9" s="133">
        <f>IF(SER_hh_tesh!E9=0,0,SER_hh_tesh!E9/SER_summary!E$26)</f>
        <v>87.480884229707925</v>
      </c>
      <c r="F9" s="133">
        <f>IF(SER_hh_tesh!F9=0,0,SER_hh_tesh!F9/SER_summary!F$26)</f>
        <v>95.020550654351652</v>
      </c>
      <c r="G9" s="133">
        <f>IF(SER_hh_tesh!G9=0,0,SER_hh_tesh!G9/SER_summary!G$26)</f>
        <v>99.37722437626779</v>
      </c>
      <c r="H9" s="133">
        <f>IF(SER_hh_tesh!H9=0,0,SER_hh_tesh!H9/SER_summary!H$26)</f>
        <v>100.84249601441238</v>
      </c>
      <c r="I9" s="133">
        <f>IF(SER_hh_tesh!I9=0,0,SER_hh_tesh!I9/SER_summary!I$26)</f>
        <v>90.919245377422413</v>
      </c>
      <c r="J9" s="133">
        <f>IF(SER_hh_tesh!J9=0,0,SER_hh_tesh!J9/SER_summary!J$26)</f>
        <v>102.23195612765542</v>
      </c>
      <c r="K9" s="133">
        <f>IF(SER_hh_tesh!K9=0,0,SER_hh_tesh!K9/SER_summary!K$26)</f>
        <v>106.81594739385162</v>
      </c>
      <c r="L9" s="133">
        <f>IF(SER_hh_tesh!L9=0,0,SER_hh_tesh!L9/SER_summary!L$26)</f>
        <v>113.66301814493093</v>
      </c>
      <c r="M9" s="133">
        <f>IF(SER_hh_tesh!M9=0,0,SER_hh_tesh!M9/SER_summary!M$26)</f>
        <v>86.596265441706223</v>
      </c>
      <c r="N9" s="133">
        <f>IF(SER_hh_tesh!N9=0,0,SER_hh_tesh!N9/SER_summary!N$26)</f>
        <v>98.720956702139418</v>
      </c>
      <c r="O9" s="133">
        <f>IF(SER_hh_tesh!O9=0,0,SER_hh_tesh!O9/SER_summary!O$26)</f>
        <v>109.41637811367352</v>
      </c>
      <c r="P9" s="133">
        <f>IF(SER_hh_tesh!P9=0,0,SER_hh_tesh!P9/SER_summary!P$26)</f>
        <v>81.819346106840769</v>
      </c>
      <c r="Q9" s="133">
        <f>IF(SER_hh_tesh!Q9=0,0,SER_hh_tesh!Q9/SER_summary!Q$26)</f>
        <v>93.849671309732656</v>
      </c>
      <c r="R9" s="133">
        <f>IF(SER_hh_tesh!R9=0,0,SER_hh_tesh!R9/SER_summary!R$26)</f>
        <v>98.831604609219653</v>
      </c>
      <c r="S9" s="133">
        <f>IF(SER_hh_tesh!S9=0,0,SER_hh_tesh!S9/SER_summary!S$26)</f>
        <v>97.517777829671289</v>
      </c>
      <c r="T9" s="133">
        <f>IF(SER_hh_tesh!T9=0,0,SER_hh_tesh!T9/SER_summary!T$26)</f>
        <v>99.262253575830442</v>
      </c>
      <c r="U9" s="133">
        <f>IF(SER_hh_tesh!U9=0,0,SER_hh_tesh!U9/SER_summary!U$26)</f>
        <v>99.544687236000627</v>
      </c>
      <c r="V9" s="133">
        <f>IF(SER_hh_tesh!V9=0,0,SER_hh_tesh!V9/SER_summary!V$26)</f>
        <v>92.997796871498423</v>
      </c>
      <c r="W9" s="133">
        <f>IF(SER_hh_tesh!W9=0,0,SER_hh_tesh!W9/SER_summary!W$26)</f>
        <v>106.12728950755077</v>
      </c>
      <c r="DA9" s="157" t="s">
        <v>513</v>
      </c>
    </row>
    <row r="10" spans="1:105" ht="12" customHeight="1" x14ac:dyDescent="0.25">
      <c r="A10" s="132" t="s">
        <v>128</v>
      </c>
      <c r="B10" s="133">
        <f>IF(SER_hh_tesh!B10=0,0,SER_hh_tesh!B10/SER_summary!B$26)</f>
        <v>81.303764865591475</v>
      </c>
      <c r="C10" s="133">
        <f>IF(SER_hh_tesh!C10=0,0,SER_hh_tesh!C10/SER_summary!C$26)</f>
        <v>79.101753472010415</v>
      </c>
      <c r="D10" s="133">
        <f>IF(SER_hh_tesh!D10=0,0,SER_hh_tesh!D10/SER_summary!D$26)</f>
        <v>5.8878208863878552</v>
      </c>
      <c r="E10" s="133">
        <f>IF(SER_hh_tesh!E10=0,0,SER_hh_tesh!E10/SER_summary!E$26)</f>
        <v>1.9128605121429547</v>
      </c>
      <c r="F10" s="133">
        <f>IF(SER_hh_tesh!F10=0,0,SER_hh_tesh!F10/SER_summary!F$26)</f>
        <v>139.8357318210526</v>
      </c>
      <c r="G10" s="133">
        <f>IF(SER_hh_tesh!G10=0,0,SER_hh_tesh!G10/SER_summary!G$26)</f>
        <v>123.52029210891538</v>
      </c>
      <c r="H10" s="133">
        <f>IF(SER_hh_tesh!H10=0,0,SER_hh_tesh!H10/SER_summary!H$26)</f>
        <v>111.44484273686408</v>
      </c>
      <c r="I10" s="133">
        <f>IF(SER_hh_tesh!I10=0,0,SER_hh_tesh!I10/SER_summary!I$26)</f>
        <v>127.26670097051243</v>
      </c>
      <c r="J10" s="133">
        <f>IF(SER_hh_tesh!J10=0,0,SER_hh_tesh!J10/SER_summary!J$26)</f>
        <v>55.638291378654678</v>
      </c>
      <c r="K10" s="133">
        <f>IF(SER_hh_tesh!K10=0,0,SER_hh_tesh!K10/SER_summary!K$26)</f>
        <v>28.986668731254365</v>
      </c>
      <c r="L10" s="133">
        <f>IF(SER_hh_tesh!L10=0,0,SER_hh_tesh!L10/SER_summary!L$26)</f>
        <v>99.827068694581882</v>
      </c>
      <c r="M10" s="133">
        <f>IF(SER_hh_tesh!M10=0,0,SER_hh_tesh!M10/SER_summary!M$26)</f>
        <v>63.567415893374751</v>
      </c>
      <c r="N10" s="133">
        <f>IF(SER_hh_tesh!N10=0,0,SER_hh_tesh!N10/SER_summary!N$26)</f>
        <v>83.977430796453618</v>
      </c>
      <c r="O10" s="133">
        <f>IF(SER_hh_tesh!O10=0,0,SER_hh_tesh!O10/SER_summary!O$26)</f>
        <v>111.37765724228186</v>
      </c>
      <c r="P10" s="133">
        <f>IF(SER_hh_tesh!P10=0,0,SER_hh_tesh!P10/SER_summary!P$26)</f>
        <v>95.162925311997625</v>
      </c>
      <c r="Q10" s="133">
        <f>IF(SER_hh_tesh!Q10=0,0,SER_hh_tesh!Q10/SER_summary!Q$26)</f>
        <v>99.970018810911938</v>
      </c>
      <c r="R10" s="133">
        <f>IF(SER_hh_tesh!R10=0,0,SER_hh_tesh!R10/SER_summary!R$26)</f>
        <v>98.281235345853815</v>
      </c>
      <c r="S10" s="133">
        <f>IF(SER_hh_tesh!S10=0,0,SER_hh_tesh!S10/SER_summary!S$26)</f>
        <v>96.472649711171542</v>
      </c>
      <c r="T10" s="133">
        <f>IF(SER_hh_tesh!T10=0,0,SER_hh_tesh!T10/SER_summary!T$26)</f>
        <v>97.056768587820272</v>
      </c>
      <c r="U10" s="133">
        <f>IF(SER_hh_tesh!U10=0,0,SER_hh_tesh!U10/SER_summary!U$26)</f>
        <v>102.19608493909863</v>
      </c>
      <c r="V10" s="133">
        <f>IF(SER_hh_tesh!V10=0,0,SER_hh_tesh!V10/SER_summary!V$26)</f>
        <v>100.74767207295487</v>
      </c>
      <c r="W10" s="133">
        <f>IF(SER_hh_tesh!W10=0,0,SER_hh_tesh!W10/SER_summary!W$26)</f>
        <v>97.170427312830569</v>
      </c>
      <c r="DA10" s="157" t="s">
        <v>514</v>
      </c>
    </row>
    <row r="11" spans="1:105" ht="12" customHeight="1" x14ac:dyDescent="0.25">
      <c r="A11" s="132" t="s">
        <v>25</v>
      </c>
      <c r="B11" s="133">
        <f>IF(SER_hh_tesh!B11=0,0,SER_hh_tesh!B11/SER_summary!B$26)</f>
        <v>0</v>
      </c>
      <c r="C11" s="133">
        <f>IF(SER_hh_tesh!C11=0,0,SER_hh_tesh!C11/SER_summary!C$26)</f>
        <v>0</v>
      </c>
      <c r="D11" s="133">
        <f>IF(SER_hh_tesh!D11=0,0,SER_hh_tesh!D11/SER_summary!D$26)</f>
        <v>0</v>
      </c>
      <c r="E11" s="133">
        <f>IF(SER_hh_tesh!E11=0,0,SER_hh_tesh!E11/SER_summary!E$26)</f>
        <v>0</v>
      </c>
      <c r="F11" s="133">
        <f>IF(SER_hh_tesh!F11=0,0,SER_hh_tesh!F11/SER_summary!F$26)</f>
        <v>0</v>
      </c>
      <c r="G11" s="133">
        <f>IF(SER_hh_tesh!G11=0,0,SER_hh_tesh!G11/SER_summary!G$26)</f>
        <v>0</v>
      </c>
      <c r="H11" s="133">
        <f>IF(SER_hh_tesh!H11=0,0,SER_hh_tesh!H11/SER_summary!H$26)</f>
        <v>0</v>
      </c>
      <c r="I11" s="133">
        <f>IF(SER_hh_tesh!I11=0,0,SER_hh_tesh!I11/SER_summary!I$26)</f>
        <v>0</v>
      </c>
      <c r="J11" s="133">
        <f>IF(SER_hh_tesh!J11=0,0,SER_hh_tesh!J11/SER_summary!J$26)</f>
        <v>0</v>
      </c>
      <c r="K11" s="133">
        <f>IF(SER_hh_tesh!K11=0,0,SER_hh_tesh!K11/SER_summary!K$26)</f>
        <v>0</v>
      </c>
      <c r="L11" s="133">
        <f>IF(SER_hh_tesh!L11=0,0,SER_hh_tesh!L11/SER_summary!L$26)</f>
        <v>0</v>
      </c>
      <c r="M11" s="133">
        <f>IF(SER_hh_tesh!M11=0,0,SER_hh_tesh!M11/SER_summary!M$26)</f>
        <v>0</v>
      </c>
      <c r="N11" s="133">
        <f>IF(SER_hh_tesh!N11=0,0,SER_hh_tesh!N11/SER_summary!N$26)</f>
        <v>0</v>
      </c>
      <c r="O11" s="133">
        <f>IF(SER_hh_tesh!O11=0,0,SER_hh_tesh!O11/SER_summary!O$26)</f>
        <v>0</v>
      </c>
      <c r="P11" s="133">
        <f>IF(SER_hh_tesh!P11=0,0,SER_hh_tesh!P11/SER_summary!P$26)</f>
        <v>0</v>
      </c>
      <c r="Q11" s="133">
        <f>IF(SER_hh_tesh!Q11=0,0,SER_hh_tesh!Q11/SER_summary!Q$26)</f>
        <v>0</v>
      </c>
      <c r="R11" s="133">
        <f>IF(SER_hh_tesh!R11=0,0,SER_hh_tesh!R11/SER_summary!R$26)</f>
        <v>0</v>
      </c>
      <c r="S11" s="133">
        <f>IF(SER_hh_tesh!S11=0,0,SER_hh_tesh!S11/SER_summary!S$26)</f>
        <v>0</v>
      </c>
      <c r="T11" s="133">
        <f>IF(SER_hh_tesh!T11=0,0,SER_hh_tesh!T11/SER_summary!T$26)</f>
        <v>0</v>
      </c>
      <c r="U11" s="133">
        <f>IF(SER_hh_tesh!U11=0,0,SER_hh_tesh!U11/SER_summary!U$26)</f>
        <v>0</v>
      </c>
      <c r="V11" s="133">
        <f>IF(SER_hh_tesh!V11=0,0,SER_hh_tesh!V11/SER_summary!V$26)</f>
        <v>0</v>
      </c>
      <c r="W11" s="133">
        <f>IF(SER_hh_tesh!W11=0,0,SER_hh_tesh!W11/SER_summary!W$26)</f>
        <v>0</v>
      </c>
      <c r="DA11" s="157" t="s">
        <v>515</v>
      </c>
    </row>
    <row r="12" spans="1:105" ht="12" customHeight="1" x14ac:dyDescent="0.25">
      <c r="A12" s="132" t="s">
        <v>169</v>
      </c>
      <c r="B12" s="133">
        <f>IF(SER_hh_tesh!B12=0,0,SER_hh_tesh!B12/SER_summary!B$26)</f>
        <v>82.412328356353939</v>
      </c>
      <c r="C12" s="133">
        <f>IF(SER_hh_tesh!C12=0,0,SER_hh_tesh!C12/SER_summary!C$26)</f>
        <v>84.026527153735003</v>
      </c>
      <c r="D12" s="133">
        <f>IF(SER_hh_tesh!D12=0,0,SER_hh_tesh!D12/SER_summary!D$26)</f>
        <v>85.424946159681369</v>
      </c>
      <c r="E12" s="133">
        <f>IF(SER_hh_tesh!E12=0,0,SER_hh_tesh!E12/SER_summary!E$26)</f>
        <v>88.190533699559097</v>
      </c>
      <c r="F12" s="133">
        <f>IF(SER_hh_tesh!F12=0,0,SER_hh_tesh!F12/SER_summary!F$26)</f>
        <v>106.10666566257873</v>
      </c>
      <c r="G12" s="133">
        <f>IF(SER_hh_tesh!G12=0,0,SER_hh_tesh!G12/SER_summary!G$26)</f>
        <v>97.296241844132751</v>
      </c>
      <c r="H12" s="133">
        <f>IF(SER_hh_tesh!H12=0,0,SER_hh_tesh!H12/SER_summary!H$26)</f>
        <v>111.10831348391432</v>
      </c>
      <c r="I12" s="133">
        <f>IF(SER_hh_tesh!I12=0,0,SER_hh_tesh!I12/SER_summary!I$26)</f>
        <v>122.15826076047037</v>
      </c>
      <c r="J12" s="133">
        <f>IF(SER_hh_tesh!J12=0,0,SER_hh_tesh!J12/SER_summary!J$26)</f>
        <v>76.686072622079735</v>
      </c>
      <c r="K12" s="133">
        <f>IF(SER_hh_tesh!K12=0,0,SER_hh_tesh!K12/SER_summary!K$26)</f>
        <v>90.981247183356814</v>
      </c>
      <c r="L12" s="133">
        <f>IF(SER_hh_tesh!L12=0,0,SER_hh_tesh!L12/SER_summary!L$26)</f>
        <v>115.36514826966891</v>
      </c>
      <c r="M12" s="133">
        <f>IF(SER_hh_tesh!M12=0,0,SER_hh_tesh!M12/SER_summary!M$26)</f>
        <v>97.241362254929427</v>
      </c>
      <c r="N12" s="133">
        <f>IF(SER_hh_tesh!N12=0,0,SER_hh_tesh!N12/SER_summary!N$26)</f>
        <v>93.04460883139221</v>
      </c>
      <c r="O12" s="133">
        <f>IF(SER_hh_tesh!O12=0,0,SER_hh_tesh!O12/SER_summary!O$26)</f>
        <v>80.747838324217994</v>
      </c>
      <c r="P12" s="133">
        <f>IF(SER_hh_tesh!P12=0,0,SER_hh_tesh!P12/SER_summary!P$26)</f>
        <v>99.306401296207028</v>
      </c>
      <c r="Q12" s="133">
        <f>IF(SER_hh_tesh!Q12=0,0,SER_hh_tesh!Q12/SER_summary!Q$26)</f>
        <v>105.77192247280853</v>
      </c>
      <c r="R12" s="133">
        <f>IF(SER_hh_tesh!R12=0,0,SER_hh_tesh!R12/SER_summary!R$26)</f>
        <v>97.419114860915784</v>
      </c>
      <c r="S12" s="133">
        <f>IF(SER_hh_tesh!S12=0,0,SER_hh_tesh!S12/SER_summary!S$26)</f>
        <v>91.325089725267532</v>
      </c>
      <c r="T12" s="133">
        <f>IF(SER_hh_tesh!T12=0,0,SER_hh_tesh!T12/SER_summary!T$26)</f>
        <v>97.841422584294804</v>
      </c>
      <c r="U12" s="133">
        <f>IF(SER_hh_tesh!U12=0,0,SER_hh_tesh!U12/SER_summary!U$26)</f>
        <v>94.163015769547812</v>
      </c>
      <c r="V12" s="133">
        <f>IF(SER_hh_tesh!V12=0,0,SER_hh_tesh!V12/SER_summary!V$26)</f>
        <v>101.29278241027035</v>
      </c>
      <c r="W12" s="133">
        <f>IF(SER_hh_tesh!W12=0,0,SER_hh_tesh!W12/SER_summary!W$26)</f>
        <v>104.42271718624313</v>
      </c>
      <c r="DA12" s="157" t="s">
        <v>516</v>
      </c>
    </row>
    <row r="13" spans="1:105" ht="12" customHeight="1" x14ac:dyDescent="0.25">
      <c r="A13" s="132" t="s">
        <v>77</v>
      </c>
      <c r="B13" s="133">
        <f>IF(SER_hh_tesh!B13=0,0,SER_hh_tesh!B13/SER_summary!B$26)</f>
        <v>70.259726879589721</v>
      </c>
      <c r="C13" s="133">
        <f>IF(SER_hh_tesh!C13=0,0,SER_hh_tesh!C13/SER_summary!C$26)</f>
        <v>90.423777529976988</v>
      </c>
      <c r="D13" s="133">
        <f>IF(SER_hh_tesh!D13=0,0,SER_hh_tesh!D13/SER_summary!D$26)</f>
        <v>86.961175750454814</v>
      </c>
      <c r="E13" s="133">
        <f>IF(SER_hh_tesh!E13=0,0,SER_hh_tesh!E13/SER_summary!E$26)</f>
        <v>78.817504436074245</v>
      </c>
      <c r="F13" s="133">
        <f>IF(SER_hh_tesh!F13=0,0,SER_hh_tesh!F13/SER_summary!F$26)</f>
        <v>40.078107826518803</v>
      </c>
      <c r="G13" s="133">
        <f>IF(SER_hh_tesh!G13=0,0,SER_hh_tesh!G13/SER_summary!G$26)</f>
        <v>30.328248770475621</v>
      </c>
      <c r="H13" s="133">
        <f>IF(SER_hh_tesh!H13=0,0,SER_hh_tesh!H13/SER_summary!H$26)</f>
        <v>109.48927926550621</v>
      </c>
      <c r="I13" s="133">
        <f>IF(SER_hh_tesh!I13=0,0,SER_hh_tesh!I13/SER_summary!I$26)</f>
        <v>103.58538764512842</v>
      </c>
      <c r="J13" s="133">
        <f>IF(SER_hh_tesh!J13=0,0,SER_hh_tesh!J13/SER_summary!J$26)</f>
        <v>107.08331807848515</v>
      </c>
      <c r="K13" s="133">
        <f>IF(SER_hh_tesh!K13=0,0,SER_hh_tesh!K13/SER_summary!K$26)</f>
        <v>109.10276163729863</v>
      </c>
      <c r="L13" s="133">
        <f>IF(SER_hh_tesh!L13=0,0,SER_hh_tesh!L13/SER_summary!L$26)</f>
        <v>102.05510587328891</v>
      </c>
      <c r="M13" s="133">
        <f>IF(SER_hh_tesh!M13=0,0,SER_hh_tesh!M13/SER_summary!M$26)</f>
        <v>95.762644800399215</v>
      </c>
      <c r="N13" s="133">
        <f>IF(SER_hh_tesh!N13=0,0,SER_hh_tesh!N13/SER_summary!N$26)</f>
        <v>97.882910443240547</v>
      </c>
      <c r="O13" s="133">
        <f>IF(SER_hh_tesh!O13=0,0,SER_hh_tesh!O13/SER_summary!O$26)</f>
        <v>106.24330170463985</v>
      </c>
      <c r="P13" s="133">
        <f>IF(SER_hh_tesh!P13=0,0,SER_hh_tesh!P13/SER_summary!P$26)</f>
        <v>90.672226666845802</v>
      </c>
      <c r="Q13" s="133">
        <f>IF(SER_hh_tesh!Q13=0,0,SER_hh_tesh!Q13/SER_summary!Q$26)</f>
        <v>89.851640986039286</v>
      </c>
      <c r="R13" s="133">
        <f>IF(SER_hh_tesh!R13=0,0,SER_hh_tesh!R13/SER_summary!R$26)</f>
        <v>83.875087423025548</v>
      </c>
      <c r="S13" s="133">
        <f>IF(SER_hh_tesh!S13=0,0,SER_hh_tesh!S13/SER_summary!S$26)</f>
        <v>63.729554300064251</v>
      </c>
      <c r="T13" s="133">
        <f>IF(SER_hh_tesh!T13=0,0,SER_hh_tesh!T13/SER_summary!T$26)</f>
        <v>97.834584403818624</v>
      </c>
      <c r="U13" s="133">
        <f>IF(SER_hh_tesh!U13=0,0,SER_hh_tesh!U13/SER_summary!U$26)</f>
        <v>96.550381291569039</v>
      </c>
      <c r="V13" s="133">
        <f>IF(SER_hh_tesh!V13=0,0,SER_hh_tesh!V13/SER_summary!V$26)</f>
        <v>87.69663871996984</v>
      </c>
      <c r="W13" s="133">
        <f>IF(SER_hh_tesh!W13=0,0,SER_hh_tesh!W13/SER_summary!W$26)</f>
        <v>119.68368721776696</v>
      </c>
      <c r="DA13" s="157" t="s">
        <v>517</v>
      </c>
    </row>
    <row r="14" spans="1:105" ht="12" customHeight="1" x14ac:dyDescent="0.25">
      <c r="A14" s="60" t="s">
        <v>76</v>
      </c>
      <c r="B14" s="65">
        <f>IF(SER_hh_tesh!B14=0,0,SER_hh_tesh!B14/SER_summary!B$26)</f>
        <v>93.459169755658039</v>
      </c>
      <c r="C14" s="65">
        <f>IF(SER_hh_tesh!C14=0,0,SER_hh_tesh!C14/SER_summary!C$26)</f>
        <v>99.2980741946878</v>
      </c>
      <c r="D14" s="65">
        <f>IF(SER_hh_tesh!D14=0,0,SER_hh_tesh!D14/SER_summary!D$26)</f>
        <v>26.063579137055619</v>
      </c>
      <c r="E14" s="65">
        <f>IF(SER_hh_tesh!E14=0,0,SER_hh_tesh!E14/SER_summary!E$26)</f>
        <v>3.6349112652419535</v>
      </c>
      <c r="F14" s="65">
        <f>IF(SER_hh_tesh!F14=0,0,SER_hh_tesh!F14/SER_summary!F$26)</f>
        <v>156.7378720374854</v>
      </c>
      <c r="G14" s="65">
        <f>IF(SER_hh_tesh!G14=0,0,SER_hh_tesh!G14/SER_summary!G$26)</f>
        <v>124.56415897692798</v>
      </c>
      <c r="H14" s="65">
        <f>IF(SER_hh_tesh!H14=0,0,SER_hh_tesh!H14/SER_summary!H$26)</f>
        <v>102.56702799839005</v>
      </c>
      <c r="I14" s="65">
        <f>IF(SER_hh_tesh!I14=0,0,SER_hh_tesh!I14/SER_summary!I$26)</f>
        <v>98.543533254094029</v>
      </c>
      <c r="J14" s="65">
        <f>IF(SER_hh_tesh!J14=0,0,SER_hh_tesh!J14/SER_summary!J$26)</f>
        <v>103.98744716263259</v>
      </c>
      <c r="K14" s="65">
        <f>IF(SER_hh_tesh!K14=0,0,SER_hh_tesh!K14/SER_summary!K$26)</f>
        <v>110.03563347102344</v>
      </c>
      <c r="L14" s="65">
        <f>IF(SER_hh_tesh!L14=0,0,SER_hh_tesh!L14/SER_summary!L$26)</f>
        <v>108.21857439624107</v>
      </c>
      <c r="M14" s="65">
        <f>IF(SER_hh_tesh!M14=0,0,SER_hh_tesh!M14/SER_summary!M$26)</f>
        <v>94.261315255313988</v>
      </c>
      <c r="N14" s="65">
        <f>IF(SER_hh_tesh!N14=0,0,SER_hh_tesh!N14/SER_summary!N$26)</f>
        <v>99.101662677156042</v>
      </c>
      <c r="O14" s="65">
        <f>IF(SER_hh_tesh!O14=0,0,SER_hh_tesh!O14/SER_summary!O$26)</f>
        <v>106.61392912288221</v>
      </c>
      <c r="P14" s="65">
        <f>IF(SER_hh_tesh!P14=0,0,SER_hh_tesh!P14/SER_summary!P$26)</f>
        <v>85.362121991194968</v>
      </c>
      <c r="Q14" s="65">
        <f>IF(SER_hh_tesh!Q14=0,0,SER_hh_tesh!Q14/SER_summary!Q$26)</f>
        <v>94.196127053961163</v>
      </c>
      <c r="R14" s="65">
        <f>IF(SER_hh_tesh!R14=0,0,SER_hh_tesh!R14/SER_summary!R$26)</f>
        <v>94.619342924312846</v>
      </c>
      <c r="S14" s="65">
        <f>IF(SER_hh_tesh!S14=0,0,SER_hh_tesh!S14/SER_summary!S$26)</f>
        <v>95.591203974003776</v>
      </c>
      <c r="T14" s="65">
        <f>IF(SER_hh_tesh!T14=0,0,SER_hh_tesh!T14/SER_summary!T$26)</f>
        <v>96.255817992774595</v>
      </c>
      <c r="U14" s="65">
        <f>IF(SER_hh_tesh!U14=0,0,SER_hh_tesh!U14/SER_summary!U$26)</f>
        <v>105.39721624470303</v>
      </c>
      <c r="V14" s="65">
        <f>IF(SER_hh_tesh!V14=0,0,SER_hh_tesh!V14/SER_summary!V$26)</f>
        <v>96.936662952231003</v>
      </c>
      <c r="W14" s="65">
        <f>IF(SER_hh_tesh!W14=0,0,SER_hh_tesh!W14/SER_summary!W$26)</f>
        <v>104.23155384133662</v>
      </c>
      <c r="DA14" s="109" t="s">
        <v>518</v>
      </c>
    </row>
    <row r="15" spans="1:105" ht="12" customHeight="1" x14ac:dyDescent="0.25">
      <c r="A15" s="134" t="s">
        <v>80</v>
      </c>
      <c r="B15" s="135">
        <f>IF(SER_hh_tesh!B15=0,0,SER_hh_tesh!B15/SER_summary!B$26)</f>
        <v>1.5224848820604713</v>
      </c>
      <c r="C15" s="135">
        <f>IF(SER_hh_tesh!C15=0,0,SER_hh_tesh!C15/SER_summary!C$26)</f>
        <v>1.584148200424216</v>
      </c>
      <c r="D15" s="135">
        <f>IF(SER_hh_tesh!D15=0,0,SER_hh_tesh!D15/SER_summary!D$26)</f>
        <v>1.655754840745002</v>
      </c>
      <c r="E15" s="135">
        <f>IF(SER_hh_tesh!E15=0,0,SER_hh_tesh!E15/SER_summary!E$26)</f>
        <v>1.7865475436695204</v>
      </c>
      <c r="F15" s="135">
        <f>IF(SER_hh_tesh!F15=0,0,SER_hh_tesh!F15/SER_summary!F$26)</f>
        <v>1.8311279506486762</v>
      </c>
      <c r="G15" s="135">
        <f>IF(SER_hh_tesh!G15=0,0,SER_hh_tesh!G15/SER_summary!G$26)</f>
        <v>1.8669638430555444</v>
      </c>
      <c r="H15" s="135">
        <f>IF(SER_hh_tesh!H15=0,0,SER_hh_tesh!H15/SER_summary!H$26)</f>
        <v>1.7604748329813174</v>
      </c>
      <c r="I15" s="135">
        <f>IF(SER_hh_tesh!I15=0,0,SER_hh_tesh!I15/SER_summary!I$26)</f>
        <v>1.5516932330678792</v>
      </c>
      <c r="J15" s="135">
        <f>IF(SER_hh_tesh!J15=0,0,SER_hh_tesh!J15/SER_summary!J$26)</f>
        <v>1.8156558030382972</v>
      </c>
      <c r="K15" s="135">
        <f>IF(SER_hh_tesh!K15=0,0,SER_hh_tesh!K15/SER_summary!K$26)</f>
        <v>1.7402344030150683</v>
      </c>
      <c r="L15" s="135">
        <f>IF(SER_hh_tesh!L15=0,0,SER_hh_tesh!L15/SER_summary!L$26)</f>
        <v>1.8838767150953799</v>
      </c>
      <c r="M15" s="135">
        <f>IF(SER_hh_tesh!M15=0,0,SER_hh_tesh!M15/SER_summary!M$26)</f>
        <v>1.4655963439135971</v>
      </c>
      <c r="N15" s="135">
        <f>IF(SER_hh_tesh!N15=0,0,SER_hh_tesh!N15/SER_summary!N$26)</f>
        <v>1.590605789681709</v>
      </c>
      <c r="O15" s="135">
        <f>IF(SER_hh_tesh!O15=0,0,SER_hh_tesh!O15/SER_summary!O$26)</f>
        <v>1.7490004873156695</v>
      </c>
      <c r="P15" s="135">
        <f>IF(SER_hh_tesh!P15=0,0,SER_hh_tesh!P15/SER_summary!P$26)</f>
        <v>1.3066325163961685</v>
      </c>
      <c r="Q15" s="135">
        <f>IF(SER_hh_tesh!Q15=0,0,SER_hh_tesh!Q15/SER_summary!Q$26)</f>
        <v>1.5110508340745605</v>
      </c>
      <c r="R15" s="135">
        <f>IF(SER_hh_tesh!R15=0,0,SER_hh_tesh!R15/SER_summary!R$26)</f>
        <v>1.5267651103035351</v>
      </c>
      <c r="S15" s="135">
        <f>IF(SER_hh_tesh!S15=0,0,SER_hh_tesh!S15/SER_summary!S$26)</f>
        <v>1.5225237073124214</v>
      </c>
      <c r="T15" s="135">
        <f>IF(SER_hh_tesh!T15=0,0,SER_hh_tesh!T15/SER_summary!T$26)</f>
        <v>1.5411699994562786</v>
      </c>
      <c r="U15" s="135">
        <f>IF(SER_hh_tesh!U15=0,0,SER_hh_tesh!U15/SER_summary!U$26)</f>
        <v>1.5261643572694601</v>
      </c>
      <c r="V15" s="135">
        <f>IF(SER_hh_tesh!V15=0,0,SER_hh_tesh!V15/SER_summary!V$26)</f>
        <v>1.4763593149060756</v>
      </c>
      <c r="W15" s="135">
        <f>IF(SER_hh_tesh!W15=0,0,SER_hh_tesh!W15/SER_summary!W$26)</f>
        <v>1.5633610818259427</v>
      </c>
      <c r="DA15" s="158" t="s">
        <v>519</v>
      </c>
    </row>
    <row r="16" spans="1:105" ht="12.95" customHeight="1" x14ac:dyDescent="0.25">
      <c r="A16" s="130" t="s">
        <v>74</v>
      </c>
      <c r="B16" s="131">
        <f>IF(SER_hh_tesh!B16=0,0,SER_hh_tesh!B16/SER_summary!B$26)</f>
        <v>30.689287291440852</v>
      </c>
      <c r="C16" s="131">
        <f>IF(SER_hh_tesh!C16=0,0,SER_hh_tesh!C16/SER_summary!C$26)</f>
        <v>31.635090734337457</v>
      </c>
      <c r="D16" s="131">
        <f>IF(SER_hh_tesh!D16=0,0,SER_hh_tesh!D16/SER_summary!D$26)</f>
        <v>31.496101772226499</v>
      </c>
      <c r="E16" s="131">
        <f>IF(SER_hh_tesh!E16=0,0,SER_hh_tesh!E16/SER_summary!E$26)</f>
        <v>40.199305448886832</v>
      </c>
      <c r="F16" s="131">
        <f>IF(SER_hh_tesh!F16=0,0,SER_hh_tesh!F16/SER_summary!F$26)</f>
        <v>31.122201704904768</v>
      </c>
      <c r="G16" s="131">
        <f>IF(SER_hh_tesh!G16=0,0,SER_hh_tesh!G16/SER_summary!G$26)</f>
        <v>31.710365505008923</v>
      </c>
      <c r="H16" s="131">
        <f>IF(SER_hh_tesh!H16=0,0,SER_hh_tesh!H16/SER_summary!H$26)</f>
        <v>39.773124971294095</v>
      </c>
      <c r="I16" s="131">
        <f>IF(SER_hh_tesh!I16=0,0,SER_hh_tesh!I16/SER_summary!I$26)</f>
        <v>31.159037659659642</v>
      </c>
      <c r="J16" s="131">
        <f>IF(SER_hh_tesh!J16=0,0,SER_hh_tesh!J16/SER_summary!J$26)</f>
        <v>31.521526849022578</v>
      </c>
      <c r="K16" s="131">
        <f>IF(SER_hh_tesh!K16=0,0,SER_hh_tesh!K16/SER_summary!K$26)</f>
        <v>32.068779464128383</v>
      </c>
      <c r="L16" s="131">
        <f>IF(SER_hh_tesh!L16=0,0,SER_hh_tesh!L16/SER_summary!L$26)</f>
        <v>34.229282652850095</v>
      </c>
      <c r="M16" s="131">
        <f>IF(SER_hh_tesh!M16=0,0,SER_hh_tesh!M16/SER_summary!M$26)</f>
        <v>32.279866372488833</v>
      </c>
      <c r="N16" s="131">
        <f>IF(SER_hh_tesh!N16=0,0,SER_hh_tesh!N16/SER_summary!N$26)</f>
        <v>32.855070336853537</v>
      </c>
      <c r="O16" s="131">
        <f>IF(SER_hh_tesh!O16=0,0,SER_hh_tesh!O16/SER_summary!O$26)</f>
        <v>33.420555090557293</v>
      </c>
      <c r="P16" s="131">
        <f>IF(SER_hh_tesh!P16=0,0,SER_hh_tesh!P16/SER_summary!P$26)</f>
        <v>32.455821457066364</v>
      </c>
      <c r="Q16" s="131">
        <f>IF(SER_hh_tesh!Q16=0,0,SER_hh_tesh!Q16/SER_summary!Q$26)</f>
        <v>36.746456025010708</v>
      </c>
      <c r="R16" s="131">
        <f>IF(SER_hh_tesh!R16=0,0,SER_hh_tesh!R16/SER_summary!R$26)</f>
        <v>35.759727769280595</v>
      </c>
      <c r="S16" s="131">
        <f>IF(SER_hh_tesh!S16=0,0,SER_hh_tesh!S16/SER_summary!S$26)</f>
        <v>34.052371617233327</v>
      </c>
      <c r="T16" s="131">
        <f>IF(SER_hh_tesh!T16=0,0,SER_hh_tesh!T16/SER_summary!T$26)</f>
        <v>39.014441269964799</v>
      </c>
      <c r="U16" s="131">
        <f>IF(SER_hh_tesh!U16=0,0,SER_hh_tesh!U16/SER_summary!U$26)</f>
        <v>37.757606873906184</v>
      </c>
      <c r="V16" s="131">
        <f>IF(SER_hh_tesh!V16=0,0,SER_hh_tesh!V16/SER_summary!V$26)</f>
        <v>43.163926391922125</v>
      </c>
      <c r="W16" s="131">
        <f>IF(SER_hh_tesh!W16=0,0,SER_hh_tesh!W16/SER_summary!W$26)</f>
        <v>33.144665043787889</v>
      </c>
      <c r="DA16" s="156" t="s">
        <v>520</v>
      </c>
    </row>
    <row r="17" spans="1:105" ht="12.95" customHeight="1" x14ac:dyDescent="0.25">
      <c r="A17" s="132" t="s">
        <v>73</v>
      </c>
      <c r="B17" s="133">
        <f>IF(SER_hh_tesh!B17=0,0,SER_hh_tesh!B17/SER_summary!B$26)</f>
        <v>30.689287291440856</v>
      </c>
      <c r="C17" s="133">
        <f>IF(SER_hh_tesh!C17=0,0,SER_hh_tesh!C17/SER_summary!C$26)</f>
        <v>31.635086177301535</v>
      </c>
      <c r="D17" s="133">
        <f>IF(SER_hh_tesh!D17=0,0,SER_hh_tesh!D17/SER_summary!D$26)</f>
        <v>31.496105002887091</v>
      </c>
      <c r="E17" s="133">
        <f>IF(SER_hh_tesh!E17=0,0,SER_hh_tesh!E17/SER_summary!E$26)</f>
        <v>40.199307155698996</v>
      </c>
      <c r="F17" s="133">
        <f>IF(SER_hh_tesh!F17=0,0,SER_hh_tesh!F17/SER_summary!F$26)</f>
        <v>31.122201660723263</v>
      </c>
      <c r="G17" s="133">
        <f>IF(SER_hh_tesh!G17=0,0,SER_hh_tesh!G17/SER_summary!G$26)</f>
        <v>31.710364691369158</v>
      </c>
      <c r="H17" s="133">
        <f>IF(SER_hh_tesh!H17=0,0,SER_hh_tesh!H17/SER_summary!H$26)</f>
        <v>39.773123926919176</v>
      </c>
      <c r="I17" s="133">
        <f>IF(SER_hh_tesh!I17=0,0,SER_hh_tesh!I17/SER_summary!I$26)</f>
        <v>31.159037176473181</v>
      </c>
      <c r="J17" s="133">
        <f>IF(SER_hh_tesh!J17=0,0,SER_hh_tesh!J17/SER_summary!J$26)</f>
        <v>31.52152670184288</v>
      </c>
      <c r="K17" s="133">
        <f>IF(SER_hh_tesh!K17=0,0,SER_hh_tesh!K17/SER_summary!K$26)</f>
        <v>32.068779685180147</v>
      </c>
      <c r="L17" s="133">
        <f>IF(SER_hh_tesh!L17=0,0,SER_hh_tesh!L17/SER_summary!L$26)</f>
        <v>34.229283208049154</v>
      </c>
      <c r="M17" s="133">
        <f>IF(SER_hh_tesh!M17=0,0,SER_hh_tesh!M17/SER_summary!M$26)</f>
        <v>32.279867048030795</v>
      </c>
      <c r="N17" s="133">
        <f>IF(SER_hh_tesh!N17=0,0,SER_hh_tesh!N17/SER_summary!N$26)</f>
        <v>32.85507300785612</v>
      </c>
      <c r="O17" s="133">
        <f>IF(SER_hh_tesh!O17=0,0,SER_hh_tesh!O17/SER_summary!O$26)</f>
        <v>33.420556126208133</v>
      </c>
      <c r="P17" s="133">
        <f>IF(SER_hh_tesh!P17=0,0,SER_hh_tesh!P17/SER_summary!P$26)</f>
        <v>32.455820120971175</v>
      </c>
      <c r="Q17" s="133">
        <f>IF(SER_hh_tesh!Q17=0,0,SER_hh_tesh!Q17/SER_summary!Q$26)</f>
        <v>36.746451309523231</v>
      </c>
      <c r="R17" s="133">
        <f>IF(SER_hh_tesh!R17=0,0,SER_hh_tesh!R17/SER_summary!R$26)</f>
        <v>35.75972192387151</v>
      </c>
      <c r="S17" s="133">
        <f>IF(SER_hh_tesh!S17=0,0,SER_hh_tesh!S17/SER_summary!S$26)</f>
        <v>34.052366591936881</v>
      </c>
      <c r="T17" s="133">
        <f>IF(SER_hh_tesh!T17=0,0,SER_hh_tesh!T17/SER_summary!T$26)</f>
        <v>39.014437693712168</v>
      </c>
      <c r="U17" s="133">
        <f>IF(SER_hh_tesh!U17=0,0,SER_hh_tesh!U17/SER_summary!U$26)</f>
        <v>37.75760612919796</v>
      </c>
      <c r="V17" s="133">
        <f>IF(SER_hh_tesh!V17=0,0,SER_hh_tesh!V17/SER_summary!V$26)</f>
        <v>42.687682466175772</v>
      </c>
      <c r="W17" s="133">
        <f>IF(SER_hh_tesh!W17=0,0,SER_hh_tesh!W17/SER_summary!W$26)</f>
        <v>33.144667273103693</v>
      </c>
      <c r="DA17" s="157" t="s">
        <v>521</v>
      </c>
    </row>
    <row r="18" spans="1:105" ht="12" customHeight="1" x14ac:dyDescent="0.25">
      <c r="A18" s="132" t="s">
        <v>72</v>
      </c>
      <c r="B18" s="133">
        <f>IF(SER_hh_tesh!B18=0,0,SER_hh_tesh!B18/SER_summary!B$26)</f>
        <v>30.689287291440856</v>
      </c>
      <c r="C18" s="133">
        <f>IF(SER_hh_tesh!C18=0,0,SER_hh_tesh!C18/SER_summary!C$26)</f>
        <v>31.635090739153814</v>
      </c>
      <c r="D18" s="133">
        <f>IF(SER_hh_tesh!D18=0,0,SER_hh_tesh!D18/SER_summary!D$26)</f>
        <v>31.496101768568288</v>
      </c>
      <c r="E18" s="133">
        <f>IF(SER_hh_tesh!E18=0,0,SER_hh_tesh!E18/SER_summary!E$26)</f>
        <v>40.199305447326488</v>
      </c>
      <c r="F18" s="133">
        <f>IF(SER_hh_tesh!F18=0,0,SER_hh_tesh!F18/SER_summary!F$26)</f>
        <v>31.122201704964915</v>
      </c>
      <c r="G18" s="133">
        <f>IF(SER_hh_tesh!G18=0,0,SER_hh_tesh!G18/SER_summary!G$26)</f>
        <v>31.710365506268317</v>
      </c>
      <c r="H18" s="133">
        <f>IF(SER_hh_tesh!H18=0,0,SER_hh_tesh!H18/SER_summary!H$26)</f>
        <v>39.773124972799849</v>
      </c>
      <c r="I18" s="133">
        <f>IF(SER_hh_tesh!I18=0,0,SER_hh_tesh!I18/SER_summary!I$26)</f>
        <v>31.159037660551707</v>
      </c>
      <c r="J18" s="133">
        <f>IF(SER_hh_tesh!J18=0,0,SER_hh_tesh!J18/SER_summary!J$26)</f>
        <v>31.521526849343253</v>
      </c>
      <c r="K18" s="133">
        <f>IF(SER_hh_tesh!K18=0,0,SER_hh_tesh!K18/SER_summary!K$26)</f>
        <v>32.068779463594787</v>
      </c>
      <c r="L18" s="133">
        <f>IF(SER_hh_tesh!L18=0,0,SER_hh_tesh!L18/SER_summary!L$26)</f>
        <v>34.229282651546477</v>
      </c>
      <c r="M18" s="133">
        <f>IF(SER_hh_tesh!M18=0,0,SER_hh_tesh!M18/SER_summary!M$26)</f>
        <v>32.279866370794906</v>
      </c>
      <c r="N18" s="133">
        <f>IF(SER_hh_tesh!N18=0,0,SER_hh_tesh!N18/SER_summary!N$26)</f>
        <v>32.855070329707992</v>
      </c>
      <c r="O18" s="133">
        <f>IF(SER_hh_tesh!O18=0,0,SER_hh_tesh!O18/SER_summary!O$26)</f>
        <v>33.420555087399556</v>
      </c>
      <c r="P18" s="133">
        <f>IF(SER_hh_tesh!P18=0,0,SER_hh_tesh!P18/SER_summary!P$26)</f>
        <v>32.455821462191267</v>
      </c>
      <c r="Q18" s="133">
        <f>IF(SER_hh_tesh!Q18=0,0,SER_hh_tesh!Q18/SER_summary!Q$26)</f>
        <v>36.746456049032098</v>
      </c>
      <c r="R18" s="133">
        <f>IF(SER_hh_tesh!R18=0,0,SER_hh_tesh!R18/SER_summary!R$26)</f>
        <v>35.759727803505015</v>
      </c>
      <c r="S18" s="133">
        <f>IF(SER_hh_tesh!S18=0,0,SER_hh_tesh!S18/SER_summary!S$26)</f>
        <v>34.052371648222419</v>
      </c>
      <c r="T18" s="133">
        <f>IF(SER_hh_tesh!T18=0,0,SER_hh_tesh!T18/SER_summary!T$26)</f>
        <v>39.014441294850272</v>
      </c>
      <c r="U18" s="133">
        <f>IF(SER_hh_tesh!U18=0,0,SER_hh_tesh!U18/SER_summary!U$26)</f>
        <v>37.757606879859459</v>
      </c>
      <c r="V18" s="133">
        <f>IF(SER_hh_tesh!V18=0,0,SER_hh_tesh!V18/SER_summary!V$26)</f>
        <v>43.168213326084285</v>
      </c>
      <c r="W18" s="133">
        <f>IF(SER_hh_tesh!W18=0,0,SER_hh_tesh!W18/SER_summary!W$26)</f>
        <v>33.144665026105734</v>
      </c>
      <c r="DA18" s="157" t="s">
        <v>522</v>
      </c>
    </row>
    <row r="19" spans="1:105" ht="12.95" customHeight="1" x14ac:dyDescent="0.25">
      <c r="A19" s="130" t="s">
        <v>35</v>
      </c>
      <c r="B19" s="131">
        <f>IF(SER_hh_tesh!B19=0,0,SER_hh_tesh!B19/SER_summary!B$26)</f>
        <v>14.001176981576728</v>
      </c>
      <c r="C19" s="131">
        <f>IF(SER_hh_tesh!C19=0,0,SER_hh_tesh!C19/SER_summary!C$26)</f>
        <v>14.004332351822018</v>
      </c>
      <c r="D19" s="131">
        <f>IF(SER_hh_tesh!D19=0,0,SER_hh_tesh!D19/SER_summary!D$26)</f>
        <v>14.014834075039881</v>
      </c>
      <c r="E19" s="131">
        <f>IF(SER_hh_tesh!E19=0,0,SER_hh_tesh!E19/SER_summary!E$26)</f>
        <v>14.097082553614305</v>
      </c>
      <c r="F19" s="131">
        <f>IF(SER_hh_tesh!F19=0,0,SER_hh_tesh!F19/SER_summary!F$26)</f>
        <v>13.900715606436956</v>
      </c>
      <c r="G19" s="131">
        <f>IF(SER_hh_tesh!G19=0,0,SER_hh_tesh!G19/SER_summary!G$26)</f>
        <v>13.730256199643382</v>
      </c>
      <c r="H19" s="131">
        <f>IF(SER_hh_tesh!H19=0,0,SER_hh_tesh!H19/SER_summary!H$26)</f>
        <v>13.741452512810529</v>
      </c>
      <c r="I19" s="131">
        <f>IF(SER_hh_tesh!I19=0,0,SER_hh_tesh!I19/SER_summary!I$26)</f>
        <v>13.649303066168599</v>
      </c>
      <c r="J19" s="131">
        <f>IF(SER_hh_tesh!J19=0,0,SER_hh_tesh!J19/SER_summary!J$26)</f>
        <v>13.624043704472312</v>
      </c>
      <c r="K19" s="131">
        <f>IF(SER_hh_tesh!K19=0,0,SER_hh_tesh!K19/SER_summary!K$26)</f>
        <v>13.885835587480205</v>
      </c>
      <c r="L19" s="131">
        <f>IF(SER_hh_tesh!L19=0,0,SER_hh_tesh!L19/SER_summary!L$26)</f>
        <v>13.854895524060073</v>
      </c>
      <c r="M19" s="131">
        <f>IF(SER_hh_tesh!M19=0,0,SER_hh_tesh!M19/SER_summary!M$26)</f>
        <v>13.973582803639729</v>
      </c>
      <c r="N19" s="131">
        <f>IF(SER_hh_tesh!N19=0,0,SER_hh_tesh!N19/SER_summary!N$26)</f>
        <v>14.231412873465876</v>
      </c>
      <c r="O19" s="131">
        <f>IF(SER_hh_tesh!O19=0,0,SER_hh_tesh!O19/SER_summary!O$26)</f>
        <v>14.489104753793205</v>
      </c>
      <c r="P19" s="131">
        <f>IF(SER_hh_tesh!P19=0,0,SER_hh_tesh!P19/SER_summary!P$26)</f>
        <v>14.605576396652765</v>
      </c>
      <c r="Q19" s="131">
        <f>IF(SER_hh_tesh!Q19=0,0,SER_hh_tesh!Q19/SER_summary!Q$26)</f>
        <v>14.689574548438221</v>
      </c>
      <c r="R19" s="131">
        <f>IF(SER_hh_tesh!R19=0,0,SER_hh_tesh!R19/SER_summary!R$26)</f>
        <v>14.677496203472126</v>
      </c>
      <c r="S19" s="131">
        <f>IF(SER_hh_tesh!S19=0,0,SER_hh_tesh!S19/SER_summary!S$26)</f>
        <v>14.784076864622842</v>
      </c>
      <c r="T19" s="131">
        <f>IF(SER_hh_tesh!T19=0,0,SER_hh_tesh!T19/SER_summary!T$26)</f>
        <v>14.761236629107511</v>
      </c>
      <c r="U19" s="131">
        <f>IF(SER_hh_tesh!U19=0,0,SER_hh_tesh!U19/SER_summary!U$26)</f>
        <v>14.742289273417793</v>
      </c>
      <c r="V19" s="131">
        <f>IF(SER_hh_tesh!V19=0,0,SER_hh_tesh!V19/SER_summary!V$26)</f>
        <v>14.056668849224256</v>
      </c>
      <c r="W19" s="131">
        <f>IF(SER_hh_tesh!W19=0,0,SER_hh_tesh!W19/SER_summary!W$26)</f>
        <v>14.938304481006217</v>
      </c>
      <c r="DA19" s="156" t="s">
        <v>523</v>
      </c>
    </row>
    <row r="20" spans="1:105" ht="12" customHeight="1" x14ac:dyDescent="0.25">
      <c r="A20" s="132" t="s">
        <v>29</v>
      </c>
      <c r="B20" s="133">
        <f>IF(SER_hh_tesh!B20=0,0,SER_hh_tesh!B20/SER_summary!B$26)</f>
        <v>0</v>
      </c>
      <c r="C20" s="133">
        <f>IF(SER_hh_tesh!C20=0,0,SER_hh_tesh!C20/SER_summary!C$26)</f>
        <v>0</v>
      </c>
      <c r="D20" s="133">
        <f>IF(SER_hh_tesh!D20=0,0,SER_hh_tesh!D20/SER_summary!D$26)</f>
        <v>0</v>
      </c>
      <c r="E20" s="133">
        <f>IF(SER_hh_tesh!E20=0,0,SER_hh_tesh!E20/SER_summary!E$26)</f>
        <v>0</v>
      </c>
      <c r="F20" s="133">
        <f>IF(SER_hh_tesh!F20=0,0,SER_hh_tesh!F20/SER_summary!F$26)</f>
        <v>0</v>
      </c>
      <c r="G20" s="133">
        <f>IF(SER_hh_tesh!G20=0,0,SER_hh_tesh!G20/SER_summary!G$26)</f>
        <v>0</v>
      </c>
      <c r="H20" s="133">
        <f>IF(SER_hh_tesh!H20=0,0,SER_hh_tesh!H20/SER_summary!H$26)</f>
        <v>0</v>
      </c>
      <c r="I20" s="133">
        <f>IF(SER_hh_tesh!I20=0,0,SER_hh_tesh!I20/SER_summary!I$26)</f>
        <v>0</v>
      </c>
      <c r="J20" s="133">
        <f>IF(SER_hh_tesh!J20=0,0,SER_hh_tesh!J20/SER_summary!J$26)</f>
        <v>0</v>
      </c>
      <c r="K20" s="133">
        <f>IF(SER_hh_tesh!K20=0,0,SER_hh_tesh!K20/SER_summary!K$26)</f>
        <v>0</v>
      </c>
      <c r="L20" s="133">
        <f>IF(SER_hh_tesh!L20=0,0,SER_hh_tesh!L20/SER_summary!L$26)</f>
        <v>0</v>
      </c>
      <c r="M20" s="133">
        <f>IF(SER_hh_tesh!M20=0,0,SER_hh_tesh!M20/SER_summary!M$26)</f>
        <v>0</v>
      </c>
      <c r="N20" s="133">
        <f>IF(SER_hh_tesh!N20=0,0,SER_hh_tesh!N20/SER_summary!N$26)</f>
        <v>0</v>
      </c>
      <c r="O20" s="133">
        <f>IF(SER_hh_tesh!O20=0,0,SER_hh_tesh!O20/SER_summary!O$26)</f>
        <v>0</v>
      </c>
      <c r="P20" s="133">
        <f>IF(SER_hh_tesh!P20=0,0,SER_hh_tesh!P20/SER_summary!P$26)</f>
        <v>0</v>
      </c>
      <c r="Q20" s="133">
        <f>IF(SER_hh_tesh!Q20=0,0,SER_hh_tesh!Q20/SER_summary!Q$26)</f>
        <v>0</v>
      </c>
      <c r="R20" s="133">
        <f>IF(SER_hh_tesh!R20=0,0,SER_hh_tesh!R20/SER_summary!R$26)</f>
        <v>0</v>
      </c>
      <c r="S20" s="133">
        <f>IF(SER_hh_tesh!S20=0,0,SER_hh_tesh!S20/SER_summary!S$26)</f>
        <v>0</v>
      </c>
      <c r="T20" s="133">
        <f>IF(SER_hh_tesh!T20=0,0,SER_hh_tesh!T20/SER_summary!T$26)</f>
        <v>0</v>
      </c>
      <c r="U20" s="133">
        <f>IF(SER_hh_tesh!U20=0,0,SER_hh_tesh!U20/SER_summary!U$26)</f>
        <v>0</v>
      </c>
      <c r="V20" s="133">
        <f>IF(SER_hh_tesh!V20=0,0,SER_hh_tesh!V20/SER_summary!V$26)</f>
        <v>0</v>
      </c>
      <c r="W20" s="133">
        <f>IF(SER_hh_tesh!W20=0,0,SER_hh_tesh!W20/SER_summary!W$26)</f>
        <v>0</v>
      </c>
      <c r="DA20" s="157" t="s">
        <v>524</v>
      </c>
    </row>
    <row r="21" spans="1:105" s="2" customFormat="1" ht="12" customHeight="1" x14ac:dyDescent="0.25">
      <c r="A21" s="132" t="s">
        <v>52</v>
      </c>
      <c r="B21" s="133">
        <f>IF(SER_hh_tesh!B21=0,0,SER_hh_tesh!B21/SER_summary!B$26)</f>
        <v>13.90657075774476</v>
      </c>
      <c r="C21" s="133">
        <f>IF(SER_hh_tesh!C21=0,0,SER_hh_tesh!C21/SER_summary!C$26)</f>
        <v>14.074178998603967</v>
      </c>
      <c r="D21" s="133">
        <f>IF(SER_hh_tesh!D21=0,0,SER_hh_tesh!D21/SER_summary!D$26)</f>
        <v>14.150854376701373</v>
      </c>
      <c r="E21" s="133">
        <f>IF(SER_hh_tesh!E21=0,0,SER_hh_tesh!E21/SER_summary!E$26)</f>
        <v>14.812455356354452</v>
      </c>
      <c r="F21" s="133">
        <f>IF(SER_hh_tesh!F21=0,0,SER_hh_tesh!F21/SER_summary!F$26)</f>
        <v>16.430353840681526</v>
      </c>
      <c r="G21" s="133">
        <f>IF(SER_hh_tesh!G21=0,0,SER_hh_tesh!G21/SER_summary!G$26)</f>
        <v>10.490452127798488</v>
      </c>
      <c r="H21" s="133">
        <f>IF(SER_hh_tesh!H21=0,0,SER_hh_tesh!H21/SER_summary!H$26)</f>
        <v>12.78154707723902</v>
      </c>
      <c r="I21" s="133">
        <f>IF(SER_hh_tesh!I21=0,0,SER_hh_tesh!I21/SER_summary!I$26)</f>
        <v>13.903520872156937</v>
      </c>
      <c r="J21" s="133">
        <f>IF(SER_hh_tesh!J21=0,0,SER_hh_tesh!J21/SER_summary!J$26)</f>
        <v>12.580201052151759</v>
      </c>
      <c r="K21" s="133">
        <f>IF(SER_hh_tesh!K21=0,0,SER_hh_tesh!K21/SER_summary!K$26)</f>
        <v>13.24188259851552</v>
      </c>
      <c r="L21" s="133">
        <f>IF(SER_hh_tesh!L21=0,0,SER_hh_tesh!L21/SER_summary!L$26)</f>
        <v>12.445656559384215</v>
      </c>
      <c r="M21" s="133">
        <f>IF(SER_hh_tesh!M21=0,0,SER_hh_tesh!M21/SER_summary!M$26)</f>
        <v>13.22441740149778</v>
      </c>
      <c r="N21" s="133">
        <f>IF(SER_hh_tesh!N21=0,0,SER_hh_tesh!N21/SER_summary!N$26)</f>
        <v>14.634250106064131</v>
      </c>
      <c r="O21" s="133">
        <f>IF(SER_hh_tesh!O21=0,0,SER_hh_tesh!O21/SER_summary!O$26)</f>
        <v>14.853097203734837</v>
      </c>
      <c r="P21" s="133">
        <f>IF(SER_hh_tesh!P21=0,0,SER_hh_tesh!P21/SER_summary!P$26)</f>
        <v>14.072375409550004</v>
      </c>
      <c r="Q21" s="133">
        <f>IF(SER_hh_tesh!Q21=0,0,SER_hh_tesh!Q21/SER_summary!Q$26)</f>
        <v>14.781357818018593</v>
      </c>
      <c r="R21" s="133">
        <f>IF(SER_hh_tesh!R21=0,0,SER_hh_tesh!R21/SER_summary!R$26)</f>
        <v>14.493358282257438</v>
      </c>
      <c r="S21" s="133">
        <f>IF(SER_hh_tesh!S21=0,0,SER_hh_tesh!S21/SER_summary!S$26)</f>
        <v>14.916017112016</v>
      </c>
      <c r="T21" s="133">
        <f>IF(SER_hh_tesh!T21=0,0,SER_hh_tesh!T21/SER_summary!T$26)</f>
        <v>15.211074832756911</v>
      </c>
      <c r="U21" s="133">
        <f>IF(SER_hh_tesh!U21=0,0,SER_hh_tesh!U21/SER_summary!U$26)</f>
        <v>15.259993485318518</v>
      </c>
      <c r="V21" s="133">
        <f>IF(SER_hh_tesh!V21=0,0,SER_hh_tesh!V21/SER_summary!V$26)</f>
        <v>13.43270882076952</v>
      </c>
      <c r="W21" s="133">
        <f>IF(SER_hh_tesh!W21=0,0,SER_hh_tesh!W21/SER_summary!W$26)</f>
        <v>15.251614471941524</v>
      </c>
      <c r="DA21" s="157" t="s">
        <v>525</v>
      </c>
    </row>
    <row r="22" spans="1:105" ht="12" customHeight="1" x14ac:dyDescent="0.25">
      <c r="A22" s="132" t="s">
        <v>168</v>
      </c>
      <c r="B22" s="133">
        <f>IF(SER_hh_tesh!B22=0,0,SER_hh_tesh!B22/SER_summary!B$26)</f>
        <v>14.043057694933553</v>
      </c>
      <c r="C22" s="133">
        <f>IF(SER_hh_tesh!C22=0,0,SER_hh_tesh!C22/SER_summary!C$26)</f>
        <v>13.990843206796796</v>
      </c>
      <c r="D22" s="133">
        <f>IF(SER_hh_tesh!D22=0,0,SER_hh_tesh!D22/SER_summary!D$26)</f>
        <v>14.001284224724033</v>
      </c>
      <c r="E22" s="133">
        <f>IF(SER_hh_tesh!E22=0,0,SER_hh_tesh!E22/SER_summary!E$26)</f>
        <v>14.042698151281117</v>
      </c>
      <c r="F22" s="133">
        <f>IF(SER_hh_tesh!F22=0,0,SER_hh_tesh!F22/SER_summary!F$26)</f>
        <v>13.914557407552801</v>
      </c>
      <c r="G22" s="133">
        <f>IF(SER_hh_tesh!G22=0,0,SER_hh_tesh!G22/SER_summary!G$26)</f>
        <v>13.760382839677902</v>
      </c>
      <c r="H22" s="133">
        <f>IF(SER_hh_tesh!H22=0,0,SER_hh_tesh!H22/SER_summary!H$26)</f>
        <v>13.779940782586264</v>
      </c>
      <c r="I22" s="133">
        <f>IF(SER_hh_tesh!I22=0,0,SER_hh_tesh!I22/SER_summary!I$26)</f>
        <v>13.810152934857566</v>
      </c>
      <c r="J22" s="133">
        <f>IF(SER_hh_tesh!J22=0,0,SER_hh_tesh!J22/SER_summary!J$26)</f>
        <v>13.503769633595295</v>
      </c>
      <c r="K22" s="133">
        <f>IF(SER_hh_tesh!K22=0,0,SER_hh_tesh!K22/SER_summary!K$26)</f>
        <v>13.705067657771831</v>
      </c>
      <c r="L22" s="133">
        <f>IF(SER_hh_tesh!L22=0,0,SER_hh_tesh!L22/SER_summary!L$26)</f>
        <v>13.79602203276175</v>
      </c>
      <c r="M22" s="133">
        <f>IF(SER_hh_tesh!M22=0,0,SER_hh_tesh!M22/SER_summary!M$26)</f>
        <v>14.042824458139833</v>
      </c>
      <c r="N22" s="133">
        <f>IF(SER_hh_tesh!N22=0,0,SER_hh_tesh!N22/SER_summary!N$26)</f>
        <v>14.186413248144428</v>
      </c>
      <c r="O22" s="133">
        <f>IF(SER_hh_tesh!O22=0,0,SER_hh_tesh!O22/SER_summary!O$26)</f>
        <v>14.414395523296291</v>
      </c>
      <c r="P22" s="133">
        <f>IF(SER_hh_tesh!P22=0,0,SER_hh_tesh!P22/SER_summary!P$26)</f>
        <v>14.583109624044747</v>
      </c>
      <c r="Q22" s="133">
        <f>IF(SER_hh_tesh!Q22=0,0,SER_hh_tesh!Q22/SER_summary!Q$26)</f>
        <v>14.780971919912881</v>
      </c>
      <c r="R22" s="133">
        <f>IF(SER_hh_tesh!R22=0,0,SER_hh_tesh!R22/SER_summary!R$26)</f>
        <v>14.67821526122643</v>
      </c>
      <c r="S22" s="133">
        <f>IF(SER_hh_tesh!S22=0,0,SER_hh_tesh!S22/SER_summary!S$26)</f>
        <v>14.841002737596931</v>
      </c>
      <c r="T22" s="133">
        <f>IF(SER_hh_tesh!T22=0,0,SER_hh_tesh!T22/SER_summary!T$26)</f>
        <v>14.804653807229069</v>
      </c>
      <c r="U22" s="133">
        <f>IF(SER_hh_tesh!U22=0,0,SER_hh_tesh!U22/SER_summary!U$26)</f>
        <v>14.770380933418586</v>
      </c>
      <c r="V22" s="133">
        <f>IF(SER_hh_tesh!V22=0,0,SER_hh_tesh!V22/SER_summary!V$26)</f>
        <v>13.6460010451298</v>
      </c>
      <c r="W22" s="133">
        <f>IF(SER_hh_tesh!W22=0,0,SER_hh_tesh!W22/SER_summary!W$26)</f>
        <v>15.115638085051497</v>
      </c>
      <c r="DA22" s="157" t="s">
        <v>526</v>
      </c>
    </row>
    <row r="23" spans="1:105" ht="12" customHeight="1" x14ac:dyDescent="0.25">
      <c r="A23" s="132" t="s">
        <v>153</v>
      </c>
      <c r="B23" s="133">
        <f>IF(SER_hh_tesh!B23=0,0,SER_hh_tesh!B23/SER_summary!B$26)</f>
        <v>13.995820762081786</v>
      </c>
      <c r="C23" s="133">
        <f>IF(SER_hh_tesh!C23=0,0,SER_hh_tesh!C23/SER_summary!C$26)</f>
        <v>14.097476058906246</v>
      </c>
      <c r="D23" s="133">
        <f>IF(SER_hh_tesh!D23=0,0,SER_hh_tesh!D23/SER_summary!D$26)</f>
        <v>13.89798922717568</v>
      </c>
      <c r="E23" s="133">
        <f>IF(SER_hh_tesh!E23=0,0,SER_hh_tesh!E23/SER_summary!E$26)</f>
        <v>14.030664817945343</v>
      </c>
      <c r="F23" s="133">
        <f>IF(SER_hh_tesh!F23=0,0,SER_hh_tesh!F23/SER_summary!F$26)</f>
        <v>13.858056621514677</v>
      </c>
      <c r="G23" s="133">
        <f>IF(SER_hh_tesh!G23=0,0,SER_hh_tesh!G23/SER_summary!G$26)</f>
        <v>13.812252315819668</v>
      </c>
      <c r="H23" s="133">
        <f>IF(SER_hh_tesh!H23=0,0,SER_hh_tesh!H23/SER_summary!H$26)</f>
        <v>13.685148508783566</v>
      </c>
      <c r="I23" s="133">
        <f>IF(SER_hh_tesh!I23=0,0,SER_hh_tesh!I23/SER_summary!I$26)</f>
        <v>13.5805974737222</v>
      </c>
      <c r="J23" s="133">
        <f>IF(SER_hh_tesh!J23=0,0,SER_hh_tesh!J23/SER_summary!J$26)</f>
        <v>13.570802872969347</v>
      </c>
      <c r="K23" s="133">
        <f>IF(SER_hh_tesh!K23=0,0,SER_hh_tesh!K23/SER_summary!K$26)</f>
        <v>13.82360974324507</v>
      </c>
      <c r="L23" s="133">
        <f>IF(SER_hh_tesh!L23=0,0,SER_hh_tesh!L23/SER_summary!L$26)</f>
        <v>13.818289733660231</v>
      </c>
      <c r="M23" s="133">
        <f>IF(SER_hh_tesh!M23=0,0,SER_hh_tesh!M23/SER_summary!M$26)</f>
        <v>13.919678877128399</v>
      </c>
      <c r="N23" s="133">
        <f>IF(SER_hh_tesh!N23=0,0,SER_hh_tesh!N23/SER_summary!N$26)</f>
        <v>14.256817097183788</v>
      </c>
      <c r="O23" s="133">
        <f>IF(SER_hh_tesh!O23=0,0,SER_hh_tesh!O23/SER_summary!O$26)</f>
        <v>14.487328334021859</v>
      </c>
      <c r="P23" s="133">
        <f>IF(SER_hh_tesh!P23=0,0,SER_hh_tesh!P23/SER_summary!P$26)</f>
        <v>14.598810048658285</v>
      </c>
      <c r="Q23" s="133">
        <f>IF(SER_hh_tesh!Q23=0,0,SER_hh_tesh!Q23/SER_summary!Q$26)</f>
        <v>14.667866836698522</v>
      </c>
      <c r="R23" s="133">
        <f>IF(SER_hh_tesh!R23=0,0,SER_hh_tesh!R23/SER_summary!R$26)</f>
        <v>14.650439875317144</v>
      </c>
      <c r="S23" s="133">
        <f>IF(SER_hh_tesh!S23=0,0,SER_hh_tesh!S23/SER_summary!S$26)</f>
        <v>14.756182648917243</v>
      </c>
      <c r="T23" s="133">
        <f>IF(SER_hh_tesh!T23=0,0,SER_hh_tesh!T23/SER_summary!T$26)</f>
        <v>14.699997792655537</v>
      </c>
      <c r="U23" s="133">
        <f>IF(SER_hh_tesh!U23=0,0,SER_hh_tesh!U23/SER_summary!U$26)</f>
        <v>14.650385214020556</v>
      </c>
      <c r="V23" s="133">
        <f>IF(SER_hh_tesh!V23=0,0,SER_hh_tesh!V23/SER_summary!V$26)</f>
        <v>14.089844384908323</v>
      </c>
      <c r="W23" s="133">
        <f>IF(SER_hh_tesh!W23=0,0,SER_hh_tesh!W23/SER_summary!W$26)</f>
        <v>14.895775939457559</v>
      </c>
      <c r="DA23" s="157" t="s">
        <v>527</v>
      </c>
    </row>
    <row r="24" spans="1:105" ht="12" customHeight="1" x14ac:dyDescent="0.25">
      <c r="A24" s="132" t="s">
        <v>128</v>
      </c>
      <c r="B24" s="133">
        <f>IF(SER_hh_tesh!B24=0,0,SER_hh_tesh!B24/SER_summary!B$26)</f>
        <v>0</v>
      </c>
      <c r="C24" s="133">
        <f>IF(SER_hh_tesh!C24=0,0,SER_hh_tesh!C24/SER_summary!C$26)</f>
        <v>0</v>
      </c>
      <c r="D24" s="133">
        <f>IF(SER_hh_tesh!D24=0,0,SER_hh_tesh!D24/SER_summary!D$26)</f>
        <v>0</v>
      </c>
      <c r="E24" s="133">
        <f>IF(SER_hh_tesh!E24=0,0,SER_hh_tesh!E24/SER_summary!E$26)</f>
        <v>0</v>
      </c>
      <c r="F24" s="133">
        <f>IF(SER_hh_tesh!F24=0,0,SER_hh_tesh!F24/SER_summary!F$26)</f>
        <v>0</v>
      </c>
      <c r="G24" s="133">
        <f>IF(SER_hh_tesh!G24=0,0,SER_hh_tesh!G24/SER_summary!G$26)</f>
        <v>0</v>
      </c>
      <c r="H24" s="133">
        <f>IF(SER_hh_tesh!H24=0,0,SER_hh_tesh!H24/SER_summary!H$26)</f>
        <v>0</v>
      </c>
      <c r="I24" s="133">
        <f>IF(SER_hh_tesh!I24=0,0,SER_hh_tesh!I24/SER_summary!I$26)</f>
        <v>0</v>
      </c>
      <c r="J24" s="133">
        <f>IF(SER_hh_tesh!J24=0,0,SER_hh_tesh!J24/SER_summary!J$26)</f>
        <v>0</v>
      </c>
      <c r="K24" s="133">
        <f>IF(SER_hh_tesh!K24=0,0,SER_hh_tesh!K24/SER_summary!K$26)</f>
        <v>0</v>
      </c>
      <c r="L24" s="133">
        <f>IF(SER_hh_tesh!L24=0,0,SER_hh_tesh!L24/SER_summary!L$26)</f>
        <v>0</v>
      </c>
      <c r="M24" s="133">
        <f>IF(SER_hh_tesh!M24=0,0,SER_hh_tesh!M24/SER_summary!M$26)</f>
        <v>0</v>
      </c>
      <c r="N24" s="133">
        <f>IF(SER_hh_tesh!N24=0,0,SER_hh_tesh!N24/SER_summary!N$26)</f>
        <v>0</v>
      </c>
      <c r="O24" s="133">
        <f>IF(SER_hh_tesh!O24=0,0,SER_hh_tesh!O24/SER_summary!O$26)</f>
        <v>0</v>
      </c>
      <c r="P24" s="133">
        <f>IF(SER_hh_tesh!P24=0,0,SER_hh_tesh!P24/SER_summary!P$26)</f>
        <v>0</v>
      </c>
      <c r="Q24" s="133">
        <f>IF(SER_hh_tesh!Q24=0,0,SER_hh_tesh!Q24/SER_summary!Q$26)</f>
        <v>0</v>
      </c>
      <c r="R24" s="133">
        <f>IF(SER_hh_tesh!R24=0,0,SER_hh_tesh!R24/SER_summary!R$26)</f>
        <v>0</v>
      </c>
      <c r="S24" s="133">
        <f>IF(SER_hh_tesh!S24=0,0,SER_hh_tesh!S24/SER_summary!S$26)</f>
        <v>0</v>
      </c>
      <c r="T24" s="133">
        <f>IF(SER_hh_tesh!T24=0,0,SER_hh_tesh!T24/SER_summary!T$26)</f>
        <v>0</v>
      </c>
      <c r="U24" s="133">
        <f>IF(SER_hh_tesh!U24=0,0,SER_hh_tesh!U24/SER_summary!U$26)</f>
        <v>0</v>
      </c>
      <c r="V24" s="133">
        <f>IF(SER_hh_tesh!V24=0,0,SER_hh_tesh!V24/SER_summary!V$26)</f>
        <v>0</v>
      </c>
      <c r="W24" s="133">
        <f>IF(SER_hh_tesh!W24=0,0,SER_hh_tesh!W24/SER_summary!W$26)</f>
        <v>0</v>
      </c>
      <c r="DA24" s="157" t="s">
        <v>528</v>
      </c>
    </row>
    <row r="25" spans="1:105" ht="12" customHeight="1" x14ac:dyDescent="0.25">
      <c r="A25" s="132" t="s">
        <v>169</v>
      </c>
      <c r="B25" s="133">
        <f>IF(SER_hh_tesh!B25=0,0,SER_hh_tesh!B25/SER_summary!B$26)</f>
        <v>14.052779458539478</v>
      </c>
      <c r="C25" s="133">
        <f>IF(SER_hh_tesh!C25=0,0,SER_hh_tesh!C25/SER_summary!C$26)</f>
        <v>13.938107189577249</v>
      </c>
      <c r="D25" s="133">
        <f>IF(SER_hh_tesh!D25=0,0,SER_hh_tesh!D25/SER_summary!D$26)</f>
        <v>14.030693703252783</v>
      </c>
      <c r="E25" s="133">
        <f>IF(SER_hh_tesh!E25=0,0,SER_hh_tesh!E25/SER_summary!E$26)</f>
        <v>13.93526392819077</v>
      </c>
      <c r="F25" s="133">
        <f>IF(SER_hh_tesh!F25=0,0,SER_hh_tesh!F25/SER_summary!F$26)</f>
        <v>13.880186161808558</v>
      </c>
      <c r="G25" s="133">
        <f>IF(SER_hh_tesh!G25=0,0,SER_hh_tesh!G25/SER_summary!G$26)</f>
        <v>13.849843491692351</v>
      </c>
      <c r="H25" s="133">
        <f>IF(SER_hh_tesh!H25=0,0,SER_hh_tesh!H25/SER_summary!H$26)</f>
        <v>13.796826937256485</v>
      </c>
      <c r="I25" s="133">
        <f>IF(SER_hh_tesh!I25=0,0,SER_hh_tesh!I25/SER_summary!I$26)</f>
        <v>13.620353147062007</v>
      </c>
      <c r="J25" s="133">
        <f>IF(SER_hh_tesh!J25=0,0,SER_hh_tesh!J25/SER_summary!J$26)</f>
        <v>13.653237806601499</v>
      </c>
      <c r="K25" s="133">
        <f>IF(SER_hh_tesh!K25=0,0,SER_hh_tesh!K25/SER_summary!K$26)</f>
        <v>13.802565149890157</v>
      </c>
      <c r="L25" s="133">
        <f>IF(SER_hh_tesh!L25=0,0,SER_hh_tesh!L25/SER_summary!L$26)</f>
        <v>13.875373868495764</v>
      </c>
      <c r="M25" s="133">
        <f>IF(SER_hh_tesh!M25=0,0,SER_hh_tesh!M25/SER_summary!M$26)</f>
        <v>13.923042218331805</v>
      </c>
      <c r="N25" s="133">
        <f>IF(SER_hh_tesh!N25=0,0,SER_hh_tesh!N25/SER_summary!N$26)</f>
        <v>14.049961652000533</v>
      </c>
      <c r="O25" s="133">
        <f>IF(SER_hh_tesh!O25=0,0,SER_hh_tesh!O25/SER_summary!O$26)</f>
        <v>14.14745794269114</v>
      </c>
      <c r="P25" s="133">
        <f>IF(SER_hh_tesh!P25=0,0,SER_hh_tesh!P25/SER_summary!P$26)</f>
        <v>14.524397479340655</v>
      </c>
      <c r="Q25" s="133">
        <f>IF(SER_hh_tesh!Q25=0,0,SER_hh_tesh!Q25/SER_summary!Q$26)</f>
        <v>14.857826934429756</v>
      </c>
      <c r="R25" s="133">
        <f>IF(SER_hh_tesh!R25=0,0,SER_hh_tesh!R25/SER_summary!R$26)</f>
        <v>14.86907861114326</v>
      </c>
      <c r="S25" s="133">
        <f>IF(SER_hh_tesh!S25=0,0,SER_hh_tesh!S25/SER_summary!S$26)</f>
        <v>14.803344192579498</v>
      </c>
      <c r="T25" s="133">
        <f>IF(SER_hh_tesh!T25=0,0,SER_hh_tesh!T25/SER_summary!T$26)</f>
        <v>14.738018122133379</v>
      </c>
      <c r="U25" s="133">
        <f>IF(SER_hh_tesh!U25=0,0,SER_hh_tesh!U25/SER_summary!U$26)</f>
        <v>14.725250595362178</v>
      </c>
      <c r="V25" s="133">
        <f>IF(SER_hh_tesh!V25=0,0,SER_hh_tesh!V25/SER_summary!V$26)</f>
        <v>14.171107314886262</v>
      </c>
      <c r="W25" s="133">
        <f>IF(SER_hh_tesh!W25=0,0,SER_hh_tesh!W25/SER_summary!W$26)</f>
        <v>14.767781818888404</v>
      </c>
      <c r="DA25" s="157" t="s">
        <v>529</v>
      </c>
    </row>
    <row r="26" spans="1:105" ht="12" customHeight="1" x14ac:dyDescent="0.25">
      <c r="A26" s="132" t="s">
        <v>24</v>
      </c>
      <c r="B26" s="65">
        <f>IF(SER_hh_tesh!B26=0,0,SER_hh_tesh!B26/SER_summary!B$26)</f>
        <v>13.712983178444292</v>
      </c>
      <c r="C26" s="65">
        <f>IF(SER_hh_tesh!C26=0,0,SER_hh_tesh!C26/SER_summary!C$26)</f>
        <v>13.659246031047878</v>
      </c>
      <c r="D26" s="65">
        <f>IF(SER_hh_tesh!D26=0,0,SER_hh_tesh!D26/SER_summary!D$26)</f>
        <v>14.265131068296649</v>
      </c>
      <c r="E26" s="65">
        <f>IF(SER_hh_tesh!E26=0,0,SER_hh_tesh!E26/SER_summary!E$26)</f>
        <v>14.162771647036859</v>
      </c>
      <c r="F26" s="65">
        <f>IF(SER_hh_tesh!F26=0,0,SER_hh_tesh!F26/SER_summary!F$26)</f>
        <v>13.569699426256815</v>
      </c>
      <c r="G26" s="65">
        <f>IF(SER_hh_tesh!G26=0,0,SER_hh_tesh!G26/SER_summary!G$26)</f>
        <v>13.670136075098579</v>
      </c>
      <c r="H26" s="65">
        <f>IF(SER_hh_tesh!H26=0,0,SER_hh_tesh!H26/SER_summary!H$26)</f>
        <v>13.784243555731145</v>
      </c>
      <c r="I26" s="65">
        <f>IF(SER_hh_tesh!I26=0,0,SER_hh_tesh!I26/SER_summary!I$26)</f>
        <v>13.489295645392051</v>
      </c>
      <c r="J26" s="65">
        <f>IF(SER_hh_tesh!J26=0,0,SER_hh_tesh!J26/SER_summary!J$26)</f>
        <v>13.71895741390491</v>
      </c>
      <c r="K26" s="65">
        <f>IF(SER_hh_tesh!K26=0,0,SER_hh_tesh!K26/SER_summary!K$26)</f>
        <v>13.852738799836752</v>
      </c>
      <c r="L26" s="65">
        <f>IF(SER_hh_tesh!L26=0,0,SER_hh_tesh!L26/SER_summary!L$26)</f>
        <v>13.840806731224438</v>
      </c>
      <c r="M26" s="65">
        <f>IF(SER_hh_tesh!M26=0,0,SER_hh_tesh!M26/SER_summary!M$26)</f>
        <v>13.863123561867846</v>
      </c>
      <c r="N26" s="65">
        <f>IF(SER_hh_tesh!N26=0,0,SER_hh_tesh!N26/SER_summary!N$26)</f>
        <v>14.015734622088234</v>
      </c>
      <c r="O26" s="65">
        <f>IF(SER_hh_tesh!O26=0,0,SER_hh_tesh!O26/SER_summary!O$26)</f>
        <v>14.36530304970354</v>
      </c>
      <c r="P26" s="65">
        <f>IF(SER_hh_tesh!P26=0,0,SER_hh_tesh!P26/SER_summary!P$26)</f>
        <v>14.434865532882187</v>
      </c>
      <c r="Q26" s="65">
        <f>IF(SER_hh_tesh!Q26=0,0,SER_hh_tesh!Q26/SER_summary!Q$26)</f>
        <v>14.39759231849165</v>
      </c>
      <c r="R26" s="65">
        <f>IF(SER_hh_tesh!R26=0,0,SER_hh_tesh!R26/SER_summary!R$26)</f>
        <v>14.428498666980135</v>
      </c>
      <c r="S26" s="65">
        <f>IF(SER_hh_tesh!S26=0,0,SER_hh_tesh!S26/SER_summary!S$26)</f>
        <v>14.493787235092135</v>
      </c>
      <c r="T26" s="65">
        <f>IF(SER_hh_tesh!T26=0,0,SER_hh_tesh!T26/SER_summary!T$26)</f>
        <v>14.520919765232561</v>
      </c>
      <c r="U26" s="65">
        <f>IF(SER_hh_tesh!U26=0,0,SER_hh_tesh!U26/SER_summary!U$26)</f>
        <v>14.594907797880218</v>
      </c>
      <c r="V26" s="65">
        <f>IF(SER_hh_tesh!V26=0,0,SER_hh_tesh!V26/SER_summary!V$26)</f>
        <v>13.943820854107823</v>
      </c>
      <c r="W26" s="65">
        <f>IF(SER_hh_tesh!W26=0,0,SER_hh_tesh!W26/SER_summary!W$26)</f>
        <v>14.622203756467947</v>
      </c>
      <c r="DA26" s="109" t="s">
        <v>530</v>
      </c>
    </row>
    <row r="27" spans="1:105" ht="12" customHeight="1" x14ac:dyDescent="0.25">
      <c r="A27" s="145" t="s">
        <v>86</v>
      </c>
      <c r="B27" s="146">
        <f>IF(SER_hh_tesh!B27=0,0,SER_hh_tesh!B27/SER_summary!B$26)</f>
        <v>3.6482650754140429E-2</v>
      </c>
      <c r="C27" s="146">
        <f>IF(SER_hh_tesh!C27=0,0,SER_hh_tesh!C27/SER_summary!C$26)</f>
        <v>1.0970280166434481E-2</v>
      </c>
      <c r="D27" s="146">
        <f>IF(SER_hh_tesh!D27=0,0,SER_hh_tesh!D27/SER_summary!D$26)</f>
        <v>1.1968937222428028E-2</v>
      </c>
      <c r="E27" s="146">
        <f>IF(SER_hh_tesh!E27=0,0,SER_hh_tesh!E27/SER_summary!E$26)</f>
        <v>1.775420187861175E-2</v>
      </c>
      <c r="F27" s="146">
        <f>IF(SER_hh_tesh!F27=0,0,SER_hh_tesh!F27/SER_summary!F$26)</f>
        <v>1.8768627324355403E-2</v>
      </c>
      <c r="G27" s="146">
        <f>IF(SER_hh_tesh!G27=0,0,SER_hh_tesh!G27/SER_summary!G$26)</f>
        <v>1.8442578717317984E-2</v>
      </c>
      <c r="H27" s="146">
        <f>IF(SER_hh_tesh!H27=0,0,SER_hh_tesh!H27/SER_summary!H$26)</f>
        <v>2.2211202143624549E-2</v>
      </c>
      <c r="I27" s="146">
        <f>IF(SER_hh_tesh!I27=0,0,SER_hh_tesh!I27/SER_summary!I$26)</f>
        <v>3.117940336845107E-2</v>
      </c>
      <c r="J27" s="146">
        <f>IF(SER_hh_tesh!J27=0,0,SER_hh_tesh!J27/SER_summary!J$26)</f>
        <v>4.1395554069392042E-2</v>
      </c>
      <c r="K27" s="146">
        <f>IF(SER_hh_tesh!K27=0,0,SER_hh_tesh!K27/SER_summary!K$26)</f>
        <v>8.5999315430604198E-2</v>
      </c>
      <c r="L27" s="146">
        <f>IF(SER_hh_tesh!L27=0,0,SER_hh_tesh!L27/SER_summary!L$26)</f>
        <v>4.3705245365190333E-2</v>
      </c>
      <c r="M27" s="146">
        <f>IF(SER_hh_tesh!M27=0,0,SER_hh_tesh!M27/SER_summary!M$26)</f>
        <v>4.6132676207093423E-2</v>
      </c>
      <c r="N27" s="146">
        <f>IF(SER_hh_tesh!N27=0,0,SER_hh_tesh!N27/SER_summary!N$26)</f>
        <v>4.5652948821925686E-2</v>
      </c>
      <c r="O27" s="146">
        <f>IF(SER_hh_tesh!O27=0,0,SER_hh_tesh!O27/SER_summary!O$26)</f>
        <v>4.8213753443768027E-2</v>
      </c>
      <c r="P27" s="146">
        <f>IF(SER_hh_tesh!P27=0,0,SER_hh_tesh!P27/SER_summary!P$26)</f>
        <v>5.3728789930733073E-2</v>
      </c>
      <c r="Q27" s="146">
        <f>IF(SER_hh_tesh!Q27=0,0,SER_hh_tesh!Q27/SER_summary!Q$26)</f>
        <v>5.7979342486474801E-2</v>
      </c>
      <c r="R27" s="146">
        <f>IF(SER_hh_tesh!R27=0,0,SER_hh_tesh!R27/SER_summary!R$26)</f>
        <v>7.1053488883362159E-2</v>
      </c>
      <c r="S27" s="146">
        <f>IF(SER_hh_tesh!S27=0,0,SER_hh_tesh!S27/SER_summary!S$26)</f>
        <v>7.2395678094288485E-2</v>
      </c>
      <c r="T27" s="146">
        <f>IF(SER_hh_tesh!T27=0,0,SER_hh_tesh!T27/SER_summary!T$26)</f>
        <v>7.999195473705821E-2</v>
      </c>
      <c r="U27" s="146">
        <f>IF(SER_hh_tesh!U27=0,0,SER_hh_tesh!U27/SER_summary!U$26)</f>
        <v>7.6944368008449185E-2</v>
      </c>
      <c r="V27" s="146">
        <f>IF(SER_hh_tesh!V27=0,0,SER_hh_tesh!V27/SER_summary!V$26)</f>
        <v>8.0759085463686348E-2</v>
      </c>
      <c r="W27" s="146">
        <f>IF(SER_hh_tesh!W27=0,0,SER_hh_tesh!W27/SER_summary!W$26)</f>
        <v>7.3342871704930063E-2</v>
      </c>
      <c r="DA27" s="159" t="s">
        <v>531</v>
      </c>
    </row>
    <row r="28" spans="1:105" ht="12" customHeight="1" x14ac:dyDescent="0.25">
      <c r="A28" s="78" t="s">
        <v>85</v>
      </c>
      <c r="B28" s="147">
        <f>IF(SER_hh_tesh!B28=0,0,SER_hh_tesh!B28/SER_summary!B$26)</f>
        <v>7.932982209630989</v>
      </c>
      <c r="C28" s="147">
        <f>IF(SER_hh_tesh!C28=0,0,SER_hh_tesh!C28/SER_summary!C$26)</f>
        <v>8.0735946805482364</v>
      </c>
      <c r="D28" s="147">
        <f>IF(SER_hh_tesh!D28=0,0,SER_hh_tesh!D28/SER_summary!D$26)</f>
        <v>7.9489169870156644</v>
      </c>
      <c r="E28" s="147">
        <f>IF(SER_hh_tesh!E28=0,0,SER_hh_tesh!E28/SER_summary!E$26)</f>
        <v>7.8882051224829723</v>
      </c>
      <c r="F28" s="147">
        <f>IF(SER_hh_tesh!F28=0,0,SER_hh_tesh!F28/SER_summary!F$26)</f>
        <v>8.1462904370806228</v>
      </c>
      <c r="G28" s="147">
        <f>IF(SER_hh_tesh!G28=0,0,SER_hh_tesh!G28/SER_summary!G$26)</f>
        <v>7.9270588445335441</v>
      </c>
      <c r="H28" s="147">
        <f>IF(SER_hh_tesh!H28=0,0,SER_hh_tesh!H28/SER_summary!H$26)</f>
        <v>7.8486669438000751</v>
      </c>
      <c r="I28" s="147">
        <f>IF(SER_hh_tesh!I28=0,0,SER_hh_tesh!I28/SER_summary!I$26)</f>
        <v>7.4711253905495143</v>
      </c>
      <c r="J28" s="147">
        <f>IF(SER_hh_tesh!J28=0,0,SER_hh_tesh!J28/SER_summary!J$26)</f>
        <v>8.1202634564748646</v>
      </c>
      <c r="K28" s="147">
        <f>IF(SER_hh_tesh!K28=0,0,SER_hh_tesh!K28/SER_summary!K$26)</f>
        <v>8.1264027683134081</v>
      </c>
      <c r="L28" s="147">
        <f>IF(SER_hh_tesh!L28=0,0,SER_hh_tesh!L28/SER_summary!L$26)</f>
        <v>8.0796097722436819</v>
      </c>
      <c r="M28" s="147">
        <f>IF(SER_hh_tesh!M28=0,0,SER_hh_tesh!M28/SER_summary!M$26)</f>
        <v>8.3017755348679252</v>
      </c>
      <c r="N28" s="147">
        <f>IF(SER_hh_tesh!N28=0,0,SER_hh_tesh!N28/SER_summary!N$26)</f>
        <v>8.3305711238882694</v>
      </c>
      <c r="O28" s="147">
        <f>IF(SER_hh_tesh!O28=0,0,SER_hh_tesh!O28/SER_summary!O$26)</f>
        <v>9.4004178299961403</v>
      </c>
      <c r="P28" s="147">
        <f>IF(SER_hh_tesh!P28=0,0,SER_hh_tesh!P28/SER_summary!P$26)</f>
        <v>9.7378617471844322</v>
      </c>
      <c r="Q28" s="147">
        <f>IF(SER_hh_tesh!Q28=0,0,SER_hh_tesh!Q28/SER_summary!Q$26)</f>
        <v>9.4113658409997552</v>
      </c>
      <c r="R28" s="147">
        <f>IF(SER_hh_tesh!R28=0,0,SER_hh_tesh!R28/SER_summary!R$26)</f>
        <v>8.3385968238055685</v>
      </c>
      <c r="S28" s="147">
        <f>IF(SER_hh_tesh!S28=0,0,SER_hh_tesh!S28/SER_summary!S$26)</f>
        <v>8.0708161898080579</v>
      </c>
      <c r="T28" s="147">
        <f>IF(SER_hh_tesh!T28=0,0,SER_hh_tesh!T28/SER_summary!T$26)</f>
        <v>8.4398039273538963</v>
      </c>
      <c r="U28" s="147">
        <f>IF(SER_hh_tesh!U28=0,0,SER_hh_tesh!U28/SER_summary!U$26)</f>
        <v>8.3277134145761416</v>
      </c>
      <c r="V28" s="147">
        <f>IF(SER_hh_tesh!V28=0,0,SER_hh_tesh!V28/SER_summary!V$26)</f>
        <v>8.7120140367536223</v>
      </c>
      <c r="W28" s="147">
        <f>IF(SER_hh_tesh!W28=0,0,SER_hh_tesh!W28/SER_summary!W$26)</f>
        <v>8.8608334757228349</v>
      </c>
      <c r="DA28" s="160"/>
    </row>
    <row r="29" spans="1:105" ht="12.95" customHeight="1" x14ac:dyDescent="0.25">
      <c r="A29" s="130" t="s">
        <v>34</v>
      </c>
      <c r="B29" s="131">
        <f>IF(SER_hh_tesh!B29=0,0,SER_hh_tesh!B29/SER_summary!B$26)</f>
        <v>11.078981725485519</v>
      </c>
      <c r="C29" s="131">
        <f>IF(SER_hh_tesh!C29=0,0,SER_hh_tesh!C29/SER_summary!C$26)</f>
        <v>11.332398848799111</v>
      </c>
      <c r="D29" s="131">
        <f>IF(SER_hh_tesh!D29=0,0,SER_hh_tesh!D29/SER_summary!D$26)</f>
        <v>11.334553313226968</v>
      </c>
      <c r="E29" s="131">
        <f>IF(SER_hh_tesh!E29=0,0,SER_hh_tesh!E29/SER_summary!E$26)</f>
        <v>11.112282268947459</v>
      </c>
      <c r="F29" s="131">
        <f>IF(SER_hh_tesh!F29=0,0,SER_hh_tesh!F29/SER_summary!F$26)</f>
        <v>11.358023970713015</v>
      </c>
      <c r="G29" s="131">
        <f>IF(SER_hh_tesh!G29=0,0,SER_hh_tesh!G29/SER_summary!G$26)</f>
        <v>11.486201789632599</v>
      </c>
      <c r="H29" s="131">
        <f>IF(SER_hh_tesh!H29=0,0,SER_hh_tesh!H29/SER_summary!H$26)</f>
        <v>11.440235179329838</v>
      </c>
      <c r="I29" s="131">
        <f>IF(SER_hh_tesh!I29=0,0,SER_hh_tesh!I29/SER_summary!I$26)</f>
        <v>11.661850029821689</v>
      </c>
      <c r="J29" s="131">
        <f>IF(SER_hh_tesh!J29=0,0,SER_hh_tesh!J29/SER_summary!J$26)</f>
        <v>11.759196449780671</v>
      </c>
      <c r="K29" s="131">
        <f>IF(SER_hh_tesh!K29=0,0,SER_hh_tesh!K29/SER_summary!K$26)</f>
        <v>11.999300001830427</v>
      </c>
      <c r="L29" s="131">
        <f>IF(SER_hh_tesh!L29=0,0,SER_hh_tesh!L29/SER_summary!L$26)</f>
        <v>12.010715820491574</v>
      </c>
      <c r="M29" s="131">
        <f>IF(SER_hh_tesh!M29=0,0,SER_hh_tesh!M29/SER_summary!M$26)</f>
        <v>11.923135874450617</v>
      </c>
      <c r="N29" s="131">
        <f>IF(SER_hh_tesh!N29=0,0,SER_hh_tesh!N29/SER_summary!N$26)</f>
        <v>12.156293585325848</v>
      </c>
      <c r="O29" s="131">
        <f>IF(SER_hh_tesh!O29=0,0,SER_hh_tesh!O29/SER_summary!O$26)</f>
        <v>12.255089144220426</v>
      </c>
      <c r="P29" s="131">
        <f>IF(SER_hh_tesh!P29=0,0,SER_hh_tesh!P29/SER_summary!P$26)</f>
        <v>12.257857220046459</v>
      </c>
      <c r="Q29" s="131">
        <f>IF(SER_hh_tesh!Q29=0,0,SER_hh_tesh!Q29/SER_summary!Q$26)</f>
        <v>12.454567616894947</v>
      </c>
      <c r="R29" s="131">
        <f>IF(SER_hh_tesh!R29=0,0,SER_hh_tesh!R29/SER_summary!R$26)</f>
        <v>12.340129234138807</v>
      </c>
      <c r="S29" s="131">
        <f>IF(SER_hh_tesh!S29=0,0,SER_hh_tesh!S29/SER_summary!S$26)</f>
        <v>12.317740091052253</v>
      </c>
      <c r="T29" s="131">
        <f>IF(SER_hh_tesh!T29=0,0,SER_hh_tesh!T29/SER_summary!T$26)</f>
        <v>12.274202230147038</v>
      </c>
      <c r="U29" s="131">
        <f>IF(SER_hh_tesh!U29=0,0,SER_hh_tesh!U29/SER_summary!U$26)</f>
        <v>12.25084629833535</v>
      </c>
      <c r="V29" s="131">
        <f>IF(SER_hh_tesh!V29=0,0,SER_hh_tesh!V29/SER_summary!V$26)</f>
        <v>11.73076449128596</v>
      </c>
      <c r="W29" s="131">
        <f>IF(SER_hh_tesh!W29=0,0,SER_hh_tesh!W29/SER_summary!W$26)</f>
        <v>12.312871703320956</v>
      </c>
      <c r="DA29" s="156" t="s">
        <v>532</v>
      </c>
    </row>
    <row r="30" spans="1:105" ht="12" customHeight="1" x14ac:dyDescent="0.25">
      <c r="A30" s="132" t="s">
        <v>52</v>
      </c>
      <c r="B30" s="133">
        <f>IF(SER_hh_tesh!B30=0,0,SER_hh_tesh!B30/SER_summary!B$26)</f>
        <v>11.235143931062922</v>
      </c>
      <c r="C30" s="133">
        <f>IF(SER_hh_tesh!C30=0,0,SER_hh_tesh!C30/SER_summary!C$26)</f>
        <v>11.933032671693923</v>
      </c>
      <c r="D30" s="133">
        <f>IF(SER_hh_tesh!D30=0,0,SER_hh_tesh!D30/SER_summary!D$26)</f>
        <v>10.963349677415408</v>
      </c>
      <c r="E30" s="133">
        <f>IF(SER_hh_tesh!E30=0,0,SER_hh_tesh!E30/SER_summary!E$26)</f>
        <v>10.484352757263144</v>
      </c>
      <c r="F30" s="133">
        <f>IF(SER_hh_tesh!F30=0,0,SER_hh_tesh!F30/SER_summary!F$26)</f>
        <v>14.448872604454388</v>
      </c>
      <c r="G30" s="133">
        <f>IF(SER_hh_tesh!G30=0,0,SER_hh_tesh!G30/SER_summary!G$26)</f>
        <v>5.5289364966289138</v>
      </c>
      <c r="H30" s="133">
        <f>IF(SER_hh_tesh!H30=0,0,SER_hh_tesh!H30/SER_summary!H$26)</f>
        <v>7.8858420729900836</v>
      </c>
      <c r="I30" s="133">
        <f>IF(SER_hh_tesh!I30=0,0,SER_hh_tesh!I30/SER_summary!I$26)</f>
        <v>10.389714499303603</v>
      </c>
      <c r="J30" s="133">
        <f>IF(SER_hh_tesh!J30=0,0,SER_hh_tesh!J30/SER_summary!J$26)</f>
        <v>12.139725986644132</v>
      </c>
      <c r="K30" s="133">
        <f>IF(SER_hh_tesh!K30=0,0,SER_hh_tesh!K30/SER_summary!K$26)</f>
        <v>11.775840312380845</v>
      </c>
      <c r="L30" s="133">
        <f>IF(SER_hh_tesh!L30=0,0,SER_hh_tesh!L30/SER_summary!L$26)</f>
        <v>14.13278243209052</v>
      </c>
      <c r="M30" s="133">
        <f>IF(SER_hh_tesh!M30=0,0,SER_hh_tesh!M30/SER_summary!M$26)</f>
        <v>10.650430634654331</v>
      </c>
      <c r="N30" s="133">
        <f>IF(SER_hh_tesh!N30=0,0,SER_hh_tesh!N30/SER_summary!N$26)</f>
        <v>11.861617142634449</v>
      </c>
      <c r="O30" s="133">
        <f>IF(SER_hh_tesh!O30=0,0,SER_hh_tesh!O30/SER_summary!O$26)</f>
        <v>12.730951880898159</v>
      </c>
      <c r="P30" s="133">
        <f>IF(SER_hh_tesh!P30=0,0,SER_hh_tesh!P30/SER_summary!P$26)</f>
        <v>9.694149980974677</v>
      </c>
      <c r="Q30" s="133">
        <f>IF(SER_hh_tesh!Q30=0,0,SER_hh_tesh!Q30/SER_summary!Q$26)</f>
        <v>15.040598473452039</v>
      </c>
      <c r="R30" s="133">
        <f>IF(SER_hh_tesh!R30=0,0,SER_hh_tesh!R30/SER_summary!R$26)</f>
        <v>11.286243616757469</v>
      </c>
      <c r="S30" s="133">
        <f>IF(SER_hh_tesh!S30=0,0,SER_hh_tesh!S30/SER_summary!S$26)</f>
        <v>12.562708118547555</v>
      </c>
      <c r="T30" s="133">
        <f>IF(SER_hh_tesh!T30=0,0,SER_hh_tesh!T30/SER_summary!T$26)</f>
        <v>11.737018804502494</v>
      </c>
      <c r="U30" s="133">
        <f>IF(SER_hh_tesh!U30=0,0,SER_hh_tesh!U30/SER_summary!U$26)</f>
        <v>11.542578130389662</v>
      </c>
      <c r="V30" s="133">
        <f>IF(SER_hh_tesh!V30=0,0,SER_hh_tesh!V30/SER_summary!V$26)</f>
        <v>12.303716781075762</v>
      </c>
      <c r="W30" s="133">
        <f>IF(SER_hh_tesh!W30=0,0,SER_hh_tesh!W30/SER_summary!W$26)</f>
        <v>12.41726839412487</v>
      </c>
      <c r="DA30" s="157" t="s">
        <v>533</v>
      </c>
    </row>
    <row r="31" spans="1:105" ht="12" customHeight="1" x14ac:dyDescent="0.25">
      <c r="A31" s="132" t="s">
        <v>153</v>
      </c>
      <c r="B31" s="133">
        <f>IF(SER_hh_tesh!B31=0,0,SER_hh_tesh!B31/SER_summary!B$26)</f>
        <v>11.201865461073606</v>
      </c>
      <c r="C31" s="133">
        <f>IF(SER_hh_tesh!C31=0,0,SER_hh_tesh!C31/SER_summary!C$26)</f>
        <v>11.157317341362917</v>
      </c>
      <c r="D31" s="133">
        <f>IF(SER_hh_tesh!D31=0,0,SER_hh_tesh!D31/SER_summary!D$26)</f>
        <v>11.202156312920403</v>
      </c>
      <c r="E31" s="133">
        <f>IF(SER_hh_tesh!E31=0,0,SER_hh_tesh!E31/SER_summary!E$26)</f>
        <v>11.262982974737829</v>
      </c>
      <c r="F31" s="133">
        <f>IF(SER_hh_tesh!F31=0,0,SER_hh_tesh!F31/SER_summary!F$26)</f>
        <v>11.329510191873371</v>
      </c>
      <c r="G31" s="133">
        <f>IF(SER_hh_tesh!G31=0,0,SER_hh_tesh!G31/SER_summary!G$26)</f>
        <v>11.483598095007162</v>
      </c>
      <c r="H31" s="133">
        <f>IF(SER_hh_tesh!H31=0,0,SER_hh_tesh!H31/SER_summary!H$26)</f>
        <v>11.503611918055995</v>
      </c>
      <c r="I31" s="133">
        <f>IF(SER_hh_tesh!I31=0,0,SER_hh_tesh!I31/SER_summary!I$26)</f>
        <v>11.627023646045885</v>
      </c>
      <c r="J31" s="133">
        <f>IF(SER_hh_tesh!J31=0,0,SER_hh_tesh!J31/SER_summary!J$26)</f>
        <v>11.815373268997796</v>
      </c>
      <c r="K31" s="133">
        <f>IF(SER_hh_tesh!K31=0,0,SER_hh_tesh!K31/SER_summary!K$26)</f>
        <v>11.88552559038931</v>
      </c>
      <c r="L31" s="133">
        <f>IF(SER_hh_tesh!L31=0,0,SER_hh_tesh!L31/SER_summary!L$26)</f>
        <v>11.926066986044246</v>
      </c>
      <c r="M31" s="133">
        <f>IF(SER_hh_tesh!M31=0,0,SER_hh_tesh!M31/SER_summary!M$26)</f>
        <v>11.988503230093745</v>
      </c>
      <c r="N31" s="133">
        <f>IF(SER_hh_tesh!N31=0,0,SER_hh_tesh!N31/SER_summary!N$26)</f>
        <v>12.184013510409663</v>
      </c>
      <c r="O31" s="133">
        <f>IF(SER_hh_tesh!O31=0,0,SER_hh_tesh!O31/SER_summary!O$26)</f>
        <v>12.235123226766449</v>
      </c>
      <c r="P31" s="133">
        <f>IF(SER_hh_tesh!P31=0,0,SER_hh_tesh!P31/SER_summary!P$26)</f>
        <v>12.336855500116103</v>
      </c>
      <c r="Q31" s="133">
        <f>IF(SER_hh_tesh!Q31=0,0,SER_hh_tesh!Q31/SER_summary!Q$26)</f>
        <v>12.373031402625287</v>
      </c>
      <c r="R31" s="133">
        <f>IF(SER_hh_tesh!R31=0,0,SER_hh_tesh!R31/SER_summary!R$26)</f>
        <v>12.3564479435622</v>
      </c>
      <c r="S31" s="133">
        <f>IF(SER_hh_tesh!S31=0,0,SER_hh_tesh!S31/SER_summary!S$26)</f>
        <v>12.307964177113396</v>
      </c>
      <c r="T31" s="133">
        <f>IF(SER_hh_tesh!T31=0,0,SER_hh_tesh!T31/SER_summary!T$26)</f>
        <v>12.273470992634808</v>
      </c>
      <c r="U31" s="133">
        <f>IF(SER_hh_tesh!U31=0,0,SER_hh_tesh!U31/SER_summary!U$26)</f>
        <v>12.270053854450957</v>
      </c>
      <c r="V31" s="133">
        <f>IF(SER_hh_tesh!V31=0,0,SER_hh_tesh!V31/SER_summary!V$26)</f>
        <v>11.687125474146249</v>
      </c>
      <c r="W31" s="133">
        <f>IF(SER_hh_tesh!W31=0,0,SER_hh_tesh!W31/SER_summary!W$26)</f>
        <v>12.375149331069512</v>
      </c>
      <c r="DA31" s="157" t="s">
        <v>534</v>
      </c>
    </row>
    <row r="32" spans="1:105" ht="12" customHeight="1" x14ac:dyDescent="0.25">
      <c r="A32" s="132" t="s">
        <v>128</v>
      </c>
      <c r="B32" s="133">
        <f>IF(SER_hh_tesh!B32=0,0,SER_hh_tesh!B32/SER_summary!B$26)</f>
        <v>0</v>
      </c>
      <c r="C32" s="133">
        <f>IF(SER_hh_tesh!C32=0,0,SER_hh_tesh!C32/SER_summary!C$26)</f>
        <v>0</v>
      </c>
      <c r="D32" s="133">
        <f>IF(SER_hh_tesh!D32=0,0,SER_hh_tesh!D32/SER_summary!D$26)</f>
        <v>0</v>
      </c>
      <c r="E32" s="133">
        <f>IF(SER_hh_tesh!E32=0,0,SER_hh_tesh!E32/SER_summary!E$26)</f>
        <v>0</v>
      </c>
      <c r="F32" s="133">
        <f>IF(SER_hh_tesh!F32=0,0,SER_hh_tesh!F32/SER_summary!F$26)</f>
        <v>0</v>
      </c>
      <c r="G32" s="133">
        <f>IF(SER_hh_tesh!G32=0,0,SER_hh_tesh!G32/SER_summary!G$26)</f>
        <v>0</v>
      </c>
      <c r="H32" s="133">
        <f>IF(SER_hh_tesh!H32=0,0,SER_hh_tesh!H32/SER_summary!H$26)</f>
        <v>0</v>
      </c>
      <c r="I32" s="133">
        <f>IF(SER_hh_tesh!I32=0,0,SER_hh_tesh!I32/SER_summary!I$26)</f>
        <v>0</v>
      </c>
      <c r="J32" s="133">
        <f>IF(SER_hh_tesh!J32=0,0,SER_hh_tesh!J32/SER_summary!J$26)</f>
        <v>15.112454253242205</v>
      </c>
      <c r="K32" s="133">
        <f>IF(SER_hh_tesh!K32=0,0,SER_hh_tesh!K32/SER_summary!K$26)</f>
        <v>8.7396179977753476</v>
      </c>
      <c r="L32" s="133">
        <f>IF(SER_hh_tesh!L32=0,0,SER_hh_tesh!L32/SER_summary!L$26)</f>
        <v>15.085294573768511</v>
      </c>
      <c r="M32" s="133">
        <f>IF(SER_hh_tesh!M32=0,0,SER_hh_tesh!M32/SER_summary!M$26)</f>
        <v>14.14035453481071</v>
      </c>
      <c r="N32" s="133">
        <f>IF(SER_hh_tesh!N32=0,0,SER_hh_tesh!N32/SER_summary!N$26)</f>
        <v>7.6438388179212957</v>
      </c>
      <c r="O32" s="133">
        <f>IF(SER_hh_tesh!O32=0,0,SER_hh_tesh!O32/SER_summary!O$26)</f>
        <v>12.393677799246758</v>
      </c>
      <c r="P32" s="133">
        <f>IF(SER_hh_tesh!P32=0,0,SER_hh_tesh!P32/SER_summary!P$26)</f>
        <v>12.736043017668326</v>
      </c>
      <c r="Q32" s="133">
        <f>IF(SER_hh_tesh!Q32=0,0,SER_hh_tesh!Q32/SER_summary!Q$26)</f>
        <v>13.177169086091258</v>
      </c>
      <c r="R32" s="133">
        <f>IF(SER_hh_tesh!R32=0,0,SER_hh_tesh!R32/SER_summary!R$26)</f>
        <v>12.673465435588563</v>
      </c>
      <c r="S32" s="133">
        <f>IF(SER_hh_tesh!S32=0,0,SER_hh_tesh!S32/SER_summary!S$26)</f>
        <v>12.21061519380509</v>
      </c>
      <c r="T32" s="133">
        <f>IF(SER_hh_tesh!T32=0,0,SER_hh_tesh!T32/SER_summary!T$26)</f>
        <v>12.805811746613623</v>
      </c>
      <c r="U32" s="133">
        <f>IF(SER_hh_tesh!U32=0,0,SER_hh_tesh!U32/SER_summary!U$26)</f>
        <v>16.645428251809754</v>
      </c>
      <c r="V32" s="133">
        <f>IF(SER_hh_tesh!V32=0,0,SER_hh_tesh!V32/SER_summary!V$26)</f>
        <v>6.2411202301766373</v>
      </c>
      <c r="W32" s="133">
        <f>IF(SER_hh_tesh!W32=0,0,SER_hh_tesh!W32/SER_summary!W$26)</f>
        <v>12.853048390737712</v>
      </c>
      <c r="DA32" s="157" t="s">
        <v>535</v>
      </c>
    </row>
    <row r="33" spans="1:105" ht="12" customHeight="1" x14ac:dyDescent="0.25">
      <c r="A33" s="62" t="s">
        <v>24</v>
      </c>
      <c r="B33" s="68">
        <f>IF(SER_hh_tesh!B33=0,0,SER_hh_tesh!B33/SER_summary!B$26)</f>
        <v>10.561922364829613</v>
      </c>
      <c r="C33" s="68">
        <f>IF(SER_hh_tesh!C33=0,0,SER_hh_tesh!C33/SER_summary!C$26)</f>
        <v>11.186541138052648</v>
      </c>
      <c r="D33" s="68">
        <f>IF(SER_hh_tesh!D33=0,0,SER_hh_tesh!D33/SER_summary!D$26)</f>
        <v>11.790082391543041</v>
      </c>
      <c r="E33" s="68">
        <f>IF(SER_hh_tesh!E33=0,0,SER_hh_tesh!E33/SER_summary!E$26)</f>
        <v>11.123187352109598</v>
      </c>
      <c r="F33" s="68">
        <f>IF(SER_hh_tesh!F33=0,0,SER_hh_tesh!F33/SER_summary!F$26)</f>
        <v>10.616753994486405</v>
      </c>
      <c r="G33" s="68">
        <f>IF(SER_hh_tesh!G33=0,0,SER_hh_tesh!G33/SER_summary!G$26)</f>
        <v>12.209110691389743</v>
      </c>
      <c r="H33" s="68">
        <f>IF(SER_hh_tesh!H33=0,0,SER_hh_tesh!H33/SER_summary!H$26)</f>
        <v>11.62403890726128</v>
      </c>
      <c r="I33" s="68">
        <f>IF(SER_hh_tesh!I33=0,0,SER_hh_tesh!I33/SER_summary!I$26)</f>
        <v>11.75599563551703</v>
      </c>
      <c r="J33" s="68">
        <f>IF(SER_hh_tesh!J33=0,0,SER_hh_tesh!J33/SER_summary!J$26)</f>
        <v>11.678505858562344</v>
      </c>
      <c r="K33" s="68">
        <f>IF(SER_hh_tesh!K33=0,0,SER_hh_tesh!K33/SER_summary!K$26)</f>
        <v>12.131891564551781</v>
      </c>
      <c r="L33" s="68">
        <f>IF(SER_hh_tesh!L33=0,0,SER_hh_tesh!L33/SER_summary!L$26)</f>
        <v>11.948513913417187</v>
      </c>
      <c r="M33" s="68">
        <f>IF(SER_hh_tesh!M33=0,0,SER_hh_tesh!M33/SER_summary!M$26)</f>
        <v>11.919730623872299</v>
      </c>
      <c r="N33" s="68">
        <f>IF(SER_hh_tesh!N33=0,0,SER_hh_tesh!N33/SER_summary!N$26)</f>
        <v>12.170898171253308</v>
      </c>
      <c r="O33" s="68">
        <f>IF(SER_hh_tesh!O33=0,0,SER_hh_tesh!O33/SER_summary!O$26)</f>
        <v>12.247344782880578</v>
      </c>
      <c r="P33" s="68">
        <f>IF(SER_hh_tesh!P33=0,0,SER_hh_tesh!P33/SER_summary!P$26)</f>
        <v>12.318810170684896</v>
      </c>
      <c r="Q33" s="68">
        <f>IF(SER_hh_tesh!Q33=0,0,SER_hh_tesh!Q33/SER_summary!Q$26)</f>
        <v>12.361727848414388</v>
      </c>
      <c r="R33" s="68">
        <f>IF(SER_hh_tesh!R33=0,0,SER_hh_tesh!R33/SER_summary!R$26)</f>
        <v>12.387044656170023</v>
      </c>
      <c r="S33" s="68">
        <f>IF(SER_hh_tesh!S33=0,0,SER_hh_tesh!S33/SER_summary!S$26)</f>
        <v>12.311655888610836</v>
      </c>
      <c r="T33" s="68">
        <f>IF(SER_hh_tesh!T33=0,0,SER_hh_tesh!T33/SER_summary!T$26)</f>
        <v>12.306426510300046</v>
      </c>
      <c r="U33" s="68">
        <f>IF(SER_hh_tesh!U33=0,0,SER_hh_tesh!U33/SER_summary!U$26)</f>
        <v>12.250503630108051</v>
      </c>
      <c r="V33" s="68">
        <f>IF(SER_hh_tesh!V33=0,0,SER_hh_tesh!V33/SER_summary!V$26)</f>
        <v>11.747962578308739</v>
      </c>
      <c r="W33" s="68">
        <f>IF(SER_hh_tesh!W33=0,0,SER_hh_tesh!W33/SER_summary!W$26)</f>
        <v>12.245298177361718</v>
      </c>
      <c r="DA33" s="111" t="s">
        <v>536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537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92</v>
      </c>
      <c r="B3" s="126">
        <f>IF(SER_hh_emih!B3=0,0,SER_hh_emih!B3/SER_summary!B$26)</f>
        <v>35.928162334493486</v>
      </c>
      <c r="C3" s="126">
        <f>IF(SER_hh_emih!C3=0,0,SER_hh_emih!C3/SER_summary!C$26)</f>
        <v>37.224350085732354</v>
      </c>
      <c r="D3" s="126">
        <f>IF(SER_hh_emih!D3=0,0,SER_hh_emih!D3/SER_summary!D$26)</f>
        <v>39.370758919381849</v>
      </c>
      <c r="E3" s="126">
        <f>IF(SER_hh_emih!E3=0,0,SER_hh_emih!E3/SER_summary!E$26)</f>
        <v>42.156117243606559</v>
      </c>
      <c r="F3" s="126">
        <f>IF(SER_hh_emih!F3=0,0,SER_hh_emih!F3/SER_summary!F$26)</f>
        <v>40.445232061613261</v>
      </c>
      <c r="G3" s="126">
        <f>IF(SER_hh_emih!G3=0,0,SER_hh_emih!G3/SER_summary!G$26)</f>
        <v>38.928598121015021</v>
      </c>
      <c r="H3" s="126">
        <f>IF(SER_hh_emih!H3=0,0,SER_hh_emih!H3/SER_summary!H$26)</f>
        <v>35.63588297282778</v>
      </c>
      <c r="I3" s="126">
        <f>IF(SER_hh_emih!I3=0,0,SER_hh_emih!I3/SER_summary!I$26)</f>
        <v>31.610489601483607</v>
      </c>
      <c r="J3" s="126">
        <f>IF(SER_hh_emih!J3=0,0,SER_hh_emih!J3/SER_summary!J$26)</f>
        <v>36.525518090998382</v>
      </c>
      <c r="K3" s="126">
        <f>IF(SER_hh_emih!K3=0,0,SER_hh_emih!K3/SER_summary!K$26)</f>
        <v>34.453580751784827</v>
      </c>
      <c r="L3" s="126">
        <f>IF(SER_hh_emih!L3=0,0,SER_hh_emih!L3/SER_summary!L$26)</f>
        <v>37.17290310556767</v>
      </c>
      <c r="M3" s="126">
        <f>IF(SER_hh_emih!M3=0,0,SER_hh_emih!M3/SER_summary!M$26)</f>
        <v>30.233402714156764</v>
      </c>
      <c r="N3" s="126">
        <f>IF(SER_hh_emih!N3=0,0,SER_hh_emih!N3/SER_summary!N$26)</f>
        <v>31.923233812487407</v>
      </c>
      <c r="O3" s="126">
        <f>IF(SER_hh_emih!O3=0,0,SER_hh_emih!O3/SER_summary!O$26)</f>
        <v>35.122069284095488</v>
      </c>
      <c r="P3" s="126">
        <f>IF(SER_hh_emih!P3=0,0,SER_hh_emih!P3/SER_summary!P$26)</f>
        <v>27.834903007645053</v>
      </c>
      <c r="Q3" s="126">
        <f>IF(SER_hh_emih!Q3=0,0,SER_hh_emih!Q3/SER_summary!Q$26)</f>
        <v>31.895722883563305</v>
      </c>
      <c r="R3" s="126">
        <f>IF(SER_hh_emih!R3=0,0,SER_hh_emih!R3/SER_summary!R$26)</f>
        <v>31.590638863422036</v>
      </c>
      <c r="S3" s="126">
        <f>IF(SER_hh_emih!S3=0,0,SER_hh_emih!S3/SER_summary!S$26)</f>
        <v>31.218092800239276</v>
      </c>
      <c r="T3" s="126">
        <f>IF(SER_hh_emih!T3=0,0,SER_hh_emih!T3/SER_summary!T$26)</f>
        <v>30.908883144820535</v>
      </c>
      <c r="U3" s="126">
        <f>IF(SER_hh_emih!U3=0,0,SER_hh_emih!U3/SER_summary!U$26)</f>
        <v>29.947653767678872</v>
      </c>
      <c r="V3" s="126">
        <f>IF(SER_hh_emih!V3=0,0,SER_hh_emih!V3/SER_summary!V$26)</f>
        <v>28.619811230395964</v>
      </c>
      <c r="W3" s="126">
        <f>IF(SER_hh_emih!W3=0,0,SER_hh_emih!W3/SER_summary!W$26)</f>
        <v>29.291223695983781</v>
      </c>
      <c r="DA3" s="155" t="s">
        <v>538</v>
      </c>
    </row>
    <row r="4" spans="1:105" ht="12.95" customHeight="1" x14ac:dyDescent="0.25">
      <c r="A4" s="130" t="s">
        <v>32</v>
      </c>
      <c r="B4" s="131">
        <f>IF(SER_hh_emih!B4=0,0,SER_hh_emih!B4/SER_summary!B$26)</f>
        <v>28.380372003732731</v>
      </c>
      <c r="C4" s="131">
        <f>IF(SER_hh_emih!C4=0,0,SER_hh_emih!C4/SER_summary!C$26)</f>
        <v>29.765269118921683</v>
      </c>
      <c r="D4" s="131">
        <f>IF(SER_hh_emih!D4=0,0,SER_hh_emih!D4/SER_summary!D$26)</f>
        <v>32.446614083716334</v>
      </c>
      <c r="E4" s="131">
        <f>IF(SER_hh_emih!E4=0,0,SER_hh_emih!E4/SER_summary!E$26)</f>
        <v>35.460219745389026</v>
      </c>
      <c r="F4" s="131">
        <f>IF(SER_hh_emih!F4=0,0,SER_hh_emih!F4/SER_summary!F$26)</f>
        <v>33.883389704011414</v>
      </c>
      <c r="G4" s="131">
        <f>IF(SER_hh_emih!G4=0,0,SER_hh_emih!G4/SER_summary!G$26)</f>
        <v>32.95291218107117</v>
      </c>
      <c r="H4" s="131">
        <f>IF(SER_hh_emih!H4=0,0,SER_hh_emih!H4/SER_summary!H$26)</f>
        <v>29.805284613361184</v>
      </c>
      <c r="I4" s="131">
        <f>IF(SER_hh_emih!I4=0,0,SER_hh_emih!I4/SER_summary!I$26)</f>
        <v>25.913916689114334</v>
      </c>
      <c r="J4" s="131">
        <f>IF(SER_hh_emih!J4=0,0,SER_hh_emih!J4/SER_summary!J$26)</f>
        <v>30.935062742043812</v>
      </c>
      <c r="K4" s="131">
        <f>IF(SER_hh_emih!K4=0,0,SER_hh_emih!K4/SER_summary!K$26)</f>
        <v>28.84105178359982</v>
      </c>
      <c r="L4" s="131">
        <f>IF(SER_hh_emih!L4=0,0,SER_hh_emih!L4/SER_summary!L$26)</f>
        <v>31.628905211578498</v>
      </c>
      <c r="M4" s="131">
        <f>IF(SER_hh_emih!M4=0,0,SER_hh_emih!M4/SER_summary!M$26)</f>
        <v>24.763332681958847</v>
      </c>
      <c r="N4" s="131">
        <f>IF(SER_hh_emih!N4=0,0,SER_hh_emih!N4/SER_summary!N$26)</f>
        <v>26.427281479261822</v>
      </c>
      <c r="O4" s="131">
        <f>IF(SER_hh_emih!O4=0,0,SER_hh_emih!O4/SER_summary!O$26)</f>
        <v>29.606028539618972</v>
      </c>
      <c r="P4" s="131">
        <f>IF(SER_hh_emih!P4=0,0,SER_hh_emih!P4/SER_summary!P$26)</f>
        <v>22.365979305069995</v>
      </c>
      <c r="Q4" s="131">
        <f>IF(SER_hh_emih!Q4=0,0,SER_hh_emih!Q4/SER_summary!Q$26)</f>
        <v>26.354826419833021</v>
      </c>
      <c r="R4" s="131">
        <f>IF(SER_hh_emih!R4=0,0,SER_hh_emih!R4/SER_summary!R$26)</f>
        <v>26.186030115948959</v>
      </c>
      <c r="S4" s="131">
        <f>IF(SER_hh_emih!S4=0,0,SER_hh_emih!S4/SER_summary!S$26)</f>
        <v>25.866200432602575</v>
      </c>
      <c r="T4" s="131">
        <f>IF(SER_hh_emih!T4=0,0,SER_hh_emih!T4/SER_summary!T$26)</f>
        <v>25.67672202223072</v>
      </c>
      <c r="U4" s="131">
        <f>IF(SER_hh_emih!U4=0,0,SER_hh_emih!U4/SER_summary!U$26)</f>
        <v>24.811945208141328</v>
      </c>
      <c r="V4" s="131">
        <f>IF(SER_hh_emih!V4=0,0,SER_hh_emih!V4/SER_summary!V$26)</f>
        <v>23.82169534925518</v>
      </c>
      <c r="W4" s="131">
        <f>IF(SER_hh_emih!W4=0,0,SER_hh_emih!W4/SER_summary!W$26)</f>
        <v>24.229359245573729</v>
      </c>
      <c r="DA4" s="156" t="s">
        <v>539</v>
      </c>
    </row>
    <row r="5" spans="1:105" ht="12" customHeight="1" x14ac:dyDescent="0.25">
      <c r="A5" s="132" t="s">
        <v>29</v>
      </c>
      <c r="B5" s="133">
        <f>IF(SER_hh_emih!B5=0,0,SER_hh_emih!B5/SER_summary!B$26)</f>
        <v>0</v>
      </c>
      <c r="C5" s="133">
        <f>IF(SER_hh_emih!C5=0,0,SER_hh_emih!C5/SER_summary!C$26)</f>
        <v>0</v>
      </c>
      <c r="D5" s="133">
        <f>IF(SER_hh_emih!D5=0,0,SER_hh_emih!D5/SER_summary!D$26)</f>
        <v>0</v>
      </c>
      <c r="E5" s="133">
        <f>IF(SER_hh_emih!E5=0,0,SER_hh_emih!E5/SER_summary!E$26)</f>
        <v>0</v>
      </c>
      <c r="F5" s="133">
        <f>IF(SER_hh_emih!F5=0,0,SER_hh_emih!F5/SER_summary!F$26)</f>
        <v>0</v>
      </c>
      <c r="G5" s="133">
        <f>IF(SER_hh_emih!G5=0,0,SER_hh_emih!G5/SER_summary!G$26)</f>
        <v>0</v>
      </c>
      <c r="H5" s="133">
        <f>IF(SER_hh_emih!H5=0,0,SER_hh_emih!H5/SER_summary!H$26)</f>
        <v>0</v>
      </c>
      <c r="I5" s="133">
        <f>IF(SER_hh_emih!I5=0,0,SER_hh_emih!I5/SER_summary!I$26)</f>
        <v>0</v>
      </c>
      <c r="J5" s="133">
        <f>IF(SER_hh_emih!J5=0,0,SER_hh_emih!J5/SER_summary!J$26)</f>
        <v>0</v>
      </c>
      <c r="K5" s="133">
        <f>IF(SER_hh_emih!K5=0,0,SER_hh_emih!K5/SER_summary!K$26)</f>
        <v>0</v>
      </c>
      <c r="L5" s="133">
        <f>IF(SER_hh_emih!L5=0,0,SER_hh_emih!L5/SER_summary!L$26)</f>
        <v>0</v>
      </c>
      <c r="M5" s="133">
        <f>IF(SER_hh_emih!M5=0,0,SER_hh_emih!M5/SER_summary!M$26)</f>
        <v>0</v>
      </c>
      <c r="N5" s="133">
        <f>IF(SER_hh_emih!N5=0,0,SER_hh_emih!N5/SER_summary!N$26)</f>
        <v>0</v>
      </c>
      <c r="O5" s="133">
        <f>IF(SER_hh_emih!O5=0,0,SER_hh_emih!O5/SER_summary!O$26)</f>
        <v>0</v>
      </c>
      <c r="P5" s="133">
        <f>IF(SER_hh_emih!P5=0,0,SER_hh_emih!P5/SER_summary!P$26)</f>
        <v>0</v>
      </c>
      <c r="Q5" s="133">
        <f>IF(SER_hh_emih!Q5=0,0,SER_hh_emih!Q5/SER_summary!Q$26)</f>
        <v>0</v>
      </c>
      <c r="R5" s="133">
        <f>IF(SER_hh_emih!R5=0,0,SER_hh_emih!R5/SER_summary!R$26)</f>
        <v>0</v>
      </c>
      <c r="S5" s="133">
        <f>IF(SER_hh_emih!S5=0,0,SER_hh_emih!S5/SER_summary!S$26)</f>
        <v>0</v>
      </c>
      <c r="T5" s="133">
        <f>IF(SER_hh_emih!T5=0,0,SER_hh_emih!T5/SER_summary!T$26)</f>
        <v>0</v>
      </c>
      <c r="U5" s="133">
        <f>IF(SER_hh_emih!U5=0,0,SER_hh_emih!U5/SER_summary!U$26)</f>
        <v>0</v>
      </c>
      <c r="V5" s="133">
        <f>IF(SER_hh_emih!V5=0,0,SER_hh_emih!V5/SER_summary!V$26)</f>
        <v>0</v>
      </c>
      <c r="W5" s="133">
        <f>IF(SER_hh_emih!W5=0,0,SER_hh_emih!W5/SER_summary!W$26)</f>
        <v>0</v>
      </c>
      <c r="DA5" s="157" t="s">
        <v>540</v>
      </c>
    </row>
    <row r="6" spans="1:105" ht="12" customHeight="1" x14ac:dyDescent="0.25">
      <c r="A6" s="132" t="s">
        <v>52</v>
      </c>
      <c r="B6" s="133">
        <f>IF(SER_hh_emih!B6=0,0,SER_hh_emih!B6/SER_summary!B$26)</f>
        <v>0</v>
      </c>
      <c r="C6" s="133">
        <f>IF(SER_hh_emih!C6=0,0,SER_hh_emih!C6/SER_summary!C$26)</f>
        <v>0</v>
      </c>
      <c r="D6" s="133">
        <f>IF(SER_hh_emih!D6=0,0,SER_hh_emih!D6/SER_summary!D$26)</f>
        <v>0</v>
      </c>
      <c r="E6" s="133">
        <f>IF(SER_hh_emih!E6=0,0,SER_hh_emih!E6/SER_summary!E$26)</f>
        <v>0</v>
      </c>
      <c r="F6" s="133">
        <f>IF(SER_hh_emih!F6=0,0,SER_hh_emih!F6/SER_summary!F$26)</f>
        <v>0</v>
      </c>
      <c r="G6" s="133">
        <f>IF(SER_hh_emih!G6=0,0,SER_hh_emih!G6/SER_summary!G$26)</f>
        <v>0</v>
      </c>
      <c r="H6" s="133">
        <f>IF(SER_hh_emih!H6=0,0,SER_hh_emih!H6/SER_summary!H$26)</f>
        <v>0</v>
      </c>
      <c r="I6" s="133">
        <f>IF(SER_hh_emih!I6=0,0,SER_hh_emih!I6/SER_summary!I$26)</f>
        <v>0</v>
      </c>
      <c r="J6" s="133">
        <f>IF(SER_hh_emih!J6=0,0,SER_hh_emih!J6/SER_summary!J$26)</f>
        <v>0</v>
      </c>
      <c r="K6" s="133">
        <f>IF(SER_hh_emih!K6=0,0,SER_hh_emih!K6/SER_summary!K$26)</f>
        <v>0</v>
      </c>
      <c r="L6" s="133">
        <f>IF(SER_hh_emih!L6=0,0,SER_hh_emih!L6/SER_summary!L$26)</f>
        <v>0</v>
      </c>
      <c r="M6" s="133">
        <f>IF(SER_hh_emih!M6=0,0,SER_hh_emih!M6/SER_summary!M$26)</f>
        <v>0</v>
      </c>
      <c r="N6" s="133">
        <f>IF(SER_hh_emih!N6=0,0,SER_hh_emih!N6/SER_summary!N$26)</f>
        <v>0</v>
      </c>
      <c r="O6" s="133">
        <f>IF(SER_hh_emih!O6=0,0,SER_hh_emih!O6/SER_summary!O$26)</f>
        <v>0</v>
      </c>
      <c r="P6" s="133">
        <f>IF(SER_hh_emih!P6=0,0,SER_hh_emih!P6/SER_summary!P$26)</f>
        <v>0</v>
      </c>
      <c r="Q6" s="133">
        <f>IF(SER_hh_emih!Q6=0,0,SER_hh_emih!Q6/SER_summary!Q$26)</f>
        <v>0</v>
      </c>
      <c r="R6" s="133">
        <f>IF(SER_hh_emih!R6=0,0,SER_hh_emih!R6/SER_summary!R$26)</f>
        <v>0</v>
      </c>
      <c r="S6" s="133">
        <f>IF(SER_hh_emih!S6=0,0,SER_hh_emih!S6/SER_summary!S$26)</f>
        <v>0</v>
      </c>
      <c r="T6" s="133">
        <f>IF(SER_hh_emih!T6=0,0,SER_hh_emih!T6/SER_summary!T$26)</f>
        <v>0</v>
      </c>
      <c r="U6" s="133">
        <f>IF(SER_hh_emih!U6=0,0,SER_hh_emih!U6/SER_summary!U$26)</f>
        <v>0</v>
      </c>
      <c r="V6" s="133">
        <f>IF(SER_hh_emih!V6=0,0,SER_hh_emih!V6/SER_summary!V$26)</f>
        <v>0</v>
      </c>
      <c r="W6" s="133">
        <f>IF(SER_hh_emih!W6=0,0,SER_hh_emih!W6/SER_summary!W$26)</f>
        <v>0</v>
      </c>
      <c r="DA6" s="157" t="s">
        <v>541</v>
      </c>
    </row>
    <row r="7" spans="1:105" ht="12" customHeight="1" x14ac:dyDescent="0.25">
      <c r="A7" s="132" t="s">
        <v>168</v>
      </c>
      <c r="B7" s="133">
        <f>IF(SER_hh_emih!B7=0,0,SER_hh_emih!B7/SER_summary!B$26)</f>
        <v>42.893779311529116</v>
      </c>
      <c r="C7" s="133">
        <f>IF(SER_hh_emih!C7=0,0,SER_hh_emih!C7/SER_summary!C$26)</f>
        <v>39.735804563858323</v>
      </c>
      <c r="D7" s="133">
        <f>IF(SER_hh_emih!D7=0,0,SER_hh_emih!D7/SER_summary!D$26)</f>
        <v>50.470929317080028</v>
      </c>
      <c r="E7" s="133">
        <f>IF(SER_hh_emih!E7=0,0,SER_hh_emih!E7/SER_summary!E$26)</f>
        <v>57.204053290332233</v>
      </c>
      <c r="F7" s="133">
        <f>IF(SER_hh_emih!F7=0,0,SER_hh_emih!F7/SER_summary!F$26)</f>
        <v>55.710072130934641</v>
      </c>
      <c r="G7" s="133">
        <f>IF(SER_hh_emih!G7=0,0,SER_hh_emih!G7/SER_summary!G$26)</f>
        <v>56.579154285730418</v>
      </c>
      <c r="H7" s="133">
        <f>IF(SER_hh_emih!H7=0,0,SER_hh_emih!H7/SER_summary!H$26)</f>
        <v>49.852311856793534</v>
      </c>
      <c r="I7" s="133">
        <f>IF(SER_hh_emih!I7=0,0,SER_hh_emih!I7/SER_summary!I$26)</f>
        <v>43.303090896807568</v>
      </c>
      <c r="J7" s="133">
        <f>IF(SER_hh_emih!J7=0,0,SER_hh_emih!J7/SER_summary!J$26)</f>
        <v>55.333501466097552</v>
      </c>
      <c r="K7" s="133">
        <f>IF(SER_hh_emih!K7=0,0,SER_hh_emih!K7/SER_summary!K$26)</f>
        <v>45.96499114759375</v>
      </c>
      <c r="L7" s="133">
        <f>IF(SER_hh_emih!L7=0,0,SER_hh_emih!L7/SER_summary!L$26)</f>
        <v>52.13390829491366</v>
      </c>
      <c r="M7" s="133">
        <f>IF(SER_hh_emih!M7=0,0,SER_hh_emih!M7/SER_summary!M$26)</f>
        <v>43.102637972413135</v>
      </c>
      <c r="N7" s="133">
        <f>IF(SER_hh_emih!N7=0,0,SER_hh_emih!N7/SER_summary!N$26)</f>
        <v>42.699894875814024</v>
      </c>
      <c r="O7" s="133">
        <f>IF(SER_hh_emih!O7=0,0,SER_hh_emih!O7/SER_summary!O$26)</f>
        <v>46.75374005912829</v>
      </c>
      <c r="P7" s="133">
        <f>IF(SER_hh_emih!P7=0,0,SER_hh_emih!P7/SER_summary!P$26)</f>
        <v>35.447047005568848</v>
      </c>
      <c r="Q7" s="133">
        <f>IF(SER_hh_emih!Q7=0,0,SER_hh_emih!Q7/SER_summary!Q$26)</f>
        <v>42.293452326434611</v>
      </c>
      <c r="R7" s="133">
        <f>IF(SER_hh_emih!R7=0,0,SER_hh_emih!R7/SER_summary!R$26)</f>
        <v>38.863467141159461</v>
      </c>
      <c r="S7" s="133">
        <f>IF(SER_hh_emih!S7=0,0,SER_hh_emih!S7/SER_summary!S$26)</f>
        <v>39.322825559628292</v>
      </c>
      <c r="T7" s="133">
        <f>IF(SER_hh_emih!T7=0,0,SER_hh_emih!T7/SER_summary!T$26)</f>
        <v>39.053315258340874</v>
      </c>
      <c r="U7" s="133">
        <f>IF(SER_hh_emih!U7=0,0,SER_hh_emih!U7/SER_summary!U$26)</f>
        <v>37.619199489182385</v>
      </c>
      <c r="V7" s="133">
        <f>IF(SER_hh_emih!V7=0,0,SER_hh_emih!V7/SER_summary!V$26)</f>
        <v>40.03217940350396</v>
      </c>
      <c r="W7" s="133">
        <f>IF(SER_hh_emih!W7=0,0,SER_hh_emih!W7/SER_summary!W$26)</f>
        <v>34.440671661077744</v>
      </c>
      <c r="DA7" s="157" t="s">
        <v>542</v>
      </c>
    </row>
    <row r="8" spans="1:105" ht="12" customHeight="1" x14ac:dyDescent="0.25">
      <c r="A8" s="132" t="s">
        <v>73</v>
      </c>
      <c r="B8" s="133">
        <f>IF(SER_hh_emih!B8=0,0,SER_hh_emih!B8/SER_summary!B$26)</f>
        <v>15.484886961670934</v>
      </c>
      <c r="C8" s="133">
        <f>IF(SER_hh_emih!C8=0,0,SER_hh_emih!C8/SER_summary!C$26)</f>
        <v>15.52230188765242</v>
      </c>
      <c r="D8" s="133">
        <f>IF(SER_hh_emih!D8=0,0,SER_hh_emih!D8/SER_summary!D$26)</f>
        <v>15.087404269366813</v>
      </c>
      <c r="E8" s="133">
        <f>IF(SER_hh_emih!E8=0,0,SER_hh_emih!E8/SER_summary!E$26)</f>
        <v>14.804696183973221</v>
      </c>
      <c r="F8" s="133">
        <f>IF(SER_hh_emih!F8=0,0,SER_hh_emih!F8/SER_summary!F$26)</f>
        <v>16.713500794961533</v>
      </c>
      <c r="G8" s="133">
        <f>IF(SER_hh_emih!G8=0,0,SER_hh_emih!G8/SER_summary!G$26)</f>
        <v>15.202631729849921</v>
      </c>
      <c r="H8" s="133">
        <f>IF(SER_hh_emih!H8=0,0,SER_hh_emih!H8/SER_summary!H$26)</f>
        <v>14.081701415259325</v>
      </c>
      <c r="I8" s="133">
        <f>IF(SER_hh_emih!I8=0,0,SER_hh_emih!I8/SER_summary!I$26)</f>
        <v>11.506853099490913</v>
      </c>
      <c r="J8" s="133">
        <f>IF(SER_hh_emih!J8=0,0,SER_hh_emih!J8/SER_summary!J$26)</f>
        <v>11.63938298521029</v>
      </c>
      <c r="K8" s="133">
        <f>IF(SER_hh_emih!K8=0,0,SER_hh_emih!K8/SER_summary!K$26)</f>
        <v>10.96934215242398</v>
      </c>
      <c r="L8" s="133">
        <f>IF(SER_hh_emih!L8=0,0,SER_hh_emih!L8/SER_summary!L$26)</f>
        <v>10.14220718476914</v>
      </c>
      <c r="M8" s="133">
        <f>IF(SER_hh_emih!M8=0,0,SER_hh_emih!M8/SER_summary!M$26)</f>
        <v>7.6098087254025151</v>
      </c>
      <c r="N8" s="133">
        <f>IF(SER_hh_emih!N8=0,0,SER_hh_emih!N8/SER_summary!N$26)</f>
        <v>7.6870551508865379</v>
      </c>
      <c r="O8" s="133">
        <f>IF(SER_hh_emih!O8=0,0,SER_hh_emih!O8/SER_summary!O$26)</f>
        <v>7.9374141682627304</v>
      </c>
      <c r="P8" s="133">
        <f>IF(SER_hh_emih!P8=0,0,SER_hh_emih!P8/SER_summary!P$26)</f>
        <v>5.913590341516155</v>
      </c>
      <c r="Q8" s="133">
        <f>IF(SER_hh_emih!Q8=0,0,SER_hh_emih!Q8/SER_summary!Q$26)</f>
        <v>6.4859954995985509</v>
      </c>
      <c r="R8" s="133">
        <f>IF(SER_hh_emih!R8=0,0,SER_hh_emih!R8/SER_summary!R$26)</f>
        <v>6.4836654730546508</v>
      </c>
      <c r="S8" s="133">
        <f>IF(SER_hh_emih!S8=0,0,SER_hh_emih!S8/SER_summary!S$26)</f>
        <v>6.0940890871005049</v>
      </c>
      <c r="T8" s="133">
        <f>IF(SER_hh_emih!T8=0,0,SER_hh_emih!T8/SER_summary!T$26)</f>
        <v>5.9513702114451208</v>
      </c>
      <c r="U8" s="133">
        <f>IF(SER_hh_emih!U8=0,0,SER_hh_emih!U8/SER_summary!U$26)</f>
        <v>5.834985641844165</v>
      </c>
      <c r="V8" s="133">
        <f>IF(SER_hh_emih!V8=0,0,SER_hh_emih!V8/SER_summary!V$26)</f>
        <v>5.5590484444125643</v>
      </c>
      <c r="W8" s="133">
        <f>IF(SER_hh_emih!W8=0,0,SER_hh_emih!W8/SER_summary!W$26)</f>
        <v>5.9536854067863665</v>
      </c>
      <c r="DA8" s="157" t="s">
        <v>543</v>
      </c>
    </row>
    <row r="9" spans="1:105" ht="12" customHeight="1" x14ac:dyDescent="0.25">
      <c r="A9" s="132" t="s">
        <v>78</v>
      </c>
      <c r="B9" s="133">
        <f>IF(SER_hh_emih!B9=0,0,SER_hh_emih!B9/SER_summary!B$26)</f>
        <v>28.509930237282088</v>
      </c>
      <c r="C9" s="133">
        <f>IF(SER_hh_emih!C9=0,0,SER_hh_emih!C9/SER_summary!C$26)</f>
        <v>31.623007794095113</v>
      </c>
      <c r="D9" s="133">
        <f>IF(SER_hh_emih!D9=0,0,SER_hh_emih!D9/SER_summary!D$26)</f>
        <v>29.385146966898869</v>
      </c>
      <c r="E9" s="133">
        <f>IF(SER_hh_emih!E9=0,0,SER_hh_emih!E9/SER_summary!E$26)</f>
        <v>30.986024817364488</v>
      </c>
      <c r="F9" s="133">
        <f>IF(SER_hh_emih!F9=0,0,SER_hh_emih!F9/SER_summary!F$26)</f>
        <v>33.582936642726033</v>
      </c>
      <c r="G9" s="133">
        <f>IF(SER_hh_emih!G9=0,0,SER_hh_emih!G9/SER_summary!G$26)</f>
        <v>35.023966133153571</v>
      </c>
      <c r="H9" s="133">
        <f>IF(SER_hh_emih!H9=0,0,SER_hh_emih!H9/SER_summary!H$26)</f>
        <v>34.756397418875821</v>
      </c>
      <c r="I9" s="133">
        <f>IF(SER_hh_emih!I9=0,0,SER_hh_emih!I9/SER_summary!I$26)</f>
        <v>30.259508160872134</v>
      </c>
      <c r="J9" s="133">
        <f>IF(SER_hh_emih!J9=0,0,SER_hh_emih!J9/SER_summary!J$26)</f>
        <v>32.957411621249982</v>
      </c>
      <c r="K9" s="133">
        <f>IF(SER_hh_emih!K9=0,0,SER_hh_emih!K9/SER_summary!K$26)</f>
        <v>33.495055174571945</v>
      </c>
      <c r="L9" s="133">
        <f>IF(SER_hh_emih!L9=0,0,SER_hh_emih!L9/SER_summary!L$26)</f>
        <v>34.548731931063067</v>
      </c>
      <c r="M9" s="133">
        <f>IF(SER_hh_emih!M9=0,0,SER_hh_emih!M9/SER_summary!M$26)</f>
        <v>25.509407054077123</v>
      </c>
      <c r="N9" s="133">
        <f>IF(SER_hh_emih!N9=0,0,SER_hh_emih!N9/SER_summary!N$26)</f>
        <v>28.138887666154037</v>
      </c>
      <c r="O9" s="133">
        <f>IF(SER_hh_emih!O9=0,0,SER_hh_emih!O9/SER_summary!O$26)</f>
        <v>30.396391700471224</v>
      </c>
      <c r="P9" s="133">
        <f>IF(SER_hh_emih!P9=0,0,SER_hh_emih!P9/SER_summary!P$26)</f>
        <v>22.43868644837476</v>
      </c>
      <c r="Q9" s="133">
        <f>IF(SER_hh_emih!Q9=0,0,SER_hh_emih!Q9/SER_summary!Q$26)</f>
        <v>25.576402508625847</v>
      </c>
      <c r="R9" s="133">
        <f>IF(SER_hh_emih!R9=0,0,SER_hh_emih!R9/SER_summary!R$26)</f>
        <v>26.585590059961703</v>
      </c>
      <c r="S9" s="133">
        <f>IF(SER_hh_emih!S9=0,0,SER_hh_emih!S9/SER_summary!S$26)</f>
        <v>25.877749703176551</v>
      </c>
      <c r="T9" s="133">
        <f>IF(SER_hh_emih!T9=0,0,SER_hh_emih!T9/SER_summary!T$26)</f>
        <v>26.032195649977567</v>
      </c>
      <c r="U9" s="133">
        <f>IF(SER_hh_emih!U9=0,0,SER_hh_emih!U9/SER_summary!U$26)</f>
        <v>25.822616858787601</v>
      </c>
      <c r="V9" s="133">
        <f>IF(SER_hh_emih!V9=0,0,SER_hh_emih!V9/SER_summary!V$26)</f>
        <v>23.828606225597252</v>
      </c>
      <c r="W9" s="133">
        <f>IF(SER_hh_emih!W9=0,0,SER_hh_emih!W9/SER_summary!W$26)</f>
        <v>26.888891521092987</v>
      </c>
      <c r="DA9" s="157" t="s">
        <v>544</v>
      </c>
    </row>
    <row r="10" spans="1:105" ht="12" customHeight="1" x14ac:dyDescent="0.25">
      <c r="A10" s="132" t="s">
        <v>128</v>
      </c>
      <c r="B10" s="133">
        <f>IF(SER_hh_emih!B10=0,0,SER_hh_emih!B10/SER_summary!B$26)</f>
        <v>0</v>
      </c>
      <c r="C10" s="133">
        <f>IF(SER_hh_emih!C10=0,0,SER_hh_emih!C10/SER_summary!C$26)</f>
        <v>0</v>
      </c>
      <c r="D10" s="133">
        <f>IF(SER_hh_emih!D10=0,0,SER_hh_emih!D10/SER_summary!D$26)</f>
        <v>0</v>
      </c>
      <c r="E10" s="133">
        <f>IF(SER_hh_emih!E10=0,0,SER_hh_emih!E10/SER_summary!E$26)</f>
        <v>0</v>
      </c>
      <c r="F10" s="133">
        <f>IF(SER_hh_emih!F10=0,0,SER_hh_emih!F10/SER_summary!F$26)</f>
        <v>157.06629684518725</v>
      </c>
      <c r="G10" s="133">
        <f>IF(SER_hh_emih!G10=0,0,SER_hh_emih!G10/SER_summary!G$26)</f>
        <v>137.55412569355494</v>
      </c>
      <c r="H10" s="133">
        <f>IF(SER_hh_emih!H10=0,0,SER_hh_emih!H10/SER_summary!H$26)</f>
        <v>123.60667469374049</v>
      </c>
      <c r="I10" s="133">
        <f>IF(SER_hh_emih!I10=0,0,SER_hh_emih!I10/SER_summary!I$26)</f>
        <v>115.48148910224438</v>
      </c>
      <c r="J10" s="133">
        <f>IF(SER_hh_emih!J10=0,0,SER_hh_emih!J10/SER_summary!J$26)</f>
        <v>0</v>
      </c>
      <c r="K10" s="133">
        <f>IF(SER_hh_emih!K10=0,0,SER_hh_emih!K10/SER_summary!K$26)</f>
        <v>0</v>
      </c>
      <c r="L10" s="133">
        <f>IF(SER_hh_emih!L10=0,0,SER_hh_emih!L10/SER_summary!L$26)</f>
        <v>0</v>
      </c>
      <c r="M10" s="133">
        <f>IF(SER_hh_emih!M10=0,0,SER_hh_emih!M10/SER_summary!M$26)</f>
        <v>0</v>
      </c>
      <c r="N10" s="133">
        <f>IF(SER_hh_emih!N10=0,0,SER_hh_emih!N10/SER_summary!N$26)</f>
        <v>0</v>
      </c>
      <c r="O10" s="133">
        <f>IF(SER_hh_emih!O10=0,0,SER_hh_emih!O10/SER_summary!O$26)</f>
        <v>64.453529926588544</v>
      </c>
      <c r="P10" s="133">
        <f>IF(SER_hh_emih!P10=0,0,SER_hh_emih!P10/SER_summary!P$26)</f>
        <v>48.434144169729606</v>
      </c>
      <c r="Q10" s="133">
        <f>IF(SER_hh_emih!Q10=0,0,SER_hh_emih!Q10/SER_summary!Q$26)</f>
        <v>57.793868185532773</v>
      </c>
      <c r="R10" s="133">
        <f>IF(SER_hh_emih!R10=0,0,SER_hh_emih!R10/SER_summary!R$26)</f>
        <v>55.786410214945228</v>
      </c>
      <c r="S10" s="133">
        <f>IF(SER_hh_emih!S10=0,0,SER_hh_emih!S10/SER_summary!S$26)</f>
        <v>55.482920661872853</v>
      </c>
      <c r="T10" s="133">
        <f>IF(SER_hh_emih!T10=0,0,SER_hh_emih!T10/SER_summary!T$26)</f>
        <v>54.676070103069989</v>
      </c>
      <c r="U10" s="133">
        <f>IF(SER_hh_emih!U10=0,0,SER_hh_emih!U10/SER_summary!U$26)</f>
        <v>53.35821213501373</v>
      </c>
      <c r="V10" s="133">
        <f>IF(SER_hh_emih!V10=0,0,SER_hh_emih!V10/SER_summary!V$26)</f>
        <v>54.958564812218007</v>
      </c>
      <c r="W10" s="133">
        <f>IF(SER_hh_emih!W10=0,0,SER_hh_emih!W10/SER_summary!W$26)</f>
        <v>54.302235253307494</v>
      </c>
      <c r="DA10" s="157" t="s">
        <v>545</v>
      </c>
    </row>
    <row r="11" spans="1:105" ht="12" customHeight="1" x14ac:dyDescent="0.25">
      <c r="A11" s="132" t="s">
        <v>25</v>
      </c>
      <c r="B11" s="133">
        <f>IF(SER_hh_emih!B11=0,0,SER_hh_emih!B11/SER_summary!B$26)</f>
        <v>0</v>
      </c>
      <c r="C11" s="133">
        <f>IF(SER_hh_emih!C11=0,0,SER_hh_emih!C11/SER_summary!C$26)</f>
        <v>0</v>
      </c>
      <c r="D11" s="133">
        <f>IF(SER_hh_emih!D11=0,0,SER_hh_emih!D11/SER_summary!D$26)</f>
        <v>0</v>
      </c>
      <c r="E11" s="133">
        <f>IF(SER_hh_emih!E11=0,0,SER_hh_emih!E11/SER_summary!E$26)</f>
        <v>0</v>
      </c>
      <c r="F11" s="133">
        <f>IF(SER_hh_emih!F11=0,0,SER_hh_emih!F11/SER_summary!F$26)</f>
        <v>0</v>
      </c>
      <c r="G11" s="133">
        <f>IF(SER_hh_emih!G11=0,0,SER_hh_emih!G11/SER_summary!G$26)</f>
        <v>0</v>
      </c>
      <c r="H11" s="133">
        <f>IF(SER_hh_emih!H11=0,0,SER_hh_emih!H11/SER_summary!H$26)</f>
        <v>0</v>
      </c>
      <c r="I11" s="133">
        <f>IF(SER_hh_emih!I11=0,0,SER_hh_emih!I11/SER_summary!I$26)</f>
        <v>0</v>
      </c>
      <c r="J11" s="133">
        <f>IF(SER_hh_emih!J11=0,0,SER_hh_emih!J11/SER_summary!J$26)</f>
        <v>0</v>
      </c>
      <c r="K11" s="133">
        <f>IF(SER_hh_emih!K11=0,0,SER_hh_emih!K11/SER_summary!K$26)</f>
        <v>0</v>
      </c>
      <c r="L11" s="133">
        <f>IF(SER_hh_emih!L11=0,0,SER_hh_emih!L11/SER_summary!L$26)</f>
        <v>0</v>
      </c>
      <c r="M11" s="133">
        <f>IF(SER_hh_emih!M11=0,0,SER_hh_emih!M11/SER_summary!M$26)</f>
        <v>0</v>
      </c>
      <c r="N11" s="133">
        <f>IF(SER_hh_emih!N11=0,0,SER_hh_emih!N11/SER_summary!N$26)</f>
        <v>0</v>
      </c>
      <c r="O11" s="133">
        <f>IF(SER_hh_emih!O11=0,0,SER_hh_emih!O11/SER_summary!O$26)</f>
        <v>0</v>
      </c>
      <c r="P11" s="133">
        <f>IF(SER_hh_emih!P11=0,0,SER_hh_emih!P11/SER_summary!P$26)</f>
        <v>0</v>
      </c>
      <c r="Q11" s="133">
        <f>IF(SER_hh_emih!Q11=0,0,SER_hh_emih!Q11/SER_summary!Q$26)</f>
        <v>0</v>
      </c>
      <c r="R11" s="133">
        <f>IF(SER_hh_emih!R11=0,0,SER_hh_emih!R11/SER_summary!R$26)</f>
        <v>0</v>
      </c>
      <c r="S11" s="133">
        <f>IF(SER_hh_emih!S11=0,0,SER_hh_emih!S11/SER_summary!S$26)</f>
        <v>0</v>
      </c>
      <c r="T11" s="133">
        <f>IF(SER_hh_emih!T11=0,0,SER_hh_emih!T11/SER_summary!T$26)</f>
        <v>0</v>
      </c>
      <c r="U11" s="133">
        <f>IF(SER_hh_emih!U11=0,0,SER_hh_emih!U11/SER_summary!U$26)</f>
        <v>0</v>
      </c>
      <c r="V11" s="133">
        <f>IF(SER_hh_emih!V11=0,0,SER_hh_emih!V11/SER_summary!V$26)</f>
        <v>0</v>
      </c>
      <c r="W11" s="133">
        <f>IF(SER_hh_emih!W11=0,0,SER_hh_emih!W11/SER_summary!W$26)</f>
        <v>0</v>
      </c>
      <c r="DA11" s="157" t="s">
        <v>546</v>
      </c>
    </row>
    <row r="12" spans="1:105" ht="12" customHeight="1" x14ac:dyDescent="0.25">
      <c r="A12" s="132" t="s">
        <v>169</v>
      </c>
      <c r="B12" s="133">
        <f>IF(SER_hh_emih!B12=0,0,SER_hh_emih!B12/SER_summary!B$26)</f>
        <v>0</v>
      </c>
      <c r="C12" s="133">
        <f>IF(SER_hh_emih!C12=0,0,SER_hh_emih!C12/SER_summary!C$26)</f>
        <v>0</v>
      </c>
      <c r="D12" s="133">
        <f>IF(SER_hh_emih!D12=0,0,SER_hh_emih!D12/SER_summary!D$26)</f>
        <v>0</v>
      </c>
      <c r="E12" s="133">
        <f>IF(SER_hh_emih!E12=0,0,SER_hh_emih!E12/SER_summary!E$26)</f>
        <v>0</v>
      </c>
      <c r="F12" s="133">
        <f>IF(SER_hh_emih!F12=0,0,SER_hh_emih!F12/SER_summary!F$26)</f>
        <v>0</v>
      </c>
      <c r="G12" s="133">
        <f>IF(SER_hh_emih!G12=0,0,SER_hh_emih!G12/SER_summary!G$26)</f>
        <v>0</v>
      </c>
      <c r="H12" s="133">
        <f>IF(SER_hh_emih!H12=0,0,SER_hh_emih!H12/SER_summary!H$26)</f>
        <v>0</v>
      </c>
      <c r="I12" s="133">
        <f>IF(SER_hh_emih!I12=0,0,SER_hh_emih!I12/SER_summary!I$26)</f>
        <v>0</v>
      </c>
      <c r="J12" s="133">
        <f>IF(SER_hh_emih!J12=0,0,SER_hh_emih!J12/SER_summary!J$26)</f>
        <v>0</v>
      </c>
      <c r="K12" s="133">
        <f>IF(SER_hh_emih!K12=0,0,SER_hh_emih!K12/SER_summary!K$26)</f>
        <v>0</v>
      </c>
      <c r="L12" s="133">
        <f>IF(SER_hh_emih!L12=0,0,SER_hh_emih!L12/SER_summary!L$26)</f>
        <v>0</v>
      </c>
      <c r="M12" s="133">
        <f>IF(SER_hh_emih!M12=0,0,SER_hh_emih!M12/SER_summary!M$26)</f>
        <v>0</v>
      </c>
      <c r="N12" s="133">
        <f>IF(SER_hh_emih!N12=0,0,SER_hh_emih!N12/SER_summary!N$26)</f>
        <v>0</v>
      </c>
      <c r="O12" s="133">
        <f>IF(SER_hh_emih!O12=0,0,SER_hh_emih!O12/SER_summary!O$26)</f>
        <v>0</v>
      </c>
      <c r="P12" s="133">
        <f>IF(SER_hh_emih!P12=0,0,SER_hh_emih!P12/SER_summary!P$26)</f>
        <v>0</v>
      </c>
      <c r="Q12" s="133">
        <f>IF(SER_hh_emih!Q12=0,0,SER_hh_emih!Q12/SER_summary!Q$26)</f>
        <v>0</v>
      </c>
      <c r="R12" s="133">
        <f>IF(SER_hh_emih!R12=0,0,SER_hh_emih!R12/SER_summary!R$26)</f>
        <v>0</v>
      </c>
      <c r="S12" s="133">
        <f>IF(SER_hh_emih!S12=0,0,SER_hh_emih!S12/SER_summary!S$26)</f>
        <v>0</v>
      </c>
      <c r="T12" s="133">
        <f>IF(SER_hh_emih!T12=0,0,SER_hh_emih!T12/SER_summary!T$26)</f>
        <v>0</v>
      </c>
      <c r="U12" s="133">
        <f>IF(SER_hh_emih!U12=0,0,SER_hh_emih!U12/SER_summary!U$26)</f>
        <v>0</v>
      </c>
      <c r="V12" s="133">
        <f>IF(SER_hh_emih!V12=0,0,SER_hh_emih!V12/SER_summary!V$26)</f>
        <v>0</v>
      </c>
      <c r="W12" s="133">
        <f>IF(SER_hh_emih!W12=0,0,SER_hh_emih!W12/SER_summary!W$26)</f>
        <v>0</v>
      </c>
      <c r="DA12" s="157" t="s">
        <v>547</v>
      </c>
    </row>
    <row r="13" spans="1:105" ht="12" customHeight="1" x14ac:dyDescent="0.25">
      <c r="A13" s="132" t="s">
        <v>77</v>
      </c>
      <c r="B13" s="133">
        <f>IF(SER_hh_emih!B13=0,0,SER_hh_emih!B13/SER_summary!B$26)</f>
        <v>0</v>
      </c>
      <c r="C13" s="133">
        <f>IF(SER_hh_emih!C13=0,0,SER_hh_emih!C13/SER_summary!C$26)</f>
        <v>0</v>
      </c>
      <c r="D13" s="133">
        <f>IF(SER_hh_emih!D13=0,0,SER_hh_emih!D13/SER_summary!D$26)</f>
        <v>0</v>
      </c>
      <c r="E13" s="133">
        <f>IF(SER_hh_emih!E13=0,0,SER_hh_emih!E13/SER_summary!E$26)</f>
        <v>0</v>
      </c>
      <c r="F13" s="133">
        <f>IF(SER_hh_emih!F13=0,0,SER_hh_emih!F13/SER_summary!F$26)</f>
        <v>0</v>
      </c>
      <c r="G13" s="133">
        <f>IF(SER_hh_emih!G13=0,0,SER_hh_emih!G13/SER_summary!G$26)</f>
        <v>0</v>
      </c>
      <c r="H13" s="133">
        <f>IF(SER_hh_emih!H13=0,0,SER_hh_emih!H13/SER_summary!H$26)</f>
        <v>0</v>
      </c>
      <c r="I13" s="133">
        <f>IF(SER_hh_emih!I13=0,0,SER_hh_emih!I13/SER_summary!I$26)</f>
        <v>0</v>
      </c>
      <c r="J13" s="133">
        <f>IF(SER_hh_emih!J13=0,0,SER_hh_emih!J13/SER_summary!J$26)</f>
        <v>0</v>
      </c>
      <c r="K13" s="133">
        <f>IF(SER_hh_emih!K13=0,0,SER_hh_emih!K13/SER_summary!K$26)</f>
        <v>0</v>
      </c>
      <c r="L13" s="133">
        <f>IF(SER_hh_emih!L13=0,0,SER_hh_emih!L13/SER_summary!L$26)</f>
        <v>0</v>
      </c>
      <c r="M13" s="133">
        <f>IF(SER_hh_emih!M13=0,0,SER_hh_emih!M13/SER_summary!M$26)</f>
        <v>0</v>
      </c>
      <c r="N13" s="133">
        <f>IF(SER_hh_emih!N13=0,0,SER_hh_emih!N13/SER_summary!N$26)</f>
        <v>0</v>
      </c>
      <c r="O13" s="133">
        <f>IF(SER_hh_emih!O13=0,0,SER_hh_emih!O13/SER_summary!O$26)</f>
        <v>0</v>
      </c>
      <c r="P13" s="133">
        <f>IF(SER_hh_emih!P13=0,0,SER_hh_emih!P13/SER_summary!P$26)</f>
        <v>0</v>
      </c>
      <c r="Q13" s="133">
        <f>IF(SER_hh_emih!Q13=0,0,SER_hh_emih!Q13/SER_summary!Q$26)</f>
        <v>0</v>
      </c>
      <c r="R13" s="133">
        <f>IF(SER_hh_emih!R13=0,0,SER_hh_emih!R13/SER_summary!R$26)</f>
        <v>0</v>
      </c>
      <c r="S13" s="133">
        <f>IF(SER_hh_emih!S13=0,0,SER_hh_emih!S13/SER_summary!S$26)</f>
        <v>0</v>
      </c>
      <c r="T13" s="133">
        <f>IF(SER_hh_emih!T13=0,0,SER_hh_emih!T13/SER_summary!T$26)</f>
        <v>0</v>
      </c>
      <c r="U13" s="133">
        <f>IF(SER_hh_emih!U13=0,0,SER_hh_emih!U13/SER_summary!U$26)</f>
        <v>0</v>
      </c>
      <c r="V13" s="133">
        <f>IF(SER_hh_emih!V13=0,0,SER_hh_emih!V13/SER_summary!V$26)</f>
        <v>0</v>
      </c>
      <c r="W13" s="133">
        <f>IF(SER_hh_emih!W13=0,0,SER_hh_emih!W13/SER_summary!W$26)</f>
        <v>0</v>
      </c>
      <c r="DA13" s="157" t="s">
        <v>548</v>
      </c>
    </row>
    <row r="14" spans="1:105" ht="12" customHeight="1" x14ac:dyDescent="0.25">
      <c r="A14" s="60" t="s">
        <v>76</v>
      </c>
      <c r="B14" s="65">
        <f>IF(SER_hh_emih!B14=0,0,SER_hh_emih!B14/SER_summary!B$26)</f>
        <v>0</v>
      </c>
      <c r="C14" s="65">
        <f>IF(SER_hh_emih!C14=0,0,SER_hh_emih!C14/SER_summary!C$26)</f>
        <v>0</v>
      </c>
      <c r="D14" s="65">
        <f>IF(SER_hh_emih!D14=0,0,SER_hh_emih!D14/SER_summary!D$26)</f>
        <v>0</v>
      </c>
      <c r="E14" s="65">
        <f>IF(SER_hh_emih!E14=0,0,SER_hh_emih!E14/SER_summary!E$26)</f>
        <v>0</v>
      </c>
      <c r="F14" s="65">
        <f>IF(SER_hh_emih!F14=0,0,SER_hh_emih!F14/SER_summary!F$26)</f>
        <v>0</v>
      </c>
      <c r="G14" s="65">
        <f>IF(SER_hh_emih!G14=0,0,SER_hh_emih!G14/SER_summary!G$26)</f>
        <v>0</v>
      </c>
      <c r="H14" s="65">
        <f>IF(SER_hh_emih!H14=0,0,SER_hh_emih!H14/SER_summary!H$26)</f>
        <v>0</v>
      </c>
      <c r="I14" s="65">
        <f>IF(SER_hh_emih!I14=0,0,SER_hh_emih!I14/SER_summary!I$26)</f>
        <v>0</v>
      </c>
      <c r="J14" s="65">
        <f>IF(SER_hh_emih!J14=0,0,SER_hh_emih!J14/SER_summary!J$26)</f>
        <v>0</v>
      </c>
      <c r="K14" s="65">
        <f>IF(SER_hh_emih!K14=0,0,SER_hh_emih!K14/SER_summary!K$26)</f>
        <v>0</v>
      </c>
      <c r="L14" s="65">
        <f>IF(SER_hh_emih!L14=0,0,SER_hh_emih!L14/SER_summary!L$26)</f>
        <v>0</v>
      </c>
      <c r="M14" s="65">
        <f>IF(SER_hh_emih!M14=0,0,SER_hh_emih!M14/SER_summary!M$26)</f>
        <v>0</v>
      </c>
      <c r="N14" s="65">
        <f>IF(SER_hh_emih!N14=0,0,SER_hh_emih!N14/SER_summary!N$26)</f>
        <v>0</v>
      </c>
      <c r="O14" s="65">
        <f>IF(SER_hh_emih!O14=0,0,SER_hh_emih!O14/SER_summary!O$26)</f>
        <v>0</v>
      </c>
      <c r="P14" s="65">
        <f>IF(SER_hh_emih!P14=0,0,SER_hh_emih!P14/SER_summary!P$26)</f>
        <v>0</v>
      </c>
      <c r="Q14" s="65">
        <f>IF(SER_hh_emih!Q14=0,0,SER_hh_emih!Q14/SER_summary!Q$26)</f>
        <v>0</v>
      </c>
      <c r="R14" s="65">
        <f>IF(SER_hh_emih!R14=0,0,SER_hh_emih!R14/SER_summary!R$26)</f>
        <v>0</v>
      </c>
      <c r="S14" s="65">
        <f>IF(SER_hh_emih!S14=0,0,SER_hh_emih!S14/SER_summary!S$26)</f>
        <v>0</v>
      </c>
      <c r="T14" s="65">
        <f>IF(SER_hh_emih!T14=0,0,SER_hh_emih!T14/SER_summary!T$26)</f>
        <v>0</v>
      </c>
      <c r="U14" s="65">
        <f>IF(SER_hh_emih!U14=0,0,SER_hh_emih!U14/SER_summary!U$26)</f>
        <v>0</v>
      </c>
      <c r="V14" s="65">
        <f>IF(SER_hh_emih!V14=0,0,SER_hh_emih!V14/SER_summary!V$26)</f>
        <v>0</v>
      </c>
      <c r="W14" s="65">
        <f>IF(SER_hh_emih!W14=0,0,SER_hh_emih!W14/SER_summary!W$26)</f>
        <v>0</v>
      </c>
      <c r="DA14" s="109" t="s">
        <v>549</v>
      </c>
    </row>
    <row r="15" spans="1:105" ht="12" customHeight="1" x14ac:dyDescent="0.25">
      <c r="A15" s="134" t="s">
        <v>80</v>
      </c>
      <c r="B15" s="135">
        <f>IF(SER_hh_emih!B15=0,0,SER_hh_emih!B15/SER_summary!B$26)</f>
        <v>0</v>
      </c>
      <c r="C15" s="135">
        <f>IF(SER_hh_emih!C15=0,0,SER_hh_emih!C15/SER_summary!C$26)</f>
        <v>0</v>
      </c>
      <c r="D15" s="135">
        <f>IF(SER_hh_emih!D15=0,0,SER_hh_emih!D15/SER_summary!D$26)</f>
        <v>0</v>
      </c>
      <c r="E15" s="135">
        <f>IF(SER_hh_emih!E15=0,0,SER_hh_emih!E15/SER_summary!E$26)</f>
        <v>0</v>
      </c>
      <c r="F15" s="135">
        <f>IF(SER_hh_emih!F15=0,0,SER_hh_emih!F15/SER_summary!F$26)</f>
        <v>0</v>
      </c>
      <c r="G15" s="135">
        <f>IF(SER_hh_emih!G15=0,0,SER_hh_emih!G15/SER_summary!G$26)</f>
        <v>0</v>
      </c>
      <c r="H15" s="135">
        <f>IF(SER_hh_emih!H15=0,0,SER_hh_emih!H15/SER_summary!H$26)</f>
        <v>0</v>
      </c>
      <c r="I15" s="135">
        <f>IF(SER_hh_emih!I15=0,0,SER_hh_emih!I15/SER_summary!I$26)</f>
        <v>0</v>
      </c>
      <c r="J15" s="135">
        <f>IF(SER_hh_emih!J15=0,0,SER_hh_emih!J15/SER_summary!J$26)</f>
        <v>0</v>
      </c>
      <c r="K15" s="135">
        <f>IF(SER_hh_emih!K15=0,0,SER_hh_emih!K15/SER_summary!K$26)</f>
        <v>0</v>
      </c>
      <c r="L15" s="135">
        <f>IF(SER_hh_emih!L15=0,0,SER_hh_emih!L15/SER_summary!L$26)</f>
        <v>0</v>
      </c>
      <c r="M15" s="135">
        <f>IF(SER_hh_emih!M15=0,0,SER_hh_emih!M15/SER_summary!M$26)</f>
        <v>0</v>
      </c>
      <c r="N15" s="135">
        <f>IF(SER_hh_emih!N15=0,0,SER_hh_emih!N15/SER_summary!N$26)</f>
        <v>0</v>
      </c>
      <c r="O15" s="135">
        <f>IF(SER_hh_emih!O15=0,0,SER_hh_emih!O15/SER_summary!O$26)</f>
        <v>0</v>
      </c>
      <c r="P15" s="135">
        <f>IF(SER_hh_emih!P15=0,0,SER_hh_emih!P15/SER_summary!P$26)</f>
        <v>0</v>
      </c>
      <c r="Q15" s="135">
        <f>IF(SER_hh_emih!Q15=0,0,SER_hh_emih!Q15/SER_summary!Q$26)</f>
        <v>0</v>
      </c>
      <c r="R15" s="135">
        <f>IF(SER_hh_emih!R15=0,0,SER_hh_emih!R15/SER_summary!R$26)</f>
        <v>0</v>
      </c>
      <c r="S15" s="135">
        <f>IF(SER_hh_emih!S15=0,0,SER_hh_emih!S15/SER_summary!S$26)</f>
        <v>0</v>
      </c>
      <c r="T15" s="135">
        <f>IF(SER_hh_emih!T15=0,0,SER_hh_emih!T15/SER_summary!T$26)</f>
        <v>0</v>
      </c>
      <c r="U15" s="135">
        <f>IF(SER_hh_emih!U15=0,0,SER_hh_emih!U15/SER_summary!U$26)</f>
        <v>0</v>
      </c>
      <c r="V15" s="135">
        <f>IF(SER_hh_emih!V15=0,0,SER_hh_emih!V15/SER_summary!V$26)</f>
        <v>0</v>
      </c>
      <c r="W15" s="135">
        <f>IF(SER_hh_emih!W15=0,0,SER_hh_emih!W15/SER_summary!W$26)</f>
        <v>0</v>
      </c>
      <c r="DA15" s="158" t="s">
        <v>550</v>
      </c>
    </row>
    <row r="16" spans="1:105" ht="12.95" customHeight="1" x14ac:dyDescent="0.25">
      <c r="A16" s="130" t="s">
        <v>74</v>
      </c>
      <c r="B16" s="131">
        <f>IF(SER_hh_emih!B16=0,0,SER_hh_emih!B16/SER_summary!B$26)</f>
        <v>4.7414852195079311E-3</v>
      </c>
      <c r="C16" s="131">
        <f>IF(SER_hh_emih!C16=0,0,SER_hh_emih!C16/SER_summary!C$26)</f>
        <v>5.0036952259649766E-3</v>
      </c>
      <c r="D16" s="131">
        <f>IF(SER_hh_emih!D16=0,0,SER_hh_emih!D16/SER_summary!D$26)</f>
        <v>5.2846898585825674E-3</v>
      </c>
      <c r="E16" s="131">
        <f>IF(SER_hh_emih!E16=0,0,SER_hh_emih!E16/SER_summary!E$26)</f>
        <v>5.4372405466646062E-3</v>
      </c>
      <c r="F16" s="131">
        <f>IF(SER_hh_emih!F16=0,0,SER_hh_emih!F16/SER_summary!F$26)</f>
        <v>6.2114581313701929E-3</v>
      </c>
      <c r="G16" s="131">
        <f>IF(SER_hh_emih!G16=0,0,SER_hh_emih!G16/SER_summary!G$26)</f>
        <v>7.1631903964198074E-3</v>
      </c>
      <c r="H16" s="131">
        <f>IF(SER_hh_emih!H16=0,0,SER_hh_emih!H16/SER_summary!H$26)</f>
        <v>8.3506718668521288E-3</v>
      </c>
      <c r="I16" s="131">
        <f>IF(SER_hh_emih!I16=0,0,SER_hh_emih!I16/SER_summary!I$26)</f>
        <v>8.3354054907925131E-3</v>
      </c>
      <c r="J16" s="131">
        <f>IF(SER_hh_emih!J16=0,0,SER_hh_emih!J16/SER_summary!J$26)</f>
        <v>9.9230905219696332E-3</v>
      </c>
      <c r="K16" s="131">
        <f>IF(SER_hh_emih!K16=0,0,SER_hh_emih!K16/SER_summary!K$26)</f>
        <v>1.1155009493703689E-2</v>
      </c>
      <c r="L16" s="131">
        <f>IF(SER_hh_emih!L16=0,0,SER_hh_emih!L16/SER_summary!L$26)</f>
        <v>1.1557687518163957E-2</v>
      </c>
      <c r="M16" s="131">
        <f>IF(SER_hh_emih!M16=0,0,SER_hh_emih!M16/SER_summary!M$26)</f>
        <v>1.1567968384321685E-2</v>
      </c>
      <c r="N16" s="131">
        <f>IF(SER_hh_emih!N16=0,0,SER_hh_emih!N16/SER_summary!N$26)</f>
        <v>1.2461090127998785E-2</v>
      </c>
      <c r="O16" s="131">
        <f>IF(SER_hh_emih!O16=0,0,SER_hh_emih!O16/SER_summary!O$26)</f>
        <v>1.431286592095918E-2</v>
      </c>
      <c r="P16" s="131">
        <f>IF(SER_hh_emih!P16=0,0,SER_hh_emih!P16/SER_summary!P$26)</f>
        <v>1.7089785930976265E-2</v>
      </c>
      <c r="Q16" s="131">
        <f>IF(SER_hh_emih!Q16=0,0,SER_hh_emih!Q16/SER_summary!Q$26)</f>
        <v>2.5206620294701627E-2</v>
      </c>
      <c r="R16" s="131">
        <f>IF(SER_hh_emih!R16=0,0,SER_hh_emih!R16/SER_summary!R$26)</f>
        <v>2.7748692355623189E-2</v>
      </c>
      <c r="S16" s="131">
        <f>IF(SER_hh_emih!S16=0,0,SER_hh_emih!S16/SER_summary!S$26)</f>
        <v>2.7505379878444161E-2</v>
      </c>
      <c r="T16" s="131">
        <f>IF(SER_hh_emih!T16=0,0,SER_hh_emih!T16/SER_summary!T$26)</f>
        <v>3.5001144689213795E-2</v>
      </c>
      <c r="U16" s="131">
        <f>IF(SER_hh_emih!U16=0,0,SER_hh_emih!U16/SER_summary!U$26)</f>
        <v>3.8142374310166746E-2</v>
      </c>
      <c r="V16" s="131">
        <f>IF(SER_hh_emih!V16=0,0,SER_hh_emih!V16/SER_summary!V$26)</f>
        <v>4.7769162885429622E-2</v>
      </c>
      <c r="W16" s="131">
        <f>IF(SER_hh_emih!W16=0,0,SER_hh_emih!W16/SER_summary!W$26)</f>
        <v>3.2497270445683415E-2</v>
      </c>
      <c r="DA16" s="156" t="s">
        <v>551</v>
      </c>
    </row>
    <row r="17" spans="1:105" ht="12.95" customHeight="1" x14ac:dyDescent="0.25">
      <c r="A17" s="132" t="s">
        <v>73</v>
      </c>
      <c r="B17" s="133">
        <f>IF(SER_hh_emih!B17=0,0,SER_hh_emih!B17/SER_summary!B$26)</f>
        <v>4.6583794594118642</v>
      </c>
      <c r="C17" s="133">
        <f>IF(SER_hh_emih!C17=0,0,SER_hh_emih!C17/SER_summary!C$26)</f>
        <v>4.739290849150855</v>
      </c>
      <c r="D17" s="133">
        <f>IF(SER_hh_emih!D17=0,0,SER_hh_emih!D17/SER_summary!D$26)</f>
        <v>4.6723358513382545</v>
      </c>
      <c r="E17" s="133">
        <f>IF(SER_hh_emih!E17=0,0,SER_hh_emih!E17/SER_summary!E$26)</f>
        <v>5.9530586662187472</v>
      </c>
      <c r="F17" s="133">
        <f>IF(SER_hh_emih!F17=0,0,SER_hh_emih!F17/SER_summary!F$26)</f>
        <v>4.5690455071603608</v>
      </c>
      <c r="G17" s="133">
        <f>IF(SER_hh_emih!G17=0,0,SER_hh_emih!G17/SER_summary!G$26)</f>
        <v>4.6349708166370363</v>
      </c>
      <c r="H17" s="133">
        <f>IF(SER_hh_emih!H17=0,0,SER_hh_emih!H17/SER_summary!H$26)</f>
        <v>5.8002337245232836</v>
      </c>
      <c r="I17" s="133">
        <f>IF(SER_hh_emih!I17=0,0,SER_hh_emih!I17/SER_summary!I$26)</f>
        <v>4.5231926506121223</v>
      </c>
      <c r="J17" s="133">
        <f>IF(SER_hh_emih!J17=0,0,SER_hh_emih!J17/SER_summary!J$26)</f>
        <v>4.5643491871761412</v>
      </c>
      <c r="K17" s="133">
        <f>IF(SER_hh_emih!K17=0,0,SER_hh_emih!K17/SER_summary!K$26)</f>
        <v>4.6322805834742162</v>
      </c>
      <c r="L17" s="133">
        <f>IF(SER_hh_emih!L17=0,0,SER_hh_emih!L17/SER_summary!L$26)</f>
        <v>4.9338549544068941</v>
      </c>
      <c r="M17" s="133">
        <f>IF(SER_hh_emih!M17=0,0,SER_hh_emih!M17/SER_summary!M$26)</f>
        <v>4.624876289685079</v>
      </c>
      <c r="N17" s="133">
        <f>IF(SER_hh_emih!N17=0,0,SER_hh_emih!N17/SER_summary!N$26)</f>
        <v>4.6704140666812446</v>
      </c>
      <c r="O17" s="133">
        <f>IF(SER_hh_emih!O17=0,0,SER_hh_emih!O17/SER_summary!O$26)</f>
        <v>4.7085342894709363</v>
      </c>
      <c r="P17" s="133">
        <f>IF(SER_hh_emih!P17=0,0,SER_hh_emih!P17/SER_summary!P$26)</f>
        <v>4.472503630377874</v>
      </c>
      <c r="Q17" s="133">
        <f>IF(SER_hh_emih!Q17=0,0,SER_hh_emih!Q17/SER_summary!Q$26)</f>
        <v>4.9733598873896439</v>
      </c>
      <c r="R17" s="133">
        <f>IF(SER_hh_emih!R17=0,0,SER_hh_emih!R17/SER_summary!R$26)</f>
        <v>4.7671255778545554</v>
      </c>
      <c r="S17" s="133">
        <f>IF(SER_hh_emih!S17=0,0,SER_hh_emih!S17/SER_summary!S$26)</f>
        <v>4.4878712224815338</v>
      </c>
      <c r="T17" s="133">
        <f>IF(SER_hh_emih!T17=0,0,SER_hh_emih!T17/SER_summary!T$26)</f>
        <v>5.0649606310359445</v>
      </c>
      <c r="U17" s="133">
        <f>IF(SER_hh_emih!U17=0,0,SER_hh_emih!U17/SER_summary!U$26)</f>
        <v>4.8094506718406445</v>
      </c>
      <c r="V17" s="133">
        <f>IF(SER_hh_emih!V17=0,0,SER_hh_emih!V17/SER_summary!V$26)</f>
        <v>5.3545391765039989</v>
      </c>
      <c r="W17" s="133">
        <f>IF(SER_hh_emih!W17=0,0,SER_hh_emih!W17/SER_summary!W$26)</f>
        <v>4.1296600970740114</v>
      </c>
      <c r="DA17" s="157" t="s">
        <v>552</v>
      </c>
    </row>
    <row r="18" spans="1:105" ht="12" customHeight="1" x14ac:dyDescent="0.25">
      <c r="A18" s="132" t="s">
        <v>72</v>
      </c>
      <c r="B18" s="133">
        <f>IF(SER_hh_emih!B18=0,0,SER_hh_emih!B18/SER_summary!B$26)</f>
        <v>0</v>
      </c>
      <c r="C18" s="133">
        <f>IF(SER_hh_emih!C18=0,0,SER_hh_emih!C18/SER_summary!C$26)</f>
        <v>0</v>
      </c>
      <c r="D18" s="133">
        <f>IF(SER_hh_emih!D18=0,0,SER_hh_emih!D18/SER_summary!D$26)</f>
        <v>0</v>
      </c>
      <c r="E18" s="133">
        <f>IF(SER_hh_emih!E18=0,0,SER_hh_emih!E18/SER_summary!E$26)</f>
        <v>0</v>
      </c>
      <c r="F18" s="133">
        <f>IF(SER_hh_emih!F18=0,0,SER_hh_emih!F18/SER_summary!F$26)</f>
        <v>0</v>
      </c>
      <c r="G18" s="133">
        <f>IF(SER_hh_emih!G18=0,0,SER_hh_emih!G18/SER_summary!G$26)</f>
        <v>0</v>
      </c>
      <c r="H18" s="133">
        <f>IF(SER_hh_emih!H18=0,0,SER_hh_emih!H18/SER_summary!H$26)</f>
        <v>0</v>
      </c>
      <c r="I18" s="133">
        <f>IF(SER_hh_emih!I18=0,0,SER_hh_emih!I18/SER_summary!I$26)</f>
        <v>0</v>
      </c>
      <c r="J18" s="133">
        <f>IF(SER_hh_emih!J18=0,0,SER_hh_emih!J18/SER_summary!J$26)</f>
        <v>0</v>
      </c>
      <c r="K18" s="133">
        <f>IF(SER_hh_emih!K18=0,0,SER_hh_emih!K18/SER_summary!K$26)</f>
        <v>0</v>
      </c>
      <c r="L18" s="133">
        <f>IF(SER_hh_emih!L18=0,0,SER_hh_emih!L18/SER_summary!L$26)</f>
        <v>0</v>
      </c>
      <c r="M18" s="133">
        <f>IF(SER_hh_emih!M18=0,0,SER_hh_emih!M18/SER_summary!M$26)</f>
        <v>0</v>
      </c>
      <c r="N18" s="133">
        <f>IF(SER_hh_emih!N18=0,0,SER_hh_emih!N18/SER_summary!N$26)</f>
        <v>0</v>
      </c>
      <c r="O18" s="133">
        <f>IF(SER_hh_emih!O18=0,0,SER_hh_emih!O18/SER_summary!O$26)</f>
        <v>0</v>
      </c>
      <c r="P18" s="133">
        <f>IF(SER_hh_emih!P18=0,0,SER_hh_emih!P18/SER_summary!P$26)</f>
        <v>0</v>
      </c>
      <c r="Q18" s="133">
        <f>IF(SER_hh_emih!Q18=0,0,SER_hh_emih!Q18/SER_summary!Q$26)</f>
        <v>0</v>
      </c>
      <c r="R18" s="133">
        <f>IF(SER_hh_emih!R18=0,0,SER_hh_emih!R18/SER_summary!R$26)</f>
        <v>0</v>
      </c>
      <c r="S18" s="133">
        <f>IF(SER_hh_emih!S18=0,0,SER_hh_emih!S18/SER_summary!S$26)</f>
        <v>0</v>
      </c>
      <c r="T18" s="133">
        <f>IF(SER_hh_emih!T18=0,0,SER_hh_emih!T18/SER_summary!T$26)</f>
        <v>0</v>
      </c>
      <c r="U18" s="133">
        <f>IF(SER_hh_emih!U18=0,0,SER_hh_emih!U18/SER_summary!U$26)</f>
        <v>0</v>
      </c>
      <c r="V18" s="133">
        <f>IF(SER_hh_emih!V18=0,0,SER_hh_emih!V18/SER_summary!V$26)</f>
        <v>0</v>
      </c>
      <c r="W18" s="133">
        <f>IF(SER_hh_emih!W18=0,0,SER_hh_emih!W18/SER_summary!W$26)</f>
        <v>0</v>
      </c>
      <c r="DA18" s="157" t="s">
        <v>553</v>
      </c>
    </row>
    <row r="19" spans="1:105" ht="12.95" customHeight="1" x14ac:dyDescent="0.25">
      <c r="A19" s="130" t="s">
        <v>35</v>
      </c>
      <c r="B19" s="131">
        <f>IF(SER_hh_emih!B19=0,0,SER_hh_emih!B19/SER_summary!B$26)</f>
        <v>4.5965012387841897</v>
      </c>
      <c r="C19" s="131">
        <f>IF(SER_hh_emih!C19=0,0,SER_hh_emih!C19/SER_summary!C$26)</f>
        <v>4.545780420089871</v>
      </c>
      <c r="D19" s="131">
        <f>IF(SER_hh_emih!D19=0,0,SER_hh_emih!D19/SER_summary!D$26)</f>
        <v>4.3502382745241732</v>
      </c>
      <c r="E19" s="131">
        <f>IF(SER_hh_emih!E19=0,0,SER_hh_emih!E19/SER_summary!E$26)</f>
        <v>4.3175372271261869</v>
      </c>
      <c r="F19" s="131">
        <f>IF(SER_hh_emih!F19=0,0,SER_hh_emih!F19/SER_summary!F$26)</f>
        <v>4.2025597907835417</v>
      </c>
      <c r="G19" s="131">
        <f>IF(SER_hh_emih!G19=0,0,SER_hh_emih!G19/SER_summary!G$26)</f>
        <v>4.0385200722400265</v>
      </c>
      <c r="H19" s="131">
        <f>IF(SER_hh_emih!H19=0,0,SER_hh_emih!H19/SER_summary!H$26)</f>
        <v>3.9434207757818012</v>
      </c>
      <c r="I19" s="131">
        <f>IF(SER_hh_emih!I19=0,0,SER_hh_emih!I19/SER_summary!I$26)</f>
        <v>3.84864481613499</v>
      </c>
      <c r="J19" s="131">
        <f>IF(SER_hh_emih!J19=0,0,SER_hh_emih!J19/SER_summary!J$26)</f>
        <v>3.7208733411578199</v>
      </c>
      <c r="K19" s="131">
        <f>IF(SER_hh_emih!K19=0,0,SER_hh_emih!K19/SER_summary!K$26)</f>
        <v>3.7260701300233876</v>
      </c>
      <c r="L19" s="131">
        <f>IF(SER_hh_emih!L19=0,0,SER_hh_emih!L19/SER_summary!L$26)</f>
        <v>3.6510441265575606</v>
      </c>
      <c r="M19" s="131">
        <f>IF(SER_hh_emih!M19=0,0,SER_hh_emih!M19/SER_summary!M$26)</f>
        <v>3.6287256374068284</v>
      </c>
      <c r="N19" s="131">
        <f>IF(SER_hh_emih!N19=0,0,SER_hh_emih!N19/SER_summary!N$26)</f>
        <v>3.6218632100575707</v>
      </c>
      <c r="O19" s="131">
        <f>IF(SER_hh_emih!O19=0,0,SER_hh_emih!O19/SER_summary!O$26)</f>
        <v>3.6030356270738486</v>
      </c>
      <c r="P19" s="131">
        <f>IF(SER_hh_emih!P19=0,0,SER_hh_emih!P19/SER_summary!P$26)</f>
        <v>3.579256496928489</v>
      </c>
      <c r="Q19" s="131">
        <f>IF(SER_hh_emih!Q19=0,0,SER_hh_emih!Q19/SER_summary!Q$26)</f>
        <v>3.5602511711698233</v>
      </c>
      <c r="R19" s="131">
        <f>IF(SER_hh_emih!R19=0,0,SER_hh_emih!R19/SER_summary!R$26)</f>
        <v>3.4735665545008341</v>
      </c>
      <c r="S19" s="131">
        <f>IF(SER_hh_emih!S19=0,0,SER_hh_emih!S19/SER_summary!S$26)</f>
        <v>3.4106892866758804</v>
      </c>
      <c r="T19" s="131">
        <f>IF(SER_hh_emih!T19=0,0,SER_hh_emih!T19/SER_summary!T$26)</f>
        <v>3.302913288002165</v>
      </c>
      <c r="U19" s="131">
        <f>IF(SER_hh_emih!U19=0,0,SER_hh_emih!U19/SER_summary!U$26)</f>
        <v>3.1991142346956951</v>
      </c>
      <c r="V19" s="131">
        <f>IF(SER_hh_emih!V19=0,0,SER_hh_emih!V19/SER_summary!V$26)</f>
        <v>2.9437062395984301</v>
      </c>
      <c r="W19" s="131">
        <f>IF(SER_hh_emih!W19=0,0,SER_hh_emih!W19/SER_summary!W$26)</f>
        <v>3.1021127847754153</v>
      </c>
      <c r="DA19" s="156" t="s">
        <v>554</v>
      </c>
    </row>
    <row r="20" spans="1:105" ht="12" customHeight="1" x14ac:dyDescent="0.25">
      <c r="A20" s="132" t="s">
        <v>29</v>
      </c>
      <c r="B20" s="133">
        <f>IF(SER_hh_emih!B20=0,0,SER_hh_emih!B20/SER_summary!B$26)</f>
        <v>0</v>
      </c>
      <c r="C20" s="133">
        <f>IF(SER_hh_emih!C20=0,0,SER_hh_emih!C20/SER_summary!C$26)</f>
        <v>0</v>
      </c>
      <c r="D20" s="133">
        <f>IF(SER_hh_emih!D20=0,0,SER_hh_emih!D20/SER_summary!D$26)</f>
        <v>0</v>
      </c>
      <c r="E20" s="133">
        <f>IF(SER_hh_emih!E20=0,0,SER_hh_emih!E20/SER_summary!E$26)</f>
        <v>0</v>
      </c>
      <c r="F20" s="133">
        <f>IF(SER_hh_emih!F20=0,0,SER_hh_emih!F20/SER_summary!F$26)</f>
        <v>0</v>
      </c>
      <c r="G20" s="133">
        <f>IF(SER_hh_emih!G20=0,0,SER_hh_emih!G20/SER_summary!G$26)</f>
        <v>0</v>
      </c>
      <c r="H20" s="133">
        <f>IF(SER_hh_emih!H20=0,0,SER_hh_emih!H20/SER_summary!H$26)</f>
        <v>0</v>
      </c>
      <c r="I20" s="133">
        <f>IF(SER_hh_emih!I20=0,0,SER_hh_emih!I20/SER_summary!I$26)</f>
        <v>0</v>
      </c>
      <c r="J20" s="133">
        <f>IF(SER_hh_emih!J20=0,0,SER_hh_emih!J20/SER_summary!J$26)</f>
        <v>0</v>
      </c>
      <c r="K20" s="133">
        <f>IF(SER_hh_emih!K20=0,0,SER_hh_emih!K20/SER_summary!K$26)</f>
        <v>0</v>
      </c>
      <c r="L20" s="133">
        <f>IF(SER_hh_emih!L20=0,0,SER_hh_emih!L20/SER_summary!L$26)</f>
        <v>0</v>
      </c>
      <c r="M20" s="133">
        <f>IF(SER_hh_emih!M20=0,0,SER_hh_emih!M20/SER_summary!M$26)</f>
        <v>0</v>
      </c>
      <c r="N20" s="133">
        <f>IF(SER_hh_emih!N20=0,0,SER_hh_emih!N20/SER_summary!N$26)</f>
        <v>0</v>
      </c>
      <c r="O20" s="133">
        <f>IF(SER_hh_emih!O20=0,0,SER_hh_emih!O20/SER_summary!O$26)</f>
        <v>0</v>
      </c>
      <c r="P20" s="133">
        <f>IF(SER_hh_emih!P20=0,0,SER_hh_emih!P20/SER_summary!P$26)</f>
        <v>0</v>
      </c>
      <c r="Q20" s="133">
        <f>IF(SER_hh_emih!Q20=0,0,SER_hh_emih!Q20/SER_summary!Q$26)</f>
        <v>0</v>
      </c>
      <c r="R20" s="133">
        <f>IF(SER_hh_emih!R20=0,0,SER_hh_emih!R20/SER_summary!R$26)</f>
        <v>0</v>
      </c>
      <c r="S20" s="133">
        <f>IF(SER_hh_emih!S20=0,0,SER_hh_emih!S20/SER_summary!S$26)</f>
        <v>0</v>
      </c>
      <c r="T20" s="133">
        <f>IF(SER_hh_emih!T20=0,0,SER_hh_emih!T20/SER_summary!T$26)</f>
        <v>0</v>
      </c>
      <c r="U20" s="133">
        <f>IF(SER_hh_emih!U20=0,0,SER_hh_emih!U20/SER_summary!U$26)</f>
        <v>0</v>
      </c>
      <c r="V20" s="133">
        <f>IF(SER_hh_emih!V20=0,0,SER_hh_emih!V20/SER_summary!V$26)</f>
        <v>0</v>
      </c>
      <c r="W20" s="133">
        <f>IF(SER_hh_emih!W20=0,0,SER_hh_emih!W20/SER_summary!W$26)</f>
        <v>0</v>
      </c>
      <c r="DA20" s="157" t="s">
        <v>555</v>
      </c>
    </row>
    <row r="21" spans="1:105" s="2" customFormat="1" ht="12" customHeight="1" x14ac:dyDescent="0.25">
      <c r="A21" s="132" t="s">
        <v>52</v>
      </c>
      <c r="B21" s="133">
        <f>IF(SER_hh_emih!B21=0,0,SER_hh_emih!B21/SER_summary!B$26)</f>
        <v>5.3196714556604894</v>
      </c>
      <c r="C21" s="133">
        <f>IF(SER_hh_emih!C21=0,0,SER_hh_emih!C21/SER_summary!C$26)</f>
        <v>5.3686249383359534</v>
      </c>
      <c r="D21" s="133">
        <f>IF(SER_hh_emih!D21=0,0,SER_hh_emih!D21/SER_summary!D$26)</f>
        <v>5.3842682955875167</v>
      </c>
      <c r="E21" s="133">
        <f>IF(SER_hh_emih!E21=0,0,SER_hh_emih!E21/SER_summary!E$26)</f>
        <v>5.630691348203797</v>
      </c>
      <c r="F21" s="133">
        <f>IF(SER_hh_emih!F21=0,0,SER_hh_emih!F21/SER_summary!F$26)</f>
        <v>6.2422091165113249</v>
      </c>
      <c r="G21" s="133">
        <f>IF(SER_hh_emih!G21=0,0,SER_hh_emih!G21/SER_summary!G$26)</f>
        <v>3.9838749805042886</v>
      </c>
      <c r="H21" s="133">
        <f>IF(SER_hh_emih!H21=0,0,SER_hh_emih!H21/SER_summary!H$26)</f>
        <v>4.8539417168877037</v>
      </c>
      <c r="I21" s="133">
        <f>IF(SER_hh_emih!I21=0,0,SER_hh_emih!I21/SER_summary!I$26)</f>
        <v>5.2800184102181307</v>
      </c>
      <c r="J21" s="133">
        <f>IF(SER_hh_emih!J21=0,0,SER_hh_emih!J21/SER_summary!J$26)</f>
        <v>4.7774713008045353</v>
      </c>
      <c r="K21" s="133">
        <f>IF(SER_hh_emih!K21=0,0,SER_hh_emih!K21/SER_summary!K$26)</f>
        <v>5.0287487611817667</v>
      </c>
      <c r="L21" s="133">
        <f>IF(SER_hh_emih!L21=0,0,SER_hh_emih!L21/SER_summary!L$26)</f>
        <v>4.7260231013362182</v>
      </c>
      <c r="M21" s="133">
        <f>IF(SER_hh_emih!M21=0,0,SER_hh_emih!M21/SER_summary!M$26)</f>
        <v>4.9275216220602269</v>
      </c>
      <c r="N21" s="133">
        <f>IF(SER_hh_emih!N21=0,0,SER_hh_emih!N21/SER_summary!N$26)</f>
        <v>5.2104490394326319</v>
      </c>
      <c r="O21" s="133">
        <f>IF(SER_hh_emih!O21=0,0,SER_hh_emih!O21/SER_summary!O$26)</f>
        <v>5.0586443286137035</v>
      </c>
      <c r="P21" s="133">
        <f>IF(SER_hh_emih!P21=0,0,SER_hh_emih!P21/SER_summary!P$26)</f>
        <v>4.7645314644564323</v>
      </c>
      <c r="Q21" s="133">
        <f>IF(SER_hh_emih!Q21=0,0,SER_hh_emih!Q21/SER_summary!Q$26)</f>
        <v>4.9552981702135597</v>
      </c>
      <c r="R21" s="133">
        <f>IF(SER_hh_emih!R21=0,0,SER_hh_emih!R21/SER_summary!R$26)</f>
        <v>4.7795537753818405</v>
      </c>
      <c r="S21" s="133">
        <f>IF(SER_hh_emih!S21=0,0,SER_hh_emih!S21/SER_summary!S$26)</f>
        <v>4.7853870899050674</v>
      </c>
      <c r="T21" s="133">
        <f>IF(SER_hh_emih!T21=0,0,SER_hh_emih!T21/SER_summary!T$26)</f>
        <v>4.7922528808843063</v>
      </c>
      <c r="U21" s="133">
        <f>IF(SER_hh_emih!U21=0,0,SER_hh_emih!U21/SER_summary!U$26)</f>
        <v>4.7696766577819947</v>
      </c>
      <c r="V21" s="133">
        <f>IF(SER_hh_emih!V21=0,0,SER_hh_emih!V21/SER_summary!V$26)</f>
        <v>4.1887801732094117</v>
      </c>
      <c r="W21" s="133">
        <f>IF(SER_hh_emih!W21=0,0,SER_hh_emih!W21/SER_summary!W$26)</f>
        <v>4.7191840815800301</v>
      </c>
      <c r="DA21" s="157" t="s">
        <v>556</v>
      </c>
    </row>
    <row r="22" spans="1:105" ht="12" customHeight="1" x14ac:dyDescent="0.25">
      <c r="A22" s="132" t="s">
        <v>168</v>
      </c>
      <c r="B22" s="133">
        <f>IF(SER_hh_emih!B22=0,0,SER_hh_emih!B22/SER_summary!B$26)</f>
        <v>6.7076658484284275</v>
      </c>
      <c r="C22" s="133">
        <f>IF(SER_hh_emih!C22=0,0,SER_hh_emih!C22/SER_summary!C$26)</f>
        <v>6.6590804711301592</v>
      </c>
      <c r="D22" s="133">
        <f>IF(SER_hh_emih!D22=0,0,SER_hh_emih!D22/SER_summary!D$26)</f>
        <v>6.6442582804793693</v>
      </c>
      <c r="E22" s="133">
        <f>IF(SER_hh_emih!E22=0,0,SER_hh_emih!E22/SER_summary!E$26)</f>
        <v>6.6470519602672358</v>
      </c>
      <c r="F22" s="133">
        <f>IF(SER_hh_emih!F22=0,0,SER_hh_emih!F22/SER_summary!F$26)</f>
        <v>6.5646452561138018</v>
      </c>
      <c r="G22" s="133">
        <f>IF(SER_hh_emih!G22=0,0,SER_hh_emih!G22/SER_summary!G$26)</f>
        <v>6.4683064908937329</v>
      </c>
      <c r="H22" s="133">
        <f>IF(SER_hh_emih!H22=0,0,SER_hh_emih!H22/SER_summary!H$26)</f>
        <v>6.4487600820917823</v>
      </c>
      <c r="I22" s="133">
        <f>IF(SER_hh_emih!I22=0,0,SER_hh_emih!I22/SER_summary!I$26)</f>
        <v>6.4376000345777085</v>
      </c>
      <c r="J22" s="133">
        <f>IF(SER_hh_emih!J22=0,0,SER_hh_emih!J22/SER_summary!J$26)</f>
        <v>6.2528695745850706</v>
      </c>
      <c r="K22" s="133">
        <f>IF(SER_hh_emih!K22=0,0,SER_hh_emih!K22/SER_summary!K$26)</f>
        <v>6.307013872719339</v>
      </c>
      <c r="L22" s="133">
        <f>IF(SER_hh_emih!L22=0,0,SER_hh_emih!L22/SER_summary!L$26)</f>
        <v>6.3056152375969896</v>
      </c>
      <c r="M22" s="133">
        <f>IF(SER_hh_emih!M22=0,0,SER_hh_emih!M22/SER_summary!M$26)</f>
        <v>6.3548805761474876</v>
      </c>
      <c r="N22" s="133">
        <f>IF(SER_hh_emih!N22=0,0,SER_hh_emih!N22/SER_summary!N$26)</f>
        <v>6.3320904528991591</v>
      </c>
      <c r="O22" s="133">
        <f>IF(SER_hh_emih!O22=0,0,SER_hh_emih!O22/SER_summary!O$26)</f>
        <v>6.3272511204149442</v>
      </c>
      <c r="P22" s="133">
        <f>IF(SER_hh_emih!P22=0,0,SER_hh_emih!P22/SER_summary!P$26)</f>
        <v>6.3553525160807558</v>
      </c>
      <c r="Q22" s="133">
        <f>IF(SER_hh_emih!Q22=0,0,SER_hh_emih!Q22/SER_summary!Q$26)</f>
        <v>6.3737331696929758</v>
      </c>
      <c r="R22" s="133">
        <f>IF(SER_hh_emih!R22=0,0,SER_hh_emih!R22/SER_summary!R$26)</f>
        <v>6.2454190337001805</v>
      </c>
      <c r="S22" s="133">
        <f>IF(SER_hh_emih!S22=0,0,SER_hh_emih!S22/SER_summary!S$26)</f>
        <v>6.2000720538894916</v>
      </c>
      <c r="T22" s="133">
        <f>IF(SER_hh_emih!T22=0,0,SER_hh_emih!T22/SER_summary!T$26)</f>
        <v>6.0741438717230931</v>
      </c>
      <c r="U22" s="133">
        <f>IF(SER_hh_emih!U22=0,0,SER_hh_emih!U22/SER_summary!U$26)</f>
        <v>5.9399953151934737</v>
      </c>
      <c r="V22" s="133">
        <f>IF(SER_hh_emih!V22=0,0,SER_hh_emih!V22/SER_summary!V$26)</f>
        <v>5.3788178695222397</v>
      </c>
      <c r="W22" s="133">
        <f>IF(SER_hh_emih!W22=0,0,SER_hh_emih!W22/SER_summary!W$26)</f>
        <v>5.7955910960957899</v>
      </c>
      <c r="DA22" s="157" t="s">
        <v>557</v>
      </c>
    </row>
    <row r="23" spans="1:105" ht="12" customHeight="1" x14ac:dyDescent="0.25">
      <c r="A23" s="132" t="s">
        <v>153</v>
      </c>
      <c r="B23" s="133">
        <f>IF(SER_hh_emih!B23=0,0,SER_hh_emih!B23/SER_summary!B$26)</f>
        <v>4.9418263496908148</v>
      </c>
      <c r="C23" s="133">
        <f>IF(SER_hh_emih!C23=0,0,SER_hh_emih!C23/SER_summary!C$26)</f>
        <v>4.9238008348955304</v>
      </c>
      <c r="D23" s="133">
        <f>IF(SER_hh_emih!D23=0,0,SER_hh_emih!D23/SER_summary!D$26)</f>
        <v>4.8002549618675125</v>
      </c>
      <c r="E23" s="133">
        <f>IF(SER_hh_emih!E23=0,0,SER_hh_emih!E23/SER_summary!E$26)</f>
        <v>4.8004522108295271</v>
      </c>
      <c r="F23" s="133">
        <f>IF(SER_hh_emih!F23=0,0,SER_hh_emih!F23/SER_summary!F$26)</f>
        <v>4.6907824624300956</v>
      </c>
      <c r="G23" s="133">
        <f>IF(SER_hh_emih!G23=0,0,SER_hh_emih!G23/SER_summary!G$26)</f>
        <v>4.6201293163627541</v>
      </c>
      <c r="H23" s="133">
        <f>IF(SER_hh_emih!H23=0,0,SER_hh_emih!H23/SER_summary!H$26)</f>
        <v>4.5196819949866089</v>
      </c>
      <c r="I23" s="133">
        <f>IF(SER_hh_emih!I23=0,0,SER_hh_emih!I23/SER_summary!I$26)</f>
        <v>4.4214082712413854</v>
      </c>
      <c r="J23" s="133">
        <f>IF(SER_hh_emih!J23=0,0,SER_hh_emih!J23/SER_summary!J$26)</f>
        <v>4.3606120882210559</v>
      </c>
      <c r="K23" s="133">
        <f>IF(SER_hh_emih!K23=0,0,SER_hh_emih!K23/SER_summary!K$26)</f>
        <v>4.3865418315946112</v>
      </c>
      <c r="L23" s="133">
        <f>IF(SER_hh_emih!L23=0,0,SER_hh_emih!L23/SER_summary!L$26)</f>
        <v>4.3124759313409218</v>
      </c>
      <c r="M23" s="133">
        <f>IF(SER_hh_emih!M23=0,0,SER_hh_emih!M23/SER_summary!M$26)</f>
        <v>4.2553552156604271</v>
      </c>
      <c r="N23" s="133">
        <f>IF(SER_hh_emih!N23=0,0,SER_hh_emih!N23/SER_summary!N$26)</f>
        <v>4.2608862962546779</v>
      </c>
      <c r="O23" s="133">
        <f>IF(SER_hh_emih!O23=0,0,SER_hh_emih!O23/SER_summary!O$26)</f>
        <v>4.247260087364662</v>
      </c>
      <c r="P23" s="133">
        <f>IF(SER_hh_emih!P23=0,0,SER_hh_emih!P23/SER_summary!P$26)</f>
        <v>4.2171124844592329</v>
      </c>
      <c r="Q23" s="133">
        <f>IF(SER_hh_emih!Q23=0,0,SER_hh_emih!Q23/SER_summary!Q$26)</f>
        <v>4.2001436018443448</v>
      </c>
      <c r="R23" s="133">
        <f>IF(SER_hh_emih!R23=0,0,SER_hh_emih!R23/SER_summary!R$26)</f>
        <v>4.1262226464873475</v>
      </c>
      <c r="S23" s="133">
        <f>IF(SER_hh_emih!S23=0,0,SER_hh_emih!S23/SER_summary!S$26)</f>
        <v>4.0714307085510004</v>
      </c>
      <c r="T23" s="133">
        <f>IF(SER_hh_emih!T23=0,0,SER_hh_emih!T23/SER_summary!T$26)</f>
        <v>3.972205966805495</v>
      </c>
      <c r="U23" s="133">
        <f>IF(SER_hh_emih!U23=0,0,SER_hh_emih!U23/SER_summary!U$26)</f>
        <v>3.8724615483637486</v>
      </c>
      <c r="V23" s="133">
        <f>IF(SER_hh_emih!V23=0,0,SER_hh_emih!V23/SER_summary!V$26)</f>
        <v>3.6339002645429987</v>
      </c>
      <c r="W23" s="133">
        <f>IF(SER_hh_emih!W23=0,0,SER_hh_emih!W23/SER_summary!W$26)</f>
        <v>3.7721908921016549</v>
      </c>
      <c r="DA23" s="157" t="s">
        <v>558</v>
      </c>
    </row>
    <row r="24" spans="1:105" ht="12" customHeight="1" x14ac:dyDescent="0.25">
      <c r="A24" s="132" t="s">
        <v>128</v>
      </c>
      <c r="B24" s="133">
        <f>IF(SER_hh_emih!B24=0,0,SER_hh_emih!B24/SER_summary!B$26)</f>
        <v>0</v>
      </c>
      <c r="C24" s="133">
        <f>IF(SER_hh_emih!C24=0,0,SER_hh_emih!C24/SER_summary!C$26)</f>
        <v>0</v>
      </c>
      <c r="D24" s="133">
        <f>IF(SER_hh_emih!D24=0,0,SER_hh_emih!D24/SER_summary!D$26)</f>
        <v>0</v>
      </c>
      <c r="E24" s="133">
        <f>IF(SER_hh_emih!E24=0,0,SER_hh_emih!E24/SER_summary!E$26)</f>
        <v>0</v>
      </c>
      <c r="F24" s="133">
        <f>IF(SER_hh_emih!F24=0,0,SER_hh_emih!F24/SER_summary!F$26)</f>
        <v>0</v>
      </c>
      <c r="G24" s="133">
        <f>IF(SER_hh_emih!G24=0,0,SER_hh_emih!G24/SER_summary!G$26)</f>
        <v>0</v>
      </c>
      <c r="H24" s="133">
        <f>IF(SER_hh_emih!H24=0,0,SER_hh_emih!H24/SER_summary!H$26)</f>
        <v>0</v>
      </c>
      <c r="I24" s="133">
        <f>IF(SER_hh_emih!I24=0,0,SER_hh_emih!I24/SER_summary!I$26)</f>
        <v>0</v>
      </c>
      <c r="J24" s="133">
        <f>IF(SER_hh_emih!J24=0,0,SER_hh_emih!J24/SER_summary!J$26)</f>
        <v>0</v>
      </c>
      <c r="K24" s="133">
        <f>IF(SER_hh_emih!K24=0,0,SER_hh_emih!K24/SER_summary!K$26)</f>
        <v>0</v>
      </c>
      <c r="L24" s="133">
        <f>IF(SER_hh_emih!L24=0,0,SER_hh_emih!L24/SER_summary!L$26)</f>
        <v>0</v>
      </c>
      <c r="M24" s="133">
        <f>IF(SER_hh_emih!M24=0,0,SER_hh_emih!M24/SER_summary!M$26)</f>
        <v>0</v>
      </c>
      <c r="N24" s="133">
        <f>IF(SER_hh_emih!N24=0,0,SER_hh_emih!N24/SER_summary!N$26)</f>
        <v>0</v>
      </c>
      <c r="O24" s="133">
        <f>IF(SER_hh_emih!O24=0,0,SER_hh_emih!O24/SER_summary!O$26)</f>
        <v>0</v>
      </c>
      <c r="P24" s="133">
        <f>IF(SER_hh_emih!P24=0,0,SER_hh_emih!P24/SER_summary!P$26)</f>
        <v>0</v>
      </c>
      <c r="Q24" s="133">
        <f>IF(SER_hh_emih!Q24=0,0,SER_hh_emih!Q24/SER_summary!Q$26)</f>
        <v>0</v>
      </c>
      <c r="R24" s="133">
        <f>IF(SER_hh_emih!R24=0,0,SER_hh_emih!R24/SER_summary!R$26)</f>
        <v>0</v>
      </c>
      <c r="S24" s="133">
        <f>IF(SER_hh_emih!S24=0,0,SER_hh_emih!S24/SER_summary!S$26)</f>
        <v>0</v>
      </c>
      <c r="T24" s="133">
        <f>IF(SER_hh_emih!T24=0,0,SER_hh_emih!T24/SER_summary!T$26)</f>
        <v>0</v>
      </c>
      <c r="U24" s="133">
        <f>IF(SER_hh_emih!U24=0,0,SER_hh_emih!U24/SER_summary!U$26)</f>
        <v>0</v>
      </c>
      <c r="V24" s="133">
        <f>IF(SER_hh_emih!V24=0,0,SER_hh_emih!V24/SER_summary!V$26)</f>
        <v>0</v>
      </c>
      <c r="W24" s="133">
        <f>IF(SER_hh_emih!W24=0,0,SER_hh_emih!W24/SER_summary!W$26)</f>
        <v>0</v>
      </c>
      <c r="DA24" s="157" t="s">
        <v>559</v>
      </c>
    </row>
    <row r="25" spans="1:105" ht="12" customHeight="1" x14ac:dyDescent="0.25">
      <c r="A25" s="132" t="s">
        <v>169</v>
      </c>
      <c r="B25" s="133">
        <f>IF(SER_hh_emih!B25=0,0,SER_hh_emih!B25/SER_summary!B$26)</f>
        <v>0</v>
      </c>
      <c r="C25" s="133">
        <f>IF(SER_hh_emih!C25=0,0,SER_hh_emih!C25/SER_summary!C$26)</f>
        <v>0</v>
      </c>
      <c r="D25" s="133">
        <f>IF(SER_hh_emih!D25=0,0,SER_hh_emih!D25/SER_summary!D$26)</f>
        <v>0</v>
      </c>
      <c r="E25" s="133">
        <f>IF(SER_hh_emih!E25=0,0,SER_hh_emih!E25/SER_summary!E$26)</f>
        <v>0</v>
      </c>
      <c r="F25" s="133">
        <f>IF(SER_hh_emih!F25=0,0,SER_hh_emih!F25/SER_summary!F$26)</f>
        <v>0</v>
      </c>
      <c r="G25" s="133">
        <f>IF(SER_hh_emih!G25=0,0,SER_hh_emih!G25/SER_summary!G$26)</f>
        <v>0</v>
      </c>
      <c r="H25" s="133">
        <f>IF(SER_hh_emih!H25=0,0,SER_hh_emih!H25/SER_summary!H$26)</f>
        <v>0</v>
      </c>
      <c r="I25" s="133">
        <f>IF(SER_hh_emih!I25=0,0,SER_hh_emih!I25/SER_summary!I$26)</f>
        <v>0</v>
      </c>
      <c r="J25" s="133">
        <f>IF(SER_hh_emih!J25=0,0,SER_hh_emih!J25/SER_summary!J$26)</f>
        <v>0</v>
      </c>
      <c r="K25" s="133">
        <f>IF(SER_hh_emih!K25=0,0,SER_hh_emih!K25/SER_summary!K$26)</f>
        <v>0</v>
      </c>
      <c r="L25" s="133">
        <f>IF(SER_hh_emih!L25=0,0,SER_hh_emih!L25/SER_summary!L$26)</f>
        <v>0</v>
      </c>
      <c r="M25" s="133">
        <f>IF(SER_hh_emih!M25=0,0,SER_hh_emih!M25/SER_summary!M$26)</f>
        <v>0</v>
      </c>
      <c r="N25" s="133">
        <f>IF(SER_hh_emih!N25=0,0,SER_hh_emih!N25/SER_summary!N$26)</f>
        <v>0</v>
      </c>
      <c r="O25" s="133">
        <f>IF(SER_hh_emih!O25=0,0,SER_hh_emih!O25/SER_summary!O$26)</f>
        <v>0</v>
      </c>
      <c r="P25" s="133">
        <f>IF(SER_hh_emih!P25=0,0,SER_hh_emih!P25/SER_summary!P$26)</f>
        <v>0</v>
      </c>
      <c r="Q25" s="133">
        <f>IF(SER_hh_emih!Q25=0,0,SER_hh_emih!Q25/SER_summary!Q$26)</f>
        <v>0</v>
      </c>
      <c r="R25" s="133">
        <f>IF(SER_hh_emih!R25=0,0,SER_hh_emih!R25/SER_summary!R$26)</f>
        <v>0</v>
      </c>
      <c r="S25" s="133">
        <f>IF(SER_hh_emih!S25=0,0,SER_hh_emih!S25/SER_summary!S$26)</f>
        <v>0</v>
      </c>
      <c r="T25" s="133">
        <f>IF(SER_hh_emih!T25=0,0,SER_hh_emih!T25/SER_summary!T$26)</f>
        <v>0</v>
      </c>
      <c r="U25" s="133">
        <f>IF(SER_hh_emih!U25=0,0,SER_hh_emih!U25/SER_summary!U$26)</f>
        <v>0</v>
      </c>
      <c r="V25" s="133">
        <f>IF(SER_hh_emih!V25=0,0,SER_hh_emih!V25/SER_summary!V$26)</f>
        <v>0</v>
      </c>
      <c r="W25" s="133">
        <f>IF(SER_hh_emih!W25=0,0,SER_hh_emih!W25/SER_summary!W$26)</f>
        <v>0</v>
      </c>
      <c r="DA25" s="157" t="s">
        <v>560</v>
      </c>
    </row>
    <row r="26" spans="1:105" ht="12" customHeight="1" x14ac:dyDescent="0.25">
      <c r="A26" s="132" t="s">
        <v>24</v>
      </c>
      <c r="B26" s="65">
        <f>IF(SER_hh_emih!B26=0,0,SER_hh_emih!B26/SER_summary!B$26)</f>
        <v>0</v>
      </c>
      <c r="C26" s="65">
        <f>IF(SER_hh_emih!C26=0,0,SER_hh_emih!C26/SER_summary!C$26)</f>
        <v>0</v>
      </c>
      <c r="D26" s="65">
        <f>IF(SER_hh_emih!D26=0,0,SER_hh_emih!D26/SER_summary!D$26)</f>
        <v>0</v>
      </c>
      <c r="E26" s="65">
        <f>IF(SER_hh_emih!E26=0,0,SER_hh_emih!E26/SER_summary!E$26)</f>
        <v>0</v>
      </c>
      <c r="F26" s="65">
        <f>IF(SER_hh_emih!F26=0,0,SER_hh_emih!F26/SER_summary!F$26)</f>
        <v>0</v>
      </c>
      <c r="G26" s="65">
        <f>IF(SER_hh_emih!G26=0,0,SER_hh_emih!G26/SER_summary!G$26)</f>
        <v>0</v>
      </c>
      <c r="H26" s="65">
        <f>IF(SER_hh_emih!H26=0,0,SER_hh_emih!H26/SER_summary!H$26)</f>
        <v>0</v>
      </c>
      <c r="I26" s="65">
        <f>IF(SER_hh_emih!I26=0,0,SER_hh_emih!I26/SER_summary!I$26)</f>
        <v>0</v>
      </c>
      <c r="J26" s="65">
        <f>IF(SER_hh_emih!J26=0,0,SER_hh_emih!J26/SER_summary!J$26)</f>
        <v>0</v>
      </c>
      <c r="K26" s="65">
        <f>IF(SER_hh_emih!K26=0,0,SER_hh_emih!K26/SER_summary!K$26)</f>
        <v>0</v>
      </c>
      <c r="L26" s="65">
        <f>IF(SER_hh_emih!L26=0,0,SER_hh_emih!L26/SER_summary!L$26)</f>
        <v>0</v>
      </c>
      <c r="M26" s="65">
        <f>IF(SER_hh_emih!M26=0,0,SER_hh_emih!M26/SER_summary!M$26)</f>
        <v>0</v>
      </c>
      <c r="N26" s="65">
        <f>IF(SER_hh_emih!N26=0,0,SER_hh_emih!N26/SER_summary!N$26)</f>
        <v>0</v>
      </c>
      <c r="O26" s="65">
        <f>IF(SER_hh_emih!O26=0,0,SER_hh_emih!O26/SER_summary!O$26)</f>
        <v>0</v>
      </c>
      <c r="P26" s="65">
        <f>IF(SER_hh_emih!P26=0,0,SER_hh_emih!P26/SER_summary!P$26)</f>
        <v>0</v>
      </c>
      <c r="Q26" s="65">
        <f>IF(SER_hh_emih!Q26=0,0,SER_hh_emih!Q26/SER_summary!Q$26)</f>
        <v>0</v>
      </c>
      <c r="R26" s="65">
        <f>IF(SER_hh_emih!R26=0,0,SER_hh_emih!R26/SER_summary!R$26)</f>
        <v>0</v>
      </c>
      <c r="S26" s="65">
        <f>IF(SER_hh_emih!S26=0,0,SER_hh_emih!S26/SER_summary!S$26)</f>
        <v>0</v>
      </c>
      <c r="T26" s="65">
        <f>IF(SER_hh_emih!T26=0,0,SER_hh_emih!T26/SER_summary!T$26)</f>
        <v>0</v>
      </c>
      <c r="U26" s="65">
        <f>IF(SER_hh_emih!U26=0,0,SER_hh_emih!U26/SER_summary!U$26)</f>
        <v>0</v>
      </c>
      <c r="V26" s="65">
        <f>IF(SER_hh_emih!V26=0,0,SER_hh_emih!V26/SER_summary!V$26)</f>
        <v>0</v>
      </c>
      <c r="W26" s="65">
        <f>IF(SER_hh_emih!W26=0,0,SER_hh_emih!W26/SER_summary!W$26)</f>
        <v>0</v>
      </c>
      <c r="DA26" s="109" t="s">
        <v>561</v>
      </c>
    </row>
    <row r="27" spans="1:105" ht="12" customHeight="1" x14ac:dyDescent="0.25">
      <c r="A27" s="145" t="s">
        <v>86</v>
      </c>
      <c r="B27" s="146">
        <f>IF(SER_hh_emih!B27=0,0,SER_hh_emih!B27/SER_summary!B$26)</f>
        <v>0</v>
      </c>
      <c r="C27" s="146">
        <f>IF(SER_hh_emih!C27=0,0,SER_hh_emih!C27/SER_summary!C$26)</f>
        <v>0</v>
      </c>
      <c r="D27" s="146">
        <f>IF(SER_hh_emih!D27=0,0,SER_hh_emih!D27/SER_summary!D$26)</f>
        <v>0</v>
      </c>
      <c r="E27" s="146">
        <f>IF(SER_hh_emih!E27=0,0,SER_hh_emih!E27/SER_summary!E$26)</f>
        <v>0</v>
      </c>
      <c r="F27" s="146">
        <f>IF(SER_hh_emih!F27=0,0,SER_hh_emih!F27/SER_summary!F$26)</f>
        <v>0</v>
      </c>
      <c r="G27" s="146">
        <f>IF(SER_hh_emih!G27=0,0,SER_hh_emih!G27/SER_summary!G$26)</f>
        <v>0</v>
      </c>
      <c r="H27" s="146">
        <f>IF(SER_hh_emih!H27=0,0,SER_hh_emih!H27/SER_summary!H$26)</f>
        <v>0</v>
      </c>
      <c r="I27" s="146">
        <f>IF(SER_hh_emih!I27=0,0,SER_hh_emih!I27/SER_summary!I$26)</f>
        <v>0</v>
      </c>
      <c r="J27" s="146">
        <f>IF(SER_hh_emih!J27=0,0,SER_hh_emih!J27/SER_summary!J$26)</f>
        <v>0</v>
      </c>
      <c r="K27" s="146">
        <f>IF(SER_hh_emih!K27=0,0,SER_hh_emih!K27/SER_summary!K$26)</f>
        <v>0</v>
      </c>
      <c r="L27" s="146">
        <f>IF(SER_hh_emih!L27=0,0,SER_hh_emih!L27/SER_summary!L$26)</f>
        <v>0</v>
      </c>
      <c r="M27" s="146">
        <f>IF(SER_hh_emih!M27=0,0,SER_hh_emih!M27/SER_summary!M$26)</f>
        <v>0</v>
      </c>
      <c r="N27" s="146">
        <f>IF(SER_hh_emih!N27=0,0,SER_hh_emih!N27/SER_summary!N$26)</f>
        <v>0</v>
      </c>
      <c r="O27" s="146">
        <f>IF(SER_hh_emih!O27=0,0,SER_hh_emih!O27/SER_summary!O$26)</f>
        <v>0</v>
      </c>
      <c r="P27" s="146">
        <f>IF(SER_hh_emih!P27=0,0,SER_hh_emih!P27/SER_summary!P$26)</f>
        <v>0</v>
      </c>
      <c r="Q27" s="146">
        <f>IF(SER_hh_emih!Q27=0,0,SER_hh_emih!Q27/SER_summary!Q$26)</f>
        <v>0</v>
      </c>
      <c r="R27" s="146">
        <f>IF(SER_hh_emih!R27=0,0,SER_hh_emih!R27/SER_summary!R$26)</f>
        <v>0</v>
      </c>
      <c r="S27" s="146">
        <f>IF(SER_hh_emih!S27=0,0,SER_hh_emih!S27/SER_summary!S$26)</f>
        <v>0</v>
      </c>
      <c r="T27" s="146">
        <f>IF(SER_hh_emih!T27=0,0,SER_hh_emih!T27/SER_summary!T$26)</f>
        <v>0</v>
      </c>
      <c r="U27" s="146">
        <f>IF(SER_hh_emih!U27=0,0,SER_hh_emih!U27/SER_summary!U$26)</f>
        <v>0</v>
      </c>
      <c r="V27" s="146">
        <f>IF(SER_hh_emih!V27=0,0,SER_hh_emih!V27/SER_summary!V$26)</f>
        <v>0</v>
      </c>
      <c r="W27" s="146">
        <f>IF(SER_hh_emih!W27=0,0,SER_hh_emih!W27/SER_summary!W$26)</f>
        <v>0</v>
      </c>
      <c r="DA27" s="159" t="s">
        <v>562</v>
      </c>
    </row>
    <row r="28" spans="1:105" ht="12" customHeight="1" x14ac:dyDescent="0.25">
      <c r="A28" s="78" t="s">
        <v>85</v>
      </c>
      <c r="B28" s="147">
        <f>IF(SER_hh_emih!B28=0,0,SER_hh_emih!B28/SER_summary!B$26)</f>
        <v>0</v>
      </c>
      <c r="C28" s="147">
        <f>IF(SER_hh_emih!C28=0,0,SER_hh_emih!C28/SER_summary!C$26)</f>
        <v>0</v>
      </c>
      <c r="D28" s="147">
        <f>IF(SER_hh_emih!D28=0,0,SER_hh_emih!D28/SER_summary!D$26)</f>
        <v>0</v>
      </c>
      <c r="E28" s="147">
        <f>IF(SER_hh_emih!E28=0,0,SER_hh_emih!E28/SER_summary!E$26)</f>
        <v>0</v>
      </c>
      <c r="F28" s="147">
        <f>IF(SER_hh_emih!F28=0,0,SER_hh_emih!F28/SER_summary!F$26)</f>
        <v>0</v>
      </c>
      <c r="G28" s="147">
        <f>IF(SER_hh_emih!G28=0,0,SER_hh_emih!G28/SER_summary!G$26)</f>
        <v>0</v>
      </c>
      <c r="H28" s="147">
        <f>IF(SER_hh_emih!H28=0,0,SER_hh_emih!H28/SER_summary!H$26)</f>
        <v>0</v>
      </c>
      <c r="I28" s="147">
        <f>IF(SER_hh_emih!I28=0,0,SER_hh_emih!I28/SER_summary!I$26)</f>
        <v>0</v>
      </c>
      <c r="J28" s="147">
        <f>IF(SER_hh_emih!J28=0,0,SER_hh_emih!J28/SER_summary!J$26)</f>
        <v>0</v>
      </c>
      <c r="K28" s="147">
        <f>IF(SER_hh_emih!K28=0,0,SER_hh_emih!K28/SER_summary!K$26)</f>
        <v>0</v>
      </c>
      <c r="L28" s="147">
        <f>IF(SER_hh_emih!L28=0,0,SER_hh_emih!L28/SER_summary!L$26)</f>
        <v>0</v>
      </c>
      <c r="M28" s="147">
        <f>IF(SER_hh_emih!M28=0,0,SER_hh_emih!M28/SER_summary!M$26)</f>
        <v>0</v>
      </c>
      <c r="N28" s="147">
        <f>IF(SER_hh_emih!N28=0,0,SER_hh_emih!N28/SER_summary!N$26)</f>
        <v>0</v>
      </c>
      <c r="O28" s="147">
        <f>IF(SER_hh_emih!O28=0,0,SER_hh_emih!O28/SER_summary!O$26)</f>
        <v>0</v>
      </c>
      <c r="P28" s="147">
        <f>IF(SER_hh_emih!P28=0,0,SER_hh_emih!P28/SER_summary!P$26)</f>
        <v>0</v>
      </c>
      <c r="Q28" s="147">
        <f>IF(SER_hh_emih!Q28=0,0,SER_hh_emih!Q28/SER_summary!Q$26)</f>
        <v>0</v>
      </c>
      <c r="R28" s="147">
        <f>IF(SER_hh_emih!R28=0,0,SER_hh_emih!R28/SER_summary!R$26)</f>
        <v>0</v>
      </c>
      <c r="S28" s="147">
        <f>IF(SER_hh_emih!S28=0,0,SER_hh_emih!S28/SER_summary!S$26)</f>
        <v>0</v>
      </c>
      <c r="T28" s="147">
        <f>IF(SER_hh_emih!T28=0,0,SER_hh_emih!T28/SER_summary!T$26)</f>
        <v>0</v>
      </c>
      <c r="U28" s="147">
        <f>IF(SER_hh_emih!U28=0,0,SER_hh_emih!U28/SER_summary!U$26)</f>
        <v>0</v>
      </c>
      <c r="V28" s="147">
        <f>IF(SER_hh_emih!V28=0,0,SER_hh_emih!V28/SER_summary!V$26)</f>
        <v>0</v>
      </c>
      <c r="W28" s="147">
        <f>IF(SER_hh_emih!W28=0,0,SER_hh_emih!W28/SER_summary!W$26)</f>
        <v>0</v>
      </c>
      <c r="DA28" s="160"/>
    </row>
    <row r="29" spans="1:105" ht="12.95" customHeight="1" x14ac:dyDescent="0.25">
      <c r="A29" s="130" t="s">
        <v>34</v>
      </c>
      <c r="B29" s="131">
        <f>IF(SER_hh_emih!B29=0,0,SER_hh_emih!B29/SER_summary!B$26)</f>
        <v>2.9510144357420764</v>
      </c>
      <c r="C29" s="131">
        <f>IF(SER_hh_emih!C29=0,0,SER_hh_emih!C29/SER_summary!C$26)</f>
        <v>2.912925499371136</v>
      </c>
      <c r="D29" s="131">
        <f>IF(SER_hh_emih!D29=0,0,SER_hh_emih!D29/SER_summary!D$26)</f>
        <v>2.5733818176775083</v>
      </c>
      <c r="E29" s="131">
        <f>IF(SER_hh_emih!E29=0,0,SER_hh_emih!E29/SER_summary!E$26)</f>
        <v>2.3777182952660181</v>
      </c>
      <c r="F29" s="131">
        <f>IF(SER_hh_emih!F29=0,0,SER_hh_emih!F29/SER_summary!F$26)</f>
        <v>2.3584034222912855</v>
      </c>
      <c r="G29" s="131">
        <f>IF(SER_hh_emih!G29=0,0,SER_hh_emih!G29/SER_summary!G$26)</f>
        <v>1.9359555385134837</v>
      </c>
      <c r="H29" s="131">
        <f>IF(SER_hh_emih!H29=0,0,SER_hh_emih!H29/SER_summary!H$26)</f>
        <v>1.8855246524520557</v>
      </c>
      <c r="I29" s="131">
        <f>IF(SER_hh_emih!I29=0,0,SER_hh_emih!I29/SER_summary!I$26)</f>
        <v>1.8459846233820121</v>
      </c>
      <c r="J29" s="131">
        <f>IF(SER_hh_emih!J29=0,0,SER_hh_emih!J29/SER_summary!J$26)</f>
        <v>1.8669982868844255</v>
      </c>
      <c r="K29" s="131">
        <f>IF(SER_hh_emih!K29=0,0,SER_hh_emih!K29/SER_summary!K$26)</f>
        <v>1.8831914603304123</v>
      </c>
      <c r="L29" s="131">
        <f>IF(SER_hh_emih!L29=0,0,SER_hh_emih!L29/SER_summary!L$26)</f>
        <v>1.8892483115642795</v>
      </c>
      <c r="M29" s="131">
        <f>IF(SER_hh_emih!M29=0,0,SER_hh_emih!M29/SER_summary!M$26)</f>
        <v>1.8373766050337892</v>
      </c>
      <c r="N29" s="131">
        <f>IF(SER_hh_emih!N29=0,0,SER_hh_emih!N29/SER_summary!N$26)</f>
        <v>1.8696111638425221</v>
      </c>
      <c r="O29" s="131">
        <f>IF(SER_hh_emih!O29=0,0,SER_hh_emih!O29/SER_summary!O$26)</f>
        <v>1.9075755074561562</v>
      </c>
      <c r="P29" s="131">
        <f>IF(SER_hh_emih!P29=0,0,SER_hh_emih!P29/SER_summary!P$26)</f>
        <v>1.8829400423237361</v>
      </c>
      <c r="Q29" s="131">
        <f>IF(SER_hh_emih!Q29=0,0,SER_hh_emih!Q29/SER_summary!Q$26)</f>
        <v>1.9704647494063821</v>
      </c>
      <c r="R29" s="131">
        <f>IF(SER_hh_emih!R29=0,0,SER_hh_emih!R29/SER_summary!R$26)</f>
        <v>1.9194775346899269</v>
      </c>
      <c r="S29" s="131">
        <f>IF(SER_hh_emih!S29=0,0,SER_hh_emih!S29/SER_summary!S$26)</f>
        <v>1.9296650328141858</v>
      </c>
      <c r="T29" s="131">
        <f>IF(SER_hh_emih!T29=0,0,SER_hh_emih!T29/SER_summary!T$26)</f>
        <v>1.9145427837092734</v>
      </c>
      <c r="U29" s="131">
        <f>IF(SER_hh_emih!U29=0,0,SER_hh_emih!U29/SER_summary!U$26)</f>
        <v>1.9204976624418122</v>
      </c>
      <c r="V29" s="131">
        <f>IF(SER_hh_emih!V29=0,0,SER_hh_emih!V29/SER_summary!V$26)</f>
        <v>1.8353429798029528</v>
      </c>
      <c r="W29" s="131">
        <f>IF(SER_hh_emih!W29=0,0,SER_hh_emih!W29/SER_summary!W$26)</f>
        <v>1.9457146862169394</v>
      </c>
      <c r="DA29" s="156" t="s">
        <v>563</v>
      </c>
    </row>
    <row r="30" spans="1:105" ht="12" customHeight="1" x14ac:dyDescent="0.25">
      <c r="A30" s="132" t="s">
        <v>52</v>
      </c>
      <c r="B30" s="133">
        <f>IF(SER_hh_emih!B30=0,0,SER_hh_emih!B30/SER_summary!B$26)</f>
        <v>4.0429914564683989</v>
      </c>
      <c r="C30" s="133">
        <f>IF(SER_hh_emih!C30=0,0,SER_hh_emih!C30/SER_summary!C$26)</f>
        <v>4.2928338088880595</v>
      </c>
      <c r="D30" s="133">
        <f>IF(SER_hh_emih!D30=0,0,SER_hh_emih!D30/SER_summary!D$26)</f>
        <v>3.9438458727167109</v>
      </c>
      <c r="E30" s="133">
        <f>IF(SER_hh_emih!E30=0,0,SER_hh_emih!E30/SER_summary!E$26)</f>
        <v>3.7714530117399816</v>
      </c>
      <c r="F30" s="133">
        <f>IF(SER_hh_emih!F30=0,0,SER_hh_emih!F30/SER_summary!F$26)</f>
        <v>5.1975782732573617</v>
      </c>
      <c r="G30" s="133">
        <f>IF(SER_hh_emih!G30=0,0,SER_hh_emih!G30/SER_summary!G$26)</f>
        <v>1.9888804473394599</v>
      </c>
      <c r="H30" s="133">
        <f>IF(SER_hh_emih!H30=0,0,SER_hh_emih!H30/SER_summary!H$26)</f>
        <v>2.8367113855150357</v>
      </c>
      <c r="I30" s="133">
        <f>IF(SER_hh_emih!I30=0,0,SER_hh_emih!I30/SER_summary!I$26)</f>
        <v>3.7374095422697233</v>
      </c>
      <c r="J30" s="133">
        <f>IF(SER_hh_emih!J30=0,0,SER_hh_emih!J30/SER_summary!J$26)</f>
        <v>4.3612775202112637</v>
      </c>
      <c r="K30" s="133">
        <f>IF(SER_hh_emih!K30=0,0,SER_hh_emih!K30/SER_summary!K$26)</f>
        <v>4.2092169559838695</v>
      </c>
      <c r="L30" s="133">
        <f>IF(SER_hh_emih!L30=0,0,SER_hh_emih!L30/SER_summary!L$26)</f>
        <v>5.0234337392407413</v>
      </c>
      <c r="M30" s="133">
        <f>IF(SER_hh_emih!M30=0,0,SER_hh_emih!M30/SER_summary!M$26)</f>
        <v>3.7856464843215725</v>
      </c>
      <c r="N30" s="133">
        <f>IF(SER_hh_emih!N30=0,0,SER_hh_emih!N30/SER_summary!N$26)</f>
        <v>4.216157146573444</v>
      </c>
      <c r="O30" s="133">
        <f>IF(SER_hh_emih!O30=0,0,SER_hh_emih!O30/SER_summary!O$26)</f>
        <v>4.5248425050973831</v>
      </c>
      <c r="P30" s="133">
        <f>IF(SER_hh_emih!P30=0,0,SER_hh_emih!P30/SER_summary!P$26)</f>
        <v>3.4454807154157088</v>
      </c>
      <c r="Q30" s="133">
        <f>IF(SER_hh_emih!Q30=0,0,SER_hh_emih!Q30/SER_summary!Q$26)</f>
        <v>5.3454975083052378</v>
      </c>
      <c r="R30" s="133">
        <f>IF(SER_hh_emih!R30=0,0,SER_hh_emih!R30/SER_summary!R$26)</f>
        <v>4.0109618100733817</v>
      </c>
      <c r="S30" s="133">
        <f>IF(SER_hh_emih!S30=0,0,SER_hh_emih!S30/SER_summary!S$26)</f>
        <v>4.4632379966829534</v>
      </c>
      <c r="T30" s="133">
        <f>IF(SER_hh_emih!T30=0,0,SER_hh_emih!T30/SER_summary!T$26)</f>
        <v>4.1678869782247006</v>
      </c>
      <c r="U30" s="133">
        <f>IF(SER_hh_emih!U30=0,0,SER_hh_emih!U30/SER_summary!U$26)</f>
        <v>4.0949190975115188</v>
      </c>
      <c r="V30" s="133">
        <f>IF(SER_hh_emih!V30=0,0,SER_hh_emih!V30/SER_summary!V$26)</f>
        <v>4.3590930970403816</v>
      </c>
      <c r="W30" s="133">
        <f>IF(SER_hh_emih!W30=0,0,SER_hh_emih!W30/SER_summary!W$26)</f>
        <v>4.3939228054958743</v>
      </c>
      <c r="DA30" s="157" t="s">
        <v>564</v>
      </c>
    </row>
    <row r="31" spans="1:105" ht="12" customHeight="1" x14ac:dyDescent="0.25">
      <c r="A31" s="132" t="s">
        <v>153</v>
      </c>
      <c r="B31" s="133">
        <f>IF(SER_hh_emih!B31=0,0,SER_hh_emih!B31/SER_summary!B$26)</f>
        <v>3.5665663649088835</v>
      </c>
      <c r="C31" s="133">
        <f>IF(SER_hh_emih!C31=0,0,SER_hh_emih!C31/SER_summary!C$26)</f>
        <v>3.5412680723459538</v>
      </c>
      <c r="D31" s="133">
        <f>IF(SER_hh_emih!D31=0,0,SER_hh_emih!D31/SER_summary!D$26)</f>
        <v>3.5529371746150735</v>
      </c>
      <c r="E31" s="133">
        <f>IF(SER_hh_emih!E31=0,0,SER_hh_emih!E31/SER_summary!E$26)</f>
        <v>3.5693599565737344</v>
      </c>
      <c r="F31" s="133">
        <f>IF(SER_hh_emih!F31=0,0,SER_hh_emih!F31/SER_summary!F$26)</f>
        <v>3.5909422618028541</v>
      </c>
      <c r="G31" s="133">
        <f>IF(SER_hh_emih!G31=0,0,SER_hh_emih!G31/SER_summary!G$26)</f>
        <v>3.6355488342653079</v>
      </c>
      <c r="H31" s="133">
        <f>IF(SER_hh_emih!H31=0,0,SER_hh_emih!H31/SER_summary!H$26)</f>
        <v>3.6371373780983389</v>
      </c>
      <c r="I31" s="133">
        <f>IF(SER_hh_emih!I31=0,0,SER_hh_emih!I31/SER_summary!I$26)</f>
        <v>3.6695493712895386</v>
      </c>
      <c r="J31" s="133">
        <f>IF(SER_hh_emih!J31=0,0,SER_hh_emih!J31/SER_summary!J$26)</f>
        <v>3.7242486899532601</v>
      </c>
      <c r="K31" s="133">
        <f>IF(SER_hh_emih!K31=0,0,SER_hh_emih!K31/SER_summary!K$26)</f>
        <v>3.73819122090236</v>
      </c>
      <c r="L31" s="133">
        <f>IF(SER_hh_emih!L31=0,0,SER_hh_emih!L31/SER_summary!L$26)</f>
        <v>3.7439147155556514</v>
      </c>
      <c r="M31" s="133">
        <f>IF(SER_hh_emih!M31=0,0,SER_hh_emih!M31/SER_summary!M$26)</f>
        <v>3.7497546180612464</v>
      </c>
      <c r="N31" s="133">
        <f>IF(SER_hh_emih!N31=0,0,SER_hh_emih!N31/SER_summary!N$26)</f>
        <v>3.7950357856599424</v>
      </c>
      <c r="O31" s="133">
        <f>IF(SER_hh_emih!O31=0,0,SER_hh_emih!O31/SER_summary!O$26)</f>
        <v>3.808492271449599</v>
      </c>
      <c r="P31" s="133">
        <f>IF(SER_hh_emih!P31=0,0,SER_hh_emih!P31/SER_summary!P$26)</f>
        <v>3.8160513258627589</v>
      </c>
      <c r="Q31" s="133">
        <f>IF(SER_hh_emih!Q31=0,0,SER_hh_emih!Q31/SER_summary!Q$26)</f>
        <v>3.8355726506911725</v>
      </c>
      <c r="R31" s="133">
        <f>IF(SER_hh_emih!R31=0,0,SER_hh_emih!R31/SER_summary!R$26)</f>
        <v>3.8277140943754051</v>
      </c>
      <c r="S31" s="133">
        <f>IF(SER_hh_emih!S31=0,0,SER_hh_emih!S31/SER_summary!S$26)</f>
        <v>3.8102815414493372</v>
      </c>
      <c r="T31" s="133">
        <f>IF(SER_hh_emih!T31=0,0,SER_hh_emih!T31/SER_summary!T$26)</f>
        <v>3.8021025401967257</v>
      </c>
      <c r="U31" s="133">
        <f>IF(SER_hh_emih!U31=0,0,SER_hh_emih!U31/SER_summary!U$26)</f>
        <v>3.797814961706182</v>
      </c>
      <c r="V31" s="133">
        <f>IF(SER_hh_emih!V31=0,0,SER_hh_emih!V31/SER_summary!V$26)</f>
        <v>3.6073822702706835</v>
      </c>
      <c r="W31" s="133">
        <f>IF(SER_hh_emih!W31=0,0,SER_hh_emih!W31/SER_summary!W$26)</f>
        <v>3.8273446038931129</v>
      </c>
      <c r="DA31" s="157" t="s">
        <v>565</v>
      </c>
    </row>
    <row r="32" spans="1:105" ht="12" customHeight="1" x14ac:dyDescent="0.25">
      <c r="A32" s="132" t="s">
        <v>128</v>
      </c>
      <c r="B32" s="133">
        <f>IF(SER_hh_emih!B32=0,0,SER_hh_emih!B32/SER_summary!B$26)</f>
        <v>0</v>
      </c>
      <c r="C32" s="133">
        <f>IF(SER_hh_emih!C32=0,0,SER_hh_emih!C32/SER_summary!C$26)</f>
        <v>0</v>
      </c>
      <c r="D32" s="133">
        <f>IF(SER_hh_emih!D32=0,0,SER_hh_emih!D32/SER_summary!D$26)</f>
        <v>0</v>
      </c>
      <c r="E32" s="133">
        <f>IF(SER_hh_emih!E32=0,0,SER_hh_emih!E32/SER_summary!E$26)</f>
        <v>0</v>
      </c>
      <c r="F32" s="133">
        <f>IF(SER_hh_emih!F32=0,0,SER_hh_emih!F32/SER_summary!F$26)</f>
        <v>0</v>
      </c>
      <c r="G32" s="133">
        <f>IF(SER_hh_emih!G32=0,0,SER_hh_emih!G32/SER_summary!G$26)</f>
        <v>0</v>
      </c>
      <c r="H32" s="133">
        <f>IF(SER_hh_emih!H32=0,0,SER_hh_emih!H32/SER_summary!H$26)</f>
        <v>0</v>
      </c>
      <c r="I32" s="133">
        <f>IF(SER_hh_emih!I32=0,0,SER_hh_emih!I32/SER_summary!I$26)</f>
        <v>0</v>
      </c>
      <c r="J32" s="133">
        <f>IF(SER_hh_emih!J32=0,0,SER_hh_emih!J32/SER_summary!J$26)</f>
        <v>0</v>
      </c>
      <c r="K32" s="133">
        <f>IF(SER_hh_emih!K32=0,0,SER_hh_emih!K32/SER_summary!K$26)</f>
        <v>0</v>
      </c>
      <c r="L32" s="133">
        <f>IF(SER_hh_emih!L32=0,0,SER_hh_emih!L32/SER_summary!L$26)</f>
        <v>0</v>
      </c>
      <c r="M32" s="133">
        <f>IF(SER_hh_emih!M32=0,0,SER_hh_emih!M32/SER_summary!M$26)</f>
        <v>0</v>
      </c>
      <c r="N32" s="133">
        <f>IF(SER_hh_emih!N32=0,0,SER_hh_emih!N32/SER_summary!N$26)</f>
        <v>0</v>
      </c>
      <c r="O32" s="133">
        <f>IF(SER_hh_emih!O32=0,0,SER_hh_emih!O32/SER_summary!O$26)</f>
        <v>6.0590691077633529</v>
      </c>
      <c r="P32" s="133">
        <f>IF(SER_hh_emih!P32=0,0,SER_hh_emih!P32/SER_summary!P$26)</f>
        <v>5.5211873209411335</v>
      </c>
      <c r="Q32" s="133">
        <f>IF(SER_hh_emih!Q32=0,0,SER_hh_emih!Q32/SER_summary!Q$26)</f>
        <v>6.5162474258029812</v>
      </c>
      <c r="R32" s="133">
        <f>IF(SER_hh_emih!R32=0,0,SER_hh_emih!R32/SER_summary!R$26)</f>
        <v>6.1704790729126389</v>
      </c>
      <c r="S32" s="133">
        <f>IF(SER_hh_emih!S32=0,0,SER_hh_emih!S32/SER_summary!S$26)</f>
        <v>6.0381780216918353</v>
      </c>
      <c r="T32" s="133">
        <f>IF(SER_hh_emih!T32=0,0,SER_hh_emih!T32/SER_summary!T$26)</f>
        <v>6.2326973314261691</v>
      </c>
      <c r="U32" s="133">
        <f>IF(SER_hh_emih!U32=0,0,SER_hh_emih!U32/SER_summary!U$26)</f>
        <v>7.5576523542907239</v>
      </c>
      <c r="V32" s="133">
        <f>IF(SER_hh_emih!V32=0,0,SER_hh_emih!V32/SER_summary!V$26)</f>
        <v>2.9774142407324802</v>
      </c>
      <c r="W32" s="133">
        <f>IF(SER_hh_emih!W32=0,0,SER_hh_emih!W32/SER_summary!W$26)</f>
        <v>6.3229940161998401</v>
      </c>
      <c r="DA32" s="157" t="s">
        <v>566</v>
      </c>
    </row>
    <row r="33" spans="1:105" ht="12" customHeight="1" x14ac:dyDescent="0.25">
      <c r="A33" s="62" t="s">
        <v>24</v>
      </c>
      <c r="B33" s="68">
        <f>IF(SER_hh_emih!B33=0,0,SER_hh_emih!B33/SER_summary!B$26)</f>
        <v>0</v>
      </c>
      <c r="C33" s="68">
        <f>IF(SER_hh_emih!C33=0,0,SER_hh_emih!C33/SER_summary!C$26)</f>
        <v>0</v>
      </c>
      <c r="D33" s="68">
        <f>IF(SER_hh_emih!D33=0,0,SER_hh_emih!D33/SER_summary!D$26)</f>
        <v>0</v>
      </c>
      <c r="E33" s="68">
        <f>IF(SER_hh_emih!E33=0,0,SER_hh_emih!E33/SER_summary!E$26)</f>
        <v>0</v>
      </c>
      <c r="F33" s="68">
        <f>IF(SER_hh_emih!F33=0,0,SER_hh_emih!F33/SER_summary!F$26)</f>
        <v>0</v>
      </c>
      <c r="G33" s="68">
        <f>IF(SER_hh_emih!G33=0,0,SER_hh_emih!G33/SER_summary!G$26)</f>
        <v>0</v>
      </c>
      <c r="H33" s="68">
        <f>IF(SER_hh_emih!H33=0,0,SER_hh_emih!H33/SER_summary!H$26)</f>
        <v>0</v>
      </c>
      <c r="I33" s="68">
        <f>IF(SER_hh_emih!I33=0,0,SER_hh_emih!I33/SER_summary!I$26)</f>
        <v>0</v>
      </c>
      <c r="J33" s="68">
        <f>IF(SER_hh_emih!J33=0,0,SER_hh_emih!J33/SER_summary!J$26)</f>
        <v>0</v>
      </c>
      <c r="K33" s="68">
        <f>IF(SER_hh_emih!K33=0,0,SER_hh_emih!K33/SER_summary!K$26)</f>
        <v>0</v>
      </c>
      <c r="L33" s="68">
        <f>IF(SER_hh_emih!L33=0,0,SER_hh_emih!L33/SER_summary!L$26)</f>
        <v>0</v>
      </c>
      <c r="M33" s="68">
        <f>IF(SER_hh_emih!M33=0,0,SER_hh_emih!M33/SER_summary!M$26)</f>
        <v>0</v>
      </c>
      <c r="N33" s="68">
        <f>IF(SER_hh_emih!N33=0,0,SER_hh_emih!N33/SER_summary!N$26)</f>
        <v>0</v>
      </c>
      <c r="O33" s="68">
        <f>IF(SER_hh_emih!O33=0,0,SER_hh_emih!O33/SER_summary!O$26)</f>
        <v>0</v>
      </c>
      <c r="P33" s="68">
        <f>IF(SER_hh_emih!P33=0,0,SER_hh_emih!P33/SER_summary!P$26)</f>
        <v>0</v>
      </c>
      <c r="Q33" s="68">
        <f>IF(SER_hh_emih!Q33=0,0,SER_hh_emih!Q33/SER_summary!Q$26)</f>
        <v>0</v>
      </c>
      <c r="R33" s="68">
        <f>IF(SER_hh_emih!R33=0,0,SER_hh_emih!R33/SER_summary!R$26)</f>
        <v>0</v>
      </c>
      <c r="S33" s="68">
        <f>IF(SER_hh_emih!S33=0,0,SER_hh_emih!S33/SER_summary!S$26)</f>
        <v>0</v>
      </c>
      <c r="T33" s="68">
        <f>IF(SER_hh_emih!T33=0,0,SER_hh_emih!T33/SER_summary!T$26)</f>
        <v>0</v>
      </c>
      <c r="U33" s="68">
        <f>IF(SER_hh_emih!U33=0,0,SER_hh_emih!U33/SER_summary!U$26)</f>
        <v>0</v>
      </c>
      <c r="V33" s="68">
        <f>IF(SER_hh_emih!V33=0,0,SER_hh_emih!V33/SER_summary!V$26)</f>
        <v>0</v>
      </c>
      <c r="W33" s="68">
        <f>IF(SER_hh_emih!W33=0,0,SER_hh_emih!W33/SER_summary!W$26)</f>
        <v>0</v>
      </c>
      <c r="DA33" s="111" t="s">
        <v>567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79</v>
      </c>
      <c r="B3" s="125"/>
      <c r="C3" s="125">
        <f t="shared" ref="C3:W3" si="0">C4</f>
        <v>3091.4191116524948</v>
      </c>
      <c r="D3" s="125">
        <f t="shared" si="0"/>
        <v>10166.83532211085</v>
      </c>
      <c r="E3" s="125">
        <f t="shared" si="0"/>
        <v>3139.5446125426879</v>
      </c>
      <c r="F3" s="125">
        <f t="shared" si="0"/>
        <v>6018.1564429177179</v>
      </c>
      <c r="G3" s="125">
        <f t="shared" si="0"/>
        <v>4634.2186461071587</v>
      </c>
      <c r="H3" s="125">
        <f t="shared" si="0"/>
        <v>5628.2033635468906</v>
      </c>
      <c r="I3" s="125">
        <f t="shared" si="0"/>
        <v>6257.903396951604</v>
      </c>
      <c r="J3" s="125">
        <f t="shared" si="0"/>
        <v>4362.7347784695139</v>
      </c>
      <c r="K3" s="125">
        <f t="shared" si="0"/>
        <v>924.39301017747903</v>
      </c>
      <c r="L3" s="125">
        <f t="shared" si="0"/>
        <v>5676.1595031407041</v>
      </c>
      <c r="M3" s="125">
        <f t="shared" si="0"/>
        <v>4666.2334320385171</v>
      </c>
      <c r="N3" s="125">
        <f t="shared" si="0"/>
        <v>2773.7570112166554</v>
      </c>
      <c r="O3" s="125">
        <f t="shared" si="0"/>
        <v>2293.6185438728417</v>
      </c>
      <c r="P3" s="125">
        <f t="shared" si="0"/>
        <v>2622.5062500252075</v>
      </c>
      <c r="Q3" s="125">
        <f t="shared" si="0"/>
        <v>1785.0599103090331</v>
      </c>
      <c r="R3" s="125">
        <f t="shared" si="0"/>
        <v>3315.3902961401068</v>
      </c>
      <c r="S3" s="125">
        <f t="shared" si="0"/>
        <v>3115.8063920787722</v>
      </c>
      <c r="T3" s="125">
        <f t="shared" si="0"/>
        <v>3611.1366297499449</v>
      </c>
      <c r="U3" s="125">
        <f t="shared" si="0"/>
        <v>3573.8228256628672</v>
      </c>
      <c r="V3" s="125">
        <f t="shared" si="0"/>
        <v>3533.0978411513806</v>
      </c>
      <c r="W3" s="125">
        <f t="shared" si="0"/>
        <v>3483.3641265148508</v>
      </c>
      <c r="DA3" s="169" t="s">
        <v>569</v>
      </c>
    </row>
    <row r="4" spans="1:105" ht="12.95" customHeight="1" x14ac:dyDescent="0.25">
      <c r="A4" s="130" t="s">
        <v>32</v>
      </c>
      <c r="B4" s="140"/>
      <c r="C4" s="140">
        <f t="shared" ref="C4:Q4" si="1">SUM(C5:C14)</f>
        <v>3091.4191116524948</v>
      </c>
      <c r="D4" s="140">
        <f t="shared" si="1"/>
        <v>10166.83532211085</v>
      </c>
      <c r="E4" s="140">
        <f t="shared" si="1"/>
        <v>3139.5446125426879</v>
      </c>
      <c r="F4" s="140">
        <f t="shared" si="1"/>
        <v>6018.1564429177179</v>
      </c>
      <c r="G4" s="140">
        <f t="shared" si="1"/>
        <v>4634.2186461071587</v>
      </c>
      <c r="H4" s="140">
        <f t="shared" si="1"/>
        <v>5628.2033635468906</v>
      </c>
      <c r="I4" s="140">
        <f t="shared" si="1"/>
        <v>6257.903396951604</v>
      </c>
      <c r="J4" s="140">
        <f t="shared" si="1"/>
        <v>4362.7347784695139</v>
      </c>
      <c r="K4" s="140">
        <f t="shared" si="1"/>
        <v>924.39301017747903</v>
      </c>
      <c r="L4" s="140">
        <f t="shared" si="1"/>
        <v>5676.1595031407041</v>
      </c>
      <c r="M4" s="140">
        <f t="shared" si="1"/>
        <v>4666.2334320385171</v>
      </c>
      <c r="N4" s="140">
        <f t="shared" si="1"/>
        <v>2773.7570112166554</v>
      </c>
      <c r="O4" s="140">
        <f t="shared" si="1"/>
        <v>2293.6185438728417</v>
      </c>
      <c r="P4" s="140">
        <f t="shared" si="1"/>
        <v>2622.5062500252075</v>
      </c>
      <c r="Q4" s="140">
        <f t="shared" si="1"/>
        <v>1785.0599103090331</v>
      </c>
      <c r="R4" s="140">
        <f t="shared" ref="R4:W4" si="2">SUM(R5:R14)</f>
        <v>3315.3902961401068</v>
      </c>
      <c r="S4" s="140">
        <f t="shared" si="2"/>
        <v>3115.8063920787722</v>
      </c>
      <c r="T4" s="140">
        <f t="shared" si="2"/>
        <v>3611.1366297499449</v>
      </c>
      <c r="U4" s="140">
        <f t="shared" si="2"/>
        <v>3573.8228256628672</v>
      </c>
      <c r="V4" s="140">
        <f t="shared" si="2"/>
        <v>3533.0978411513806</v>
      </c>
      <c r="W4" s="140">
        <f t="shared" si="2"/>
        <v>3483.3641265148508</v>
      </c>
      <c r="DA4" s="170" t="s">
        <v>570</v>
      </c>
    </row>
    <row r="5" spans="1:105" ht="12" customHeight="1" x14ac:dyDescent="0.25">
      <c r="A5" s="132" t="s">
        <v>29</v>
      </c>
      <c r="B5" s="141"/>
      <c r="C5" s="141">
        <v>0</v>
      </c>
      <c r="D5" s="141">
        <v>0</v>
      </c>
      <c r="E5" s="141">
        <v>0</v>
      </c>
      <c r="F5" s="141">
        <v>0</v>
      </c>
      <c r="G5" s="141">
        <v>0</v>
      </c>
      <c r="H5" s="141">
        <v>0</v>
      </c>
      <c r="I5" s="141">
        <v>0</v>
      </c>
      <c r="J5" s="141">
        <v>0</v>
      </c>
      <c r="K5" s="141">
        <v>0</v>
      </c>
      <c r="L5" s="141">
        <v>0</v>
      </c>
      <c r="M5" s="141">
        <v>0</v>
      </c>
      <c r="N5" s="141">
        <v>0</v>
      </c>
      <c r="O5" s="141">
        <v>0</v>
      </c>
      <c r="P5" s="141">
        <v>0</v>
      </c>
      <c r="Q5" s="141">
        <v>0</v>
      </c>
      <c r="R5" s="141">
        <v>0</v>
      </c>
      <c r="S5" s="141">
        <v>0</v>
      </c>
      <c r="T5" s="141">
        <v>0</v>
      </c>
      <c r="U5" s="141">
        <v>0</v>
      </c>
      <c r="V5" s="141">
        <v>0</v>
      </c>
      <c r="W5" s="141">
        <v>0</v>
      </c>
      <c r="DA5" s="171" t="s">
        <v>571</v>
      </c>
    </row>
    <row r="6" spans="1:105" ht="12" customHeight="1" x14ac:dyDescent="0.25">
      <c r="A6" s="132" t="s">
        <v>52</v>
      </c>
      <c r="B6" s="141"/>
      <c r="C6" s="141">
        <v>0</v>
      </c>
      <c r="D6" s="141">
        <v>0</v>
      </c>
      <c r="E6" s="141">
        <v>0</v>
      </c>
      <c r="F6" s="141">
        <v>0</v>
      </c>
      <c r="G6" s="141">
        <v>0</v>
      </c>
      <c r="H6" s="141">
        <v>0</v>
      </c>
      <c r="I6" s="141">
        <v>0</v>
      </c>
      <c r="J6" s="141">
        <v>0</v>
      </c>
      <c r="K6" s="141">
        <v>0</v>
      </c>
      <c r="L6" s="141">
        <v>0</v>
      </c>
      <c r="M6" s="141">
        <v>0</v>
      </c>
      <c r="N6" s="141">
        <v>0</v>
      </c>
      <c r="O6" s="141">
        <v>0</v>
      </c>
      <c r="P6" s="141">
        <v>0</v>
      </c>
      <c r="Q6" s="141">
        <v>0</v>
      </c>
      <c r="R6" s="141">
        <v>0</v>
      </c>
      <c r="S6" s="141">
        <v>0</v>
      </c>
      <c r="T6" s="141">
        <v>0</v>
      </c>
      <c r="U6" s="141">
        <v>0</v>
      </c>
      <c r="V6" s="141">
        <v>0</v>
      </c>
      <c r="W6" s="141">
        <v>0</v>
      </c>
      <c r="DA6" s="171" t="s">
        <v>572</v>
      </c>
    </row>
    <row r="7" spans="1:105" ht="12" customHeight="1" x14ac:dyDescent="0.25">
      <c r="A7" s="132" t="s">
        <v>168</v>
      </c>
      <c r="B7" s="141"/>
      <c r="C7" s="141">
        <v>1882.3998176889363</v>
      </c>
      <c r="D7" s="141">
        <v>4007.7181322288134</v>
      </c>
      <c r="E7" s="141">
        <v>1144.050647937881</v>
      </c>
      <c r="F7" s="141">
        <v>1340.3035496046032</v>
      </c>
      <c r="G7" s="141">
        <v>920.87020682603509</v>
      </c>
      <c r="H7" s="141">
        <v>663.26033446125848</v>
      </c>
      <c r="I7" s="141">
        <v>527.19634977342025</v>
      </c>
      <c r="J7" s="141">
        <v>832.75634441128454</v>
      </c>
      <c r="K7" s="141">
        <v>122.60092877325167</v>
      </c>
      <c r="L7" s="141">
        <v>1300.7706840799115</v>
      </c>
      <c r="M7" s="141">
        <v>1243.7038805020625</v>
      </c>
      <c r="N7" s="141">
        <v>737.95600311557257</v>
      </c>
      <c r="O7" s="141">
        <v>735.16511780021062</v>
      </c>
      <c r="P7" s="141">
        <v>785.33615910248113</v>
      </c>
      <c r="Q7" s="141">
        <v>676.27880036830675</v>
      </c>
      <c r="R7" s="141">
        <v>785.77472924790038</v>
      </c>
      <c r="S7" s="141">
        <v>804.77978116782538</v>
      </c>
      <c r="T7" s="141">
        <v>691.3300292537042</v>
      </c>
      <c r="U7" s="141">
        <v>397.83683592878032</v>
      </c>
      <c r="V7" s="141">
        <v>448.71748185915942</v>
      </c>
      <c r="W7" s="141">
        <v>195.89067301031253</v>
      </c>
      <c r="DA7" s="171" t="s">
        <v>573</v>
      </c>
    </row>
    <row r="8" spans="1:105" ht="12" customHeight="1" x14ac:dyDescent="0.25">
      <c r="A8" s="132" t="s">
        <v>73</v>
      </c>
      <c r="B8" s="141"/>
      <c r="C8" s="141">
        <v>9.195974163857773E-2</v>
      </c>
      <c r="D8" s="141">
        <v>0.23003204704111924</v>
      </c>
      <c r="E8" s="141">
        <v>7.4824335754242674E-2</v>
      </c>
      <c r="F8" s="141">
        <v>0.10097647153865173</v>
      </c>
      <c r="G8" s="141">
        <v>0.16162355637850595</v>
      </c>
      <c r="H8" s="141">
        <v>0.23492294204752201</v>
      </c>
      <c r="I8" s="141">
        <v>0.25697465770031763</v>
      </c>
      <c r="J8" s="141">
        <v>0.18349270334821385</v>
      </c>
      <c r="K8" s="141">
        <v>6.5773751887257481E-2</v>
      </c>
      <c r="L8" s="141">
        <v>0.30326398009586286</v>
      </c>
      <c r="M8" s="141">
        <v>0.3610140994771267</v>
      </c>
      <c r="N8" s="141">
        <v>0.24551117584333498</v>
      </c>
      <c r="O8" s="141">
        <v>0.22719618119774843</v>
      </c>
      <c r="P8" s="141">
        <v>0.38488003461215575</v>
      </c>
      <c r="Q8" s="141">
        <v>0.20808794543323123</v>
      </c>
      <c r="R8" s="141">
        <v>0.31042011286705412</v>
      </c>
      <c r="S8" s="141">
        <v>0.20688932955598013</v>
      </c>
      <c r="T8" s="141">
        <v>0.27125422222344714</v>
      </c>
      <c r="U8" s="141">
        <v>0.3476974847484573</v>
      </c>
      <c r="V8" s="141">
        <v>0.41213350927425013</v>
      </c>
      <c r="W8" s="141">
        <v>0.38255151098987084</v>
      </c>
      <c r="DA8" s="171" t="s">
        <v>574</v>
      </c>
    </row>
    <row r="9" spans="1:105" ht="12" customHeight="1" x14ac:dyDescent="0.25">
      <c r="A9" s="132" t="s">
        <v>78</v>
      </c>
      <c r="B9" s="141"/>
      <c r="C9" s="141">
        <v>1042.2456189263523</v>
      </c>
      <c r="D9" s="141">
        <v>5626.7579524770208</v>
      </c>
      <c r="E9" s="141">
        <v>1290.568329521813</v>
      </c>
      <c r="F9" s="141">
        <v>0</v>
      </c>
      <c r="G9" s="141">
        <v>0</v>
      </c>
      <c r="H9" s="141">
        <v>2780.2989317210881</v>
      </c>
      <c r="I9" s="141">
        <v>5157.8370067197257</v>
      </c>
      <c r="J9" s="141">
        <v>3513.0142220780663</v>
      </c>
      <c r="K9" s="141">
        <v>796.47423869208433</v>
      </c>
      <c r="L9" s="141">
        <v>4271.7693248533633</v>
      </c>
      <c r="M9" s="141">
        <v>3209.8670859569925</v>
      </c>
      <c r="N9" s="141">
        <v>1867.3346631963218</v>
      </c>
      <c r="O9" s="141">
        <v>1377.4583798917613</v>
      </c>
      <c r="P9" s="141">
        <v>1423.9357986221978</v>
      </c>
      <c r="Q9" s="141">
        <v>990.30179917632893</v>
      </c>
      <c r="R9" s="141">
        <v>2350.2532555774569</v>
      </c>
      <c r="S9" s="141">
        <v>1643.0221632587718</v>
      </c>
      <c r="T9" s="141">
        <v>1734.4711932959926</v>
      </c>
      <c r="U9" s="141">
        <v>1614.3240176152838</v>
      </c>
      <c r="V9" s="141">
        <v>1548.7858100324024</v>
      </c>
      <c r="W9" s="141">
        <v>2376.9532605666204</v>
      </c>
      <c r="DA9" s="171" t="s">
        <v>575</v>
      </c>
    </row>
    <row r="10" spans="1:105" ht="12" customHeight="1" x14ac:dyDescent="0.25">
      <c r="A10" s="132" t="s">
        <v>128</v>
      </c>
      <c r="B10" s="141"/>
      <c r="C10" s="141">
        <v>3.0878375248510316E-2</v>
      </c>
      <c r="D10" s="141">
        <v>8.959825447165203</v>
      </c>
      <c r="E10" s="141">
        <v>8.8476090159630996</v>
      </c>
      <c r="F10" s="141">
        <v>24.662407530876102</v>
      </c>
      <c r="G10" s="141">
        <v>21.136281525733239</v>
      </c>
      <c r="H10" s="141">
        <v>7.4746605450900159</v>
      </c>
      <c r="I10" s="141">
        <v>0</v>
      </c>
      <c r="J10" s="141">
        <v>0</v>
      </c>
      <c r="K10" s="141">
        <v>0.70980976797846185</v>
      </c>
      <c r="L10" s="141">
        <v>41.373117807723496</v>
      </c>
      <c r="M10" s="141">
        <v>71.722394443165456</v>
      </c>
      <c r="N10" s="141">
        <v>74.153868170850089</v>
      </c>
      <c r="O10" s="141">
        <v>81.377226445675532</v>
      </c>
      <c r="P10" s="141">
        <v>143.21406125443966</v>
      </c>
      <c r="Q10" s="141">
        <v>44.438242423704779</v>
      </c>
      <c r="R10" s="141">
        <v>29.391550192442473</v>
      </c>
      <c r="S10" s="141">
        <v>11.126187560661451</v>
      </c>
      <c r="T10" s="141">
        <v>22.012339614737456</v>
      </c>
      <c r="U10" s="141">
        <v>29.942797157908615</v>
      </c>
      <c r="V10" s="141">
        <v>22.651501956588611</v>
      </c>
      <c r="W10" s="141">
        <v>29.968799981660922</v>
      </c>
      <c r="DA10" s="171" t="s">
        <v>576</v>
      </c>
    </row>
    <row r="11" spans="1:105" ht="12" customHeight="1" x14ac:dyDescent="0.25">
      <c r="A11" s="132" t="s">
        <v>25</v>
      </c>
      <c r="B11" s="141"/>
      <c r="C11" s="141">
        <v>0</v>
      </c>
      <c r="D11" s="141">
        <v>0</v>
      </c>
      <c r="E11" s="141">
        <v>0</v>
      </c>
      <c r="F11" s="141">
        <v>0</v>
      </c>
      <c r="G11" s="141">
        <v>0</v>
      </c>
      <c r="H11" s="141">
        <v>0</v>
      </c>
      <c r="I11" s="141">
        <v>0</v>
      </c>
      <c r="J11" s="141">
        <v>0</v>
      </c>
      <c r="K11" s="141">
        <v>0</v>
      </c>
      <c r="L11" s="141">
        <v>0</v>
      </c>
      <c r="M11" s="141">
        <v>0</v>
      </c>
      <c r="N11" s="141">
        <v>0</v>
      </c>
      <c r="O11" s="141">
        <v>0</v>
      </c>
      <c r="P11" s="141">
        <v>0</v>
      </c>
      <c r="Q11" s="141">
        <v>0</v>
      </c>
      <c r="R11" s="141">
        <v>0</v>
      </c>
      <c r="S11" s="141">
        <v>0</v>
      </c>
      <c r="T11" s="141">
        <v>0</v>
      </c>
      <c r="U11" s="141">
        <v>0</v>
      </c>
      <c r="V11" s="141">
        <v>0</v>
      </c>
      <c r="W11" s="141">
        <v>0</v>
      </c>
      <c r="DA11" s="171" t="s">
        <v>577</v>
      </c>
    </row>
    <row r="12" spans="1:105" ht="12" customHeight="1" x14ac:dyDescent="0.25">
      <c r="A12" s="132" t="s">
        <v>169</v>
      </c>
      <c r="B12" s="141"/>
      <c r="C12" s="141">
        <v>58.384328297461323</v>
      </c>
      <c r="D12" s="141">
        <v>111.74810415482216</v>
      </c>
      <c r="E12" s="141">
        <v>29.706512792016426</v>
      </c>
      <c r="F12" s="141">
        <v>76.008006816810109</v>
      </c>
      <c r="G12" s="141">
        <v>183.33106736264696</v>
      </c>
      <c r="H12" s="141">
        <v>219.40923068915637</v>
      </c>
      <c r="I12" s="141">
        <v>118.69684590173942</v>
      </c>
      <c r="J12" s="141">
        <v>0</v>
      </c>
      <c r="K12" s="141">
        <v>0</v>
      </c>
      <c r="L12" s="141">
        <v>47.029058057837538</v>
      </c>
      <c r="M12" s="141">
        <v>121.98337799057971</v>
      </c>
      <c r="N12" s="141">
        <v>85.662764661697153</v>
      </c>
      <c r="O12" s="141">
        <v>93.32389804071795</v>
      </c>
      <c r="P12" s="141">
        <v>260.10447468577013</v>
      </c>
      <c r="Q12" s="141">
        <v>73.641686144514821</v>
      </c>
      <c r="R12" s="141">
        <v>45.719312491841848</v>
      </c>
      <c r="S12" s="141">
        <v>5.1387811193260999</v>
      </c>
      <c r="T12" s="141">
        <v>78.850755244627706</v>
      </c>
      <c r="U12" s="141">
        <v>122.09429337939382</v>
      </c>
      <c r="V12" s="141">
        <v>187.50343561427377</v>
      </c>
      <c r="W12" s="141">
        <v>147.34992730956918</v>
      </c>
      <c r="DA12" s="171" t="s">
        <v>578</v>
      </c>
    </row>
    <row r="13" spans="1:105" ht="12" customHeight="1" x14ac:dyDescent="0.25">
      <c r="A13" s="132" t="s">
        <v>77</v>
      </c>
      <c r="B13" s="141"/>
      <c r="C13" s="141">
        <v>0.36634129338848975</v>
      </c>
      <c r="D13" s="141">
        <v>0.71720718212286638</v>
      </c>
      <c r="E13" s="141">
        <v>0.46931247413418292</v>
      </c>
      <c r="F13" s="141">
        <v>5.2530097931336295</v>
      </c>
      <c r="G13" s="141">
        <v>14.8404475767958</v>
      </c>
      <c r="H13" s="141">
        <v>29.878285224775468</v>
      </c>
      <c r="I13" s="141">
        <v>31.607564106599721</v>
      </c>
      <c r="J13" s="141">
        <v>16.780719276815333</v>
      </c>
      <c r="K13" s="141">
        <v>4.5422591922774096</v>
      </c>
      <c r="L13" s="141">
        <v>14.914054361772628</v>
      </c>
      <c r="M13" s="141">
        <v>18.595679046240711</v>
      </c>
      <c r="N13" s="141">
        <v>8.4042008963701562</v>
      </c>
      <c r="O13" s="141">
        <v>6.0667255132786657</v>
      </c>
      <c r="P13" s="141">
        <v>9.5308763257065205</v>
      </c>
      <c r="Q13" s="141">
        <v>0.1912942507445384</v>
      </c>
      <c r="R13" s="141">
        <v>24.089129107091832</v>
      </c>
      <c r="S13" s="141">
        <v>43.090250021653091</v>
      </c>
      <c r="T13" s="141">
        <v>103.39945996440518</v>
      </c>
      <c r="U13" s="141">
        <v>145.6265053035888</v>
      </c>
      <c r="V13" s="141">
        <v>159.56419739168928</v>
      </c>
      <c r="W13" s="141">
        <v>175.77699750420373</v>
      </c>
      <c r="DA13" s="171" t="s">
        <v>579</v>
      </c>
    </row>
    <row r="14" spans="1:105" ht="12" customHeight="1" x14ac:dyDescent="0.25">
      <c r="A14" s="60" t="s">
        <v>76</v>
      </c>
      <c r="B14" s="142"/>
      <c r="C14" s="142">
        <v>107.90016732946962</v>
      </c>
      <c r="D14" s="142">
        <v>410.70406857386467</v>
      </c>
      <c r="E14" s="142">
        <v>665.82737646512646</v>
      </c>
      <c r="F14" s="142">
        <v>4571.8284927007562</v>
      </c>
      <c r="G14" s="142">
        <v>3493.8790192595688</v>
      </c>
      <c r="H14" s="142">
        <v>1927.6469979634751</v>
      </c>
      <c r="I14" s="142">
        <v>422.30865579241811</v>
      </c>
      <c r="J14" s="142">
        <v>0</v>
      </c>
      <c r="K14" s="142">
        <v>0</v>
      </c>
      <c r="L14" s="142">
        <v>0</v>
      </c>
      <c r="M14" s="142">
        <v>0</v>
      </c>
      <c r="N14" s="142">
        <v>0</v>
      </c>
      <c r="O14" s="142">
        <v>0</v>
      </c>
      <c r="P14" s="142">
        <v>0</v>
      </c>
      <c r="Q14" s="142">
        <v>0</v>
      </c>
      <c r="R14" s="142">
        <v>79.851899410505922</v>
      </c>
      <c r="S14" s="142">
        <v>608.44233962097826</v>
      </c>
      <c r="T14" s="142">
        <v>980.80159815425429</v>
      </c>
      <c r="U14" s="142">
        <v>1263.6506787931633</v>
      </c>
      <c r="V14" s="142">
        <v>1165.4632807879923</v>
      </c>
      <c r="W14" s="142">
        <v>557.04191663149402</v>
      </c>
      <c r="DA14" s="172" t="s">
        <v>580</v>
      </c>
    </row>
    <row r="15" spans="1:105" ht="12" customHeight="1" x14ac:dyDescent="0.25">
      <c r="A15" s="143" t="s">
        <v>75</v>
      </c>
      <c r="B15" s="144"/>
      <c r="C15" s="144">
        <f t="shared" ref="C15:Q15" si="3">SUM(C5:C12)</f>
        <v>2983.1526030296368</v>
      </c>
      <c r="D15" s="144">
        <f t="shared" si="3"/>
        <v>9755.4140463548629</v>
      </c>
      <c r="E15" s="144">
        <f t="shared" si="3"/>
        <v>2473.2479236034274</v>
      </c>
      <c r="F15" s="144">
        <f t="shared" si="3"/>
        <v>1441.0749404238281</v>
      </c>
      <c r="G15" s="144">
        <f t="shared" si="3"/>
        <v>1125.4991792707938</v>
      </c>
      <c r="H15" s="144">
        <f t="shared" si="3"/>
        <v>3670.6780803586403</v>
      </c>
      <c r="I15" s="144">
        <f t="shared" si="3"/>
        <v>5803.987177052586</v>
      </c>
      <c r="J15" s="144">
        <f t="shared" si="3"/>
        <v>4345.9540591926989</v>
      </c>
      <c r="K15" s="144">
        <f t="shared" si="3"/>
        <v>919.85075098520167</v>
      </c>
      <c r="L15" s="144">
        <f t="shared" si="3"/>
        <v>5661.2454487789319</v>
      </c>
      <c r="M15" s="144">
        <f t="shared" si="3"/>
        <v>4647.6377529922765</v>
      </c>
      <c r="N15" s="144">
        <f t="shared" si="3"/>
        <v>2765.3528103202852</v>
      </c>
      <c r="O15" s="144">
        <f t="shared" si="3"/>
        <v>2287.5518183595632</v>
      </c>
      <c r="P15" s="144">
        <f t="shared" si="3"/>
        <v>2612.9753736995008</v>
      </c>
      <c r="Q15" s="144">
        <f t="shared" si="3"/>
        <v>1784.8686160582886</v>
      </c>
      <c r="R15" s="144">
        <f t="shared" ref="R15:W15" si="4">SUM(R5:R12)</f>
        <v>3211.4492676225086</v>
      </c>
      <c r="S15" s="144">
        <f t="shared" si="4"/>
        <v>2464.2738024361411</v>
      </c>
      <c r="T15" s="144">
        <f t="shared" si="4"/>
        <v>2526.9355716312853</v>
      </c>
      <c r="U15" s="144">
        <f t="shared" si="4"/>
        <v>2164.5456415661151</v>
      </c>
      <c r="V15" s="144">
        <f t="shared" si="4"/>
        <v>2208.0703629716986</v>
      </c>
      <c r="W15" s="144">
        <f t="shared" si="4"/>
        <v>2750.5452123791529</v>
      </c>
      <c r="DA15" s="173"/>
    </row>
    <row r="16" spans="1:105" ht="12.95" customHeight="1" x14ac:dyDescent="0.25">
      <c r="A16" s="130" t="s">
        <v>74</v>
      </c>
      <c r="B16" s="140"/>
      <c r="C16" s="140">
        <f t="shared" ref="C16:Q16" si="5">SUM(C17:C18)</f>
        <v>3091.4191116524958</v>
      </c>
      <c r="D16" s="140">
        <f t="shared" si="5"/>
        <v>7137.749261687768</v>
      </c>
      <c r="E16" s="140">
        <f t="shared" si="5"/>
        <v>3139.5446125426874</v>
      </c>
      <c r="F16" s="140">
        <f t="shared" si="5"/>
        <v>6018.1564429177188</v>
      </c>
      <c r="G16" s="140">
        <f t="shared" si="5"/>
        <v>4634.2186461071578</v>
      </c>
      <c r="H16" s="140">
        <f t="shared" si="5"/>
        <v>5628.2033635468906</v>
      </c>
      <c r="I16" s="140">
        <f t="shared" si="5"/>
        <v>6257.9033969516022</v>
      </c>
      <c r="J16" s="140">
        <f t="shared" si="5"/>
        <v>4362.7347784695139</v>
      </c>
      <c r="K16" s="140">
        <f t="shared" si="5"/>
        <v>924.39301017747914</v>
      </c>
      <c r="L16" s="140">
        <f t="shared" si="5"/>
        <v>5676.1595031407041</v>
      </c>
      <c r="M16" s="140">
        <f t="shared" si="5"/>
        <v>4666.2334320385171</v>
      </c>
      <c r="N16" s="140">
        <f t="shared" si="5"/>
        <v>2773.757011216655</v>
      </c>
      <c r="O16" s="140">
        <f t="shared" si="5"/>
        <v>2293.6185438728412</v>
      </c>
      <c r="P16" s="140">
        <f t="shared" si="5"/>
        <v>2622.5062500252075</v>
      </c>
      <c r="Q16" s="140">
        <f t="shared" si="5"/>
        <v>1785.0599103090331</v>
      </c>
      <c r="R16" s="140">
        <f t="shared" ref="R16:W16" si="6">SUM(R17:R18)</f>
        <v>3315.3902961401068</v>
      </c>
      <c r="S16" s="140">
        <f t="shared" si="6"/>
        <v>3115.8063920787727</v>
      </c>
      <c r="T16" s="140">
        <f t="shared" si="6"/>
        <v>3611.1366297499444</v>
      </c>
      <c r="U16" s="140">
        <f t="shared" si="6"/>
        <v>3573.8228256628672</v>
      </c>
      <c r="V16" s="140">
        <f t="shared" si="6"/>
        <v>3533.0978411513797</v>
      </c>
      <c r="W16" s="140">
        <f t="shared" si="6"/>
        <v>3483.3641265148508</v>
      </c>
      <c r="DA16" s="170" t="s">
        <v>581</v>
      </c>
    </row>
    <row r="17" spans="1:105" ht="12.95" customHeight="1" x14ac:dyDescent="0.25">
      <c r="A17" s="132" t="s">
        <v>73</v>
      </c>
      <c r="B17" s="141"/>
      <c r="C17" s="141">
        <v>3.5002338643494024</v>
      </c>
      <c r="D17" s="141">
        <v>9.0245457869928885</v>
      </c>
      <c r="E17" s="141">
        <v>0.45420529524261094</v>
      </c>
      <c r="F17" s="141">
        <v>16.95250272469611</v>
      </c>
      <c r="G17" s="141">
        <v>9.8087589644517763</v>
      </c>
      <c r="H17" s="141">
        <v>5.2938478072363164</v>
      </c>
      <c r="I17" s="141">
        <v>19.922135240457891</v>
      </c>
      <c r="J17" s="141">
        <v>15.284998828745231</v>
      </c>
      <c r="K17" s="141">
        <v>3.185056755118612</v>
      </c>
      <c r="L17" s="141">
        <v>9.4628727300740945</v>
      </c>
      <c r="M17" s="141">
        <v>13.645854640993223</v>
      </c>
      <c r="N17" s="141">
        <v>8.9300581253690758</v>
      </c>
      <c r="O17" s="141">
        <v>11.03896321931491</v>
      </c>
      <c r="P17" s="141">
        <v>21.650304734813652</v>
      </c>
      <c r="Q17" s="141">
        <v>21.803349603442243</v>
      </c>
      <c r="R17" s="141">
        <v>28.015344130516787</v>
      </c>
      <c r="S17" s="141">
        <v>18.774052172390785</v>
      </c>
      <c r="T17" s="141">
        <v>36.709381159489716</v>
      </c>
      <c r="U17" s="141">
        <v>43.287989331339077</v>
      </c>
      <c r="V17" s="141">
        <v>51.258265709691997</v>
      </c>
      <c r="W17" s="141">
        <v>6.0588133573948904</v>
      </c>
      <c r="DA17" s="171" t="s">
        <v>582</v>
      </c>
    </row>
    <row r="18" spans="1:105" ht="12" customHeight="1" x14ac:dyDescent="0.25">
      <c r="A18" s="132" t="s">
        <v>72</v>
      </c>
      <c r="B18" s="141"/>
      <c r="C18" s="141">
        <v>3087.9188777881463</v>
      </c>
      <c r="D18" s="141">
        <v>7128.7247159007748</v>
      </c>
      <c r="E18" s="141">
        <v>3139.090407247445</v>
      </c>
      <c r="F18" s="141">
        <v>6001.2039401930224</v>
      </c>
      <c r="G18" s="141">
        <v>4624.4098871427059</v>
      </c>
      <c r="H18" s="141">
        <v>5622.9095157396541</v>
      </c>
      <c r="I18" s="141">
        <v>6237.9812617111447</v>
      </c>
      <c r="J18" s="141">
        <v>4347.4497796407686</v>
      </c>
      <c r="K18" s="141">
        <v>921.20795342236056</v>
      </c>
      <c r="L18" s="141">
        <v>5666.69663041063</v>
      </c>
      <c r="M18" s="141">
        <v>4652.587577397524</v>
      </c>
      <c r="N18" s="141">
        <v>2764.8269530912858</v>
      </c>
      <c r="O18" s="141">
        <v>2282.5795806535261</v>
      </c>
      <c r="P18" s="141">
        <v>2600.8559452903937</v>
      </c>
      <c r="Q18" s="141">
        <v>1763.2565607055908</v>
      </c>
      <c r="R18" s="141">
        <v>3287.3749520095898</v>
      </c>
      <c r="S18" s="141">
        <v>3097.0323399063818</v>
      </c>
      <c r="T18" s="141">
        <v>3574.4272485904548</v>
      </c>
      <c r="U18" s="141">
        <v>3530.5348363315284</v>
      </c>
      <c r="V18" s="141">
        <v>3481.8395754416879</v>
      </c>
      <c r="W18" s="141">
        <v>3477.3053131574561</v>
      </c>
      <c r="DA18" s="171" t="s">
        <v>583</v>
      </c>
    </row>
    <row r="19" spans="1:105" ht="12.95" customHeight="1" x14ac:dyDescent="0.25">
      <c r="A19" s="130" t="s">
        <v>35</v>
      </c>
      <c r="B19" s="140"/>
      <c r="C19" s="140">
        <f t="shared" ref="C19:Q19" si="7">SUM(C20:C26)</f>
        <v>3091.4191116524958</v>
      </c>
      <c r="D19" s="140">
        <f t="shared" si="7"/>
        <v>10166.83532211085</v>
      </c>
      <c r="E19" s="140">
        <f t="shared" si="7"/>
        <v>3139.5446125426874</v>
      </c>
      <c r="F19" s="140">
        <f t="shared" si="7"/>
        <v>6018.1564429177197</v>
      </c>
      <c r="G19" s="140">
        <f t="shared" si="7"/>
        <v>4634.2186461071569</v>
      </c>
      <c r="H19" s="140">
        <f t="shared" si="7"/>
        <v>5628.2033635468906</v>
      </c>
      <c r="I19" s="140">
        <f t="shared" si="7"/>
        <v>6257.9033969516022</v>
      </c>
      <c r="J19" s="140">
        <f t="shared" si="7"/>
        <v>4362.7347784695139</v>
      </c>
      <c r="K19" s="140">
        <f t="shared" si="7"/>
        <v>924.39301017747914</v>
      </c>
      <c r="L19" s="140">
        <f t="shared" si="7"/>
        <v>5676.1595031407032</v>
      </c>
      <c r="M19" s="140">
        <f t="shared" si="7"/>
        <v>4666.233432038518</v>
      </c>
      <c r="N19" s="140">
        <f t="shared" si="7"/>
        <v>2773.757011216655</v>
      </c>
      <c r="O19" s="140">
        <f t="shared" si="7"/>
        <v>2293.6185438728417</v>
      </c>
      <c r="P19" s="140">
        <f t="shared" si="7"/>
        <v>2622.5062500252075</v>
      </c>
      <c r="Q19" s="140">
        <f t="shared" si="7"/>
        <v>1785.0599103090331</v>
      </c>
      <c r="R19" s="140">
        <f t="shared" ref="R19:W19" si="8">SUM(R20:R26)</f>
        <v>3315.3902961401063</v>
      </c>
      <c r="S19" s="140">
        <f t="shared" si="8"/>
        <v>3115.8063920787722</v>
      </c>
      <c r="T19" s="140">
        <f t="shared" si="8"/>
        <v>3611.1366297499449</v>
      </c>
      <c r="U19" s="140">
        <f t="shared" si="8"/>
        <v>3573.8228256628668</v>
      </c>
      <c r="V19" s="140">
        <f t="shared" si="8"/>
        <v>3533.0978411513802</v>
      </c>
      <c r="W19" s="140">
        <f t="shared" si="8"/>
        <v>3483.3641265148508</v>
      </c>
      <c r="DA19" s="170" t="s">
        <v>584</v>
      </c>
    </row>
    <row r="20" spans="1:105" ht="12" customHeight="1" x14ac:dyDescent="0.25">
      <c r="A20" s="132" t="s">
        <v>29</v>
      </c>
      <c r="B20" s="141"/>
      <c r="C20" s="141">
        <v>0</v>
      </c>
      <c r="D20" s="141">
        <v>0</v>
      </c>
      <c r="E20" s="141">
        <v>0</v>
      </c>
      <c r="F20" s="141">
        <v>0</v>
      </c>
      <c r="G20" s="141">
        <v>0</v>
      </c>
      <c r="H20" s="141">
        <v>0</v>
      </c>
      <c r="I20" s="141">
        <v>0</v>
      </c>
      <c r="J20" s="141">
        <v>0</v>
      </c>
      <c r="K20" s="141">
        <v>0</v>
      </c>
      <c r="L20" s="141">
        <v>0</v>
      </c>
      <c r="M20" s="141">
        <v>0</v>
      </c>
      <c r="N20" s="141">
        <v>0</v>
      </c>
      <c r="O20" s="141">
        <v>0</v>
      </c>
      <c r="P20" s="141">
        <v>0</v>
      </c>
      <c r="Q20" s="141">
        <v>0</v>
      </c>
      <c r="R20" s="141">
        <v>0</v>
      </c>
      <c r="S20" s="141">
        <v>0</v>
      </c>
      <c r="T20" s="141">
        <v>0</v>
      </c>
      <c r="U20" s="141">
        <v>0</v>
      </c>
      <c r="V20" s="141">
        <v>0</v>
      </c>
      <c r="W20" s="141">
        <v>0</v>
      </c>
      <c r="DA20" s="171" t="s">
        <v>585</v>
      </c>
    </row>
    <row r="21" spans="1:105" s="2" customFormat="1" ht="12" customHeight="1" x14ac:dyDescent="0.25">
      <c r="A21" s="132" t="s">
        <v>52</v>
      </c>
      <c r="B21" s="141"/>
      <c r="C21" s="141">
        <v>96.013100658966664</v>
      </c>
      <c r="D21" s="141">
        <v>187.08534117665934</v>
      </c>
      <c r="E21" s="141">
        <v>16.074117176864384</v>
      </c>
      <c r="F21" s="141">
        <v>0</v>
      </c>
      <c r="G21" s="141">
        <v>0</v>
      </c>
      <c r="H21" s="141">
        <v>0</v>
      </c>
      <c r="I21" s="141">
        <v>0</v>
      </c>
      <c r="J21" s="141">
        <v>0</v>
      </c>
      <c r="K21" s="141">
        <v>0</v>
      </c>
      <c r="L21" s="141">
        <v>0.38548698719146968</v>
      </c>
      <c r="M21" s="141">
        <v>64.573335475536368</v>
      </c>
      <c r="N21" s="141">
        <v>79.509038013119053</v>
      </c>
      <c r="O21" s="141">
        <v>60.540835197511711</v>
      </c>
      <c r="P21" s="141">
        <v>28.218792177499267</v>
      </c>
      <c r="Q21" s="141">
        <v>22.451815475150845</v>
      </c>
      <c r="R21" s="141">
        <v>42.909815240089898</v>
      </c>
      <c r="S21" s="141">
        <v>50.610566828189391</v>
      </c>
      <c r="T21" s="141">
        <v>37.789618393549333</v>
      </c>
      <c r="U21" s="141">
        <v>18.566604726669681</v>
      </c>
      <c r="V21" s="141">
        <v>1.9989090477442881</v>
      </c>
      <c r="W21" s="141">
        <v>16.053477009582291</v>
      </c>
      <c r="DA21" s="171" t="s">
        <v>586</v>
      </c>
    </row>
    <row r="22" spans="1:105" ht="12" customHeight="1" x14ac:dyDescent="0.25">
      <c r="A22" s="132" t="s">
        <v>168</v>
      </c>
      <c r="B22" s="141"/>
      <c r="C22" s="141">
        <v>696.36881025934281</v>
      </c>
      <c r="D22" s="141">
        <v>1596.7347342488615</v>
      </c>
      <c r="E22" s="141">
        <v>706.84378414280627</v>
      </c>
      <c r="F22" s="141">
        <v>1188.3304639553287</v>
      </c>
      <c r="G22" s="141">
        <v>935.75395267442968</v>
      </c>
      <c r="H22" s="141">
        <v>1031.2604724460164</v>
      </c>
      <c r="I22" s="141">
        <v>1037.9068531822072</v>
      </c>
      <c r="J22" s="141">
        <v>706.929160098632</v>
      </c>
      <c r="K22" s="141">
        <v>218.93437911300529</v>
      </c>
      <c r="L22" s="141">
        <v>1064.2080043758267</v>
      </c>
      <c r="M22" s="141">
        <v>990.97513450813494</v>
      </c>
      <c r="N22" s="141">
        <v>616.48562200100218</v>
      </c>
      <c r="O22" s="141">
        <v>503.73519281261559</v>
      </c>
      <c r="P22" s="141">
        <v>375.1234859022461</v>
      </c>
      <c r="Q22" s="141">
        <v>290.43551339450516</v>
      </c>
      <c r="R22" s="141">
        <v>458.72211999144258</v>
      </c>
      <c r="S22" s="141">
        <v>431.43588859336012</v>
      </c>
      <c r="T22" s="141">
        <v>400.91607504475019</v>
      </c>
      <c r="U22" s="141">
        <v>422.0234444286686</v>
      </c>
      <c r="V22" s="141">
        <v>361.36252255245728</v>
      </c>
      <c r="W22" s="141">
        <v>591.33175347689769</v>
      </c>
      <c r="DA22" s="171" t="s">
        <v>587</v>
      </c>
    </row>
    <row r="23" spans="1:105" ht="12" customHeight="1" x14ac:dyDescent="0.25">
      <c r="A23" s="132" t="s">
        <v>153</v>
      </c>
      <c r="B23" s="141"/>
      <c r="C23" s="141">
        <v>1575.2933197768696</v>
      </c>
      <c r="D23" s="141">
        <v>4802.3216456129767</v>
      </c>
      <c r="E23" s="141">
        <v>1627.0249935321799</v>
      </c>
      <c r="F23" s="141">
        <v>3280.8188993297917</v>
      </c>
      <c r="G23" s="141">
        <v>2454.4814495460896</v>
      </c>
      <c r="H23" s="141">
        <v>3066.0194903137249</v>
      </c>
      <c r="I23" s="141">
        <v>3660.7833307367414</v>
      </c>
      <c r="J23" s="141">
        <v>2475.2389858088436</v>
      </c>
      <c r="K23" s="141">
        <v>486.55356931064165</v>
      </c>
      <c r="L23" s="141">
        <v>3090.2924138453086</v>
      </c>
      <c r="M23" s="141">
        <v>2704.747846967427</v>
      </c>
      <c r="N23" s="141">
        <v>1495.153394410667</v>
      </c>
      <c r="O23" s="141">
        <v>1200.2356640681364</v>
      </c>
      <c r="P23" s="141">
        <v>1444.7628389899828</v>
      </c>
      <c r="Q23" s="141">
        <v>905.45646373680711</v>
      </c>
      <c r="R23" s="141">
        <v>1801.8394558562386</v>
      </c>
      <c r="S23" s="141">
        <v>1674.86793033703</v>
      </c>
      <c r="T23" s="141">
        <v>2033.2008446701452</v>
      </c>
      <c r="U23" s="141">
        <v>2107.5842309288369</v>
      </c>
      <c r="V23" s="141">
        <v>2179.5843065114814</v>
      </c>
      <c r="W23" s="141">
        <v>2089.4285974248537</v>
      </c>
      <c r="DA23" s="171" t="s">
        <v>588</v>
      </c>
    </row>
    <row r="24" spans="1:105" ht="12" customHeight="1" x14ac:dyDescent="0.25">
      <c r="A24" s="132" t="s">
        <v>128</v>
      </c>
      <c r="B24" s="141"/>
      <c r="C24" s="141">
        <v>0</v>
      </c>
      <c r="D24" s="141">
        <v>0</v>
      </c>
      <c r="E24" s="141">
        <v>0</v>
      </c>
      <c r="F24" s="141">
        <v>0</v>
      </c>
      <c r="G24" s="141">
        <v>0</v>
      </c>
      <c r="H24" s="141">
        <v>0</v>
      </c>
      <c r="I24" s="141">
        <v>0</v>
      </c>
      <c r="J24" s="141">
        <v>0</v>
      </c>
      <c r="K24" s="141">
        <v>0</v>
      </c>
      <c r="L24" s="141">
        <v>0</v>
      </c>
      <c r="M24" s="141">
        <v>0</v>
      </c>
      <c r="N24" s="141">
        <v>0</v>
      </c>
      <c r="O24" s="141">
        <v>0</v>
      </c>
      <c r="P24" s="141">
        <v>0</v>
      </c>
      <c r="Q24" s="141">
        <v>0</v>
      </c>
      <c r="R24" s="141">
        <v>0</v>
      </c>
      <c r="S24" s="141">
        <v>0</v>
      </c>
      <c r="T24" s="141">
        <v>0</v>
      </c>
      <c r="U24" s="141">
        <v>0</v>
      </c>
      <c r="V24" s="141">
        <v>0</v>
      </c>
      <c r="W24" s="141">
        <v>0</v>
      </c>
      <c r="DA24" s="171" t="s">
        <v>589</v>
      </c>
    </row>
    <row r="25" spans="1:105" ht="12" customHeight="1" x14ac:dyDescent="0.25">
      <c r="A25" s="132" t="s">
        <v>169</v>
      </c>
      <c r="B25" s="141"/>
      <c r="C25" s="141">
        <v>58.990623589007967</v>
      </c>
      <c r="D25" s="141">
        <v>144.67048092370354</v>
      </c>
      <c r="E25" s="141">
        <v>64.924232539906001</v>
      </c>
      <c r="F25" s="141">
        <v>117.72116714313583</v>
      </c>
      <c r="G25" s="141">
        <v>93.384333354439363</v>
      </c>
      <c r="H25" s="141">
        <v>103.26551653339092</v>
      </c>
      <c r="I25" s="141">
        <v>103.01905794256895</v>
      </c>
      <c r="J25" s="141">
        <v>78.466262802093979</v>
      </c>
      <c r="K25" s="141">
        <v>21.164550544068504</v>
      </c>
      <c r="L25" s="141">
        <v>96.118766481315447</v>
      </c>
      <c r="M25" s="141">
        <v>83.441263661068334</v>
      </c>
      <c r="N25" s="141">
        <v>58.370563445319021</v>
      </c>
      <c r="O25" s="141">
        <v>55.882147240618686</v>
      </c>
      <c r="P25" s="141">
        <v>82.336442422013334</v>
      </c>
      <c r="Q25" s="141">
        <v>57.937781566318726</v>
      </c>
      <c r="R25" s="141">
        <v>83.009859854866704</v>
      </c>
      <c r="S25" s="141">
        <v>63.03993958672573</v>
      </c>
      <c r="T25" s="141">
        <v>64.975409346830631</v>
      </c>
      <c r="U25" s="141">
        <v>63.040319111083974</v>
      </c>
      <c r="V25" s="141">
        <v>62.623749908990156</v>
      </c>
      <c r="W25" s="141">
        <v>53.386181155364753</v>
      </c>
      <c r="DA25" s="171" t="s">
        <v>590</v>
      </c>
    </row>
    <row r="26" spans="1:105" ht="12" customHeight="1" x14ac:dyDescent="0.25">
      <c r="A26" s="132" t="s">
        <v>24</v>
      </c>
      <c r="B26" s="142"/>
      <c r="C26" s="142">
        <v>664.75325736830894</v>
      </c>
      <c r="D26" s="142">
        <v>3436.0231201486495</v>
      </c>
      <c r="E26" s="142">
        <v>724.67748515093081</v>
      </c>
      <c r="F26" s="142">
        <v>1431.2859124894628</v>
      </c>
      <c r="G26" s="142">
        <v>1150.5989105321989</v>
      </c>
      <c r="H26" s="142">
        <v>1427.6578842537588</v>
      </c>
      <c r="I26" s="142">
        <v>1456.1941550900849</v>
      </c>
      <c r="J26" s="142">
        <v>1102.1003697599442</v>
      </c>
      <c r="K26" s="142">
        <v>197.74051120976364</v>
      </c>
      <c r="L26" s="142">
        <v>1425.1548314510624</v>
      </c>
      <c r="M26" s="142">
        <v>822.49585142635146</v>
      </c>
      <c r="N26" s="142">
        <v>524.2383933465477</v>
      </c>
      <c r="O26" s="142">
        <v>473.22470455395887</v>
      </c>
      <c r="P26" s="142">
        <v>692.06469053346598</v>
      </c>
      <c r="Q26" s="142">
        <v>508.77833613625137</v>
      </c>
      <c r="R26" s="142">
        <v>928.9090451974688</v>
      </c>
      <c r="S26" s="142">
        <v>895.85206673346693</v>
      </c>
      <c r="T26" s="142">
        <v>1074.2546822946697</v>
      </c>
      <c r="U26" s="142">
        <v>962.60822646760744</v>
      </c>
      <c r="V26" s="142">
        <v>927.52835313070693</v>
      </c>
      <c r="W26" s="142">
        <v>733.16411744815218</v>
      </c>
      <c r="DA26" s="172" t="s">
        <v>591</v>
      </c>
    </row>
    <row r="27" spans="1:105" ht="12" customHeight="1" x14ac:dyDescent="0.25">
      <c r="A27" s="145" t="s">
        <v>26</v>
      </c>
      <c r="B27" s="151"/>
      <c r="C27" s="151">
        <v>0</v>
      </c>
      <c r="D27" s="151">
        <v>41.873622335232469</v>
      </c>
      <c r="E27" s="151">
        <v>145.59031237938837</v>
      </c>
      <c r="F27" s="151">
        <v>22.078943556539922</v>
      </c>
      <c r="G27" s="151">
        <v>13.213567400002965</v>
      </c>
      <c r="H27" s="151">
        <v>117.76484562567359</v>
      </c>
      <c r="I27" s="151">
        <v>308.07194424150697</v>
      </c>
      <c r="J27" s="151">
        <v>216.33432342319787</v>
      </c>
      <c r="K27" s="151">
        <v>458.86825037848365</v>
      </c>
      <c r="L27" s="151">
        <v>0</v>
      </c>
      <c r="M27" s="151">
        <v>51.208012355673283</v>
      </c>
      <c r="N27" s="151">
        <v>36.032363144912068</v>
      </c>
      <c r="O27" s="151">
        <v>3.7916893040461806E-13</v>
      </c>
      <c r="P27" s="151">
        <v>95.806092913427378</v>
      </c>
      <c r="Q27" s="151">
        <v>141.58043136018108</v>
      </c>
      <c r="R27" s="151">
        <v>552.10387958346575</v>
      </c>
      <c r="S27" s="151">
        <v>141.16187151051508</v>
      </c>
      <c r="T27" s="151">
        <v>170.74564382433832</v>
      </c>
      <c r="U27" s="151">
        <v>10.694709429863877</v>
      </c>
      <c r="V27" s="151">
        <v>78.884573135965837</v>
      </c>
      <c r="W27" s="151">
        <v>1.6001407896856747E-12</v>
      </c>
      <c r="DA27" s="174" t="s">
        <v>592</v>
      </c>
    </row>
    <row r="28" spans="1:105" ht="12" hidden="1" customHeight="1" x14ac:dyDescent="0.25">
      <c r="A28" s="78" t="s">
        <v>26</v>
      </c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DA28" s="175"/>
    </row>
    <row r="29" spans="1:105" ht="12.95" customHeight="1" x14ac:dyDescent="0.25">
      <c r="A29" s="130" t="s">
        <v>34</v>
      </c>
      <c r="B29" s="140"/>
      <c r="C29" s="140">
        <f t="shared" ref="C29:Q29" si="9">SUM(C30:C33)</f>
        <v>3091.4191116524958</v>
      </c>
      <c r="D29" s="140">
        <f t="shared" si="9"/>
        <v>10166.83532211085</v>
      </c>
      <c r="E29" s="140">
        <f t="shared" si="9"/>
        <v>3139.544612542687</v>
      </c>
      <c r="F29" s="140">
        <f t="shared" si="9"/>
        <v>6018.1564429177188</v>
      </c>
      <c r="G29" s="140">
        <f t="shared" si="9"/>
        <v>4634.2186461071578</v>
      </c>
      <c r="H29" s="140">
        <f t="shared" si="9"/>
        <v>5628.2033635468906</v>
      </c>
      <c r="I29" s="140">
        <f t="shared" si="9"/>
        <v>6257.9033969516022</v>
      </c>
      <c r="J29" s="140">
        <f t="shared" si="9"/>
        <v>4362.7347784695139</v>
      </c>
      <c r="K29" s="140">
        <f t="shared" si="9"/>
        <v>924.39301017747903</v>
      </c>
      <c r="L29" s="140">
        <f t="shared" si="9"/>
        <v>5676.1595031407051</v>
      </c>
      <c r="M29" s="140">
        <f t="shared" si="9"/>
        <v>4666.233432038518</v>
      </c>
      <c r="N29" s="140">
        <f t="shared" si="9"/>
        <v>2773.757011216655</v>
      </c>
      <c r="O29" s="140">
        <f t="shared" si="9"/>
        <v>2293.6185438728412</v>
      </c>
      <c r="P29" s="140">
        <f t="shared" si="9"/>
        <v>2622.5062500252075</v>
      </c>
      <c r="Q29" s="140">
        <f t="shared" si="9"/>
        <v>1785.0599103090331</v>
      </c>
      <c r="R29" s="140">
        <f t="shared" ref="R29:W29" si="10">SUM(R30:R33)</f>
        <v>3315.3902961401063</v>
      </c>
      <c r="S29" s="140">
        <f t="shared" si="10"/>
        <v>3115.8063920787722</v>
      </c>
      <c r="T29" s="140">
        <f t="shared" si="10"/>
        <v>3611.1366297499449</v>
      </c>
      <c r="U29" s="140">
        <f t="shared" si="10"/>
        <v>3573.8228256628681</v>
      </c>
      <c r="V29" s="140">
        <f t="shared" si="10"/>
        <v>3533.0978411513797</v>
      </c>
      <c r="W29" s="140">
        <f t="shared" si="10"/>
        <v>3483.3641265148513</v>
      </c>
      <c r="DA29" s="170" t="s">
        <v>593</v>
      </c>
    </row>
    <row r="30" spans="1:105" s="2" customFormat="1" ht="12" customHeight="1" x14ac:dyDescent="0.25">
      <c r="A30" s="132" t="s">
        <v>52</v>
      </c>
      <c r="B30" s="141"/>
      <c r="C30" s="141">
        <v>172.12826073435696</v>
      </c>
      <c r="D30" s="141">
        <v>0</v>
      </c>
      <c r="E30" s="141">
        <v>0</v>
      </c>
      <c r="F30" s="141">
        <v>0</v>
      </c>
      <c r="G30" s="141">
        <v>0</v>
      </c>
      <c r="H30" s="141">
        <v>0</v>
      </c>
      <c r="I30" s="141">
        <v>0</v>
      </c>
      <c r="J30" s="141">
        <v>122.19308972296865</v>
      </c>
      <c r="K30" s="141">
        <v>104.76692986657773</v>
      </c>
      <c r="L30" s="141">
        <v>675.73876585175844</v>
      </c>
      <c r="M30" s="141">
        <v>0</v>
      </c>
      <c r="N30" s="141">
        <v>0</v>
      </c>
      <c r="O30" s="141">
        <v>27.062400236324315</v>
      </c>
      <c r="P30" s="141">
        <v>12.602189079755872</v>
      </c>
      <c r="Q30" s="141">
        <v>78.055470362861243</v>
      </c>
      <c r="R30" s="141">
        <v>46.532757615667876</v>
      </c>
      <c r="S30" s="141">
        <v>127.68010187413833</v>
      </c>
      <c r="T30" s="141">
        <v>153.35986669211121</v>
      </c>
      <c r="U30" s="141">
        <v>253.36116759920779</v>
      </c>
      <c r="V30" s="141">
        <v>339.83437605956601</v>
      </c>
      <c r="W30" s="141">
        <v>273.50935107613498</v>
      </c>
      <c r="DA30" s="171" t="s">
        <v>594</v>
      </c>
    </row>
    <row r="31" spans="1:105" ht="12" customHeight="1" x14ac:dyDescent="0.25">
      <c r="A31" s="132" t="s">
        <v>153</v>
      </c>
      <c r="B31" s="141"/>
      <c r="C31" s="141">
        <v>1771.5323829942236</v>
      </c>
      <c r="D31" s="141">
        <v>3623.7552590733562</v>
      </c>
      <c r="E31" s="141">
        <v>1332.6445023245478</v>
      </c>
      <c r="F31" s="141">
        <v>2583.6679034701738</v>
      </c>
      <c r="G31" s="141">
        <v>1737.9817109792455</v>
      </c>
      <c r="H31" s="141">
        <v>2605.0506847220645</v>
      </c>
      <c r="I31" s="141">
        <v>2968.7479637901138</v>
      </c>
      <c r="J31" s="141">
        <v>2423.5358109984304</v>
      </c>
      <c r="K31" s="141">
        <v>554.05031047529428</v>
      </c>
      <c r="L31" s="141">
        <v>2505.2470423541058</v>
      </c>
      <c r="M31" s="141">
        <v>1928.1064776147707</v>
      </c>
      <c r="N31" s="141">
        <v>1273.5390141573384</v>
      </c>
      <c r="O31" s="141">
        <v>1037.2585985988574</v>
      </c>
      <c r="P31" s="141">
        <v>1100.1428653799862</v>
      </c>
      <c r="Q31" s="141">
        <v>784.03154943408492</v>
      </c>
      <c r="R31" s="141">
        <v>1469.5795721032296</v>
      </c>
      <c r="S31" s="141">
        <v>1401.9682335102427</v>
      </c>
      <c r="T31" s="141">
        <v>1709.7063857430785</v>
      </c>
      <c r="U31" s="141">
        <v>1711.7630855604152</v>
      </c>
      <c r="V31" s="141">
        <v>1671.0038572183714</v>
      </c>
      <c r="W31" s="141">
        <v>1609.6880886407064</v>
      </c>
      <c r="DA31" s="171" t="s">
        <v>595</v>
      </c>
    </row>
    <row r="32" spans="1:105" ht="12" customHeight="1" x14ac:dyDescent="0.25">
      <c r="A32" s="132" t="s">
        <v>128</v>
      </c>
      <c r="B32" s="141"/>
      <c r="C32" s="141">
        <v>0</v>
      </c>
      <c r="D32" s="141">
        <v>0</v>
      </c>
      <c r="E32" s="141">
        <v>0</v>
      </c>
      <c r="F32" s="141">
        <v>0</v>
      </c>
      <c r="G32" s="141">
        <v>0</v>
      </c>
      <c r="H32" s="141">
        <v>0</v>
      </c>
      <c r="I32" s="141">
        <v>0</v>
      </c>
      <c r="J32" s="141">
        <v>50.841226282390849</v>
      </c>
      <c r="K32" s="141">
        <v>5.4684601196453198</v>
      </c>
      <c r="L32" s="141">
        <v>35.007636484639661</v>
      </c>
      <c r="M32" s="141">
        <v>16.394724402261293</v>
      </c>
      <c r="N32" s="141">
        <v>1.8350922366637781</v>
      </c>
      <c r="O32" s="141">
        <v>13.719941683266468</v>
      </c>
      <c r="P32" s="141">
        <v>16.841730908254952</v>
      </c>
      <c r="Q32" s="141">
        <v>13.089050845120497</v>
      </c>
      <c r="R32" s="141">
        <v>14.031037288720498</v>
      </c>
      <c r="S32" s="141">
        <v>12.263991652015276</v>
      </c>
      <c r="T32" s="141">
        <v>2.6461630372830727</v>
      </c>
      <c r="U32" s="141">
        <v>0</v>
      </c>
      <c r="V32" s="141">
        <v>0</v>
      </c>
      <c r="W32" s="141">
        <v>0</v>
      </c>
      <c r="DA32" s="171" t="s">
        <v>596</v>
      </c>
    </row>
    <row r="33" spans="1:105" ht="12" customHeight="1" x14ac:dyDescent="0.25">
      <c r="A33" s="62" t="s">
        <v>24</v>
      </c>
      <c r="B33" s="153"/>
      <c r="C33" s="153">
        <v>1147.7584679239153</v>
      </c>
      <c r="D33" s="153">
        <v>6543.0800630374943</v>
      </c>
      <c r="E33" s="153">
        <v>1806.9001102181394</v>
      </c>
      <c r="F33" s="153">
        <v>3434.488539447545</v>
      </c>
      <c r="G33" s="153">
        <v>2896.2369351279126</v>
      </c>
      <c r="H33" s="153">
        <v>3023.1526788248257</v>
      </c>
      <c r="I33" s="153">
        <v>3289.1554331614889</v>
      </c>
      <c r="J33" s="153">
        <v>1766.1646514657241</v>
      </c>
      <c r="K33" s="153">
        <v>260.10730971596172</v>
      </c>
      <c r="L33" s="153">
        <v>2460.1660584502006</v>
      </c>
      <c r="M33" s="153">
        <v>2721.732230021486</v>
      </c>
      <c r="N33" s="153">
        <v>1498.3829048226528</v>
      </c>
      <c r="O33" s="153">
        <v>1215.5776033543932</v>
      </c>
      <c r="P33" s="153">
        <v>1492.9194646572105</v>
      </c>
      <c r="Q33" s="153">
        <v>909.88383966696631</v>
      </c>
      <c r="R33" s="153">
        <v>1785.2469291324887</v>
      </c>
      <c r="S33" s="153">
        <v>1573.894065042376</v>
      </c>
      <c r="T33" s="153">
        <v>1745.4242142774722</v>
      </c>
      <c r="U33" s="153">
        <v>1608.6985725032448</v>
      </c>
      <c r="V33" s="153">
        <v>1522.2596078734425</v>
      </c>
      <c r="W33" s="153">
        <v>1600.1666867980098</v>
      </c>
      <c r="DA33" s="176" t="s">
        <v>597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5:W15 C19:W19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598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81</v>
      </c>
      <c r="B3" s="126"/>
      <c r="C3" s="126">
        <f t="shared" ref="C3:Q3" si="0">SUM(C4,C16,C19,C29)</f>
        <v>43.550034064094255</v>
      </c>
      <c r="D3" s="126">
        <f t="shared" si="0"/>
        <v>143.05843508577843</v>
      </c>
      <c r="E3" s="126">
        <f t="shared" si="0"/>
        <v>42.281200678245092</v>
      </c>
      <c r="F3" s="126">
        <f t="shared" si="0"/>
        <v>107.59708600645403</v>
      </c>
      <c r="G3" s="126">
        <f t="shared" si="0"/>
        <v>70.927748195378143</v>
      </c>
      <c r="H3" s="126">
        <f t="shared" si="0"/>
        <v>78.028358830330774</v>
      </c>
      <c r="I3" s="126">
        <f t="shared" si="0"/>
        <v>79.618252152096133</v>
      </c>
      <c r="J3" s="126">
        <f t="shared" si="0"/>
        <v>61.414155001994502</v>
      </c>
      <c r="K3" s="126">
        <f t="shared" si="0"/>
        <v>12.545291453489291</v>
      </c>
      <c r="L3" s="126">
        <f t="shared" si="0"/>
        <v>80.661949562021121</v>
      </c>
      <c r="M3" s="126">
        <f t="shared" si="0"/>
        <v>53.263159810551322</v>
      </c>
      <c r="N3" s="126">
        <f t="shared" si="0"/>
        <v>32.661457761484584</v>
      </c>
      <c r="O3" s="126">
        <f t="shared" si="0"/>
        <v>27.94092304013019</v>
      </c>
      <c r="P3" s="126">
        <f t="shared" si="0"/>
        <v>25.292002507460502</v>
      </c>
      <c r="Q3" s="126">
        <f t="shared" si="0"/>
        <v>18.162526884283448</v>
      </c>
      <c r="R3" s="126">
        <f t="shared" ref="R3:W3" si="1">SUM(R4,R16,R19,R29)</f>
        <v>31.496197003891663</v>
      </c>
      <c r="S3" s="126">
        <f t="shared" si="1"/>
        <v>27.719304760116952</v>
      </c>
      <c r="T3" s="126">
        <f t="shared" si="1"/>
        <v>30.464551952449195</v>
      </c>
      <c r="U3" s="126">
        <f t="shared" si="1"/>
        <v>28.536115587285718</v>
      </c>
      <c r="V3" s="126">
        <f t="shared" si="1"/>
        <v>25.701100011276271</v>
      </c>
      <c r="W3" s="126">
        <f t="shared" si="1"/>
        <v>24.526613505092769</v>
      </c>
      <c r="DA3" s="155" t="s">
        <v>599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31.711706072307699</v>
      </c>
      <c r="D4" s="131">
        <f t="shared" si="2"/>
        <v>108.22419332943031</v>
      </c>
      <c r="E4" s="131">
        <f t="shared" si="2"/>
        <v>30.105052796792208</v>
      </c>
      <c r="F4" s="131">
        <f t="shared" si="2"/>
        <v>86.25680648860444</v>
      </c>
      <c r="G4" s="131">
        <f t="shared" si="2"/>
        <v>54.338391388144046</v>
      </c>
      <c r="H4" s="131">
        <f t="shared" si="2"/>
        <v>57.166889182249363</v>
      </c>
      <c r="I4" s="131">
        <f t="shared" si="2"/>
        <v>57.989940682899217</v>
      </c>
      <c r="J4" s="131">
        <f t="shared" si="2"/>
        <v>46.28077950267938</v>
      </c>
      <c r="K4" s="131">
        <f t="shared" si="2"/>
        <v>9.3925375772210522</v>
      </c>
      <c r="L4" s="131">
        <f t="shared" si="2"/>
        <v>60.835363789302377</v>
      </c>
      <c r="M4" s="131">
        <f t="shared" si="2"/>
        <v>37.735330198752727</v>
      </c>
      <c r="N4" s="131">
        <f t="shared" si="2"/>
        <v>23.44462916026438</v>
      </c>
      <c r="O4" s="131">
        <f t="shared" si="2"/>
        <v>20.442960460470143</v>
      </c>
      <c r="P4" s="131">
        <f t="shared" si="2"/>
        <v>17.087407334797462</v>
      </c>
      <c r="Q4" s="131">
        <f t="shared" si="2"/>
        <v>12.534839597891008</v>
      </c>
      <c r="R4" s="131">
        <f t="shared" ref="R4:W4" si="3">SUM(R5:R15)</f>
        <v>21.450266190162939</v>
      </c>
      <c r="S4" s="131">
        <f t="shared" si="3"/>
        <v>18.468688302183743</v>
      </c>
      <c r="T4" s="131">
        <f t="shared" si="3"/>
        <v>19.735049647124239</v>
      </c>
      <c r="U4" s="131">
        <f t="shared" si="3"/>
        <v>18.137639128794518</v>
      </c>
      <c r="V4" s="131">
        <f t="shared" si="3"/>
        <v>15.699911428274875</v>
      </c>
      <c r="W4" s="131">
        <f t="shared" si="3"/>
        <v>14.866447918412781</v>
      </c>
      <c r="DA4" s="156" t="s">
        <v>600</v>
      </c>
    </row>
    <row r="5" spans="1:105" ht="12" customHeight="1" x14ac:dyDescent="0.25">
      <c r="A5" s="132" t="s">
        <v>29</v>
      </c>
      <c r="B5" s="133"/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601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602</v>
      </c>
    </row>
    <row r="7" spans="1:105" ht="12" customHeight="1" x14ac:dyDescent="0.25">
      <c r="A7" s="132" t="s">
        <v>168</v>
      </c>
      <c r="B7" s="133"/>
      <c r="C7" s="133">
        <v>19.250473727410391</v>
      </c>
      <c r="D7" s="133">
        <v>51.947412175448889</v>
      </c>
      <c r="E7" s="133">
        <v>16.627256908911058</v>
      </c>
      <c r="F7" s="133">
        <v>18.736354490666468</v>
      </c>
      <c r="G7" s="133">
        <v>12.856931942278553</v>
      </c>
      <c r="H7" s="133">
        <v>8.0076171253336916</v>
      </c>
      <c r="I7" s="133">
        <v>5.4105256480974342</v>
      </c>
      <c r="J7" s="133">
        <v>10.743530770423563</v>
      </c>
      <c r="K7" s="133">
        <v>1.2826977009641705</v>
      </c>
      <c r="L7" s="133">
        <v>15.158743830243436</v>
      </c>
      <c r="M7" s="133">
        <v>11.694475644941479</v>
      </c>
      <c r="N7" s="133">
        <v>6.6466730889676082</v>
      </c>
      <c r="O7" s="133">
        <v>6.9444580244262779</v>
      </c>
      <c r="P7" s="133">
        <v>5.2659912288404422</v>
      </c>
      <c r="Q7" s="133">
        <v>5.1134408209455469</v>
      </c>
      <c r="R7" s="133">
        <v>5.2251841904285161</v>
      </c>
      <c r="S7" s="133">
        <v>5.217222534872958</v>
      </c>
      <c r="T7" s="133">
        <v>4.2477507792946936</v>
      </c>
      <c r="U7" s="133">
        <v>2.2129792144737586</v>
      </c>
      <c r="V7" s="133">
        <v>2.4686267003007987</v>
      </c>
      <c r="W7" s="133">
        <v>0.81859187835837788</v>
      </c>
      <c r="DA7" s="157" t="s">
        <v>603</v>
      </c>
    </row>
    <row r="8" spans="1:105" ht="12" customHeight="1" x14ac:dyDescent="0.25">
      <c r="A8" s="132" t="s">
        <v>73</v>
      </c>
      <c r="B8" s="133"/>
      <c r="C8" s="133">
        <v>3.39184663110579E-4</v>
      </c>
      <c r="D8" s="133">
        <v>8.1329606845775295E-4</v>
      </c>
      <c r="E8" s="133">
        <v>2.5322000054463597E-4</v>
      </c>
      <c r="F8" s="133">
        <v>3.773081477299488E-4</v>
      </c>
      <c r="G8" s="133">
        <v>5.481666747430287E-4</v>
      </c>
      <c r="H8" s="133">
        <v>7.5010734357616694E-4</v>
      </c>
      <c r="I8" s="133">
        <v>6.8040709288276968E-4</v>
      </c>
      <c r="J8" s="133">
        <v>4.9663388421159502E-4</v>
      </c>
      <c r="K8" s="133">
        <v>1.7027104894060105E-4</v>
      </c>
      <c r="L8" s="133">
        <v>7.3824908655883168E-4</v>
      </c>
      <c r="M8" s="133">
        <v>6.7337314587078095E-4</v>
      </c>
      <c r="N8" s="133">
        <v>4.6700976060074645E-4</v>
      </c>
      <c r="O8" s="133">
        <v>4.3972251024963636E-4</v>
      </c>
      <c r="P8" s="133">
        <v>5.3061903620766563E-4</v>
      </c>
      <c r="Q8" s="133">
        <v>2.9840780284170077E-4</v>
      </c>
      <c r="R8" s="133">
        <v>4.321515862187248E-4</v>
      </c>
      <c r="S8" s="133">
        <v>2.6217261491430515E-4</v>
      </c>
      <c r="T8" s="133">
        <v>3.2339403646298727E-4</v>
      </c>
      <c r="U8" s="133">
        <v>3.8920437756838306E-4</v>
      </c>
      <c r="V8" s="133">
        <v>4.1676791801358883E-4</v>
      </c>
      <c r="W8" s="133">
        <v>3.710031393622719E-4</v>
      </c>
      <c r="DA8" s="157" t="s">
        <v>604</v>
      </c>
    </row>
    <row r="9" spans="1:105" ht="12" customHeight="1" x14ac:dyDescent="0.25">
      <c r="A9" s="132" t="s">
        <v>78</v>
      </c>
      <c r="B9" s="133"/>
      <c r="C9" s="133">
        <v>10.645502543174034</v>
      </c>
      <c r="D9" s="133">
        <v>53.173839870290109</v>
      </c>
      <c r="E9" s="133">
        <v>12.682974005111324</v>
      </c>
      <c r="F9" s="133">
        <v>0</v>
      </c>
      <c r="G9" s="133">
        <v>0</v>
      </c>
      <c r="H9" s="133">
        <v>28.936420195423796</v>
      </c>
      <c r="I9" s="133">
        <v>47.070042022565623</v>
      </c>
      <c r="J9" s="133">
        <v>34.938894700432542</v>
      </c>
      <c r="K9" s="133">
        <v>7.9814579546482936</v>
      </c>
      <c r="L9" s="133">
        <v>43.995860120103991</v>
      </c>
      <c r="M9" s="133">
        <v>24.153125573116213</v>
      </c>
      <c r="N9" s="133">
        <v>15.222209192877322</v>
      </c>
      <c r="O9" s="133">
        <v>11.726668835502274</v>
      </c>
      <c r="P9" s="133">
        <v>8.4917014761203529</v>
      </c>
      <c r="Q9" s="133">
        <v>6.3419085368930901</v>
      </c>
      <c r="R9" s="133">
        <v>14.949077590564485</v>
      </c>
      <c r="S9" s="133">
        <v>9.6809105264582413</v>
      </c>
      <c r="T9" s="133">
        <v>9.7183698573945332</v>
      </c>
      <c r="U9" s="133">
        <v>8.4068328428752537</v>
      </c>
      <c r="V9" s="133">
        <v>6.9110368069114605</v>
      </c>
      <c r="W9" s="133">
        <v>10.635306090597801</v>
      </c>
      <c r="DA9" s="157" t="s">
        <v>605</v>
      </c>
    </row>
    <row r="10" spans="1:105" ht="12" customHeight="1" x14ac:dyDescent="0.25">
      <c r="A10" s="132" t="s">
        <v>128</v>
      </c>
      <c r="B10" s="133"/>
      <c r="C10" s="133">
        <v>4.3052913713175151E-4</v>
      </c>
      <c r="D10" s="133">
        <v>9.0842345238723848E-3</v>
      </c>
      <c r="E10" s="133">
        <v>2.8163966780174435E-3</v>
      </c>
      <c r="F10" s="133">
        <v>0.5564343684361982</v>
      </c>
      <c r="G10" s="133">
        <v>0.40757478874529818</v>
      </c>
      <c r="H10" s="133">
        <v>0.12546868392750316</v>
      </c>
      <c r="I10" s="133">
        <v>0</v>
      </c>
      <c r="J10" s="133">
        <v>0</v>
      </c>
      <c r="K10" s="133">
        <v>2.7454047745306262E-3</v>
      </c>
      <c r="L10" s="133">
        <v>0.53400517497009381</v>
      </c>
      <c r="M10" s="133">
        <v>0.56708984467611412</v>
      </c>
      <c r="N10" s="133">
        <v>0.73790823274794659</v>
      </c>
      <c r="O10" s="133">
        <v>1.0240217604736115</v>
      </c>
      <c r="P10" s="133">
        <v>1.478019053562261</v>
      </c>
      <c r="Q10" s="133">
        <v>0.45596768761444245</v>
      </c>
      <c r="R10" s="133">
        <v>0.27774709480673571</v>
      </c>
      <c r="S10" s="133">
        <v>9.5796645339964348E-2</v>
      </c>
      <c r="T10" s="133">
        <v>0.17586370648860994</v>
      </c>
      <c r="U10" s="133">
        <v>0.23080417221680738</v>
      </c>
      <c r="V10" s="133">
        <v>0.15630232040739106</v>
      </c>
      <c r="W10" s="133">
        <v>0.17335227531719066</v>
      </c>
      <c r="DA10" s="157" t="s">
        <v>606</v>
      </c>
    </row>
    <row r="11" spans="1:105" ht="12" customHeight="1" x14ac:dyDescent="0.25">
      <c r="A11" s="132" t="s">
        <v>25</v>
      </c>
      <c r="B11" s="133"/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607</v>
      </c>
    </row>
    <row r="12" spans="1:105" ht="12" customHeight="1" x14ac:dyDescent="0.25">
      <c r="A12" s="132" t="s">
        <v>169</v>
      </c>
      <c r="B12" s="133"/>
      <c r="C12" s="133">
        <v>0.42846692712538631</v>
      </c>
      <c r="D12" s="133">
        <v>0.82292310625204534</v>
      </c>
      <c r="E12" s="133">
        <v>0.22253672905178265</v>
      </c>
      <c r="F12" s="133">
        <v>0.67437086221114284</v>
      </c>
      <c r="G12" s="133">
        <v>1.4678405579125828</v>
      </c>
      <c r="H12" s="133">
        <v>1.9722292485699957</v>
      </c>
      <c r="I12" s="133">
        <v>1.1501081478764261</v>
      </c>
      <c r="J12" s="133">
        <v>0</v>
      </c>
      <c r="K12" s="133">
        <v>0</v>
      </c>
      <c r="L12" s="133">
        <v>0.39869884772243763</v>
      </c>
      <c r="M12" s="133">
        <v>0.84801688217354509</v>
      </c>
      <c r="N12" s="133">
        <v>0.55083994837784533</v>
      </c>
      <c r="O12" s="133">
        <v>0.50071455496712447</v>
      </c>
      <c r="P12" s="133">
        <v>1.6515536270367559</v>
      </c>
      <c r="Q12" s="133">
        <v>0.47378773730607282</v>
      </c>
      <c r="R12" s="133">
        <v>0.25682555523620931</v>
      </c>
      <c r="S12" s="133">
        <v>2.5466657547975256E-2</v>
      </c>
      <c r="T12" s="133">
        <v>0.39226087496800049</v>
      </c>
      <c r="U12" s="133">
        <v>0.54403975632963963</v>
      </c>
      <c r="V12" s="133">
        <v>0.82950231355092596</v>
      </c>
      <c r="W12" s="133">
        <v>0.59076009222842751</v>
      </c>
      <c r="DA12" s="157" t="s">
        <v>608</v>
      </c>
    </row>
    <row r="13" spans="1:105" ht="12" customHeight="1" x14ac:dyDescent="0.25">
      <c r="A13" s="132" t="s">
        <v>77</v>
      </c>
      <c r="B13" s="133"/>
      <c r="C13" s="133">
        <v>1.6217886073582571E-3</v>
      </c>
      <c r="D13" s="133">
        <v>2.8143239145321233E-3</v>
      </c>
      <c r="E13" s="133">
        <v>1.5399739191377998E-3</v>
      </c>
      <c r="F13" s="133">
        <v>8.1385416285094762E-3</v>
      </c>
      <c r="G13" s="133">
        <v>1.6160769613210054E-2</v>
      </c>
      <c r="H13" s="133">
        <v>0.10908462552921167</v>
      </c>
      <c r="I13" s="133">
        <v>0.10130447748807814</v>
      </c>
      <c r="J13" s="133">
        <v>5.141407365685368E-2</v>
      </c>
      <c r="K13" s="133">
        <v>1.3064382125664268E-2</v>
      </c>
      <c r="L13" s="133">
        <v>3.7105120308931504E-2</v>
      </c>
      <c r="M13" s="133">
        <v>3.9951145779480043E-2</v>
      </c>
      <c r="N13" s="133">
        <v>1.6849492066408355E-2</v>
      </c>
      <c r="O13" s="133">
        <v>1.19937837885562E-2</v>
      </c>
      <c r="P13" s="133">
        <v>1.4628668572009999E-2</v>
      </c>
      <c r="Q13" s="133">
        <v>2.6612953774103224E-4</v>
      </c>
      <c r="R13" s="133">
        <v>2.9463139771983803E-2</v>
      </c>
      <c r="S13" s="133">
        <v>3.7762519305991483E-2</v>
      </c>
      <c r="T13" s="133">
        <v>0.13142794635925362</v>
      </c>
      <c r="U13" s="133">
        <v>0.17087675526038895</v>
      </c>
      <c r="V13" s="133">
        <v>0.1565725999177322</v>
      </c>
      <c r="W13" s="133">
        <v>0.20647663077492603</v>
      </c>
      <c r="DA13" s="157" t="s">
        <v>609</v>
      </c>
    </row>
    <row r="14" spans="1:105" ht="12" customHeight="1" x14ac:dyDescent="0.25">
      <c r="A14" s="60" t="s">
        <v>76</v>
      </c>
      <c r="B14" s="65"/>
      <c r="C14" s="65">
        <v>1.0330665380097492</v>
      </c>
      <c r="D14" s="65">
        <v>1.0166656225472235</v>
      </c>
      <c r="E14" s="65">
        <v>0.22619978428267096</v>
      </c>
      <c r="F14" s="65">
        <v>66.074125639065102</v>
      </c>
      <c r="G14" s="65">
        <v>39.443725465033509</v>
      </c>
      <c r="H14" s="65">
        <v>17.56178739896502</v>
      </c>
      <c r="I14" s="65">
        <v>3.6116259628175835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0.44623194460030352</v>
      </c>
      <c r="S14" s="65">
        <v>3.2171028268462663</v>
      </c>
      <c r="T14" s="65">
        <v>4.8837809421106391</v>
      </c>
      <c r="U14" s="65">
        <v>6.4278833259475379</v>
      </c>
      <c r="V14" s="65">
        <v>5.0496560695030919</v>
      </c>
      <c r="W14" s="65">
        <v>2.2842454645890631</v>
      </c>
      <c r="DA14" s="109" t="s">
        <v>610</v>
      </c>
    </row>
    <row r="15" spans="1:105" ht="12" customHeight="1" x14ac:dyDescent="0.25">
      <c r="A15" s="134" t="s">
        <v>80</v>
      </c>
      <c r="B15" s="135"/>
      <c r="C15" s="135">
        <v>0.35180483418053843</v>
      </c>
      <c r="D15" s="135">
        <v>1.2506407003851747</v>
      </c>
      <c r="E15" s="135">
        <v>0.3414757788376741</v>
      </c>
      <c r="F15" s="135">
        <v>0.20700527844928882</v>
      </c>
      <c r="G15" s="135">
        <v>0.14560969788615008</v>
      </c>
      <c r="H15" s="135">
        <v>0.45353179715657388</v>
      </c>
      <c r="I15" s="135">
        <v>0.64565401696118951</v>
      </c>
      <c r="J15" s="135">
        <v>0.54644332428221265</v>
      </c>
      <c r="K15" s="135">
        <v>0.11240186365945221</v>
      </c>
      <c r="L15" s="135">
        <v>0.71021244686693441</v>
      </c>
      <c r="M15" s="135">
        <v>0.43199773492002463</v>
      </c>
      <c r="N15" s="135">
        <v>0.26968219546664796</v>
      </c>
      <c r="O15" s="135">
        <v>0.23466377880204875</v>
      </c>
      <c r="P15" s="135">
        <v>0.18498266162943205</v>
      </c>
      <c r="Q15" s="135">
        <v>0.14917027779127329</v>
      </c>
      <c r="R15" s="135">
        <v>0.26530452316848802</v>
      </c>
      <c r="S15" s="135">
        <v>0.19416441919743158</v>
      </c>
      <c r="T15" s="135">
        <v>0.18527214647204571</v>
      </c>
      <c r="U15" s="135">
        <v>0.14383385731356149</v>
      </c>
      <c r="V15" s="135">
        <v>0.12779784976546213</v>
      </c>
      <c r="W15" s="135">
        <v>0.15734448340763385</v>
      </c>
      <c r="DA15" s="158" t="s">
        <v>611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2.8158803684865972</v>
      </c>
      <c r="D16" s="131">
        <f t="shared" si="4"/>
        <v>6.2338814230750446</v>
      </c>
      <c r="E16" s="131">
        <f t="shared" si="4"/>
        <v>3.3595860657438892</v>
      </c>
      <c r="F16" s="131">
        <f t="shared" si="4"/>
        <v>4.8147965460720981</v>
      </c>
      <c r="G16" s="131">
        <f t="shared" si="4"/>
        <v>3.6233934372034722</v>
      </c>
      <c r="H16" s="131">
        <f t="shared" si="4"/>
        <v>5.2948561135129664</v>
      </c>
      <c r="I16" s="131">
        <f t="shared" si="4"/>
        <v>4.4408644654102734</v>
      </c>
      <c r="J16" s="131">
        <f t="shared" si="4"/>
        <v>2.9997525238909715</v>
      </c>
      <c r="K16" s="131">
        <f t="shared" si="4"/>
        <v>0.6147308839718979</v>
      </c>
      <c r="L16" s="131">
        <f t="shared" si="4"/>
        <v>3.8467345555483523</v>
      </c>
      <c r="M16" s="131">
        <f t="shared" si="4"/>
        <v>2.8383086651230824</v>
      </c>
      <c r="N16" s="131">
        <f t="shared" si="4"/>
        <v>1.6152056340126695</v>
      </c>
      <c r="O16" s="131">
        <f t="shared" si="4"/>
        <v>1.2687540189463984</v>
      </c>
      <c r="P16" s="131">
        <f t="shared" si="4"/>
        <v>1.316801118599767</v>
      </c>
      <c r="Q16" s="131">
        <f t="shared" si="4"/>
        <v>0.95360777684797682</v>
      </c>
      <c r="R16" s="131">
        <f t="shared" ref="R16:W16" si="5">SUM(R17:R18)</f>
        <v>1.6216090861891717</v>
      </c>
      <c r="S16" s="131">
        <f t="shared" si="5"/>
        <v>1.3724298470096632</v>
      </c>
      <c r="T16" s="131">
        <f t="shared" si="5"/>
        <v>1.7466813208404104</v>
      </c>
      <c r="U16" s="131">
        <f t="shared" si="5"/>
        <v>1.5914934719645275</v>
      </c>
      <c r="V16" s="131">
        <f t="shared" si="5"/>
        <v>1.7117032798416627</v>
      </c>
      <c r="W16" s="131">
        <f t="shared" si="5"/>
        <v>1.15368573459837</v>
      </c>
      <c r="DA16" s="156" t="s">
        <v>612</v>
      </c>
    </row>
    <row r="17" spans="1:105" ht="12.95" customHeight="1" x14ac:dyDescent="0.25">
      <c r="A17" s="132" t="s">
        <v>73</v>
      </c>
      <c r="B17" s="133"/>
      <c r="C17" s="133">
        <v>6.2019026339759208E-3</v>
      </c>
      <c r="D17" s="133">
        <v>1.5807169775989144E-2</v>
      </c>
      <c r="E17" s="133">
        <v>1.0027024903616337E-3</v>
      </c>
      <c r="F17" s="133">
        <v>2.892392656511299E-2</v>
      </c>
      <c r="G17" s="133">
        <v>1.6846280314154662E-2</v>
      </c>
      <c r="H17" s="133">
        <v>1.1253484947171776E-2</v>
      </c>
      <c r="I17" s="133">
        <v>3.2835727314595949E-2</v>
      </c>
      <c r="J17" s="133">
        <v>2.5088935243442044E-2</v>
      </c>
      <c r="K17" s="133">
        <v>5.1873077232180691E-3</v>
      </c>
      <c r="L17" s="133">
        <v>1.6146354305151756E-2</v>
      </c>
      <c r="M17" s="133">
        <v>2.1476949136133454E-2</v>
      </c>
      <c r="N17" s="133">
        <v>1.3838464294934185E-2</v>
      </c>
      <c r="O17" s="133">
        <v>1.6661832878038088E-2</v>
      </c>
      <c r="P17" s="133">
        <v>3.0255841836186584E-2</v>
      </c>
      <c r="Q17" s="133">
        <v>3.2654729297854908E-2</v>
      </c>
      <c r="R17" s="133">
        <v>3.8868518983414042E-2</v>
      </c>
      <c r="S17" s="133">
        <v>2.3510568999530322E-2</v>
      </c>
      <c r="T17" s="133">
        <v>4.987503268549167E-2</v>
      </c>
      <c r="U17" s="133">
        <v>5.3561896377329811E-2</v>
      </c>
      <c r="V17" s="133">
        <v>6.789253208455738E-2</v>
      </c>
      <c r="W17" s="133">
        <v>5.6351870166066178E-3</v>
      </c>
      <c r="DA17" s="157" t="s">
        <v>613</v>
      </c>
    </row>
    <row r="18" spans="1:105" ht="12" customHeight="1" x14ac:dyDescent="0.25">
      <c r="A18" s="132" t="s">
        <v>72</v>
      </c>
      <c r="B18" s="133"/>
      <c r="C18" s="133">
        <v>2.8096784658526213</v>
      </c>
      <c r="D18" s="133">
        <v>6.2180742532990552</v>
      </c>
      <c r="E18" s="133">
        <v>3.3585833632535276</v>
      </c>
      <c r="F18" s="133">
        <v>4.7858726195069847</v>
      </c>
      <c r="G18" s="133">
        <v>3.6065471568893175</v>
      </c>
      <c r="H18" s="133">
        <v>5.2836026285657942</v>
      </c>
      <c r="I18" s="133">
        <v>4.4080287380956777</v>
      </c>
      <c r="J18" s="133">
        <v>2.9746635886475294</v>
      </c>
      <c r="K18" s="133">
        <v>0.60954357624867983</v>
      </c>
      <c r="L18" s="133">
        <v>3.8305882012432004</v>
      </c>
      <c r="M18" s="133">
        <v>2.8168317159869489</v>
      </c>
      <c r="N18" s="133">
        <v>1.6013671697177352</v>
      </c>
      <c r="O18" s="133">
        <v>1.2520921860683603</v>
      </c>
      <c r="P18" s="133">
        <v>1.2865452767635803</v>
      </c>
      <c r="Q18" s="133">
        <v>0.92095304755012186</v>
      </c>
      <c r="R18" s="133">
        <v>1.5827405672057575</v>
      </c>
      <c r="S18" s="133">
        <v>1.3489192780101329</v>
      </c>
      <c r="T18" s="133">
        <v>1.6968062881549186</v>
      </c>
      <c r="U18" s="133">
        <v>1.5379315755871976</v>
      </c>
      <c r="V18" s="133">
        <v>1.6438107477571053</v>
      </c>
      <c r="W18" s="133">
        <v>1.1480505475817633</v>
      </c>
      <c r="DA18" s="157" t="s">
        <v>614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5.2191443845422185</v>
      </c>
      <c r="D19" s="131">
        <f t="shared" si="6"/>
        <v>16.698503589161046</v>
      </c>
      <c r="E19" s="131">
        <f t="shared" si="6"/>
        <v>5.1831144654120402</v>
      </c>
      <c r="F19" s="131">
        <f t="shared" si="6"/>
        <v>9.6923515780281182</v>
      </c>
      <c r="G19" s="131">
        <f t="shared" si="6"/>
        <v>7.3616928378485342</v>
      </c>
      <c r="H19" s="131">
        <f t="shared" si="6"/>
        <v>8.779530115099984</v>
      </c>
      <c r="I19" s="131">
        <f t="shared" si="6"/>
        <v>9.5391184274027037</v>
      </c>
      <c r="J19" s="131">
        <f t="shared" si="6"/>
        <v>6.548876109753996</v>
      </c>
      <c r="K19" s="131">
        <f t="shared" si="6"/>
        <v>1.3052371595466958</v>
      </c>
      <c r="L19" s="131">
        <f t="shared" si="6"/>
        <v>8.5200595200411264</v>
      </c>
      <c r="M19" s="131">
        <f t="shared" si="6"/>
        <v>6.971839069516979</v>
      </c>
      <c r="N19" s="131">
        <f t="shared" si="6"/>
        <v>4.1030069812012373</v>
      </c>
      <c r="O19" s="131">
        <f t="shared" si="6"/>
        <v>3.3143192664249184</v>
      </c>
      <c r="P19" s="131">
        <f t="shared" si="6"/>
        <v>3.5857281342048664</v>
      </c>
      <c r="Q19" s="131">
        <f t="shared" si="6"/>
        <v>2.3545129818352919</v>
      </c>
      <c r="R19" s="131">
        <f t="shared" ref="R19:W19" si="7">SUM(R20:R27)</f>
        <v>4.2298278444722204</v>
      </c>
      <c r="S19" s="131">
        <f t="shared" si="7"/>
        <v>3.9256181811148627</v>
      </c>
      <c r="T19" s="131">
        <f t="shared" si="7"/>
        <v>4.41834305980605</v>
      </c>
      <c r="U19" s="131">
        <f t="shared" si="7"/>
        <v>4.2826946145235354</v>
      </c>
      <c r="V19" s="131">
        <f t="shared" si="7"/>
        <v>3.9617825277517138</v>
      </c>
      <c r="W19" s="131">
        <f t="shared" si="7"/>
        <v>4.0993147288041358</v>
      </c>
      <c r="DA19" s="156" t="s">
        <v>615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616</v>
      </c>
    </row>
    <row r="21" spans="1:105" s="2" customFormat="1" ht="12" customHeight="1" x14ac:dyDescent="0.25">
      <c r="A21" s="132" t="s">
        <v>52</v>
      </c>
      <c r="B21" s="133"/>
      <c r="C21" s="133">
        <v>0.16995043792580497</v>
      </c>
      <c r="D21" s="133">
        <v>0.33122514506345213</v>
      </c>
      <c r="E21" s="133">
        <v>2.8121906377082048E-2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5.5990513713803885E-4</v>
      </c>
      <c r="M21" s="133">
        <v>9.7553892227032382E-2</v>
      </c>
      <c r="N21" s="133">
        <v>0.12863333747450828</v>
      </c>
      <c r="O21" s="133">
        <v>9.5259132273241523E-2</v>
      </c>
      <c r="P21" s="133">
        <v>3.8936491935029606E-2</v>
      </c>
      <c r="Q21" s="133">
        <v>3.0730875763276985E-2</v>
      </c>
      <c r="R21" s="133">
        <v>5.5687636643727098E-2</v>
      </c>
      <c r="S21" s="133">
        <v>6.7163011349535173E-2</v>
      </c>
      <c r="T21" s="133">
        <v>4.9472441557636457E-2</v>
      </c>
      <c r="U21" s="133">
        <v>2.4039742696314769E-2</v>
      </c>
      <c r="V21" s="133">
        <v>2.2343638207909244E-3</v>
      </c>
      <c r="W21" s="133">
        <v>1.9978364307629465E-2</v>
      </c>
      <c r="DA21" s="157" t="s">
        <v>617</v>
      </c>
    </row>
    <row r="22" spans="1:105" ht="12" customHeight="1" x14ac:dyDescent="0.25">
      <c r="A22" s="132" t="s">
        <v>168</v>
      </c>
      <c r="B22" s="133"/>
      <c r="C22" s="133">
        <v>1.299782349942167</v>
      </c>
      <c r="D22" s="133">
        <v>2.9659830934610052</v>
      </c>
      <c r="E22" s="133">
        <v>1.2964390561128312</v>
      </c>
      <c r="F22" s="133">
        <v>2.1650140772872444</v>
      </c>
      <c r="G22" s="133">
        <v>1.6740685109380795</v>
      </c>
      <c r="H22" s="133">
        <v>1.8275256926185162</v>
      </c>
      <c r="I22" s="133">
        <v>1.8112146444718615</v>
      </c>
      <c r="J22" s="133">
        <v>1.1996035144241532</v>
      </c>
      <c r="K22" s="133">
        <v>0.30482765997040234</v>
      </c>
      <c r="L22" s="133">
        <v>1.8144913089657073</v>
      </c>
      <c r="M22" s="133">
        <v>1.6802887936982898</v>
      </c>
      <c r="N22" s="133">
        <v>1.0187243406037469</v>
      </c>
      <c r="O22" s="133">
        <v>0.80518532370855889</v>
      </c>
      <c r="P22" s="133">
        <v>0.57308151207760161</v>
      </c>
      <c r="Q22" s="133">
        <v>0.42749581137969611</v>
      </c>
      <c r="R22" s="133">
        <v>0.64705822507409139</v>
      </c>
      <c r="S22" s="133">
        <v>0.59464720349148448</v>
      </c>
      <c r="T22" s="133">
        <v>0.53418394664608326</v>
      </c>
      <c r="U22" s="133">
        <v>0.54571311162596492</v>
      </c>
      <c r="V22" s="133">
        <v>0.42207398789667766</v>
      </c>
      <c r="W22" s="133">
        <v>0.75057947014709103</v>
      </c>
      <c r="DA22" s="157" t="s">
        <v>618</v>
      </c>
    </row>
    <row r="23" spans="1:105" ht="12" customHeight="1" x14ac:dyDescent="0.25">
      <c r="A23" s="132" t="s">
        <v>153</v>
      </c>
      <c r="B23" s="133"/>
      <c r="C23" s="133">
        <v>2.71569329317389</v>
      </c>
      <c r="D23" s="133">
        <v>8.0673127200919215</v>
      </c>
      <c r="E23" s="133">
        <v>2.7019206701861047</v>
      </c>
      <c r="F23" s="133">
        <v>5.3605696183841838</v>
      </c>
      <c r="G23" s="133">
        <v>3.949110586668521</v>
      </c>
      <c r="H23" s="133">
        <v>4.8087060894027189</v>
      </c>
      <c r="I23" s="133">
        <v>5.5938171781091546</v>
      </c>
      <c r="J23" s="133">
        <v>3.7263526566735607</v>
      </c>
      <c r="K23" s="133">
        <v>0.58555605086496831</v>
      </c>
      <c r="L23" s="133">
        <v>4.6267145125530247</v>
      </c>
      <c r="M23" s="133">
        <v>3.9863785921823056</v>
      </c>
      <c r="N23" s="133">
        <v>2.1877458294931325</v>
      </c>
      <c r="O23" s="133">
        <v>1.7155581789946996</v>
      </c>
      <c r="P23" s="133">
        <v>1.9914534436899627</v>
      </c>
      <c r="Q23" s="133">
        <v>1.2057034038513978</v>
      </c>
      <c r="R23" s="133">
        <v>2.3111830539179294</v>
      </c>
      <c r="S23" s="133">
        <v>2.1121596876298305</v>
      </c>
      <c r="T23" s="133">
        <v>2.4950599023525539</v>
      </c>
      <c r="U23" s="133">
        <v>2.5412318216642635</v>
      </c>
      <c r="V23" s="133">
        <v>2.4740998978355853</v>
      </c>
      <c r="W23" s="133">
        <v>2.4711072847193067</v>
      </c>
      <c r="DA23" s="157" t="s">
        <v>619</v>
      </c>
    </row>
    <row r="24" spans="1:105" ht="12" customHeight="1" x14ac:dyDescent="0.25">
      <c r="A24" s="132" t="s">
        <v>128</v>
      </c>
      <c r="B24" s="133"/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620</v>
      </c>
    </row>
    <row r="25" spans="1:105" ht="12" customHeight="1" x14ac:dyDescent="0.25">
      <c r="A25" s="132" t="s">
        <v>169</v>
      </c>
      <c r="B25" s="133"/>
      <c r="C25" s="133">
        <v>7.1872130946715851E-2</v>
      </c>
      <c r="D25" s="133">
        <v>0.17669401676671553</v>
      </c>
      <c r="E25" s="133">
        <v>7.7737039174599357E-2</v>
      </c>
      <c r="F25" s="133">
        <v>0.14087753288720498</v>
      </c>
      <c r="G25" s="133">
        <v>0.11102898801461492</v>
      </c>
      <c r="H25" s="133">
        <v>0.12128402859835746</v>
      </c>
      <c r="I25" s="133">
        <v>0.11796503118825361</v>
      </c>
      <c r="J25" s="133">
        <v>8.9739555069763388E-2</v>
      </c>
      <c r="K25" s="133">
        <v>2.0053602459457569E-2</v>
      </c>
      <c r="L25" s="133">
        <v>0.11129136456556396</v>
      </c>
      <c r="M25" s="133">
        <v>9.6184809715670602E-2</v>
      </c>
      <c r="N25" s="133">
        <v>6.7235415548726085E-2</v>
      </c>
      <c r="O25" s="133">
        <v>6.4068583282877622E-2</v>
      </c>
      <c r="P25" s="133">
        <v>9.5679556845923733E-2</v>
      </c>
      <c r="Q25" s="133">
        <v>6.7969022165047799E-2</v>
      </c>
      <c r="R25" s="133">
        <v>9.5584144899959658E-2</v>
      </c>
      <c r="S25" s="133">
        <v>7.1479910909167291E-2</v>
      </c>
      <c r="T25" s="133">
        <v>7.2397308811916583E-2</v>
      </c>
      <c r="U25" s="133">
        <v>6.9795352843398564E-2</v>
      </c>
      <c r="V25" s="133">
        <v>6.5856264335403605E-2</v>
      </c>
      <c r="W25" s="133">
        <v>5.7523447051232482E-2</v>
      </c>
      <c r="DA25" s="157" t="s">
        <v>621</v>
      </c>
    </row>
    <row r="26" spans="1:105" ht="12" customHeight="1" x14ac:dyDescent="0.25">
      <c r="A26" s="132" t="s">
        <v>24</v>
      </c>
      <c r="B26" s="65"/>
      <c r="C26" s="65">
        <v>0.96184617255364158</v>
      </c>
      <c r="D26" s="65">
        <v>5.1314360686211611</v>
      </c>
      <c r="E26" s="65">
        <v>0.99038242419283717</v>
      </c>
      <c r="F26" s="65">
        <v>2.0121108964601722</v>
      </c>
      <c r="G26" s="65">
        <v>1.61944267803046</v>
      </c>
      <c r="H26" s="65">
        <v>1.9511411019529996</v>
      </c>
      <c r="I26" s="65">
        <v>1.8397563292243555</v>
      </c>
      <c r="J26" s="65">
        <v>1.3985449092581936</v>
      </c>
      <c r="K26" s="65">
        <v>0.11351104763167423</v>
      </c>
      <c r="L26" s="65">
        <v>1.9670024288196926</v>
      </c>
      <c r="M26" s="65">
        <v>1.0789392610738402</v>
      </c>
      <c r="N26" s="65">
        <v>0.67790870545771775</v>
      </c>
      <c r="O26" s="65">
        <v>0.63424804816553992</v>
      </c>
      <c r="P26" s="65">
        <v>0.81619098346908736</v>
      </c>
      <c r="Q26" s="65">
        <v>0.5229913376659181</v>
      </c>
      <c r="R26" s="65">
        <v>0.77570083049524285</v>
      </c>
      <c r="S26" s="65">
        <v>0.99548045573976918</v>
      </c>
      <c r="T26" s="65">
        <v>1.1605582836696788</v>
      </c>
      <c r="U26" s="65">
        <v>1.0953475359688309</v>
      </c>
      <c r="V26" s="65">
        <v>0.9473129614177308</v>
      </c>
      <c r="W26" s="65">
        <v>0.80012616257887514</v>
      </c>
      <c r="DA26" s="109" t="s">
        <v>622</v>
      </c>
    </row>
    <row r="27" spans="1:105" ht="12" customHeight="1" x14ac:dyDescent="0.25">
      <c r="A27" s="145" t="s">
        <v>26</v>
      </c>
      <c r="B27" s="148"/>
      <c r="C27" s="148">
        <v>0</v>
      </c>
      <c r="D27" s="148">
        <v>2.5852545156792486E-2</v>
      </c>
      <c r="E27" s="148">
        <v>8.8513369368585199E-2</v>
      </c>
      <c r="F27" s="148">
        <v>1.377945300931273E-2</v>
      </c>
      <c r="G27" s="148">
        <v>8.0420741968592925E-3</v>
      </c>
      <c r="H27" s="148">
        <v>7.0873202527391516E-2</v>
      </c>
      <c r="I27" s="148">
        <v>0.17636524440907764</v>
      </c>
      <c r="J27" s="148">
        <v>0.13463547432832534</v>
      </c>
      <c r="K27" s="148">
        <v>0.28128879862019329</v>
      </c>
      <c r="L27" s="148">
        <v>0</v>
      </c>
      <c r="M27" s="148">
        <v>3.2493720619840641E-2</v>
      </c>
      <c r="N27" s="148">
        <v>2.2759352623405525E-2</v>
      </c>
      <c r="O27" s="148">
        <v>2.7260587701143661E-16</v>
      </c>
      <c r="P27" s="148">
        <v>7.0386146187261314E-2</v>
      </c>
      <c r="Q27" s="148">
        <v>9.9622531009955204E-2</v>
      </c>
      <c r="R27" s="148">
        <v>0.34461395344126966</v>
      </c>
      <c r="S27" s="148">
        <v>8.4687911995076304E-2</v>
      </c>
      <c r="T27" s="148">
        <v>0.10667117676818054</v>
      </c>
      <c r="U27" s="148">
        <v>6.5670497247625357E-3</v>
      </c>
      <c r="V27" s="148">
        <v>5.0205052445525755E-2</v>
      </c>
      <c r="W27" s="148">
        <v>1.0138504889851024E-15</v>
      </c>
      <c r="DA27" s="161" t="s">
        <v>623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3.8033032387577439</v>
      </c>
      <c r="D29" s="131">
        <f t="shared" si="8"/>
        <v>11.901856744112035</v>
      </c>
      <c r="E29" s="131">
        <f t="shared" si="8"/>
        <v>3.6334473502969544</v>
      </c>
      <c r="F29" s="131">
        <f t="shared" si="8"/>
        <v>6.8331313937493681</v>
      </c>
      <c r="G29" s="131">
        <f t="shared" si="8"/>
        <v>5.6042705321820776</v>
      </c>
      <c r="H29" s="131">
        <f t="shared" si="8"/>
        <v>6.7870834194684555</v>
      </c>
      <c r="I29" s="131">
        <f t="shared" si="8"/>
        <v>7.6483285763839453</v>
      </c>
      <c r="J29" s="131">
        <f t="shared" si="8"/>
        <v>5.5847468656701542</v>
      </c>
      <c r="K29" s="131">
        <f t="shared" si="8"/>
        <v>1.2327858327496442</v>
      </c>
      <c r="L29" s="131">
        <f t="shared" si="8"/>
        <v>7.4597916971292637</v>
      </c>
      <c r="M29" s="131">
        <f t="shared" si="8"/>
        <v>5.7176818771585323</v>
      </c>
      <c r="N29" s="131">
        <f t="shared" si="8"/>
        <v>3.4986159860062958</v>
      </c>
      <c r="O29" s="131">
        <f t="shared" si="8"/>
        <v>2.9148892942887303</v>
      </c>
      <c r="P29" s="131">
        <f t="shared" si="8"/>
        <v>3.3020659198584088</v>
      </c>
      <c r="Q29" s="131">
        <f t="shared" si="8"/>
        <v>2.3195665277091715</v>
      </c>
      <c r="R29" s="131">
        <f t="shared" ref="R29:W29" si="9">SUM(R30:R33)</f>
        <v>4.1944938830673344</v>
      </c>
      <c r="S29" s="131">
        <f t="shared" si="9"/>
        <v>3.9525684298086814</v>
      </c>
      <c r="T29" s="131">
        <f t="shared" si="9"/>
        <v>4.5644779246784948</v>
      </c>
      <c r="U29" s="131">
        <f t="shared" si="9"/>
        <v>4.524288372003137</v>
      </c>
      <c r="V29" s="131">
        <f t="shared" si="9"/>
        <v>4.3277027754080173</v>
      </c>
      <c r="W29" s="131">
        <f t="shared" si="9"/>
        <v>4.4071651232774816</v>
      </c>
      <c r="DA29" s="156" t="s">
        <v>624</v>
      </c>
    </row>
    <row r="30" spans="1:105" s="2" customFormat="1" ht="12" customHeight="1" x14ac:dyDescent="0.25">
      <c r="A30" s="132" t="s">
        <v>52</v>
      </c>
      <c r="B30" s="133"/>
      <c r="C30" s="133">
        <v>0.24921870075663349</v>
      </c>
      <c r="D30" s="133">
        <v>0</v>
      </c>
      <c r="E30" s="133">
        <v>0</v>
      </c>
      <c r="F30" s="133">
        <v>0</v>
      </c>
      <c r="G30" s="133">
        <v>0</v>
      </c>
      <c r="H30" s="133">
        <v>0</v>
      </c>
      <c r="I30" s="133">
        <v>0</v>
      </c>
      <c r="J30" s="133">
        <v>0.17966834665373702</v>
      </c>
      <c r="K30" s="133">
        <v>0.14939384100799077</v>
      </c>
      <c r="L30" s="133">
        <v>1.1561863818165126</v>
      </c>
      <c r="M30" s="133">
        <v>0</v>
      </c>
      <c r="N30" s="133">
        <v>0</v>
      </c>
      <c r="O30" s="133">
        <v>4.1705880635133412E-2</v>
      </c>
      <c r="P30" s="133">
        <v>1.4788558119516864E-2</v>
      </c>
      <c r="Q30" s="133">
        <v>0.14211455814259907</v>
      </c>
      <c r="R30" s="133">
        <v>6.3526476204644813E-2</v>
      </c>
      <c r="S30" s="133">
        <v>0.19378693053063742</v>
      </c>
      <c r="T30" s="133">
        <v>0.21715592014279619</v>
      </c>
      <c r="U30" s="133">
        <v>0.35229632081837653</v>
      </c>
      <c r="V30" s="133">
        <v>0.50301010812554925</v>
      </c>
      <c r="W30" s="133">
        <v>0.40805974560818253</v>
      </c>
      <c r="DA30" s="157" t="s">
        <v>625</v>
      </c>
    </row>
    <row r="31" spans="1:105" ht="12" customHeight="1" x14ac:dyDescent="0.25">
      <c r="A31" s="132" t="s">
        <v>153</v>
      </c>
      <c r="B31" s="133"/>
      <c r="C31" s="133">
        <v>2.3876831080400431</v>
      </c>
      <c r="D31" s="133">
        <v>4.9024777032232247</v>
      </c>
      <c r="E31" s="133">
        <v>1.8122238073046921</v>
      </c>
      <c r="F31" s="133">
        <v>3.5333048783656569</v>
      </c>
      <c r="G31" s="133">
        <v>2.4085028361582288</v>
      </c>
      <c r="H31" s="133">
        <v>3.6154836239158028</v>
      </c>
      <c r="I31" s="133">
        <v>4.1634327127546031</v>
      </c>
      <c r="J31" s="133">
        <v>3.4530519880324468</v>
      </c>
      <c r="K31" s="133">
        <v>0.79391562746183064</v>
      </c>
      <c r="L31" s="133">
        <v>3.6013002651039918</v>
      </c>
      <c r="M31" s="133">
        <v>2.7858406633004691</v>
      </c>
      <c r="N31" s="133">
        <v>1.8700917775575787</v>
      </c>
      <c r="O31" s="133">
        <v>1.5295218531317303</v>
      </c>
      <c r="P31" s="133">
        <v>1.635738439020336</v>
      </c>
      <c r="Q31" s="133">
        <v>1.1691492331724507</v>
      </c>
      <c r="R31" s="133">
        <v>2.1868726528590328</v>
      </c>
      <c r="S31" s="133">
        <v>2.0755470320477842</v>
      </c>
      <c r="T31" s="133">
        <v>2.5204684968844226</v>
      </c>
      <c r="U31" s="133">
        <v>2.5191008053276591</v>
      </c>
      <c r="V31" s="133">
        <v>2.3390980470550731</v>
      </c>
      <c r="W31" s="133">
        <v>2.3829112853090439</v>
      </c>
      <c r="DA31" s="157" t="s">
        <v>626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9.5871847053448672E-2</v>
      </c>
      <c r="K32" s="133">
        <v>5.9599218528344133E-3</v>
      </c>
      <c r="L32" s="133">
        <v>6.5819366528803908E-2</v>
      </c>
      <c r="M32" s="133">
        <v>2.8884791265395792E-2</v>
      </c>
      <c r="N32" s="133">
        <v>1.7477295659302067E-3</v>
      </c>
      <c r="O32" s="133">
        <v>2.1186405556741724E-2</v>
      </c>
      <c r="P32" s="133">
        <v>2.672551334046501E-2</v>
      </c>
      <c r="Q32" s="133">
        <v>2.1489934311324569E-2</v>
      </c>
      <c r="R32" s="133">
        <v>2.211337804189591E-2</v>
      </c>
      <c r="S32" s="133">
        <v>1.8564255488861831E-2</v>
      </c>
      <c r="T32" s="133">
        <v>4.1855110251399512E-3</v>
      </c>
      <c r="U32" s="133">
        <v>0</v>
      </c>
      <c r="V32" s="133">
        <v>0</v>
      </c>
      <c r="W32" s="133">
        <v>0</v>
      </c>
      <c r="DA32" s="157" t="s">
        <v>627</v>
      </c>
    </row>
    <row r="33" spans="1:105" ht="12" customHeight="1" x14ac:dyDescent="0.25">
      <c r="A33" s="62" t="s">
        <v>24</v>
      </c>
      <c r="B33" s="68"/>
      <c r="C33" s="68">
        <v>1.1664014299610672</v>
      </c>
      <c r="D33" s="68">
        <v>6.9993790408888108</v>
      </c>
      <c r="E33" s="68">
        <v>1.8212235429922623</v>
      </c>
      <c r="F33" s="68">
        <v>3.2998265153837112</v>
      </c>
      <c r="G33" s="68">
        <v>3.1957676960238492</v>
      </c>
      <c r="H33" s="68">
        <v>3.1715997955526523</v>
      </c>
      <c r="I33" s="68">
        <v>3.4848958636293421</v>
      </c>
      <c r="J33" s="68">
        <v>1.8561546839305219</v>
      </c>
      <c r="K33" s="68">
        <v>0.28351644242698815</v>
      </c>
      <c r="L33" s="68">
        <v>2.6364856836799548</v>
      </c>
      <c r="M33" s="68">
        <v>2.9029564225926672</v>
      </c>
      <c r="N33" s="68">
        <v>1.6267764788827868</v>
      </c>
      <c r="O33" s="68">
        <v>1.322475154965125</v>
      </c>
      <c r="P33" s="68">
        <v>1.624813409378091</v>
      </c>
      <c r="Q33" s="68">
        <v>0.9868128020827972</v>
      </c>
      <c r="R33" s="68">
        <v>1.921981375961761</v>
      </c>
      <c r="S33" s="68">
        <v>1.6646702117413985</v>
      </c>
      <c r="T33" s="68">
        <v>1.8226679966261359</v>
      </c>
      <c r="U33" s="68">
        <v>1.652891245857101</v>
      </c>
      <c r="V33" s="68">
        <v>1.4855946202273953</v>
      </c>
      <c r="W33" s="68">
        <v>1.6161940923602551</v>
      </c>
      <c r="DA33" s="111" t="s">
        <v>628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629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82</v>
      </c>
      <c r="B3" s="126"/>
      <c r="C3" s="126">
        <f t="shared" ref="C3:Q3" si="0">SUM(C4,C16,C19,C29)</f>
        <v>32.899178160804944</v>
      </c>
      <c r="D3" s="126">
        <f t="shared" si="0"/>
        <v>104.83696705959923</v>
      </c>
      <c r="E3" s="126">
        <f t="shared" si="0"/>
        <v>34.516652050727522</v>
      </c>
      <c r="F3" s="126">
        <f t="shared" si="0"/>
        <v>90.831388958465297</v>
      </c>
      <c r="G3" s="126">
        <f t="shared" si="0"/>
        <v>61.324136403115624</v>
      </c>
      <c r="H3" s="126">
        <f t="shared" si="0"/>
        <v>69.182045102262364</v>
      </c>
      <c r="I3" s="126">
        <f t="shared" si="0"/>
        <v>67.666058517620371</v>
      </c>
      <c r="J3" s="126">
        <f t="shared" si="0"/>
        <v>50.556434772273732</v>
      </c>
      <c r="K3" s="126">
        <f t="shared" si="0"/>
        <v>10.622185356527972</v>
      </c>
      <c r="L3" s="126">
        <f t="shared" si="0"/>
        <v>67.943694814771717</v>
      </c>
      <c r="M3" s="126">
        <f t="shared" si="0"/>
        <v>46.569932627374449</v>
      </c>
      <c r="N3" s="126">
        <f t="shared" si="0"/>
        <v>28.813098004721816</v>
      </c>
      <c r="O3" s="126">
        <f t="shared" si="0"/>
        <v>24.808725232980219</v>
      </c>
      <c r="P3" s="126">
        <f t="shared" si="0"/>
        <v>23.855548275447646</v>
      </c>
      <c r="Q3" s="126">
        <f t="shared" si="0"/>
        <v>17.503560737344191</v>
      </c>
      <c r="R3" s="126">
        <f t="shared" ref="R3:W3" si="1">SUM(R4,R16,R19,R29)</f>
        <v>31.307372013582402</v>
      </c>
      <c r="S3" s="126">
        <f t="shared" si="1"/>
        <v>27.833601385754822</v>
      </c>
      <c r="T3" s="126">
        <f t="shared" si="1"/>
        <v>32.23412225807111</v>
      </c>
      <c r="U3" s="126">
        <f t="shared" si="1"/>
        <v>30.665325042914496</v>
      </c>
      <c r="V3" s="126">
        <f t="shared" si="1"/>
        <v>28.810396253877251</v>
      </c>
      <c r="W3" s="126">
        <f t="shared" si="1"/>
        <v>25.989694621121068</v>
      </c>
      <c r="DA3" s="155" t="s">
        <v>630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19.356876653846584</v>
      </c>
      <c r="D4" s="131">
        <f t="shared" si="2"/>
        <v>67.480197315060281</v>
      </c>
      <c r="E4" s="131">
        <f t="shared" si="2"/>
        <v>18.789372303873972</v>
      </c>
      <c r="F4" s="131">
        <f t="shared" si="2"/>
        <v>65.180393599017066</v>
      </c>
      <c r="G4" s="131">
        <f t="shared" si="2"/>
        <v>41.129862563155619</v>
      </c>
      <c r="H4" s="131">
        <f t="shared" si="2"/>
        <v>41.595901686702732</v>
      </c>
      <c r="I4" s="131">
        <f t="shared" si="2"/>
        <v>41.168800558642971</v>
      </c>
      <c r="J4" s="131">
        <f t="shared" si="2"/>
        <v>32.077811143883849</v>
      </c>
      <c r="K4" s="131">
        <f t="shared" si="2"/>
        <v>6.6909855754691971</v>
      </c>
      <c r="L4" s="131">
        <f t="shared" si="2"/>
        <v>43.040885938472918</v>
      </c>
      <c r="M4" s="131">
        <f t="shared" si="2"/>
        <v>26.993544682669526</v>
      </c>
      <c r="N4" s="131">
        <f t="shared" si="2"/>
        <v>17.110842949014408</v>
      </c>
      <c r="O4" s="131">
        <f t="shared" si="2"/>
        <v>15.130972866440885</v>
      </c>
      <c r="P4" s="131">
        <f t="shared" si="2"/>
        <v>13.081326738060444</v>
      </c>
      <c r="Q4" s="131">
        <f t="shared" si="2"/>
        <v>9.7813408038557981</v>
      </c>
      <c r="R4" s="131">
        <f t="shared" ref="R4:W4" si="3">SUM(R5:R15)</f>
        <v>17.437643787661528</v>
      </c>
      <c r="S4" s="131">
        <f t="shared" si="3"/>
        <v>15.341929317291843</v>
      </c>
      <c r="T4" s="131">
        <f t="shared" si="3"/>
        <v>17.037124427246589</v>
      </c>
      <c r="U4" s="131">
        <f t="shared" si="3"/>
        <v>16.226728834525815</v>
      </c>
      <c r="V4" s="131">
        <f t="shared" si="3"/>
        <v>14.130307610261706</v>
      </c>
      <c r="W4" s="131">
        <f t="shared" si="3"/>
        <v>13.491769177199595</v>
      </c>
      <c r="DA4" s="156" t="s">
        <v>631</v>
      </c>
    </row>
    <row r="5" spans="1:105" ht="12" customHeight="1" x14ac:dyDescent="0.25">
      <c r="A5" s="132" t="s">
        <v>29</v>
      </c>
      <c r="B5" s="133"/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632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633</v>
      </c>
    </row>
    <row r="7" spans="1:105" ht="12" customHeight="1" x14ac:dyDescent="0.25">
      <c r="A7" s="132" t="s">
        <v>168</v>
      </c>
      <c r="B7" s="133"/>
      <c r="C7" s="133">
        <v>10.89981163674887</v>
      </c>
      <c r="D7" s="133">
        <v>29.713514574382536</v>
      </c>
      <c r="E7" s="133">
        <v>9.6102154134683939</v>
      </c>
      <c r="F7" s="133">
        <v>10.940878330992225</v>
      </c>
      <c r="G7" s="133">
        <v>7.5865195438751769</v>
      </c>
      <c r="H7" s="133">
        <v>4.7753430347857986</v>
      </c>
      <c r="I7" s="133">
        <v>3.2615498519597876</v>
      </c>
      <c r="J7" s="133">
        <v>6.5499382730316578</v>
      </c>
      <c r="K7" s="133">
        <v>0.79148973772720621</v>
      </c>
      <c r="L7" s="133">
        <v>9.4743163617952106</v>
      </c>
      <c r="M7" s="133">
        <v>7.4582682347680418</v>
      </c>
      <c r="N7" s="133">
        <v>4.3638316651354536</v>
      </c>
      <c r="O7" s="133">
        <v>4.7365087337849028</v>
      </c>
      <c r="P7" s="133">
        <v>3.7457107402752272</v>
      </c>
      <c r="Q7" s="133">
        <v>3.7609683856253873</v>
      </c>
      <c r="R7" s="133">
        <v>3.9050173021797581</v>
      </c>
      <c r="S7" s="133">
        <v>3.9432605060455139</v>
      </c>
      <c r="T7" s="133">
        <v>3.2368776920806712</v>
      </c>
      <c r="U7" s="133">
        <v>1.6970350426846386</v>
      </c>
      <c r="V7" s="133">
        <v>1.9034327346172442</v>
      </c>
      <c r="W7" s="133">
        <v>0.63339329268678557</v>
      </c>
      <c r="DA7" s="157" t="s">
        <v>634</v>
      </c>
    </row>
    <row r="8" spans="1:105" ht="12" customHeight="1" x14ac:dyDescent="0.25">
      <c r="A8" s="132" t="s">
        <v>73</v>
      </c>
      <c r="B8" s="133"/>
      <c r="C8" s="133">
        <v>5.9196456804370837E-4</v>
      </c>
      <c r="D8" s="133">
        <v>1.5162954522837083E-3</v>
      </c>
      <c r="E8" s="133">
        <v>5.0297274835136609E-4</v>
      </c>
      <c r="F8" s="133">
        <v>7.9630932210998184E-4</v>
      </c>
      <c r="G8" s="133">
        <v>1.2264716283641201E-3</v>
      </c>
      <c r="H8" s="133">
        <v>1.7754594262583431E-3</v>
      </c>
      <c r="I8" s="133">
        <v>1.7004615926291854E-3</v>
      </c>
      <c r="J8" s="133">
        <v>1.3083937034250486E-3</v>
      </c>
      <c r="K8" s="133">
        <v>4.7220536341352346E-4</v>
      </c>
      <c r="L8" s="133">
        <v>2.1522850051283269E-3</v>
      </c>
      <c r="M8" s="133">
        <v>2.0685317583386902E-3</v>
      </c>
      <c r="N8" s="133">
        <v>1.5157357213633792E-3</v>
      </c>
      <c r="O8" s="133">
        <v>1.5104813485586743E-3</v>
      </c>
      <c r="P8" s="133">
        <v>1.9239238943265012E-3</v>
      </c>
      <c r="Q8" s="133">
        <v>1.1286423593994774E-3</v>
      </c>
      <c r="R8" s="133">
        <v>1.6620852642163294E-3</v>
      </c>
      <c r="S8" s="133">
        <v>1.019105676841179E-3</v>
      </c>
      <c r="T8" s="133">
        <v>1.2657922807704971E-3</v>
      </c>
      <c r="U8" s="133">
        <v>1.5317642252702167E-3</v>
      </c>
      <c r="V8" s="133">
        <v>1.650732388854417E-3</v>
      </c>
      <c r="W8" s="133">
        <v>1.479780869344132E-3</v>
      </c>
      <c r="DA8" s="157" t="s">
        <v>635</v>
      </c>
    </row>
    <row r="9" spans="1:105" ht="12" customHeight="1" x14ac:dyDescent="0.25">
      <c r="A9" s="132" t="s">
        <v>78</v>
      </c>
      <c r="B9" s="133"/>
      <c r="C9" s="133">
        <v>6.9051702502510999</v>
      </c>
      <c r="D9" s="133">
        <v>34.971116996150762</v>
      </c>
      <c r="E9" s="133">
        <v>8.4558233114780226</v>
      </c>
      <c r="F9" s="133">
        <v>0</v>
      </c>
      <c r="G9" s="133">
        <v>0</v>
      </c>
      <c r="H9" s="133">
        <v>20.065583534904707</v>
      </c>
      <c r="I9" s="133">
        <v>33.059294298405618</v>
      </c>
      <c r="J9" s="133">
        <v>24.854341506669808</v>
      </c>
      <c r="K9" s="133">
        <v>5.7514454822745043</v>
      </c>
      <c r="L9" s="133">
        <v>32.120261935655371</v>
      </c>
      <c r="M9" s="133">
        <v>17.926074039550414</v>
      </c>
      <c r="N9" s="133">
        <v>11.534232453612141</v>
      </c>
      <c r="O9" s="133">
        <v>9.1134037663481706</v>
      </c>
      <c r="P9" s="133">
        <v>6.7825680929559304</v>
      </c>
      <c r="Q9" s="133">
        <v>5.1814977594030189</v>
      </c>
      <c r="R9" s="133">
        <v>12.369224270851847</v>
      </c>
      <c r="S9" s="133">
        <v>8.0879292141078505</v>
      </c>
      <c r="T9" s="133">
        <v>8.1813923687515473</v>
      </c>
      <c r="U9" s="133">
        <v>7.1220548506334085</v>
      </c>
      <c r="V9" s="133">
        <v>5.8868108447280099</v>
      </c>
      <c r="W9" s="133">
        <v>9.0931602838922299</v>
      </c>
      <c r="DA9" s="157" t="s">
        <v>636</v>
      </c>
    </row>
    <row r="10" spans="1:105" ht="12" customHeight="1" x14ac:dyDescent="0.25">
      <c r="A10" s="132" t="s">
        <v>128</v>
      </c>
      <c r="B10" s="133"/>
      <c r="C10" s="133">
        <v>1.8716979031603047E-4</v>
      </c>
      <c r="D10" s="133">
        <v>4.0292510518494858E-3</v>
      </c>
      <c r="E10" s="133">
        <v>1.2742127125768873E-3</v>
      </c>
      <c r="F10" s="133">
        <v>0.25673047380264435</v>
      </c>
      <c r="G10" s="133">
        <v>0.19172727951932445</v>
      </c>
      <c r="H10" s="133">
        <v>6.0161182568412609E-2</v>
      </c>
      <c r="I10" s="133">
        <v>0</v>
      </c>
      <c r="J10" s="133">
        <v>0</v>
      </c>
      <c r="K10" s="133">
        <v>1.3915678058884259E-3</v>
      </c>
      <c r="L10" s="133">
        <v>0.27550955604610633</v>
      </c>
      <c r="M10" s="133">
        <v>0.29731009424173754</v>
      </c>
      <c r="N10" s="133">
        <v>0.39223250783588376</v>
      </c>
      <c r="O10" s="133">
        <v>0.55047154890118488</v>
      </c>
      <c r="P10" s="133">
        <v>0.80230480706514684</v>
      </c>
      <c r="Q10" s="133">
        <v>0.25036895387492564</v>
      </c>
      <c r="R10" s="133">
        <v>0.15507659538909388</v>
      </c>
      <c r="S10" s="133">
        <v>5.4479320712672502E-2</v>
      </c>
      <c r="T10" s="133">
        <v>0.10184407986213413</v>
      </c>
      <c r="U10" s="133">
        <v>0.13587381580819519</v>
      </c>
      <c r="V10" s="133">
        <v>9.3271140990065601E-2</v>
      </c>
      <c r="W10" s="133">
        <v>0.10456626801158947</v>
      </c>
      <c r="DA10" s="157" t="s">
        <v>637</v>
      </c>
    </row>
    <row r="11" spans="1:105" ht="12" customHeight="1" x14ac:dyDescent="0.25">
      <c r="A11" s="132" t="s">
        <v>25</v>
      </c>
      <c r="B11" s="133"/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638</v>
      </c>
    </row>
    <row r="12" spans="1:105" ht="12" customHeight="1" x14ac:dyDescent="0.25">
      <c r="A12" s="132" t="s">
        <v>169</v>
      </c>
      <c r="B12" s="133"/>
      <c r="C12" s="133">
        <v>0.37588662741972018</v>
      </c>
      <c r="D12" s="133">
        <v>0.72346548756629458</v>
      </c>
      <c r="E12" s="133">
        <v>0.19606588917041845</v>
      </c>
      <c r="F12" s="133">
        <v>0.59544581730130597</v>
      </c>
      <c r="G12" s="133">
        <v>1.298930983729274</v>
      </c>
      <c r="H12" s="133">
        <v>1.7492281630402398</v>
      </c>
      <c r="I12" s="133">
        <v>1.0224271223156716</v>
      </c>
      <c r="J12" s="133">
        <v>0</v>
      </c>
      <c r="K12" s="133">
        <v>0</v>
      </c>
      <c r="L12" s="133">
        <v>0.35715476956403641</v>
      </c>
      <c r="M12" s="133">
        <v>0.76247592655300434</v>
      </c>
      <c r="N12" s="133">
        <v>0.49775544464380334</v>
      </c>
      <c r="O12" s="133">
        <v>0.45541238720898702</v>
      </c>
      <c r="P12" s="133">
        <v>1.5134779859817287</v>
      </c>
      <c r="Q12" s="133">
        <v>0.43724906774289746</v>
      </c>
      <c r="R12" s="133">
        <v>0.23829494562420084</v>
      </c>
      <c r="S12" s="133">
        <v>2.3752250957859992E-2</v>
      </c>
      <c r="T12" s="133">
        <v>0.3676841435135727</v>
      </c>
      <c r="U12" s="133">
        <v>0.51238317967133684</v>
      </c>
      <c r="V12" s="133">
        <v>0.78474754844262606</v>
      </c>
      <c r="W12" s="133">
        <v>0.56119065025322334</v>
      </c>
      <c r="DA12" s="157" t="s">
        <v>639</v>
      </c>
    </row>
    <row r="13" spans="1:105" ht="12" customHeight="1" x14ac:dyDescent="0.25">
      <c r="A13" s="132" t="s">
        <v>77</v>
      </c>
      <c r="B13" s="133"/>
      <c r="C13" s="133">
        <v>2.538921209190846E-3</v>
      </c>
      <c r="D13" s="133">
        <v>4.7331724776795772E-3</v>
      </c>
      <c r="E13" s="133">
        <v>2.774192840558215E-3</v>
      </c>
      <c r="F13" s="133">
        <v>1.5657964207568511E-2</v>
      </c>
      <c r="G13" s="133">
        <v>3.3123881724079804E-2</v>
      </c>
      <c r="H13" s="133">
        <v>0.23764484261518851</v>
      </c>
      <c r="I13" s="133">
        <v>0.23408099227831825</v>
      </c>
      <c r="J13" s="133">
        <v>0.12577964619674492</v>
      </c>
      <c r="K13" s="133">
        <v>3.3784718638732267E-2</v>
      </c>
      <c r="L13" s="133">
        <v>0.10127858354014489</v>
      </c>
      <c r="M13" s="133">
        <v>0.11535012087796448</v>
      </c>
      <c r="N13" s="133">
        <v>5.1592946599115827E-2</v>
      </c>
      <c r="O13" s="133">
        <v>3.9002170047031465E-2</v>
      </c>
      <c r="P13" s="133">
        <v>5.0358526258653974E-2</v>
      </c>
      <c r="Q13" s="133">
        <v>9.5771705889693959E-4</v>
      </c>
      <c r="R13" s="133">
        <v>0.10786767684277397</v>
      </c>
      <c r="S13" s="133">
        <v>0.13974452139411583</v>
      </c>
      <c r="T13" s="133">
        <v>0.48969444381948291</v>
      </c>
      <c r="U13" s="133">
        <v>0.64012488959191349</v>
      </c>
      <c r="V13" s="133">
        <v>0.59035135447728704</v>
      </c>
      <c r="W13" s="133">
        <v>0.78425891008794535</v>
      </c>
      <c r="DA13" s="157" t="s">
        <v>640</v>
      </c>
    </row>
    <row r="14" spans="1:105" ht="12" customHeight="1" x14ac:dyDescent="0.25">
      <c r="A14" s="60" t="s">
        <v>76</v>
      </c>
      <c r="B14" s="65"/>
      <c r="C14" s="65">
        <v>0.82088524967880638</v>
      </c>
      <c r="D14" s="65">
        <v>0.81118083759368176</v>
      </c>
      <c r="E14" s="65">
        <v>0.18124053261797587</v>
      </c>
      <c r="F14" s="65">
        <v>53.163879424941932</v>
      </c>
      <c r="G14" s="65">
        <v>31.872724704793246</v>
      </c>
      <c r="H14" s="65">
        <v>14.252633672205553</v>
      </c>
      <c r="I14" s="65">
        <v>2.9440938151297629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0.39519638834115173</v>
      </c>
      <c r="S14" s="65">
        <v>2.8975799791995565</v>
      </c>
      <c r="T14" s="65">
        <v>4.4730937604663641</v>
      </c>
      <c r="U14" s="65">
        <v>5.9738914345974896</v>
      </c>
      <c r="V14" s="65">
        <v>4.7422454048521576</v>
      </c>
      <c r="W14" s="65">
        <v>2.1563755079908429</v>
      </c>
      <c r="DA14" s="109" t="s">
        <v>641</v>
      </c>
    </row>
    <row r="15" spans="1:105" ht="12" customHeight="1" x14ac:dyDescent="0.25">
      <c r="A15" s="134" t="s">
        <v>80</v>
      </c>
      <c r="B15" s="135"/>
      <c r="C15" s="135">
        <v>0.35180483418053843</v>
      </c>
      <c r="D15" s="135">
        <v>1.2506407003851747</v>
      </c>
      <c r="E15" s="135">
        <v>0.3414757788376741</v>
      </c>
      <c r="F15" s="135">
        <v>0.20700527844928882</v>
      </c>
      <c r="G15" s="135">
        <v>0.14560969788615008</v>
      </c>
      <c r="H15" s="135">
        <v>0.45353179715657388</v>
      </c>
      <c r="I15" s="135">
        <v>0.64565401696118951</v>
      </c>
      <c r="J15" s="135">
        <v>0.54644332428221265</v>
      </c>
      <c r="K15" s="135">
        <v>0.11240186365945221</v>
      </c>
      <c r="L15" s="135">
        <v>0.71021244686693441</v>
      </c>
      <c r="M15" s="135">
        <v>0.43199773492002463</v>
      </c>
      <c r="N15" s="135">
        <v>0.26968219546664796</v>
      </c>
      <c r="O15" s="135">
        <v>0.23466377880204875</v>
      </c>
      <c r="P15" s="135">
        <v>0.18498266162943205</v>
      </c>
      <c r="Q15" s="135">
        <v>0.14917027779127329</v>
      </c>
      <c r="R15" s="135">
        <v>0.26530452316848802</v>
      </c>
      <c r="S15" s="135">
        <v>0.19416441919743158</v>
      </c>
      <c r="T15" s="135">
        <v>0.18527214647204571</v>
      </c>
      <c r="U15" s="135">
        <v>0.14383385731356149</v>
      </c>
      <c r="V15" s="135">
        <v>0.12779784976546213</v>
      </c>
      <c r="W15" s="135">
        <v>0.15734448340763385</v>
      </c>
      <c r="DA15" s="158" t="s">
        <v>642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7.5202076844496561</v>
      </c>
      <c r="D16" s="131">
        <f t="shared" si="4"/>
        <v>17.224686566981092</v>
      </c>
      <c r="E16" s="131">
        <f t="shared" si="4"/>
        <v>9.6096949048770046</v>
      </c>
      <c r="F16" s="131">
        <f t="shared" si="4"/>
        <v>14.183671378909901</v>
      </c>
      <c r="G16" s="131">
        <f t="shared" si="4"/>
        <v>11.026028265501692</v>
      </c>
      <c r="H16" s="131">
        <f t="shared" si="4"/>
        <v>16.643631393738247</v>
      </c>
      <c r="I16" s="131">
        <f t="shared" si="4"/>
        <v>14.347789542581351</v>
      </c>
      <c r="J16" s="131">
        <f t="shared" si="4"/>
        <v>9.9818722319143642</v>
      </c>
      <c r="K16" s="131">
        <f t="shared" si="4"/>
        <v>2.1075701156577007</v>
      </c>
      <c r="L16" s="131">
        <f t="shared" si="4"/>
        <v>13.62226465195112</v>
      </c>
      <c r="M16" s="131">
        <f t="shared" si="4"/>
        <v>10.38330275694746</v>
      </c>
      <c r="N16" s="131">
        <f t="shared" si="4"/>
        <v>6.1481128952440462</v>
      </c>
      <c r="O16" s="131">
        <f t="shared" si="4"/>
        <v>5.0428407460129794</v>
      </c>
      <c r="P16" s="131">
        <f t="shared" si="4"/>
        <v>5.4548990724211723</v>
      </c>
      <c r="Q16" s="131">
        <f t="shared" si="4"/>
        <v>4.0782326585960131</v>
      </c>
      <c r="R16" s="131">
        <f t="shared" ref="R16:W16" si="5">SUM(R17:R18)</f>
        <v>7.1528020122258011</v>
      </c>
      <c r="S16" s="131">
        <f t="shared" si="5"/>
        <v>6.1965720639926163</v>
      </c>
      <c r="T16" s="131">
        <f t="shared" si="5"/>
        <v>7.9494597823548965</v>
      </c>
      <c r="U16" s="131">
        <f t="shared" si="5"/>
        <v>7.3203473376301362</v>
      </c>
      <c r="V16" s="131">
        <f t="shared" si="5"/>
        <v>7.9530711602388724</v>
      </c>
      <c r="W16" s="131">
        <f t="shared" si="5"/>
        <v>5.5575331876940544</v>
      </c>
      <c r="DA16" s="156" t="s">
        <v>643</v>
      </c>
    </row>
    <row r="17" spans="1:105" ht="12.95" customHeight="1" x14ac:dyDescent="0.25">
      <c r="A17" s="132" t="s">
        <v>73</v>
      </c>
      <c r="B17" s="133"/>
      <c r="C17" s="133">
        <v>8.5157270850985695E-3</v>
      </c>
      <c r="D17" s="133">
        <v>2.1793192313485282E-2</v>
      </c>
      <c r="E17" s="133">
        <v>1.3871861268684577E-3</v>
      </c>
      <c r="F17" s="133">
        <v>4.0131581256206507E-2</v>
      </c>
      <c r="G17" s="133">
        <v>2.3430687940154789E-2</v>
      </c>
      <c r="H17" s="133">
        <v>1.5685095395201673E-2</v>
      </c>
      <c r="I17" s="133">
        <v>4.5852070844841254E-2</v>
      </c>
      <c r="J17" s="133">
        <v>3.5098357825662105E-2</v>
      </c>
      <c r="K17" s="133">
        <v>7.2718044197671418E-3</v>
      </c>
      <c r="L17" s="133">
        <v>2.2690824365230618E-2</v>
      </c>
      <c r="M17" s="133">
        <v>3.0344796265909489E-2</v>
      </c>
      <c r="N17" s="133">
        <v>1.9777783709288566E-2</v>
      </c>
      <c r="O17" s="133">
        <v>2.4257444551917355E-2</v>
      </c>
      <c r="P17" s="133">
        <v>4.5151610620127562E-2</v>
      </c>
      <c r="Q17" s="133">
        <v>4.9991959369523789E-2</v>
      </c>
      <c r="R17" s="133">
        <v>6.0739713091181535E-2</v>
      </c>
      <c r="S17" s="133">
        <v>3.747581173566826E-2</v>
      </c>
      <c r="T17" s="133">
        <v>8.1316027836420571E-2</v>
      </c>
      <c r="U17" s="133">
        <v>8.9388716210276858E-2</v>
      </c>
      <c r="V17" s="133">
        <v>0.11583651840002311</v>
      </c>
      <c r="W17" s="133">
        <v>9.7867191600128772E-3</v>
      </c>
      <c r="DA17" s="157" t="s">
        <v>644</v>
      </c>
    </row>
    <row r="18" spans="1:105" ht="12" customHeight="1" x14ac:dyDescent="0.25">
      <c r="A18" s="132" t="s">
        <v>72</v>
      </c>
      <c r="B18" s="133"/>
      <c r="C18" s="133">
        <v>7.5116919573645573</v>
      </c>
      <c r="D18" s="133">
        <v>17.202893374667607</v>
      </c>
      <c r="E18" s="133">
        <v>9.6083077187501367</v>
      </c>
      <c r="F18" s="133">
        <v>14.143539797653695</v>
      </c>
      <c r="G18" s="133">
        <v>11.002597577561538</v>
      </c>
      <c r="H18" s="133">
        <v>16.627946298343044</v>
      </c>
      <c r="I18" s="133">
        <v>14.30193747173651</v>
      </c>
      <c r="J18" s="133">
        <v>9.9467738740887022</v>
      </c>
      <c r="K18" s="133">
        <v>2.1002983112379336</v>
      </c>
      <c r="L18" s="133">
        <v>13.599573827585889</v>
      </c>
      <c r="M18" s="133">
        <v>10.35295796068155</v>
      </c>
      <c r="N18" s="133">
        <v>6.1283351115347573</v>
      </c>
      <c r="O18" s="133">
        <v>5.0185833014610619</v>
      </c>
      <c r="P18" s="133">
        <v>5.4097474618010448</v>
      </c>
      <c r="Q18" s="133">
        <v>4.0282406992264894</v>
      </c>
      <c r="R18" s="133">
        <v>7.0920622991346196</v>
      </c>
      <c r="S18" s="133">
        <v>6.1590962522569477</v>
      </c>
      <c r="T18" s="133">
        <v>7.868143754518476</v>
      </c>
      <c r="U18" s="133">
        <v>7.2309586214198598</v>
      </c>
      <c r="V18" s="133">
        <v>7.8372346418388492</v>
      </c>
      <c r="W18" s="133">
        <v>5.5477464685340419</v>
      </c>
      <c r="DA18" s="157" t="s">
        <v>645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3.3399693505267321</v>
      </c>
      <c r="D19" s="131">
        <f t="shared" si="6"/>
        <v>11.020854174924704</v>
      </c>
      <c r="E19" s="131">
        <f t="shared" si="6"/>
        <v>3.4007115217523936</v>
      </c>
      <c r="F19" s="131">
        <f t="shared" si="6"/>
        <v>6.3803652025089992</v>
      </c>
      <c r="G19" s="131">
        <f t="shared" si="6"/>
        <v>4.8873440512129154</v>
      </c>
      <c r="H19" s="131">
        <f t="shared" si="6"/>
        <v>5.9040027510867592</v>
      </c>
      <c r="I19" s="131">
        <f t="shared" si="6"/>
        <v>6.4859688702370066</v>
      </c>
      <c r="J19" s="131">
        <f t="shared" si="6"/>
        <v>4.5103727447029636</v>
      </c>
      <c r="K19" s="131">
        <f t="shared" si="6"/>
        <v>0.97065844116437194</v>
      </c>
      <c r="L19" s="131">
        <f t="shared" si="6"/>
        <v>5.9137241296920582</v>
      </c>
      <c r="M19" s="131">
        <f t="shared" si="6"/>
        <v>4.8757741244463082</v>
      </c>
      <c r="N19" s="131">
        <f t="shared" si="6"/>
        <v>2.9410072925399882</v>
      </c>
      <c r="O19" s="131">
        <f t="shared" si="6"/>
        <v>2.4608927126921789</v>
      </c>
      <c r="P19" s="131">
        <f t="shared" si="6"/>
        <v>2.8197555166643178</v>
      </c>
      <c r="Q19" s="131">
        <f t="shared" si="6"/>
        <v>1.9186601119190918</v>
      </c>
      <c r="R19" s="131">
        <f t="shared" ref="R19:W19" si="7">SUM(R20:R27)</f>
        <v>3.5459763480195718</v>
      </c>
      <c r="S19" s="131">
        <f t="shared" si="7"/>
        <v>3.3245292307682259</v>
      </c>
      <c r="T19" s="131">
        <f t="shared" si="7"/>
        <v>3.8195022434210872</v>
      </c>
      <c r="U19" s="131">
        <f t="shared" si="7"/>
        <v>3.7414895742600218</v>
      </c>
      <c r="V19" s="131">
        <f t="shared" si="7"/>
        <v>3.508228496847448</v>
      </c>
      <c r="W19" s="131">
        <f t="shared" si="7"/>
        <v>3.6196872745782813</v>
      </c>
      <c r="DA19" s="156" t="s">
        <v>646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647</v>
      </c>
    </row>
    <row r="21" spans="1:105" s="2" customFormat="1" ht="12" customHeight="1" x14ac:dyDescent="0.25">
      <c r="A21" s="132" t="s">
        <v>52</v>
      </c>
      <c r="B21" s="133"/>
      <c r="C21" s="133">
        <v>0.10440135901593169</v>
      </c>
      <c r="D21" s="133">
        <v>0.20410148489563737</v>
      </c>
      <c r="E21" s="133">
        <v>1.7390941573830258E-2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3.5979507613591316E-4</v>
      </c>
      <c r="M21" s="133">
        <v>6.37769378640132E-2</v>
      </c>
      <c r="N21" s="133">
        <v>8.6489095092556492E-2</v>
      </c>
      <c r="O21" s="133">
        <v>6.6657957092547959E-2</v>
      </c>
      <c r="P21" s="133">
        <v>2.8545163479545801E-2</v>
      </c>
      <c r="Q21" s="133">
        <v>2.3460467602001153E-2</v>
      </c>
      <c r="R21" s="133">
        <v>4.3651463362771141E-2</v>
      </c>
      <c r="S21" s="133">
        <v>5.3969856257540701E-2</v>
      </c>
      <c r="T21" s="133">
        <v>4.0637102358393608E-2</v>
      </c>
      <c r="U21" s="133">
        <v>2.0103922996927832E-2</v>
      </c>
      <c r="V21" s="133">
        <v>1.8926384280244521E-3</v>
      </c>
      <c r="W21" s="133">
        <v>1.7024168616311168E-2</v>
      </c>
      <c r="DA21" s="157" t="s">
        <v>648</v>
      </c>
    </row>
    <row r="22" spans="1:105" ht="12" customHeight="1" x14ac:dyDescent="0.25">
      <c r="A22" s="132" t="s">
        <v>168</v>
      </c>
      <c r="B22" s="133"/>
      <c r="C22" s="133">
        <v>0.75272681594202373</v>
      </c>
      <c r="D22" s="133">
        <v>1.723559186588981</v>
      </c>
      <c r="E22" s="133">
        <v>0.7563812761415909</v>
      </c>
      <c r="F22" s="133">
        <v>1.2682561475175158</v>
      </c>
      <c r="G22" s="133">
        <v>0.9851312432586441</v>
      </c>
      <c r="H22" s="133">
        <v>1.0808110405231055</v>
      </c>
      <c r="I22" s="133">
        <v>1.0771001260527113</v>
      </c>
      <c r="J22" s="133">
        <v>0.71803193272451071</v>
      </c>
      <c r="K22" s="133">
        <v>0.18388736785284271</v>
      </c>
      <c r="L22" s="133">
        <v>1.1047002867778157</v>
      </c>
      <c r="M22" s="133">
        <v>1.0426819324852725</v>
      </c>
      <c r="N22" s="133">
        <v>0.65205634878030172</v>
      </c>
      <c r="O22" s="133">
        <v>0.5385231759506921</v>
      </c>
      <c r="P22" s="133">
        <v>0.40336137401846844</v>
      </c>
      <c r="Q22" s="133">
        <v>0.31448717456336978</v>
      </c>
      <c r="R22" s="133">
        <v>0.4898962297663037</v>
      </c>
      <c r="S22" s="133">
        <v>0.46251415941006413</v>
      </c>
      <c r="T22" s="133">
        <v>0.42549222556863653</v>
      </c>
      <c r="U22" s="133">
        <v>0.44319393952563985</v>
      </c>
      <c r="V22" s="133">
        <v>0.34755862723506808</v>
      </c>
      <c r="W22" s="133">
        <v>0.6220635013816338</v>
      </c>
      <c r="DA22" s="157" t="s">
        <v>649</v>
      </c>
    </row>
    <row r="23" spans="1:105" ht="12" customHeight="1" x14ac:dyDescent="0.25">
      <c r="A23" s="132" t="s">
        <v>153</v>
      </c>
      <c r="B23" s="133"/>
      <c r="C23" s="133">
        <v>1.7157586999251426</v>
      </c>
      <c r="D23" s="133">
        <v>5.1451871834385337</v>
      </c>
      <c r="E23" s="133">
        <v>1.7401152641205839</v>
      </c>
      <c r="F23" s="133">
        <v>3.4861202048098336</v>
      </c>
      <c r="G23" s="133">
        <v>2.5940136458989302</v>
      </c>
      <c r="H23" s="133">
        <v>3.1910821315034887</v>
      </c>
      <c r="I23" s="133">
        <v>3.751239499745215</v>
      </c>
      <c r="J23" s="133">
        <v>2.5266225937342845</v>
      </c>
      <c r="K23" s="133">
        <v>0.40173202697280536</v>
      </c>
      <c r="L23" s="133">
        <v>3.2142845710418713</v>
      </c>
      <c r="M23" s="133">
        <v>2.8215962330551325</v>
      </c>
      <c r="N23" s="133">
        <v>1.5893985201200032</v>
      </c>
      <c r="O23" s="133">
        <v>1.2895191052814783</v>
      </c>
      <c r="P23" s="133">
        <v>1.5552064248492574</v>
      </c>
      <c r="Q23" s="133">
        <v>0.97295238936581585</v>
      </c>
      <c r="R23" s="133">
        <v>1.9045668270730389</v>
      </c>
      <c r="S23" s="133">
        <v>1.7735281211832534</v>
      </c>
      <c r="T23" s="133">
        <v>2.1292377786123913</v>
      </c>
      <c r="U23" s="133">
        <v>2.1974868615265857</v>
      </c>
      <c r="V23" s="133">
        <v>2.1604689130422798</v>
      </c>
      <c r="W23" s="133">
        <v>2.1686980950817007</v>
      </c>
      <c r="DA23" s="157" t="s">
        <v>650</v>
      </c>
    </row>
    <row r="24" spans="1:105" ht="12" customHeight="1" x14ac:dyDescent="0.25">
      <c r="A24" s="132" t="s">
        <v>128</v>
      </c>
      <c r="B24" s="133"/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651</v>
      </c>
    </row>
    <row r="25" spans="1:105" ht="12" customHeight="1" x14ac:dyDescent="0.25">
      <c r="A25" s="132" t="s">
        <v>169</v>
      </c>
      <c r="B25" s="133"/>
      <c r="C25" s="133">
        <v>6.3524469926453012E-2</v>
      </c>
      <c r="D25" s="133">
        <v>0.15649070825140007</v>
      </c>
      <c r="E25" s="133">
        <v>6.8992667777565769E-2</v>
      </c>
      <c r="F25" s="133">
        <v>0.12529284223439391</v>
      </c>
      <c r="G25" s="133">
        <v>9.8957896995932035E-2</v>
      </c>
      <c r="H25" s="133">
        <v>0.10833400679727652</v>
      </c>
      <c r="I25" s="133">
        <v>0.10560478840926342</v>
      </c>
      <c r="J25" s="133">
        <v>8.0523735737916352E-2</v>
      </c>
      <c r="K25" s="133">
        <v>1.8038407326906522E-2</v>
      </c>
      <c r="L25" s="133">
        <v>0.10036746560619586</v>
      </c>
      <c r="M25" s="133">
        <v>8.705462605254384E-2</v>
      </c>
      <c r="N25" s="133">
        <v>6.1147245991088769E-2</v>
      </c>
      <c r="O25" s="133">
        <v>5.863409044969542E-2</v>
      </c>
      <c r="P25" s="133">
        <v>8.8202445785934003E-2</v>
      </c>
      <c r="Q25" s="133">
        <v>6.3085507426012433E-2</v>
      </c>
      <c r="R25" s="133">
        <v>8.9177813861862104E-2</v>
      </c>
      <c r="S25" s="133">
        <v>6.7024719441524286E-2</v>
      </c>
      <c r="T25" s="133">
        <v>6.8213084497216761E-2</v>
      </c>
      <c r="U25" s="133">
        <v>6.6064332269595266E-2</v>
      </c>
      <c r="V25" s="133">
        <v>6.2606713765324645E-2</v>
      </c>
      <c r="W25" s="133">
        <v>5.4903038482625059E-2</v>
      </c>
      <c r="DA25" s="157" t="s">
        <v>652</v>
      </c>
    </row>
    <row r="26" spans="1:105" ht="12" customHeight="1" x14ac:dyDescent="0.25">
      <c r="A26" s="132" t="s">
        <v>24</v>
      </c>
      <c r="B26" s="65"/>
      <c r="C26" s="65">
        <v>0.70355800571718086</v>
      </c>
      <c r="D26" s="65">
        <v>3.7656630665933588</v>
      </c>
      <c r="E26" s="65">
        <v>0.72931800277023695</v>
      </c>
      <c r="F26" s="65">
        <v>1.4869165549379431</v>
      </c>
      <c r="G26" s="65">
        <v>1.2011991908625497</v>
      </c>
      <c r="H26" s="65">
        <v>1.4529023697354961</v>
      </c>
      <c r="I26" s="65">
        <v>1.3756592116207391</v>
      </c>
      <c r="J26" s="65">
        <v>1.0505590081779264</v>
      </c>
      <c r="K26" s="65">
        <v>8.5711840391624022E-2</v>
      </c>
      <c r="L26" s="65">
        <v>1.4940120111900392</v>
      </c>
      <c r="M26" s="65">
        <v>0.82817067436950476</v>
      </c>
      <c r="N26" s="65">
        <v>0.52915672993263274</v>
      </c>
      <c r="O26" s="65">
        <v>0.50755838391776487</v>
      </c>
      <c r="P26" s="65">
        <v>0.67405396234385051</v>
      </c>
      <c r="Q26" s="65">
        <v>0.44505204195193737</v>
      </c>
      <c r="R26" s="65">
        <v>0.67407006051432572</v>
      </c>
      <c r="S26" s="65">
        <v>0.8828044624807676</v>
      </c>
      <c r="T26" s="65">
        <v>1.0492508756162686</v>
      </c>
      <c r="U26" s="65">
        <v>1.0080734682165104</v>
      </c>
      <c r="V26" s="65">
        <v>0.88549655193122478</v>
      </c>
      <c r="W26" s="65">
        <v>0.75699847101600948</v>
      </c>
      <c r="DA26" s="109" t="s">
        <v>653</v>
      </c>
    </row>
    <row r="27" spans="1:105" ht="12" customHeight="1" x14ac:dyDescent="0.25">
      <c r="A27" s="145" t="s">
        <v>26</v>
      </c>
      <c r="B27" s="148"/>
      <c r="C27" s="148">
        <v>0</v>
      </c>
      <c r="D27" s="148">
        <v>2.5852545156792486E-2</v>
      </c>
      <c r="E27" s="148">
        <v>8.8513369368585199E-2</v>
      </c>
      <c r="F27" s="148">
        <v>1.377945300931273E-2</v>
      </c>
      <c r="G27" s="148">
        <v>8.0420741968592925E-3</v>
      </c>
      <c r="H27" s="148">
        <v>7.0873202527391516E-2</v>
      </c>
      <c r="I27" s="148">
        <v>0.17636524440907764</v>
      </c>
      <c r="J27" s="148">
        <v>0.13463547432832534</v>
      </c>
      <c r="K27" s="148">
        <v>0.28128879862019329</v>
      </c>
      <c r="L27" s="148">
        <v>0</v>
      </c>
      <c r="M27" s="148">
        <v>3.2493720619840641E-2</v>
      </c>
      <c r="N27" s="148">
        <v>2.2759352623405525E-2</v>
      </c>
      <c r="O27" s="148">
        <v>2.7260587701143661E-16</v>
      </c>
      <c r="P27" s="148">
        <v>7.0386146187261314E-2</v>
      </c>
      <c r="Q27" s="148">
        <v>9.9622531009955204E-2</v>
      </c>
      <c r="R27" s="148">
        <v>0.34461395344126966</v>
      </c>
      <c r="S27" s="148">
        <v>8.4687911995076304E-2</v>
      </c>
      <c r="T27" s="148">
        <v>0.10667117676818054</v>
      </c>
      <c r="U27" s="148">
        <v>6.5670497247625357E-3</v>
      </c>
      <c r="V27" s="148">
        <v>5.0205052445525755E-2</v>
      </c>
      <c r="W27" s="148">
        <v>1.0138504889851024E-15</v>
      </c>
      <c r="DA27" s="161" t="s">
        <v>654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2.6821244719819739</v>
      </c>
      <c r="D29" s="131">
        <f t="shared" si="8"/>
        <v>9.1112290026331575</v>
      </c>
      <c r="E29" s="131">
        <f t="shared" si="8"/>
        <v>2.7168733202241513</v>
      </c>
      <c r="F29" s="131">
        <f t="shared" si="8"/>
        <v>5.0869587780293237</v>
      </c>
      <c r="G29" s="131">
        <f t="shared" si="8"/>
        <v>4.2809015232453973</v>
      </c>
      <c r="H29" s="131">
        <f t="shared" si="8"/>
        <v>5.0385092707346217</v>
      </c>
      <c r="I29" s="131">
        <f t="shared" si="8"/>
        <v>5.6634995461590378</v>
      </c>
      <c r="J29" s="131">
        <f t="shared" si="8"/>
        <v>3.9863786517725535</v>
      </c>
      <c r="K29" s="131">
        <f t="shared" si="8"/>
        <v>0.85297122423670024</v>
      </c>
      <c r="L29" s="131">
        <f t="shared" si="8"/>
        <v>5.3668200946556244</v>
      </c>
      <c r="M29" s="131">
        <f t="shared" si="8"/>
        <v>4.3173110633111511</v>
      </c>
      <c r="N29" s="131">
        <f t="shared" si="8"/>
        <v>2.6131348679233719</v>
      </c>
      <c r="O29" s="131">
        <f t="shared" si="8"/>
        <v>2.1740189078341792</v>
      </c>
      <c r="P29" s="131">
        <f t="shared" si="8"/>
        <v>2.4995669483017107</v>
      </c>
      <c r="Q29" s="131">
        <f t="shared" si="8"/>
        <v>1.7253271629732896</v>
      </c>
      <c r="R29" s="131">
        <f t="shared" ref="R29:W29" si="9">SUM(R30:R33)</f>
        <v>3.1709498656754991</v>
      </c>
      <c r="S29" s="131">
        <f t="shared" si="9"/>
        <v>2.9705707737021392</v>
      </c>
      <c r="T29" s="131">
        <f t="shared" si="9"/>
        <v>3.4280358050485411</v>
      </c>
      <c r="U29" s="131">
        <f t="shared" si="9"/>
        <v>3.3767592964985234</v>
      </c>
      <c r="V29" s="131">
        <f t="shared" si="9"/>
        <v>3.2187889865292245</v>
      </c>
      <c r="W29" s="131">
        <f t="shared" si="9"/>
        <v>3.3207049816491372</v>
      </c>
      <c r="DA29" s="156" t="s">
        <v>655</v>
      </c>
    </row>
    <row r="30" spans="1:105" s="2" customFormat="1" ht="12" customHeight="1" x14ac:dyDescent="0.25">
      <c r="A30" s="132" t="s">
        <v>52</v>
      </c>
      <c r="B30" s="133"/>
      <c r="C30" s="133">
        <v>0.15895192976426809</v>
      </c>
      <c r="D30" s="133">
        <v>0</v>
      </c>
      <c r="E30" s="133">
        <v>0</v>
      </c>
      <c r="F30" s="133">
        <v>0</v>
      </c>
      <c r="G30" s="133">
        <v>0</v>
      </c>
      <c r="H30" s="133">
        <v>0</v>
      </c>
      <c r="I30" s="133">
        <v>0</v>
      </c>
      <c r="J30" s="133">
        <v>0.11479377162755242</v>
      </c>
      <c r="K30" s="133">
        <v>9.5472637361522006E-2</v>
      </c>
      <c r="L30" s="133">
        <v>0.739042309788567</v>
      </c>
      <c r="M30" s="133">
        <v>0</v>
      </c>
      <c r="N30" s="133">
        <v>0</v>
      </c>
      <c r="O30" s="133">
        <v>2.6661831786004016E-2</v>
      </c>
      <c r="P30" s="133">
        <v>9.4540636220962326E-3</v>
      </c>
      <c r="Q30" s="133">
        <v>9.085132326275222E-2</v>
      </c>
      <c r="R30" s="133">
        <v>4.0641619496900996E-2</v>
      </c>
      <c r="S30" s="133">
        <v>0.12412786475942351</v>
      </c>
      <c r="T30" s="133">
        <v>0.13929397036106403</v>
      </c>
      <c r="U30" s="133">
        <v>0.22631100300933332</v>
      </c>
      <c r="V30" s="133">
        <v>0.32356864350468145</v>
      </c>
      <c r="W30" s="133">
        <v>0.26282159230900831</v>
      </c>
      <c r="DA30" s="157" t="s">
        <v>656</v>
      </c>
    </row>
    <row r="31" spans="1:105" ht="12" customHeight="1" x14ac:dyDescent="0.25">
      <c r="A31" s="132" t="s">
        <v>153</v>
      </c>
      <c r="B31" s="133"/>
      <c r="C31" s="133">
        <v>1.5295781667936954</v>
      </c>
      <c r="D31" s="133">
        <v>3.141400306682407</v>
      </c>
      <c r="E31" s="133">
        <v>1.161530275748359</v>
      </c>
      <c r="F31" s="133">
        <v>2.2652212089684691</v>
      </c>
      <c r="G31" s="133">
        <v>1.5444931314550903</v>
      </c>
      <c r="H31" s="133">
        <v>2.319066456880293</v>
      </c>
      <c r="I31" s="133">
        <v>2.6711893806297846</v>
      </c>
      <c r="J31" s="133">
        <v>2.215948599652346</v>
      </c>
      <c r="K31" s="133">
        <v>0.50960113750348501</v>
      </c>
      <c r="L31" s="133">
        <v>2.3121212071654216</v>
      </c>
      <c r="M31" s="133">
        <v>1.7887875891112999</v>
      </c>
      <c r="N31" s="133">
        <v>1.2007854599375871</v>
      </c>
      <c r="O31" s="133">
        <v>0.98210559713603518</v>
      </c>
      <c r="P31" s="133">
        <v>1.0503072402157276</v>
      </c>
      <c r="Q31" s="133">
        <v>0.75071042851394687</v>
      </c>
      <c r="R31" s="133">
        <v>1.4052368988352846</v>
      </c>
      <c r="S31" s="133">
        <v>1.3353256505542146</v>
      </c>
      <c r="T31" s="133">
        <v>1.6238717590890961</v>
      </c>
      <c r="U31" s="133">
        <v>1.6253725469732343</v>
      </c>
      <c r="V31" s="133">
        <v>1.5112905049341461</v>
      </c>
      <c r="W31" s="133">
        <v>1.5415406213272009</v>
      </c>
      <c r="DA31" s="157" t="s">
        <v>657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5.9458481146537415E-2</v>
      </c>
      <c r="K32" s="133">
        <v>3.6984546202572721E-3</v>
      </c>
      <c r="L32" s="133">
        <v>4.0867623201373666E-2</v>
      </c>
      <c r="M32" s="133">
        <v>1.7940197247948281E-2</v>
      </c>
      <c r="N32" s="133">
        <v>1.0855059626628501E-3</v>
      </c>
      <c r="O32" s="133">
        <v>1.3158768958054505E-2</v>
      </c>
      <c r="P32" s="133">
        <v>1.6599080688355656E-2</v>
      </c>
      <c r="Q32" s="133">
        <v>1.3347289126942273E-2</v>
      </c>
      <c r="R32" s="133">
        <v>1.3760935468069498E-2</v>
      </c>
      <c r="S32" s="133">
        <v>1.1588632375108932E-2</v>
      </c>
      <c r="T32" s="133">
        <v>2.6223249471766944E-3</v>
      </c>
      <c r="U32" s="133">
        <v>0</v>
      </c>
      <c r="V32" s="133">
        <v>0</v>
      </c>
      <c r="W32" s="133">
        <v>0</v>
      </c>
      <c r="DA32" s="157" t="s">
        <v>658</v>
      </c>
    </row>
    <row r="33" spans="1:105" ht="12" customHeight="1" x14ac:dyDescent="0.25">
      <c r="A33" s="62" t="s">
        <v>24</v>
      </c>
      <c r="B33" s="68"/>
      <c r="C33" s="68">
        <v>0.9935943754240103</v>
      </c>
      <c r="D33" s="68">
        <v>5.9698286959507509</v>
      </c>
      <c r="E33" s="68">
        <v>1.5553430444757923</v>
      </c>
      <c r="F33" s="68">
        <v>2.821737569060855</v>
      </c>
      <c r="G33" s="68">
        <v>2.7364083917903073</v>
      </c>
      <c r="H33" s="68">
        <v>2.7194428138543292</v>
      </c>
      <c r="I33" s="68">
        <v>2.9923101655292532</v>
      </c>
      <c r="J33" s="68">
        <v>1.5961777993461175</v>
      </c>
      <c r="K33" s="68">
        <v>0.24419899475143589</v>
      </c>
      <c r="L33" s="68">
        <v>2.2747889545002624</v>
      </c>
      <c r="M33" s="68">
        <v>2.5105832769519028</v>
      </c>
      <c r="N33" s="68">
        <v>1.4112639020231219</v>
      </c>
      <c r="O33" s="68">
        <v>1.1520927099540854</v>
      </c>
      <c r="P33" s="68">
        <v>1.4232065637755309</v>
      </c>
      <c r="Q33" s="68">
        <v>0.8704181220696483</v>
      </c>
      <c r="R33" s="68">
        <v>1.711310411875244</v>
      </c>
      <c r="S33" s="68">
        <v>1.499528626013392</v>
      </c>
      <c r="T33" s="68">
        <v>1.6622477506512046</v>
      </c>
      <c r="U33" s="68">
        <v>1.5250757465159557</v>
      </c>
      <c r="V33" s="68">
        <v>1.383929838090397</v>
      </c>
      <c r="W33" s="68">
        <v>1.516342768012928</v>
      </c>
      <c r="DA33" s="111" t="s">
        <v>659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660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83</v>
      </c>
      <c r="B3" s="127"/>
      <c r="C3" s="127">
        <f>IF(SER_hh_tes_in!C3=0,"",SER_hh_tes_in!C3/SER_hh_fec_in!C3)</f>
        <v>0.75543403967000256</v>
      </c>
      <c r="D3" s="127">
        <f>IF(SER_hh_tes_in!D3=0,"",SER_hh_tes_in!D3/SER_hh_fec_in!D3)</f>
        <v>0.73282618390686682</v>
      </c>
      <c r="E3" s="127">
        <f>IF(SER_hh_tes_in!E3=0,"",SER_hh_tes_in!E3/SER_hh_fec_in!E3)</f>
        <v>0.81635931565413999</v>
      </c>
      <c r="F3" s="127">
        <f>IF(SER_hh_tes_in!F3=0,"",SER_hh_tes_in!F3/SER_hh_fec_in!F3)</f>
        <v>0.84418075181903096</v>
      </c>
      <c r="G3" s="127">
        <f>IF(SER_hh_tes_in!G3=0,"",SER_hh_tes_in!G3/SER_hh_fec_in!G3)</f>
        <v>0.86460007491273605</v>
      </c>
      <c r="H3" s="127">
        <f>IF(SER_hh_tes_in!H3=0,"",SER_hh_tes_in!H3/SER_hh_fec_in!H3)</f>
        <v>0.88662694101635109</v>
      </c>
      <c r="I3" s="127">
        <f>IF(SER_hh_tes_in!I3=0,"",SER_hh_tes_in!I3/SER_hh_fec_in!I3)</f>
        <v>0.84988123562869378</v>
      </c>
      <c r="J3" s="127">
        <f>IF(SER_hh_tes_in!J3=0,"",SER_hh_tes_in!J3/SER_hh_fec_in!J3)</f>
        <v>0.82320492353321228</v>
      </c>
      <c r="K3" s="127">
        <f>IF(SER_hh_tes_in!K3=0,"",SER_hh_tes_in!K3/SER_hh_fec_in!K3)</f>
        <v>0.84670694147751857</v>
      </c>
      <c r="L3" s="127">
        <f>IF(SER_hh_tes_in!L3=0,"",SER_hh_tes_in!L3/SER_hh_fec_in!L3)</f>
        <v>0.84232646475435957</v>
      </c>
      <c r="M3" s="127">
        <f>IF(SER_hh_tes_in!M3=0,"",SER_hh_tes_in!M3/SER_hh_fec_in!M3)</f>
        <v>0.8743366483140762</v>
      </c>
      <c r="N3" s="127">
        <f>IF(SER_hh_tes_in!N3=0,"",SER_hh_tes_in!N3/SER_hh_fec_in!N3)</f>
        <v>0.88217428061949898</v>
      </c>
      <c r="O3" s="127">
        <f>IF(SER_hh_tes_in!O3=0,"",SER_hh_tes_in!O3/SER_hh_fec_in!O3)</f>
        <v>0.88789927223766563</v>
      </c>
      <c r="P3" s="127">
        <f>IF(SER_hh_tes_in!P3=0,"",SER_hh_tes_in!P3/SER_hh_fec_in!P3)</f>
        <v>0.94320519968360994</v>
      </c>
      <c r="Q3" s="127">
        <f>IF(SER_hh_tes_in!Q3=0,"",SER_hh_tes_in!Q3/SER_hh_fec_in!Q3)</f>
        <v>0.96371836632988117</v>
      </c>
      <c r="R3" s="127">
        <f>IF(SER_hh_tes_in!R3=0,"",SER_hh_tes_in!R3/SER_hh_fec_in!R3)</f>
        <v>0.99400483206636248</v>
      </c>
      <c r="S3" s="127">
        <f>IF(SER_hh_tes_in!S3=0,"",SER_hh_tes_in!S3/SER_hh_fec_in!S3)</f>
        <v>1.004123358310282</v>
      </c>
      <c r="T3" s="127">
        <f>IF(SER_hh_tes_in!T3=0,"",SER_hh_tes_in!T3/SER_hh_fec_in!T3)</f>
        <v>1.0580862081406601</v>
      </c>
      <c r="U3" s="127">
        <f>IF(SER_hh_tes_in!U3=0,"",SER_hh_tes_in!U3/SER_hh_fec_in!U3)</f>
        <v>1.074614551133142</v>
      </c>
      <c r="V3" s="127">
        <f>IF(SER_hh_tes_in!V3=0,"",SER_hh_tes_in!V3/SER_hh_fec_in!V3)</f>
        <v>1.1209791114480232</v>
      </c>
      <c r="W3" s="127">
        <f>IF(SER_hh_tes_in!W3=0,"",SER_hh_tes_in!W3/SER_hh_fec_in!W3)</f>
        <v>1.0596527977955252</v>
      </c>
      <c r="DA3" s="162" t="s">
        <v>661</v>
      </c>
    </row>
    <row r="4" spans="1:105" ht="12.95" customHeight="1" x14ac:dyDescent="0.25">
      <c r="A4" s="130" t="s">
        <v>32</v>
      </c>
      <c r="B4" s="136"/>
      <c r="C4" s="136">
        <f>IF(SER_hh_tes_in!C4=0,"",SER_hh_tes_in!C4/SER_hh_fec_in!C4)</f>
        <v>0.61040161666830062</v>
      </c>
      <c r="D4" s="136">
        <f>IF(SER_hh_tes_in!D4=0,"",SER_hh_tes_in!D4/SER_hh_fec_in!D4)</f>
        <v>0.62352229422171013</v>
      </c>
      <c r="E4" s="136">
        <f>IF(SER_hh_tes_in!E4=0,"",SER_hh_tes_in!E4/SER_hh_fec_in!E4)</f>
        <v>0.62412686769564607</v>
      </c>
      <c r="F4" s="136">
        <f>IF(SER_hh_tes_in!F4=0,"",SER_hh_tes_in!F4/SER_hh_fec_in!F4)</f>
        <v>0.7556550752621265</v>
      </c>
      <c r="G4" s="136">
        <f>IF(SER_hh_tes_in!G4=0,"",SER_hh_tes_in!G4/SER_hh_fec_in!G4)</f>
        <v>0.75692087145828979</v>
      </c>
      <c r="H4" s="136">
        <f>IF(SER_hh_tes_in!H4=0,"",SER_hh_tes_in!H4/SER_hh_fec_in!H4)</f>
        <v>0.72762227019374859</v>
      </c>
      <c r="I4" s="136">
        <f>IF(SER_hh_tes_in!I4=0,"",SER_hh_tes_in!I4/SER_hh_fec_in!I4)</f>
        <v>0.70993003396506893</v>
      </c>
      <c r="J4" s="136">
        <f>IF(SER_hh_tes_in!J4=0,"",SER_hh_tes_in!J4/SER_hh_fec_in!J4)</f>
        <v>0.69311302637041228</v>
      </c>
      <c r="K4" s="136">
        <f>IF(SER_hh_tes_in!K4=0,"",SER_hh_tes_in!K4/SER_hh_fec_in!K4)</f>
        <v>0.71237251067233343</v>
      </c>
      <c r="L4" s="136">
        <f>IF(SER_hh_tes_in!L4=0,"",SER_hh_tes_in!L4/SER_hh_fec_in!L4)</f>
        <v>0.70749779827964898</v>
      </c>
      <c r="M4" s="136">
        <f>IF(SER_hh_tes_in!M4=0,"",SER_hh_tes_in!M4/SER_hh_fec_in!M4)</f>
        <v>0.71533876980786959</v>
      </c>
      <c r="N4" s="136">
        <f>IF(SER_hh_tes_in!N4=0,"",SER_hh_tes_in!N4/SER_hh_fec_in!N4)</f>
        <v>0.72984063138925981</v>
      </c>
      <c r="O4" s="136">
        <f>IF(SER_hh_tes_in!O4=0,"",SER_hh_tes_in!O4/SER_hh_fec_in!O4)</f>
        <v>0.74015565875104694</v>
      </c>
      <c r="P4" s="136">
        <f>IF(SER_hh_tes_in!P4=0,"",SER_hh_tes_in!P4/SER_hh_fec_in!P4)</f>
        <v>0.76555363149921052</v>
      </c>
      <c r="Q4" s="136">
        <f>IF(SER_hh_tes_in!Q4=0,"",SER_hh_tes_in!Q4/SER_hh_fec_in!Q4)</f>
        <v>0.78033234709293875</v>
      </c>
      <c r="R4" s="136">
        <f>IF(SER_hh_tes_in!R4=0,"",SER_hh_tes_in!R4/SER_hh_fec_in!R4)</f>
        <v>0.81293367798197336</v>
      </c>
      <c r="S4" s="136">
        <f>IF(SER_hh_tes_in!S4=0,"",SER_hh_tes_in!S4/SER_hh_fec_in!S4)</f>
        <v>0.83069945554703029</v>
      </c>
      <c r="T4" s="136">
        <f>IF(SER_hh_tes_in!T4=0,"",SER_hh_tes_in!T4/SER_hh_fec_in!T4)</f>
        <v>0.86329270672644154</v>
      </c>
      <c r="U4" s="136">
        <f>IF(SER_hh_tes_in!U4=0,"",SER_hh_tes_in!U4/SER_hh_fec_in!U4)</f>
        <v>0.89464393459923752</v>
      </c>
      <c r="V4" s="136">
        <f>IF(SER_hh_tes_in!V4=0,"",SER_hh_tes_in!V4/SER_hh_fec_in!V4)</f>
        <v>0.90002467050951773</v>
      </c>
      <c r="W4" s="136">
        <f>IF(SER_hh_tes_in!W4=0,"",SER_hh_tes_in!W4/SER_hh_fec_in!W4)</f>
        <v>0.90753145951491321</v>
      </c>
      <c r="DA4" s="163" t="s">
        <v>662</v>
      </c>
    </row>
    <row r="5" spans="1:105" ht="12" customHeight="1" x14ac:dyDescent="0.25">
      <c r="A5" s="132" t="s">
        <v>29</v>
      </c>
      <c r="B5" s="137"/>
      <c r="C5" s="137" t="str">
        <f>IF(SER_hh_tes_in!C5=0,"",SER_hh_tes_in!C5/SER_hh_fec_in!C5)</f>
        <v/>
      </c>
      <c r="D5" s="137" t="str">
        <f>IF(SER_hh_tes_in!D5=0,"",SER_hh_tes_in!D5/SER_hh_fec_in!D5)</f>
        <v/>
      </c>
      <c r="E5" s="137" t="str">
        <f>IF(SER_hh_tes_in!E5=0,"",SER_hh_tes_in!E5/SER_hh_fec_in!E5)</f>
        <v/>
      </c>
      <c r="F5" s="137" t="str">
        <f>IF(SER_hh_tes_in!F5=0,"",SER_hh_tes_in!F5/SER_hh_fec_in!F5)</f>
        <v/>
      </c>
      <c r="G5" s="137" t="str">
        <f>IF(SER_hh_tes_in!G5=0,"",SER_hh_tes_in!G5/SER_hh_fec_in!G5)</f>
        <v/>
      </c>
      <c r="H5" s="137" t="str">
        <f>IF(SER_hh_tes_in!H5=0,"",SER_hh_tes_in!H5/SER_hh_fec_in!H5)</f>
        <v/>
      </c>
      <c r="I5" s="137" t="str">
        <f>IF(SER_hh_tes_in!I5=0,"",SER_hh_tes_in!I5/SER_hh_fec_in!I5)</f>
        <v/>
      </c>
      <c r="J5" s="137" t="str">
        <f>IF(SER_hh_tes_in!J5=0,"",SER_hh_tes_in!J5/SER_hh_fec_in!J5)</f>
        <v/>
      </c>
      <c r="K5" s="137" t="str">
        <f>IF(SER_hh_tes_in!K5=0,"",SER_hh_tes_in!K5/SER_hh_fec_in!K5)</f>
        <v/>
      </c>
      <c r="L5" s="137" t="str">
        <f>IF(SER_hh_tes_in!L5=0,"",SER_hh_tes_in!L5/SER_hh_fec_in!L5)</f>
        <v/>
      </c>
      <c r="M5" s="137" t="str">
        <f>IF(SER_hh_tes_in!M5=0,"",SER_hh_tes_in!M5/SER_hh_fec_in!M5)</f>
        <v/>
      </c>
      <c r="N5" s="137" t="str">
        <f>IF(SER_hh_tes_in!N5=0,"",SER_hh_tes_in!N5/SER_hh_fec_in!N5)</f>
        <v/>
      </c>
      <c r="O5" s="137" t="str">
        <f>IF(SER_hh_tes_in!O5=0,"",SER_hh_tes_in!O5/SER_hh_fec_in!O5)</f>
        <v/>
      </c>
      <c r="P5" s="137" t="str">
        <f>IF(SER_hh_tes_in!P5=0,"",SER_hh_tes_in!P5/SER_hh_fec_in!P5)</f>
        <v/>
      </c>
      <c r="Q5" s="137" t="str">
        <f>IF(SER_hh_tes_in!Q5=0,"",SER_hh_tes_in!Q5/SER_hh_fec_in!Q5)</f>
        <v/>
      </c>
      <c r="R5" s="137" t="str">
        <f>IF(SER_hh_tes_in!R5=0,"",SER_hh_tes_in!R5/SER_hh_fec_in!R5)</f>
        <v/>
      </c>
      <c r="S5" s="137" t="str">
        <f>IF(SER_hh_tes_in!S5=0,"",SER_hh_tes_in!S5/SER_hh_fec_in!S5)</f>
        <v/>
      </c>
      <c r="T5" s="137" t="str">
        <f>IF(SER_hh_tes_in!T5=0,"",SER_hh_tes_in!T5/SER_hh_fec_in!T5)</f>
        <v/>
      </c>
      <c r="U5" s="137" t="str">
        <f>IF(SER_hh_tes_in!U5=0,"",SER_hh_tes_in!U5/SER_hh_fec_in!U5)</f>
        <v/>
      </c>
      <c r="V5" s="137" t="str">
        <f>IF(SER_hh_tes_in!V5=0,"",SER_hh_tes_in!V5/SER_hh_fec_in!V5)</f>
        <v/>
      </c>
      <c r="W5" s="137" t="str">
        <f>IF(SER_hh_tes_in!W5=0,"",SER_hh_tes_in!W5/SER_hh_fec_in!W5)</f>
        <v/>
      </c>
      <c r="DA5" s="164" t="s">
        <v>663</v>
      </c>
    </row>
    <row r="6" spans="1:105" ht="12" customHeight="1" x14ac:dyDescent="0.25">
      <c r="A6" s="132" t="s">
        <v>52</v>
      </c>
      <c r="B6" s="137"/>
      <c r="C6" s="137" t="str">
        <f>IF(SER_hh_tes_in!C6=0,"",SER_hh_tes_in!C6/SER_hh_fec_in!C6)</f>
        <v/>
      </c>
      <c r="D6" s="137" t="str">
        <f>IF(SER_hh_tes_in!D6=0,"",SER_hh_tes_in!D6/SER_hh_fec_in!D6)</f>
        <v/>
      </c>
      <c r="E6" s="137" t="str">
        <f>IF(SER_hh_tes_in!E6=0,"",SER_hh_tes_in!E6/SER_hh_fec_in!E6)</f>
        <v/>
      </c>
      <c r="F6" s="137" t="str">
        <f>IF(SER_hh_tes_in!F6=0,"",SER_hh_tes_in!F6/SER_hh_fec_in!F6)</f>
        <v/>
      </c>
      <c r="G6" s="137" t="str">
        <f>IF(SER_hh_tes_in!G6=0,"",SER_hh_tes_in!G6/SER_hh_fec_in!G6)</f>
        <v/>
      </c>
      <c r="H6" s="137" t="str">
        <f>IF(SER_hh_tes_in!H6=0,"",SER_hh_tes_in!H6/SER_hh_fec_in!H6)</f>
        <v/>
      </c>
      <c r="I6" s="137" t="str">
        <f>IF(SER_hh_tes_in!I6=0,"",SER_hh_tes_in!I6/SER_hh_fec_in!I6)</f>
        <v/>
      </c>
      <c r="J6" s="137" t="str">
        <f>IF(SER_hh_tes_in!J6=0,"",SER_hh_tes_in!J6/SER_hh_fec_in!J6)</f>
        <v/>
      </c>
      <c r="K6" s="137" t="str">
        <f>IF(SER_hh_tes_in!K6=0,"",SER_hh_tes_in!K6/SER_hh_fec_in!K6)</f>
        <v/>
      </c>
      <c r="L6" s="137" t="str">
        <f>IF(SER_hh_tes_in!L6=0,"",SER_hh_tes_in!L6/SER_hh_fec_in!L6)</f>
        <v/>
      </c>
      <c r="M6" s="137" t="str">
        <f>IF(SER_hh_tes_in!M6=0,"",SER_hh_tes_in!M6/SER_hh_fec_in!M6)</f>
        <v/>
      </c>
      <c r="N6" s="137" t="str">
        <f>IF(SER_hh_tes_in!N6=0,"",SER_hh_tes_in!N6/SER_hh_fec_in!N6)</f>
        <v/>
      </c>
      <c r="O6" s="137" t="str">
        <f>IF(SER_hh_tes_in!O6=0,"",SER_hh_tes_in!O6/SER_hh_fec_in!O6)</f>
        <v/>
      </c>
      <c r="P6" s="137" t="str">
        <f>IF(SER_hh_tes_in!P6=0,"",SER_hh_tes_in!P6/SER_hh_fec_in!P6)</f>
        <v/>
      </c>
      <c r="Q6" s="137" t="str">
        <f>IF(SER_hh_tes_in!Q6=0,"",SER_hh_tes_in!Q6/SER_hh_fec_in!Q6)</f>
        <v/>
      </c>
      <c r="R6" s="137" t="str">
        <f>IF(SER_hh_tes_in!R6=0,"",SER_hh_tes_in!R6/SER_hh_fec_in!R6)</f>
        <v/>
      </c>
      <c r="S6" s="137" t="str">
        <f>IF(SER_hh_tes_in!S6=0,"",SER_hh_tes_in!S6/SER_hh_fec_in!S6)</f>
        <v/>
      </c>
      <c r="T6" s="137" t="str">
        <f>IF(SER_hh_tes_in!T6=0,"",SER_hh_tes_in!T6/SER_hh_fec_in!T6)</f>
        <v/>
      </c>
      <c r="U6" s="137" t="str">
        <f>IF(SER_hh_tes_in!U6=0,"",SER_hh_tes_in!U6/SER_hh_fec_in!U6)</f>
        <v/>
      </c>
      <c r="V6" s="137" t="str">
        <f>IF(SER_hh_tes_in!V6=0,"",SER_hh_tes_in!V6/SER_hh_fec_in!V6)</f>
        <v/>
      </c>
      <c r="W6" s="137" t="str">
        <f>IF(SER_hh_tes_in!W6=0,"",SER_hh_tes_in!W6/SER_hh_fec_in!W6)</f>
        <v/>
      </c>
      <c r="DA6" s="164" t="s">
        <v>664</v>
      </c>
    </row>
    <row r="7" spans="1:105" ht="12" customHeight="1" x14ac:dyDescent="0.25">
      <c r="A7" s="132" t="s">
        <v>168</v>
      </c>
      <c r="B7" s="137"/>
      <c r="C7" s="137">
        <f>IF(SER_hh_tes_in!C7=0,"",SER_hh_tes_in!C7/SER_hh_fec_in!C7)</f>
        <v>0.56621004714438961</v>
      </c>
      <c r="D7" s="137">
        <f>IF(SER_hh_tes_in!D7=0,"",SER_hh_tes_in!D7/SER_hh_fec_in!D7)</f>
        <v>0.57199219999693418</v>
      </c>
      <c r="E7" s="137">
        <f>IF(SER_hh_tes_in!E7=0,"",SER_hh_tes_in!E7/SER_hh_fec_in!E7)</f>
        <v>0.57797960698604378</v>
      </c>
      <c r="F7" s="137">
        <f>IF(SER_hh_tes_in!F7=0,"",SER_hh_tes_in!F7/SER_hh_fec_in!F7)</f>
        <v>0.58393847834392942</v>
      </c>
      <c r="G7" s="137">
        <f>IF(SER_hh_tes_in!G7=0,"",SER_hh_tes_in!G7/SER_hh_fec_in!G7)</f>
        <v>0.59007231102529001</v>
      </c>
      <c r="H7" s="137">
        <f>IF(SER_hh_tes_in!H7=0,"",SER_hh_tes_in!H7/SER_hh_fec_in!H7)</f>
        <v>0.59635007019479613</v>
      </c>
      <c r="I7" s="137">
        <f>IF(SER_hh_tes_in!I7=0,"",SER_hh_tes_in!I7/SER_hh_fec_in!I7)</f>
        <v>0.60281570850822674</v>
      </c>
      <c r="J7" s="137">
        <f>IF(SER_hh_tes_in!J7=0,"",SER_hh_tes_in!J7/SER_hh_fec_in!J7)</f>
        <v>0.60966347218582284</v>
      </c>
      <c r="K7" s="137">
        <f>IF(SER_hh_tes_in!K7=0,"",SER_hh_tes_in!K7/SER_hh_fec_in!K7)</f>
        <v>0.61705087421008398</v>
      </c>
      <c r="L7" s="137">
        <f>IF(SER_hh_tes_in!L7=0,"",SER_hh_tes_in!L7/SER_hh_fec_in!L7)</f>
        <v>0.62500669368743211</v>
      </c>
      <c r="M7" s="137">
        <f>IF(SER_hh_tes_in!M7=0,"",SER_hh_tes_in!M7/SER_hh_fec_in!M7)</f>
        <v>0.637759952751209</v>
      </c>
      <c r="N7" s="137">
        <f>IF(SER_hh_tes_in!N7=0,"",SER_hh_tes_in!N7/SER_hh_fec_in!N7)</f>
        <v>0.65654374853770103</v>
      </c>
      <c r="O7" s="137">
        <f>IF(SER_hh_tes_in!O7=0,"",SER_hh_tes_in!O7/SER_hh_fec_in!O7)</f>
        <v>0.68205592389281</v>
      </c>
      <c r="P7" s="137">
        <f>IF(SER_hh_tes_in!P7=0,"",SER_hh_tes_in!P7/SER_hh_fec_in!P7)</f>
        <v>0.71130212290536288</v>
      </c>
      <c r="Q7" s="137">
        <f>IF(SER_hh_tes_in!Q7=0,"",SER_hh_tes_in!Q7/SER_hh_fec_in!Q7)</f>
        <v>0.73550638744459573</v>
      </c>
      <c r="R7" s="137">
        <f>IF(SER_hh_tes_in!R7=0,"",SER_hh_tes_in!R7/SER_hh_fec_in!R7)</f>
        <v>0.74734538723686761</v>
      </c>
      <c r="S7" s="137">
        <f>IF(SER_hh_tes_in!S7=0,"",SER_hh_tes_in!S7/SER_hh_fec_in!S7)</f>
        <v>0.75581604573850791</v>
      </c>
      <c r="T7" s="137">
        <f>IF(SER_hh_tes_in!T7=0,"",SER_hh_tes_in!T7/SER_hh_fec_in!T7)</f>
        <v>0.76202156394357246</v>
      </c>
      <c r="U7" s="137">
        <f>IF(SER_hh_tes_in!U7=0,"",SER_hh_tes_in!U7/SER_hh_fec_in!U7)</f>
        <v>0.76685539185608198</v>
      </c>
      <c r="V7" s="137">
        <f>IF(SER_hh_tes_in!V7=0,"",SER_hh_tes_in!V7/SER_hh_fec_in!V7)</f>
        <v>0.77104923736963293</v>
      </c>
      <c r="W7" s="137">
        <f>IF(SER_hh_tes_in!W7=0,"",SER_hh_tes_in!W7/SER_hh_fec_in!W7)</f>
        <v>0.77375956130545342</v>
      </c>
      <c r="DA7" s="164" t="s">
        <v>665</v>
      </c>
    </row>
    <row r="8" spans="1:105" ht="12" customHeight="1" x14ac:dyDescent="0.25">
      <c r="A8" s="132" t="s">
        <v>73</v>
      </c>
      <c r="B8" s="137"/>
      <c r="C8" s="137">
        <f>IF(SER_hh_tes_in!C8=0,"",SER_hh_tes_in!C8/SER_hh_fec_in!C8)</f>
        <v>1.7452574730677595</v>
      </c>
      <c r="D8" s="137">
        <f>IF(SER_hh_tes_in!D8=0,"",SER_hh_tes_in!D8/SER_hh_fec_in!D8)</f>
        <v>1.8643831085511671</v>
      </c>
      <c r="E8" s="137">
        <f>IF(SER_hh_tes_in!E8=0,"",SER_hh_tes_in!E8/SER_hh_fec_in!E8)</f>
        <v>1.9863073504049904</v>
      </c>
      <c r="F8" s="137">
        <f>IF(SER_hh_tes_in!F8=0,"",SER_hh_tes_in!F8/SER_hh_fec_in!F8)</f>
        <v>2.1105012624321202</v>
      </c>
      <c r="G8" s="137">
        <f>IF(SER_hh_tes_in!G8=0,"",SER_hh_tes_in!G8/SER_hh_fec_in!G8)</f>
        <v>2.2374064036984178</v>
      </c>
      <c r="H8" s="137">
        <f>IF(SER_hh_tes_in!H8=0,"",SER_hh_tes_in!H8/SER_hh_fec_in!H8)</f>
        <v>2.3669404672053589</v>
      </c>
      <c r="I8" s="137">
        <f>IF(SER_hh_tes_in!I8=0,"",SER_hh_tes_in!I8/SER_hh_fec_in!I8)</f>
        <v>2.4991826370072325</v>
      </c>
      <c r="J8" s="137">
        <f>IF(SER_hh_tes_in!J8=0,"",SER_hh_tes_in!J8/SER_hh_fec_in!J8)</f>
        <v>2.6345236300219832</v>
      </c>
      <c r="K8" s="137">
        <f>IF(SER_hh_tes_in!K8=0,"",SER_hh_tes_in!K8/SER_hh_fec_in!K8)</f>
        <v>2.7732569121498276</v>
      </c>
      <c r="L8" s="137">
        <f>IF(SER_hh_tes_in!L8=0,"",SER_hh_tes_in!L8/SER_hh_fec_in!L8)</f>
        <v>2.9153913554579245</v>
      </c>
      <c r="M8" s="137">
        <f>IF(SER_hh_tes_in!M8=0,"",SER_hh_tes_in!M8/SER_hh_fec_in!M8)</f>
        <v>3.0718952352395079</v>
      </c>
      <c r="N8" s="137">
        <f>IF(SER_hh_tes_in!N8=0,"",SER_hh_tes_in!N8/SER_hh_fec_in!N8)</f>
        <v>3.2456189339888426</v>
      </c>
      <c r="O8" s="137">
        <f>IF(SER_hh_tes_in!O8=0,"",SER_hh_tes_in!O8/SER_hh_fec_in!O8)</f>
        <v>3.4350785173612191</v>
      </c>
      <c r="P8" s="137">
        <f>IF(SER_hh_tes_in!P8=0,"",SER_hh_tes_in!P8/SER_hh_fec_in!P8)</f>
        <v>3.6258101633080972</v>
      </c>
      <c r="Q8" s="137">
        <f>IF(SER_hh_tes_in!Q8=0,"",SER_hh_tes_in!Q8/SER_hh_fec_in!Q8)</f>
        <v>3.7822146359832254</v>
      </c>
      <c r="R8" s="137">
        <f>IF(SER_hh_tes_in!R8=0,"",SER_hh_tes_in!R8/SER_hh_fec_in!R8)</f>
        <v>3.8460700301007305</v>
      </c>
      <c r="S8" s="137">
        <f>IF(SER_hh_tes_in!S8=0,"",SER_hh_tes_in!S8/SER_hh_fec_in!S8)</f>
        <v>3.8871553276999893</v>
      </c>
      <c r="T8" s="137">
        <f>IF(SER_hh_tes_in!T8=0,"",SER_hh_tes_in!T8/SER_hh_fec_in!T8)</f>
        <v>3.9140866498797302</v>
      </c>
      <c r="U8" s="137">
        <f>IF(SER_hh_tes_in!U8=0,"",SER_hh_tes_in!U8/SER_hh_fec_in!U8)</f>
        <v>3.9356294881372094</v>
      </c>
      <c r="V8" s="137">
        <f>IF(SER_hh_tes_in!V8=0,"",SER_hh_tes_in!V8/SER_hh_fec_in!V8)</f>
        <v>3.960795247201812</v>
      </c>
      <c r="W8" s="137">
        <f>IF(SER_hh_tes_in!W8=0,"",SER_hh_tes_in!W8/SER_hh_fec_in!W8)</f>
        <v>3.9885939291181485</v>
      </c>
      <c r="DA8" s="164" t="s">
        <v>666</v>
      </c>
    </row>
    <row r="9" spans="1:105" ht="12" customHeight="1" x14ac:dyDescent="0.25">
      <c r="A9" s="132" t="s">
        <v>78</v>
      </c>
      <c r="B9" s="137"/>
      <c r="C9" s="137">
        <f>IF(SER_hh_tes_in!C9=0,"",SER_hh_tes_in!C9/SER_hh_fec_in!C9)</f>
        <v>0.64864671463337731</v>
      </c>
      <c r="D9" s="137">
        <f>IF(SER_hh_tes_in!D9=0,"",SER_hh_tes_in!D9/SER_hh_fec_in!D9)</f>
        <v>0.65767522303180936</v>
      </c>
      <c r="E9" s="137">
        <f>IF(SER_hh_tes_in!E9=0,"",SER_hh_tes_in!E9/SER_hh_fec_in!E9)</f>
        <v>0.66670666580805638</v>
      </c>
      <c r="F9" s="137" t="str">
        <f>IF(SER_hh_tes_in!F9=0,"",SER_hh_tes_in!F9/SER_hh_fec_in!F9)</f>
        <v/>
      </c>
      <c r="G9" s="137" t="str">
        <f>IF(SER_hh_tes_in!G9=0,"",SER_hh_tes_in!G9/SER_hh_fec_in!G9)</f>
        <v/>
      </c>
      <c r="H9" s="137">
        <f>IF(SER_hh_tes_in!H9=0,"",SER_hh_tes_in!H9/SER_hh_fec_in!H9)</f>
        <v>0.69343696972156965</v>
      </c>
      <c r="I9" s="137">
        <f>IF(SER_hh_tes_in!I9=0,"",SER_hh_tes_in!I9/SER_hh_fec_in!I9)</f>
        <v>0.7023425703031414</v>
      </c>
      <c r="J9" s="137">
        <f>IF(SER_hh_tes_in!J9=0,"",SER_hh_tes_in!J9/SER_hh_fec_in!J9)</f>
        <v>0.71136599253559418</v>
      </c>
      <c r="K9" s="137">
        <f>IF(SER_hh_tes_in!K9=0,"",SER_hh_tes_in!K9/SER_hh_fec_in!K9)</f>
        <v>0.72060086201731355</v>
      </c>
      <c r="L9" s="137">
        <f>IF(SER_hh_tes_in!L9=0,"",SER_hh_tes_in!L9/SER_hh_fec_in!L9)</f>
        <v>0.73007464447724157</v>
      </c>
      <c r="M9" s="137">
        <f>IF(SER_hh_tes_in!M9=0,"",SER_hh_tes_in!M9/SER_hh_fec_in!M9)</f>
        <v>0.74218444255939875</v>
      </c>
      <c r="N9" s="137">
        <f>IF(SER_hh_tes_in!N9=0,"",SER_hh_tes_in!N9/SER_hh_fec_in!N9)</f>
        <v>0.7577239484403594</v>
      </c>
      <c r="O9" s="137">
        <f>IF(SER_hh_tes_in!O9=0,"",SER_hh_tes_in!O9/SER_hh_fec_in!O9)</f>
        <v>0.77715196823479049</v>
      </c>
      <c r="P9" s="137">
        <f>IF(SER_hh_tes_in!P9=0,"",SER_hh_tes_in!P9/SER_hh_fec_in!P9)</f>
        <v>0.79872898405923676</v>
      </c>
      <c r="Q9" s="137">
        <f>IF(SER_hh_tes_in!Q9=0,"",SER_hh_tes_in!Q9/SER_hh_fec_in!Q9)</f>
        <v>0.81702499007364149</v>
      </c>
      <c r="R9" s="137">
        <f>IF(SER_hh_tes_in!R9=0,"",SER_hh_tes_in!R9/SER_hh_fec_in!R9)</f>
        <v>0.82742391267398452</v>
      </c>
      <c r="S9" s="137">
        <f>IF(SER_hh_tes_in!S9=0,"",SER_hh_tes_in!S9/SER_hh_fec_in!S9)</f>
        <v>0.83545129272740193</v>
      </c>
      <c r="T9" s="137">
        <f>IF(SER_hh_tes_in!T9=0,"",SER_hh_tes_in!T9/SER_hh_fec_in!T9)</f>
        <v>0.84184822030893103</v>
      </c>
      <c r="U9" s="137">
        <f>IF(SER_hh_tes_in!U9=0,"",SER_hh_tes_in!U9/SER_hh_fec_in!U9)</f>
        <v>0.84717455238441097</v>
      </c>
      <c r="V9" s="137">
        <f>IF(SER_hh_tes_in!V9=0,"",SER_hh_tes_in!V9/SER_hh_fec_in!V9)</f>
        <v>0.85179850855964734</v>
      </c>
      <c r="W9" s="137">
        <f>IF(SER_hh_tes_in!W9=0,"",SER_hh_tes_in!W9/SER_hh_fec_in!W9)</f>
        <v>0.8549975154858106</v>
      </c>
      <c r="DA9" s="164" t="s">
        <v>667</v>
      </c>
    </row>
    <row r="10" spans="1:105" ht="12" customHeight="1" x14ac:dyDescent="0.25">
      <c r="A10" s="132" t="s">
        <v>128</v>
      </c>
      <c r="B10" s="137"/>
      <c r="C10" s="137">
        <f>IF(SER_hh_tes_in!C10=0,"",SER_hh_tes_in!C10/SER_hh_fec_in!C10)</f>
        <v>0.43474360774507198</v>
      </c>
      <c r="D10" s="137">
        <f>IF(SER_hh_tes_in!D10=0,"",SER_hh_tes_in!D10/SER_hh_fec_in!D10)</f>
        <v>0.4435432662224924</v>
      </c>
      <c r="E10" s="137">
        <f>IF(SER_hh_tes_in!E10=0,"",SER_hh_tes_in!E10/SER_hh_fec_in!E10)</f>
        <v>0.45242657844414463</v>
      </c>
      <c r="F10" s="137">
        <f>IF(SER_hh_tes_in!F10=0,"",SER_hh_tes_in!F10/SER_hh_fec_in!F10)</f>
        <v>0.46138500489133888</v>
      </c>
      <c r="G10" s="137">
        <f>IF(SER_hh_tes_in!G10=0,"",SER_hh_tes_in!G10/SER_hh_fec_in!G10)</f>
        <v>0.4704100567887155</v>
      </c>
      <c r="H10" s="137">
        <f>IF(SER_hh_tes_in!H10=0,"",SER_hh_tes_in!H10/SER_hh_fec_in!H10)</f>
        <v>0.47949162042039301</v>
      </c>
      <c r="I10" s="137" t="str">
        <f>IF(SER_hh_tes_in!I10=0,"",SER_hh_tes_in!I10/SER_hh_fec_in!I10)</f>
        <v/>
      </c>
      <c r="J10" s="137" t="str">
        <f>IF(SER_hh_tes_in!J10=0,"",SER_hh_tes_in!J10/SER_hh_fec_in!J10)</f>
        <v/>
      </c>
      <c r="K10" s="137">
        <f>IF(SER_hh_tes_in!K10=0,"",SER_hh_tes_in!K10/SER_hh_fec_in!K10)</f>
        <v>0.50687163466681817</v>
      </c>
      <c r="L10" s="137">
        <f>IF(SER_hh_tes_in!L10=0,"",SER_hh_tes_in!L10/SER_hh_fec_in!L10)</f>
        <v>0.51593049835431992</v>
      </c>
      <c r="M10" s="137">
        <f>IF(SER_hh_tes_in!M10=0,"",SER_hh_tes_in!M10/SER_hh_fec_in!M10)</f>
        <v>0.52427335286094268</v>
      </c>
      <c r="N10" s="137">
        <f>IF(SER_hh_tes_in!N10=0,"",SER_hh_tes_in!N10/SER_hh_fec_in!N10)</f>
        <v>0.53154645852807803</v>
      </c>
      <c r="O10" s="137">
        <f>IF(SER_hh_tes_in!O10=0,"",SER_hh_tes_in!O10/SER_hh_fec_in!O10)</f>
        <v>0.53755844860815361</v>
      </c>
      <c r="P10" s="137">
        <f>IF(SER_hh_tes_in!P10=0,"",SER_hh_tes_in!P10/SER_hh_fec_in!P10)</f>
        <v>0.54282440076226668</v>
      </c>
      <c r="Q10" s="137">
        <f>IF(SER_hh_tes_in!Q10=0,"",SER_hh_tes_in!Q10/SER_hh_fec_in!Q10)</f>
        <v>0.54909363245632625</v>
      </c>
      <c r="R10" s="137">
        <f>IF(SER_hh_tes_in!R10=0,"",SER_hh_tes_in!R10/SER_hh_fec_in!R10)</f>
        <v>0.5583374166235674</v>
      </c>
      <c r="S10" s="137">
        <f>IF(SER_hh_tes_in!S10=0,"",SER_hh_tes_in!S10/SER_hh_fec_in!S10)</f>
        <v>0.56869758350447031</v>
      </c>
      <c r="T10" s="137">
        <f>IF(SER_hh_tes_in!T10=0,"",SER_hh_tes_in!T10/SER_hh_fec_in!T10)</f>
        <v>0.57910800298485809</v>
      </c>
      <c r="U10" s="137">
        <f>IF(SER_hh_tes_in!U10=0,"",SER_hh_tes_in!U10/SER_hh_fec_in!U10)</f>
        <v>0.58869739876522353</v>
      </c>
      <c r="V10" s="137">
        <f>IF(SER_hh_tes_in!V10=0,"",SER_hh_tes_in!V10/SER_hh_fec_in!V10)</f>
        <v>0.59673548509683605</v>
      </c>
      <c r="W10" s="137">
        <f>IF(SER_hh_tes_in!W10=0,"",SER_hh_tes_in!W10/SER_hh_fec_in!W10)</f>
        <v>0.60320101262160963</v>
      </c>
      <c r="DA10" s="164" t="s">
        <v>668</v>
      </c>
    </row>
    <row r="11" spans="1:105" ht="12" customHeight="1" x14ac:dyDescent="0.25">
      <c r="A11" s="132" t="s">
        <v>25</v>
      </c>
      <c r="B11" s="137"/>
      <c r="C11" s="137" t="str">
        <f>IF(SER_hh_tes_in!C11=0,"",SER_hh_tes_in!C11/SER_hh_fec_in!C11)</f>
        <v/>
      </c>
      <c r="D11" s="137" t="str">
        <f>IF(SER_hh_tes_in!D11=0,"",SER_hh_tes_in!D11/SER_hh_fec_in!D11)</f>
        <v/>
      </c>
      <c r="E11" s="137" t="str">
        <f>IF(SER_hh_tes_in!E11=0,"",SER_hh_tes_in!E11/SER_hh_fec_in!E11)</f>
        <v/>
      </c>
      <c r="F11" s="137" t="str">
        <f>IF(SER_hh_tes_in!F11=0,"",SER_hh_tes_in!F11/SER_hh_fec_in!F11)</f>
        <v/>
      </c>
      <c r="G11" s="137" t="str">
        <f>IF(SER_hh_tes_in!G11=0,"",SER_hh_tes_in!G11/SER_hh_fec_in!G11)</f>
        <v/>
      </c>
      <c r="H11" s="137" t="str">
        <f>IF(SER_hh_tes_in!H11=0,"",SER_hh_tes_in!H11/SER_hh_fec_in!H11)</f>
        <v/>
      </c>
      <c r="I11" s="137" t="str">
        <f>IF(SER_hh_tes_in!I11=0,"",SER_hh_tes_in!I11/SER_hh_fec_in!I11)</f>
        <v/>
      </c>
      <c r="J11" s="137" t="str">
        <f>IF(SER_hh_tes_in!J11=0,"",SER_hh_tes_in!J11/SER_hh_fec_in!J11)</f>
        <v/>
      </c>
      <c r="K11" s="137" t="str">
        <f>IF(SER_hh_tes_in!K11=0,"",SER_hh_tes_in!K11/SER_hh_fec_in!K11)</f>
        <v/>
      </c>
      <c r="L11" s="137" t="str">
        <f>IF(SER_hh_tes_in!L11=0,"",SER_hh_tes_in!L11/SER_hh_fec_in!L11)</f>
        <v/>
      </c>
      <c r="M11" s="137" t="str">
        <f>IF(SER_hh_tes_in!M11=0,"",SER_hh_tes_in!M11/SER_hh_fec_in!M11)</f>
        <v/>
      </c>
      <c r="N11" s="137" t="str">
        <f>IF(SER_hh_tes_in!N11=0,"",SER_hh_tes_in!N11/SER_hh_fec_in!N11)</f>
        <v/>
      </c>
      <c r="O11" s="137" t="str">
        <f>IF(SER_hh_tes_in!O11=0,"",SER_hh_tes_in!O11/SER_hh_fec_in!O11)</f>
        <v/>
      </c>
      <c r="P11" s="137" t="str">
        <f>IF(SER_hh_tes_in!P11=0,"",SER_hh_tes_in!P11/SER_hh_fec_in!P11)</f>
        <v/>
      </c>
      <c r="Q11" s="137" t="str">
        <f>IF(SER_hh_tes_in!Q11=0,"",SER_hh_tes_in!Q11/SER_hh_fec_in!Q11)</f>
        <v/>
      </c>
      <c r="R11" s="137" t="str">
        <f>IF(SER_hh_tes_in!R11=0,"",SER_hh_tes_in!R11/SER_hh_fec_in!R11)</f>
        <v/>
      </c>
      <c r="S11" s="137" t="str">
        <f>IF(SER_hh_tes_in!S11=0,"",SER_hh_tes_in!S11/SER_hh_fec_in!S11)</f>
        <v/>
      </c>
      <c r="T11" s="137" t="str">
        <f>IF(SER_hh_tes_in!T11=0,"",SER_hh_tes_in!T11/SER_hh_fec_in!T11)</f>
        <v/>
      </c>
      <c r="U11" s="137" t="str">
        <f>IF(SER_hh_tes_in!U11=0,"",SER_hh_tes_in!U11/SER_hh_fec_in!U11)</f>
        <v/>
      </c>
      <c r="V11" s="137" t="str">
        <f>IF(SER_hh_tes_in!V11=0,"",SER_hh_tes_in!V11/SER_hh_fec_in!V11)</f>
        <v/>
      </c>
      <c r="W11" s="137" t="str">
        <f>IF(SER_hh_tes_in!W11=0,"",SER_hh_tes_in!W11/SER_hh_fec_in!W11)</f>
        <v/>
      </c>
      <c r="DA11" s="164" t="s">
        <v>669</v>
      </c>
    </row>
    <row r="12" spans="1:105" ht="12" customHeight="1" x14ac:dyDescent="0.25">
      <c r="A12" s="132" t="s">
        <v>169</v>
      </c>
      <c r="B12" s="137"/>
      <c r="C12" s="137">
        <f>IF(SER_hh_tes_in!C12=0,"",SER_hh_tes_in!C12/SER_hh_fec_in!C12)</f>
        <v>0.87728271104042743</v>
      </c>
      <c r="D12" s="137">
        <f>IF(SER_hh_tes_in!D12=0,"",SER_hh_tes_in!D12/SER_hh_fec_in!D12)</f>
        <v>0.87914105469862835</v>
      </c>
      <c r="E12" s="137">
        <f>IF(SER_hh_tes_in!E12=0,"",SER_hh_tes_in!E12/SER_hh_fec_in!E12)</f>
        <v>0.88104956878734098</v>
      </c>
      <c r="F12" s="137">
        <f>IF(SER_hh_tes_in!F12=0,"",SER_hh_tes_in!F12/SER_hh_fec_in!F12)</f>
        <v>0.88296492429839624</v>
      </c>
      <c r="G12" s="137">
        <f>IF(SER_hh_tes_in!G12=0,"",SER_hh_tes_in!G12/SER_hh_fec_in!G12)</f>
        <v>0.88492648382497663</v>
      </c>
      <c r="H12" s="137">
        <f>IF(SER_hh_tes_in!H12=0,"",SER_hh_tes_in!H12/SER_hh_fec_in!H12)</f>
        <v>0.88692942988679058</v>
      </c>
      <c r="I12" s="137">
        <f>IF(SER_hh_tes_in!I12=0,"",SER_hh_tes_in!I12/SER_hh_fec_in!I12)</f>
        <v>0.88898346142794804</v>
      </c>
      <c r="J12" s="137" t="str">
        <f>IF(SER_hh_tes_in!J12=0,"",SER_hh_tes_in!J12/SER_hh_fec_in!J12)</f>
        <v/>
      </c>
      <c r="K12" s="137" t="str">
        <f>IF(SER_hh_tes_in!K12=0,"",SER_hh_tes_in!K12/SER_hh_fec_in!K12)</f>
        <v/>
      </c>
      <c r="L12" s="137">
        <f>IF(SER_hh_tes_in!L12=0,"",SER_hh_tes_in!L12/SER_hh_fec_in!L12)</f>
        <v>0.89580085722413982</v>
      </c>
      <c r="M12" s="137">
        <f>IF(SER_hh_tes_in!M12=0,"",SER_hh_tes_in!M12/SER_hh_fec_in!M12)</f>
        <v>0.89912823975710077</v>
      </c>
      <c r="N12" s="137">
        <f>IF(SER_hh_tes_in!N12=0,"",SER_hh_tes_in!N12/SER_hh_fec_in!N12)</f>
        <v>0.90362989487169687</v>
      </c>
      <c r="O12" s="137">
        <f>IF(SER_hh_tes_in!O12=0,"",SER_hh_tes_in!O12/SER_hh_fec_in!O12)</f>
        <v>0.90952496325753529</v>
      </c>
      <c r="P12" s="137">
        <f>IF(SER_hh_tes_in!P12=0,"",SER_hh_tes_in!P12/SER_hh_fec_in!P12)</f>
        <v>0.91639651368586517</v>
      </c>
      <c r="Q12" s="137">
        <f>IF(SER_hh_tes_in!Q12=0,"",SER_hh_tes_in!Q12/SER_hh_fec_in!Q12)</f>
        <v>0.92287966385341269</v>
      </c>
      <c r="R12" s="137">
        <f>IF(SER_hh_tes_in!R12=0,"",SER_hh_tes_in!R12/SER_hh_fec_in!R12)</f>
        <v>0.92784748544604378</v>
      </c>
      <c r="S12" s="137">
        <f>IF(SER_hh_tes_in!S12=0,"",SER_hh_tes_in!S12/SER_hh_fec_in!S12)</f>
        <v>0.93268034539336042</v>
      </c>
      <c r="T12" s="137">
        <f>IF(SER_hh_tes_in!T12=0,"",SER_hh_tes_in!T12/SER_hh_fec_in!T12)</f>
        <v>0.93734595259740683</v>
      </c>
      <c r="U12" s="137">
        <f>IF(SER_hh_tes_in!U12=0,"",SER_hh_tes_in!U12/SER_hh_fec_in!U12)</f>
        <v>0.94181201596024222</v>
      </c>
      <c r="V12" s="137">
        <f>IF(SER_hh_tes_in!V12=0,"",SER_hh_tes_in!V12/SER_hh_fec_in!V12)</f>
        <v>0.94604624438391971</v>
      </c>
      <c r="W12" s="137">
        <f>IF(SER_hh_tes_in!W12=0,"",SER_hh_tes_in!W12/SER_hh_fec_in!W12)</f>
        <v>0.94994678488916839</v>
      </c>
      <c r="DA12" s="164" t="s">
        <v>670</v>
      </c>
    </row>
    <row r="13" spans="1:105" ht="12" customHeight="1" x14ac:dyDescent="0.25">
      <c r="A13" s="132" t="s">
        <v>77</v>
      </c>
      <c r="B13" s="137"/>
      <c r="C13" s="137">
        <f>IF(SER_hh_tes_in!C13=0,"",SER_hh_tes_in!C13/SER_hh_fec_in!C13)</f>
        <v>1.5655068716548162</v>
      </c>
      <c r="D13" s="137">
        <f>IF(SER_hh_tes_in!D13=0,"",SER_hh_tes_in!D13/SER_hh_fec_in!D13)</f>
        <v>1.6818151077916912</v>
      </c>
      <c r="E13" s="137">
        <f>IF(SER_hh_tes_in!E13=0,"",SER_hh_tes_in!E13/SER_hh_fec_in!E13)</f>
        <v>1.80145443119675</v>
      </c>
      <c r="F13" s="137">
        <f>IF(SER_hh_tes_in!F13=0,"",SER_hh_tes_in!F13/SER_hh_fec_in!F13)</f>
        <v>1.9239275194855974</v>
      </c>
      <c r="G13" s="137">
        <f>IF(SER_hh_tes_in!G13=0,"",SER_hh_tes_in!G13/SER_hh_fec_in!G13)</f>
        <v>2.0496475425900416</v>
      </c>
      <c r="H13" s="137">
        <f>IF(SER_hh_tes_in!H13=0,"",SER_hh_tes_in!H13/SER_hh_fec_in!H13)</f>
        <v>2.1785365395194929</v>
      </c>
      <c r="I13" s="137">
        <f>IF(SER_hh_tes_in!I13=0,"",SER_hh_tes_in!I13/SER_hh_fec_in!I13)</f>
        <v>2.310667781746031</v>
      </c>
      <c r="J13" s="137">
        <f>IF(SER_hh_tes_in!J13=0,"",SER_hh_tes_in!J13/SER_hh_fec_in!J13)</f>
        <v>2.4464049870123068</v>
      </c>
      <c r="K13" s="137">
        <f>IF(SER_hh_tes_in!K13=0,"",SER_hh_tes_in!K13/SER_hh_fec_in!K13)</f>
        <v>2.5860173342881656</v>
      </c>
      <c r="L13" s="137">
        <f>IF(SER_hh_tes_in!L13=0,"",SER_hh_tes_in!L13/SER_hh_fec_in!L13)</f>
        <v>2.7295042489261601</v>
      </c>
      <c r="M13" s="137">
        <f>IF(SER_hh_tes_in!M13=0,"",SER_hh_tes_in!M13/SER_hh_fec_in!M13)</f>
        <v>2.8872794165821229</v>
      </c>
      <c r="N13" s="137">
        <f>IF(SER_hh_tes_in!N13=0,"",SER_hh_tes_in!N13/SER_hh_fec_in!N13)</f>
        <v>3.0619882424807954</v>
      </c>
      <c r="O13" s="137">
        <f>IF(SER_hh_tes_in!O13=0,"",SER_hh_tes_in!O13/SER_hh_fec_in!O13)</f>
        <v>3.2518653608084183</v>
      </c>
      <c r="P13" s="137">
        <f>IF(SER_hh_tes_in!P13=0,"",SER_hh_tes_in!P13/SER_hh_fec_in!P13)</f>
        <v>3.4424545207762982</v>
      </c>
      <c r="Q13" s="137">
        <f>IF(SER_hh_tes_in!Q13=0,"",SER_hh_tes_in!Q13/SER_hh_fec_in!Q13)</f>
        <v>3.5986875678147521</v>
      </c>
      <c r="R13" s="137">
        <f>IF(SER_hh_tes_in!R13=0,"",SER_hh_tes_in!R13/SER_hh_fec_in!R13)</f>
        <v>3.6611059675772992</v>
      </c>
      <c r="S13" s="137">
        <f>IF(SER_hh_tes_in!S13=0,"",SER_hh_tes_in!S13/SER_hh_fec_in!S13)</f>
        <v>3.700614364782163</v>
      </c>
      <c r="T13" s="137">
        <f>IF(SER_hh_tes_in!T13=0,"",SER_hh_tes_in!T13/SER_hh_fec_in!T13)</f>
        <v>3.7259537060780099</v>
      </c>
      <c r="U13" s="137">
        <f>IF(SER_hh_tes_in!U13=0,"",SER_hh_tes_in!U13/SER_hh_fec_in!U13)</f>
        <v>3.7461203463072854</v>
      </c>
      <c r="V13" s="137">
        <f>IF(SER_hh_tes_in!V13=0,"",SER_hh_tes_in!V13/SER_hh_fec_in!V13)</f>
        <v>3.7704640198059867</v>
      </c>
      <c r="W13" s="137">
        <f>IF(SER_hh_tes_in!W13=0,"",SER_hh_tes_in!W13/SER_hh_fec_in!W13)</f>
        <v>3.7982938172932625</v>
      </c>
      <c r="DA13" s="164" t="s">
        <v>671</v>
      </c>
    </row>
    <row r="14" spans="1:105" ht="12" customHeight="1" x14ac:dyDescent="0.25">
      <c r="A14" s="60" t="s">
        <v>76</v>
      </c>
      <c r="B14" s="138"/>
      <c r="C14" s="138">
        <f>IF(SER_hh_tes_in!C14=0,"",SER_hh_tes_in!C14/SER_hh_fec_in!C14)</f>
        <v>0.79461023997571345</v>
      </c>
      <c r="D14" s="138">
        <f>IF(SER_hh_tes_in!D14=0,"",SER_hh_tes_in!D14/SER_hh_fec_in!D14)</f>
        <v>0.7978836105043996</v>
      </c>
      <c r="E14" s="138">
        <f>IF(SER_hh_tes_in!E14=0,"",SER_hh_tes_in!E14/SER_hh_fec_in!E14)</f>
        <v>0.80124096135957545</v>
      </c>
      <c r="F14" s="138">
        <f>IF(SER_hh_tes_in!F14=0,"",SER_hh_tes_in!F14/SER_hh_fec_in!F14)</f>
        <v>0.8046096548496704</v>
      </c>
      <c r="G14" s="138">
        <f>IF(SER_hh_tes_in!G14=0,"",SER_hh_tes_in!G14/SER_hh_fec_in!G14)</f>
        <v>0.80805563696178029</v>
      </c>
      <c r="H14" s="138">
        <f>IF(SER_hh_tes_in!H14=0,"",SER_hh_tes_in!H14/SER_hh_fec_in!H14)</f>
        <v>0.81157078994393883</v>
      </c>
      <c r="I14" s="138">
        <f>IF(SER_hh_tes_in!I14=0,"",SER_hh_tes_in!I14/SER_hh_fec_in!I14)</f>
        <v>0.81517129554383583</v>
      </c>
      <c r="J14" s="138" t="str">
        <f>IF(SER_hh_tes_in!J14=0,"",SER_hh_tes_in!J14/SER_hh_fec_in!J14)</f>
        <v/>
      </c>
      <c r="K14" s="138" t="str">
        <f>IF(SER_hh_tes_in!K14=0,"",SER_hh_tes_in!K14/SER_hh_fec_in!K14)</f>
        <v/>
      </c>
      <c r="L14" s="138" t="str">
        <f>IF(SER_hh_tes_in!L14=0,"",SER_hh_tes_in!L14/SER_hh_fec_in!L14)</f>
        <v/>
      </c>
      <c r="M14" s="138" t="str">
        <f>IF(SER_hh_tes_in!M14=0,"",SER_hh_tes_in!M14/SER_hh_fec_in!M14)</f>
        <v/>
      </c>
      <c r="N14" s="138" t="str">
        <f>IF(SER_hh_tes_in!N14=0,"",SER_hh_tes_in!N14/SER_hh_fec_in!N14)</f>
        <v/>
      </c>
      <c r="O14" s="138" t="str">
        <f>IF(SER_hh_tes_in!O14=0,"",SER_hh_tes_in!O14/SER_hh_fec_in!O14)</f>
        <v/>
      </c>
      <c r="P14" s="138" t="str">
        <f>IF(SER_hh_tes_in!P14=0,"",SER_hh_tes_in!P14/SER_hh_fec_in!P14)</f>
        <v/>
      </c>
      <c r="Q14" s="138" t="str">
        <f>IF(SER_hh_tes_in!Q14=0,"",SER_hh_tes_in!Q14/SER_hh_fec_in!Q14)</f>
        <v/>
      </c>
      <c r="R14" s="138">
        <f>IF(SER_hh_tes_in!R14=0,"",SER_hh_tes_in!R14/SER_hh_fec_in!R14)</f>
        <v>0.88562998037967655</v>
      </c>
      <c r="S14" s="138">
        <f>IF(SER_hh_tes_in!S14=0,"",SER_hh_tes_in!S14/SER_hh_fec_in!S14)</f>
        <v>0.9006799394224092</v>
      </c>
      <c r="T14" s="138">
        <f>IF(SER_hh_tes_in!T14=0,"",SER_hh_tes_in!T14/SER_hh_fec_in!T14)</f>
        <v>0.91590794376072338</v>
      </c>
      <c r="U14" s="138">
        <f>IF(SER_hh_tes_in!U14=0,"",SER_hh_tes_in!U14/SER_hh_fec_in!U14)</f>
        <v>0.92937147917458118</v>
      </c>
      <c r="V14" s="138">
        <f>IF(SER_hh_tes_in!V14=0,"",SER_hh_tes_in!V14/SER_hh_fec_in!V14)</f>
        <v>0.93912245499104163</v>
      </c>
      <c r="W14" s="138">
        <f>IF(SER_hh_tes_in!W14=0,"",SER_hh_tes_in!W14/SER_hh_fec_in!W14)</f>
        <v>0.94402092131494109</v>
      </c>
      <c r="DA14" s="165" t="s">
        <v>672</v>
      </c>
    </row>
    <row r="15" spans="1:105" ht="12" customHeight="1" x14ac:dyDescent="0.25">
      <c r="A15" s="134" t="s">
        <v>80</v>
      </c>
      <c r="B15" s="139"/>
      <c r="C15" s="139">
        <f>IF(SER_hh_tes_in!C15=0,"",SER_hh_tes_in!C15/SER_hh_fec_in!C15)</f>
        <v>1</v>
      </c>
      <c r="D15" s="139">
        <f>IF(SER_hh_tes_in!D15=0,"",SER_hh_tes_in!D15/SER_hh_fec_in!D15)</f>
        <v>1</v>
      </c>
      <c r="E15" s="139">
        <f>IF(SER_hh_tes_in!E15=0,"",SER_hh_tes_in!E15/SER_hh_fec_in!E15)</f>
        <v>1</v>
      </c>
      <c r="F15" s="139">
        <f>IF(SER_hh_tes_in!F15=0,"",SER_hh_tes_in!F15/SER_hh_fec_in!F15)</f>
        <v>1</v>
      </c>
      <c r="G15" s="139">
        <f>IF(SER_hh_tes_in!G15=0,"",SER_hh_tes_in!G15/SER_hh_fec_in!G15)</f>
        <v>1</v>
      </c>
      <c r="H15" s="139">
        <f>IF(SER_hh_tes_in!H15=0,"",SER_hh_tes_in!H15/SER_hh_fec_in!H15)</f>
        <v>1</v>
      </c>
      <c r="I15" s="139">
        <f>IF(SER_hh_tes_in!I15=0,"",SER_hh_tes_in!I15/SER_hh_fec_in!I15)</f>
        <v>1</v>
      </c>
      <c r="J15" s="139">
        <f>IF(SER_hh_tes_in!J15=0,"",SER_hh_tes_in!J15/SER_hh_fec_in!J15)</f>
        <v>1</v>
      </c>
      <c r="K15" s="139">
        <f>IF(SER_hh_tes_in!K15=0,"",SER_hh_tes_in!K15/SER_hh_fec_in!K15)</f>
        <v>1</v>
      </c>
      <c r="L15" s="139">
        <f>IF(SER_hh_tes_in!L15=0,"",SER_hh_tes_in!L15/SER_hh_fec_in!L15)</f>
        <v>1</v>
      </c>
      <c r="M15" s="139">
        <f>IF(SER_hh_tes_in!M15=0,"",SER_hh_tes_in!M15/SER_hh_fec_in!M15)</f>
        <v>1</v>
      </c>
      <c r="N15" s="139">
        <f>IF(SER_hh_tes_in!N15=0,"",SER_hh_tes_in!N15/SER_hh_fec_in!N15)</f>
        <v>1</v>
      </c>
      <c r="O15" s="139">
        <f>IF(SER_hh_tes_in!O15=0,"",SER_hh_tes_in!O15/SER_hh_fec_in!O15)</f>
        <v>1</v>
      </c>
      <c r="P15" s="139">
        <f>IF(SER_hh_tes_in!P15=0,"",SER_hh_tes_in!P15/SER_hh_fec_in!P15)</f>
        <v>1</v>
      </c>
      <c r="Q15" s="139">
        <f>IF(SER_hh_tes_in!Q15=0,"",SER_hh_tes_in!Q15/SER_hh_fec_in!Q15)</f>
        <v>1</v>
      </c>
      <c r="R15" s="139">
        <f>IF(SER_hh_tes_in!R15=0,"",SER_hh_tes_in!R15/SER_hh_fec_in!R15)</f>
        <v>1</v>
      </c>
      <c r="S15" s="139">
        <f>IF(SER_hh_tes_in!S15=0,"",SER_hh_tes_in!S15/SER_hh_fec_in!S15)</f>
        <v>1</v>
      </c>
      <c r="T15" s="139">
        <f>IF(SER_hh_tes_in!T15=0,"",SER_hh_tes_in!T15/SER_hh_fec_in!T15)</f>
        <v>1</v>
      </c>
      <c r="U15" s="139">
        <f>IF(SER_hh_tes_in!U15=0,"",SER_hh_tes_in!U15/SER_hh_fec_in!U15)</f>
        <v>1</v>
      </c>
      <c r="V15" s="139">
        <f>IF(SER_hh_tes_in!V15=0,"",SER_hh_tes_in!V15/SER_hh_fec_in!V15)</f>
        <v>1</v>
      </c>
      <c r="W15" s="139">
        <f>IF(SER_hh_tes_in!W15=0,"",SER_hh_tes_in!W15/SER_hh_fec_in!W15)</f>
        <v>1</v>
      </c>
      <c r="DA15" s="166" t="s">
        <v>673</v>
      </c>
    </row>
    <row r="16" spans="1:105" ht="12.95" customHeight="1" x14ac:dyDescent="0.25">
      <c r="A16" s="130" t="s">
        <v>74</v>
      </c>
      <c r="B16" s="136"/>
      <c r="C16" s="136">
        <f>IF(SER_hh_tes_in!C16=0,"",SER_hh_tes_in!C16/SER_hh_fec_in!C16)</f>
        <v>2.670641753325413</v>
      </c>
      <c r="D16" s="136">
        <f>IF(SER_hh_tes_in!D16=0,"",SER_hh_tes_in!D16/SER_hh_fec_in!D16)</f>
        <v>2.7630757465522198</v>
      </c>
      <c r="E16" s="136">
        <f>IF(SER_hh_tes_in!E16=0,"",SER_hh_tes_in!E16/SER_hh_fec_in!E16)</f>
        <v>2.8603806292871972</v>
      </c>
      <c r="F16" s="136">
        <f>IF(SER_hh_tes_in!F16=0,"",SER_hh_tes_in!F16/SER_hh_fec_in!F16)</f>
        <v>2.9458506176093597</v>
      </c>
      <c r="G16" s="136">
        <f>IF(SER_hh_tes_in!G16=0,"",SER_hh_tes_in!G16/SER_hh_fec_in!G16)</f>
        <v>3.0430116013047588</v>
      </c>
      <c r="H16" s="136">
        <f>IF(SER_hh_tes_in!H16=0,"",SER_hh_tes_in!H16/SER_hh_fec_in!H16)</f>
        <v>3.1433585798983561</v>
      </c>
      <c r="I16" s="136">
        <f>IF(SER_hh_tes_in!I16=0,"",SER_hh_tes_in!I16/SER_hh_fec_in!I16)</f>
        <v>3.2308550856113141</v>
      </c>
      <c r="J16" s="136">
        <f>IF(SER_hh_tes_in!J16=0,"",SER_hh_tes_in!J16/SER_hh_fec_in!J16)</f>
        <v>3.3275652416042982</v>
      </c>
      <c r="K16" s="136">
        <f>IF(SER_hh_tes_in!K16=0,"",SER_hh_tes_in!K16/SER_hh_fec_in!K16)</f>
        <v>3.4284435199355419</v>
      </c>
      <c r="L16" s="136">
        <f>IF(SER_hh_tes_in!L16=0,"",SER_hh_tes_in!L16/SER_hh_fec_in!L16)</f>
        <v>3.5412541352256799</v>
      </c>
      <c r="M16" s="136">
        <f>IF(SER_hh_tes_in!M16=0,"",SER_hh_tes_in!M16/SER_hh_fec_in!M16)</f>
        <v>3.6582711685084437</v>
      </c>
      <c r="N16" s="136">
        <f>IF(SER_hh_tes_in!N16=0,"",SER_hh_tes_in!N16/SER_hh_fec_in!N16)</f>
        <v>3.8063963905142133</v>
      </c>
      <c r="O16" s="136">
        <f>IF(SER_hh_tes_in!O16=0,"",SER_hh_tes_in!O16/SER_hh_fec_in!O16)</f>
        <v>3.9746402145001021</v>
      </c>
      <c r="P16" s="136">
        <f>IF(SER_hh_tes_in!P16=0,"",SER_hh_tes_in!P16/SER_hh_fec_in!P16)</f>
        <v>4.1425383039024837</v>
      </c>
      <c r="Q16" s="136">
        <f>IF(SER_hh_tes_in!Q16=0,"",SER_hh_tes_in!Q16/SER_hh_fec_in!Q16)</f>
        <v>4.2766352766921285</v>
      </c>
      <c r="R16" s="136">
        <f>IF(SER_hh_tes_in!R16=0,"",SER_hh_tes_in!R16/SER_hh_fec_in!R16)</f>
        <v>4.4109286714932594</v>
      </c>
      <c r="S16" s="136">
        <f>IF(SER_hh_tes_in!S16=0,"",SER_hh_tes_in!S16/SER_hh_fec_in!S16)</f>
        <v>4.5150373824163754</v>
      </c>
      <c r="T16" s="136">
        <f>IF(SER_hh_tes_in!T16=0,"",SER_hh_tes_in!T16/SER_hh_fec_in!T16)</f>
        <v>4.5511792491889924</v>
      </c>
      <c r="U16" s="136">
        <f>IF(SER_hh_tes_in!U16=0,"",SER_hh_tes_in!U16/SER_hh_fec_in!U16)</f>
        <v>4.5996716081995324</v>
      </c>
      <c r="V16" s="136">
        <f>IF(SER_hh_tes_in!V16=0,"",SER_hh_tes_in!V16/SER_hh_fec_in!V16)</f>
        <v>4.6462907759191499</v>
      </c>
      <c r="W16" s="136">
        <f>IF(SER_hh_tes_in!W16=0,"",SER_hh_tes_in!W16/SER_hh_fec_in!W16)</f>
        <v>4.8171984978463707</v>
      </c>
      <c r="DA16" s="163" t="s">
        <v>674</v>
      </c>
    </row>
    <row r="17" spans="1:105" ht="12.95" customHeight="1" x14ac:dyDescent="0.25">
      <c r="A17" s="132" t="s">
        <v>73</v>
      </c>
      <c r="B17" s="137"/>
      <c r="C17" s="137">
        <f>IF(SER_hh_tes_in!C17=0,"",SER_hh_tes_in!C17/SER_hh_fec_in!C17)</f>
        <v>1.3730830017302771</v>
      </c>
      <c r="D17" s="137">
        <f>IF(SER_hh_tes_in!D17=0,"",SER_hh_tes_in!D17/SER_hh_fec_in!D17)</f>
        <v>1.3786903425677643</v>
      </c>
      <c r="E17" s="137">
        <f>IF(SER_hh_tes_in!E17=0,"",SER_hh_tes_in!E17/SER_hh_fec_in!E17)</f>
        <v>1.3834473736752728</v>
      </c>
      <c r="F17" s="137">
        <f>IF(SER_hh_tes_in!F17=0,"",SER_hh_tes_in!F17/SER_hh_fec_in!F17)</f>
        <v>1.3874873166291257</v>
      </c>
      <c r="G17" s="137">
        <f>IF(SER_hh_tes_in!G17=0,"",SER_hh_tes_in!G17/SER_hh_fec_in!G17)</f>
        <v>1.3908523129861341</v>
      </c>
      <c r="H17" s="137">
        <f>IF(SER_hh_tes_in!H17=0,"",SER_hh_tes_in!H17/SER_hh_fec_in!H17)</f>
        <v>1.3937989404023372</v>
      </c>
      <c r="I17" s="137">
        <f>IF(SER_hh_tes_in!I17=0,"",SER_hh_tes_in!I17/SER_hh_fec_in!I17)</f>
        <v>1.3964079554424658</v>
      </c>
      <c r="J17" s="137">
        <f>IF(SER_hh_tes_in!J17=0,"",SER_hh_tes_in!J17/SER_hh_fec_in!J17)</f>
        <v>1.3989576474687744</v>
      </c>
      <c r="K17" s="137">
        <f>IF(SER_hh_tes_in!K17=0,"",SER_hh_tes_in!K17/SER_hh_fec_in!K17)</f>
        <v>1.401845583060167</v>
      </c>
      <c r="L17" s="137">
        <f>IF(SER_hh_tes_in!L17=0,"",SER_hh_tes_in!L17/SER_hh_fec_in!L17)</f>
        <v>1.4053218414754309</v>
      </c>
      <c r="M17" s="137">
        <f>IF(SER_hh_tes_in!M17=0,"",SER_hh_tes_in!M17/SER_hh_fec_in!M17)</f>
        <v>1.4129006905760422</v>
      </c>
      <c r="N17" s="137">
        <f>IF(SER_hh_tes_in!N17=0,"",SER_hh_tes_in!N17/SER_hh_fec_in!N17)</f>
        <v>1.4291891995941033</v>
      </c>
      <c r="O17" s="137">
        <f>IF(SER_hh_tes_in!O17=0,"",SER_hh_tes_in!O17/SER_hh_fec_in!O17)</f>
        <v>1.4558689148713657</v>
      </c>
      <c r="P17" s="137">
        <f>IF(SER_hh_tes_in!P17=0,"",SER_hh_tes_in!P17/SER_hh_fec_in!P17)</f>
        <v>1.4923270310768662</v>
      </c>
      <c r="Q17" s="137">
        <f>IF(SER_hh_tes_in!Q17=0,"",SER_hh_tes_in!Q17/SER_hh_fec_in!Q17)</f>
        <v>1.5309255487476285</v>
      </c>
      <c r="R17" s="137">
        <f>IF(SER_hh_tes_in!R17=0,"",SER_hh_tes_in!R17/SER_hh_fec_in!R17)</f>
        <v>1.5626968734543336</v>
      </c>
      <c r="S17" s="137">
        <f>IF(SER_hh_tes_in!S17=0,"",SER_hh_tes_in!S17/SER_hh_fec_in!S17)</f>
        <v>1.5939985006920474</v>
      </c>
      <c r="T17" s="137">
        <f>IF(SER_hh_tes_in!T17=0,"",SER_hh_tes_in!T17/SER_hh_fec_in!T17)</f>
        <v>1.6303954796219089</v>
      </c>
      <c r="U17" s="137">
        <f>IF(SER_hh_tes_in!U17=0,"",SER_hh_tes_in!U17/SER_hh_fec_in!U17)</f>
        <v>1.6688863213609222</v>
      </c>
      <c r="V17" s="137">
        <f>IF(SER_hh_tes_in!V17=0,"",SER_hh_tes_in!V17/SER_hh_fec_in!V17)</f>
        <v>1.706174668161639</v>
      </c>
      <c r="W17" s="137">
        <f>IF(SER_hh_tes_in!W17=0,"",SER_hh_tes_in!W17/SER_hh_fec_in!W17)</f>
        <v>1.7367159477000318</v>
      </c>
      <c r="DA17" s="164" t="s">
        <v>675</v>
      </c>
    </row>
    <row r="18" spans="1:105" ht="12" customHeight="1" x14ac:dyDescent="0.25">
      <c r="A18" s="132" t="s">
        <v>72</v>
      </c>
      <c r="B18" s="137"/>
      <c r="C18" s="137">
        <f>IF(SER_hh_tes_in!C18=0,"",SER_hh_tes_in!C18/SER_hh_fec_in!C18)</f>
        <v>2.6735059006422892</v>
      </c>
      <c r="D18" s="137">
        <f>IF(SER_hh_tes_in!D18=0,"",SER_hh_tes_in!D18/SER_hh_fec_in!D18)</f>
        <v>2.7665950379316326</v>
      </c>
      <c r="E18" s="137">
        <f>IF(SER_hh_tes_in!E18=0,"",SER_hh_tes_in!E18/SER_hh_fec_in!E18)</f>
        <v>2.8608215665793018</v>
      </c>
      <c r="F18" s="137">
        <f>IF(SER_hh_tes_in!F18=0,"",SER_hh_tes_in!F18/SER_hh_fec_in!F18)</f>
        <v>2.9552687507823157</v>
      </c>
      <c r="G18" s="137">
        <f>IF(SER_hh_tes_in!G18=0,"",SER_hh_tes_in!G18/SER_hh_fec_in!G18)</f>
        <v>3.0507288824836514</v>
      </c>
      <c r="H18" s="137">
        <f>IF(SER_hh_tes_in!H18=0,"",SER_hh_tes_in!H18/SER_hh_fec_in!H18)</f>
        <v>3.1470849470102205</v>
      </c>
      <c r="I18" s="137">
        <f>IF(SER_hh_tes_in!I18=0,"",SER_hh_tes_in!I18/SER_hh_fec_in!I18)</f>
        <v>3.2445200159731993</v>
      </c>
      <c r="J18" s="137">
        <f>IF(SER_hh_tes_in!J18=0,"",SER_hh_tes_in!J18/SER_hh_fec_in!J18)</f>
        <v>3.3438315216717114</v>
      </c>
      <c r="K18" s="137">
        <f>IF(SER_hh_tes_in!K18=0,"",SER_hh_tes_in!K18/SER_hh_fec_in!K18)</f>
        <v>3.4456901738901435</v>
      </c>
      <c r="L18" s="137">
        <f>IF(SER_hh_tes_in!L18=0,"",SER_hh_tes_in!L18/SER_hh_fec_in!L18)</f>
        <v>3.5502573268440099</v>
      </c>
      <c r="M18" s="137">
        <f>IF(SER_hh_tes_in!M18=0,"",SER_hh_tes_in!M18/SER_hh_fec_in!M18)</f>
        <v>3.6753910082463435</v>
      </c>
      <c r="N18" s="137">
        <f>IF(SER_hh_tes_in!N18=0,"",SER_hh_tes_in!N18/SER_hh_fec_in!N18)</f>
        <v>3.8269393974243693</v>
      </c>
      <c r="O18" s="137">
        <f>IF(SER_hh_tes_in!O18=0,"",SER_hh_tes_in!O18/SER_hh_fec_in!O18)</f>
        <v>4.0081579913214656</v>
      </c>
      <c r="P18" s="137">
        <f>IF(SER_hh_tes_in!P18=0,"",SER_hh_tes_in!P18/SER_hh_fec_in!P18)</f>
        <v>4.2048636449155898</v>
      </c>
      <c r="Q18" s="137">
        <f>IF(SER_hh_tes_in!Q18=0,"",SER_hh_tes_in!Q18/SER_hh_fec_in!Q18)</f>
        <v>4.3739913885319508</v>
      </c>
      <c r="R18" s="137">
        <f>IF(SER_hh_tes_in!R18=0,"",SER_hh_tes_in!R18/SER_hh_fec_in!R18)</f>
        <v>4.4808747852184458</v>
      </c>
      <c r="S18" s="137">
        <f>IF(SER_hh_tes_in!S18=0,"",SER_hh_tes_in!S18/SER_hh_fec_in!S18)</f>
        <v>4.5659487210699359</v>
      </c>
      <c r="T18" s="137">
        <f>IF(SER_hh_tes_in!T18=0,"",SER_hh_tes_in!T18/SER_hh_fec_in!T18)</f>
        <v>4.6370312329960637</v>
      </c>
      <c r="U18" s="137">
        <f>IF(SER_hh_tes_in!U18=0,"",SER_hh_tes_in!U18/SER_hh_fec_in!U18)</f>
        <v>4.7017427408361829</v>
      </c>
      <c r="V18" s="137">
        <f>IF(SER_hh_tes_in!V18=0,"",SER_hh_tes_in!V18/SER_hh_fec_in!V18)</f>
        <v>4.7677232020367004</v>
      </c>
      <c r="W18" s="137">
        <f>IF(SER_hh_tes_in!W18=0,"",SER_hh_tes_in!W18/SER_hh_fec_in!W18)</f>
        <v>4.8323189952042904</v>
      </c>
      <c r="DA18" s="164" t="s">
        <v>676</v>
      </c>
    </row>
    <row r="19" spans="1:105" ht="12.95" customHeight="1" x14ac:dyDescent="0.25">
      <c r="A19" s="130" t="s">
        <v>35</v>
      </c>
      <c r="B19" s="136"/>
      <c r="C19" s="136">
        <f>IF(SER_hh_tes_in!C19=0,"",SER_hh_tes_in!C19/SER_hh_fec_in!C19)</f>
        <v>0.63994576590348295</v>
      </c>
      <c r="D19" s="136">
        <f>IF(SER_hh_tes_in!D19=0,"",SER_hh_tes_in!D19/SER_hh_fec_in!D19)</f>
        <v>0.65999052646120404</v>
      </c>
      <c r="E19" s="136">
        <f>IF(SER_hh_tes_in!E19=0,"",SER_hh_tes_in!E19/SER_hh_fec_in!E19)</f>
        <v>0.65611352873760009</v>
      </c>
      <c r="F19" s="136">
        <f>IF(SER_hh_tes_in!F19=0,"",SER_hh_tes_in!F19/SER_hh_fec_in!F19)</f>
        <v>0.6582886672180609</v>
      </c>
      <c r="G19" s="136">
        <f>IF(SER_hh_tes_in!G19=0,"",SER_hh_tes_in!G19/SER_hh_fec_in!G19)</f>
        <v>0.66388861351097184</v>
      </c>
      <c r="H19" s="136">
        <f>IF(SER_hh_tes_in!H19=0,"",SER_hh_tes_in!H19/SER_hh_fec_in!H19)</f>
        <v>0.67247366017145016</v>
      </c>
      <c r="I19" s="136">
        <f>IF(SER_hh_tes_in!I19=0,"",SER_hh_tes_in!I19/SER_hh_fec_in!I19)</f>
        <v>0.67993378209929578</v>
      </c>
      <c r="J19" s="136">
        <f>IF(SER_hh_tes_in!J19=0,"",SER_hh_tes_in!J19/SER_hh_fec_in!J19)</f>
        <v>0.68872470163012334</v>
      </c>
      <c r="K19" s="136">
        <f>IF(SER_hh_tes_in!K19=0,"",SER_hh_tes_in!K19/SER_hh_fec_in!K19)</f>
        <v>0.74366442455674353</v>
      </c>
      <c r="L19" s="136">
        <f>IF(SER_hh_tes_in!L19=0,"",SER_hh_tes_in!L19/SER_hh_fec_in!L19)</f>
        <v>0.69409422736796944</v>
      </c>
      <c r="M19" s="136">
        <f>IF(SER_hh_tes_in!M19=0,"",SER_hh_tes_in!M19/SER_hh_fec_in!M19)</f>
        <v>0.69935264939844777</v>
      </c>
      <c r="N19" s="136">
        <f>IF(SER_hh_tes_in!N19=0,"",SER_hh_tes_in!N19/SER_hh_fec_in!N19)</f>
        <v>0.71679314854076837</v>
      </c>
      <c r="O19" s="136">
        <f>IF(SER_hh_tes_in!O19=0,"",SER_hh_tes_in!O19/SER_hh_fec_in!O19)</f>
        <v>0.74250321555372922</v>
      </c>
      <c r="P19" s="136">
        <f>IF(SER_hh_tes_in!P19=0,"",SER_hh_tes_in!P19/SER_hh_fec_in!P19)</f>
        <v>0.7863829635510271</v>
      </c>
      <c r="Q19" s="136">
        <f>IF(SER_hh_tes_in!Q19=0,"",SER_hh_tes_in!Q19/SER_hh_fec_in!Q19)</f>
        <v>0.81488618950978886</v>
      </c>
      <c r="R19" s="136">
        <f>IF(SER_hh_tes_in!R19=0,"",SER_hh_tes_in!R19/SER_hh_fec_in!R19)</f>
        <v>0.83832639965563971</v>
      </c>
      <c r="S19" s="136">
        <f>IF(SER_hh_tes_in!S19=0,"",SER_hh_tes_in!S19/SER_hh_fec_in!S19)</f>
        <v>0.84688043446550132</v>
      </c>
      <c r="T19" s="136">
        <f>IF(SER_hh_tes_in!T19=0,"",SER_hh_tes_in!T19/SER_hh_fec_in!T19)</f>
        <v>0.86446484388397626</v>
      </c>
      <c r="U19" s="136">
        <f>IF(SER_hh_tes_in!U19=0,"",SER_hh_tes_in!U19/SER_hh_fec_in!U19)</f>
        <v>0.87362978475556696</v>
      </c>
      <c r="V19" s="136">
        <f>IF(SER_hh_tes_in!V19=0,"",SER_hh_tes_in!V19/SER_hh_fec_in!V19)</f>
        <v>0.88551768611043502</v>
      </c>
      <c r="W19" s="136">
        <f>IF(SER_hh_tes_in!W19=0,"",SER_hh_tes_in!W19/SER_hh_fec_in!W19)</f>
        <v>0.8829981384801423</v>
      </c>
      <c r="DA19" s="163" t="s">
        <v>677</v>
      </c>
    </row>
    <row r="20" spans="1:105" ht="12" customHeight="1" x14ac:dyDescent="0.25">
      <c r="A20" s="132" t="s">
        <v>29</v>
      </c>
      <c r="B20" s="137"/>
      <c r="C20" s="137" t="str">
        <f>IF(SER_hh_tes_in!C20=0,"",SER_hh_tes_in!C20/SER_hh_fec_in!C20)</f>
        <v/>
      </c>
      <c r="D20" s="137" t="str">
        <f>IF(SER_hh_tes_in!D20=0,"",SER_hh_tes_in!D20/SER_hh_fec_in!D20)</f>
        <v/>
      </c>
      <c r="E20" s="137" t="str">
        <f>IF(SER_hh_tes_in!E20=0,"",SER_hh_tes_in!E20/SER_hh_fec_in!E20)</f>
        <v/>
      </c>
      <c r="F20" s="137" t="str">
        <f>IF(SER_hh_tes_in!F20=0,"",SER_hh_tes_in!F20/SER_hh_fec_in!F20)</f>
        <v/>
      </c>
      <c r="G20" s="137" t="str">
        <f>IF(SER_hh_tes_in!G20=0,"",SER_hh_tes_in!G20/SER_hh_fec_in!G20)</f>
        <v/>
      </c>
      <c r="H20" s="137" t="str">
        <f>IF(SER_hh_tes_in!H20=0,"",SER_hh_tes_in!H20/SER_hh_fec_in!H20)</f>
        <v/>
      </c>
      <c r="I20" s="137" t="str">
        <f>IF(SER_hh_tes_in!I20=0,"",SER_hh_tes_in!I20/SER_hh_fec_in!I20)</f>
        <v/>
      </c>
      <c r="J20" s="137" t="str">
        <f>IF(SER_hh_tes_in!J20=0,"",SER_hh_tes_in!J20/SER_hh_fec_in!J20)</f>
        <v/>
      </c>
      <c r="K20" s="137" t="str">
        <f>IF(SER_hh_tes_in!K20=0,"",SER_hh_tes_in!K20/SER_hh_fec_in!K20)</f>
        <v/>
      </c>
      <c r="L20" s="137" t="str">
        <f>IF(SER_hh_tes_in!L20=0,"",SER_hh_tes_in!L20/SER_hh_fec_in!L20)</f>
        <v/>
      </c>
      <c r="M20" s="137" t="str">
        <f>IF(SER_hh_tes_in!M20=0,"",SER_hh_tes_in!M20/SER_hh_fec_in!M20)</f>
        <v/>
      </c>
      <c r="N20" s="137" t="str">
        <f>IF(SER_hh_tes_in!N20=0,"",SER_hh_tes_in!N20/SER_hh_fec_in!N20)</f>
        <v/>
      </c>
      <c r="O20" s="137" t="str">
        <f>IF(SER_hh_tes_in!O20=0,"",SER_hh_tes_in!O20/SER_hh_fec_in!O20)</f>
        <v/>
      </c>
      <c r="P20" s="137" t="str">
        <f>IF(SER_hh_tes_in!P20=0,"",SER_hh_tes_in!P20/SER_hh_fec_in!P20)</f>
        <v/>
      </c>
      <c r="Q20" s="137" t="str">
        <f>IF(SER_hh_tes_in!Q20=0,"",SER_hh_tes_in!Q20/SER_hh_fec_in!Q20)</f>
        <v/>
      </c>
      <c r="R20" s="137" t="str">
        <f>IF(SER_hh_tes_in!R20=0,"",SER_hh_tes_in!R20/SER_hh_fec_in!R20)</f>
        <v/>
      </c>
      <c r="S20" s="137" t="str">
        <f>IF(SER_hh_tes_in!S20=0,"",SER_hh_tes_in!S20/SER_hh_fec_in!S20)</f>
        <v/>
      </c>
      <c r="T20" s="137" t="str">
        <f>IF(SER_hh_tes_in!T20=0,"",SER_hh_tes_in!T20/SER_hh_fec_in!T20)</f>
        <v/>
      </c>
      <c r="U20" s="137" t="str">
        <f>IF(SER_hh_tes_in!U20=0,"",SER_hh_tes_in!U20/SER_hh_fec_in!U20)</f>
        <v/>
      </c>
      <c r="V20" s="137" t="str">
        <f>IF(SER_hh_tes_in!V20=0,"",SER_hh_tes_in!V20/SER_hh_fec_in!V20)</f>
        <v/>
      </c>
      <c r="W20" s="137" t="str">
        <f>IF(SER_hh_tes_in!W20=0,"",SER_hh_tes_in!W20/SER_hh_fec_in!W20)</f>
        <v/>
      </c>
      <c r="DA20" s="164" t="s">
        <v>678</v>
      </c>
    </row>
    <row r="21" spans="1:105" s="2" customFormat="1" ht="12" customHeight="1" x14ac:dyDescent="0.25">
      <c r="A21" s="132" t="s">
        <v>52</v>
      </c>
      <c r="B21" s="137"/>
      <c r="C21" s="137">
        <f>IF(SER_hh_tes_in!C21=0,"",SER_hh_tes_in!C21/SER_hh_fec_in!C21)</f>
        <v>0.61430473666393282</v>
      </c>
      <c r="D21" s="137">
        <f>IF(SER_hh_tes_in!D21=0,"",SER_hh_tes_in!D21/SER_hh_fec_in!D21)</f>
        <v>0.61620166203425786</v>
      </c>
      <c r="E21" s="137">
        <f>IF(SER_hh_tes_in!E21=0,"",SER_hh_tes_in!E21/SER_hh_fec_in!E21)</f>
        <v>0.61841261188476926</v>
      </c>
      <c r="F21" s="137" t="str">
        <f>IF(SER_hh_tes_in!F21=0,"",SER_hh_tes_in!F21/SER_hh_fec_in!F21)</f>
        <v/>
      </c>
      <c r="G21" s="137" t="str">
        <f>IF(SER_hh_tes_in!G21=0,"",SER_hh_tes_in!G21/SER_hh_fec_in!G21)</f>
        <v/>
      </c>
      <c r="H21" s="137" t="str">
        <f>IF(SER_hh_tes_in!H21=0,"",SER_hh_tes_in!H21/SER_hh_fec_in!H21)</f>
        <v/>
      </c>
      <c r="I21" s="137" t="str">
        <f>IF(SER_hh_tes_in!I21=0,"",SER_hh_tes_in!I21/SER_hh_fec_in!I21)</f>
        <v/>
      </c>
      <c r="J21" s="137" t="str">
        <f>IF(SER_hh_tes_in!J21=0,"",SER_hh_tes_in!J21/SER_hh_fec_in!J21)</f>
        <v/>
      </c>
      <c r="K21" s="137" t="str">
        <f>IF(SER_hh_tes_in!K21=0,"",SER_hh_tes_in!K21/SER_hh_fec_in!K21)</f>
        <v/>
      </c>
      <c r="L21" s="137">
        <f>IF(SER_hh_tes_in!L21=0,"",SER_hh_tes_in!L21/SER_hh_fec_in!L21)</f>
        <v>0.64260006253025215</v>
      </c>
      <c r="M21" s="137">
        <f>IF(SER_hh_tes_in!M21=0,"",SER_hh_tes_in!M21/SER_hh_fec_in!M21)</f>
        <v>0.65376107921545834</v>
      </c>
      <c r="N21" s="137">
        <f>IF(SER_hh_tes_in!N21=0,"",SER_hh_tes_in!N21/SER_hh_fec_in!N21)</f>
        <v>0.67236920685274404</v>
      </c>
      <c r="O21" s="137">
        <f>IF(SER_hh_tes_in!O21=0,"",SER_hh_tes_in!O21/SER_hh_fec_in!O21)</f>
        <v>0.69975398160615321</v>
      </c>
      <c r="P21" s="137">
        <f>IF(SER_hh_tes_in!P21=0,"",SER_hh_tes_in!P21/SER_hh_fec_in!P21)</f>
        <v>0.73312109183274565</v>
      </c>
      <c r="Q21" s="137">
        <f>IF(SER_hh_tes_in!Q21=0,"",SER_hh_tes_in!Q21/SER_hh_fec_in!Q21)</f>
        <v>0.76341682491314222</v>
      </c>
      <c r="R21" s="137">
        <f>IF(SER_hh_tes_in!R21=0,"",SER_hh_tes_in!R21/SER_hh_fec_in!R21)</f>
        <v>0.78386273854716071</v>
      </c>
      <c r="S21" s="137">
        <f>IF(SER_hh_tes_in!S21=0,"",SER_hh_tes_in!S21/SER_hh_fec_in!S21)</f>
        <v>0.80356516441269155</v>
      </c>
      <c r="T21" s="137">
        <f>IF(SER_hh_tes_in!T21=0,"",SER_hh_tes_in!T21/SER_hh_fec_in!T21)</f>
        <v>0.82140887085692971</v>
      </c>
      <c r="U21" s="137">
        <f>IF(SER_hh_tes_in!U21=0,"",SER_hh_tes_in!U21/SER_hh_fec_in!U21)</f>
        <v>0.83627862622713145</v>
      </c>
      <c r="V21" s="137">
        <f>IF(SER_hh_tes_in!V21=0,"",SER_hh_tes_in!V21/SER_hh_fec_in!V21)</f>
        <v>0.84705919887052783</v>
      </c>
      <c r="W21" s="137">
        <f>IF(SER_hh_tes_in!W21=0,"",SER_hh_tes_in!W21/SER_hh_fec_in!W21)</f>
        <v>0.8521302522153863</v>
      </c>
      <c r="DA21" s="164" t="s">
        <v>679</v>
      </c>
    </row>
    <row r="22" spans="1:105" ht="12" customHeight="1" x14ac:dyDescent="0.25">
      <c r="A22" s="132" t="s">
        <v>168</v>
      </c>
      <c r="B22" s="137"/>
      <c r="C22" s="137">
        <f>IF(SER_hh_tes_in!C22=0,"",SER_hh_tes_in!C22/SER_hh_fec_in!C22)</f>
        <v>0.57911758532150848</v>
      </c>
      <c r="D22" s="137">
        <f>IF(SER_hh_tes_in!D22=0,"",SER_hh_tes_in!D22/SER_hh_fec_in!D22)</f>
        <v>0.58110890462890674</v>
      </c>
      <c r="E22" s="137">
        <f>IF(SER_hh_tes_in!E22=0,"",SER_hh_tes_in!E22/SER_hh_fec_in!E22)</f>
        <v>0.5834298747597757</v>
      </c>
      <c r="F22" s="137">
        <f>IF(SER_hh_tes_in!F22=0,"",SER_hh_tes_in!F22/SER_hh_fec_in!F22)</f>
        <v>0.58579579727566333</v>
      </c>
      <c r="G22" s="137">
        <f>IF(SER_hh_tes_in!G22=0,"",SER_hh_tes_in!G22/SER_hh_fec_in!G22)</f>
        <v>0.58846530881022119</v>
      </c>
      <c r="H22" s="137">
        <f>IF(SER_hh_tes_in!H22=0,"",SER_hh_tes_in!H22/SER_hh_fec_in!H22)</f>
        <v>0.59140675553211919</v>
      </c>
      <c r="I22" s="137">
        <f>IF(SER_hh_tes_in!I22=0,"",SER_hh_tes_in!I22/SER_hh_fec_in!I22)</f>
        <v>0.59468386551544627</v>
      </c>
      <c r="J22" s="137">
        <f>IF(SER_hh_tes_in!J22=0,"",SER_hh_tes_in!J22/SER_hh_fec_in!J22)</f>
        <v>0.59855771018575932</v>
      </c>
      <c r="K22" s="137">
        <f>IF(SER_hh_tes_in!K22=0,"",SER_hh_tes_in!K22/SER_hh_fec_in!K22)</f>
        <v>0.60325026892473443</v>
      </c>
      <c r="L22" s="137">
        <f>IF(SER_hh_tes_in!L22=0,"",SER_hh_tes_in!L22/SER_hh_fec_in!L22)</f>
        <v>0.60882093031766282</v>
      </c>
      <c r="M22" s="137">
        <f>IF(SER_hh_tes_in!M22=0,"",SER_hh_tes_in!M22/SER_hh_fec_in!M22)</f>
        <v>0.6205373364362835</v>
      </c>
      <c r="N22" s="137">
        <f>IF(SER_hh_tes_in!N22=0,"",SER_hh_tes_in!N22/SER_hh_fec_in!N22)</f>
        <v>0.64007143325333771</v>
      </c>
      <c r="O22" s="137">
        <f>IF(SER_hh_tes_in!O22=0,"",SER_hh_tes_in!O22/SER_hh_fec_in!O22)</f>
        <v>0.66881891670645188</v>
      </c>
      <c r="P22" s="137">
        <f>IF(SER_hh_tes_in!P22=0,"",SER_hh_tes_in!P22/SER_hh_fec_in!P22)</f>
        <v>0.7038464258882754</v>
      </c>
      <c r="Q22" s="137">
        <f>IF(SER_hh_tes_in!Q22=0,"",SER_hh_tes_in!Q22/SER_hh_fec_in!Q22)</f>
        <v>0.73564972145199903</v>
      </c>
      <c r="R22" s="137">
        <f>IF(SER_hh_tes_in!R22=0,"",SER_hh_tes_in!R22/SER_hh_fec_in!R22)</f>
        <v>0.7571130553362615</v>
      </c>
      <c r="S22" s="137">
        <f>IF(SER_hh_tes_in!S22=0,"",SER_hh_tes_in!S22/SER_hh_fec_in!S22)</f>
        <v>0.77779590435202894</v>
      </c>
      <c r="T22" s="137">
        <f>IF(SER_hh_tes_in!T22=0,"",SER_hh_tes_in!T22/SER_hh_fec_in!T22)</f>
        <v>0.79652754119648028</v>
      </c>
      <c r="U22" s="137">
        <f>IF(SER_hh_tes_in!U22=0,"",SER_hh_tes_in!U22/SER_hh_fec_in!U22)</f>
        <v>0.81213723856686015</v>
      </c>
      <c r="V22" s="137">
        <f>IF(SER_hh_tes_in!V22=0,"",SER_hh_tes_in!V22/SER_hh_fec_in!V22)</f>
        <v>0.82345426916038544</v>
      </c>
      <c r="W22" s="137">
        <f>IF(SER_hh_tes_in!W22=0,"",SER_hh_tes_in!W22/SER_hh_fec_in!W22)</f>
        <v>0.82877766595418345</v>
      </c>
      <c r="DA22" s="164" t="s">
        <v>680</v>
      </c>
    </row>
    <row r="23" spans="1:105" ht="12" customHeight="1" x14ac:dyDescent="0.25">
      <c r="A23" s="132" t="s">
        <v>153</v>
      </c>
      <c r="B23" s="137"/>
      <c r="C23" s="137">
        <f>IF(SER_hh_tes_in!C23=0,"",SER_hh_tes_in!C23/SER_hh_fec_in!C23)</f>
        <v>0.63179398948984333</v>
      </c>
      <c r="D23" s="137">
        <f>IF(SER_hh_tes_in!D23=0,"",SER_hh_tes_in!D23/SER_hh_fec_in!D23)</f>
        <v>0.63778204241720626</v>
      </c>
      <c r="E23" s="137">
        <f>IF(SER_hh_tes_in!E23=0,"",SER_hh_tes_in!E23/SER_hh_fec_in!E23)</f>
        <v>0.64402899882353948</v>
      </c>
      <c r="F23" s="137">
        <f>IF(SER_hh_tes_in!F23=0,"",SER_hh_tes_in!F23/SER_hh_fec_in!F23)</f>
        <v>0.65032644905013692</v>
      </c>
      <c r="G23" s="137">
        <f>IF(SER_hh_tes_in!G23=0,"",SER_hh_tes_in!G23/SER_hh_fec_in!G23)</f>
        <v>0.65686021927465099</v>
      </c>
      <c r="H23" s="137">
        <f>IF(SER_hh_tes_in!H23=0,"",SER_hh_tes_in!H23/SER_hh_fec_in!H23)</f>
        <v>0.663605151193561</v>
      </c>
      <c r="I23" s="137">
        <f>IF(SER_hh_tes_in!I23=0,"",SER_hh_tes_in!I23/SER_hh_fec_in!I23)</f>
        <v>0.67060459437704123</v>
      </c>
      <c r="J23" s="137">
        <f>IF(SER_hh_tes_in!J23=0,"",SER_hh_tes_in!J23/SER_hh_fec_in!J23)</f>
        <v>0.67804172780301186</v>
      </c>
      <c r="K23" s="137">
        <f>IF(SER_hh_tes_in!K23=0,"",SER_hh_tes_in!K23/SER_hh_fec_in!K23)</f>
        <v>0.68606929495370628</v>
      </c>
      <c r="L23" s="137">
        <f>IF(SER_hh_tes_in!L23=0,"",SER_hh_tes_in!L23/SER_hh_fec_in!L23)</f>
        <v>0.69472291024678468</v>
      </c>
      <c r="M23" s="137">
        <f>IF(SER_hh_tes_in!M23=0,"",SER_hh_tes_in!M23/SER_hh_fec_in!M23)</f>
        <v>0.70780939838192236</v>
      </c>
      <c r="N23" s="137">
        <f>IF(SER_hh_tes_in!N23=0,"",SER_hh_tes_in!N23/SER_hh_fec_in!N23)</f>
        <v>0.72650053707941142</v>
      </c>
      <c r="O23" s="137">
        <f>IF(SER_hh_tes_in!O23=0,"",SER_hh_tes_in!O23/SER_hh_fec_in!O23)</f>
        <v>0.75166154145650943</v>
      </c>
      <c r="P23" s="137">
        <f>IF(SER_hh_tes_in!P23=0,"",SER_hh_tes_in!P23/SER_hh_fec_in!P23)</f>
        <v>0.7809403879247192</v>
      </c>
      <c r="Q23" s="137">
        <f>IF(SER_hh_tes_in!Q23=0,"",SER_hh_tes_in!Q23/SER_hh_fec_in!Q23)</f>
        <v>0.80695831682808417</v>
      </c>
      <c r="R23" s="137">
        <f>IF(SER_hh_tes_in!R23=0,"",SER_hh_tes_in!R23/SER_hh_fec_in!R23)</f>
        <v>0.82406576313564062</v>
      </c>
      <c r="S23" s="137">
        <f>IF(SER_hh_tes_in!S23=0,"",SER_hh_tes_in!S23/SER_hh_fec_in!S23)</f>
        <v>0.83967520617412506</v>
      </c>
      <c r="T23" s="137">
        <f>IF(SER_hh_tes_in!T23=0,"",SER_hh_tes_in!T23/SER_hh_fec_in!T23)</f>
        <v>0.85338142647587956</v>
      </c>
      <c r="U23" s="137">
        <f>IF(SER_hh_tes_in!U23=0,"",SER_hh_tes_in!U23/SER_hh_fec_in!U23)</f>
        <v>0.86473293888136593</v>
      </c>
      <c r="V23" s="137">
        <f>IF(SER_hh_tes_in!V23=0,"",SER_hh_tes_in!V23/SER_hh_fec_in!V23)</f>
        <v>0.8732343083366686</v>
      </c>
      <c r="W23" s="137">
        <f>IF(SER_hh_tes_in!W23=0,"",SER_hh_tes_in!W23/SER_hh_fec_in!W23)</f>
        <v>0.8776219909561892</v>
      </c>
      <c r="DA23" s="164" t="s">
        <v>681</v>
      </c>
    </row>
    <row r="24" spans="1:105" ht="12" customHeight="1" x14ac:dyDescent="0.25">
      <c r="A24" s="132" t="s">
        <v>128</v>
      </c>
      <c r="B24" s="137"/>
      <c r="C24" s="137" t="str">
        <f>IF(SER_hh_tes_in!C24=0,"",SER_hh_tes_in!C24/SER_hh_fec_in!C24)</f>
        <v/>
      </c>
      <c r="D24" s="137" t="str">
        <f>IF(SER_hh_tes_in!D24=0,"",SER_hh_tes_in!D24/SER_hh_fec_in!D24)</f>
        <v/>
      </c>
      <c r="E24" s="137" t="str">
        <f>IF(SER_hh_tes_in!E24=0,"",SER_hh_tes_in!E24/SER_hh_fec_in!E24)</f>
        <v/>
      </c>
      <c r="F24" s="137" t="str">
        <f>IF(SER_hh_tes_in!F24=0,"",SER_hh_tes_in!F24/SER_hh_fec_in!F24)</f>
        <v/>
      </c>
      <c r="G24" s="137" t="str">
        <f>IF(SER_hh_tes_in!G24=0,"",SER_hh_tes_in!G24/SER_hh_fec_in!G24)</f>
        <v/>
      </c>
      <c r="H24" s="137" t="str">
        <f>IF(SER_hh_tes_in!H24=0,"",SER_hh_tes_in!H24/SER_hh_fec_in!H24)</f>
        <v/>
      </c>
      <c r="I24" s="137" t="str">
        <f>IF(SER_hh_tes_in!I24=0,"",SER_hh_tes_in!I24/SER_hh_fec_in!I24)</f>
        <v/>
      </c>
      <c r="J24" s="137" t="str">
        <f>IF(SER_hh_tes_in!J24=0,"",SER_hh_tes_in!J24/SER_hh_fec_in!J24)</f>
        <v/>
      </c>
      <c r="K24" s="137" t="str">
        <f>IF(SER_hh_tes_in!K24=0,"",SER_hh_tes_in!K24/SER_hh_fec_in!K24)</f>
        <v/>
      </c>
      <c r="L24" s="137" t="str">
        <f>IF(SER_hh_tes_in!L24=0,"",SER_hh_tes_in!L24/SER_hh_fec_in!L24)</f>
        <v/>
      </c>
      <c r="M24" s="137" t="str">
        <f>IF(SER_hh_tes_in!M24=0,"",SER_hh_tes_in!M24/SER_hh_fec_in!M24)</f>
        <v/>
      </c>
      <c r="N24" s="137" t="str">
        <f>IF(SER_hh_tes_in!N24=0,"",SER_hh_tes_in!N24/SER_hh_fec_in!N24)</f>
        <v/>
      </c>
      <c r="O24" s="137" t="str">
        <f>IF(SER_hh_tes_in!O24=0,"",SER_hh_tes_in!O24/SER_hh_fec_in!O24)</f>
        <v/>
      </c>
      <c r="P24" s="137" t="str">
        <f>IF(SER_hh_tes_in!P24=0,"",SER_hh_tes_in!P24/SER_hh_fec_in!P24)</f>
        <v/>
      </c>
      <c r="Q24" s="137" t="str">
        <f>IF(SER_hh_tes_in!Q24=0,"",SER_hh_tes_in!Q24/SER_hh_fec_in!Q24)</f>
        <v/>
      </c>
      <c r="R24" s="137" t="str">
        <f>IF(SER_hh_tes_in!R24=0,"",SER_hh_tes_in!R24/SER_hh_fec_in!R24)</f>
        <v/>
      </c>
      <c r="S24" s="137" t="str">
        <f>IF(SER_hh_tes_in!S24=0,"",SER_hh_tes_in!S24/SER_hh_fec_in!S24)</f>
        <v/>
      </c>
      <c r="T24" s="137" t="str">
        <f>IF(SER_hh_tes_in!T24=0,"",SER_hh_tes_in!T24/SER_hh_fec_in!T24)</f>
        <v/>
      </c>
      <c r="U24" s="137" t="str">
        <f>IF(SER_hh_tes_in!U24=0,"",SER_hh_tes_in!U24/SER_hh_fec_in!U24)</f>
        <v/>
      </c>
      <c r="V24" s="137" t="str">
        <f>IF(SER_hh_tes_in!V24=0,"",SER_hh_tes_in!V24/SER_hh_fec_in!V24)</f>
        <v/>
      </c>
      <c r="W24" s="137" t="str">
        <f>IF(SER_hh_tes_in!W24=0,"",SER_hh_tes_in!W24/SER_hh_fec_in!W24)</f>
        <v/>
      </c>
      <c r="DA24" s="164" t="s">
        <v>682</v>
      </c>
    </row>
    <row r="25" spans="1:105" ht="12" customHeight="1" x14ac:dyDescent="0.25">
      <c r="A25" s="132" t="s">
        <v>169</v>
      </c>
      <c r="B25" s="137"/>
      <c r="C25" s="137">
        <f>IF(SER_hh_tes_in!C25=0,"",SER_hh_tes_in!C25/SER_hh_fec_in!C25)</f>
        <v>0.88385399305258416</v>
      </c>
      <c r="D25" s="137">
        <f>IF(SER_hh_tes_in!D25=0,"",SER_hh_tes_in!D25/SER_hh_fec_in!D25)</f>
        <v>0.88565935120491734</v>
      </c>
      <c r="E25" s="137">
        <f>IF(SER_hh_tes_in!E25=0,"",SER_hh_tes_in!E25/SER_hh_fec_in!E25)</f>
        <v>0.88751344931733878</v>
      </c>
      <c r="F25" s="137">
        <f>IF(SER_hh_tes_in!F25=0,"",SER_hh_tes_in!F25/SER_hh_fec_in!F25)</f>
        <v>0.88937419378795401</v>
      </c>
      <c r="G25" s="137">
        <f>IF(SER_hh_tes_in!G25=0,"",SER_hh_tes_in!G25/SER_hh_fec_in!G25)</f>
        <v>0.89127982489497293</v>
      </c>
      <c r="H25" s="137">
        <f>IF(SER_hh_tes_in!H25=0,"",SER_hh_tes_in!H25/SER_hh_fec_in!H25)</f>
        <v>0.89322566251516877</v>
      </c>
      <c r="I25" s="137">
        <f>IF(SER_hh_tes_in!I25=0,"",SER_hh_tes_in!I25/SER_hh_fec_in!I25)</f>
        <v>0.89522112905420947</v>
      </c>
      <c r="J25" s="137">
        <f>IF(SER_hh_tes_in!J25=0,"",SER_hh_tes_in!J25/SER_hh_fec_in!J25)</f>
        <v>0.89730482478230844</v>
      </c>
      <c r="K25" s="137">
        <f>IF(SER_hh_tes_in!K25=0,"",SER_hh_tes_in!K25/SER_hh_fec_in!K25)</f>
        <v>0.89950957008222465</v>
      </c>
      <c r="L25" s="137">
        <f>IF(SER_hh_tes_in!L25=0,"",SER_hh_tes_in!L25/SER_hh_fec_in!L25)</f>
        <v>0.90184414575191396</v>
      </c>
      <c r="M25" s="137">
        <f>IF(SER_hh_tes_in!M25=0,"",SER_hh_tes_in!M25/SER_hh_fec_in!M25)</f>
        <v>0.90507665721732711</v>
      </c>
      <c r="N25" s="137">
        <f>IF(SER_hh_tes_in!N25=0,"",SER_hh_tes_in!N25/SER_hh_fec_in!N25)</f>
        <v>0.90944996014451396</v>
      </c>
      <c r="O25" s="137">
        <f>IF(SER_hh_tes_in!O25=0,"",SER_hh_tes_in!O25/SER_hh_fec_in!O25)</f>
        <v>0.91517694703521602</v>
      </c>
      <c r="P25" s="137">
        <f>IF(SER_hh_tes_in!P25=0,"",SER_hh_tes_in!P25/SER_hh_fec_in!P25)</f>
        <v>0.92185257429619583</v>
      </c>
      <c r="Q25" s="137">
        <f>IF(SER_hh_tes_in!Q25=0,"",SER_hh_tes_in!Q25/SER_hh_fec_in!Q25)</f>
        <v>0.92815087545063069</v>
      </c>
      <c r="R25" s="137">
        <f>IF(SER_hh_tes_in!R25=0,"",SER_hh_tes_in!R25/SER_hh_fec_in!R25)</f>
        <v>0.93297705341400972</v>
      </c>
      <c r="S25" s="137">
        <f>IF(SER_hh_tes_in!S25=0,"",SER_hh_tes_in!S25/SER_hh_fec_in!S25)</f>
        <v>0.93767211778838933</v>
      </c>
      <c r="T25" s="137">
        <f>IF(SER_hh_tes_in!T25=0,"",SER_hh_tes_in!T25/SER_hh_fec_in!T25)</f>
        <v>0.94220469816674868</v>
      </c>
      <c r="U25" s="137">
        <f>IF(SER_hh_tes_in!U25=0,"",SER_hh_tes_in!U25/SER_hh_fec_in!U25)</f>
        <v>0.94654342414208181</v>
      </c>
      <c r="V25" s="137">
        <f>IF(SER_hh_tes_in!V25=0,"",SER_hh_tes_in!V25/SER_hh_fec_in!V25)</f>
        <v>0.95065692530737678</v>
      </c>
      <c r="W25" s="137">
        <f>IF(SER_hh_tes_in!W25=0,"",SER_hh_tes_in!W25/SER_hh_fec_in!W25)</f>
        <v>0.95444625273806016</v>
      </c>
      <c r="DA25" s="164" t="s">
        <v>683</v>
      </c>
    </row>
    <row r="26" spans="1:105" ht="12" customHeight="1" x14ac:dyDescent="0.25">
      <c r="A26" s="132" t="s">
        <v>24</v>
      </c>
      <c r="B26" s="138"/>
      <c r="C26" s="138">
        <f>IF(SER_hh_tes_in!C26=0,"",SER_hh_tes_in!C26/SER_hh_fec_in!C26)</f>
        <v>0.73146624251701109</v>
      </c>
      <c r="D26" s="138">
        <f>IF(SER_hh_tes_in!D26=0,"",SER_hh_tes_in!D26/SER_hh_fec_in!D26)</f>
        <v>0.73384195305880695</v>
      </c>
      <c r="E26" s="138">
        <f>IF(SER_hh_tes_in!E26=0,"",SER_hh_tes_in!E26/SER_hh_fec_in!E26)</f>
        <v>0.73640038933913021</v>
      </c>
      <c r="F26" s="138">
        <f>IF(SER_hh_tes_in!F26=0,"",SER_hh_tes_in!F26/SER_hh_fec_in!F26)</f>
        <v>0.73898340173686106</v>
      </c>
      <c r="G26" s="138">
        <f>IF(SER_hh_tes_in!G26=0,"",SER_hh_tes_in!G26/SER_hh_fec_in!G26)</f>
        <v>0.74173615846868302</v>
      </c>
      <c r="H26" s="138">
        <f>IF(SER_hh_tes_in!H26=0,"",SER_hh_tes_in!H26/SER_hh_fec_in!H26)</f>
        <v>0.74464238812928996</v>
      </c>
      <c r="I26" s="138">
        <f>IF(SER_hh_tes_in!I26=0,"",SER_hh_tes_in!I26/SER_hh_fec_in!I26)</f>
        <v>0.74773989890319847</v>
      </c>
      <c r="J26" s="138">
        <f>IF(SER_hh_tes_in!J26=0,"",SER_hh_tes_in!J26/SER_hh_fec_in!J26)</f>
        <v>0.75118003091881869</v>
      </c>
      <c r="K26" s="138">
        <f>IF(SER_hh_tes_in!K26=0,"",SER_hh_tes_in!K26/SER_hh_fec_in!K26)</f>
        <v>0.75509690184294365</v>
      </c>
      <c r="L26" s="138">
        <f>IF(SER_hh_tes_in!L26=0,"",SER_hh_tes_in!L26/SER_hh_fec_in!L26)</f>
        <v>0.75953745114922244</v>
      </c>
      <c r="M26" s="138">
        <f>IF(SER_hh_tes_in!M26=0,"",SER_hh_tes_in!M26/SER_hh_fec_in!M26)</f>
        <v>0.76757858783009525</v>
      </c>
      <c r="N26" s="138">
        <f>IF(SER_hh_tes_in!N26=0,"",SER_hh_tes_in!N26/SER_hh_fec_in!N26)</f>
        <v>0.78057225946870079</v>
      </c>
      <c r="O26" s="138">
        <f>IF(SER_hh_tes_in!O26=0,"",SER_hh_tes_in!O26/SER_hh_fec_in!O26)</f>
        <v>0.80025218112345087</v>
      </c>
      <c r="P26" s="138">
        <f>IF(SER_hh_tes_in!P26=0,"",SER_hh_tes_in!P26/SER_hh_fec_in!P26)</f>
        <v>0.82585323287803736</v>
      </c>
      <c r="Q26" s="138">
        <f>IF(SER_hh_tes_in!Q26=0,"",SER_hh_tes_in!Q26/SER_hh_fec_in!Q26)</f>
        <v>0.85097402174609704</v>
      </c>
      <c r="R26" s="138">
        <f>IF(SER_hh_tes_in!R26=0,"",SER_hh_tes_in!R26/SER_hh_fec_in!R26)</f>
        <v>0.86898200184208718</v>
      </c>
      <c r="S26" s="138">
        <f>IF(SER_hh_tes_in!S26=0,"",SER_hh_tes_in!S26/SER_hh_fec_in!S26)</f>
        <v>0.88681245060178615</v>
      </c>
      <c r="T26" s="138">
        <f>IF(SER_hh_tes_in!T26=0,"",SER_hh_tes_in!T26/SER_hh_fec_in!T26)</f>
        <v>0.9040914966360355</v>
      </c>
      <c r="U26" s="138">
        <f>IF(SER_hh_tes_in!U26=0,"",SER_hh_tes_in!U26/SER_hh_fec_in!U26)</f>
        <v>0.92032294327925168</v>
      </c>
      <c r="V26" s="138">
        <f>IF(SER_hh_tes_in!V26=0,"",SER_hh_tes_in!V26/SER_hh_fec_in!V26)</f>
        <v>0.93474552549772705</v>
      </c>
      <c r="W26" s="138">
        <f>IF(SER_hh_tes_in!W26=0,"",SER_hh_tes_in!W26/SER_hh_fec_in!W26)</f>
        <v>0.94609888592586266</v>
      </c>
      <c r="DA26" s="165" t="s">
        <v>684</v>
      </c>
    </row>
    <row r="27" spans="1:105" ht="12" customHeight="1" x14ac:dyDescent="0.25">
      <c r="A27" s="145" t="s">
        <v>26</v>
      </c>
      <c r="B27" s="149"/>
      <c r="C27" s="149" t="str">
        <f>IF(SER_hh_tes_in!C27=0,"",SER_hh_tes_in!C27/SER_hh_fec_in!C27)</f>
        <v/>
      </c>
      <c r="D27" s="149">
        <f>IF(SER_hh_tes_in!D27=0,"",SER_hh_tes_in!D27/SER_hh_fec_in!D27)</f>
        <v>1</v>
      </c>
      <c r="E27" s="149">
        <f>IF(SER_hh_tes_in!E27=0,"",SER_hh_tes_in!E27/SER_hh_fec_in!E27)</f>
        <v>1</v>
      </c>
      <c r="F27" s="149">
        <f>IF(SER_hh_tes_in!F27=0,"",SER_hh_tes_in!F27/SER_hh_fec_in!F27)</f>
        <v>1</v>
      </c>
      <c r="G27" s="149">
        <f>IF(SER_hh_tes_in!G27=0,"",SER_hh_tes_in!G27/SER_hh_fec_in!G27)</f>
        <v>1</v>
      </c>
      <c r="H27" s="149">
        <f>IF(SER_hh_tes_in!H27=0,"",SER_hh_tes_in!H27/SER_hh_fec_in!H27)</f>
        <v>1</v>
      </c>
      <c r="I27" s="149">
        <f>IF(SER_hh_tes_in!I27=0,"",SER_hh_tes_in!I27/SER_hh_fec_in!I27)</f>
        <v>1</v>
      </c>
      <c r="J27" s="149">
        <f>IF(SER_hh_tes_in!J27=0,"",SER_hh_tes_in!J27/SER_hh_fec_in!J27)</f>
        <v>1</v>
      </c>
      <c r="K27" s="149">
        <f>IF(SER_hh_tes_in!K27=0,"",SER_hh_tes_in!K27/SER_hh_fec_in!K27)</f>
        <v>1</v>
      </c>
      <c r="L27" s="149" t="str">
        <f>IF(SER_hh_tes_in!L27=0,"",SER_hh_tes_in!L27/SER_hh_fec_in!L27)</f>
        <v/>
      </c>
      <c r="M27" s="149">
        <f>IF(SER_hh_tes_in!M27=0,"",SER_hh_tes_in!M27/SER_hh_fec_in!M27)</f>
        <v>1</v>
      </c>
      <c r="N27" s="149">
        <f>IF(SER_hh_tes_in!N27=0,"",SER_hh_tes_in!N27/SER_hh_fec_in!N27)</f>
        <v>1</v>
      </c>
      <c r="O27" s="149">
        <f>IF(SER_hh_tes_in!O27=0,"",SER_hh_tes_in!O27/SER_hh_fec_in!O27)</f>
        <v>1</v>
      </c>
      <c r="P27" s="149">
        <f>IF(SER_hh_tes_in!P27=0,"",SER_hh_tes_in!P27/SER_hh_fec_in!P27)</f>
        <v>1</v>
      </c>
      <c r="Q27" s="149">
        <f>IF(SER_hh_tes_in!Q27=0,"",SER_hh_tes_in!Q27/SER_hh_fec_in!Q27)</f>
        <v>1</v>
      </c>
      <c r="R27" s="149">
        <f>IF(SER_hh_tes_in!R27=0,"",SER_hh_tes_in!R27/SER_hh_fec_in!R27)</f>
        <v>1</v>
      </c>
      <c r="S27" s="149">
        <f>IF(SER_hh_tes_in!S27=0,"",SER_hh_tes_in!S27/SER_hh_fec_in!S27)</f>
        <v>1</v>
      </c>
      <c r="T27" s="149">
        <f>IF(SER_hh_tes_in!T27=0,"",SER_hh_tes_in!T27/SER_hh_fec_in!T27)</f>
        <v>1</v>
      </c>
      <c r="U27" s="149">
        <f>IF(SER_hh_tes_in!U27=0,"",SER_hh_tes_in!U27/SER_hh_fec_in!U27)</f>
        <v>1</v>
      </c>
      <c r="V27" s="149">
        <f>IF(SER_hh_tes_in!V27=0,"",SER_hh_tes_in!V27/SER_hh_fec_in!V27)</f>
        <v>1</v>
      </c>
      <c r="W27" s="149">
        <f>IF(SER_hh_tes_in!W27=0,"",SER_hh_tes_in!W27/SER_hh_fec_in!W27)</f>
        <v>1</v>
      </c>
      <c r="DA27" s="167" t="s">
        <v>685</v>
      </c>
    </row>
    <row r="28" spans="1:105" ht="12" hidden="1" customHeight="1" x14ac:dyDescent="0.25">
      <c r="A28" s="78" t="s">
        <v>26</v>
      </c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DA28" s="168"/>
    </row>
    <row r="29" spans="1:105" ht="12.95" customHeight="1" x14ac:dyDescent="0.25">
      <c r="A29" s="130" t="s">
        <v>34</v>
      </c>
      <c r="B29" s="136"/>
      <c r="C29" s="136">
        <f>IF(SER_hh_tes_in!C29=0,"",SER_hh_tes_in!C29/SER_hh_fec_in!C29)</f>
        <v>0.70520920989145852</v>
      </c>
      <c r="D29" s="136">
        <f>IF(SER_hh_tes_in!D29=0,"",SER_hh_tes_in!D29/SER_hh_fec_in!D29)</f>
        <v>0.76553005119479123</v>
      </c>
      <c r="E29" s="136">
        <f>IF(SER_hh_tes_in!E29=0,"",SER_hh_tes_in!E29/SER_hh_fec_in!E29)</f>
        <v>0.74773983445834347</v>
      </c>
      <c r="F29" s="136">
        <f>IF(SER_hh_tes_in!F29=0,"",SER_hh_tes_in!F29/SER_hh_fec_in!F29)</f>
        <v>0.74445499214059285</v>
      </c>
      <c r="G29" s="136">
        <f>IF(SER_hh_tes_in!G29=0,"",SER_hh_tes_in!G29/SER_hh_fec_in!G29)</f>
        <v>0.76386418154917057</v>
      </c>
      <c r="H29" s="136">
        <f>IF(SER_hh_tes_in!H29=0,"",SER_hh_tes_in!H29/SER_hh_fec_in!H29)</f>
        <v>0.7423673703909216</v>
      </c>
      <c r="I29" s="136">
        <f>IF(SER_hh_tes_in!I29=0,"",SER_hh_tes_in!I29/SER_hh_fec_in!I29)</f>
        <v>0.74048852498916629</v>
      </c>
      <c r="J29" s="136">
        <f>IF(SER_hh_tes_in!J29=0,"",SER_hh_tes_in!J29/SER_hh_fec_in!J29)</f>
        <v>0.71379755388325894</v>
      </c>
      <c r="K29" s="136">
        <f>IF(SER_hh_tes_in!K29=0,"",SER_hh_tes_in!K29/SER_hh_fec_in!K29)</f>
        <v>0.69190544016409283</v>
      </c>
      <c r="L29" s="136">
        <f>IF(SER_hh_tes_in!L29=0,"",SER_hh_tes_in!L29/SER_hh_fec_in!L29)</f>
        <v>0.71943296978666671</v>
      </c>
      <c r="M29" s="136">
        <f>IF(SER_hh_tes_in!M29=0,"",SER_hh_tes_in!M29/SER_hh_fec_in!M29)</f>
        <v>0.75508067011533153</v>
      </c>
      <c r="N29" s="136">
        <f>IF(SER_hh_tes_in!N29=0,"",SER_hh_tes_in!N29/SER_hh_fec_in!N29)</f>
        <v>0.74690531295099094</v>
      </c>
      <c r="O29" s="136">
        <f>IF(SER_hh_tes_in!O29=0,"",SER_hh_tes_in!O29/SER_hh_fec_in!O29)</f>
        <v>0.74583241020296354</v>
      </c>
      <c r="P29" s="136">
        <f>IF(SER_hh_tes_in!P29=0,"",SER_hh_tes_in!P29/SER_hh_fec_in!P29)</f>
        <v>0.75697063867486059</v>
      </c>
      <c r="Q29" s="136">
        <f>IF(SER_hh_tes_in!Q29=0,"",SER_hh_tes_in!Q29/SER_hh_fec_in!Q29)</f>
        <v>0.74381447669760992</v>
      </c>
      <c r="R29" s="136">
        <f>IF(SER_hh_tes_in!R29=0,"",SER_hh_tes_in!R29/SER_hh_fec_in!R29)</f>
        <v>0.75597913695290886</v>
      </c>
      <c r="S29" s="136">
        <f>IF(SER_hh_tes_in!S29=0,"",SER_hh_tes_in!S29/SER_hh_fec_in!S29)</f>
        <v>0.75155454648154585</v>
      </c>
      <c r="T29" s="136">
        <f>IF(SER_hh_tes_in!T29=0,"",SER_hh_tes_in!T29/SER_hh_fec_in!T29)</f>
        <v>0.75102473089296395</v>
      </c>
      <c r="U29" s="136">
        <f>IF(SER_hh_tes_in!U29=0,"",SER_hh_tes_in!U29/SER_hh_fec_in!U29)</f>
        <v>0.74636252573870687</v>
      </c>
      <c r="V29" s="136">
        <f>IF(SER_hh_tes_in!V29=0,"",SER_hh_tes_in!V29/SER_hh_fec_in!V29)</f>
        <v>0.74376387510247999</v>
      </c>
      <c r="W29" s="136">
        <f>IF(SER_hh_tes_in!W29=0,"",SER_hh_tes_in!W29/SER_hh_fec_in!W29)</f>
        <v>0.75347868499640525</v>
      </c>
      <c r="DA29" s="163" t="s">
        <v>686</v>
      </c>
    </row>
    <row r="30" spans="1:105" s="2" customFormat="1" ht="12" customHeight="1" x14ac:dyDescent="0.25">
      <c r="A30" s="132" t="s">
        <v>52</v>
      </c>
      <c r="B30" s="137"/>
      <c r="C30" s="137">
        <f>IF(SER_hh_tes_in!C30=0,"",SER_hh_tes_in!C30/SER_hh_fec_in!C30)</f>
        <v>0.63780097272671155</v>
      </c>
      <c r="D30" s="137" t="str">
        <f>IF(SER_hh_tes_in!D30=0,"",SER_hh_tes_in!D30/SER_hh_fec_in!D30)</f>
        <v/>
      </c>
      <c r="E30" s="137" t="str">
        <f>IF(SER_hh_tes_in!E30=0,"",SER_hh_tes_in!E30/SER_hh_fec_in!E30)</f>
        <v/>
      </c>
      <c r="F30" s="137" t="str">
        <f>IF(SER_hh_tes_in!F30=0,"",SER_hh_tes_in!F30/SER_hh_fec_in!F30)</f>
        <v/>
      </c>
      <c r="G30" s="137" t="str">
        <f>IF(SER_hh_tes_in!G30=0,"",SER_hh_tes_in!G30/SER_hh_fec_in!G30)</f>
        <v/>
      </c>
      <c r="H30" s="137" t="str">
        <f>IF(SER_hh_tes_in!H30=0,"",SER_hh_tes_in!H30/SER_hh_fec_in!H30)</f>
        <v/>
      </c>
      <c r="I30" s="137" t="str">
        <f>IF(SER_hh_tes_in!I30=0,"",SER_hh_tes_in!I30/SER_hh_fec_in!I30)</f>
        <v/>
      </c>
      <c r="J30" s="137">
        <f>IF(SER_hh_tes_in!J30=0,"",SER_hh_tes_in!J30/SER_hh_fec_in!J30)</f>
        <v>0.63892039842046799</v>
      </c>
      <c r="K30" s="137">
        <f>IF(SER_hh_tes_in!K30=0,"",SER_hh_tes_in!K30/SER_hh_fec_in!K30)</f>
        <v>0.63906675614837005</v>
      </c>
      <c r="L30" s="137">
        <f>IF(SER_hh_tes_in!L30=0,"",SER_hh_tes_in!L30/SER_hh_fec_in!L30)</f>
        <v>0.63920689727156244</v>
      </c>
      <c r="M30" s="137" t="str">
        <f>IF(SER_hh_tes_in!M30=0,"",SER_hh_tes_in!M30/SER_hh_fec_in!M30)</f>
        <v/>
      </c>
      <c r="N30" s="137" t="str">
        <f>IF(SER_hh_tes_in!N30=0,"",SER_hh_tes_in!N30/SER_hh_fec_in!N30)</f>
        <v/>
      </c>
      <c r="O30" s="137">
        <f>IF(SER_hh_tes_in!O30=0,"",SER_hh_tes_in!O30/SER_hh_fec_in!O30)</f>
        <v>0.63928231175015271</v>
      </c>
      <c r="P30" s="137">
        <f>IF(SER_hh_tes_in!P30=0,"",SER_hh_tes_in!P30/SER_hh_fec_in!P30)</f>
        <v>0.63928231175015271</v>
      </c>
      <c r="Q30" s="137">
        <f>IF(SER_hh_tes_in!Q30=0,"",SER_hh_tes_in!Q30/SER_hh_fec_in!Q30)</f>
        <v>0.63928231175015271</v>
      </c>
      <c r="R30" s="137">
        <f>IF(SER_hh_tes_in!R30=0,"",SER_hh_tes_in!R30/SER_hh_fec_in!R30)</f>
        <v>0.63975875768675861</v>
      </c>
      <c r="S30" s="137">
        <f>IF(SER_hh_tes_in!S30=0,"",SER_hh_tes_in!S30/SER_hh_fec_in!S30)</f>
        <v>0.640537854743507</v>
      </c>
      <c r="T30" s="137">
        <f>IF(SER_hh_tes_in!T30=0,"",SER_hh_tes_in!T30/SER_hh_fec_in!T30)</f>
        <v>0.64144680130971266</v>
      </c>
      <c r="U30" s="137">
        <f>IF(SER_hh_tes_in!U30=0,"",SER_hh_tes_in!U30/SER_hh_fec_in!U30)</f>
        <v>0.64238821025328308</v>
      </c>
      <c r="V30" s="137">
        <f>IF(SER_hh_tes_in!V30=0,"",SER_hh_tes_in!V30/SER_hh_fec_in!V30)</f>
        <v>0.64326469444212453</v>
      </c>
      <c r="W30" s="137">
        <f>IF(SER_hh_tes_in!W30=0,"",SER_hh_tes_in!W30/SER_hh_fec_in!W30)</f>
        <v>0.64407625387623668</v>
      </c>
      <c r="DA30" s="164" t="s">
        <v>687</v>
      </c>
    </row>
    <row r="31" spans="1:105" ht="12" customHeight="1" x14ac:dyDescent="0.25">
      <c r="A31" s="132" t="s">
        <v>153</v>
      </c>
      <c r="B31" s="137"/>
      <c r="C31" s="137">
        <f>IF(SER_hh_tes_in!C31=0,"",SER_hh_tes_in!C31/SER_hh_fec_in!C31)</f>
        <v>0.64061188088283083</v>
      </c>
      <c r="D31" s="137">
        <f>IF(SER_hh_tes_in!D31=0,"",SER_hh_tes_in!D31/SER_hh_fec_in!D31)</f>
        <v>0.64077809157949561</v>
      </c>
      <c r="E31" s="137">
        <f>IF(SER_hh_tes_in!E31=0,"",SER_hh_tes_in!E31/SER_hh_fec_in!E31)</f>
        <v>0.64094195819880262</v>
      </c>
      <c r="F31" s="137">
        <f>IF(SER_hh_tes_in!F31=0,"",SER_hh_tes_in!F31/SER_hh_fec_in!F31)</f>
        <v>0.64110550517119702</v>
      </c>
      <c r="G31" s="137">
        <f>IF(SER_hh_tes_in!G31=0,"",SER_hh_tes_in!G31/SER_hh_fec_in!G31)</f>
        <v>0.64126689338622123</v>
      </c>
      <c r="H31" s="137">
        <f>IF(SER_hh_tes_in!H31=0,"",SER_hh_tes_in!H31/SER_hh_fec_in!H31)</f>
        <v>0.64142634792758202</v>
      </c>
      <c r="I31" s="137">
        <f>IF(SER_hh_tes_in!I31=0,"",SER_hh_tes_in!I31/SER_hh_fec_in!I31)</f>
        <v>0.64158341563840882</v>
      </c>
      <c r="J31" s="137">
        <f>IF(SER_hh_tes_in!J31=0,"",SER_hh_tes_in!J31/SER_hh_fec_in!J31)</f>
        <v>0.64173624009495323</v>
      </c>
      <c r="K31" s="137">
        <f>IF(SER_hh_tes_in!K31=0,"",SER_hh_tes_in!K31/SER_hh_fec_in!K31)</f>
        <v>0.64188324284873111</v>
      </c>
      <c r="L31" s="137">
        <f>IF(SER_hh_tes_in!L31=0,"",SER_hh_tes_in!L31/SER_hh_fec_in!L31)</f>
        <v>0.6420240016000599</v>
      </c>
      <c r="M31" s="137">
        <f>IF(SER_hh_tes_in!M31=0,"",SER_hh_tes_in!M31/SER_hh_fec_in!M31)</f>
        <v>0.64209974844435991</v>
      </c>
      <c r="N31" s="137">
        <f>IF(SER_hh_tes_in!N31=0,"",SER_hh_tes_in!N31/SER_hh_fec_in!N31)</f>
        <v>0.64209974844435991</v>
      </c>
      <c r="O31" s="137">
        <f>IF(SER_hh_tes_in!O31=0,"",SER_hh_tes_in!O31/SER_hh_fec_in!O31)</f>
        <v>0.64209974844435991</v>
      </c>
      <c r="P31" s="137">
        <f>IF(SER_hh_tes_in!P31=0,"",SER_hh_tes_in!P31/SER_hh_fec_in!P31)</f>
        <v>0.64209974844435991</v>
      </c>
      <c r="Q31" s="137">
        <f>IF(SER_hh_tes_in!Q31=0,"",SER_hh_tes_in!Q31/SER_hh_fec_in!Q31)</f>
        <v>0.64209974844435991</v>
      </c>
      <c r="R31" s="137">
        <f>IF(SER_hh_tes_in!R31=0,"",SER_hh_tes_in!R31/SER_hh_fec_in!R31)</f>
        <v>0.64257829416730428</v>
      </c>
      <c r="S31" s="137">
        <f>IF(SER_hh_tes_in!S31=0,"",SER_hh_tes_in!S31/SER_hh_fec_in!S31)</f>
        <v>0.64336082485047352</v>
      </c>
      <c r="T31" s="137">
        <f>IF(SER_hh_tes_in!T31=0,"",SER_hh_tes_in!T31/SER_hh_fec_in!T31)</f>
        <v>0.64427377731417035</v>
      </c>
      <c r="U31" s="137">
        <f>IF(SER_hh_tes_in!U31=0,"",SER_hh_tes_in!U31/SER_hh_fec_in!U31)</f>
        <v>0.64521933522299924</v>
      </c>
      <c r="V31" s="137">
        <f>IF(SER_hh_tes_in!V31=0,"",SER_hh_tes_in!V31/SER_hh_fec_in!V31)</f>
        <v>0.64609968224156422</v>
      </c>
      <c r="W31" s="137">
        <f>IF(SER_hh_tes_in!W31=0,"",SER_hh_tes_in!W31/SER_hh_fec_in!W31)</f>
        <v>0.64691481836986464</v>
      </c>
      <c r="DA31" s="164" t="s">
        <v>688</v>
      </c>
    </row>
    <row r="32" spans="1:105" ht="12" customHeight="1" x14ac:dyDescent="0.25">
      <c r="A32" s="132" t="s">
        <v>128</v>
      </c>
      <c r="B32" s="137"/>
      <c r="C32" s="137" t="str">
        <f>IF(SER_hh_tes_in!C32=0,"",SER_hh_tes_in!C32/SER_hh_fec_in!C32)</f>
        <v/>
      </c>
      <c r="D32" s="137" t="str">
        <f>IF(SER_hh_tes_in!D32=0,"",SER_hh_tes_in!D32/SER_hh_fec_in!D32)</f>
        <v/>
      </c>
      <c r="E32" s="137" t="str">
        <f>IF(SER_hh_tes_in!E32=0,"",SER_hh_tes_in!E32/SER_hh_fec_in!E32)</f>
        <v/>
      </c>
      <c r="F32" s="137" t="str">
        <f>IF(SER_hh_tes_in!F32=0,"",SER_hh_tes_in!F32/SER_hh_fec_in!F32)</f>
        <v/>
      </c>
      <c r="G32" s="137" t="str">
        <f>IF(SER_hh_tes_in!G32=0,"",SER_hh_tes_in!G32/SER_hh_fec_in!G32)</f>
        <v/>
      </c>
      <c r="H32" s="137" t="str">
        <f>IF(SER_hh_tes_in!H32=0,"",SER_hh_tes_in!H32/SER_hh_fec_in!H32)</f>
        <v/>
      </c>
      <c r="I32" s="137" t="str">
        <f>IF(SER_hh_tes_in!I32=0,"",SER_hh_tes_in!I32/SER_hh_fec_in!I32)</f>
        <v/>
      </c>
      <c r="J32" s="137">
        <f>IF(SER_hh_tes_in!J32=0,"",SER_hh_tes_in!J32/SER_hh_fec_in!J32)</f>
        <v>0.62018708279803181</v>
      </c>
      <c r="K32" s="137">
        <f>IF(SER_hh_tes_in!K32=0,"",SER_hh_tes_in!K32/SER_hh_fec_in!K32)</f>
        <v>0.62055421389432563</v>
      </c>
      <c r="L32" s="137">
        <f>IF(SER_hh_tes_in!L32=0,"",SER_hh_tes_in!L32/SER_hh_fec_in!L32)</f>
        <v>0.62090575094625311</v>
      </c>
      <c r="M32" s="137">
        <f>IF(SER_hh_tes_in!M32=0,"",SER_hh_tes_in!M32/SER_hh_fec_in!M32)</f>
        <v>0.62109492442276293</v>
      </c>
      <c r="N32" s="137">
        <f>IF(SER_hh_tes_in!N32=0,"",SER_hh_tes_in!N32/SER_hh_fec_in!N32)</f>
        <v>0.62109492442276304</v>
      </c>
      <c r="O32" s="137">
        <f>IF(SER_hh_tes_in!O32=0,"",SER_hh_tes_in!O32/SER_hh_fec_in!O32)</f>
        <v>0.62109492442276293</v>
      </c>
      <c r="P32" s="137">
        <f>IF(SER_hh_tes_in!P32=0,"",SER_hh_tes_in!P32/SER_hh_fec_in!P32)</f>
        <v>0.62109492442276282</v>
      </c>
      <c r="Q32" s="137">
        <f>IF(SER_hh_tes_in!Q32=0,"",SER_hh_tes_in!Q32/SER_hh_fec_in!Q32)</f>
        <v>0.62109492442276293</v>
      </c>
      <c r="R32" s="137">
        <f>IF(SER_hh_tes_in!R32=0,"",SER_hh_tes_in!R32/SER_hh_fec_in!R32)</f>
        <v>0.62229006540737875</v>
      </c>
      <c r="S32" s="137">
        <f>IF(SER_hh_tes_in!S32=0,"",SER_hh_tes_in!S32/SER_hh_fec_in!S32)</f>
        <v>0.6242443917054401</v>
      </c>
      <c r="T32" s="137">
        <f>IF(SER_hh_tes_in!T32=0,"",SER_hh_tes_in!T32/SER_hh_fec_in!T32)</f>
        <v>0.62652443905317667</v>
      </c>
      <c r="U32" s="137" t="str">
        <f>IF(SER_hh_tes_in!U32=0,"",SER_hh_tes_in!U32/SER_hh_fec_in!U32)</f>
        <v/>
      </c>
      <c r="V32" s="137" t="str">
        <f>IF(SER_hh_tes_in!V32=0,"",SER_hh_tes_in!V32/SER_hh_fec_in!V32)</f>
        <v/>
      </c>
      <c r="W32" s="137" t="str">
        <f>IF(SER_hh_tes_in!W32=0,"",SER_hh_tes_in!W32/SER_hh_fec_in!W32)</f>
        <v/>
      </c>
      <c r="DA32" s="164" t="s">
        <v>689</v>
      </c>
    </row>
    <row r="33" spans="1:105" ht="12" customHeight="1" x14ac:dyDescent="0.25">
      <c r="A33" s="62" t="s">
        <v>24</v>
      </c>
      <c r="B33" s="150"/>
      <c r="C33" s="150">
        <f>IF(SER_hh_tes_in!C33=0,"",SER_hh_tes_in!C33/SER_hh_fec_in!C33)</f>
        <v>0.85184598535443756</v>
      </c>
      <c r="D33" s="150">
        <f>IF(SER_hh_tes_in!D33=0,"",SER_hh_tes_in!D33/SER_hh_fec_in!D33)</f>
        <v>0.85290833102141539</v>
      </c>
      <c r="E33" s="150">
        <f>IF(SER_hh_tes_in!E33=0,"",SER_hh_tes_in!E33/SER_hh_fec_in!E33)</f>
        <v>0.85400995965622672</v>
      </c>
      <c r="F33" s="150">
        <f>IF(SER_hh_tes_in!F33=0,"",SER_hh_tes_in!F33/SER_hh_fec_in!F33)</f>
        <v>0.85511694505937896</v>
      </c>
      <c r="G33" s="150">
        <f>IF(SER_hh_tes_in!G33=0,"",SER_hh_tes_in!G33/SER_hh_fec_in!G33)</f>
        <v>0.85626010776531924</v>
      </c>
      <c r="H33" s="150">
        <f>IF(SER_hh_tes_in!H33=0,"",SER_hh_tes_in!H33/SER_hh_fec_in!H33)</f>
        <v>0.85743567573299884</v>
      </c>
      <c r="I33" s="150">
        <f>IF(SER_hh_tes_in!I33=0,"",SER_hh_tes_in!I33/SER_hh_fec_in!I33)</f>
        <v>0.85865124314300578</v>
      </c>
      <c r="J33" s="150">
        <f>IF(SER_hh_tes_in!J33=0,"",SER_hh_tes_in!J33/SER_hh_fec_in!J33)</f>
        <v>0.85993792067270636</v>
      </c>
      <c r="K33" s="150">
        <f>IF(SER_hh_tes_in!K33=0,"",SER_hh_tes_in!K33/SER_hh_fec_in!K33)</f>
        <v>0.86132216058094269</v>
      </c>
      <c r="L33" s="150">
        <f>IF(SER_hh_tes_in!L33=0,"",SER_hh_tes_in!L33/SER_hh_fec_in!L33)</f>
        <v>0.8628110399314427</v>
      </c>
      <c r="M33" s="150">
        <f>IF(SER_hh_tes_in!M33=0,"",SER_hh_tes_in!M33/SER_hh_fec_in!M33)</f>
        <v>0.86483670833393667</v>
      </c>
      <c r="N33" s="150">
        <f>IF(SER_hh_tes_in!N33=0,"",SER_hh_tes_in!N33/SER_hh_fec_in!N33)</f>
        <v>0.86752170340717527</v>
      </c>
      <c r="O33" s="150">
        <f>IF(SER_hh_tes_in!O33=0,"",SER_hh_tes_in!O33/SER_hh_fec_in!O33)</f>
        <v>0.87116397281918478</v>
      </c>
      <c r="P33" s="150">
        <f>IF(SER_hh_tes_in!P33=0,"",SER_hh_tes_in!P33/SER_hh_fec_in!P33)</f>
        <v>0.87592000137435677</v>
      </c>
      <c r="Q33" s="150">
        <f>IF(SER_hh_tes_in!Q33=0,"",SER_hh_tes_in!Q33/SER_hh_fec_in!Q33)</f>
        <v>0.88204988852244037</v>
      </c>
      <c r="R33" s="150">
        <f>IF(SER_hh_tes_in!R33=0,"",SER_hh_tes_in!R33/SER_hh_fec_in!R33)</f>
        <v>0.89038865479063389</v>
      </c>
      <c r="S33" s="150">
        <f>IF(SER_hh_tes_in!S33=0,"",SER_hh_tes_in!S33/SER_hh_fec_in!S33)</f>
        <v>0.90079621503213347</v>
      </c>
      <c r="T33" s="150">
        <f>IF(SER_hh_tes_in!T33=0,"",SER_hh_tes_in!T33/SER_hh_fec_in!T33)</f>
        <v>0.9119860302195032</v>
      </c>
      <c r="U33" s="150">
        <f>IF(SER_hh_tes_in!U33=0,"",SER_hh_tes_in!U33/SER_hh_fec_in!U33)</f>
        <v>0.92267156132533867</v>
      </c>
      <c r="V33" s="150">
        <f>IF(SER_hh_tes_in!V33=0,"",SER_hh_tes_in!V33/SER_hh_fec_in!V33)</f>
        <v>0.93156626932222142</v>
      </c>
      <c r="W33" s="150">
        <f>IF(SER_hh_tes_in!W33=0,"",SER_hh_tes_in!W33/SER_hh_fec_in!W33)</f>
        <v>0.93821823454291531</v>
      </c>
      <c r="DA33" s="168" t="s">
        <v>690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691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84</v>
      </c>
      <c r="B3" s="126"/>
      <c r="C3" s="126">
        <f t="shared" ref="C3:Q3" si="0">SUM(C4,C16,C19,C29)</f>
        <v>101.84084364412962</v>
      </c>
      <c r="D3" s="126">
        <f t="shared" si="0"/>
        <v>326.41848897031457</v>
      </c>
      <c r="E3" s="126">
        <f t="shared" si="0"/>
        <v>96.059993889243898</v>
      </c>
      <c r="F3" s="126">
        <f t="shared" si="0"/>
        <v>89.173393439749304</v>
      </c>
      <c r="G3" s="126">
        <f t="shared" si="0"/>
        <v>62.528152708523422</v>
      </c>
      <c r="H3" s="126">
        <f t="shared" si="0"/>
        <v>119.01370152378337</v>
      </c>
      <c r="I3" s="126">
        <f t="shared" si="0"/>
        <v>155.83350558164446</v>
      </c>
      <c r="J3" s="126">
        <f t="shared" si="0"/>
        <v>136.37008160228109</v>
      </c>
      <c r="K3" s="126">
        <f t="shared" si="0"/>
        <v>27.269570775437959</v>
      </c>
      <c r="L3" s="126">
        <f t="shared" si="0"/>
        <v>178.01905190589429</v>
      </c>
      <c r="M3" s="126">
        <f t="shared" si="0"/>
        <v>113.9444209381669</v>
      </c>
      <c r="N3" s="126">
        <f t="shared" si="0"/>
        <v>68.949983812518639</v>
      </c>
      <c r="O3" s="126">
        <f t="shared" si="0"/>
        <v>62.896092572388859</v>
      </c>
      <c r="P3" s="126">
        <f t="shared" si="0"/>
        <v>50.995865776581098</v>
      </c>
      <c r="Q3" s="126">
        <f t="shared" si="0"/>
        <v>39.578422858870617</v>
      </c>
      <c r="R3" s="126">
        <f t="shared" ref="R3:W3" si="1">SUM(R4,R16,R19,R29)</f>
        <v>64.641574583878779</v>
      </c>
      <c r="S3" s="126">
        <f t="shared" si="1"/>
        <v>51.236278334503545</v>
      </c>
      <c r="T3" s="126">
        <f t="shared" si="1"/>
        <v>50.383991609566486</v>
      </c>
      <c r="U3" s="126">
        <f t="shared" si="1"/>
        <v>41.594705754516447</v>
      </c>
      <c r="V3" s="126">
        <f t="shared" si="1"/>
        <v>38.072254902285394</v>
      </c>
      <c r="W3" s="126">
        <f t="shared" si="1"/>
        <v>42.496840910068144</v>
      </c>
      <c r="DA3" s="155" t="s">
        <v>692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84.72419580108928</v>
      </c>
      <c r="D4" s="131">
        <f t="shared" si="2"/>
        <v>285.89672760185317</v>
      </c>
      <c r="E4" s="131">
        <f t="shared" si="2"/>
        <v>81.372822475078749</v>
      </c>
      <c r="F4" s="131">
        <f t="shared" si="2"/>
        <v>61.500560728941487</v>
      </c>
      <c r="G4" s="131">
        <f t="shared" si="2"/>
        <v>42.363045040288398</v>
      </c>
      <c r="H4" s="131">
        <f t="shared" si="2"/>
        <v>93.537832075310803</v>
      </c>
      <c r="I4" s="131">
        <f t="shared" si="2"/>
        <v>127.23918628441699</v>
      </c>
      <c r="J4" s="131">
        <f t="shared" si="2"/>
        <v>115.27420238984132</v>
      </c>
      <c r="K4" s="131">
        <f t="shared" si="2"/>
        <v>22.68454646622428</v>
      </c>
      <c r="L4" s="131">
        <f t="shared" si="2"/>
        <v>150.03102203692603</v>
      </c>
      <c r="M4" s="131">
        <f t="shared" si="2"/>
        <v>92.623469503539297</v>
      </c>
      <c r="N4" s="131">
        <f t="shared" si="2"/>
        <v>55.988285142379198</v>
      </c>
      <c r="O4" s="131">
        <f t="shared" si="2"/>
        <v>52.385920008194113</v>
      </c>
      <c r="P4" s="131">
        <f t="shared" si="2"/>
        <v>40.550020828082744</v>
      </c>
      <c r="Q4" s="131">
        <f t="shared" si="2"/>
        <v>32.149063925371607</v>
      </c>
      <c r="R4" s="131">
        <f t="shared" ref="R4:W4" si="3">SUM(R5:R15)</f>
        <v>51.749596043388735</v>
      </c>
      <c r="S4" s="131">
        <f t="shared" si="3"/>
        <v>38.900072932846022</v>
      </c>
      <c r="T4" s="131">
        <f t="shared" si="3"/>
        <v>36.283756032967766</v>
      </c>
      <c r="U4" s="131">
        <f t="shared" si="3"/>
        <v>27.07432442389867</v>
      </c>
      <c r="V4" s="131">
        <f t="shared" si="3"/>
        <v>24.156359695247954</v>
      </c>
      <c r="W4" s="131">
        <f t="shared" si="3"/>
        <v>27.784762279182221</v>
      </c>
      <c r="DA4" s="156" t="s">
        <v>693</v>
      </c>
    </row>
    <row r="5" spans="1:105" ht="12" customHeight="1" x14ac:dyDescent="0.25">
      <c r="A5" s="132" t="s">
        <v>29</v>
      </c>
      <c r="B5" s="133"/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694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695</v>
      </c>
    </row>
    <row r="7" spans="1:105" ht="12" customHeight="1" x14ac:dyDescent="0.25">
      <c r="A7" s="132" t="s">
        <v>168</v>
      </c>
      <c r="B7" s="133"/>
      <c r="C7" s="133">
        <v>59.778242197354373</v>
      </c>
      <c r="D7" s="133">
        <v>161.24758386618095</v>
      </c>
      <c r="E7" s="133">
        <v>51.633611430406134</v>
      </c>
      <c r="F7" s="133">
        <v>58.187617565111076</v>
      </c>
      <c r="G7" s="133">
        <v>39.9328114090018</v>
      </c>
      <c r="H7" s="133">
        <v>24.860061316644018</v>
      </c>
      <c r="I7" s="133">
        <v>16.803993377002538</v>
      </c>
      <c r="J7" s="133">
        <v>33.300631135895642</v>
      </c>
      <c r="K7" s="133">
        <v>3.974325923663351</v>
      </c>
      <c r="L7" s="133">
        <v>46.999248819559014</v>
      </c>
      <c r="M7" s="133">
        <v>36.259604228120153</v>
      </c>
      <c r="N7" s="133">
        <v>20.6080662486718</v>
      </c>
      <c r="O7" s="133">
        <v>21.52886425294837</v>
      </c>
      <c r="P7" s="133">
        <v>16.316831544137546</v>
      </c>
      <c r="Q7" s="133">
        <v>15.844058381658552</v>
      </c>
      <c r="R7" s="133">
        <v>16.195289760025798</v>
      </c>
      <c r="S7" s="133">
        <v>16.173151346535043</v>
      </c>
      <c r="T7" s="133">
        <v>13.16900905532081</v>
      </c>
      <c r="U7" s="133">
        <v>6.8615681045298906</v>
      </c>
      <c r="V7" s="133">
        <v>7.65636204234481</v>
      </c>
      <c r="W7" s="133">
        <v>2.538327479557148</v>
      </c>
      <c r="DA7" s="157" t="s">
        <v>696</v>
      </c>
    </row>
    <row r="8" spans="1:105" ht="12" customHeight="1" x14ac:dyDescent="0.25">
      <c r="A8" s="132" t="s">
        <v>73</v>
      </c>
      <c r="B8" s="133"/>
      <c r="C8" s="133">
        <v>7.9479716920176206E-4</v>
      </c>
      <c r="D8" s="133">
        <v>1.9064846219059956E-3</v>
      </c>
      <c r="E8" s="133">
        <v>5.9374186894791845E-4</v>
      </c>
      <c r="F8" s="133">
        <v>8.858533478170778E-4</v>
      </c>
      <c r="G8" s="133">
        <v>1.2869514114538512E-3</v>
      </c>
      <c r="H8" s="133">
        <v>1.7608786389713207E-3</v>
      </c>
      <c r="I8" s="133">
        <v>1.5963402446259602E-3</v>
      </c>
      <c r="J8" s="133">
        <v>1.1651849542827504E-3</v>
      </c>
      <c r="K8" s="133">
        <v>3.9914272972962667E-4</v>
      </c>
      <c r="L8" s="133">
        <v>1.7288407577782771E-3</v>
      </c>
      <c r="M8" s="133">
        <v>1.5713434295941016E-3</v>
      </c>
      <c r="N8" s="133">
        <v>1.0854141108702724E-3</v>
      </c>
      <c r="O8" s="133">
        <v>1.0215212543167875E-3</v>
      </c>
      <c r="P8" s="133">
        <v>1.225128314117402E-3</v>
      </c>
      <c r="Q8" s="133">
        <v>6.9056783258119908E-4</v>
      </c>
      <c r="R8" s="133">
        <v>9.9955049126986602E-4</v>
      </c>
      <c r="S8" s="133">
        <v>6.0619057492375178E-4</v>
      </c>
      <c r="T8" s="133">
        <v>7.4856857320001308E-4</v>
      </c>
      <c r="U8" s="133">
        <v>9.0066146607219644E-4</v>
      </c>
      <c r="V8" s="133">
        <v>9.624553178636077E-4</v>
      </c>
      <c r="W8" s="133">
        <v>8.5915682550808065E-4</v>
      </c>
      <c r="DA8" s="157" t="s">
        <v>697</v>
      </c>
    </row>
    <row r="9" spans="1:105" ht="12" customHeight="1" x14ac:dyDescent="0.25">
      <c r="A9" s="132" t="s">
        <v>78</v>
      </c>
      <c r="B9" s="133"/>
      <c r="C9" s="133">
        <v>24.945158806565704</v>
      </c>
      <c r="D9" s="133">
        <v>124.64723725105031</v>
      </c>
      <c r="E9" s="133">
        <v>29.738617302803664</v>
      </c>
      <c r="F9" s="133">
        <v>0</v>
      </c>
      <c r="G9" s="133">
        <v>0</v>
      </c>
      <c r="H9" s="133">
        <v>67.928310056927472</v>
      </c>
      <c r="I9" s="133">
        <v>110.43359656716983</v>
      </c>
      <c r="J9" s="133">
        <v>81.97240606899139</v>
      </c>
      <c r="K9" s="133">
        <v>18.709821399831199</v>
      </c>
      <c r="L9" s="133">
        <v>103.03004437660924</v>
      </c>
      <c r="M9" s="133">
        <v>56.362293931989548</v>
      </c>
      <c r="N9" s="133">
        <v>35.379133479596526</v>
      </c>
      <c r="O9" s="133">
        <v>27.242274795072923</v>
      </c>
      <c r="P9" s="133">
        <v>19.606201820011687</v>
      </c>
      <c r="Q9" s="133">
        <v>14.676285241353789</v>
      </c>
      <c r="R9" s="133">
        <v>34.576658575811187</v>
      </c>
      <c r="S9" s="133">
        <v>22.384018711249901</v>
      </c>
      <c r="T9" s="133">
        <v>22.495363048577598</v>
      </c>
      <c r="U9" s="133">
        <v>19.454329986197472</v>
      </c>
      <c r="V9" s="133">
        <v>15.959875602867747</v>
      </c>
      <c r="W9" s="133">
        <v>24.628890835833083</v>
      </c>
      <c r="DA9" s="157" t="s">
        <v>698</v>
      </c>
    </row>
    <row r="10" spans="1:105" ht="12" customHeight="1" x14ac:dyDescent="0.25">
      <c r="A10" s="132" t="s">
        <v>128</v>
      </c>
      <c r="B10" s="133"/>
      <c r="C10" s="133">
        <v>0</v>
      </c>
      <c r="D10" s="133">
        <v>0</v>
      </c>
      <c r="E10" s="133">
        <v>0</v>
      </c>
      <c r="F10" s="133">
        <v>3.312057310482591</v>
      </c>
      <c r="G10" s="133">
        <v>2.4289466798751498</v>
      </c>
      <c r="H10" s="133">
        <v>0.747699823100339</v>
      </c>
      <c r="I10" s="133">
        <v>0</v>
      </c>
      <c r="J10" s="133">
        <v>0</v>
      </c>
      <c r="K10" s="133">
        <v>0</v>
      </c>
      <c r="L10" s="133">
        <v>0</v>
      </c>
      <c r="M10" s="133">
        <v>0</v>
      </c>
      <c r="N10" s="133">
        <v>0</v>
      </c>
      <c r="O10" s="133">
        <v>3.6137594389184988</v>
      </c>
      <c r="P10" s="133">
        <v>4.6257623356193935</v>
      </c>
      <c r="Q10" s="133">
        <v>1.6280297345266825</v>
      </c>
      <c r="R10" s="133">
        <v>0.97664815706048214</v>
      </c>
      <c r="S10" s="133">
        <v>0.34229668448615408</v>
      </c>
      <c r="T10" s="133">
        <v>0.61863536049615453</v>
      </c>
      <c r="U10" s="133">
        <v>0.75752567170523599</v>
      </c>
      <c r="V10" s="133">
        <v>0.53915959471753305</v>
      </c>
      <c r="W10" s="133">
        <v>0.61668480696648365</v>
      </c>
      <c r="DA10" s="157" t="s">
        <v>699</v>
      </c>
    </row>
    <row r="11" spans="1:105" ht="12" customHeight="1" x14ac:dyDescent="0.25">
      <c r="A11" s="132" t="s">
        <v>25</v>
      </c>
      <c r="B11" s="133"/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700</v>
      </c>
    </row>
    <row r="12" spans="1:105" ht="12" customHeight="1" x14ac:dyDescent="0.25">
      <c r="A12" s="132" t="s">
        <v>169</v>
      </c>
      <c r="B12" s="133"/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701</v>
      </c>
    </row>
    <row r="13" spans="1:105" ht="12" customHeight="1" x14ac:dyDescent="0.25">
      <c r="A13" s="132" t="s">
        <v>77</v>
      </c>
      <c r="B13" s="133"/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702</v>
      </c>
    </row>
    <row r="14" spans="1:105" ht="12" customHeight="1" x14ac:dyDescent="0.25">
      <c r="A14" s="60" t="s">
        <v>76</v>
      </c>
      <c r="B14" s="65"/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DA14" s="109" t="s">
        <v>703</v>
      </c>
    </row>
    <row r="15" spans="1:105" ht="12" customHeight="1" x14ac:dyDescent="0.25">
      <c r="A15" s="134" t="s">
        <v>80</v>
      </c>
      <c r="B15" s="135"/>
      <c r="C15" s="135">
        <v>0</v>
      </c>
      <c r="D15" s="135">
        <v>0</v>
      </c>
      <c r="E15" s="135">
        <v>0</v>
      </c>
      <c r="F15" s="135">
        <v>0</v>
      </c>
      <c r="G15" s="135">
        <v>0</v>
      </c>
      <c r="H15" s="135">
        <v>0</v>
      </c>
      <c r="I15" s="135">
        <v>0</v>
      </c>
      <c r="J15" s="135">
        <v>0</v>
      </c>
      <c r="K15" s="135">
        <v>0</v>
      </c>
      <c r="L15" s="135">
        <v>0</v>
      </c>
      <c r="M15" s="135">
        <v>0</v>
      </c>
      <c r="N15" s="135">
        <v>0</v>
      </c>
      <c r="O15" s="135">
        <v>0</v>
      </c>
      <c r="P15" s="135">
        <v>0</v>
      </c>
      <c r="Q15" s="135">
        <v>0</v>
      </c>
      <c r="R15" s="135">
        <v>0</v>
      </c>
      <c r="S15" s="135">
        <v>0</v>
      </c>
      <c r="T15" s="135">
        <v>0</v>
      </c>
      <c r="U15" s="135">
        <v>0</v>
      </c>
      <c r="V15" s="135">
        <v>0</v>
      </c>
      <c r="W15" s="135">
        <v>0</v>
      </c>
      <c r="DA15" s="158" t="s">
        <v>704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1.4532657850576242E-2</v>
      </c>
      <c r="D16" s="131">
        <f t="shared" si="4"/>
        <v>3.7054311784547843E-2</v>
      </c>
      <c r="E16" s="131">
        <f t="shared" si="4"/>
        <v>2.351103583230207E-3</v>
      </c>
      <c r="F16" s="131">
        <f t="shared" si="4"/>
        <v>6.7908306072572214E-2</v>
      </c>
      <c r="G16" s="131">
        <f t="shared" si="4"/>
        <v>3.9550642581860619E-2</v>
      </c>
      <c r="H16" s="131">
        <f t="shared" si="4"/>
        <v>2.6417580666503546E-2</v>
      </c>
      <c r="I16" s="131">
        <f t="shared" si="4"/>
        <v>7.703769334880313E-2</v>
      </c>
      <c r="J16" s="131">
        <f t="shared" si="4"/>
        <v>5.8862777579183123E-2</v>
      </c>
      <c r="K16" s="131">
        <f t="shared" si="4"/>
        <v>1.2159883770464815E-2</v>
      </c>
      <c r="L16" s="131">
        <f t="shared" si="4"/>
        <v>3.7811730377333264E-2</v>
      </c>
      <c r="M16" s="131">
        <f t="shared" si="4"/>
        <v>5.0117328140772237E-2</v>
      </c>
      <c r="N16" s="131">
        <f t="shared" si="4"/>
        <v>3.216306314277919E-2</v>
      </c>
      <c r="O16" s="131">
        <f t="shared" si="4"/>
        <v>3.870717560292157E-2</v>
      </c>
      <c r="P16" s="131">
        <f t="shared" si="4"/>
        <v>6.9856688078682491E-2</v>
      </c>
      <c r="Q16" s="131">
        <f t="shared" si="4"/>
        <v>7.556875329666872E-2</v>
      </c>
      <c r="R16" s="131">
        <f t="shared" ref="R16:W16" si="5">SUM(R17:R18)</f>
        <v>8.990143385737788E-2</v>
      </c>
      <c r="S16" s="131">
        <f t="shared" si="5"/>
        <v>5.4360694168108493E-2</v>
      </c>
      <c r="T16" s="131">
        <f t="shared" si="5"/>
        <v>0.11544703317358644</v>
      </c>
      <c r="U16" s="131">
        <f t="shared" si="5"/>
        <v>0.12394808202879729</v>
      </c>
      <c r="V16" s="131">
        <f t="shared" si="5"/>
        <v>0.15678636892074144</v>
      </c>
      <c r="W16" s="131">
        <f t="shared" si="5"/>
        <v>1.3049780108745994E-2</v>
      </c>
      <c r="DA16" s="156" t="s">
        <v>705</v>
      </c>
    </row>
    <row r="17" spans="1:105" ht="12.95" customHeight="1" x14ac:dyDescent="0.25">
      <c r="A17" s="132" t="s">
        <v>73</v>
      </c>
      <c r="B17" s="133"/>
      <c r="C17" s="133">
        <v>1.4532657850576242E-2</v>
      </c>
      <c r="D17" s="133">
        <v>3.7054311784547843E-2</v>
      </c>
      <c r="E17" s="133">
        <v>2.351103583230207E-3</v>
      </c>
      <c r="F17" s="133">
        <v>6.7908306072572214E-2</v>
      </c>
      <c r="G17" s="133">
        <v>3.9550642581860619E-2</v>
      </c>
      <c r="H17" s="133">
        <v>2.6417580666503546E-2</v>
      </c>
      <c r="I17" s="133">
        <v>7.703769334880313E-2</v>
      </c>
      <c r="J17" s="133">
        <v>5.8862777579183123E-2</v>
      </c>
      <c r="K17" s="133">
        <v>1.2159883770464815E-2</v>
      </c>
      <c r="L17" s="133">
        <v>3.7811730377333264E-2</v>
      </c>
      <c r="M17" s="133">
        <v>5.0117328140772237E-2</v>
      </c>
      <c r="N17" s="133">
        <v>3.216306314277919E-2</v>
      </c>
      <c r="O17" s="133">
        <v>3.870717560292157E-2</v>
      </c>
      <c r="P17" s="133">
        <v>6.9856688078682491E-2</v>
      </c>
      <c r="Q17" s="133">
        <v>7.556875329666872E-2</v>
      </c>
      <c r="R17" s="133">
        <v>8.990143385737788E-2</v>
      </c>
      <c r="S17" s="133">
        <v>5.4360694168108493E-2</v>
      </c>
      <c r="T17" s="133">
        <v>0.11544703317358644</v>
      </c>
      <c r="U17" s="133">
        <v>0.12394808202879729</v>
      </c>
      <c r="V17" s="133">
        <v>0.15678636892074144</v>
      </c>
      <c r="W17" s="133">
        <v>1.3049780108745994E-2</v>
      </c>
      <c r="DA17" s="157" t="s">
        <v>706</v>
      </c>
    </row>
    <row r="18" spans="1:105" ht="12" customHeight="1" x14ac:dyDescent="0.25">
      <c r="A18" s="132" t="s">
        <v>72</v>
      </c>
      <c r="B18" s="133"/>
      <c r="C18" s="133">
        <v>0</v>
      </c>
      <c r="D18" s="133">
        <v>0</v>
      </c>
      <c r="E18" s="133">
        <v>0</v>
      </c>
      <c r="F18" s="133">
        <v>0</v>
      </c>
      <c r="G18" s="133">
        <v>0</v>
      </c>
      <c r="H18" s="133">
        <v>0</v>
      </c>
      <c r="I18" s="133">
        <v>0</v>
      </c>
      <c r="J18" s="133">
        <v>0</v>
      </c>
      <c r="K18" s="133">
        <v>0</v>
      </c>
      <c r="L18" s="133">
        <v>0</v>
      </c>
      <c r="M18" s="133">
        <v>0</v>
      </c>
      <c r="N18" s="133">
        <v>0</v>
      </c>
      <c r="O18" s="133">
        <v>0</v>
      </c>
      <c r="P18" s="133">
        <v>0</v>
      </c>
      <c r="Q18" s="133">
        <v>0</v>
      </c>
      <c r="R18" s="133">
        <v>0</v>
      </c>
      <c r="S18" s="133">
        <v>0</v>
      </c>
      <c r="T18" s="133">
        <v>0</v>
      </c>
      <c r="U18" s="133">
        <v>0</v>
      </c>
      <c r="V18" s="133">
        <v>0</v>
      </c>
      <c r="W18" s="133">
        <v>0</v>
      </c>
      <c r="DA18" s="157" t="s">
        <v>707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10.848754075474226</v>
      </c>
      <c r="D19" s="131">
        <f t="shared" si="6"/>
        <v>28.992584184183652</v>
      </c>
      <c r="E19" s="131">
        <f t="shared" si="6"/>
        <v>10.435577960109157</v>
      </c>
      <c r="F19" s="131">
        <f t="shared" si="6"/>
        <v>19.309344322009689</v>
      </c>
      <c r="G19" s="131">
        <f t="shared" si="6"/>
        <v>14.471024805252338</v>
      </c>
      <c r="H19" s="131">
        <f t="shared" si="6"/>
        <v>16.962096108093391</v>
      </c>
      <c r="I19" s="131">
        <f t="shared" si="6"/>
        <v>18.749224708699412</v>
      </c>
      <c r="J19" s="131">
        <f t="shared" si="6"/>
        <v>12.460926733436834</v>
      </c>
      <c r="K19" s="131">
        <f t="shared" si="6"/>
        <v>2.3171192534952052</v>
      </c>
      <c r="L19" s="131">
        <f t="shared" si="6"/>
        <v>16.462154004150904</v>
      </c>
      <c r="M19" s="131">
        <f t="shared" si="6"/>
        <v>14.769962414443876</v>
      </c>
      <c r="N19" s="131">
        <f t="shared" si="6"/>
        <v>8.5831082403129955</v>
      </c>
      <c r="O19" s="131">
        <f t="shared" si="6"/>
        <v>6.7332784976488131</v>
      </c>
      <c r="P19" s="131">
        <f t="shared" si="6"/>
        <v>6.4765747917741159</v>
      </c>
      <c r="Q19" s="131">
        <f t="shared" si="6"/>
        <v>4.1959964526393332</v>
      </c>
      <c r="R19" s="131">
        <f t="shared" ref="R19:W19" si="7">SUM(R20:R27)</f>
        <v>7.4983357782151776</v>
      </c>
      <c r="S19" s="131">
        <f t="shared" si="7"/>
        <v>6.9045109330610552</v>
      </c>
      <c r="T19" s="131">
        <f t="shared" si="7"/>
        <v>7.5621734220635188</v>
      </c>
      <c r="U19" s="131">
        <f t="shared" si="7"/>
        <v>7.6362373081111992</v>
      </c>
      <c r="V19" s="131">
        <f t="shared" si="7"/>
        <v>7.0284681142553893</v>
      </c>
      <c r="W19" s="131">
        <f t="shared" si="7"/>
        <v>8.1027204155382933</v>
      </c>
      <c r="DA19" s="156" t="s">
        <v>708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709</v>
      </c>
    </row>
    <row r="21" spans="1:105" s="2" customFormat="1" ht="12" customHeight="1" x14ac:dyDescent="0.25">
      <c r="A21" s="132" t="s">
        <v>52</v>
      </c>
      <c r="B21" s="133"/>
      <c r="C21" s="133">
        <v>0.44898709940339676</v>
      </c>
      <c r="D21" s="133">
        <v>0.87505403896889844</v>
      </c>
      <c r="E21" s="133">
        <v>7.4294443297946863E-2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1.4791970325749807E-3</v>
      </c>
      <c r="M21" s="133">
        <v>0.25772477930094384</v>
      </c>
      <c r="N21" s="133">
        <v>0.33983265818044922</v>
      </c>
      <c r="O21" s="133">
        <v>0.25166231998601446</v>
      </c>
      <c r="P21" s="133">
        <v>0.10286518109759023</v>
      </c>
      <c r="Q21" s="133">
        <v>8.1187003337429189E-2</v>
      </c>
      <c r="R21" s="133">
        <v>0.14711954117007264</v>
      </c>
      <c r="S21" s="133">
        <v>0.17743599852440559</v>
      </c>
      <c r="T21" s="133">
        <v>0.1306997987558263</v>
      </c>
      <c r="U21" s="133">
        <v>6.3509894268907269E-2</v>
      </c>
      <c r="V21" s="133">
        <v>5.9029005347239769E-3</v>
      </c>
      <c r="W21" s="133">
        <v>5.2780257296088512E-2</v>
      </c>
      <c r="DA21" s="157" t="s">
        <v>710</v>
      </c>
    </row>
    <row r="22" spans="1:105" ht="12" customHeight="1" x14ac:dyDescent="0.25">
      <c r="A22" s="132" t="s">
        <v>168</v>
      </c>
      <c r="B22" s="133"/>
      <c r="C22" s="133">
        <v>4.0361969902099366</v>
      </c>
      <c r="D22" s="133">
        <v>9.2065723311345202</v>
      </c>
      <c r="E22" s="133">
        <v>4.0259094349265334</v>
      </c>
      <c r="F22" s="133">
        <v>6.7236671474713807</v>
      </c>
      <c r="G22" s="133">
        <v>5.1995501285348915</v>
      </c>
      <c r="H22" s="133">
        <v>5.6736479860537026</v>
      </c>
      <c r="I22" s="133">
        <v>5.6252646913775566</v>
      </c>
      <c r="J22" s="133">
        <v>3.7182891729724958</v>
      </c>
      <c r="K22" s="133">
        <v>0.94448167355360946</v>
      </c>
      <c r="L22" s="133">
        <v>5.6257780635400509</v>
      </c>
      <c r="M22" s="133">
        <v>5.209862203167666</v>
      </c>
      <c r="N22" s="133">
        <v>3.1585634526155681</v>
      </c>
      <c r="O22" s="133">
        <v>2.4961955953387704</v>
      </c>
      <c r="P22" s="133">
        <v>1.7757102295229024</v>
      </c>
      <c r="Q22" s="133">
        <v>1.3246009547367608</v>
      </c>
      <c r="R22" s="133">
        <v>2.0055360853841013</v>
      </c>
      <c r="S22" s="133">
        <v>1.8433791458151374</v>
      </c>
      <c r="T22" s="133">
        <v>1.6560936825388171</v>
      </c>
      <c r="U22" s="133">
        <v>1.692039245767115</v>
      </c>
      <c r="V22" s="133">
        <v>1.3090481681979158</v>
      </c>
      <c r="W22" s="133">
        <v>2.3274314649768675</v>
      </c>
      <c r="DA22" s="157" t="s">
        <v>711</v>
      </c>
    </row>
    <row r="23" spans="1:105" ht="12" customHeight="1" x14ac:dyDescent="0.25">
      <c r="A23" s="132" t="s">
        <v>153</v>
      </c>
      <c r="B23" s="133"/>
      <c r="C23" s="133">
        <v>6.3635699858608925</v>
      </c>
      <c r="D23" s="133">
        <v>18.910957814080234</v>
      </c>
      <c r="E23" s="133">
        <v>6.3353740818846758</v>
      </c>
      <c r="F23" s="133">
        <v>12.58567717453831</v>
      </c>
      <c r="G23" s="133">
        <v>9.2714746767174461</v>
      </c>
      <c r="H23" s="133">
        <v>11.288448122039688</v>
      </c>
      <c r="I23" s="133">
        <v>13.123960017321854</v>
      </c>
      <c r="J23" s="133">
        <v>8.7426375604643383</v>
      </c>
      <c r="K23" s="133">
        <v>1.3726375799415955</v>
      </c>
      <c r="L23" s="133">
        <v>10.834896743578277</v>
      </c>
      <c r="M23" s="133">
        <v>9.3023754319752658</v>
      </c>
      <c r="N23" s="133">
        <v>5.0847121295169773</v>
      </c>
      <c r="O23" s="133">
        <v>3.9854205823240285</v>
      </c>
      <c r="P23" s="133">
        <v>4.5979993811536231</v>
      </c>
      <c r="Q23" s="133">
        <v>2.7902084945651429</v>
      </c>
      <c r="R23" s="133">
        <v>5.3456801516610035</v>
      </c>
      <c r="S23" s="133">
        <v>4.8836957887215124</v>
      </c>
      <c r="T23" s="133">
        <v>5.7753799407688753</v>
      </c>
      <c r="U23" s="133">
        <v>5.880688168075177</v>
      </c>
      <c r="V23" s="133">
        <v>5.7135170455227495</v>
      </c>
      <c r="W23" s="133">
        <v>5.7225086932653371</v>
      </c>
      <c r="DA23" s="157" t="s">
        <v>712</v>
      </c>
    </row>
    <row r="24" spans="1:105" ht="12" customHeight="1" x14ac:dyDescent="0.25">
      <c r="A24" s="132" t="s">
        <v>128</v>
      </c>
      <c r="B24" s="133"/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713</v>
      </c>
    </row>
    <row r="25" spans="1:105" ht="12" customHeight="1" x14ac:dyDescent="0.25">
      <c r="A25" s="132" t="s">
        <v>169</v>
      </c>
      <c r="B25" s="133"/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714</v>
      </c>
    </row>
    <row r="26" spans="1:105" ht="12" customHeight="1" x14ac:dyDescent="0.25">
      <c r="A26" s="132" t="s">
        <v>24</v>
      </c>
      <c r="B26" s="65"/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DA26" s="109" t="s">
        <v>715</v>
      </c>
    </row>
    <row r="27" spans="1:105" ht="12" customHeight="1" x14ac:dyDescent="0.25">
      <c r="A27" s="145" t="s">
        <v>26</v>
      </c>
      <c r="B27" s="148"/>
      <c r="C27" s="148">
        <v>0</v>
      </c>
      <c r="D27" s="148">
        <v>0</v>
      </c>
      <c r="E27" s="148">
        <v>0</v>
      </c>
      <c r="F27" s="148">
        <v>0</v>
      </c>
      <c r="G27" s="148">
        <v>0</v>
      </c>
      <c r="H27" s="148">
        <v>0</v>
      </c>
      <c r="I27" s="148">
        <v>0</v>
      </c>
      <c r="J27" s="148">
        <v>0</v>
      </c>
      <c r="K27" s="148">
        <v>0</v>
      </c>
      <c r="L27" s="148">
        <v>0</v>
      </c>
      <c r="M27" s="148">
        <v>0</v>
      </c>
      <c r="N27" s="148">
        <v>0</v>
      </c>
      <c r="O27" s="148">
        <v>0</v>
      </c>
      <c r="P27" s="148">
        <v>0</v>
      </c>
      <c r="Q27" s="148">
        <v>0</v>
      </c>
      <c r="R27" s="148">
        <v>0</v>
      </c>
      <c r="S27" s="148">
        <v>0</v>
      </c>
      <c r="T27" s="148">
        <v>0</v>
      </c>
      <c r="U27" s="148">
        <v>0</v>
      </c>
      <c r="V27" s="148">
        <v>0</v>
      </c>
      <c r="W27" s="148">
        <v>0</v>
      </c>
      <c r="DA27" s="161" t="s">
        <v>716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6.2533611097155442</v>
      </c>
      <c r="D29" s="131">
        <f t="shared" si="8"/>
        <v>11.492122872493157</v>
      </c>
      <c r="E29" s="131">
        <f t="shared" si="8"/>
        <v>4.2492423504727519</v>
      </c>
      <c r="F29" s="131">
        <f t="shared" si="8"/>
        <v>8.295580082725543</v>
      </c>
      <c r="G29" s="131">
        <f t="shared" si="8"/>
        <v>5.6545322204008279</v>
      </c>
      <c r="H29" s="131">
        <f t="shared" si="8"/>
        <v>8.4873557597126776</v>
      </c>
      <c r="I29" s="131">
        <f t="shared" si="8"/>
        <v>9.768056895179253</v>
      </c>
      <c r="J29" s="131">
        <f t="shared" si="8"/>
        <v>8.5760897014237543</v>
      </c>
      <c r="K29" s="131">
        <f t="shared" si="8"/>
        <v>2.2557451719480106</v>
      </c>
      <c r="L29" s="131">
        <f t="shared" si="8"/>
        <v>11.488064134440023</v>
      </c>
      <c r="M29" s="131">
        <f t="shared" si="8"/>
        <v>6.5008716920429466</v>
      </c>
      <c r="N29" s="131">
        <f t="shared" si="8"/>
        <v>4.3464273666836553</v>
      </c>
      <c r="O29" s="131">
        <f t="shared" si="8"/>
        <v>3.7381868909430098</v>
      </c>
      <c r="P29" s="131">
        <f t="shared" si="8"/>
        <v>3.8994134686455602</v>
      </c>
      <c r="Q29" s="131">
        <f t="shared" si="8"/>
        <v>3.1577937275630017</v>
      </c>
      <c r="R29" s="131">
        <f t="shared" ref="R29:W29" si="9">SUM(R30:R33)</f>
        <v>5.3037413284174901</v>
      </c>
      <c r="S29" s="131">
        <f t="shared" si="9"/>
        <v>5.3773337744283571</v>
      </c>
      <c r="T29" s="131">
        <f t="shared" si="9"/>
        <v>6.4226151213616181</v>
      </c>
      <c r="U29" s="131">
        <f t="shared" si="9"/>
        <v>6.7601959404777778</v>
      </c>
      <c r="V29" s="131">
        <f t="shared" si="9"/>
        <v>6.7306407238613106</v>
      </c>
      <c r="W29" s="131">
        <f t="shared" si="9"/>
        <v>6.596308435238881</v>
      </c>
      <c r="DA29" s="156" t="s">
        <v>717</v>
      </c>
    </row>
    <row r="30" spans="1:105" s="2" customFormat="1" ht="12" customHeight="1" x14ac:dyDescent="0.25">
      <c r="A30" s="132" t="s">
        <v>52</v>
      </c>
      <c r="B30" s="133"/>
      <c r="C30" s="133">
        <v>0.65840360834288802</v>
      </c>
      <c r="D30" s="133">
        <v>0</v>
      </c>
      <c r="E30" s="133">
        <v>0</v>
      </c>
      <c r="F30" s="133">
        <v>0</v>
      </c>
      <c r="G30" s="133">
        <v>0</v>
      </c>
      <c r="H30" s="133">
        <v>0</v>
      </c>
      <c r="I30" s="133">
        <v>0</v>
      </c>
      <c r="J30" s="133">
        <v>0.4746605587087856</v>
      </c>
      <c r="K30" s="133">
        <v>0.39467922625885343</v>
      </c>
      <c r="L30" s="133">
        <v>3.0544950414786958</v>
      </c>
      <c r="M30" s="133">
        <v>0</v>
      </c>
      <c r="N30" s="133">
        <v>0</v>
      </c>
      <c r="O30" s="133">
        <v>0.11018154823824443</v>
      </c>
      <c r="P30" s="133">
        <v>3.9069459870054515E-2</v>
      </c>
      <c r="Q30" s="133">
        <v>0.37544830141183477</v>
      </c>
      <c r="R30" s="133">
        <v>0.16782874251194599</v>
      </c>
      <c r="S30" s="133">
        <v>0.51196003319051964</v>
      </c>
      <c r="T30" s="133">
        <v>0.57369788447238523</v>
      </c>
      <c r="U30" s="133">
        <v>0.93072136291750118</v>
      </c>
      <c r="V30" s="133">
        <v>1.3288877167617315</v>
      </c>
      <c r="W30" s="133">
        <v>1.0780411265776859</v>
      </c>
      <c r="DA30" s="157" t="s">
        <v>718</v>
      </c>
    </row>
    <row r="31" spans="1:105" ht="12" customHeight="1" x14ac:dyDescent="0.25">
      <c r="A31" s="132" t="s">
        <v>153</v>
      </c>
      <c r="B31" s="133"/>
      <c r="C31" s="133">
        <v>5.5949575013726562</v>
      </c>
      <c r="D31" s="133">
        <v>11.492122872493157</v>
      </c>
      <c r="E31" s="133">
        <v>4.2492423504727519</v>
      </c>
      <c r="F31" s="133">
        <v>8.295580082725543</v>
      </c>
      <c r="G31" s="133">
        <v>5.6545322204008279</v>
      </c>
      <c r="H31" s="133">
        <v>8.4873557597126776</v>
      </c>
      <c r="I31" s="133">
        <v>9.768056895179253</v>
      </c>
      <c r="J31" s="133">
        <v>8.1014291427149683</v>
      </c>
      <c r="K31" s="133">
        <v>1.8610659456891572</v>
      </c>
      <c r="L31" s="133">
        <v>8.4335690929613278</v>
      </c>
      <c r="M31" s="133">
        <v>6.5008716920429466</v>
      </c>
      <c r="N31" s="133">
        <v>4.3464273666836553</v>
      </c>
      <c r="O31" s="133">
        <v>3.5532387937771133</v>
      </c>
      <c r="P31" s="133">
        <v>3.776701059307122</v>
      </c>
      <c r="Q31" s="133">
        <v>2.7056157520926725</v>
      </c>
      <c r="R31" s="133">
        <v>5.0581548332059985</v>
      </c>
      <c r="S31" s="133">
        <v>4.7990406970979258</v>
      </c>
      <c r="T31" s="133">
        <v>5.8341938742716835</v>
      </c>
      <c r="U31" s="133">
        <v>5.8294745775602763</v>
      </c>
      <c r="V31" s="133">
        <v>5.401753007099579</v>
      </c>
      <c r="W31" s="133">
        <v>5.5182673086611951</v>
      </c>
      <c r="DA31" s="157" t="s">
        <v>719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7.4766548927652124E-2</v>
      </c>
      <c r="P32" s="133">
        <v>8.3642949468383812E-2</v>
      </c>
      <c r="Q32" s="133">
        <v>7.6729674058494443E-2</v>
      </c>
      <c r="R32" s="133">
        <v>7.7757752699545504E-2</v>
      </c>
      <c r="S32" s="133">
        <v>6.6333044139911396E-2</v>
      </c>
      <c r="T32" s="133">
        <v>1.4723362617549422E-2</v>
      </c>
      <c r="U32" s="133">
        <v>0</v>
      </c>
      <c r="V32" s="133">
        <v>0</v>
      </c>
      <c r="W32" s="133">
        <v>0</v>
      </c>
      <c r="DA32" s="157" t="s">
        <v>720</v>
      </c>
    </row>
    <row r="33" spans="1:105" ht="12" customHeight="1" x14ac:dyDescent="0.25">
      <c r="A33" s="62" t="s">
        <v>24</v>
      </c>
      <c r="B33" s="68"/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DA33" s="111" t="s">
        <v>721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722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87</v>
      </c>
      <c r="B3" s="126"/>
      <c r="C3" s="126">
        <f>IF(SER_hh_fec_in!C3=0,0,11630*1000*SER_hh_fec_in!C3/SER_hh_num_in!C3)</f>
        <v>163836.37348178177</v>
      </c>
      <c r="D3" s="126">
        <f>IF(SER_hh_fec_in!D3=0,0,11630*1000*SER_hh_fec_in!D3/SER_hh_num_in!D3)</f>
        <v>163646.75411130485</v>
      </c>
      <c r="E3" s="126">
        <f>IF(SER_hh_fec_in!E3=0,0,11630*1000*SER_hh_fec_in!E3/SER_hh_num_in!E3)</f>
        <v>156624.74166587574</v>
      </c>
      <c r="F3" s="126">
        <f>IF(SER_hh_fec_in!F3=0,0,11630*1000*SER_hh_fec_in!F3/SER_hh_num_in!F3)</f>
        <v>207929.80742926316</v>
      </c>
      <c r="G3" s="126">
        <f>IF(SER_hh_fec_in!G3=0,0,11630*1000*SER_hh_fec_in!G3/SER_hh_num_in!G3)</f>
        <v>177999.73943939235</v>
      </c>
      <c r="H3" s="126">
        <f>IF(SER_hh_fec_in!H3=0,0,11630*1000*SER_hh_fec_in!H3/SER_hh_num_in!H3)</f>
        <v>161236.14492580452</v>
      </c>
      <c r="I3" s="126">
        <f>IF(SER_hh_fec_in!I3=0,0,11630*1000*SER_hh_fec_in!I3/SER_hh_num_in!I3)</f>
        <v>147966.53348467132</v>
      </c>
      <c r="J3" s="126">
        <f>IF(SER_hh_fec_in!J3=0,0,11630*1000*SER_hh_fec_in!J3/SER_hh_num_in!J3)</f>
        <v>163715.34345797665</v>
      </c>
      <c r="K3" s="126">
        <f>IF(SER_hh_fec_in!K3=0,0,11630*1000*SER_hh_fec_in!K3/SER_hh_num_in!K3)</f>
        <v>157835.18265252572</v>
      </c>
      <c r="L3" s="126">
        <f>IF(SER_hh_fec_in!L3=0,0,11630*1000*SER_hh_fec_in!L3/SER_hh_num_in!L3)</f>
        <v>165269.92817718419</v>
      </c>
      <c r="M3" s="126">
        <f>IF(SER_hh_fec_in!M3=0,0,11630*1000*SER_hh_fec_in!M3/SER_hh_num_in!M3)</f>
        <v>132751.72740899402</v>
      </c>
      <c r="N3" s="126">
        <f>IF(SER_hh_fec_in!N3=0,0,11630*1000*SER_hh_fec_in!N3/SER_hh_num_in!N3)</f>
        <v>136945.21626443788</v>
      </c>
      <c r="O3" s="126">
        <f>IF(SER_hh_fec_in!O3=0,0,11630*1000*SER_hh_fec_in!O3/SER_hh_num_in!O3)</f>
        <v>141676.97406562715</v>
      </c>
      <c r="P3" s="126">
        <f>IF(SER_hh_fec_in!P3=0,0,11630*1000*SER_hh_fec_in!P3/SER_hh_num_in!P3)</f>
        <v>112162.1689782201</v>
      </c>
      <c r="Q3" s="126">
        <f>IF(SER_hh_fec_in!Q3=0,0,11630*1000*SER_hh_fec_in!Q3/SER_hh_num_in!Q3)</f>
        <v>118332.26797841642</v>
      </c>
      <c r="R3" s="126">
        <f>IF(SER_hh_fec_in!R3=0,0,11630*1000*SER_hh_fec_in!R3/SER_hh_num_in!R3)</f>
        <v>110484.96208175556</v>
      </c>
      <c r="S3" s="126">
        <f>IF(SER_hh_fec_in!S3=0,0,11630*1000*SER_hh_fec_in!S3/SER_hh_num_in!S3)</f>
        <v>103464.55260497778</v>
      </c>
      <c r="T3" s="126">
        <f>IF(SER_hh_fec_in!T3=0,0,11630*1000*SER_hh_fec_in!T3/SER_hh_num_in!T3)</f>
        <v>98113.911361896608</v>
      </c>
      <c r="U3" s="126">
        <f>IF(SER_hh_fec_in!U3=0,0,11630*1000*SER_hh_fec_in!U3/SER_hh_num_in!U3)</f>
        <v>92862.752427738829</v>
      </c>
      <c r="V3" s="126">
        <f>IF(SER_hh_fec_in!V3=0,0,11630*1000*SER_hh_fec_in!V3/SER_hh_num_in!V3)</f>
        <v>84601.051703038887</v>
      </c>
      <c r="W3" s="126">
        <f>IF(SER_hh_fec_in!W3=0,0,11630*1000*SER_hh_fec_in!W3/SER_hh_num_in!W3)</f>
        <v>81887.653631439214</v>
      </c>
      <c r="DA3" s="155" t="s">
        <v>723</v>
      </c>
    </row>
    <row r="4" spans="1:105" ht="12.95" customHeight="1" x14ac:dyDescent="0.25">
      <c r="A4" s="130" t="s">
        <v>32</v>
      </c>
      <c r="B4" s="131"/>
      <c r="C4" s="131">
        <f>IF(SER_hh_fec_in!C4=0,0,11630*1000*SER_hh_fec_in!C4/SER_hh_num_in!C4)</f>
        <v>119300.27223768939</v>
      </c>
      <c r="D4" s="131">
        <f>IF(SER_hh_fec_in!D4=0,0,11630*1000*SER_hh_fec_in!D4/SER_hh_num_in!D4)</f>
        <v>123799.32678598286</v>
      </c>
      <c r="E4" s="131">
        <f>IF(SER_hh_fec_in!E4=0,0,11630*1000*SER_hh_fec_in!E4/SER_hh_num_in!E4)</f>
        <v>111519.91999984132</v>
      </c>
      <c r="F4" s="131">
        <f>IF(SER_hh_fec_in!F4=0,0,11630*1000*SER_hh_fec_in!F4/SER_hh_num_in!F4)</f>
        <v>166690.02691729879</v>
      </c>
      <c r="G4" s="131">
        <f>IF(SER_hh_fec_in!G4=0,0,11630*1000*SER_hh_fec_in!G4/SER_hh_num_in!G4)</f>
        <v>136367.21529636311</v>
      </c>
      <c r="H4" s="131">
        <f>IF(SER_hh_fec_in!H4=0,0,11630*1000*SER_hh_fec_in!H4/SER_hh_num_in!H4)</f>
        <v>118128.44672523905</v>
      </c>
      <c r="I4" s="131">
        <f>IF(SER_hh_fec_in!I4=0,0,11630*1000*SER_hh_fec_in!I4/SER_hh_num_in!I4)</f>
        <v>107771.39999806449</v>
      </c>
      <c r="J4" s="131">
        <f>IF(SER_hh_fec_in!J4=0,0,11630*1000*SER_hh_fec_in!J4/SER_hh_num_in!J4)</f>
        <v>123373.40978701037</v>
      </c>
      <c r="K4" s="131">
        <f>IF(SER_hh_fec_in!K4=0,0,11630*1000*SER_hh_fec_in!K4/SER_hh_num_in!K4)</f>
        <v>118169.66465606248</v>
      </c>
      <c r="L4" s="131">
        <f>IF(SER_hh_fec_in!L4=0,0,11630*1000*SER_hh_fec_in!L4/SER_hh_num_in!L4)</f>
        <v>124646.8286308917</v>
      </c>
      <c r="M4" s="131">
        <f>IF(SER_hh_fec_in!M4=0,0,11630*1000*SER_hh_fec_in!M4/SER_hh_num_in!M4)</f>
        <v>94050.564894215015</v>
      </c>
      <c r="N4" s="131">
        <f>IF(SER_hh_fec_in!N4=0,0,11630*1000*SER_hh_fec_in!N4/SER_hh_num_in!N4)</f>
        <v>98300.260632519203</v>
      </c>
      <c r="O4" s="131">
        <f>IF(SER_hh_fec_in!O4=0,0,11630*1000*SER_hh_fec_in!O4/SER_hh_num_in!O4)</f>
        <v>103657.87754480622</v>
      </c>
      <c r="P4" s="131">
        <f>IF(SER_hh_fec_in!P4=0,0,11630*1000*SER_hh_fec_in!P4/SER_hh_num_in!P4)</f>
        <v>75777.339825895295</v>
      </c>
      <c r="Q4" s="131">
        <f>IF(SER_hh_fec_in!Q4=0,0,11630*1000*SER_hh_fec_in!Q4/SER_hh_num_in!Q4)</f>
        <v>81666.830161590871</v>
      </c>
      <c r="R4" s="131">
        <f>IF(SER_hh_fec_in!R4=0,0,11630*1000*SER_hh_fec_in!R4/SER_hh_num_in!R4)</f>
        <v>75245.015973543967</v>
      </c>
      <c r="S4" s="131">
        <f>IF(SER_hh_fec_in!S4=0,0,11630*1000*SER_hh_fec_in!S4/SER_hh_num_in!S4)</f>
        <v>68935.87660018084</v>
      </c>
      <c r="T4" s="131">
        <f>IF(SER_hh_fec_in!T4=0,0,11630*1000*SER_hh_fec_in!T4/SER_hh_num_in!T4)</f>
        <v>63558.555360434548</v>
      </c>
      <c r="U4" s="131">
        <f>IF(SER_hh_fec_in!U4=0,0,11630*1000*SER_hh_fec_in!U4/SER_hh_num_in!U4)</f>
        <v>59023.838997602033</v>
      </c>
      <c r="V4" s="131">
        <f>IF(SER_hh_fec_in!V4=0,0,11630*1000*SER_hh_fec_in!V4/SER_hh_num_in!V4)</f>
        <v>51679.850975011097</v>
      </c>
      <c r="W4" s="131">
        <f>IF(SER_hh_fec_in!W4=0,0,11630*1000*SER_hh_fec_in!W4/SER_hh_num_in!W4)</f>
        <v>49635.003120999019</v>
      </c>
      <c r="DA4" s="156" t="s">
        <v>724</v>
      </c>
    </row>
    <row r="5" spans="1:105" ht="12" customHeight="1" x14ac:dyDescent="0.25">
      <c r="A5" s="132" t="s">
        <v>29</v>
      </c>
      <c r="B5" s="133"/>
      <c r="C5" s="133">
        <f>IF(SER_hh_fec_in!C5=0,0,11630*1000*SER_hh_fec_in!C5/SER_hh_num_in!C5)</f>
        <v>0</v>
      </c>
      <c r="D5" s="133">
        <f>IF(SER_hh_fec_in!D5=0,0,11630*1000*SER_hh_fec_in!D5/SER_hh_num_in!D5)</f>
        <v>0</v>
      </c>
      <c r="E5" s="133">
        <f>IF(SER_hh_fec_in!E5=0,0,11630*1000*SER_hh_fec_in!E5/SER_hh_num_in!E5)</f>
        <v>0</v>
      </c>
      <c r="F5" s="133">
        <f>IF(SER_hh_fec_in!F5=0,0,11630*1000*SER_hh_fec_in!F5/SER_hh_num_in!F5)</f>
        <v>0</v>
      </c>
      <c r="G5" s="133">
        <f>IF(SER_hh_fec_in!G5=0,0,11630*1000*SER_hh_fec_in!G5/SER_hh_num_in!G5)</f>
        <v>0</v>
      </c>
      <c r="H5" s="133">
        <f>IF(SER_hh_fec_in!H5=0,0,11630*1000*SER_hh_fec_in!H5/SER_hh_num_in!H5)</f>
        <v>0</v>
      </c>
      <c r="I5" s="133">
        <f>IF(SER_hh_fec_in!I5=0,0,11630*1000*SER_hh_fec_in!I5/SER_hh_num_in!I5)</f>
        <v>0</v>
      </c>
      <c r="J5" s="133">
        <f>IF(SER_hh_fec_in!J5=0,0,11630*1000*SER_hh_fec_in!J5/SER_hh_num_in!J5)</f>
        <v>0</v>
      </c>
      <c r="K5" s="133">
        <f>IF(SER_hh_fec_in!K5=0,0,11630*1000*SER_hh_fec_in!K5/SER_hh_num_in!K5)</f>
        <v>0</v>
      </c>
      <c r="L5" s="133">
        <f>IF(SER_hh_fec_in!L5=0,0,11630*1000*SER_hh_fec_in!L5/SER_hh_num_in!L5)</f>
        <v>0</v>
      </c>
      <c r="M5" s="133">
        <f>IF(SER_hh_fec_in!M5=0,0,11630*1000*SER_hh_fec_in!M5/SER_hh_num_in!M5)</f>
        <v>0</v>
      </c>
      <c r="N5" s="133">
        <f>IF(SER_hh_fec_in!N5=0,0,11630*1000*SER_hh_fec_in!N5/SER_hh_num_in!N5)</f>
        <v>0</v>
      </c>
      <c r="O5" s="133">
        <f>IF(SER_hh_fec_in!O5=0,0,11630*1000*SER_hh_fec_in!O5/SER_hh_num_in!O5)</f>
        <v>0</v>
      </c>
      <c r="P5" s="133">
        <f>IF(SER_hh_fec_in!P5=0,0,11630*1000*SER_hh_fec_in!P5/SER_hh_num_in!P5)</f>
        <v>0</v>
      </c>
      <c r="Q5" s="133">
        <f>IF(SER_hh_fec_in!Q5=0,0,11630*1000*SER_hh_fec_in!Q5/SER_hh_num_in!Q5)</f>
        <v>0</v>
      </c>
      <c r="R5" s="133">
        <f>IF(SER_hh_fec_in!R5=0,0,11630*1000*SER_hh_fec_in!R5/SER_hh_num_in!R5)</f>
        <v>0</v>
      </c>
      <c r="S5" s="133">
        <f>IF(SER_hh_fec_in!S5=0,0,11630*1000*SER_hh_fec_in!S5/SER_hh_num_in!S5)</f>
        <v>0</v>
      </c>
      <c r="T5" s="133">
        <f>IF(SER_hh_fec_in!T5=0,0,11630*1000*SER_hh_fec_in!T5/SER_hh_num_in!T5)</f>
        <v>0</v>
      </c>
      <c r="U5" s="133">
        <f>IF(SER_hh_fec_in!U5=0,0,11630*1000*SER_hh_fec_in!U5/SER_hh_num_in!U5)</f>
        <v>0</v>
      </c>
      <c r="V5" s="133">
        <f>IF(SER_hh_fec_in!V5=0,0,11630*1000*SER_hh_fec_in!V5/SER_hh_num_in!V5)</f>
        <v>0</v>
      </c>
      <c r="W5" s="133">
        <f>IF(SER_hh_fec_in!W5=0,0,11630*1000*SER_hh_fec_in!W5/SER_hh_num_in!W5)</f>
        <v>0</v>
      </c>
      <c r="DA5" s="157" t="s">
        <v>725</v>
      </c>
    </row>
    <row r="6" spans="1:105" ht="12" customHeight="1" x14ac:dyDescent="0.25">
      <c r="A6" s="132" t="s">
        <v>52</v>
      </c>
      <c r="B6" s="133"/>
      <c r="C6" s="133">
        <f>IF(SER_hh_fec_in!C6=0,0,11630*1000*SER_hh_fec_in!C6/SER_hh_num_in!C6)</f>
        <v>0</v>
      </c>
      <c r="D6" s="133">
        <f>IF(SER_hh_fec_in!D6=0,0,11630*1000*SER_hh_fec_in!D6/SER_hh_num_in!D6)</f>
        <v>0</v>
      </c>
      <c r="E6" s="133">
        <f>IF(SER_hh_fec_in!E6=0,0,11630*1000*SER_hh_fec_in!E6/SER_hh_num_in!E6)</f>
        <v>0</v>
      </c>
      <c r="F6" s="133">
        <f>IF(SER_hh_fec_in!F6=0,0,11630*1000*SER_hh_fec_in!F6/SER_hh_num_in!F6)</f>
        <v>0</v>
      </c>
      <c r="G6" s="133">
        <f>IF(SER_hh_fec_in!G6=0,0,11630*1000*SER_hh_fec_in!G6/SER_hh_num_in!G6)</f>
        <v>0</v>
      </c>
      <c r="H6" s="133">
        <f>IF(SER_hh_fec_in!H6=0,0,11630*1000*SER_hh_fec_in!H6/SER_hh_num_in!H6)</f>
        <v>0</v>
      </c>
      <c r="I6" s="133">
        <f>IF(SER_hh_fec_in!I6=0,0,11630*1000*SER_hh_fec_in!I6/SER_hh_num_in!I6)</f>
        <v>0</v>
      </c>
      <c r="J6" s="133">
        <f>IF(SER_hh_fec_in!J6=0,0,11630*1000*SER_hh_fec_in!J6/SER_hh_num_in!J6)</f>
        <v>0</v>
      </c>
      <c r="K6" s="133">
        <f>IF(SER_hh_fec_in!K6=0,0,11630*1000*SER_hh_fec_in!K6/SER_hh_num_in!K6)</f>
        <v>0</v>
      </c>
      <c r="L6" s="133">
        <f>IF(SER_hh_fec_in!L6=0,0,11630*1000*SER_hh_fec_in!L6/SER_hh_num_in!L6)</f>
        <v>0</v>
      </c>
      <c r="M6" s="133">
        <f>IF(SER_hh_fec_in!M6=0,0,11630*1000*SER_hh_fec_in!M6/SER_hh_num_in!M6)</f>
        <v>0</v>
      </c>
      <c r="N6" s="133">
        <f>IF(SER_hh_fec_in!N6=0,0,11630*1000*SER_hh_fec_in!N6/SER_hh_num_in!N6)</f>
        <v>0</v>
      </c>
      <c r="O6" s="133">
        <f>IF(SER_hh_fec_in!O6=0,0,11630*1000*SER_hh_fec_in!O6/SER_hh_num_in!O6)</f>
        <v>0</v>
      </c>
      <c r="P6" s="133">
        <f>IF(SER_hh_fec_in!P6=0,0,11630*1000*SER_hh_fec_in!P6/SER_hh_num_in!P6)</f>
        <v>0</v>
      </c>
      <c r="Q6" s="133">
        <f>IF(SER_hh_fec_in!Q6=0,0,11630*1000*SER_hh_fec_in!Q6/SER_hh_num_in!Q6)</f>
        <v>0</v>
      </c>
      <c r="R6" s="133">
        <f>IF(SER_hh_fec_in!R6=0,0,11630*1000*SER_hh_fec_in!R6/SER_hh_num_in!R6)</f>
        <v>0</v>
      </c>
      <c r="S6" s="133">
        <f>IF(SER_hh_fec_in!S6=0,0,11630*1000*SER_hh_fec_in!S6/SER_hh_num_in!S6)</f>
        <v>0</v>
      </c>
      <c r="T6" s="133">
        <f>IF(SER_hh_fec_in!T6=0,0,11630*1000*SER_hh_fec_in!T6/SER_hh_num_in!T6)</f>
        <v>0</v>
      </c>
      <c r="U6" s="133">
        <f>IF(SER_hh_fec_in!U6=0,0,11630*1000*SER_hh_fec_in!U6/SER_hh_num_in!U6)</f>
        <v>0</v>
      </c>
      <c r="V6" s="133">
        <f>IF(SER_hh_fec_in!V6=0,0,11630*1000*SER_hh_fec_in!V6/SER_hh_num_in!V6)</f>
        <v>0</v>
      </c>
      <c r="W6" s="133">
        <f>IF(SER_hh_fec_in!W6=0,0,11630*1000*SER_hh_fec_in!W6/SER_hh_num_in!W6)</f>
        <v>0</v>
      </c>
      <c r="DA6" s="157" t="s">
        <v>726</v>
      </c>
    </row>
    <row r="7" spans="1:105" ht="12" customHeight="1" x14ac:dyDescent="0.25">
      <c r="A7" s="132" t="s">
        <v>168</v>
      </c>
      <c r="B7" s="133"/>
      <c r="C7" s="133">
        <f>IF(SER_hh_fec_in!C7=0,0,11630*1000*SER_hh_fec_in!C7/SER_hh_num_in!C7)</f>
        <v>118934.88691719538</v>
      </c>
      <c r="D7" s="133">
        <f>IF(SER_hh_fec_in!D7=0,0,11630*1000*SER_hh_fec_in!D7/SER_hh_num_in!D7)</f>
        <v>150746.23106403078</v>
      </c>
      <c r="E7" s="133">
        <f>IF(SER_hh_fec_in!E7=0,0,11630*1000*SER_hh_fec_in!E7/SER_hh_num_in!E7)</f>
        <v>169026.60577063487</v>
      </c>
      <c r="F7" s="133">
        <f>IF(SER_hh_fec_in!F7=0,0,11630*1000*SER_hh_fec_in!F7/SER_hh_num_in!F7)</f>
        <v>162577.9494434181</v>
      </c>
      <c r="G7" s="133">
        <f>IF(SER_hh_fec_in!G7=0,0,11630*1000*SER_hh_fec_in!G7/SER_hh_num_in!G7)</f>
        <v>162374.80307248892</v>
      </c>
      <c r="H7" s="133">
        <f>IF(SER_hh_fec_in!H7=0,0,11630*1000*SER_hh_fec_in!H7/SER_hh_num_in!H7)</f>
        <v>140410.30697738874</v>
      </c>
      <c r="I7" s="133">
        <f>IF(SER_hh_fec_in!I7=0,0,11630*1000*SER_hh_fec_in!I7/SER_hh_num_in!I7)</f>
        <v>119356.69379049566</v>
      </c>
      <c r="J7" s="133">
        <f>IF(SER_hh_fec_in!J7=0,0,11630*1000*SER_hh_fec_in!J7/SER_hh_num_in!J7)</f>
        <v>150040.60154997348</v>
      </c>
      <c r="K7" s="133">
        <f>IF(SER_hh_fec_in!K7=0,0,11630*1000*SER_hh_fec_in!K7/SER_hh_num_in!K7)</f>
        <v>121677.49797233162</v>
      </c>
      <c r="L7" s="133">
        <f>IF(SER_hh_fec_in!L7=0,0,11630*1000*SER_hh_fec_in!L7/SER_hh_num_in!L7)</f>
        <v>135532.10639155257</v>
      </c>
      <c r="M7" s="133">
        <f>IF(SER_hh_fec_in!M7=0,0,11630*1000*SER_hh_fec_in!M7/SER_hh_num_in!M7)</f>
        <v>109356.21724985351</v>
      </c>
      <c r="N7" s="133">
        <f>IF(SER_hh_fec_in!N7=0,0,11630*1000*SER_hh_fec_in!N7/SER_hh_num_in!N7)</f>
        <v>104749.88711838836</v>
      </c>
      <c r="O7" s="133">
        <f>IF(SER_hh_fec_in!O7=0,0,11630*1000*SER_hh_fec_in!O7/SER_hh_num_in!O7)</f>
        <v>109858.37721156153</v>
      </c>
      <c r="P7" s="133">
        <f>IF(SER_hh_fec_in!P7=0,0,11630*1000*SER_hh_fec_in!P7/SER_hh_num_in!P7)</f>
        <v>77983.774567831249</v>
      </c>
      <c r="Q7" s="133">
        <f>IF(SER_hh_fec_in!Q7=0,0,11630*1000*SER_hh_fec_in!Q7/SER_hh_num_in!Q7)</f>
        <v>87936.094869762674</v>
      </c>
      <c r="R7" s="133">
        <f>IF(SER_hh_fec_in!R7=0,0,11630*1000*SER_hh_fec_in!R7/SER_hh_num_in!R7)</f>
        <v>77336.277017776098</v>
      </c>
      <c r="S7" s="133">
        <f>IF(SER_hh_fec_in!S7=0,0,11630*1000*SER_hh_fec_in!S7/SER_hh_num_in!S7)</f>
        <v>75394.908645100921</v>
      </c>
      <c r="T7" s="133">
        <f>IF(SER_hh_fec_in!T7=0,0,11630*1000*SER_hh_fec_in!T7/SER_hh_num_in!T7)</f>
        <v>71458.405497771295</v>
      </c>
      <c r="U7" s="133">
        <f>IF(SER_hh_fec_in!U7=0,0,11630*1000*SER_hh_fec_in!U7/SER_hh_num_in!U7)</f>
        <v>64692.22037784649</v>
      </c>
      <c r="V7" s="133">
        <f>IF(SER_hh_fec_in!V7=0,0,11630*1000*SER_hh_fec_in!V7/SER_hh_num_in!V7)</f>
        <v>63982.638709649473</v>
      </c>
      <c r="W7" s="133">
        <f>IF(SER_hh_fec_in!W7=0,0,11630*1000*SER_hh_fec_in!W7/SER_hh_num_in!W7)</f>
        <v>48599.67755997627</v>
      </c>
      <c r="DA7" s="157" t="s">
        <v>727</v>
      </c>
    </row>
    <row r="8" spans="1:105" ht="12" customHeight="1" x14ac:dyDescent="0.25">
      <c r="A8" s="132" t="s">
        <v>73</v>
      </c>
      <c r="B8" s="133"/>
      <c r="C8" s="133">
        <f>IF(SER_hh_fec_in!C8=0,0,11630*1000*SER_hh_fec_in!C8/SER_hh_num_in!C8)</f>
        <v>42896.136523302259</v>
      </c>
      <c r="D8" s="133">
        <f>IF(SER_hh_fec_in!D8=0,0,11630*1000*SER_hh_fec_in!D8/SER_hh_num_in!D8)</f>
        <v>41118.76322377332</v>
      </c>
      <c r="E8" s="133">
        <f>IF(SER_hh_fec_in!E8=0,0,11630*1000*SER_hh_fec_in!E8/SER_hh_num_in!E8)</f>
        <v>39358.165717724165</v>
      </c>
      <c r="F8" s="133">
        <f>IF(SER_hh_fec_in!F8=0,0,11630*1000*SER_hh_fec_in!F8/SER_hh_num_in!F8)</f>
        <v>43456.596286587723</v>
      </c>
      <c r="G8" s="133">
        <f>IF(SER_hh_fec_in!G8=0,0,11630*1000*SER_hh_fec_in!G8/SER_hh_num_in!G8)</f>
        <v>39444.611726841373</v>
      </c>
      <c r="H8" s="133">
        <f>IF(SER_hh_fec_in!H8=0,0,11630*1000*SER_hh_fec_in!H8/SER_hh_num_in!H8)</f>
        <v>37134.510277102338</v>
      </c>
      <c r="I8" s="133">
        <f>IF(SER_hh_fec_in!I8=0,0,11630*1000*SER_hh_fec_in!I8/SER_hh_num_in!I8)</f>
        <v>30793.443061824652</v>
      </c>
      <c r="J8" s="133">
        <f>IF(SER_hh_fec_in!J8=0,0,11630*1000*SER_hh_fec_in!J8/SER_hh_num_in!J8)</f>
        <v>31477.284752952946</v>
      </c>
      <c r="K8" s="133">
        <f>IF(SER_hh_fec_in!K8=0,0,11630*1000*SER_hh_fec_in!K8/SER_hh_num_in!K8)</f>
        <v>30107.029663953679</v>
      </c>
      <c r="L8" s="133">
        <f>IF(SER_hh_fec_in!L8=0,0,11630*1000*SER_hh_fec_in!L8/SER_hh_num_in!L8)</f>
        <v>28311.429777994726</v>
      </c>
      <c r="M8" s="133">
        <f>IF(SER_hh_fec_in!M8=0,0,11630*1000*SER_hh_fec_in!M8/SER_hh_num_in!M8)</f>
        <v>21692.586793201863</v>
      </c>
      <c r="N8" s="133">
        <f>IF(SER_hh_fec_in!N8=0,0,11630*1000*SER_hh_fec_in!N8/SER_hh_num_in!N8)</f>
        <v>22122.51029766769</v>
      </c>
      <c r="O8" s="133">
        <f>IF(SER_hh_fec_in!O8=0,0,11630*1000*SER_hh_fec_in!O8/SER_hh_num_in!O8)</f>
        <v>22509.061407824189</v>
      </c>
      <c r="P8" s="133">
        <f>IF(SER_hh_fec_in!P8=0,0,11630*1000*SER_hh_fec_in!P8/SER_hh_num_in!P8)</f>
        <v>16033.825701854808</v>
      </c>
      <c r="Q8" s="133">
        <f>IF(SER_hh_fec_in!Q8=0,0,11630*1000*SER_hh_fec_in!Q8/SER_hh_num_in!Q8)</f>
        <v>16677.961521622823</v>
      </c>
      <c r="R8" s="133">
        <f>IF(SER_hh_fec_in!R8=0,0,11630*1000*SER_hh_fec_in!R8/SER_hh_num_in!R8)</f>
        <v>16190.712970574359</v>
      </c>
      <c r="S8" s="133">
        <f>IF(SER_hh_fec_in!S8=0,0,11630*1000*SER_hh_fec_in!S8/SER_hh_num_in!S8)</f>
        <v>14737.674088833817</v>
      </c>
      <c r="T8" s="133">
        <f>IF(SER_hh_fec_in!T8=0,0,11630*1000*SER_hh_fec_in!T8/SER_hh_num_in!T8)</f>
        <v>13865.489772787159</v>
      </c>
      <c r="U8" s="133">
        <f>IF(SER_hh_fec_in!U8=0,0,11630*1000*SER_hh_fec_in!U8/SER_hh_num_in!U8)</f>
        <v>13018.348160887519</v>
      </c>
      <c r="V8" s="133">
        <f>IF(SER_hh_fec_in!V8=0,0,11630*1000*SER_hh_fec_in!V8/SER_hh_num_in!V8)</f>
        <v>11760.778430837672</v>
      </c>
      <c r="W8" s="133">
        <f>IF(SER_hh_fec_in!W8=0,0,11630*1000*SER_hh_fec_in!W8/SER_hh_num_in!W8)</f>
        <v>11278.916399045323</v>
      </c>
      <c r="DA8" s="157" t="s">
        <v>728</v>
      </c>
    </row>
    <row r="9" spans="1:105" ht="12" customHeight="1" x14ac:dyDescent="0.25">
      <c r="A9" s="132" t="s">
        <v>78</v>
      </c>
      <c r="B9" s="133"/>
      <c r="C9" s="133">
        <f>IF(SER_hh_fec_in!C9=0,0,11630*1000*SER_hh_fec_in!C9/SER_hh_num_in!C9)</f>
        <v>118788.88462457768</v>
      </c>
      <c r="D9" s="133">
        <f>IF(SER_hh_fec_in!D9=0,0,11630*1000*SER_hh_fec_in!D9/SER_hh_num_in!D9)</f>
        <v>109905.51982411749</v>
      </c>
      <c r="E9" s="133">
        <f>IF(SER_hh_fec_in!E9=0,0,11630*1000*SER_hh_fec_in!E9/SER_hh_num_in!E9)</f>
        <v>114293.04772580166</v>
      </c>
      <c r="F9" s="133">
        <f>IF(SER_hh_fec_in!F9=0,0,11630*1000*SER_hh_fec_in!F9/SER_hh_num_in!F9)</f>
        <v>0</v>
      </c>
      <c r="G9" s="133">
        <f>IF(SER_hh_fec_in!G9=0,0,11630*1000*SER_hh_fec_in!G9/SER_hh_num_in!G9)</f>
        <v>0</v>
      </c>
      <c r="H9" s="133">
        <f>IF(SER_hh_fec_in!H9=0,0,11630*1000*SER_hh_fec_in!H9/SER_hh_num_in!H9)</f>
        <v>121041.14526435338</v>
      </c>
      <c r="I9" s="133">
        <f>IF(SER_hh_fec_in!I9=0,0,11630*1000*SER_hh_fec_in!I9/SER_hh_num_in!I9)</f>
        <v>106134.52654848211</v>
      </c>
      <c r="J9" s="133">
        <f>IF(SER_hh_fec_in!J9=0,0,11630*1000*SER_hh_fec_in!J9/SER_hh_num_in!J9)</f>
        <v>115666.86602414807</v>
      </c>
      <c r="K9" s="133">
        <f>IF(SER_hh_fec_in!K9=0,0,11630*1000*SER_hh_fec_in!K9/SER_hh_num_in!K9)</f>
        <v>116544.07826797949</v>
      </c>
      <c r="L9" s="133">
        <f>IF(SER_hh_fec_in!L9=0,0,11630*1000*SER_hh_fec_in!L9/SER_hh_num_in!L9)</f>
        <v>119779.84162671835</v>
      </c>
      <c r="M9" s="133">
        <f>IF(SER_hh_fec_in!M9=0,0,11630*1000*SER_hh_fec_in!M9/SER_hh_num_in!M9)</f>
        <v>87511.676618720041</v>
      </c>
      <c r="N9" s="133">
        <f>IF(SER_hh_fec_in!N9=0,0,11630*1000*SER_hh_fec_in!N9/SER_hh_num_in!N9)</f>
        <v>94805.872992328645</v>
      </c>
      <c r="O9" s="133">
        <f>IF(SER_hh_fec_in!O9=0,0,11630*1000*SER_hh_fec_in!O9/SER_hh_num_in!O9)</f>
        <v>99009.27719326668</v>
      </c>
      <c r="P9" s="133">
        <f>IF(SER_hh_fec_in!P9=0,0,11630*1000*SER_hh_fec_in!P9/SER_hh_num_in!P9)</f>
        <v>69355.997835603644</v>
      </c>
      <c r="Q9" s="133">
        <f>IF(SER_hh_fec_in!Q9=0,0,11630*1000*SER_hh_fec_in!Q9/SER_hh_num_in!Q9)</f>
        <v>74478.705729316644</v>
      </c>
      <c r="R9" s="133">
        <f>IF(SER_hh_fec_in!R9=0,0,11630*1000*SER_hh_fec_in!R9/SER_hh_num_in!R9)</f>
        <v>73974.058738426524</v>
      </c>
      <c r="S9" s="133">
        <f>IF(SER_hh_fec_in!S9=0,0,11630*1000*SER_hh_fec_in!S9/SER_hh_num_in!S9)</f>
        <v>68525.545145051627</v>
      </c>
      <c r="T9" s="133">
        <f>IF(SER_hh_fec_in!T9=0,0,11630*1000*SER_hh_fec_in!T9/SER_hh_num_in!T9)</f>
        <v>65163.746667201303</v>
      </c>
      <c r="U9" s="133">
        <f>IF(SER_hh_fec_in!U9=0,0,11630*1000*SER_hh_fec_in!U9/SER_hh_num_in!U9)</f>
        <v>60564.957775372401</v>
      </c>
      <c r="V9" s="133">
        <f>IF(SER_hh_fec_in!V9=0,0,11630*1000*SER_hh_fec_in!V9/SER_hh_num_in!V9)</f>
        <v>51895.722148112101</v>
      </c>
      <c r="W9" s="133">
        <f>IF(SER_hh_fec_in!W9=0,0,11630*1000*SER_hh_fec_in!W9/SER_hh_num_in!W9)</f>
        <v>52036.618424784428</v>
      </c>
      <c r="DA9" s="157" t="s">
        <v>729</v>
      </c>
    </row>
    <row r="10" spans="1:105" ht="12" customHeight="1" x14ac:dyDescent="0.25">
      <c r="A10" s="132" t="s">
        <v>128</v>
      </c>
      <c r="B10" s="133"/>
      <c r="C10" s="133">
        <f>IF(SER_hh_fec_in!C10=0,0,11630*1000*SER_hh_fec_in!C10/SER_hh_num_in!C10)</f>
        <v>162154.05844851982</v>
      </c>
      <c r="D10" s="133">
        <f>IF(SER_hh_fec_in!D10=0,0,11630*1000*SER_hh_fec_in!D10/SER_hh_num_in!D10)</f>
        <v>11791.485016715622</v>
      </c>
      <c r="E10" s="133">
        <f>IF(SER_hh_fec_in!E10=0,0,11630*1000*SER_hh_fec_in!E10/SER_hh_num_in!E10)</f>
        <v>3702.0954820953266</v>
      </c>
      <c r="F10" s="133">
        <f>IF(SER_hh_fec_in!F10=0,0,11630*1000*SER_hh_fec_in!F10/SER_hh_num_in!F10)</f>
        <v>262396.59274185624</v>
      </c>
      <c r="G10" s="133">
        <f>IF(SER_hh_fec_in!G10=0,0,11630*1000*SER_hh_fec_in!G10/SER_hh_num_in!G10)</f>
        <v>224263.42057077514</v>
      </c>
      <c r="H10" s="133">
        <f>IF(SER_hh_fec_in!H10=0,0,11630*1000*SER_hh_fec_in!H10/SER_hh_num_in!H10)</f>
        <v>195219.67389347026</v>
      </c>
      <c r="I10" s="133">
        <f>IF(SER_hh_fec_in!I10=0,0,11630*1000*SER_hh_fec_in!I10/SER_hh_num_in!I10)</f>
        <v>0</v>
      </c>
      <c r="J10" s="133">
        <f>IF(SER_hh_fec_in!J10=0,0,11630*1000*SER_hh_fec_in!J10/SER_hh_num_in!J10)</f>
        <v>0</v>
      </c>
      <c r="K10" s="133">
        <f>IF(SER_hh_fec_in!K10=0,0,11630*1000*SER_hh_fec_in!K10/SER_hh_num_in!K10)</f>
        <v>44982.555845526236</v>
      </c>
      <c r="L10" s="133">
        <f>IF(SER_hh_fec_in!L10=0,0,11630*1000*SER_hh_fec_in!L10/SER_hh_num_in!L10)</f>
        <v>150109.06873793362</v>
      </c>
      <c r="M10" s="133">
        <f>IF(SER_hh_fec_in!M10=0,0,11630*1000*SER_hh_fec_in!M10/SER_hh_num_in!M10)</f>
        <v>91955.308307636675</v>
      </c>
      <c r="N10" s="133">
        <f>IF(SER_hh_fec_in!N10=0,0,11630*1000*SER_hh_fec_in!N10/SER_hh_num_in!N10)</f>
        <v>115730.6147143401</v>
      </c>
      <c r="O10" s="133">
        <f>IF(SER_hh_fec_in!O10=0,0,11630*1000*SER_hh_fec_in!O10/SER_hh_num_in!O10)</f>
        <v>146347.73872833286</v>
      </c>
      <c r="P10" s="133">
        <f>IF(SER_hh_fec_in!P10=0,0,11630*1000*SER_hh_fec_in!P10/SER_hh_num_in!P10)</f>
        <v>120025.6555980897</v>
      </c>
      <c r="Q10" s="133">
        <f>IF(SER_hh_fec_in!Q10=0,0,11630*1000*SER_hh_fec_in!Q10/SER_hh_num_in!Q10)</f>
        <v>119331.99689570142</v>
      </c>
      <c r="R10" s="133">
        <f>IF(SER_hh_fec_in!R10=0,0,11630*1000*SER_hh_fec_in!R10/SER_hh_num_in!R10)</f>
        <v>109902.29135423167</v>
      </c>
      <c r="S10" s="133">
        <f>IF(SER_hh_fec_in!S10=0,0,11630*1000*SER_hh_fec_in!S10/SER_hh_num_in!S10)</f>
        <v>100134.47816059928</v>
      </c>
      <c r="T10" s="133">
        <f>IF(SER_hh_fec_in!T10=0,0,11630*1000*SER_hh_fec_in!T10/SER_hh_num_in!T10)</f>
        <v>92915.83458457957</v>
      </c>
      <c r="U10" s="133">
        <f>IF(SER_hh_fec_in!U10=0,0,11630*1000*SER_hh_fec_in!U10/SER_hh_num_in!U10)</f>
        <v>89646.017662464568</v>
      </c>
      <c r="V10" s="133">
        <f>IF(SER_hh_fec_in!V10=0,0,11630*1000*SER_hh_fec_in!V10/SER_hh_num_in!V10)</f>
        <v>80250.571896810507</v>
      </c>
      <c r="W10" s="133">
        <f>IF(SER_hh_fec_in!W10=0,0,11630*1000*SER_hh_fec_in!W10/SER_hh_num_in!W10)</f>
        <v>67272.86254947311</v>
      </c>
      <c r="DA10" s="157" t="s">
        <v>730</v>
      </c>
    </row>
    <row r="11" spans="1:105" ht="12" customHeight="1" x14ac:dyDescent="0.25">
      <c r="A11" s="132" t="s">
        <v>25</v>
      </c>
      <c r="B11" s="133"/>
      <c r="C11" s="133">
        <f>IF(SER_hh_fec_in!C11=0,0,11630*1000*SER_hh_fec_in!C11/SER_hh_num_in!C11)</f>
        <v>0</v>
      </c>
      <c r="D11" s="133">
        <f>IF(SER_hh_fec_in!D11=0,0,11630*1000*SER_hh_fec_in!D11/SER_hh_num_in!D11)</f>
        <v>0</v>
      </c>
      <c r="E11" s="133">
        <f>IF(SER_hh_fec_in!E11=0,0,11630*1000*SER_hh_fec_in!E11/SER_hh_num_in!E11)</f>
        <v>0</v>
      </c>
      <c r="F11" s="133">
        <f>IF(SER_hh_fec_in!F11=0,0,11630*1000*SER_hh_fec_in!F11/SER_hh_num_in!F11)</f>
        <v>0</v>
      </c>
      <c r="G11" s="133">
        <f>IF(SER_hh_fec_in!G11=0,0,11630*1000*SER_hh_fec_in!G11/SER_hh_num_in!G11)</f>
        <v>0</v>
      </c>
      <c r="H11" s="133">
        <f>IF(SER_hh_fec_in!H11=0,0,11630*1000*SER_hh_fec_in!H11/SER_hh_num_in!H11)</f>
        <v>0</v>
      </c>
      <c r="I11" s="133">
        <f>IF(SER_hh_fec_in!I11=0,0,11630*1000*SER_hh_fec_in!I11/SER_hh_num_in!I11)</f>
        <v>0</v>
      </c>
      <c r="J11" s="133">
        <f>IF(SER_hh_fec_in!J11=0,0,11630*1000*SER_hh_fec_in!J11/SER_hh_num_in!J11)</f>
        <v>0</v>
      </c>
      <c r="K11" s="133">
        <f>IF(SER_hh_fec_in!K11=0,0,11630*1000*SER_hh_fec_in!K11/SER_hh_num_in!K11)</f>
        <v>0</v>
      </c>
      <c r="L11" s="133">
        <f>IF(SER_hh_fec_in!L11=0,0,11630*1000*SER_hh_fec_in!L11/SER_hh_num_in!L11)</f>
        <v>0</v>
      </c>
      <c r="M11" s="133">
        <f>IF(SER_hh_fec_in!M11=0,0,11630*1000*SER_hh_fec_in!M11/SER_hh_num_in!M11)</f>
        <v>0</v>
      </c>
      <c r="N11" s="133">
        <f>IF(SER_hh_fec_in!N11=0,0,11630*1000*SER_hh_fec_in!N11/SER_hh_num_in!N11)</f>
        <v>0</v>
      </c>
      <c r="O11" s="133">
        <f>IF(SER_hh_fec_in!O11=0,0,11630*1000*SER_hh_fec_in!O11/SER_hh_num_in!O11)</f>
        <v>0</v>
      </c>
      <c r="P11" s="133">
        <f>IF(SER_hh_fec_in!P11=0,0,11630*1000*SER_hh_fec_in!P11/SER_hh_num_in!P11)</f>
        <v>0</v>
      </c>
      <c r="Q11" s="133">
        <f>IF(SER_hh_fec_in!Q11=0,0,11630*1000*SER_hh_fec_in!Q11/SER_hh_num_in!Q11)</f>
        <v>0</v>
      </c>
      <c r="R11" s="133">
        <f>IF(SER_hh_fec_in!R11=0,0,11630*1000*SER_hh_fec_in!R11/SER_hh_num_in!R11)</f>
        <v>0</v>
      </c>
      <c r="S11" s="133">
        <f>IF(SER_hh_fec_in!S11=0,0,11630*1000*SER_hh_fec_in!S11/SER_hh_num_in!S11)</f>
        <v>0</v>
      </c>
      <c r="T11" s="133">
        <f>IF(SER_hh_fec_in!T11=0,0,11630*1000*SER_hh_fec_in!T11/SER_hh_num_in!T11)</f>
        <v>0</v>
      </c>
      <c r="U11" s="133">
        <f>IF(SER_hh_fec_in!U11=0,0,11630*1000*SER_hh_fec_in!U11/SER_hh_num_in!U11)</f>
        <v>0</v>
      </c>
      <c r="V11" s="133">
        <f>IF(SER_hh_fec_in!V11=0,0,11630*1000*SER_hh_fec_in!V11/SER_hh_num_in!V11)</f>
        <v>0</v>
      </c>
      <c r="W11" s="133">
        <f>IF(SER_hh_fec_in!W11=0,0,11630*1000*SER_hh_fec_in!W11/SER_hh_num_in!W11)</f>
        <v>0</v>
      </c>
      <c r="DA11" s="157" t="s">
        <v>731</v>
      </c>
    </row>
    <row r="12" spans="1:105" ht="12" customHeight="1" x14ac:dyDescent="0.25">
      <c r="A12" s="132" t="s">
        <v>169</v>
      </c>
      <c r="B12" s="133"/>
      <c r="C12" s="133">
        <f>IF(SER_hh_fec_in!C12=0,0,11630*1000*SER_hh_fec_in!C12/SER_hh_num_in!C12)</f>
        <v>85349.450919090508</v>
      </c>
      <c r="D12" s="133">
        <f>IF(SER_hh_fec_in!D12=0,0,11630*1000*SER_hh_fec_in!D12/SER_hh_num_in!D12)</f>
        <v>85644.367733090505</v>
      </c>
      <c r="E12" s="133">
        <f>IF(SER_hh_fec_in!E12=0,0,11630*1000*SER_hh_fec_in!E12/SER_hh_num_in!E12)</f>
        <v>87122.382118434994</v>
      </c>
      <c r="F12" s="133">
        <f>IF(SER_hh_fec_in!F12=0,0,11630*1000*SER_hh_fec_in!F12/SER_hh_num_in!F12)</f>
        <v>103185.61762076138</v>
      </c>
      <c r="G12" s="133">
        <f>IF(SER_hh_fec_in!G12=0,0,11630*1000*SER_hh_fec_in!G12/SER_hh_num_in!G12)</f>
        <v>93115.618286098994</v>
      </c>
      <c r="H12" s="133">
        <f>IF(SER_hh_fec_in!H12=0,0,11630*1000*SER_hh_fec_in!H12/SER_hh_num_in!H12)</f>
        <v>104539.9324760617</v>
      </c>
      <c r="I12" s="133">
        <f>IF(SER_hh_fec_in!I12=0,0,11630*1000*SER_hh_fec_in!I12/SER_hh_num_in!I12)</f>
        <v>112688.40092748262</v>
      </c>
      <c r="J12" s="133">
        <f>IF(SER_hh_fec_in!J12=0,0,11630*1000*SER_hh_fec_in!J12/SER_hh_num_in!J12)</f>
        <v>0</v>
      </c>
      <c r="K12" s="133">
        <f>IF(SER_hh_fec_in!K12=0,0,11630*1000*SER_hh_fec_in!K12/SER_hh_num_in!K12)</f>
        <v>0</v>
      </c>
      <c r="L12" s="133">
        <f>IF(SER_hh_fec_in!L12=0,0,11630*1000*SER_hh_fec_in!L12/SER_hh_num_in!L12)</f>
        <v>98595.79992670512</v>
      </c>
      <c r="M12" s="133">
        <f>IF(SER_hh_fec_in!M12=0,0,11630*1000*SER_hh_fec_in!M12/SER_hh_num_in!M12)</f>
        <v>80850.657705511054</v>
      </c>
      <c r="N12" s="133">
        <f>IF(SER_hh_fec_in!N12=0,0,11630*1000*SER_hh_fec_in!N12/SER_hh_num_in!N12)</f>
        <v>74784.751868962383</v>
      </c>
      <c r="O12" s="133">
        <f>IF(SER_hh_fec_in!O12=0,0,11630*1000*SER_hh_fec_in!O12/SER_hh_num_in!O12)</f>
        <v>62398.918139134112</v>
      </c>
      <c r="P12" s="133">
        <f>IF(SER_hh_fec_in!P12=0,0,11630*1000*SER_hh_fec_in!P12/SER_hh_num_in!P12)</f>
        <v>73845.591105812244</v>
      </c>
      <c r="Q12" s="133">
        <f>IF(SER_hh_fec_in!Q12=0,0,11630*1000*SER_hh_fec_in!Q12/SER_hh_num_in!Q12)</f>
        <v>74823.807999948258</v>
      </c>
      <c r="R12" s="133">
        <f>IF(SER_hh_fec_in!R12=0,0,11630*1000*SER_hh_fec_in!R12/SER_hh_num_in!R12)</f>
        <v>65330.842582772726</v>
      </c>
      <c r="S12" s="133">
        <f>IF(SER_hh_fec_in!S12=0,0,11630*1000*SER_hh_fec_in!S12/SER_hh_num_in!S12)</f>
        <v>57635.696171039279</v>
      </c>
      <c r="T12" s="133">
        <f>IF(SER_hh_fec_in!T12=0,0,11630*1000*SER_hh_fec_in!T12/SER_hh_num_in!T12)</f>
        <v>57856.059358273116</v>
      </c>
      <c r="U12" s="133">
        <f>IF(SER_hh_fec_in!U12=0,0,11630*1000*SER_hh_fec_in!U12/SER_hh_num_in!U12)</f>
        <v>51822.097421480015</v>
      </c>
      <c r="V12" s="133">
        <f>IF(SER_hh_fec_in!V12=0,0,11630*1000*SER_hh_fec_in!V12/SER_hh_num_in!V12)</f>
        <v>51450.320763417949</v>
      </c>
      <c r="W12" s="133">
        <f>IF(SER_hh_fec_in!W12=0,0,11630*1000*SER_hh_fec_in!W12/SER_hh_num_in!W12)</f>
        <v>46627.371984936341</v>
      </c>
      <c r="DA12" s="157" t="s">
        <v>732</v>
      </c>
    </row>
    <row r="13" spans="1:105" ht="12" customHeight="1" x14ac:dyDescent="0.25">
      <c r="A13" s="132" t="s">
        <v>77</v>
      </c>
      <c r="B13" s="133"/>
      <c r="C13" s="133">
        <f>IF(SER_hh_fec_in!C13=0,0,11630*1000*SER_hh_fec_in!C13/SER_hh_num_in!C13)</f>
        <v>51485.873539172106</v>
      </c>
      <c r="D13" s="133">
        <f>IF(SER_hh_fec_in!D13=0,0,11630*1000*SER_hh_fec_in!D13/SER_hh_num_in!D13)</f>
        <v>45636.167542451418</v>
      </c>
      <c r="E13" s="133">
        <f>IF(SER_hh_fec_in!E13=0,0,11630*1000*SER_hh_fec_in!E13/SER_hh_num_in!E13)</f>
        <v>38161.987304117392</v>
      </c>
      <c r="F13" s="133">
        <f>IF(SER_hh_fec_in!F13=0,0,11630*1000*SER_hh_fec_in!F13/SER_hh_num_in!F13)</f>
        <v>18018.477571331914</v>
      </c>
      <c r="G13" s="133">
        <f>IF(SER_hh_fec_in!G13=0,0,11630*1000*SER_hh_fec_in!G13/SER_hh_num_in!G13)</f>
        <v>12664.695564539918</v>
      </c>
      <c r="H13" s="133">
        <f>IF(SER_hh_fec_in!H13=0,0,11630*1000*SER_hh_fec_in!H13/SER_hh_num_in!H13)</f>
        <v>42460.743157132281</v>
      </c>
      <c r="I13" s="133">
        <f>IF(SER_hh_fec_in!I13=0,0,11630*1000*SER_hh_fec_in!I13/SER_hh_num_in!I13)</f>
        <v>37274.972193771311</v>
      </c>
      <c r="J13" s="133">
        <f>IF(SER_hh_fec_in!J13=0,0,11630*1000*SER_hh_fec_in!J13/SER_hh_num_in!J13)</f>
        <v>35632.899088857601</v>
      </c>
      <c r="K13" s="133">
        <f>IF(SER_hh_fec_in!K13=0,0,11630*1000*SER_hh_fec_in!K13/SER_hh_num_in!K13)</f>
        <v>33450.042740800971</v>
      </c>
      <c r="L13" s="133">
        <f>IF(SER_hh_fec_in!L13=0,0,11630*1000*SER_hh_fec_in!L13/SER_hh_num_in!L13)</f>
        <v>28934.623592292115</v>
      </c>
      <c r="M13" s="133">
        <f>IF(SER_hh_fec_in!M13=0,0,11630*1000*SER_hh_fec_in!M13/SER_hh_num_in!M13)</f>
        <v>24986.010151066923</v>
      </c>
      <c r="N13" s="133">
        <f>IF(SER_hh_fec_in!N13=0,0,11630*1000*SER_hh_fec_in!N13/SER_hh_num_in!N13)</f>
        <v>23316.862025152892</v>
      </c>
      <c r="O13" s="133">
        <f>IF(SER_hh_fec_in!O13=0,0,11630*1000*SER_hh_fec_in!O13/SER_hh_num_in!O13)</f>
        <v>22992.255897452775</v>
      </c>
      <c r="P13" s="133">
        <f>IF(SER_hh_fec_in!P13=0,0,11630*1000*SER_hh_fec_in!P13/SER_hh_num_in!P13)</f>
        <v>17850.553262725767</v>
      </c>
      <c r="Q13" s="133">
        <f>IF(SER_hh_fec_in!Q13=0,0,11630*1000*SER_hh_fec_in!Q13/SER_hh_num_in!Q13)</f>
        <v>16179.715343674919</v>
      </c>
      <c r="R13" s="133">
        <f>IF(SER_hh_fec_in!R13=0,0,11630*1000*SER_hh_fec_in!R13/SER_hh_num_in!R13)</f>
        <v>14224.520696652904</v>
      </c>
      <c r="S13" s="133">
        <f>IF(SER_hh_fec_in!S13=0,0,11630*1000*SER_hh_fec_in!S13/SER_hh_num_in!S13)</f>
        <v>10192.052710485354</v>
      </c>
      <c r="T13" s="133">
        <f>IF(SER_hh_fec_in!T13=0,0,11630*1000*SER_hh_fec_in!T13/SER_hh_num_in!T13)</f>
        <v>14782.543513131513</v>
      </c>
      <c r="U13" s="133">
        <f>IF(SER_hh_fec_in!U13=0,0,11630*1000*SER_hh_fec_in!U13/SER_hh_num_in!U13)</f>
        <v>13646.531306477413</v>
      </c>
      <c r="V13" s="133">
        <f>IF(SER_hh_fec_in!V13=0,0,11630*1000*SER_hh_fec_in!V13/SER_hh_num_in!V13)</f>
        <v>11411.95435322678</v>
      </c>
      <c r="W13" s="133">
        <f>IF(SER_hh_fec_in!W13=0,0,11630*1000*SER_hh_fec_in!W13/SER_hh_num_in!W13)</f>
        <v>13661.191452851854</v>
      </c>
      <c r="DA13" s="157" t="s">
        <v>733</v>
      </c>
    </row>
    <row r="14" spans="1:105" ht="12" customHeight="1" x14ac:dyDescent="0.25">
      <c r="A14" s="60" t="s">
        <v>76</v>
      </c>
      <c r="B14" s="65"/>
      <c r="C14" s="65">
        <f>IF(SER_hh_fec_in!C14=0,0,11630*1000*SER_hh_fec_in!C14/SER_hh_num_in!C14)</f>
        <v>111348.8897599881</v>
      </c>
      <c r="D14" s="65">
        <f>IF(SER_hh_fec_in!D14=0,0,11630*1000*SER_hh_fec_in!D14/SER_hh_num_in!D14)</f>
        <v>28789.150376039455</v>
      </c>
      <c r="E14" s="65">
        <f>IF(SER_hh_fec_in!E14=0,0,11630*1000*SER_hh_fec_in!E14/SER_hh_num_in!E14)</f>
        <v>3951.0293271115588</v>
      </c>
      <c r="F14" s="65">
        <f>IF(SER_hh_fec_in!F14=0,0,11630*1000*SER_hh_fec_in!F14/SER_hh_num_in!F14)</f>
        <v>168082.00097820789</v>
      </c>
      <c r="G14" s="65">
        <f>IF(SER_hh_fec_in!G14=0,0,11630*1000*SER_hh_fec_in!G14/SER_hh_num_in!G14)</f>
        <v>131295.48122005523</v>
      </c>
      <c r="H14" s="65">
        <f>IF(SER_hh_fec_in!H14=0,0,11630*1000*SER_hh_fec_in!H14/SER_hh_num_in!H14)</f>
        <v>105954.87019446139</v>
      </c>
      <c r="I14" s="65">
        <f>IF(SER_hh_fec_in!I14=0,0,11630*1000*SER_hh_fec_in!I14/SER_hh_num_in!I14)</f>
        <v>99460.925963626913</v>
      </c>
      <c r="J14" s="65">
        <f>IF(SER_hh_fec_in!J14=0,0,11630*1000*SER_hh_fec_in!J14/SER_hh_num_in!J14)</f>
        <v>0</v>
      </c>
      <c r="K14" s="65">
        <f>IF(SER_hh_fec_in!K14=0,0,11630*1000*SER_hh_fec_in!K14/SER_hh_num_in!K14)</f>
        <v>0</v>
      </c>
      <c r="L14" s="65">
        <f>IF(SER_hh_fec_in!L14=0,0,11630*1000*SER_hh_fec_in!L14/SER_hh_num_in!L14)</f>
        <v>0</v>
      </c>
      <c r="M14" s="65">
        <f>IF(SER_hh_fec_in!M14=0,0,11630*1000*SER_hh_fec_in!M14/SER_hh_num_in!M14)</f>
        <v>0</v>
      </c>
      <c r="N14" s="65">
        <f>IF(SER_hh_fec_in!N14=0,0,11630*1000*SER_hh_fec_in!N14/SER_hh_num_in!N14)</f>
        <v>0</v>
      </c>
      <c r="O14" s="65">
        <f>IF(SER_hh_fec_in!O14=0,0,11630*1000*SER_hh_fec_in!O14/SER_hh_num_in!O14)</f>
        <v>0</v>
      </c>
      <c r="P14" s="65">
        <f>IF(SER_hh_fec_in!P14=0,0,11630*1000*SER_hh_fec_in!P14/SER_hh_num_in!P14)</f>
        <v>0</v>
      </c>
      <c r="Q14" s="65">
        <f>IF(SER_hh_fec_in!Q14=0,0,11630*1000*SER_hh_fec_in!Q14/SER_hh_num_in!Q14)</f>
        <v>0</v>
      </c>
      <c r="R14" s="65">
        <f>IF(SER_hh_fec_in!R14=0,0,11630*1000*SER_hh_fec_in!R14/SER_hh_num_in!R14)</f>
        <v>64991.284540674758</v>
      </c>
      <c r="S14" s="65">
        <f>IF(SER_hh_fec_in!S14=0,0,11630*1000*SER_hh_fec_in!S14/SER_hh_num_in!S14)</f>
        <v>61492.936043091991</v>
      </c>
      <c r="T14" s="65">
        <f>IF(SER_hh_fec_in!T14=0,0,11630*1000*SER_hh_fec_in!T14/SER_hh_num_in!T14)</f>
        <v>57910.154779146113</v>
      </c>
      <c r="U14" s="65">
        <f>IF(SER_hh_fec_in!U14=0,0,11630*1000*SER_hh_fec_in!U14/SER_hh_num_in!U14)</f>
        <v>59158.978296252804</v>
      </c>
      <c r="V14" s="65">
        <f>IF(SER_hh_fec_in!V14=0,0,11630*1000*SER_hh_fec_in!V14/SER_hh_num_in!V14)</f>
        <v>50389.833001528932</v>
      </c>
      <c r="W14" s="65">
        <f>IF(SER_hh_fec_in!W14=0,0,11630*1000*SER_hh_fec_in!W14/SER_hh_num_in!W14)</f>
        <v>47690.800207312132</v>
      </c>
      <c r="DA14" s="109" t="s">
        <v>734</v>
      </c>
    </row>
    <row r="15" spans="1:105" ht="12" customHeight="1" x14ac:dyDescent="0.25">
      <c r="A15" s="134" t="s">
        <v>80</v>
      </c>
      <c r="B15" s="135"/>
      <c r="C15" s="135">
        <f>IF(SER_hh_fec_in!C15=0,0,11630*1000*SER_hh_fec_in!C15/SER_hh_num_in!C15)</f>
        <v>1371.5323236781173</v>
      </c>
      <c r="D15" s="135">
        <f>IF(SER_hh_fec_in!D15=0,0,11630*1000*SER_hh_fec_in!D15/SER_hh_num_in!D15)</f>
        <v>1490.9619700779735</v>
      </c>
      <c r="E15" s="135">
        <f>IF(SER_hh_fec_in!E15=0,0,11630*1000*SER_hh_fec_in!E15/SER_hh_num_in!E15)</f>
        <v>1605.727945824382</v>
      </c>
      <c r="F15" s="135">
        <f>IF(SER_hh_fec_in!F15=0,0,11630*1000*SER_hh_fec_in!F15/SER_hh_num_in!F15)</f>
        <v>1670.6080446150693</v>
      </c>
      <c r="G15" s="135">
        <f>IF(SER_hh_fec_in!G15=0,0,11630*1000*SER_hh_fec_in!G15/SER_hh_num_in!G15)</f>
        <v>1504.6130797830513</v>
      </c>
      <c r="H15" s="135">
        <f>IF(SER_hh_fec_in!H15=0,0,11630*1000*SER_hh_fec_in!H15/SER_hh_num_in!H15)</f>
        <v>1436.9483472698339</v>
      </c>
      <c r="I15" s="135">
        <f>IF(SER_hh_fec_in!I15=0,0,11630*1000*SER_hh_fec_in!I15/SER_hh_num_in!I15)</f>
        <v>1293.758236914623</v>
      </c>
      <c r="J15" s="135">
        <f>IF(SER_hh_fec_in!J15=0,0,11630*1000*SER_hh_fec_in!J15/SER_hh_num_in!J15)</f>
        <v>1462.3108700285384</v>
      </c>
      <c r="K15" s="135">
        <f>IF(SER_hh_fec_in!K15=0,0,11630*1000*SER_hh_fec_in!K15/SER_hh_num_in!K15)</f>
        <v>1421.1367147978331</v>
      </c>
      <c r="L15" s="135">
        <f>IF(SER_hh_fec_in!L15=0,0,11630*1000*SER_hh_fec_in!L15/SER_hh_num_in!L15)</f>
        <v>1459.0024106522335</v>
      </c>
      <c r="M15" s="135">
        <f>IF(SER_hh_fec_in!M15=0,0,11630*1000*SER_hh_fec_in!M15/SER_hh_num_in!M15)</f>
        <v>1081.0080139927454</v>
      </c>
      <c r="N15" s="135">
        <f>IF(SER_hh_fec_in!N15=0,0,11630*1000*SER_hh_fec_in!N15/SER_hh_num_in!N15)</f>
        <v>1134.178583496496</v>
      </c>
      <c r="O15" s="135">
        <f>IF(SER_hh_fec_in!O15=0,0,11630*1000*SER_hh_fec_in!O15/SER_hh_num_in!O15)</f>
        <v>1193.0395305427148</v>
      </c>
      <c r="P15" s="135">
        <f>IF(SER_hh_fec_in!P15=0,0,11630*1000*SER_hh_fec_in!P15/SER_hh_num_in!P15)</f>
        <v>823.33280918157845</v>
      </c>
      <c r="Q15" s="135">
        <f>IF(SER_hh_fec_in!Q15=0,0,11630*1000*SER_hh_fec_in!Q15/SER_hh_num_in!Q15)</f>
        <v>971.97648897192175</v>
      </c>
      <c r="R15" s="135">
        <f>IF(SER_hh_fec_in!R15=0,0,11630*1000*SER_hh_fec_in!R15/SER_hh_num_in!R15)</f>
        <v>960.77856049513696</v>
      </c>
      <c r="S15" s="135">
        <f>IF(SER_hh_fec_in!S15=0,0,11630*1000*SER_hh_fec_in!S15/SER_hh_num_in!S15)</f>
        <v>916.34792896543263</v>
      </c>
      <c r="T15" s="135">
        <f>IF(SER_hh_fec_in!T15=0,0,11630*1000*SER_hh_fec_in!T15/SER_hh_num_in!T15)</f>
        <v>852.69885297427527</v>
      </c>
      <c r="U15" s="135">
        <f>IF(SER_hh_fec_in!U15=0,0,11630*1000*SER_hh_fec_in!U15/SER_hh_num_in!U15)</f>
        <v>772.81242235502452</v>
      </c>
      <c r="V15" s="135">
        <f>IF(SER_hh_fec_in!V15=0,0,11630*1000*SER_hh_fec_in!V15/SER_hh_num_in!V15)</f>
        <v>673.11668038151856</v>
      </c>
      <c r="W15" s="135">
        <f>IF(SER_hh_fec_in!W15=0,0,11630*1000*SER_hh_fec_in!W15/SER_hh_num_in!W15)</f>
        <v>665.29222417251231</v>
      </c>
      <c r="DA15" s="158" t="s">
        <v>735</v>
      </c>
    </row>
    <row r="16" spans="1:105" ht="12.95" customHeight="1" x14ac:dyDescent="0.25">
      <c r="A16" s="130" t="s">
        <v>74</v>
      </c>
      <c r="B16" s="131"/>
      <c r="C16" s="131">
        <f>IF(SER_hh_fec_in!C16=0,0,11630*1000*SER_hh_fec_in!C16/SER_hh_num_in!C16)</f>
        <v>10593.416001751231</v>
      </c>
      <c r="D16" s="131">
        <f>IF(SER_hh_fec_in!D16=0,0,11630*1000*SER_hh_fec_in!D16/SER_hh_num_in!D16)</f>
        <v>10157.269230443611</v>
      </c>
      <c r="E16" s="131">
        <f>IF(SER_hh_fec_in!E16=0,0,11630*1000*SER_hh_fec_in!E16/SER_hh_num_in!E16)</f>
        <v>12445.112513613049</v>
      </c>
      <c r="F16" s="131">
        <f>IF(SER_hh_fec_in!F16=0,0,11630*1000*SER_hh_fec_in!F16/SER_hh_num_in!F16)</f>
        <v>9304.5244605955304</v>
      </c>
      <c r="G16" s="131">
        <f>IF(SER_hh_fec_in!G16=0,0,11630*1000*SER_hh_fec_in!G16/SER_hh_num_in!G16)</f>
        <v>9093.2407149315095</v>
      </c>
      <c r="H16" s="131">
        <f>IF(SER_hh_fec_in!H16=0,0,11630*1000*SER_hh_fec_in!H16/SER_hh_num_in!H16)</f>
        <v>10941.178316156052</v>
      </c>
      <c r="I16" s="131">
        <f>IF(SER_hh_fec_in!I16=0,0,11630*1000*SER_hh_fec_in!I16/SER_hh_num_in!I16)</f>
        <v>8253.1241626197498</v>
      </c>
      <c r="J16" s="131">
        <f>IF(SER_hh_fec_in!J16=0,0,11630*1000*SER_hh_fec_in!J16/SER_hh_num_in!J16)</f>
        <v>7996.6176319090191</v>
      </c>
      <c r="K16" s="131">
        <f>IF(SER_hh_fec_in!K16=0,0,11630*1000*SER_hh_fec_in!K16/SER_hh_num_in!K16)</f>
        <v>7734.0699268383014</v>
      </c>
      <c r="L16" s="131">
        <f>IF(SER_hh_fec_in!L16=0,0,11630*1000*SER_hh_fec_in!L16/SER_hh_num_in!L16)</f>
        <v>7881.6535821929247</v>
      </c>
      <c r="M16" s="131">
        <f>IF(SER_hh_fec_in!M16=0,0,11630*1000*SER_hh_fec_in!M16/SER_hh_num_in!M16)</f>
        <v>7074.1273997860671</v>
      </c>
      <c r="N16" s="131">
        <f>IF(SER_hh_fec_in!N16=0,0,11630*1000*SER_hh_fec_in!N16/SER_hh_num_in!N16)</f>
        <v>6772.3457561726855</v>
      </c>
      <c r="O16" s="131">
        <f>IF(SER_hh_fec_in!O16=0,0,11630*1000*SER_hh_fec_in!O16/SER_hh_num_in!O16)</f>
        <v>6433.3318544902149</v>
      </c>
      <c r="P16" s="131">
        <f>IF(SER_hh_fec_in!P16=0,0,11630*1000*SER_hh_fec_in!P16/SER_hh_num_in!P16)</f>
        <v>5839.6036269381966</v>
      </c>
      <c r="Q16" s="131">
        <f>IF(SER_hh_fec_in!Q16=0,0,11630*1000*SER_hh_fec_in!Q16/SER_hh_num_in!Q16)</f>
        <v>6212.9334599318672</v>
      </c>
      <c r="R16" s="131">
        <f>IF(SER_hh_fec_in!R16=0,0,11630*1000*SER_hh_fec_in!R16/SER_hh_num_in!R16)</f>
        <v>5688.4143306858141</v>
      </c>
      <c r="S16" s="131">
        <f>IF(SER_hh_fec_in!S16=0,0,11630*1000*SER_hh_fec_in!S16/SER_hh_num_in!S16)</f>
        <v>5122.70568585407</v>
      </c>
      <c r="T16" s="131">
        <f>IF(SER_hh_fec_in!T16=0,0,11630*1000*SER_hh_fec_in!T16/SER_hh_num_in!T16)</f>
        <v>5625.348981265387</v>
      </c>
      <c r="U16" s="131">
        <f>IF(SER_hh_fec_in!U16=0,0,11630*1000*SER_hh_fec_in!U16/SER_hh_num_in!U16)</f>
        <v>5179.0673410102308</v>
      </c>
      <c r="V16" s="131">
        <f>IF(SER_hh_fec_in!V16=0,0,11630*1000*SER_hh_fec_in!V16/SER_hh_num_in!V16)</f>
        <v>5634.4630235519126</v>
      </c>
      <c r="W16" s="131">
        <f>IF(SER_hh_fec_in!W16=0,0,11630*1000*SER_hh_fec_in!W16/SER_hh_num_in!W16)</f>
        <v>3851.8410955800032</v>
      </c>
      <c r="DA16" s="156" t="s">
        <v>736</v>
      </c>
    </row>
    <row r="17" spans="1:105" ht="12.95" customHeight="1" x14ac:dyDescent="0.25">
      <c r="A17" s="132" t="s">
        <v>73</v>
      </c>
      <c r="B17" s="133"/>
      <c r="C17" s="133">
        <f>IF(SER_hh_fec_in!C17=0,0,11630*1000*SER_hh_fec_in!C17/SER_hh_num_in!C17)</f>
        <v>20606.659562887977</v>
      </c>
      <c r="D17" s="133">
        <f>IF(SER_hh_fec_in!D17=0,0,11630*1000*SER_hh_fec_in!D17/SER_hh_num_in!D17)</f>
        <v>20370.818524708382</v>
      </c>
      <c r="E17" s="133">
        <f>IF(SER_hh_fec_in!E17=0,0,11630*1000*SER_hh_fec_in!E17/SER_hh_num_in!E17)</f>
        <v>25674.359337173559</v>
      </c>
      <c r="F17" s="133">
        <f>IF(SER_hh_fec_in!F17=0,0,11630*1000*SER_hh_fec_in!F17/SER_hh_num_in!F17)</f>
        <v>19842.808546623848</v>
      </c>
      <c r="G17" s="133">
        <f>IF(SER_hh_fec_in!G17=0,0,11630*1000*SER_hh_fec_in!G17/SER_hh_num_in!G17)</f>
        <v>19974.212921702583</v>
      </c>
      <c r="H17" s="133">
        <f>IF(SER_hh_fec_in!H17=0,0,11630*1000*SER_hh_fec_in!H17/SER_hh_num_in!H17)</f>
        <v>24722.665762454813</v>
      </c>
      <c r="I17" s="133">
        <f>IF(SER_hh_fec_in!I17=0,0,11630*1000*SER_hh_fec_in!I17/SER_hh_num_in!I17)</f>
        <v>19168.603368038061</v>
      </c>
      <c r="J17" s="133">
        <f>IF(SER_hh_fec_in!J17=0,0,11630*1000*SER_hh_fec_in!J17/SER_hh_num_in!J17)</f>
        <v>19089.587127249</v>
      </c>
      <c r="K17" s="133">
        <f>IF(SER_hh_fec_in!K17=0,0,11630*1000*SER_hh_fec_in!K17/SER_hh_num_in!K17)</f>
        <v>18941.071842463763</v>
      </c>
      <c r="L17" s="133">
        <f>IF(SER_hh_fec_in!L17=0,0,11630*1000*SER_hh_fec_in!L17/SER_hh_num_in!L17)</f>
        <v>19844.090259411594</v>
      </c>
      <c r="M17" s="133">
        <f>IF(SER_hh_fec_in!M17=0,0,11630*1000*SER_hh_fec_in!M17/SER_hh_num_in!M17)</f>
        <v>18304.234144696406</v>
      </c>
      <c r="N17" s="133">
        <f>IF(SER_hh_fec_in!N17=0,0,11630*1000*SER_hh_fec_in!N17/SER_hh_num_in!N17)</f>
        <v>18022.429136588955</v>
      </c>
      <c r="O17" s="133">
        <f>IF(SER_hh_fec_in!O17=0,0,11630*1000*SER_hh_fec_in!O17/SER_hh_num_in!O17)</f>
        <v>17553.923545331731</v>
      </c>
      <c r="P17" s="133">
        <f>IF(SER_hh_fec_in!P17=0,0,11630*1000*SER_hh_fec_in!P17/SER_hh_num_in!P17)</f>
        <v>16252.678420227263</v>
      </c>
      <c r="Q17" s="133">
        <f>IF(SER_hh_fec_in!Q17=0,0,11630*1000*SER_hh_fec_in!Q17/SER_hh_num_in!Q17)</f>
        <v>17418.172374491256</v>
      </c>
      <c r="R17" s="133">
        <f>IF(SER_hh_fec_in!R17=0,0,11630*1000*SER_hh_fec_in!R17/SER_hh_num_in!R17)</f>
        <v>16135.474676704131</v>
      </c>
      <c r="S17" s="133">
        <f>IF(SER_hh_fec_in!S17=0,0,11630*1000*SER_hh_fec_in!S17/SER_hh_num_in!S17)</f>
        <v>14564.139640915781</v>
      </c>
      <c r="T17" s="133">
        <f>IF(SER_hh_fec_in!T17=0,0,11630*1000*SER_hh_fec_in!T17/SER_hh_num_in!T17)</f>
        <v>15801.046266951864</v>
      </c>
      <c r="U17" s="133">
        <f>IF(SER_hh_fec_in!U17=0,0,11630*1000*SER_hh_fec_in!U17/SER_hh_num_in!U17)</f>
        <v>14390.246913532863</v>
      </c>
      <c r="V17" s="133">
        <f>IF(SER_hh_fec_in!V17=0,0,11630*1000*SER_hh_fec_in!V17/SER_hh_num_in!V17)</f>
        <v>15404.152622239524</v>
      </c>
      <c r="W17" s="133">
        <f>IF(SER_hh_fec_in!W17=0,0,11630*1000*SER_hh_fec_in!W17/SER_hh_num_in!W17)</f>
        <v>10816.841704348857</v>
      </c>
      <c r="DA17" s="157" t="s">
        <v>737</v>
      </c>
    </row>
    <row r="18" spans="1:105" ht="12" customHeight="1" x14ac:dyDescent="0.25">
      <c r="A18" s="132" t="s">
        <v>72</v>
      </c>
      <c r="B18" s="133"/>
      <c r="C18" s="133">
        <f>IF(SER_hh_fec_in!C18=0,0,11630*1000*SER_hh_fec_in!C18/SER_hh_num_in!C18)</f>
        <v>10582.065737838284</v>
      </c>
      <c r="D18" s="133">
        <f>IF(SER_hh_fec_in!D18=0,0,11630*1000*SER_hh_fec_in!D18/SER_hh_num_in!D18)</f>
        <v>10144.339478359312</v>
      </c>
      <c r="E18" s="133">
        <f>IF(SER_hh_fec_in!E18=0,0,11630*1000*SER_hh_fec_in!E18/SER_hh_num_in!E18)</f>
        <v>12443.198330464498</v>
      </c>
      <c r="F18" s="133">
        <f>IF(SER_hh_fec_in!F18=0,0,11630*1000*SER_hh_fec_in!F18/SER_hh_num_in!F18)</f>
        <v>9274.755385679493</v>
      </c>
      <c r="G18" s="133">
        <f>IF(SER_hh_fec_in!G18=0,0,11630*1000*SER_hh_fec_in!G18/SER_hh_num_in!G18)</f>
        <v>9070.1612656007201</v>
      </c>
      <c r="H18" s="133">
        <f>IF(SER_hh_fec_in!H18=0,0,11630*1000*SER_hh_fec_in!H18/SER_hh_num_in!H18)</f>
        <v>10928.203343520654</v>
      </c>
      <c r="I18" s="133">
        <f>IF(SER_hh_fec_in!I18=0,0,11630*1000*SER_hh_fec_in!I18/SER_hh_num_in!I18)</f>
        <v>8218.263581316065</v>
      </c>
      <c r="J18" s="133">
        <f>IF(SER_hh_fec_in!J18=0,0,11630*1000*SER_hh_fec_in!J18/SER_hh_num_in!J18)</f>
        <v>7957.6163704021892</v>
      </c>
      <c r="K18" s="133">
        <f>IF(SER_hh_fec_in!K18=0,0,11630*1000*SER_hh_fec_in!K18/SER_hh_num_in!K18)</f>
        <v>7695.3219579096994</v>
      </c>
      <c r="L18" s="133">
        <f>IF(SER_hh_fec_in!L18=0,0,11630*1000*SER_hh_fec_in!L18/SER_hh_num_in!L18)</f>
        <v>7861.6773909123458</v>
      </c>
      <c r="M18" s="133">
        <f>IF(SER_hh_fec_in!M18=0,0,11630*1000*SER_hh_fec_in!M18/SER_hh_num_in!M18)</f>
        <v>7041.1899425765869</v>
      </c>
      <c r="N18" s="133">
        <f>IF(SER_hh_fec_in!N18=0,0,11630*1000*SER_hh_fec_in!N18/SER_hh_num_in!N18)</f>
        <v>6736.0093415590909</v>
      </c>
      <c r="O18" s="133">
        <f>IF(SER_hh_fec_in!O18=0,0,11630*1000*SER_hh_fec_in!O18/SER_hh_num_in!O18)</f>
        <v>6379.5506835322803</v>
      </c>
      <c r="P18" s="133">
        <f>IF(SER_hh_fec_in!P18=0,0,11630*1000*SER_hh_fec_in!P18/SER_hh_num_in!P18)</f>
        <v>5752.9220700802125</v>
      </c>
      <c r="Q18" s="133">
        <f>IF(SER_hh_fec_in!Q18=0,0,11630*1000*SER_hh_fec_in!Q18/SER_hh_num_in!Q18)</f>
        <v>6074.3763452789271</v>
      </c>
      <c r="R18" s="133">
        <f>IF(SER_hh_fec_in!R18=0,0,11630*1000*SER_hh_fec_in!R18/SER_hh_num_in!R18)</f>
        <v>5599.3834184781681</v>
      </c>
      <c r="S18" s="133">
        <f>IF(SER_hh_fec_in!S18=0,0,11630*1000*SER_hh_fec_in!S18/SER_hh_num_in!S18)</f>
        <v>5065.4721944983194</v>
      </c>
      <c r="T18" s="133">
        <f>IF(SER_hh_fec_in!T18=0,0,11630*1000*SER_hh_fec_in!T18/SER_hh_num_in!T18)</f>
        <v>5520.8445322320058</v>
      </c>
      <c r="U18" s="133">
        <f>IF(SER_hh_fec_in!U18=0,0,11630*1000*SER_hh_fec_in!U18/SER_hh_num_in!U18)</f>
        <v>5066.1288029277912</v>
      </c>
      <c r="V18" s="133">
        <f>IF(SER_hh_fec_in!V18=0,0,11630*1000*SER_hh_fec_in!V18/SER_hh_num_in!V18)</f>
        <v>5490.6375156557824</v>
      </c>
      <c r="W18" s="133">
        <f>IF(SER_hh_fec_in!W18=0,0,11630*1000*SER_hh_fec_in!W18/SER_hh_num_in!W18)</f>
        <v>3839.7053654895221</v>
      </c>
      <c r="DA18" s="157" t="s">
        <v>738</v>
      </c>
    </row>
    <row r="19" spans="1:105" ht="12.95" customHeight="1" x14ac:dyDescent="0.25">
      <c r="A19" s="130" t="s">
        <v>35</v>
      </c>
      <c r="B19" s="131"/>
      <c r="C19" s="131">
        <f>IF(SER_hh_fec_in!C19=0,0,11630*1000*SER_hh_fec_in!C19/SER_hh_num_in!C19)</f>
        <v>19634.558434161965</v>
      </c>
      <c r="D19" s="131">
        <f>IF(SER_hh_fec_in!D19=0,0,11630*1000*SER_hh_fec_in!D19/SER_hh_num_in!D19)</f>
        <v>19101.676243303427</v>
      </c>
      <c r="E19" s="131">
        <f>IF(SER_hh_fec_in!E19=0,0,11630*1000*SER_hh_fec_in!E19/SER_hh_num_in!E19)</f>
        <v>19200.116154400537</v>
      </c>
      <c r="F19" s="131">
        <f>IF(SER_hh_fec_in!F19=0,0,11630*1000*SER_hh_fec_in!F19/SER_hh_num_in!F19)</f>
        <v>18730.328784510155</v>
      </c>
      <c r="G19" s="131">
        <f>IF(SER_hh_fec_in!G19=0,0,11630*1000*SER_hh_fec_in!G19/SER_hh_num_in!G19)</f>
        <v>18474.848565053817</v>
      </c>
      <c r="H19" s="131">
        <f>IF(SER_hh_fec_in!H19=0,0,11630*1000*SER_hh_fec_in!H19/SER_hh_num_in!H19)</f>
        <v>18141.834728279206</v>
      </c>
      <c r="I19" s="131">
        <f>IF(SER_hh_fec_in!I19=0,0,11630*1000*SER_hh_fec_in!I19/SER_hh_num_in!I19)</f>
        <v>17727.973775487706</v>
      </c>
      <c r="J19" s="131">
        <f>IF(SER_hh_fec_in!J19=0,0,11630*1000*SER_hh_fec_in!J19/SER_hh_num_in!J19)</f>
        <v>17457.726179531313</v>
      </c>
      <c r="K19" s="131">
        <f>IF(SER_hh_fec_in!K19=0,0,11630*1000*SER_hh_fec_in!K19/SER_hh_num_in!K19)</f>
        <v>16421.487395943852</v>
      </c>
      <c r="L19" s="131">
        <f>IF(SER_hh_fec_in!L19=0,0,11630*1000*SER_hh_fec_in!L19/SER_hh_num_in!L19)</f>
        <v>17456.925261393953</v>
      </c>
      <c r="M19" s="131">
        <f>IF(SER_hh_fec_in!M19=0,0,11630*1000*SER_hh_fec_in!M19/SER_hh_num_in!M19)</f>
        <v>17376.432096552933</v>
      </c>
      <c r="N19" s="131">
        <f>IF(SER_hh_fec_in!N19=0,0,11630*1000*SER_hh_fec_in!N19/SER_hh_num_in!N19)</f>
        <v>17203.371095018818</v>
      </c>
      <c r="O19" s="131">
        <f>IF(SER_hh_fec_in!O19=0,0,11630*1000*SER_hh_fec_in!O19/SER_hh_num_in!O19)</f>
        <v>16805.55520947112</v>
      </c>
      <c r="P19" s="131">
        <f>IF(SER_hh_fec_in!P19=0,0,11630*1000*SER_hh_fec_in!P19/SER_hh_num_in!P19)</f>
        <v>15901.589634114984</v>
      </c>
      <c r="Q19" s="131">
        <f>IF(SER_hh_fec_in!Q19=0,0,11630*1000*SER_hh_fec_in!Q19/SER_hh_num_in!Q19)</f>
        <v>15340.093528851839</v>
      </c>
      <c r="R19" s="131">
        <f>IF(SER_hh_fec_in!R19=0,0,11630*1000*SER_hh_fec_in!R19/SER_hh_num_in!R19)</f>
        <v>14837.739583325687</v>
      </c>
      <c r="S19" s="131">
        <f>IF(SER_hh_fec_in!S19=0,0,11630*1000*SER_hh_fec_in!S19/SER_hh_num_in!S19)</f>
        <v>14652.688165231682</v>
      </c>
      <c r="T19" s="131">
        <f>IF(SER_hh_fec_in!T19=0,0,11630*1000*SER_hh_fec_in!T19/SER_hh_num_in!T19)</f>
        <v>14229.6830760188</v>
      </c>
      <c r="U19" s="131">
        <f>IF(SER_hh_fec_in!U19=0,0,11630*1000*SER_hh_fec_in!U19/SER_hh_num_in!U19)</f>
        <v>13936.823619024946</v>
      </c>
      <c r="V19" s="131">
        <f>IF(SER_hh_fec_in!V19=0,0,11630*1000*SER_hh_fec_in!V19/SER_hh_num_in!V19)</f>
        <v>13041.113739079796</v>
      </c>
      <c r="W19" s="131">
        <f>IF(SER_hh_fec_in!W19=0,0,11630*1000*SER_hh_fec_in!W19/SER_hh_num_in!W19)</f>
        <v>13686.490577627772</v>
      </c>
      <c r="DA19" s="156" t="s">
        <v>739</v>
      </c>
    </row>
    <row r="20" spans="1:105" ht="12" customHeight="1" x14ac:dyDescent="0.25">
      <c r="A20" s="132" t="s">
        <v>29</v>
      </c>
      <c r="B20" s="133"/>
      <c r="C20" s="133">
        <f>IF(SER_hh_fec_in!C20=0,0,11630*1000*SER_hh_fec_in!C20/SER_hh_num_in!C20)</f>
        <v>0</v>
      </c>
      <c r="D20" s="133">
        <f>IF(SER_hh_fec_in!D20=0,0,11630*1000*SER_hh_fec_in!D20/SER_hh_num_in!D20)</f>
        <v>0</v>
      </c>
      <c r="E20" s="133">
        <f>IF(SER_hh_fec_in!E20=0,0,11630*1000*SER_hh_fec_in!E20/SER_hh_num_in!E20)</f>
        <v>0</v>
      </c>
      <c r="F20" s="133">
        <f>IF(SER_hh_fec_in!F20=0,0,11630*1000*SER_hh_fec_in!F20/SER_hh_num_in!F20)</f>
        <v>0</v>
      </c>
      <c r="G20" s="133">
        <f>IF(SER_hh_fec_in!G20=0,0,11630*1000*SER_hh_fec_in!G20/SER_hh_num_in!G20)</f>
        <v>0</v>
      </c>
      <c r="H20" s="133">
        <f>IF(SER_hh_fec_in!H20=0,0,11630*1000*SER_hh_fec_in!H20/SER_hh_num_in!H20)</f>
        <v>0</v>
      </c>
      <c r="I20" s="133">
        <f>IF(SER_hh_fec_in!I20=0,0,11630*1000*SER_hh_fec_in!I20/SER_hh_num_in!I20)</f>
        <v>0</v>
      </c>
      <c r="J20" s="133">
        <f>IF(SER_hh_fec_in!J20=0,0,11630*1000*SER_hh_fec_in!J20/SER_hh_num_in!J20)</f>
        <v>0</v>
      </c>
      <c r="K20" s="133">
        <f>IF(SER_hh_fec_in!K20=0,0,11630*1000*SER_hh_fec_in!K20/SER_hh_num_in!K20)</f>
        <v>0</v>
      </c>
      <c r="L20" s="133">
        <f>IF(SER_hh_fec_in!L20=0,0,11630*1000*SER_hh_fec_in!L20/SER_hh_num_in!L20)</f>
        <v>0</v>
      </c>
      <c r="M20" s="133">
        <f>IF(SER_hh_fec_in!M20=0,0,11630*1000*SER_hh_fec_in!M20/SER_hh_num_in!M20)</f>
        <v>0</v>
      </c>
      <c r="N20" s="133">
        <f>IF(SER_hh_fec_in!N20=0,0,11630*1000*SER_hh_fec_in!N20/SER_hh_num_in!N20)</f>
        <v>0</v>
      </c>
      <c r="O20" s="133">
        <f>IF(SER_hh_fec_in!O20=0,0,11630*1000*SER_hh_fec_in!O20/SER_hh_num_in!O20)</f>
        <v>0</v>
      </c>
      <c r="P20" s="133">
        <f>IF(SER_hh_fec_in!P20=0,0,11630*1000*SER_hh_fec_in!P20/SER_hh_num_in!P20)</f>
        <v>0</v>
      </c>
      <c r="Q20" s="133">
        <f>IF(SER_hh_fec_in!Q20=0,0,11630*1000*SER_hh_fec_in!Q20/SER_hh_num_in!Q20)</f>
        <v>0</v>
      </c>
      <c r="R20" s="133">
        <f>IF(SER_hh_fec_in!R20=0,0,11630*1000*SER_hh_fec_in!R20/SER_hh_num_in!R20)</f>
        <v>0</v>
      </c>
      <c r="S20" s="133">
        <f>IF(SER_hh_fec_in!S20=0,0,11630*1000*SER_hh_fec_in!S20/SER_hh_num_in!S20)</f>
        <v>0</v>
      </c>
      <c r="T20" s="133">
        <f>IF(SER_hh_fec_in!T20=0,0,11630*1000*SER_hh_fec_in!T20/SER_hh_num_in!T20)</f>
        <v>0</v>
      </c>
      <c r="U20" s="133">
        <f>IF(SER_hh_fec_in!U20=0,0,11630*1000*SER_hh_fec_in!U20/SER_hh_num_in!U20)</f>
        <v>0</v>
      </c>
      <c r="V20" s="133">
        <f>IF(SER_hh_fec_in!V20=0,0,11630*1000*SER_hh_fec_in!V20/SER_hh_num_in!V20)</f>
        <v>0</v>
      </c>
      <c r="W20" s="133">
        <f>IF(SER_hh_fec_in!W20=0,0,11630*1000*SER_hh_fec_in!W20/SER_hh_num_in!W20)</f>
        <v>0</v>
      </c>
      <c r="DA20" s="157" t="s">
        <v>740</v>
      </c>
    </row>
    <row r="21" spans="1:105" s="2" customFormat="1" ht="12" customHeight="1" x14ac:dyDescent="0.25">
      <c r="A21" s="132" t="s">
        <v>52</v>
      </c>
      <c r="B21" s="133"/>
      <c r="C21" s="133">
        <f>IF(SER_hh_fec_in!C21=0,0,11630*1000*SER_hh_fec_in!C21/SER_hh_num_in!C21)</f>
        <v>20585.978158310048</v>
      </c>
      <c r="D21" s="133">
        <f>IF(SER_hh_fec_in!D21=0,0,11630*1000*SER_hh_fec_in!D21/SER_hh_num_in!D21)</f>
        <v>20590.327456230119</v>
      </c>
      <c r="E21" s="133">
        <f>IF(SER_hh_fec_in!E21=0,0,11630*1000*SER_hh_fec_in!E21/SER_hh_num_in!E21)</f>
        <v>20346.857470729487</v>
      </c>
      <c r="F21" s="133">
        <f>IF(SER_hh_fec_in!F21=0,0,11630*1000*SER_hh_fec_in!F21/SER_hh_num_in!F21)</f>
        <v>0</v>
      </c>
      <c r="G21" s="133">
        <f>IF(SER_hh_fec_in!G21=0,0,11630*1000*SER_hh_fec_in!G21/SER_hh_num_in!G21)</f>
        <v>0</v>
      </c>
      <c r="H21" s="133">
        <f>IF(SER_hh_fec_in!H21=0,0,11630*1000*SER_hh_fec_in!H21/SER_hh_num_in!H21)</f>
        <v>0</v>
      </c>
      <c r="I21" s="133">
        <f>IF(SER_hh_fec_in!I21=0,0,11630*1000*SER_hh_fec_in!I21/SER_hh_num_in!I21)</f>
        <v>0</v>
      </c>
      <c r="J21" s="133">
        <f>IF(SER_hh_fec_in!J21=0,0,11630*1000*SER_hh_fec_in!J21/SER_hh_num_in!J21)</f>
        <v>0</v>
      </c>
      <c r="K21" s="133">
        <f>IF(SER_hh_fec_in!K21=0,0,11630*1000*SER_hh_fec_in!K21/SER_hh_num_in!K21)</f>
        <v>0</v>
      </c>
      <c r="L21" s="133">
        <f>IF(SER_hh_fec_in!L21=0,0,11630*1000*SER_hh_fec_in!L21/SER_hh_num_in!L21)</f>
        <v>16892.131151708789</v>
      </c>
      <c r="M21" s="133">
        <f>IF(SER_hh_fec_in!M21=0,0,11630*1000*SER_hh_fec_in!M21/SER_hh_num_in!M21)</f>
        <v>17569.97308943739</v>
      </c>
      <c r="N21" s="133">
        <f>IF(SER_hh_fec_in!N21=0,0,11630*1000*SER_hh_fec_in!N21/SER_hh_num_in!N21)</f>
        <v>18815.542889371762</v>
      </c>
      <c r="O21" s="133">
        <f>IF(SER_hh_fec_in!O21=0,0,11630*1000*SER_hh_fec_in!O21/SER_hh_num_in!O21)</f>
        <v>18299.445402816862</v>
      </c>
      <c r="P21" s="133">
        <f>IF(SER_hh_fec_in!P21=0,0,11630*1000*SER_hh_fec_in!P21/SER_hh_num_in!P21)</f>
        <v>16047.157452949637</v>
      </c>
      <c r="Q21" s="133">
        <f>IF(SER_hh_fec_in!Q21=0,0,11630*1000*SER_hh_fec_in!Q21/SER_hh_num_in!Q21)</f>
        <v>15918.5383258861</v>
      </c>
      <c r="R21" s="133">
        <f>IF(SER_hh_fec_in!R21=0,0,11630*1000*SER_hh_fec_in!R21/SER_hh_num_in!R21)</f>
        <v>15093.218428996182</v>
      </c>
      <c r="S21" s="133">
        <f>IF(SER_hh_fec_in!S21=0,0,11630*1000*SER_hh_fec_in!S21/SER_hh_num_in!S21)</f>
        <v>15433.650933939527</v>
      </c>
      <c r="T21" s="133">
        <f>IF(SER_hh_fec_in!T21=0,0,11630*1000*SER_hh_fec_in!T21/SER_hh_num_in!T21)</f>
        <v>15225.464552812906</v>
      </c>
      <c r="U21" s="133">
        <f>IF(SER_hh_fec_in!U21=0,0,11630*1000*SER_hh_fec_in!U21/SER_hh_num_in!U21)</f>
        <v>15058.337896133464</v>
      </c>
      <c r="V21" s="133">
        <f>IF(SER_hh_fec_in!V21=0,0,11630*1000*SER_hh_fec_in!V21/SER_hh_num_in!V21)</f>
        <v>12999.916762157096</v>
      </c>
      <c r="W21" s="133">
        <f>IF(SER_hh_fec_in!W21=0,0,11630*1000*SER_hh_fec_in!W21/SER_hh_num_in!W21)</f>
        <v>14473.398925294649</v>
      </c>
      <c r="DA21" s="157" t="s">
        <v>741</v>
      </c>
    </row>
    <row r="22" spans="1:105" ht="12" customHeight="1" x14ac:dyDescent="0.25">
      <c r="A22" s="132" t="s">
        <v>168</v>
      </c>
      <c r="B22" s="133"/>
      <c r="C22" s="133">
        <f>IF(SER_hh_fec_in!C22=0,0,11630*1000*SER_hh_fec_in!C22/SER_hh_num_in!C22)</f>
        <v>21707.561434576171</v>
      </c>
      <c r="D22" s="133">
        <f>IF(SER_hh_fec_in!D22=0,0,11630*1000*SER_hh_fec_in!D22/SER_hh_num_in!D22)</f>
        <v>21603.076977703749</v>
      </c>
      <c r="E22" s="133">
        <f>IF(SER_hh_fec_in!E22=0,0,11630*1000*SER_hh_fec_in!E22/SER_hh_num_in!E22)</f>
        <v>21330.860595848499</v>
      </c>
      <c r="F22" s="133">
        <f>IF(SER_hh_fec_in!F22=0,0,11630*1000*SER_hh_fec_in!F22/SER_hh_num_in!F22)</f>
        <v>21188.646157435527</v>
      </c>
      <c r="G22" s="133">
        <f>IF(SER_hh_fec_in!G22=0,0,11630*1000*SER_hh_fec_in!G22/SER_hh_num_in!G22)</f>
        <v>20806.128284647195</v>
      </c>
      <c r="H22" s="133">
        <f>IF(SER_hh_fec_in!H22=0,0,11630*1000*SER_hh_fec_in!H22/SER_hh_num_in!H22)</f>
        <v>20609.850152349303</v>
      </c>
      <c r="I22" s="133">
        <f>IF(SER_hh_fec_in!I22=0,0,11630*1000*SER_hh_fec_in!I22/SER_hh_num_in!I22)</f>
        <v>20295.102831843269</v>
      </c>
      <c r="J22" s="133">
        <f>IF(SER_hh_fec_in!J22=0,0,11630*1000*SER_hh_fec_in!J22/SER_hh_num_in!J22)</f>
        <v>19735.200724788861</v>
      </c>
      <c r="K22" s="133">
        <f>IF(SER_hh_fec_in!K22=0,0,11630*1000*SER_hh_fec_in!K22/SER_hh_num_in!K22)</f>
        <v>16192.731812238198</v>
      </c>
      <c r="L22" s="133">
        <f>IF(SER_hh_fec_in!L22=0,0,11630*1000*SER_hh_fec_in!L22/SER_hh_num_in!L22)</f>
        <v>19829.332082169516</v>
      </c>
      <c r="M22" s="133">
        <f>IF(SER_hh_fec_in!M22=0,0,11630*1000*SER_hh_fec_in!M22/SER_hh_num_in!M22)</f>
        <v>19719.72655036451</v>
      </c>
      <c r="N22" s="133">
        <f>IF(SER_hh_fec_in!N22=0,0,11630*1000*SER_hh_fec_in!N22/SER_hh_num_in!N22)</f>
        <v>19218.232604948436</v>
      </c>
      <c r="O22" s="133">
        <f>IF(SER_hh_fec_in!O22=0,0,11630*1000*SER_hh_fec_in!O22/SER_hh_num_in!O22)</f>
        <v>18589.738117054621</v>
      </c>
      <c r="P22" s="133">
        <f>IF(SER_hh_fec_in!P22=0,0,11630*1000*SER_hh_fec_in!P22/SER_hh_num_in!P22)</f>
        <v>17767.317259360643</v>
      </c>
      <c r="Q22" s="133">
        <f>IF(SER_hh_fec_in!Q22=0,0,11630*1000*SER_hh_fec_in!Q22/SER_hh_num_in!Q22)</f>
        <v>17118.348332259866</v>
      </c>
      <c r="R22" s="133">
        <f>IF(SER_hh_fec_in!R22=0,0,11630*1000*SER_hh_fec_in!R22/SER_hh_num_in!R22)</f>
        <v>16404.892700077482</v>
      </c>
      <c r="S22" s="133">
        <f>IF(SER_hh_fec_in!S22=0,0,11630*1000*SER_hh_fec_in!S22/SER_hh_num_in!S22)</f>
        <v>16029.605230927466</v>
      </c>
      <c r="T22" s="133">
        <f>IF(SER_hh_fec_in!T22=0,0,11630*1000*SER_hh_fec_in!T22/SER_hh_num_in!T22)</f>
        <v>15495.909708286212</v>
      </c>
      <c r="U22" s="133">
        <f>IF(SER_hh_fec_in!U22=0,0,11630*1000*SER_hh_fec_in!U22/SER_hh_num_in!U22)</f>
        <v>15038.604068079674</v>
      </c>
      <c r="V22" s="133">
        <f>IF(SER_hh_fec_in!V22=0,0,11630*1000*SER_hh_fec_in!V22/SER_hh_num_in!V22)</f>
        <v>13583.922440451155</v>
      </c>
      <c r="W22" s="133">
        <f>IF(SER_hh_fec_in!W22=0,0,11630*1000*SER_hh_fec_in!W22/SER_hh_num_in!W22)</f>
        <v>14761.99981902664</v>
      </c>
      <c r="DA22" s="157" t="s">
        <v>742</v>
      </c>
    </row>
    <row r="23" spans="1:105" ht="12" customHeight="1" x14ac:dyDescent="0.25">
      <c r="A23" s="132" t="s">
        <v>153</v>
      </c>
      <c r="B23" s="133"/>
      <c r="C23" s="133">
        <f>IF(SER_hh_fec_in!C23=0,0,11630*1000*SER_hh_fec_in!C23/SER_hh_num_in!C23)</f>
        <v>20049.290251599585</v>
      </c>
      <c r="D23" s="133">
        <f>IF(SER_hh_fec_in!D23=0,0,11630*1000*SER_hh_fec_in!D23/SER_hh_num_in!D23)</f>
        <v>19536.976874586944</v>
      </c>
      <c r="E23" s="133">
        <f>IF(SER_hh_fec_in!E23=0,0,11630*1000*SER_hh_fec_in!E23/SER_hh_num_in!E23)</f>
        <v>19313.371041735565</v>
      </c>
      <c r="F23" s="133">
        <f>IF(SER_hh_fec_in!F23=0,0,11630*1000*SER_hh_fec_in!F23/SER_hh_num_in!F23)</f>
        <v>19002.397442462803</v>
      </c>
      <c r="G23" s="133">
        <f>IF(SER_hh_fec_in!G23=0,0,11630*1000*SER_hh_fec_in!G23/SER_hh_num_in!G23)</f>
        <v>18711.958948171497</v>
      </c>
      <c r="H23" s="133">
        <f>IF(SER_hh_fec_in!H23=0,0,11630*1000*SER_hh_fec_in!H23/SER_hh_num_in!H23)</f>
        <v>18240.344523717027</v>
      </c>
      <c r="I23" s="133">
        <f>IF(SER_hh_fec_in!I23=0,0,11630*1000*SER_hh_fec_in!I23/SER_hh_num_in!I23)</f>
        <v>17771.085558433409</v>
      </c>
      <c r="J23" s="133">
        <f>IF(SER_hh_fec_in!J23=0,0,11630*1000*SER_hh_fec_in!J23/SER_hh_num_in!J23)</f>
        <v>17508.402883753042</v>
      </c>
      <c r="K23" s="133">
        <f>IF(SER_hh_fec_in!K23=0,0,11630*1000*SER_hh_fec_in!K23/SER_hh_num_in!K23)</f>
        <v>13996.438010326679</v>
      </c>
      <c r="L23" s="133">
        <f>IF(SER_hh_fec_in!L23=0,0,11630*1000*SER_hh_fec_in!L23/SER_hh_num_in!L23)</f>
        <v>17412.167709409907</v>
      </c>
      <c r="M23" s="133">
        <f>IF(SER_hh_fec_in!M23=0,0,11630*1000*SER_hh_fec_in!M23/SER_hh_num_in!M23)</f>
        <v>17140.81520725157</v>
      </c>
      <c r="N23" s="133">
        <f>IF(SER_hh_fec_in!N23=0,0,11630*1000*SER_hh_fec_in!N23/SER_hh_num_in!N23)</f>
        <v>17017.306780776158</v>
      </c>
      <c r="O23" s="133">
        <f>IF(SER_hh_fec_in!O23=0,0,11630*1000*SER_hh_fec_in!O23/SER_hh_num_in!O23)</f>
        <v>16623.353412180975</v>
      </c>
      <c r="P23" s="133">
        <f>IF(SER_hh_fec_in!P23=0,0,11630*1000*SER_hh_fec_in!P23/SER_hh_num_in!P23)</f>
        <v>16030.730390536331</v>
      </c>
      <c r="Q23" s="133">
        <f>IF(SER_hh_fec_in!Q23=0,0,11630*1000*SER_hh_fec_in!Q23/SER_hh_num_in!Q23)</f>
        <v>15486.476874792832</v>
      </c>
      <c r="R23" s="133">
        <f>IF(SER_hh_fec_in!R23=0,0,11630*1000*SER_hh_fec_in!R23/SER_hh_num_in!R23)</f>
        <v>14917.565951674937</v>
      </c>
      <c r="S23" s="133">
        <f>IF(SER_hh_fec_in!S23=0,0,11630*1000*SER_hh_fec_in!S23/SER_hh_num_in!S23)</f>
        <v>14666.480098040856</v>
      </c>
      <c r="T23" s="133">
        <f>IF(SER_hh_fec_in!T23=0,0,11630*1000*SER_hh_fec_in!T23/SER_hh_num_in!T23)</f>
        <v>14271.85451964921</v>
      </c>
      <c r="U23" s="133">
        <f>IF(SER_hh_fec_in!U23=0,0,11630*1000*SER_hh_fec_in!U23/SER_hh_num_in!U23)</f>
        <v>14022.939464170484</v>
      </c>
      <c r="V23" s="133">
        <f>IF(SER_hh_fec_in!V23=0,0,11630*1000*SER_hh_fec_in!V23/SER_hh_num_in!V23)</f>
        <v>13201.49981162304</v>
      </c>
      <c r="W23" s="133">
        <f>IF(SER_hh_fec_in!W23=0,0,11630*1000*SER_hh_fec_in!W23/SER_hh_num_in!W23)</f>
        <v>13754.467492550501</v>
      </c>
      <c r="DA23" s="157" t="s">
        <v>743</v>
      </c>
    </row>
    <row r="24" spans="1:105" ht="12" customHeight="1" x14ac:dyDescent="0.25">
      <c r="A24" s="132" t="s">
        <v>128</v>
      </c>
      <c r="B24" s="133"/>
      <c r="C24" s="133">
        <f>IF(SER_hh_fec_in!C24=0,0,11630*1000*SER_hh_fec_in!C24/SER_hh_num_in!C24)</f>
        <v>0</v>
      </c>
      <c r="D24" s="133">
        <f>IF(SER_hh_fec_in!D24=0,0,11630*1000*SER_hh_fec_in!D24/SER_hh_num_in!D24)</f>
        <v>0</v>
      </c>
      <c r="E24" s="133">
        <f>IF(SER_hh_fec_in!E24=0,0,11630*1000*SER_hh_fec_in!E24/SER_hh_num_in!E24)</f>
        <v>0</v>
      </c>
      <c r="F24" s="133">
        <f>IF(SER_hh_fec_in!F24=0,0,11630*1000*SER_hh_fec_in!F24/SER_hh_num_in!F24)</f>
        <v>0</v>
      </c>
      <c r="G24" s="133">
        <f>IF(SER_hh_fec_in!G24=0,0,11630*1000*SER_hh_fec_in!G24/SER_hh_num_in!G24)</f>
        <v>0</v>
      </c>
      <c r="H24" s="133">
        <f>IF(SER_hh_fec_in!H24=0,0,11630*1000*SER_hh_fec_in!H24/SER_hh_num_in!H24)</f>
        <v>0</v>
      </c>
      <c r="I24" s="133">
        <f>IF(SER_hh_fec_in!I24=0,0,11630*1000*SER_hh_fec_in!I24/SER_hh_num_in!I24)</f>
        <v>0</v>
      </c>
      <c r="J24" s="133">
        <f>IF(SER_hh_fec_in!J24=0,0,11630*1000*SER_hh_fec_in!J24/SER_hh_num_in!J24)</f>
        <v>0</v>
      </c>
      <c r="K24" s="133">
        <f>IF(SER_hh_fec_in!K24=0,0,11630*1000*SER_hh_fec_in!K24/SER_hh_num_in!K24)</f>
        <v>0</v>
      </c>
      <c r="L24" s="133">
        <f>IF(SER_hh_fec_in!L24=0,0,11630*1000*SER_hh_fec_in!L24/SER_hh_num_in!L24)</f>
        <v>0</v>
      </c>
      <c r="M24" s="133">
        <f>IF(SER_hh_fec_in!M24=0,0,11630*1000*SER_hh_fec_in!M24/SER_hh_num_in!M24)</f>
        <v>0</v>
      </c>
      <c r="N24" s="133">
        <f>IF(SER_hh_fec_in!N24=0,0,11630*1000*SER_hh_fec_in!N24/SER_hh_num_in!N24)</f>
        <v>0</v>
      </c>
      <c r="O24" s="133">
        <f>IF(SER_hh_fec_in!O24=0,0,11630*1000*SER_hh_fec_in!O24/SER_hh_num_in!O24)</f>
        <v>0</v>
      </c>
      <c r="P24" s="133">
        <f>IF(SER_hh_fec_in!P24=0,0,11630*1000*SER_hh_fec_in!P24/SER_hh_num_in!P24)</f>
        <v>0</v>
      </c>
      <c r="Q24" s="133">
        <f>IF(SER_hh_fec_in!Q24=0,0,11630*1000*SER_hh_fec_in!Q24/SER_hh_num_in!Q24)</f>
        <v>0</v>
      </c>
      <c r="R24" s="133">
        <f>IF(SER_hh_fec_in!R24=0,0,11630*1000*SER_hh_fec_in!R24/SER_hh_num_in!R24)</f>
        <v>0</v>
      </c>
      <c r="S24" s="133">
        <f>IF(SER_hh_fec_in!S24=0,0,11630*1000*SER_hh_fec_in!S24/SER_hh_num_in!S24)</f>
        <v>0</v>
      </c>
      <c r="T24" s="133">
        <f>IF(SER_hh_fec_in!T24=0,0,11630*1000*SER_hh_fec_in!T24/SER_hh_num_in!T24)</f>
        <v>0</v>
      </c>
      <c r="U24" s="133">
        <f>IF(SER_hh_fec_in!U24=0,0,11630*1000*SER_hh_fec_in!U24/SER_hh_num_in!U24)</f>
        <v>0</v>
      </c>
      <c r="V24" s="133">
        <f>IF(SER_hh_fec_in!V24=0,0,11630*1000*SER_hh_fec_in!V24/SER_hh_num_in!V24)</f>
        <v>0</v>
      </c>
      <c r="W24" s="133">
        <f>IF(SER_hh_fec_in!W24=0,0,11630*1000*SER_hh_fec_in!W24/SER_hh_num_in!W24)</f>
        <v>0</v>
      </c>
      <c r="DA24" s="157" t="s">
        <v>744</v>
      </c>
    </row>
    <row r="25" spans="1:105" ht="12" customHeight="1" x14ac:dyDescent="0.25">
      <c r="A25" s="132" t="s">
        <v>169</v>
      </c>
      <c r="B25" s="133"/>
      <c r="C25" s="133">
        <f>IF(SER_hh_fec_in!C25=0,0,11630*1000*SER_hh_fec_in!C25/SER_hh_num_in!C25)</f>
        <v>14169.588861000921</v>
      </c>
      <c r="D25" s="133">
        <f>IF(SER_hh_fec_in!D25=0,0,11630*1000*SER_hh_fec_in!D25/SER_hh_num_in!D25)</f>
        <v>14204.358773650889</v>
      </c>
      <c r="E25" s="133">
        <f>IF(SER_hh_fec_in!E25=0,0,11630*1000*SER_hh_fec_in!E25/SER_hh_num_in!E25)</f>
        <v>13925.182173618952</v>
      </c>
      <c r="F25" s="133">
        <f>IF(SER_hh_fec_in!F25=0,0,11630*1000*SER_hh_fec_in!F25/SER_hh_num_in!F25)</f>
        <v>13917.681477674061</v>
      </c>
      <c r="G25" s="133">
        <f>IF(SER_hh_fec_in!G25=0,0,11630*1000*SER_hh_fec_in!G25/SER_hh_num_in!G25)</f>
        <v>13827.449254351683</v>
      </c>
      <c r="H25" s="133">
        <f>IF(SER_hh_fec_in!H25=0,0,11630*1000*SER_hh_fec_in!H25/SER_hh_num_in!H25)</f>
        <v>13659.28627435666</v>
      </c>
      <c r="I25" s="133">
        <f>IF(SER_hh_fec_in!I25=0,0,11630*1000*SER_hh_fec_in!I25/SER_hh_num_in!I25)</f>
        <v>13317.276823519533</v>
      </c>
      <c r="J25" s="133">
        <f>IF(SER_hh_fec_in!J25=0,0,11630*1000*SER_hh_fec_in!J25/SER_hh_num_in!J25)</f>
        <v>13300.888664643991</v>
      </c>
      <c r="K25" s="133">
        <f>IF(SER_hh_fec_in!K25=0,0,11630*1000*SER_hh_fec_in!K25/SER_hh_num_in!K25)</f>
        <v>11019.529855731042</v>
      </c>
      <c r="L25" s="133">
        <f>IF(SER_hh_fec_in!L25=0,0,11630*1000*SER_hh_fec_in!L25/SER_hh_num_in!L25)</f>
        <v>13465.825845248564</v>
      </c>
      <c r="M25" s="133">
        <f>IF(SER_hh_fec_in!M25=0,0,11630*1000*SER_hh_fec_in!M25/SER_hh_num_in!M25)</f>
        <v>13406.18883166764</v>
      </c>
      <c r="N25" s="133">
        <f>IF(SER_hh_fec_in!N25=0,0,11630*1000*SER_hh_fec_in!N25/SER_hh_num_in!N25)</f>
        <v>13396.270939961125</v>
      </c>
      <c r="O25" s="133">
        <f>IF(SER_hh_fec_in!O25=0,0,11630*1000*SER_hh_fec_in!O25/SER_hh_num_in!O25)</f>
        <v>13333.732871278575</v>
      </c>
      <c r="P25" s="133">
        <f>IF(SER_hh_fec_in!P25=0,0,11630*1000*SER_hh_fec_in!P25/SER_hh_num_in!P25)</f>
        <v>13514.711267396089</v>
      </c>
      <c r="Q25" s="133">
        <f>IF(SER_hh_fec_in!Q25=0,0,11630*1000*SER_hh_fec_in!Q25/SER_hh_num_in!Q25)</f>
        <v>13643.596741353998</v>
      </c>
      <c r="R25" s="133">
        <f>IF(SER_hh_fec_in!R25=0,0,11630*1000*SER_hh_fec_in!R25/SER_hh_num_in!R25)</f>
        <v>13391.705601360047</v>
      </c>
      <c r="S25" s="133">
        <f>IF(SER_hh_fec_in!S25=0,0,11630*1000*SER_hh_fec_in!S25/SER_hh_num_in!S25)</f>
        <v>13187.0583843114</v>
      </c>
      <c r="T25" s="133">
        <f>IF(SER_hh_fec_in!T25=0,0,11630*1000*SER_hh_fec_in!T25/SER_hh_num_in!T25)</f>
        <v>12958.451665740216</v>
      </c>
      <c r="U25" s="133">
        <f>IF(SER_hh_fec_in!U25=0,0,11630*1000*SER_hh_fec_in!U25/SER_hh_num_in!U25)</f>
        <v>12876.203119124213</v>
      </c>
      <c r="V25" s="133">
        <f>IF(SER_hh_fec_in!V25=0,0,11630*1000*SER_hh_fec_in!V25/SER_hh_num_in!V25)</f>
        <v>12230.317656381536</v>
      </c>
      <c r="W25" s="133">
        <f>IF(SER_hh_fec_in!W25=0,0,11630*1000*SER_hh_fec_in!W25/SER_hh_num_in!W25)</f>
        <v>12531.289459699561</v>
      </c>
      <c r="DA25" s="157" t="s">
        <v>745</v>
      </c>
    </row>
    <row r="26" spans="1:105" ht="12" customHeight="1" x14ac:dyDescent="0.25">
      <c r="A26" s="132" t="s">
        <v>24</v>
      </c>
      <c r="B26" s="65"/>
      <c r="C26" s="65">
        <f>IF(SER_hh_fec_in!C26=0,0,11630*1000*SER_hh_fec_in!C26/SER_hh_num_in!C26)</f>
        <v>16827.703907889325</v>
      </c>
      <c r="D26" s="65">
        <f>IF(SER_hh_fec_in!D26=0,0,11630*1000*SER_hh_fec_in!D26/SER_hh_num_in!D26)</f>
        <v>17368.509870644375</v>
      </c>
      <c r="E26" s="65">
        <f>IF(SER_hh_fec_in!E26=0,0,11630*1000*SER_hh_fec_in!E26/SER_hh_num_in!E26)</f>
        <v>15894.170619863782</v>
      </c>
      <c r="F26" s="65">
        <f>IF(SER_hh_fec_in!F26=0,0,11630*1000*SER_hh_fec_in!F26/SER_hh_num_in!F26)</f>
        <v>16349.528435677998</v>
      </c>
      <c r="G26" s="65">
        <f>IF(SER_hh_fec_in!G26=0,0,11630*1000*SER_hh_fec_in!G26/SER_hh_num_in!G26)</f>
        <v>16368.969388979087</v>
      </c>
      <c r="H26" s="65">
        <f>IF(SER_hh_fec_in!H26=0,0,11630*1000*SER_hh_fec_in!H26/SER_hh_num_in!H26)</f>
        <v>15894.403880642907</v>
      </c>
      <c r="I26" s="65">
        <f>IF(SER_hh_fec_in!I26=0,0,11630*1000*SER_hh_fec_in!I26/SER_hh_num_in!I26)</f>
        <v>14693.347060959468</v>
      </c>
      <c r="J26" s="65">
        <f>IF(SER_hh_fec_in!J26=0,0,11630*1000*SER_hh_fec_in!J26/SER_hh_num_in!J26)</f>
        <v>14758.254094602651</v>
      </c>
      <c r="K26" s="65">
        <f>IF(SER_hh_fec_in!K26=0,0,11630*1000*SER_hh_fec_in!K26/SER_hh_num_in!K26)</f>
        <v>6676.0901743394916</v>
      </c>
      <c r="L26" s="65">
        <f>IF(SER_hh_fec_in!L26=0,0,11630*1000*SER_hh_fec_in!L26/SER_hh_num_in!L26)</f>
        <v>16051.756442407683</v>
      </c>
      <c r="M26" s="65">
        <f>IF(SER_hh_fec_in!M26=0,0,11630*1000*SER_hh_fec_in!M26/SER_hh_num_in!M26)</f>
        <v>15256.081334061719</v>
      </c>
      <c r="N26" s="65">
        <f>IF(SER_hh_fec_in!N26=0,0,11630*1000*SER_hh_fec_in!N26/SER_hh_num_in!N26)</f>
        <v>15039.108818688692</v>
      </c>
      <c r="O26" s="65">
        <f>IF(SER_hh_fec_in!O26=0,0,11630*1000*SER_hh_fec_in!O26/SER_hh_num_in!O26)</f>
        <v>15587.319785254693</v>
      </c>
      <c r="P26" s="65">
        <f>IF(SER_hh_fec_in!P26=0,0,11630*1000*SER_hh_fec_in!P26/SER_hh_num_in!P26)</f>
        <v>13715.915965064642</v>
      </c>
      <c r="Q26" s="65">
        <f>IF(SER_hh_fec_in!Q26=0,0,11630*1000*SER_hh_fec_in!Q26/SER_hh_num_in!Q26)</f>
        <v>11954.890420935213</v>
      </c>
      <c r="R26" s="65">
        <f>IF(SER_hh_fec_in!R26=0,0,11630*1000*SER_hh_fec_in!R26/SER_hh_num_in!R26)</f>
        <v>9711.8234614045468</v>
      </c>
      <c r="S26" s="65">
        <f>IF(SER_hh_fec_in!S26=0,0,11630*1000*SER_hh_fec_in!S26/SER_hh_num_in!S26)</f>
        <v>12923.381136428214</v>
      </c>
      <c r="T26" s="65">
        <f>IF(SER_hh_fec_in!T26=0,0,11630*1000*SER_hh_fec_in!T26/SER_hh_num_in!T26)</f>
        <v>12564.332333415919</v>
      </c>
      <c r="U26" s="65">
        <f>IF(SER_hh_fec_in!U26=0,0,11630*1000*SER_hh_fec_in!U26/SER_hh_num_in!U26)</f>
        <v>13233.72426398662</v>
      </c>
      <c r="V26" s="65">
        <f>IF(SER_hh_fec_in!V26=0,0,11630*1000*SER_hh_fec_in!V26/SER_hh_num_in!V26)</f>
        <v>11878.073273017955</v>
      </c>
      <c r="W26" s="65">
        <f>IF(SER_hh_fec_in!W26=0,0,11630*1000*SER_hh_fec_in!W26/SER_hh_num_in!W26)</f>
        <v>12692.202263227075</v>
      </c>
      <c r="DA26" s="109" t="s">
        <v>746</v>
      </c>
    </row>
    <row r="27" spans="1:105" ht="12" customHeight="1" x14ac:dyDescent="0.25">
      <c r="A27" s="145" t="s">
        <v>86</v>
      </c>
      <c r="B27" s="148"/>
      <c r="C27" s="146">
        <f>IF(SER_hh_fec_in!C27=0,0,11630*1000*SER_hh_fec_in!C27/SER_hh_num_in!C19)</f>
        <v>0</v>
      </c>
      <c r="D27" s="146">
        <f>IF(SER_hh_fec_in!D27=0,0,11630*1000*SER_hh_fec_in!D27/SER_hh_num_in!D19)</f>
        <v>29.573125820146775</v>
      </c>
      <c r="E27" s="146">
        <f>IF(SER_hh_fec_in!E27=0,0,11630*1000*SER_hh_fec_in!E27/SER_hh_num_in!E19)</f>
        <v>327.88528681646477</v>
      </c>
      <c r="F27" s="146">
        <f>IF(SER_hh_fec_in!F27=0,0,11630*1000*SER_hh_fec_in!F27/SER_hh_num_in!F19)</f>
        <v>26.628592994935886</v>
      </c>
      <c r="G27" s="146">
        <f>IF(SER_hh_fec_in!G27=0,0,11630*1000*SER_hh_fec_in!G27/SER_hh_num_in!G19)</f>
        <v>20.182328468260817</v>
      </c>
      <c r="H27" s="146">
        <f>IF(SER_hh_fec_in!H27=0,0,11630*1000*SER_hh_fec_in!H27/SER_hh_num_in!H19)</f>
        <v>146.45088177377409</v>
      </c>
      <c r="I27" s="146">
        <f>IF(SER_hh_fec_in!I27=0,0,11630*1000*SER_hh_fec_in!I27/SER_hh_num_in!I19)</f>
        <v>327.76597246239595</v>
      </c>
      <c r="J27" s="146">
        <f>IF(SER_hh_fec_in!J27=0,0,11630*1000*SER_hh_fec_in!J27/SER_hh_num_in!J19)</f>
        <v>358.90574283035465</v>
      </c>
      <c r="K27" s="146">
        <f>IF(SER_hh_fec_in!K27=0,0,11630*1000*SER_hh_fec_in!K27/SER_hh_num_in!K19)</f>
        <v>3538.9587458312312</v>
      </c>
      <c r="L27" s="146">
        <f>IF(SER_hh_fec_in!L27=0,0,11630*1000*SER_hh_fec_in!L27/SER_hh_num_in!L19)</f>
        <v>0</v>
      </c>
      <c r="M27" s="146">
        <f>IF(SER_hh_fec_in!M27=0,0,11630*1000*SER_hh_fec_in!M27/SER_hh_num_in!M19)</f>
        <v>80.986512207910309</v>
      </c>
      <c r="N27" s="146">
        <f>IF(SER_hh_fec_in!N27=0,0,11630*1000*SER_hh_fec_in!N27/SER_hh_num_in!N19)</f>
        <v>95.426985831792294</v>
      </c>
      <c r="O27" s="146">
        <f>IF(SER_hh_fec_in!O27=0,0,11630*1000*SER_hh_fec_in!O27/SER_hh_num_in!O19)</f>
        <v>1.3822727227735457E-12</v>
      </c>
      <c r="P27" s="146">
        <f>IF(SER_hh_fec_in!P27=0,0,11630*1000*SER_hh_fec_in!P27/SER_hh_num_in!P19)</f>
        <v>312.14067846358068</v>
      </c>
      <c r="Q27" s="146">
        <f>IF(SER_hh_fec_in!Q27=0,0,11630*1000*SER_hh_fec_in!Q27/SER_hh_num_in!Q19)</f>
        <v>649.05946795096543</v>
      </c>
      <c r="R27" s="146">
        <f>IF(SER_hh_fec_in!R27=0,0,11630*1000*SER_hh_fec_in!R27/SER_hh_num_in!R19)</f>
        <v>1208.8652980579866</v>
      </c>
      <c r="S27" s="146">
        <f>IF(SER_hh_fec_in!S27=0,0,11630*1000*SER_hh_fec_in!S27/SER_hh_num_in!S19)</f>
        <v>316.10449834324533</v>
      </c>
      <c r="T27" s="146">
        <f>IF(SER_hh_fec_in!T27=0,0,11630*1000*SER_hh_fec_in!T27/SER_hh_num_in!T19)</f>
        <v>343.544405269386</v>
      </c>
      <c r="U27" s="146">
        <f>IF(SER_hh_fec_in!U27=0,0,11630*1000*SER_hh_fec_in!U27/SER_hh_num_in!U19)</f>
        <v>21.370614052425058</v>
      </c>
      <c r="V27" s="146">
        <f>IF(SER_hh_fec_in!V27=0,0,11630*1000*SER_hh_fec_in!V27/SER_hh_num_in!V19)</f>
        <v>165.26141822078321</v>
      </c>
      <c r="W27" s="146">
        <f>IF(SER_hh_fec_in!W27=0,0,11630*1000*SER_hh_fec_in!W27/SER_hh_num_in!W19)</f>
        <v>3.3849694601677675E-12</v>
      </c>
      <c r="DA27" s="159" t="s">
        <v>747</v>
      </c>
    </row>
    <row r="28" spans="1:105" ht="12" customHeight="1" x14ac:dyDescent="0.25">
      <c r="A28" s="78" t="s">
        <v>85</v>
      </c>
      <c r="B28" s="68"/>
      <c r="C28" s="147">
        <f>IF(SER_hh_fec_in!C27=0,0,11630*1000*SER_hh_fec_in!C27/SER_hh_num_in!C27)</f>
        <v>0</v>
      </c>
      <c r="D28" s="147">
        <f>IF(SER_hh_fec_in!D27=0,0,11630*1000*SER_hh_fec_in!D27/SER_hh_num_in!D27)</f>
        <v>7180.2983216122911</v>
      </c>
      <c r="E28" s="147">
        <f>IF(SER_hh_fec_in!E27=0,0,11630*1000*SER_hh_fec_in!E27/SER_hh_num_in!E27)</f>
        <v>7070.5974108644232</v>
      </c>
      <c r="F28" s="147">
        <f>IF(SER_hh_fec_in!F27=0,0,11630*1000*SER_hh_fec_in!F27/SER_hh_num_in!F27)</f>
        <v>7258.2747488766736</v>
      </c>
      <c r="G28" s="147">
        <f>IF(SER_hh_fec_in!G27=0,0,11630*1000*SER_hh_fec_in!G27/SER_hh_num_in!G27)</f>
        <v>7078.2794742813048</v>
      </c>
      <c r="H28" s="147">
        <f>IF(SER_hh_fec_in!H27=0,0,11630*1000*SER_hh_fec_in!H27/SER_hh_num_in!H27)</f>
        <v>6999.162959152809</v>
      </c>
      <c r="I28" s="147">
        <f>IF(SER_hh_fec_in!I27=0,0,11630*1000*SER_hh_fec_in!I27/SER_hh_num_in!I27)</f>
        <v>6657.9506210069931</v>
      </c>
      <c r="J28" s="147">
        <f>IF(SER_hh_fec_in!J27=0,0,11630*1000*SER_hh_fec_in!J27/SER_hh_num_in!J27)</f>
        <v>7237.9201860416351</v>
      </c>
      <c r="K28" s="147">
        <f>IF(SER_hh_fec_in!K27=0,0,11630*1000*SER_hh_fec_in!K27/SER_hh_num_in!K27)</f>
        <v>7129.2549119590249</v>
      </c>
      <c r="L28" s="147">
        <f>IF(SER_hh_fec_in!L27=0,0,11630*1000*SER_hh_fec_in!L27/SER_hh_num_in!L27)</f>
        <v>0</v>
      </c>
      <c r="M28" s="147">
        <f>IF(SER_hh_fec_in!M27=0,0,11630*1000*SER_hh_fec_in!M27/SER_hh_num_in!M27)</f>
        <v>7379.7430016218796</v>
      </c>
      <c r="N28" s="147">
        <f>IF(SER_hh_fec_in!N27=0,0,11630*1000*SER_hh_fec_in!N27/SER_hh_num_in!N27)</f>
        <v>7345.9314879152425</v>
      </c>
      <c r="O28" s="147">
        <f>IF(SER_hh_fec_in!O27=0,0,11630*1000*SER_hh_fec_in!O27/SER_hh_num_in!O27)</f>
        <v>8361.4613313907594</v>
      </c>
      <c r="P28" s="147">
        <f>IF(SER_hh_fec_in!P27=0,0,11630*1000*SER_hh_fec_in!P27/SER_hh_num_in!P27)</f>
        <v>8544.2465637080822</v>
      </c>
      <c r="Q28" s="147">
        <f>IF(SER_hh_fec_in!Q27=0,0,11630*1000*SER_hh_fec_in!Q27/SER_hh_num_in!Q27)</f>
        <v>8183.4051818804764</v>
      </c>
      <c r="R28" s="147">
        <f>IF(SER_hh_fec_in!R27=0,0,11630*1000*SER_hh_fec_in!R27/SER_hh_num_in!R27)</f>
        <v>7259.2503453257614</v>
      </c>
      <c r="S28" s="147">
        <f>IF(SER_hh_fec_in!S27=0,0,11630*1000*SER_hh_fec_in!S27/SER_hh_num_in!S27)</f>
        <v>6977.2411343340054</v>
      </c>
      <c r="T28" s="147">
        <f>IF(SER_hh_fec_in!T27=0,0,11630*1000*SER_hh_fec_in!T27/SER_hh_num_in!T27)</f>
        <v>7265.6950890661901</v>
      </c>
      <c r="U28" s="147">
        <f>IF(SER_hh_fec_in!U27=0,0,11630*1000*SER_hh_fec_in!U27/SER_hh_num_in!U27)</f>
        <v>7141.3616984973469</v>
      </c>
      <c r="V28" s="147">
        <f>IF(SER_hh_fec_in!V27=0,0,11630*1000*SER_hh_fec_in!V27/SER_hh_num_in!V27)</f>
        <v>7401.7610380559181</v>
      </c>
      <c r="W28" s="147">
        <f>IF(SER_hh_fec_in!W27=0,0,11630*1000*SER_hh_fec_in!W27/SER_hh_num_in!W27)</f>
        <v>7368.7773369072947</v>
      </c>
      <c r="DA28" s="160"/>
    </row>
    <row r="29" spans="1:105" ht="12.95" customHeight="1" x14ac:dyDescent="0.25">
      <c r="A29" s="130" t="s">
        <v>34</v>
      </c>
      <c r="B29" s="131"/>
      <c r="C29" s="131">
        <f>IF(SER_hh_fec_in!C29=0,0,11630*1000*SER_hh_fec_in!C29/SER_hh_num_in!C29)</f>
        <v>14308.126808179188</v>
      </c>
      <c r="D29" s="131">
        <f>IF(SER_hh_fec_in!D29=0,0,11630*1000*SER_hh_fec_in!D29/SER_hh_num_in!D29)</f>
        <v>13614.717810269827</v>
      </c>
      <c r="E29" s="131">
        <f>IF(SER_hh_fec_in!E29=0,0,11630*1000*SER_hh_fec_in!E29/SER_hh_num_in!E29)</f>
        <v>13459.592998020835</v>
      </c>
      <c r="F29" s="131">
        <f>IF(SER_hh_fec_in!F29=0,0,11630*1000*SER_hh_fec_in!F29/SER_hh_num_in!F29)</f>
        <v>13204.927266858633</v>
      </c>
      <c r="G29" s="131">
        <f>IF(SER_hh_fec_in!G29=0,0,11630*1000*SER_hh_fec_in!G29/SER_hh_num_in!G29)</f>
        <v>14064.434863043889</v>
      </c>
      <c r="H29" s="131">
        <f>IF(SER_hh_fec_in!H29=0,0,11630*1000*SER_hh_fec_in!H29/SER_hh_num_in!H29)</f>
        <v>14024.685156130199</v>
      </c>
      <c r="I29" s="131">
        <f>IF(SER_hh_fec_in!I29=0,0,11630*1000*SER_hh_fec_in!I29/SER_hh_num_in!I29)</f>
        <v>14214.035548499409</v>
      </c>
      <c r="J29" s="131">
        <f>IF(SER_hh_fec_in!J29=0,0,11630*1000*SER_hh_fec_in!J29/SER_hh_num_in!J29)</f>
        <v>14887.589859525942</v>
      </c>
      <c r="K29" s="131">
        <f>IF(SER_hh_fec_in!K29=0,0,11630*1000*SER_hh_fec_in!K29/SER_hh_num_in!K29)</f>
        <v>15509.960673681066</v>
      </c>
      <c r="L29" s="131">
        <f>IF(SER_hh_fec_in!L29=0,0,11630*1000*SER_hh_fec_in!L29/SER_hh_num_in!L29)</f>
        <v>15284.520702705617</v>
      </c>
      <c r="M29" s="131">
        <f>IF(SER_hh_fec_in!M29=0,0,11630*1000*SER_hh_fec_in!M29/SER_hh_num_in!M29)</f>
        <v>14250.603018439997</v>
      </c>
      <c r="N29" s="131">
        <f>IF(SER_hh_fec_in!N29=0,0,11630*1000*SER_hh_fec_in!N29/SER_hh_num_in!N29)</f>
        <v>14669.238780727161</v>
      </c>
      <c r="O29" s="131">
        <f>IF(SER_hh_fec_in!O29=0,0,11630*1000*SER_hh_fec_in!O29/SER_hh_num_in!O29)</f>
        <v>14780.209456859609</v>
      </c>
      <c r="P29" s="131">
        <f>IF(SER_hh_fec_in!P29=0,0,11630*1000*SER_hh_fec_in!P29/SER_hh_num_in!P29)</f>
        <v>14643.635891271628</v>
      </c>
      <c r="Q29" s="131">
        <f>IF(SER_hh_fec_in!Q29=0,0,11630*1000*SER_hh_fec_in!Q29/SER_hh_num_in!Q29)</f>
        <v>15112.41082804186</v>
      </c>
      <c r="R29" s="131">
        <f>IF(SER_hh_fec_in!R29=0,0,11630*1000*SER_hh_fec_in!R29/SER_hh_num_in!R29)</f>
        <v>14713.792194200112</v>
      </c>
      <c r="S29" s="131">
        <f>IF(SER_hh_fec_in!S29=0,0,11630*1000*SER_hh_fec_in!S29/SER_hh_num_in!S29)</f>
        <v>14753.282153711178</v>
      </c>
      <c r="T29" s="131">
        <f>IF(SER_hh_fec_in!T29=0,0,11630*1000*SER_hh_fec_in!T29/SER_hh_num_in!T29)</f>
        <v>14700.32394417787</v>
      </c>
      <c r="U29" s="131">
        <f>IF(SER_hh_fec_in!U29=0,0,11630*1000*SER_hh_fec_in!U29/SER_hh_num_in!U29)</f>
        <v>14723.022470101623</v>
      </c>
      <c r="V29" s="131">
        <f>IF(SER_hh_fec_in!V29=0,0,11630*1000*SER_hh_fec_in!V29/SER_hh_num_in!V29)</f>
        <v>14245.623965396078</v>
      </c>
      <c r="W29" s="131">
        <f>IF(SER_hh_fec_in!W29=0,0,11630*1000*SER_hh_fec_in!W29/SER_hh_num_in!W29)</f>
        <v>14714.318837232415</v>
      </c>
      <c r="DA29" s="156" t="s">
        <v>748</v>
      </c>
    </row>
    <row r="30" spans="1:105" s="2" customFormat="1" ht="12" customHeight="1" x14ac:dyDescent="0.25">
      <c r="A30" s="132" t="s">
        <v>52</v>
      </c>
      <c r="B30" s="133"/>
      <c r="C30" s="133">
        <f>IF(SER_hh_fec_in!C30=0,0,11630*1000*SER_hh_fec_in!C30/SER_hh_num_in!C30)</f>
        <v>16838.684579940811</v>
      </c>
      <c r="D30" s="133">
        <f>IF(SER_hh_fec_in!D30=0,0,11630*1000*SER_hh_fec_in!D30/SER_hh_num_in!D30)</f>
        <v>0</v>
      </c>
      <c r="E30" s="133">
        <f>IF(SER_hh_fec_in!E30=0,0,11630*1000*SER_hh_fec_in!E30/SER_hh_num_in!E30)</f>
        <v>0</v>
      </c>
      <c r="F30" s="133">
        <f>IF(SER_hh_fec_in!F30=0,0,11630*1000*SER_hh_fec_in!F30/SER_hh_num_in!F30)</f>
        <v>0</v>
      </c>
      <c r="G30" s="133">
        <f>IF(SER_hh_fec_in!G30=0,0,11630*1000*SER_hh_fec_in!G30/SER_hh_num_in!G30)</f>
        <v>0</v>
      </c>
      <c r="H30" s="133">
        <f>IF(SER_hh_fec_in!H30=0,0,11630*1000*SER_hh_fec_in!H30/SER_hh_num_in!H30)</f>
        <v>0</v>
      </c>
      <c r="I30" s="133">
        <f>IF(SER_hh_fec_in!I30=0,0,11630*1000*SER_hh_fec_in!I30/SER_hh_num_in!I30)</f>
        <v>0</v>
      </c>
      <c r="J30" s="133">
        <f>IF(SER_hh_fec_in!J30=0,0,11630*1000*SER_hh_fec_in!J30/SER_hh_num_in!J30)</f>
        <v>17100.335839942261</v>
      </c>
      <c r="K30" s="133">
        <f>IF(SER_hh_fec_in!K30=0,0,11630*1000*SER_hh_fec_in!K30/SER_hh_num_in!K30)</f>
        <v>16583.958059433469</v>
      </c>
      <c r="L30" s="133">
        <f>IF(SER_hh_fec_in!L30=0,0,11630*1000*SER_hh_fec_in!L30/SER_hh_num_in!L30)</f>
        <v>19898.884450675254</v>
      </c>
      <c r="M30" s="133">
        <f>IF(SER_hh_fec_in!M30=0,0,11630*1000*SER_hh_fec_in!M30/SER_hh_num_in!M30)</f>
        <v>0</v>
      </c>
      <c r="N30" s="133">
        <f>IF(SER_hh_fec_in!N30=0,0,11630*1000*SER_hh_fec_in!N30/SER_hh_num_in!N30)</f>
        <v>0</v>
      </c>
      <c r="O30" s="133">
        <f>IF(SER_hh_fec_in!O30=0,0,11630*1000*SER_hh_fec_in!O30/SER_hh_num_in!O30)</f>
        <v>17922.99971735548</v>
      </c>
      <c r="P30" s="133">
        <f>IF(SER_hh_fec_in!P30=0,0,11630*1000*SER_hh_fec_in!P30/SER_hh_num_in!P30)</f>
        <v>13647.702779374018</v>
      </c>
      <c r="Q30" s="133">
        <f>IF(SER_hh_fec_in!Q30=0,0,11630*1000*SER_hh_fec_in!Q30/SER_hh_num_in!Q30)</f>
        <v>21174.586528208598</v>
      </c>
      <c r="R30" s="133">
        <f>IF(SER_hh_fec_in!R30=0,0,11630*1000*SER_hh_fec_in!R30/SER_hh_num_in!R30)</f>
        <v>15877.264879983302</v>
      </c>
      <c r="S30" s="133">
        <f>IF(SER_hh_fec_in!S30=0,0,11630*1000*SER_hh_fec_in!S30/SER_hh_num_in!S30)</f>
        <v>17651.474027589335</v>
      </c>
      <c r="T30" s="133">
        <f>IF(SER_hh_fec_in!T30=0,0,11630*1000*SER_hh_fec_in!T30/SER_hh_num_in!T30)</f>
        <v>16467.954789834414</v>
      </c>
      <c r="U30" s="133">
        <f>IF(SER_hh_fec_in!U30=0,0,11630*1000*SER_hh_fec_in!U30/SER_hh_num_in!U30)</f>
        <v>16171.405625976166</v>
      </c>
      <c r="V30" s="133">
        <f>IF(SER_hh_fec_in!V30=0,0,11630*1000*SER_hh_fec_in!V30/SER_hh_num_in!V30)</f>
        <v>17214.290164908896</v>
      </c>
      <c r="W30" s="133">
        <f>IF(SER_hh_fec_in!W30=0,0,11630*1000*SER_hh_fec_in!W30/SER_hh_num_in!W30)</f>
        <v>17351.270889828276</v>
      </c>
      <c r="DA30" s="157" t="s">
        <v>749</v>
      </c>
    </row>
    <row r="31" spans="1:105" ht="12" customHeight="1" x14ac:dyDescent="0.25">
      <c r="A31" s="132" t="s">
        <v>153</v>
      </c>
      <c r="B31" s="133"/>
      <c r="C31" s="133">
        <f>IF(SER_hh_fec_in!C31=0,0,11630*1000*SER_hh_fec_in!C31/SER_hh_num_in!C31)</f>
        <v>15674.991218377432</v>
      </c>
      <c r="D31" s="133">
        <f>IF(SER_hh_fec_in!D31=0,0,11630*1000*SER_hh_fec_in!D31/SER_hh_num_in!D31)</f>
        <v>15733.903537146112</v>
      </c>
      <c r="E31" s="133">
        <f>IF(SER_hh_fec_in!E31=0,0,11630*1000*SER_hh_fec_in!E31/SER_hh_num_in!E31)</f>
        <v>15815.292707237501</v>
      </c>
      <c r="F31" s="133">
        <f>IF(SER_hh_fec_in!F31=0,0,11630*1000*SER_hh_fec_in!F31/SER_hh_num_in!F31)</f>
        <v>15904.650779692192</v>
      </c>
      <c r="G31" s="133">
        <f>IF(SER_hh_fec_in!G31=0,0,11630*1000*SER_hh_fec_in!G31/SER_hh_num_in!G31)</f>
        <v>16116.906068440612</v>
      </c>
      <c r="H31" s="133">
        <f>IF(SER_hh_fec_in!H31=0,0,11630*1000*SER_hh_fec_in!H31/SER_hh_num_in!H31)</f>
        <v>16140.981360839412</v>
      </c>
      <c r="I31" s="133">
        <f>IF(SER_hh_fec_in!I31=0,0,11630*1000*SER_hh_fec_in!I31/SER_hh_num_in!I31)</f>
        <v>16310.149275022564</v>
      </c>
      <c r="J31" s="133">
        <f>IF(SER_hh_fec_in!J31=0,0,11630*1000*SER_hh_fec_in!J31/SER_hh_num_in!J31)</f>
        <v>16570.415191955817</v>
      </c>
      <c r="K31" s="133">
        <f>IF(SER_hh_fec_in!K31=0,0,11630*1000*SER_hh_fec_in!K31/SER_hh_num_in!K31)</f>
        <v>16664.982534637187</v>
      </c>
      <c r="L31" s="133">
        <f>IF(SER_hh_fec_in!L31=0,0,11630*1000*SER_hh_fec_in!L31/SER_hh_num_in!L31)</f>
        <v>16718.160474826109</v>
      </c>
      <c r="M31" s="133">
        <f>IF(SER_hh_fec_in!M31=0,0,11630*1000*SER_hh_fec_in!M31/SER_hh_num_in!M31)</f>
        <v>16803.702124513962</v>
      </c>
      <c r="N31" s="133">
        <f>IF(SER_hh_fec_in!N31=0,0,11630*1000*SER_hh_fec_in!N31/SER_hh_num_in!N31)</f>
        <v>17077.73937917826</v>
      </c>
      <c r="O31" s="133">
        <f>IF(SER_hh_fec_in!O31=0,0,11630*1000*SER_hh_fec_in!O31/SER_hh_num_in!O31)</f>
        <v>17149.37738376018</v>
      </c>
      <c r="P31" s="133">
        <f>IF(SER_hh_fec_in!P31=0,0,11630*1000*SER_hh_fec_in!P31/SER_hh_num_in!P31)</f>
        <v>17291.970565328167</v>
      </c>
      <c r="Q31" s="133">
        <f>IF(SER_hh_fec_in!Q31=0,0,11630*1000*SER_hh_fec_in!Q31/SER_hh_num_in!Q31)</f>
        <v>17342.676569087154</v>
      </c>
      <c r="R31" s="133">
        <f>IF(SER_hh_fec_in!R31=0,0,11630*1000*SER_hh_fec_in!R31/SER_hh_num_in!R31)</f>
        <v>17306.534083316725</v>
      </c>
      <c r="S31" s="133">
        <f>IF(SER_hh_fec_in!S31=0,0,11630*1000*SER_hh_fec_in!S31/SER_hh_num_in!S31)</f>
        <v>17217.659719919306</v>
      </c>
      <c r="T31" s="133">
        <f>IF(SER_hh_fec_in!T31=0,0,11630*1000*SER_hh_fec_in!T31/SER_hh_num_in!T31)</f>
        <v>17145.077577765318</v>
      </c>
      <c r="U31" s="133">
        <f>IF(SER_hh_fec_in!U31=0,0,11630*1000*SER_hh_fec_in!U31/SER_hh_num_in!U31)</f>
        <v>17115.185280659949</v>
      </c>
      <c r="V31" s="133">
        <f>IF(SER_hh_fec_in!V31=0,0,11630*1000*SER_hh_fec_in!V31/SER_hh_num_in!V31)</f>
        <v>16279.860857134721</v>
      </c>
      <c r="W31" s="133">
        <f>IF(SER_hh_fec_in!W31=0,0,11630*1000*SER_hh_fec_in!W31/SER_hh_num_in!W31)</f>
        <v>17216.539305789676</v>
      </c>
      <c r="DA31" s="157" t="s">
        <v>750</v>
      </c>
    </row>
    <row r="32" spans="1:105" ht="12" customHeight="1" x14ac:dyDescent="0.25">
      <c r="A32" s="132" t="s">
        <v>128</v>
      </c>
      <c r="B32" s="133"/>
      <c r="C32" s="133">
        <f>IF(SER_hh_fec_in!C32=0,0,11630*1000*SER_hh_fec_in!C32/SER_hh_num_in!C32)</f>
        <v>0</v>
      </c>
      <c r="D32" s="133">
        <f>IF(SER_hh_fec_in!D32=0,0,11630*1000*SER_hh_fec_in!D32/SER_hh_num_in!D32)</f>
        <v>0</v>
      </c>
      <c r="E32" s="133">
        <f>IF(SER_hh_fec_in!E32=0,0,11630*1000*SER_hh_fec_in!E32/SER_hh_num_in!E32)</f>
        <v>0</v>
      </c>
      <c r="F32" s="133">
        <f>IF(SER_hh_fec_in!F32=0,0,11630*1000*SER_hh_fec_in!F32/SER_hh_num_in!F32)</f>
        <v>0</v>
      </c>
      <c r="G32" s="133">
        <f>IF(SER_hh_fec_in!G32=0,0,11630*1000*SER_hh_fec_in!G32/SER_hh_num_in!G32)</f>
        <v>0</v>
      </c>
      <c r="H32" s="133">
        <f>IF(SER_hh_fec_in!H32=0,0,11630*1000*SER_hh_fec_in!H32/SER_hh_num_in!H32)</f>
        <v>0</v>
      </c>
      <c r="I32" s="133">
        <f>IF(SER_hh_fec_in!I32=0,0,11630*1000*SER_hh_fec_in!I32/SER_hh_num_in!I32)</f>
        <v>0</v>
      </c>
      <c r="J32" s="133">
        <f>IF(SER_hh_fec_in!J32=0,0,11630*1000*SER_hh_fec_in!J32/SER_hh_num_in!J32)</f>
        <v>21930.816047562392</v>
      </c>
      <c r="K32" s="133">
        <f>IF(SER_hh_fec_in!K32=0,0,11630*1000*SER_hh_fec_in!K32/SER_hh_num_in!K32)</f>
        <v>12675.211966794022</v>
      </c>
      <c r="L32" s="133">
        <f>IF(SER_hh_fec_in!L32=0,0,11630*1000*SER_hh_fec_in!L32/SER_hh_num_in!L32)</f>
        <v>21866.064367580475</v>
      </c>
      <c r="M32" s="133">
        <f>IF(SER_hh_fec_in!M32=0,0,11630*1000*SER_hh_fec_in!M32/SER_hh_num_in!M32)</f>
        <v>20490.1353736827</v>
      </c>
      <c r="N32" s="133">
        <f>IF(SER_hh_fec_in!N32=0,0,11630*1000*SER_hh_fec_in!N32/SER_hh_num_in!N32)</f>
        <v>11076.334173110237</v>
      </c>
      <c r="O32" s="133">
        <f>IF(SER_hh_fec_in!O32=0,0,11630*1000*SER_hh_fec_in!O32/SER_hh_num_in!O32)</f>
        <v>17959.106701264303</v>
      </c>
      <c r="P32" s="133">
        <f>IF(SER_hh_fec_in!P32=0,0,11630*1000*SER_hh_fec_in!P32/SER_hh_num_in!P32)</f>
        <v>18455.212343837007</v>
      </c>
      <c r="Q32" s="133">
        <f>IF(SER_hh_fec_in!Q32=0,0,11630*1000*SER_hh_fec_in!Q32/SER_hh_num_in!Q32)</f>
        <v>19094.427777692992</v>
      </c>
      <c r="R32" s="133">
        <f>IF(SER_hh_fec_in!R32=0,0,11630*1000*SER_hh_fec_in!R32/SER_hh_num_in!R32)</f>
        <v>18329.263997751215</v>
      </c>
      <c r="S32" s="133">
        <f>IF(SER_hh_fec_in!S32=0,0,11630*1000*SER_hh_fec_in!S32/SER_hh_num_in!S32)</f>
        <v>17604.569332855426</v>
      </c>
      <c r="T32" s="133">
        <f>IF(SER_hh_fec_in!T32=0,0,11630*1000*SER_hh_fec_in!T32/SER_hh_num_in!T32)</f>
        <v>18395.500404372993</v>
      </c>
      <c r="U32" s="133">
        <f>IF(SER_hh_fec_in!U32=0,0,11630*1000*SER_hh_fec_in!U32/SER_hh_num_in!U32)</f>
        <v>0</v>
      </c>
      <c r="V32" s="133">
        <f>IF(SER_hh_fec_in!V32=0,0,11630*1000*SER_hh_fec_in!V32/SER_hh_num_in!V32)</f>
        <v>0</v>
      </c>
      <c r="W32" s="133">
        <f>IF(SER_hh_fec_in!W32=0,0,11630*1000*SER_hh_fec_in!W32/SER_hh_num_in!W32)</f>
        <v>0</v>
      </c>
      <c r="DA32" s="157" t="s">
        <v>751</v>
      </c>
    </row>
    <row r="33" spans="1:105" ht="12" customHeight="1" x14ac:dyDescent="0.25">
      <c r="A33" s="62" t="s">
        <v>24</v>
      </c>
      <c r="B33" s="68"/>
      <c r="C33" s="68">
        <f>IF(SER_hh_fec_in!C33=0,0,11630*1000*SER_hh_fec_in!C33/SER_hh_num_in!C33)</f>
        <v>11818.905291968145</v>
      </c>
      <c r="D33" s="68">
        <f>IF(SER_hh_fec_in!D33=0,0,11630*1000*SER_hh_fec_in!D33/SER_hh_num_in!D33)</f>
        <v>12441.048781504172</v>
      </c>
      <c r="E33" s="68">
        <f>IF(SER_hh_fec_in!E33=0,0,11630*1000*SER_hh_fec_in!E33/SER_hh_num_in!E33)</f>
        <v>11722.19188278368</v>
      </c>
      <c r="F33" s="68">
        <f>IF(SER_hh_fec_in!F33=0,0,11630*1000*SER_hh_fec_in!F33/SER_hh_num_in!F33)</f>
        <v>11174.002164551026</v>
      </c>
      <c r="G33" s="68">
        <f>IF(SER_hh_fec_in!G33=0,0,11630*1000*SER_hh_fec_in!G33/SER_hh_num_in!G33)</f>
        <v>12832.782378391943</v>
      </c>
      <c r="H33" s="68">
        <f>IF(SER_hh_fec_in!H33=0,0,11630*1000*SER_hh_fec_in!H33/SER_hh_num_in!H33)</f>
        <v>12201.072701566543</v>
      </c>
      <c r="I33" s="68">
        <f>IF(SER_hh_fec_in!I33=0,0,11630*1000*SER_hh_fec_in!I33/SER_hh_num_in!I33)</f>
        <v>12322.111167319639</v>
      </c>
      <c r="J33" s="68">
        <f>IF(SER_hh_fec_in!J33=0,0,11630*1000*SER_hh_fec_in!J33/SER_hh_num_in!J33)</f>
        <v>12222.574467333523</v>
      </c>
      <c r="K33" s="68">
        <f>IF(SER_hh_fec_in!K33=0,0,11630*1000*SER_hh_fec_in!K33/SER_hh_num_in!K33)</f>
        <v>12676.676518728111</v>
      </c>
      <c r="L33" s="68">
        <f>IF(SER_hh_fec_in!L33=0,0,11630*1000*SER_hh_fec_in!L33/SER_hh_num_in!L33)</f>
        <v>12463.519848946225</v>
      </c>
      <c r="M33" s="68">
        <f>IF(SER_hh_fec_in!M33=0,0,11630*1000*SER_hh_fec_in!M33/SER_hh_num_in!M33)</f>
        <v>12404.373517113472</v>
      </c>
      <c r="N33" s="68">
        <f>IF(SER_hh_fec_in!N33=0,0,11630*1000*SER_hh_fec_in!N33/SER_hh_num_in!N33)</f>
        <v>12626.55252440036</v>
      </c>
      <c r="O33" s="68">
        <f>IF(SER_hh_fec_in!O33=0,0,11630*1000*SER_hh_fec_in!O33/SER_hh_num_in!O33)</f>
        <v>12652.738920001604</v>
      </c>
      <c r="P33" s="68">
        <f>IF(SER_hh_fec_in!P33=0,0,11630*1000*SER_hh_fec_in!P33/SER_hh_num_in!P33)</f>
        <v>12657.467732464755</v>
      </c>
      <c r="Q33" s="68">
        <f>IF(SER_hh_fec_in!Q33=0,0,11630*1000*SER_hh_fec_in!Q33/SER_hh_num_in!Q33)</f>
        <v>12613.29456342865</v>
      </c>
      <c r="R33" s="68">
        <f>IF(SER_hh_fec_in!R33=0,0,11630*1000*SER_hh_fec_in!R33/SER_hh_num_in!R33)</f>
        <v>12520.757234013099</v>
      </c>
      <c r="S33" s="68">
        <f>IF(SER_hh_fec_in!S33=0,0,11630*1000*SER_hh_fec_in!S33/SER_hh_num_in!S33)</f>
        <v>12300.773598781698</v>
      </c>
      <c r="T33" s="68">
        <f>IF(SER_hh_fec_in!T33=0,0,11630*1000*SER_hh_fec_in!T33/SER_hh_num_in!T33)</f>
        <v>12144.68587485297</v>
      </c>
      <c r="U33" s="68">
        <f>IF(SER_hh_fec_in!U33=0,0,11630*1000*SER_hh_fec_in!U33/SER_hh_num_in!U33)</f>
        <v>11949.488560436519</v>
      </c>
      <c r="V33" s="68">
        <f>IF(SER_hh_fec_in!V33=0,0,11630*1000*SER_hh_fec_in!V33/SER_hh_num_in!V33)</f>
        <v>11349.881021530082</v>
      </c>
      <c r="W33" s="68">
        <f>IF(SER_hh_fec_in!W33=0,0,11630*1000*SER_hh_fec_in!W33/SER_hh_num_in!W33)</f>
        <v>11746.48706864527</v>
      </c>
      <c r="DA33" s="111" t="s">
        <v>752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753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88</v>
      </c>
      <c r="B3" s="126"/>
      <c r="C3" s="126">
        <f>IF(SER_hh_tes_in!C3=0,0,11630*1000*SER_hh_tes_in!C3/SER_hh_num_in!C3)</f>
        <v>123767.5734642257</v>
      </c>
      <c r="D3" s="126">
        <f>IF(SER_hh_tes_in!D3=0,0,11630*1000*SER_hh_tes_in!D3/SER_hh_num_in!D3)</f>
        <v>119924.62632413291</v>
      </c>
      <c r="E3" s="126">
        <f>IF(SER_hh_tes_in!E3=0,0,11630*1000*SER_hh_tes_in!E3/SER_hh_num_in!E3)</f>
        <v>127862.06692086079</v>
      </c>
      <c r="F3" s="126">
        <f>IF(SER_hh_tes_in!F3=0,0,11630*1000*SER_hh_tes_in!F3/SER_hh_num_in!F3)</f>
        <v>175530.34116122167</v>
      </c>
      <c r="G3" s="126">
        <f>IF(SER_hh_tes_in!G3=0,0,11630*1000*SER_hh_tes_in!G3/SER_hh_num_in!G3)</f>
        <v>153898.58805374612</v>
      </c>
      <c r="H3" s="126">
        <f>IF(SER_hh_tes_in!H3=0,0,11630*1000*SER_hh_tes_in!H3/SER_hh_num_in!H3)</f>
        <v>142956.30995683512</v>
      </c>
      <c r="I3" s="126">
        <f>IF(SER_hh_tes_in!I3=0,0,11630*1000*SER_hh_tes_in!I3/SER_hh_num_in!I3)</f>
        <v>125753.98030964698</v>
      </c>
      <c r="J3" s="126">
        <f>IF(SER_hh_tes_in!J3=0,0,11630*1000*SER_hh_tes_in!J3/SER_hh_num_in!J3)</f>
        <v>134771.27679253725</v>
      </c>
      <c r="K3" s="126">
        <f>IF(SER_hh_tes_in!K3=0,0,11630*1000*SER_hh_tes_in!K3/SER_hh_num_in!K3)</f>
        <v>133640.14476126555</v>
      </c>
      <c r="L3" s="126">
        <f>IF(SER_hh_tes_in!L3=0,0,11630*1000*SER_hh_tes_in!L3/SER_hh_num_in!L3)</f>
        <v>139211.23433169449</v>
      </c>
      <c r="M3" s="126">
        <f>IF(SER_hh_tes_in!M3=0,0,11630*1000*SER_hh_tes_in!M3/SER_hh_num_in!M3)</f>
        <v>116069.70040068372</v>
      </c>
      <c r="N3" s="126">
        <f>IF(SER_hh_tes_in!N3=0,0,11630*1000*SER_hh_tes_in!N3/SER_hh_num_in!N3)</f>
        <v>120809.5476423622</v>
      </c>
      <c r="O3" s="126">
        <f>IF(SER_hh_tes_in!O3=0,0,11630*1000*SER_hh_tes_in!O3/SER_hh_num_in!O3)</f>
        <v>125794.88216570498</v>
      </c>
      <c r="P3" s="126">
        <f>IF(SER_hh_tes_in!P3=0,0,11630*1000*SER_hh_tes_in!P3/SER_hh_num_in!P3)</f>
        <v>105791.94098804888</v>
      </c>
      <c r="Q3" s="126">
        <f>IF(SER_hh_tes_in!Q3=0,0,11630*1000*SER_hh_tes_in!Q3/SER_hh_num_in!Q3)</f>
        <v>114038.9799802692</v>
      </c>
      <c r="R3" s="126">
        <f>IF(SER_hh_tes_in!R3=0,0,11630*1000*SER_hh_tes_in!R3/SER_hh_num_in!R3)</f>
        <v>109822.58617993387</v>
      </c>
      <c r="S3" s="126">
        <f>IF(SER_hh_tes_in!S3=0,0,11630*1000*SER_hh_tes_in!S3/SER_hh_num_in!S3)</f>
        <v>103891.17402778113</v>
      </c>
      <c r="T3" s="126">
        <f>IF(SER_hh_tes_in!T3=0,0,11630*1000*SER_hh_tes_in!T3/SER_hh_num_in!T3)</f>
        <v>103812.97643875799</v>
      </c>
      <c r="U3" s="126">
        <f>IF(SER_hh_tes_in!U3=0,0,11630*1000*SER_hh_tes_in!U3/SER_hh_num_in!U3)</f>
        <v>99791.665017122665</v>
      </c>
      <c r="V3" s="126">
        <f>IF(SER_hh_tes_in!V3=0,0,11630*1000*SER_hh_tes_in!V3/SER_hh_num_in!V3)</f>
        <v>94836.011765640797</v>
      </c>
      <c r="W3" s="126">
        <f>IF(SER_hh_tes_in!W3=0,0,11630*1000*SER_hh_tes_in!W3/SER_hh_num_in!W3)</f>
        <v>86772.48127546547</v>
      </c>
      <c r="DA3" s="155" t="s">
        <v>754</v>
      </c>
    </row>
    <row r="4" spans="1:105" ht="12.95" customHeight="1" x14ac:dyDescent="0.25">
      <c r="A4" s="130" t="s">
        <v>32</v>
      </c>
      <c r="B4" s="131"/>
      <c r="C4" s="131">
        <f>IF(SER_hh_tes_in!C4=0,0,11630*1000*SER_hh_tes_in!C4/SER_hh_num_in!C4)</f>
        <v>72821.079042853977</v>
      </c>
      <c r="D4" s="131">
        <f>IF(SER_hh_tes_in!D4=0,0,11630*1000*SER_hh_tes_in!D4/SER_hh_num_in!D4)</f>
        <v>77191.640260699249</v>
      </c>
      <c r="E4" s="131">
        <f>IF(SER_hh_tes_in!E4=0,0,11630*1000*SER_hh_tes_in!E4/SER_hh_num_in!E4)</f>
        <v>69602.578355170001</v>
      </c>
      <c r="F4" s="131">
        <f>IF(SER_hh_tes_in!F4=0,0,11630*1000*SER_hh_tes_in!F4/SER_hh_num_in!F4)</f>
        <v>125960.16483563732</v>
      </c>
      <c r="G4" s="131">
        <f>IF(SER_hh_tes_in!G4=0,0,11630*1000*SER_hh_tes_in!G4/SER_hh_num_in!G4)</f>
        <v>103219.19144046339</v>
      </c>
      <c r="H4" s="131">
        <f>IF(SER_hh_tes_in!H4=0,0,11630*1000*SER_hh_tes_in!H4/SER_hh_num_in!H4)</f>
        <v>85952.888580679733</v>
      </c>
      <c r="I4" s="131">
        <f>IF(SER_hh_tes_in!I4=0,0,11630*1000*SER_hh_tes_in!I4/SER_hh_num_in!I4)</f>
        <v>76510.153661088945</v>
      </c>
      <c r="J4" s="131">
        <f>IF(SER_hh_tes_in!J4=0,0,11630*1000*SER_hh_tes_in!J4/SER_hh_num_in!J4)</f>
        <v>85511.717431111785</v>
      </c>
      <c r="K4" s="131">
        <f>IF(SER_hh_tes_in!K4=0,0,11630*1000*SER_hh_tes_in!K4/SER_hh_num_in!K4)</f>
        <v>84180.820696346927</v>
      </c>
      <c r="L4" s="131">
        <f>IF(SER_hh_tes_in!L4=0,0,11630*1000*SER_hh_tes_in!L4/SER_hh_num_in!L4)</f>
        <v>88187.356818896587</v>
      </c>
      <c r="M4" s="131">
        <f>IF(SER_hh_tes_in!M4=0,0,11630*1000*SER_hh_tes_in!M4/SER_hh_num_in!M4)</f>
        <v>67278.015391162975</v>
      </c>
      <c r="N4" s="131">
        <f>IF(SER_hh_tes_in!N4=0,0,11630*1000*SER_hh_tes_in!N4/SER_hh_num_in!N4)</f>
        <v>71743.524285766616</v>
      </c>
      <c r="O4" s="131">
        <f>IF(SER_hh_tes_in!O4=0,0,11630*1000*SER_hh_tes_in!O4/SER_hh_num_in!O4)</f>
        <v>76722.964638911406</v>
      </c>
      <c r="P4" s="131">
        <f>IF(SER_hh_tes_in!P4=0,0,11630*1000*SER_hh_tes_in!P4/SER_hh_num_in!P4)</f>
        <v>58011.617689063896</v>
      </c>
      <c r="Q4" s="131">
        <f>IF(SER_hh_tes_in!Q4=0,0,11630*1000*SER_hh_tes_in!Q4/SER_hh_num_in!Q4)</f>
        <v>63727.269259634602</v>
      </c>
      <c r="R4" s="131">
        <f>IF(SER_hh_tes_in!R4=0,0,11630*1000*SER_hh_tes_in!R4/SER_hh_num_in!R4)</f>
        <v>61169.207585185424</v>
      </c>
      <c r="S4" s="131">
        <f>IF(SER_hh_tes_in!S4=0,0,11630*1000*SER_hh_tes_in!S4/SER_hh_num_in!S4)</f>
        <v>57264.995159427497</v>
      </c>
      <c r="T4" s="131">
        <f>IF(SER_hh_tes_in!T4=0,0,11630*1000*SER_hh_tes_in!T4/SER_hh_num_in!T4)</f>
        <v>54869.637292731917</v>
      </c>
      <c r="U4" s="131">
        <f>IF(SER_hh_tes_in!U4=0,0,11630*1000*SER_hh_tes_in!U4/SER_hh_num_in!U4)</f>
        <v>52805.319555966598</v>
      </c>
      <c r="V4" s="131">
        <f>IF(SER_hh_tes_in!V4=0,0,11630*1000*SER_hh_tes_in!V4/SER_hh_num_in!V4)</f>
        <v>46513.140845765345</v>
      </c>
      <c r="W4" s="131">
        <f>IF(SER_hh_tes_in!W4=0,0,11630*1000*SER_hh_tes_in!W4/SER_hh_num_in!W4)</f>
        <v>45045.32682542751</v>
      </c>
      <c r="DA4" s="156" t="s">
        <v>755</v>
      </c>
    </row>
    <row r="5" spans="1:105" ht="12" customHeight="1" x14ac:dyDescent="0.25">
      <c r="A5" s="132" t="s">
        <v>29</v>
      </c>
      <c r="B5" s="133"/>
      <c r="C5" s="133">
        <f>IF(SER_hh_tes_in!C5=0,0,11630*1000*SER_hh_tes_in!C5/SER_hh_num_in!C5)</f>
        <v>0</v>
      </c>
      <c r="D5" s="133">
        <f>IF(SER_hh_tes_in!D5=0,0,11630*1000*SER_hh_tes_in!D5/SER_hh_num_in!D5)</f>
        <v>0</v>
      </c>
      <c r="E5" s="133">
        <f>IF(SER_hh_tes_in!E5=0,0,11630*1000*SER_hh_tes_in!E5/SER_hh_num_in!E5)</f>
        <v>0</v>
      </c>
      <c r="F5" s="133">
        <f>IF(SER_hh_tes_in!F5=0,0,11630*1000*SER_hh_tes_in!F5/SER_hh_num_in!F5)</f>
        <v>0</v>
      </c>
      <c r="G5" s="133">
        <f>IF(SER_hh_tes_in!G5=0,0,11630*1000*SER_hh_tes_in!G5/SER_hh_num_in!G5)</f>
        <v>0</v>
      </c>
      <c r="H5" s="133">
        <f>IF(SER_hh_tes_in!H5=0,0,11630*1000*SER_hh_tes_in!H5/SER_hh_num_in!H5)</f>
        <v>0</v>
      </c>
      <c r="I5" s="133">
        <f>IF(SER_hh_tes_in!I5=0,0,11630*1000*SER_hh_tes_in!I5/SER_hh_num_in!I5)</f>
        <v>0</v>
      </c>
      <c r="J5" s="133">
        <f>IF(SER_hh_tes_in!J5=0,0,11630*1000*SER_hh_tes_in!J5/SER_hh_num_in!J5)</f>
        <v>0</v>
      </c>
      <c r="K5" s="133">
        <f>IF(SER_hh_tes_in!K5=0,0,11630*1000*SER_hh_tes_in!K5/SER_hh_num_in!K5)</f>
        <v>0</v>
      </c>
      <c r="L5" s="133">
        <f>IF(SER_hh_tes_in!L5=0,0,11630*1000*SER_hh_tes_in!L5/SER_hh_num_in!L5)</f>
        <v>0</v>
      </c>
      <c r="M5" s="133">
        <f>IF(SER_hh_tes_in!M5=0,0,11630*1000*SER_hh_tes_in!M5/SER_hh_num_in!M5)</f>
        <v>0</v>
      </c>
      <c r="N5" s="133">
        <f>IF(SER_hh_tes_in!N5=0,0,11630*1000*SER_hh_tes_in!N5/SER_hh_num_in!N5)</f>
        <v>0</v>
      </c>
      <c r="O5" s="133">
        <f>IF(SER_hh_tes_in!O5=0,0,11630*1000*SER_hh_tes_in!O5/SER_hh_num_in!O5)</f>
        <v>0</v>
      </c>
      <c r="P5" s="133">
        <f>IF(SER_hh_tes_in!P5=0,0,11630*1000*SER_hh_tes_in!P5/SER_hh_num_in!P5)</f>
        <v>0</v>
      </c>
      <c r="Q5" s="133">
        <f>IF(SER_hh_tes_in!Q5=0,0,11630*1000*SER_hh_tes_in!Q5/SER_hh_num_in!Q5)</f>
        <v>0</v>
      </c>
      <c r="R5" s="133">
        <f>IF(SER_hh_tes_in!R5=0,0,11630*1000*SER_hh_tes_in!R5/SER_hh_num_in!R5)</f>
        <v>0</v>
      </c>
      <c r="S5" s="133">
        <f>IF(SER_hh_tes_in!S5=0,0,11630*1000*SER_hh_tes_in!S5/SER_hh_num_in!S5)</f>
        <v>0</v>
      </c>
      <c r="T5" s="133">
        <f>IF(SER_hh_tes_in!T5=0,0,11630*1000*SER_hh_tes_in!T5/SER_hh_num_in!T5)</f>
        <v>0</v>
      </c>
      <c r="U5" s="133">
        <f>IF(SER_hh_tes_in!U5=0,0,11630*1000*SER_hh_tes_in!U5/SER_hh_num_in!U5)</f>
        <v>0</v>
      </c>
      <c r="V5" s="133">
        <f>IF(SER_hh_tes_in!V5=0,0,11630*1000*SER_hh_tes_in!V5/SER_hh_num_in!V5)</f>
        <v>0</v>
      </c>
      <c r="W5" s="133">
        <f>IF(SER_hh_tes_in!W5=0,0,11630*1000*SER_hh_tes_in!W5/SER_hh_num_in!W5)</f>
        <v>0</v>
      </c>
      <c r="DA5" s="157" t="s">
        <v>756</v>
      </c>
    </row>
    <row r="6" spans="1:105" ht="12" customHeight="1" x14ac:dyDescent="0.25">
      <c r="A6" s="132" t="s">
        <v>52</v>
      </c>
      <c r="B6" s="133"/>
      <c r="C6" s="133">
        <f>IF(SER_hh_tes_in!C6=0,0,11630*1000*SER_hh_tes_in!C6/SER_hh_num_in!C6)</f>
        <v>0</v>
      </c>
      <c r="D6" s="133">
        <f>IF(SER_hh_tes_in!D6=0,0,11630*1000*SER_hh_tes_in!D6/SER_hh_num_in!D6)</f>
        <v>0</v>
      </c>
      <c r="E6" s="133">
        <f>IF(SER_hh_tes_in!E6=0,0,11630*1000*SER_hh_tes_in!E6/SER_hh_num_in!E6)</f>
        <v>0</v>
      </c>
      <c r="F6" s="133">
        <f>IF(SER_hh_tes_in!F6=0,0,11630*1000*SER_hh_tes_in!F6/SER_hh_num_in!F6)</f>
        <v>0</v>
      </c>
      <c r="G6" s="133">
        <f>IF(SER_hh_tes_in!G6=0,0,11630*1000*SER_hh_tes_in!G6/SER_hh_num_in!G6)</f>
        <v>0</v>
      </c>
      <c r="H6" s="133">
        <f>IF(SER_hh_tes_in!H6=0,0,11630*1000*SER_hh_tes_in!H6/SER_hh_num_in!H6)</f>
        <v>0</v>
      </c>
      <c r="I6" s="133">
        <f>IF(SER_hh_tes_in!I6=0,0,11630*1000*SER_hh_tes_in!I6/SER_hh_num_in!I6)</f>
        <v>0</v>
      </c>
      <c r="J6" s="133">
        <f>IF(SER_hh_tes_in!J6=0,0,11630*1000*SER_hh_tes_in!J6/SER_hh_num_in!J6)</f>
        <v>0</v>
      </c>
      <c r="K6" s="133">
        <f>IF(SER_hh_tes_in!K6=0,0,11630*1000*SER_hh_tes_in!K6/SER_hh_num_in!K6)</f>
        <v>0</v>
      </c>
      <c r="L6" s="133">
        <f>IF(SER_hh_tes_in!L6=0,0,11630*1000*SER_hh_tes_in!L6/SER_hh_num_in!L6)</f>
        <v>0</v>
      </c>
      <c r="M6" s="133">
        <f>IF(SER_hh_tes_in!M6=0,0,11630*1000*SER_hh_tes_in!M6/SER_hh_num_in!M6)</f>
        <v>0</v>
      </c>
      <c r="N6" s="133">
        <f>IF(SER_hh_tes_in!N6=0,0,11630*1000*SER_hh_tes_in!N6/SER_hh_num_in!N6)</f>
        <v>0</v>
      </c>
      <c r="O6" s="133">
        <f>IF(SER_hh_tes_in!O6=0,0,11630*1000*SER_hh_tes_in!O6/SER_hh_num_in!O6)</f>
        <v>0</v>
      </c>
      <c r="P6" s="133">
        <f>IF(SER_hh_tes_in!P6=0,0,11630*1000*SER_hh_tes_in!P6/SER_hh_num_in!P6)</f>
        <v>0</v>
      </c>
      <c r="Q6" s="133">
        <f>IF(SER_hh_tes_in!Q6=0,0,11630*1000*SER_hh_tes_in!Q6/SER_hh_num_in!Q6)</f>
        <v>0</v>
      </c>
      <c r="R6" s="133">
        <f>IF(SER_hh_tes_in!R6=0,0,11630*1000*SER_hh_tes_in!R6/SER_hh_num_in!R6)</f>
        <v>0</v>
      </c>
      <c r="S6" s="133">
        <f>IF(SER_hh_tes_in!S6=0,0,11630*1000*SER_hh_tes_in!S6/SER_hh_num_in!S6)</f>
        <v>0</v>
      </c>
      <c r="T6" s="133">
        <f>IF(SER_hh_tes_in!T6=0,0,11630*1000*SER_hh_tes_in!T6/SER_hh_num_in!T6)</f>
        <v>0</v>
      </c>
      <c r="U6" s="133">
        <f>IF(SER_hh_tes_in!U6=0,0,11630*1000*SER_hh_tes_in!U6/SER_hh_num_in!U6)</f>
        <v>0</v>
      </c>
      <c r="V6" s="133">
        <f>IF(SER_hh_tes_in!V6=0,0,11630*1000*SER_hh_tes_in!V6/SER_hh_num_in!V6)</f>
        <v>0</v>
      </c>
      <c r="W6" s="133">
        <f>IF(SER_hh_tes_in!W6=0,0,11630*1000*SER_hh_tes_in!W6/SER_hh_num_in!W6)</f>
        <v>0</v>
      </c>
      <c r="DA6" s="157" t="s">
        <v>757</v>
      </c>
    </row>
    <row r="7" spans="1:105" ht="12" customHeight="1" x14ac:dyDescent="0.25">
      <c r="A7" s="132" t="s">
        <v>168</v>
      </c>
      <c r="B7" s="133"/>
      <c r="C7" s="133">
        <f>IF(SER_hh_tes_in!C7=0,0,11630*1000*SER_hh_tes_in!C7/SER_hh_num_in!C7)</f>
        <v>67342.127928497837</v>
      </c>
      <c r="D7" s="133">
        <f>IF(SER_hh_tes_in!D7=0,0,11630*1000*SER_hh_tes_in!D7/SER_hh_num_in!D7)</f>
        <v>86225.66834756115</v>
      </c>
      <c r="E7" s="133">
        <f>IF(SER_hh_tes_in!E7=0,0,11630*1000*SER_hh_tes_in!E7/SER_hh_num_in!E7)</f>
        <v>97693.931173496501</v>
      </c>
      <c r="F7" s="133">
        <f>IF(SER_hh_tes_in!F7=0,0,11630*1000*SER_hh_tes_in!F7/SER_hh_num_in!F7)</f>
        <v>94935.520410265861</v>
      </c>
      <c r="G7" s="133">
        <f>IF(SER_hh_tes_in!G7=0,0,11630*1000*SER_hh_tes_in!G7/SER_hh_num_in!G7)</f>
        <v>95812.875301259905</v>
      </c>
      <c r="H7" s="133">
        <f>IF(SER_hh_tes_in!H7=0,0,11630*1000*SER_hh_tes_in!H7/SER_hh_num_in!H7)</f>
        <v>83733.696422038658</v>
      </c>
      <c r="I7" s="133">
        <f>IF(SER_hh_tes_in!I7=0,0,11630*1000*SER_hh_tes_in!I7/SER_hh_num_in!I7)</f>
        <v>71950.089932517105</v>
      </c>
      <c r="J7" s="133">
        <f>IF(SER_hh_tes_in!J7=0,0,11630*1000*SER_hh_tes_in!J7/SER_hh_num_in!J7)</f>
        <v>91474.274109806385</v>
      </c>
      <c r="K7" s="133">
        <f>IF(SER_hh_tes_in!K7=0,0,11630*1000*SER_hh_tes_in!K7/SER_hh_num_in!K7)</f>
        <v>75081.206495522943</v>
      </c>
      <c r="L7" s="133">
        <f>IF(SER_hh_tes_in!L7=0,0,11630*1000*SER_hh_tes_in!L7/SER_hh_num_in!L7)</f>
        <v>84708.473704277552</v>
      </c>
      <c r="M7" s="133">
        <f>IF(SER_hh_tes_in!M7=0,0,11630*1000*SER_hh_tes_in!M7/SER_hh_num_in!M7)</f>
        <v>69743.015946317522</v>
      </c>
      <c r="N7" s="133">
        <f>IF(SER_hh_tes_in!N7=0,0,11630*1000*SER_hh_tes_in!N7/SER_hh_num_in!N7)</f>
        <v>68772.883547607737</v>
      </c>
      <c r="O7" s="133">
        <f>IF(SER_hh_tes_in!O7=0,0,11630*1000*SER_hh_tes_in!O7/SER_hh_num_in!O7)</f>
        <v>74929.556966396427</v>
      </c>
      <c r="P7" s="133">
        <f>IF(SER_hh_tes_in!P7=0,0,11630*1000*SER_hh_tes_in!P7/SER_hh_num_in!P7)</f>
        <v>55470.024402271622</v>
      </c>
      <c r="Q7" s="133">
        <f>IF(SER_hh_tes_in!Q7=0,0,11630*1000*SER_hh_tes_in!Q7/SER_hh_num_in!Q7)</f>
        <v>64677.559463644393</v>
      </c>
      <c r="R7" s="133">
        <f>IF(SER_hh_tes_in!R7=0,0,11630*1000*SER_hh_tes_in!R7/SER_hh_num_in!R7)</f>
        <v>57796.909895307552</v>
      </c>
      <c r="S7" s="133">
        <f>IF(SER_hh_tes_in!S7=0,0,11630*1000*SER_hh_tes_in!S7/SER_hh_num_in!S7)</f>
        <v>56984.681720956221</v>
      </c>
      <c r="T7" s="133">
        <f>IF(SER_hh_tes_in!T7=0,0,11630*1000*SER_hh_tes_in!T7/SER_hh_num_in!T7)</f>
        <v>54452.845914325655</v>
      </c>
      <c r="U7" s="133">
        <f>IF(SER_hh_tes_in!U7=0,0,11630*1000*SER_hh_tes_in!U7/SER_hh_num_in!U7)</f>
        <v>49609.578007893484</v>
      </c>
      <c r="V7" s="133">
        <f>IF(SER_hh_tes_in!V7=0,0,11630*1000*SER_hh_tes_in!V7/SER_hh_num_in!V7)</f>
        <v>49333.764781971979</v>
      </c>
      <c r="W7" s="133">
        <f>IF(SER_hh_tes_in!W7=0,0,11630*1000*SER_hh_tes_in!W7/SER_hh_num_in!W7)</f>
        <v>37604.465188393726</v>
      </c>
      <c r="DA7" s="157" t="s">
        <v>758</v>
      </c>
    </row>
    <row r="8" spans="1:105" ht="12" customHeight="1" x14ac:dyDescent="0.25">
      <c r="A8" s="132" t="s">
        <v>73</v>
      </c>
      <c r="B8" s="133"/>
      <c r="C8" s="133">
        <f>IF(SER_hh_tes_in!C8=0,0,11630*1000*SER_hh_tes_in!C8/SER_hh_num_in!C8)</f>
        <v>74864.802833028123</v>
      </c>
      <c r="D8" s="133">
        <f>IF(SER_hh_tes_in!D8=0,0,11630*1000*SER_hh_tes_in!D8/SER_hh_num_in!D8)</f>
        <v>76661.127598917912</v>
      </c>
      <c r="E8" s="133">
        <f>IF(SER_hh_tes_in!E8=0,0,11630*1000*SER_hh_tes_in!E8/SER_hh_num_in!E8)</f>
        <v>78177.413863573209</v>
      </c>
      <c r="F8" s="133">
        <f>IF(SER_hh_tes_in!F8=0,0,11630*1000*SER_hh_tes_in!F8/SER_hh_num_in!F8)</f>
        <v>91715.201323846399</v>
      </c>
      <c r="G8" s="133">
        <f>IF(SER_hh_tes_in!G8=0,0,11630*1000*SER_hh_tes_in!G8/SER_hh_num_in!G8)</f>
        <v>88253.626869032596</v>
      </c>
      <c r="H8" s="133">
        <f>IF(SER_hh_tes_in!H8=0,0,11630*1000*SER_hh_tes_in!H8/SER_hh_num_in!H8)</f>
        <v>87895.17510472679</v>
      </c>
      <c r="I8" s="133">
        <f>IF(SER_hh_tes_in!I8=0,0,11630*1000*SER_hh_tes_in!I8/SER_hh_num_in!I8)</f>
        <v>76958.438233783017</v>
      </c>
      <c r="J8" s="133">
        <f>IF(SER_hh_tes_in!J8=0,0,11630*1000*SER_hh_tes_in!J8/SER_hh_num_in!J8)</f>
        <v>82927.65049058522</v>
      </c>
      <c r="K8" s="133">
        <f>IF(SER_hh_tes_in!K8=0,0,11630*1000*SER_hh_tes_in!K8/SER_hh_num_in!K8)</f>
        <v>83494.528119859446</v>
      </c>
      <c r="L8" s="133">
        <f>IF(SER_hh_tes_in!L8=0,0,11630*1000*SER_hh_tes_in!L8/SER_hh_num_in!L8)</f>
        <v>82538.897635419897</v>
      </c>
      <c r="M8" s="133">
        <f>IF(SER_hh_tes_in!M8=0,0,11630*1000*SER_hh_tes_in!M8/SER_hh_num_in!M8)</f>
        <v>66637.354010056282</v>
      </c>
      <c r="N8" s="133">
        <f>IF(SER_hh_tes_in!N8=0,0,11630*1000*SER_hh_tes_in!N8/SER_hh_num_in!N8)</f>
        <v>71801.238289473404</v>
      </c>
      <c r="O8" s="133">
        <f>IF(SER_hh_tes_in!O8=0,0,11630*1000*SER_hh_tes_in!O8/SER_hh_num_in!O8)</f>
        <v>77320.393287981351</v>
      </c>
      <c r="P8" s="133">
        <f>IF(SER_hh_tes_in!P8=0,0,11630*1000*SER_hh_tes_in!P8/SER_hh_num_in!P8)</f>
        <v>58135.608186495745</v>
      </c>
      <c r="Q8" s="133">
        <f>IF(SER_hh_tes_in!Q8=0,0,11630*1000*SER_hh_tes_in!Q8/SER_hh_num_in!Q8)</f>
        <v>63079.630165446906</v>
      </c>
      <c r="R8" s="133">
        <f>IF(SER_hh_tes_in!R8=0,0,11630*1000*SER_hh_tes_in!R8/SER_hh_num_in!R8)</f>
        <v>62270.615922089215</v>
      </c>
      <c r="S8" s="133">
        <f>IF(SER_hh_tes_in!S8=0,0,11630*1000*SER_hh_tes_in!S8/SER_hh_num_in!S8)</f>
        <v>57287.62835231646</v>
      </c>
      <c r="T8" s="133">
        <f>IF(SER_hh_tes_in!T8=0,0,11630*1000*SER_hh_tes_in!T8/SER_hh_num_in!T8)</f>
        <v>54270.728413710152</v>
      </c>
      <c r="U8" s="133">
        <f>IF(SER_hh_tes_in!U8=0,0,11630*1000*SER_hh_tes_in!U8/SER_hh_num_in!U8)</f>
        <v>51235.394908825729</v>
      </c>
      <c r="V8" s="133">
        <f>IF(SER_hh_tes_in!V8=0,0,11630*1000*SER_hh_tes_in!V8/SER_hh_num_in!V8)</f>
        <v>46582.03531225543</v>
      </c>
      <c r="W8" s="133">
        <f>IF(SER_hh_tes_in!W8=0,0,11630*1000*SER_hh_tes_in!W8/SER_hh_num_in!W8)</f>
        <v>44987.017476263318</v>
      </c>
      <c r="DA8" s="157" t="s">
        <v>759</v>
      </c>
    </row>
    <row r="9" spans="1:105" ht="12" customHeight="1" x14ac:dyDescent="0.25">
      <c r="A9" s="132" t="s">
        <v>78</v>
      </c>
      <c r="B9" s="133"/>
      <c r="C9" s="133">
        <f>IF(SER_hh_tes_in!C9=0,0,11630*1000*SER_hh_tes_in!C9/SER_hh_num_in!C9)</f>
        <v>77052.019746695616</v>
      </c>
      <c r="D9" s="133">
        <f>IF(SER_hh_tes_in!D9=0,0,11630*1000*SER_hh_tes_in!D9/SER_hh_num_in!D9)</f>
        <v>72282.137262753415</v>
      </c>
      <c r="E9" s="133">
        <f>IF(SER_hh_tes_in!E9=0,0,11630*1000*SER_hh_tes_in!E9/SER_hh_num_in!E9)</f>
        <v>76199.936774310292</v>
      </c>
      <c r="F9" s="133">
        <f>IF(SER_hh_tes_in!F9=0,0,11630*1000*SER_hh_tes_in!F9/SER_hh_num_in!F9)</f>
        <v>0</v>
      </c>
      <c r="G9" s="133">
        <f>IF(SER_hh_tes_in!G9=0,0,11630*1000*SER_hh_tes_in!G9/SER_hh_num_in!G9)</f>
        <v>0</v>
      </c>
      <c r="H9" s="133">
        <f>IF(SER_hh_tes_in!H9=0,0,11630*1000*SER_hh_tes_in!H9/SER_hh_num_in!H9)</f>
        <v>83934.404983741522</v>
      </c>
      <c r="I9" s="133">
        <f>IF(SER_hh_tes_in!I9=0,0,11630*1000*SER_hh_tes_in!I9/SER_hh_num_in!I9)</f>
        <v>74542.79617396793</v>
      </c>
      <c r="J9" s="133">
        <f>IF(SER_hh_tes_in!J9=0,0,11630*1000*SER_hh_tes_in!J9/SER_hh_num_in!J9)</f>
        <v>82281.474952749704</v>
      </c>
      <c r="K9" s="133">
        <f>IF(SER_hh_tes_in!K9=0,0,11630*1000*SER_hh_tes_in!K9/SER_hh_num_in!K9)</f>
        <v>83981.763262919281</v>
      </c>
      <c r="L9" s="133">
        <f>IF(SER_hh_tes_in!L9=0,0,11630*1000*SER_hh_tes_in!L9/SER_hh_num_in!L9)</f>
        <v>87448.225291166702</v>
      </c>
      <c r="M9" s="133">
        <f>IF(SER_hh_tes_in!M9=0,0,11630*1000*SER_hh_tes_in!M9/SER_hh_num_in!M9)</f>
        <v>64949.804928703095</v>
      </c>
      <c r="N9" s="133">
        <f>IF(SER_hh_tes_in!N9=0,0,11630*1000*SER_hh_tes_in!N9/SER_hh_num_in!N9)</f>
        <v>71836.680419082491</v>
      </c>
      <c r="O9" s="133">
        <f>IF(SER_hh_tes_in!O9=0,0,11630*1000*SER_hh_tes_in!O9/SER_hh_num_in!O9)</f>
        <v>76945.254644251152</v>
      </c>
      <c r="P9" s="133">
        <f>IF(SER_hh_tes_in!P9=0,0,11630*1000*SER_hh_tes_in!P9/SER_hh_num_in!P9)</f>
        <v>55396.645689646328</v>
      </c>
      <c r="Q9" s="133">
        <f>IF(SER_hh_tes_in!Q9=0,0,11630*1000*SER_hh_tes_in!Q9/SER_hh_num_in!Q9)</f>
        <v>60850.963809192595</v>
      </c>
      <c r="R9" s="133">
        <f>IF(SER_hh_tes_in!R9=0,0,11630*1000*SER_hh_tes_in!R9/SER_hh_num_in!R9)</f>
        <v>61207.905117724025</v>
      </c>
      <c r="S9" s="133">
        <f>IF(SER_hh_tes_in!S9=0,0,11630*1000*SER_hh_tes_in!S9/SER_hh_num_in!S9)</f>
        <v>57249.755276283322</v>
      </c>
      <c r="T9" s="133">
        <f>IF(SER_hh_tes_in!T9=0,0,11630*1000*SER_hh_tes_in!T9/SER_hh_num_in!T9)</f>
        <v>54857.984160445463</v>
      </c>
      <c r="U9" s="133">
        <f>IF(SER_hh_tes_in!U9=0,0,11630*1000*SER_hh_tes_in!U9/SER_hh_num_in!U9)</f>
        <v>51309.090993531878</v>
      </c>
      <c r="V9" s="133">
        <f>IF(SER_hh_tes_in!V9=0,0,11630*1000*SER_hh_tes_in!V9/SER_hh_num_in!V9)</f>
        <v>44204.698726387745</v>
      </c>
      <c r="W9" s="133">
        <f>IF(SER_hh_tes_in!W9=0,0,11630*1000*SER_hh_tes_in!W9/SER_hh_num_in!W9)</f>
        <v>44491.179467473841</v>
      </c>
      <c r="DA9" s="157" t="s">
        <v>760</v>
      </c>
    </row>
    <row r="10" spans="1:105" ht="12" customHeight="1" x14ac:dyDescent="0.25">
      <c r="A10" s="132" t="s">
        <v>128</v>
      </c>
      <c r="B10" s="133"/>
      <c r="C10" s="133">
        <f>IF(SER_hh_tes_in!C10=0,0,11630*1000*SER_hh_tes_in!C10/SER_hh_num_in!C10)</f>
        <v>70495.440380414788</v>
      </c>
      <c r="D10" s="133">
        <f>IF(SER_hh_tes_in!D10=0,0,11630*1000*SER_hh_tes_in!D10/SER_hh_num_in!D10)</f>
        <v>5230.0337779276279</v>
      </c>
      <c r="E10" s="133">
        <f>IF(SER_hh_tes_in!E10=0,0,11630*1000*SER_hh_tes_in!E10/SER_hh_num_in!E10)</f>
        <v>1674.9263920379146</v>
      </c>
      <c r="F10" s="133">
        <f>IF(SER_hh_tes_in!F10=0,0,11630*1000*SER_hh_tes_in!F10/SER_hh_num_in!F10)</f>
        <v>121065.85322567199</v>
      </c>
      <c r="G10" s="133">
        <f>IF(SER_hh_tes_in!G10=0,0,11630*1000*SER_hh_tes_in!G10/SER_hh_num_in!G10)</f>
        <v>105495.76840632992</v>
      </c>
      <c r="H10" s="133">
        <f>IF(SER_hh_tes_in!H10=0,0,11630*1000*SER_hh_tes_in!H10/SER_hh_num_in!H10)</f>
        <v>93606.197773120759</v>
      </c>
      <c r="I10" s="133">
        <f>IF(SER_hh_tes_in!I10=0,0,11630*1000*SER_hh_tes_in!I10/SER_hh_num_in!I10)</f>
        <v>0</v>
      </c>
      <c r="J10" s="133">
        <f>IF(SER_hh_tes_in!J10=0,0,11630*1000*SER_hh_tes_in!J10/SER_hh_num_in!J10)</f>
        <v>0</v>
      </c>
      <c r="K10" s="133">
        <f>IF(SER_hh_tes_in!K10=0,0,11630*1000*SER_hh_tes_in!K10/SER_hh_num_in!K10)</f>
        <v>22800.381612913323</v>
      </c>
      <c r="L10" s="133">
        <f>IF(SER_hh_tes_in!L10=0,0,11630*1000*SER_hh_tes_in!L10/SER_hh_num_in!L10)</f>
        <v>77445.846641464959</v>
      </c>
      <c r="M10" s="133">
        <f>IF(SER_hh_tes_in!M10=0,0,11630*1000*SER_hh_tes_in!M10/SER_hh_num_in!M10)</f>
        <v>48209.717799806378</v>
      </c>
      <c r="N10" s="133">
        <f>IF(SER_hh_tes_in!N10=0,0,11630*1000*SER_hh_tes_in!N10/SER_hh_num_in!N10)</f>
        <v>61516.198394684958</v>
      </c>
      <c r="O10" s="133">
        <f>IF(SER_hh_tes_in!O10=0,0,11630*1000*SER_hh_tes_in!O10/SER_hh_num_in!O10)</f>
        <v>78670.463388114018</v>
      </c>
      <c r="P10" s="133">
        <f>IF(SER_hh_tes_in!P10=0,0,11630*1000*SER_hh_tes_in!P10/SER_hh_num_in!P10)</f>
        <v>65152.854576131234</v>
      </c>
      <c r="Q10" s="133">
        <f>IF(SER_hh_tes_in!Q10=0,0,11630*1000*SER_hh_tes_in!Q10/SER_hh_num_in!Q10)</f>
        <v>65524.439643727739</v>
      </c>
      <c r="R10" s="133">
        <f>IF(SER_hh_tes_in!R10=0,0,11630*1000*SER_hh_tes_in!R10/SER_hh_num_in!R10)</f>
        <v>61362.561435732336</v>
      </c>
      <c r="S10" s="133">
        <f>IF(SER_hh_tes_in!S10=0,0,11630*1000*SER_hh_tes_in!S10/SER_hh_num_in!S10)</f>
        <v>56946.235755413967</v>
      </c>
      <c r="T10" s="133">
        <f>IF(SER_hh_tes_in!T10=0,0,11630*1000*SER_hh_tes_in!T10/SER_hh_num_in!T10)</f>
        <v>53808.303411947287</v>
      </c>
      <c r="U10" s="133">
        <f>IF(SER_hh_tes_in!U10=0,0,11630*1000*SER_hh_tes_in!U10/SER_hh_num_in!U10)</f>
        <v>52774.377407554181</v>
      </c>
      <c r="V10" s="133">
        <f>IF(SER_hh_tes_in!V10=0,0,11630*1000*SER_hh_tes_in!V10/SER_hh_num_in!V10)</f>
        <v>47888.363950141727</v>
      </c>
      <c r="W10" s="133">
        <f>IF(SER_hh_tes_in!W10=0,0,11630*1000*SER_hh_tes_in!W10/SER_hh_num_in!W10)</f>
        <v>40579.058811796538</v>
      </c>
      <c r="DA10" s="157" t="s">
        <v>761</v>
      </c>
    </row>
    <row r="11" spans="1:105" ht="12" customHeight="1" x14ac:dyDescent="0.25">
      <c r="A11" s="132" t="s">
        <v>25</v>
      </c>
      <c r="B11" s="133"/>
      <c r="C11" s="133">
        <f>IF(SER_hh_tes_in!C11=0,0,11630*1000*SER_hh_tes_in!C11/SER_hh_num_in!C11)</f>
        <v>0</v>
      </c>
      <c r="D11" s="133">
        <f>IF(SER_hh_tes_in!D11=0,0,11630*1000*SER_hh_tes_in!D11/SER_hh_num_in!D11)</f>
        <v>0</v>
      </c>
      <c r="E11" s="133">
        <f>IF(SER_hh_tes_in!E11=0,0,11630*1000*SER_hh_tes_in!E11/SER_hh_num_in!E11)</f>
        <v>0</v>
      </c>
      <c r="F11" s="133">
        <f>IF(SER_hh_tes_in!F11=0,0,11630*1000*SER_hh_tes_in!F11/SER_hh_num_in!F11)</f>
        <v>0</v>
      </c>
      <c r="G11" s="133">
        <f>IF(SER_hh_tes_in!G11=0,0,11630*1000*SER_hh_tes_in!G11/SER_hh_num_in!G11)</f>
        <v>0</v>
      </c>
      <c r="H11" s="133">
        <f>IF(SER_hh_tes_in!H11=0,0,11630*1000*SER_hh_tes_in!H11/SER_hh_num_in!H11)</f>
        <v>0</v>
      </c>
      <c r="I11" s="133">
        <f>IF(SER_hh_tes_in!I11=0,0,11630*1000*SER_hh_tes_in!I11/SER_hh_num_in!I11)</f>
        <v>0</v>
      </c>
      <c r="J11" s="133">
        <f>IF(SER_hh_tes_in!J11=0,0,11630*1000*SER_hh_tes_in!J11/SER_hh_num_in!J11)</f>
        <v>0</v>
      </c>
      <c r="K11" s="133">
        <f>IF(SER_hh_tes_in!K11=0,0,11630*1000*SER_hh_tes_in!K11/SER_hh_num_in!K11)</f>
        <v>0</v>
      </c>
      <c r="L11" s="133">
        <f>IF(SER_hh_tes_in!L11=0,0,11630*1000*SER_hh_tes_in!L11/SER_hh_num_in!L11)</f>
        <v>0</v>
      </c>
      <c r="M11" s="133">
        <f>IF(SER_hh_tes_in!M11=0,0,11630*1000*SER_hh_tes_in!M11/SER_hh_num_in!M11)</f>
        <v>0</v>
      </c>
      <c r="N11" s="133">
        <f>IF(SER_hh_tes_in!N11=0,0,11630*1000*SER_hh_tes_in!N11/SER_hh_num_in!N11)</f>
        <v>0</v>
      </c>
      <c r="O11" s="133">
        <f>IF(SER_hh_tes_in!O11=0,0,11630*1000*SER_hh_tes_in!O11/SER_hh_num_in!O11)</f>
        <v>0</v>
      </c>
      <c r="P11" s="133">
        <f>IF(SER_hh_tes_in!P11=0,0,11630*1000*SER_hh_tes_in!P11/SER_hh_num_in!P11)</f>
        <v>0</v>
      </c>
      <c r="Q11" s="133">
        <f>IF(SER_hh_tes_in!Q11=0,0,11630*1000*SER_hh_tes_in!Q11/SER_hh_num_in!Q11)</f>
        <v>0</v>
      </c>
      <c r="R11" s="133">
        <f>IF(SER_hh_tes_in!R11=0,0,11630*1000*SER_hh_tes_in!R11/SER_hh_num_in!R11)</f>
        <v>0</v>
      </c>
      <c r="S11" s="133">
        <f>IF(SER_hh_tes_in!S11=0,0,11630*1000*SER_hh_tes_in!S11/SER_hh_num_in!S11)</f>
        <v>0</v>
      </c>
      <c r="T11" s="133">
        <f>IF(SER_hh_tes_in!T11=0,0,11630*1000*SER_hh_tes_in!T11/SER_hh_num_in!T11)</f>
        <v>0</v>
      </c>
      <c r="U11" s="133">
        <f>IF(SER_hh_tes_in!U11=0,0,11630*1000*SER_hh_tes_in!U11/SER_hh_num_in!U11)</f>
        <v>0</v>
      </c>
      <c r="V11" s="133">
        <f>IF(SER_hh_tes_in!V11=0,0,11630*1000*SER_hh_tes_in!V11/SER_hh_num_in!V11)</f>
        <v>0</v>
      </c>
      <c r="W11" s="133">
        <f>IF(SER_hh_tes_in!W11=0,0,11630*1000*SER_hh_tes_in!W11/SER_hh_num_in!W11)</f>
        <v>0</v>
      </c>
      <c r="DA11" s="157" t="s">
        <v>762</v>
      </c>
    </row>
    <row r="12" spans="1:105" ht="12" customHeight="1" x14ac:dyDescent="0.25">
      <c r="A12" s="132" t="s">
        <v>169</v>
      </c>
      <c r="B12" s="133"/>
      <c r="C12" s="133">
        <f>IF(SER_hh_tes_in!C12=0,0,11630*1000*SER_hh_tes_in!C12/SER_hh_num_in!C12)</f>
        <v>74875.597688111622</v>
      </c>
      <c r="D12" s="133">
        <f>IF(SER_hh_tes_in!D12=0,0,11630*1000*SER_hh_tes_in!D12/SER_hh_num_in!D12)</f>
        <v>75293.479777866363</v>
      </c>
      <c r="E12" s="133">
        <f>IF(SER_hh_tes_in!E12=0,0,11630*1000*SER_hh_tes_in!E12/SER_hh_num_in!E12)</f>
        <v>76759.137197173099</v>
      </c>
      <c r="F12" s="133">
        <f>IF(SER_hh_tes_in!F12=0,0,11630*1000*SER_hh_tes_in!F12/SER_hh_num_in!F12)</f>
        <v>91109.281051198835</v>
      </c>
      <c r="G12" s="133">
        <f>IF(SER_hh_tes_in!G12=0,0,11630*1000*SER_hh_tes_in!G12/SER_hh_num_in!G12)</f>
        <v>82400.476679106287</v>
      </c>
      <c r="H12" s="133">
        <f>IF(SER_hh_tes_in!H12=0,0,11630*1000*SER_hh_tes_in!H12/SER_hh_num_in!H12)</f>
        <v>92719.542711396978</v>
      </c>
      <c r="I12" s="133">
        <f>IF(SER_hh_tes_in!I12=0,0,11630*1000*SER_hh_tes_in!I12/SER_hh_num_in!I12)</f>
        <v>100178.12471929389</v>
      </c>
      <c r="J12" s="133">
        <f>IF(SER_hh_tes_in!J12=0,0,11630*1000*SER_hh_tes_in!J12/SER_hh_num_in!J12)</f>
        <v>0</v>
      </c>
      <c r="K12" s="133">
        <f>IF(SER_hh_tes_in!K12=0,0,11630*1000*SER_hh_tes_in!K12/SER_hh_num_in!K12)</f>
        <v>0</v>
      </c>
      <c r="L12" s="133">
        <f>IF(SER_hh_tes_in!L12=0,0,11630*1000*SER_hh_tes_in!L12/SER_hh_num_in!L12)</f>
        <v>88322.20209304223</v>
      </c>
      <c r="M12" s="133">
        <f>IF(SER_hh_tes_in!M12=0,0,11630*1000*SER_hh_tes_in!M12/SER_hh_num_in!M12)</f>
        <v>72695.109545960018</v>
      </c>
      <c r="N12" s="133">
        <f>IF(SER_hh_tes_in!N12=0,0,11630*1000*SER_hh_tes_in!N12/SER_hh_num_in!N12)</f>
        <v>67577.73746935642</v>
      </c>
      <c r="O12" s="133">
        <f>IF(SER_hh_tes_in!O12=0,0,11630*1000*SER_hh_tes_in!O12/SER_hh_num_in!O12)</f>
        <v>56753.373727805905</v>
      </c>
      <c r="P12" s="133">
        <f>IF(SER_hh_tes_in!P12=0,0,11630*1000*SER_hh_tes_in!P12/SER_hh_num_in!P12)</f>
        <v>67671.842240438273</v>
      </c>
      <c r="Q12" s="133">
        <f>IF(SER_hh_tes_in!Q12=0,0,11630*1000*SER_hh_tes_in!Q12/SER_hh_num_in!Q12)</f>
        <v>69053.370775224539</v>
      </c>
      <c r="R12" s="133">
        <f>IF(SER_hh_tes_in!R12=0,0,11630*1000*SER_hh_tes_in!R12/SER_hh_num_in!R12)</f>
        <v>60617.058012496993</v>
      </c>
      <c r="S12" s="133">
        <f>IF(SER_hh_tes_in!S12=0,0,11630*1000*SER_hh_tes_in!S12/SER_hh_num_in!S12)</f>
        <v>53755.681011791698</v>
      </c>
      <c r="T12" s="133">
        <f>IF(SER_hh_tes_in!T12=0,0,11630*1000*SER_hh_tes_in!T12/SER_hh_num_in!T12)</f>
        <v>54231.143072712628</v>
      </c>
      <c r="U12" s="133">
        <f>IF(SER_hh_tes_in!U12=0,0,11630*1000*SER_hh_tes_in!U12/SER_hh_num_in!U12)</f>
        <v>48806.674043812163</v>
      </c>
      <c r="V12" s="133">
        <f>IF(SER_hh_tes_in!V12=0,0,11630*1000*SER_hh_tes_in!V12/SER_hh_num_in!V12)</f>
        <v>48674.382730579549</v>
      </c>
      <c r="W12" s="133">
        <f>IF(SER_hh_tes_in!W12=0,0,11630*1000*SER_hh_tes_in!W12/SER_hh_num_in!W12)</f>
        <v>44293.522104921562</v>
      </c>
      <c r="DA12" s="157" t="s">
        <v>763</v>
      </c>
    </row>
    <row r="13" spans="1:105" ht="12" customHeight="1" x14ac:dyDescent="0.25">
      <c r="A13" s="132" t="s">
        <v>77</v>
      </c>
      <c r="B13" s="133"/>
      <c r="C13" s="133">
        <f>IF(SER_hh_tes_in!C13=0,0,11630*1000*SER_hh_tes_in!C13/SER_hh_num_in!C13)</f>
        <v>80601.488818724814</v>
      </c>
      <c r="D13" s="133">
        <f>IF(SER_hh_tes_in!D13=0,0,11630*1000*SER_hh_tes_in!D13/SER_hh_num_in!D13)</f>
        <v>76751.596034607603</v>
      </c>
      <c r="E13" s="133">
        <f>IF(SER_hh_tes_in!E13=0,0,11630*1000*SER_hh_tes_in!E13/SER_hh_num_in!E13)</f>
        <v>68747.081132276391</v>
      </c>
      <c r="F13" s="133">
        <f>IF(SER_hh_tes_in!F13=0,0,11630*1000*SER_hh_tes_in!F13/SER_hh_num_in!F13)</f>
        <v>34666.244858719489</v>
      </c>
      <c r="G13" s="133">
        <f>IF(SER_hh_tes_in!G13=0,0,11630*1000*SER_hh_tes_in!G13/SER_hh_num_in!G13)</f>
        <v>25958.162141510242</v>
      </c>
      <c r="H13" s="133">
        <f>IF(SER_hh_tes_in!H13=0,0,11630*1000*SER_hh_tes_in!H13/SER_hh_num_in!H13)</f>
        <v>92502.280462964962</v>
      </c>
      <c r="I13" s="133">
        <f>IF(SER_hh_tes_in!I13=0,0,11630*1000*SER_hh_tes_in!I13/SER_hh_num_in!I13)</f>
        <v>86130.077313626534</v>
      </c>
      <c r="J13" s="133">
        <f>IF(SER_hh_tes_in!J13=0,0,11630*1000*SER_hh_tes_in!J13/SER_hh_num_in!J13)</f>
        <v>87172.502032687538</v>
      </c>
      <c r="K13" s="133">
        <f>IF(SER_hh_tes_in!K13=0,0,11630*1000*SER_hh_tes_in!K13/SER_hh_num_in!K13)</f>
        <v>86502.39036039132</v>
      </c>
      <c r="L13" s="133">
        <f>IF(SER_hh_tes_in!L13=0,0,11630*1000*SER_hh_tes_in!L13/SER_hh_num_in!L13)</f>
        <v>78977.178036240439</v>
      </c>
      <c r="M13" s="133">
        <f>IF(SER_hh_tes_in!M13=0,0,11630*1000*SER_hh_tes_in!M13/SER_hh_num_in!M13)</f>
        <v>72141.5928116875</v>
      </c>
      <c r="N13" s="133">
        <f>IF(SER_hh_tes_in!N13=0,0,11630*1000*SER_hh_tes_in!N13/SER_hh_num_in!N13)</f>
        <v>71395.957372565099</v>
      </c>
      <c r="O13" s="133">
        <f>IF(SER_hh_tes_in!O13=0,0,11630*1000*SER_hh_tes_in!O13/SER_hh_num_in!O13)</f>
        <v>74767.720519769748</v>
      </c>
      <c r="P13" s="133">
        <f>IF(SER_hh_tes_in!P13=0,0,11630*1000*SER_hh_tes_in!P13/SER_hh_num_in!P13)</f>
        <v>61449.717777628408</v>
      </c>
      <c r="Q13" s="133">
        <f>IF(SER_hh_tes_in!Q13=0,0,11630*1000*SER_hh_tes_in!Q13/SER_hh_num_in!Q13)</f>
        <v>58225.740458064516</v>
      </c>
      <c r="R13" s="133">
        <f>IF(SER_hh_tes_in!R13=0,0,11630*1000*SER_hh_tes_in!R13/SER_hh_num_in!R13)</f>
        <v>52077.47760844275</v>
      </c>
      <c r="S13" s="133">
        <f>IF(SER_hh_tes_in!S13=0,0,11630*1000*SER_hh_tes_in!S13/SER_hh_num_in!S13)</f>
        <v>37716.856667039079</v>
      </c>
      <c r="T13" s="133">
        <f>IF(SER_hh_tes_in!T13=0,0,11630*1000*SER_hh_tes_in!T13/SER_hh_num_in!T13)</f>
        <v>55079.072788011807</v>
      </c>
      <c r="U13" s="133">
        <f>IF(SER_hh_tes_in!U13=0,0,11630*1000*SER_hh_tes_in!U13/SER_hh_num_in!U13)</f>
        <v>51121.548583714371</v>
      </c>
      <c r="V13" s="133">
        <f>IF(SER_hh_tes_in!V13=0,0,11630*1000*SER_hh_tes_in!V13/SER_hh_num_in!V13)</f>
        <v>43028.363284509869</v>
      </c>
      <c r="W13" s="133">
        <f>IF(SER_hh_tes_in!W13=0,0,11630*1000*SER_hh_tes_in!W13/SER_hh_num_in!W13)</f>
        <v>51889.219032226756</v>
      </c>
      <c r="DA13" s="157" t="s">
        <v>764</v>
      </c>
    </row>
    <row r="14" spans="1:105" ht="12" customHeight="1" x14ac:dyDescent="0.25">
      <c r="A14" s="60" t="s">
        <v>76</v>
      </c>
      <c r="B14" s="65"/>
      <c r="C14" s="65">
        <f>IF(SER_hh_tes_in!C14=0,0,11630*1000*SER_hh_tes_in!C14/SER_hh_num_in!C14)</f>
        <v>88478.968013213424</v>
      </c>
      <c r="D14" s="65">
        <f>IF(SER_hh_tes_in!D14=0,0,11630*1000*SER_hh_tes_in!D14/SER_hh_num_in!D14)</f>
        <v>22970.391245388451</v>
      </c>
      <c r="E14" s="65">
        <f>IF(SER_hh_tes_in!E14=0,0,11630*1000*SER_hh_tes_in!E14/SER_hh_num_in!E14)</f>
        <v>3165.7265364147424</v>
      </c>
      <c r="F14" s="65">
        <f>IF(SER_hh_tes_in!F14=0,0,11630*1000*SER_hh_tes_in!F14/SER_hh_num_in!F14)</f>
        <v>135240.40079351779</v>
      </c>
      <c r="G14" s="65">
        <f>IF(SER_hh_tes_in!G14=0,0,11630*1000*SER_hh_tes_in!G14/SER_hh_num_in!G14)</f>
        <v>106094.05370747519</v>
      </c>
      <c r="H14" s="65">
        <f>IF(SER_hh_tes_in!H14=0,0,11630*1000*SER_hh_tes_in!H14/SER_hh_num_in!H14)</f>
        <v>85989.877702126541</v>
      </c>
      <c r="I14" s="65">
        <f>IF(SER_hh_tes_in!I14=0,0,11630*1000*SER_hh_tes_in!I14/SER_hh_num_in!I14)</f>
        <v>81077.691873759279</v>
      </c>
      <c r="J14" s="65">
        <f>IF(SER_hh_tes_in!J14=0,0,11630*1000*SER_hh_tes_in!J14/SER_hh_num_in!J14)</f>
        <v>0</v>
      </c>
      <c r="K14" s="65">
        <f>IF(SER_hh_tes_in!K14=0,0,11630*1000*SER_hh_tes_in!K14/SER_hh_num_in!K14)</f>
        <v>0</v>
      </c>
      <c r="L14" s="65">
        <f>IF(SER_hh_tes_in!L14=0,0,11630*1000*SER_hh_tes_in!L14/SER_hh_num_in!L14)</f>
        <v>0</v>
      </c>
      <c r="M14" s="65">
        <f>IF(SER_hh_tes_in!M14=0,0,11630*1000*SER_hh_tes_in!M14/SER_hh_num_in!M14)</f>
        <v>0</v>
      </c>
      <c r="N14" s="65">
        <f>IF(SER_hh_tes_in!N14=0,0,11630*1000*SER_hh_tes_in!N14/SER_hh_num_in!N14)</f>
        <v>0</v>
      </c>
      <c r="O14" s="65">
        <f>IF(SER_hh_tes_in!O14=0,0,11630*1000*SER_hh_tes_in!O14/SER_hh_num_in!O14)</f>
        <v>0</v>
      </c>
      <c r="P14" s="65">
        <f>IF(SER_hh_tes_in!P14=0,0,11630*1000*SER_hh_tes_in!P14/SER_hh_num_in!P14)</f>
        <v>0</v>
      </c>
      <c r="Q14" s="65">
        <f>IF(SER_hh_tes_in!Q14=0,0,11630*1000*SER_hh_tes_in!Q14/SER_hh_num_in!Q14)</f>
        <v>0</v>
      </c>
      <c r="R14" s="65">
        <f>IF(SER_hh_tes_in!R14=0,0,11630*1000*SER_hh_tes_in!R14/SER_hh_num_in!R14)</f>
        <v>57558.230052607767</v>
      </c>
      <c r="S14" s="65">
        <f>IF(SER_hh_tes_in!S14=0,0,11630*1000*SER_hh_tes_in!S14/SER_hh_num_in!S14)</f>
        <v>55385.453910198186</v>
      </c>
      <c r="T14" s="65">
        <f>IF(SER_hh_tes_in!T14=0,0,11630*1000*SER_hh_tes_in!T14/SER_hh_num_in!T14)</f>
        <v>53040.37078663295</v>
      </c>
      <c r="U14" s="65">
        <f>IF(SER_hh_tes_in!U14=0,0,11630*1000*SER_hh_tes_in!U14/SER_hh_num_in!U14)</f>
        <v>54980.667165645413</v>
      </c>
      <c r="V14" s="65">
        <f>IF(SER_hh_tes_in!V14=0,0,11630*1000*SER_hh_tes_in!V14/SER_hh_num_in!V14)</f>
        <v>47322.22367498446</v>
      </c>
      <c r="W14" s="65">
        <f>IF(SER_hh_tes_in!W14=0,0,11630*1000*SER_hh_tes_in!W14/SER_hh_num_in!W14)</f>
        <v>45021.113149953584</v>
      </c>
      <c r="DA14" s="109" t="s">
        <v>765</v>
      </c>
    </row>
    <row r="15" spans="1:105" ht="12" customHeight="1" x14ac:dyDescent="0.25">
      <c r="A15" s="134" t="s">
        <v>80</v>
      </c>
      <c r="B15" s="135"/>
      <c r="C15" s="135">
        <f>IF(SER_hh_tes_in!C15=0,0,11630*1000*SER_hh_tes_in!C15/SER_hh_num_in!C15)</f>
        <v>1371.5323236781173</v>
      </c>
      <c r="D15" s="135">
        <f>IF(SER_hh_tes_in!D15=0,0,11630*1000*SER_hh_tes_in!D15/SER_hh_num_in!D15)</f>
        <v>1490.9619700779735</v>
      </c>
      <c r="E15" s="135">
        <f>IF(SER_hh_tes_in!E15=0,0,11630*1000*SER_hh_tes_in!E15/SER_hh_num_in!E15)</f>
        <v>1605.727945824382</v>
      </c>
      <c r="F15" s="135">
        <f>IF(SER_hh_tes_in!F15=0,0,11630*1000*SER_hh_tes_in!F15/SER_hh_num_in!F15)</f>
        <v>1670.6080446150693</v>
      </c>
      <c r="G15" s="135">
        <f>IF(SER_hh_tes_in!G15=0,0,11630*1000*SER_hh_tes_in!G15/SER_hh_num_in!G15)</f>
        <v>1504.6130797830513</v>
      </c>
      <c r="H15" s="135">
        <f>IF(SER_hh_tes_in!H15=0,0,11630*1000*SER_hh_tes_in!H15/SER_hh_num_in!H15)</f>
        <v>1436.9483472698339</v>
      </c>
      <c r="I15" s="135">
        <f>IF(SER_hh_tes_in!I15=0,0,11630*1000*SER_hh_tes_in!I15/SER_hh_num_in!I15)</f>
        <v>1293.758236914623</v>
      </c>
      <c r="J15" s="135">
        <f>IF(SER_hh_tes_in!J15=0,0,11630*1000*SER_hh_tes_in!J15/SER_hh_num_in!J15)</f>
        <v>1462.3108700285384</v>
      </c>
      <c r="K15" s="135">
        <f>IF(SER_hh_tes_in!K15=0,0,11630*1000*SER_hh_tes_in!K15/SER_hh_num_in!K15)</f>
        <v>1421.1367147978331</v>
      </c>
      <c r="L15" s="135">
        <f>IF(SER_hh_tes_in!L15=0,0,11630*1000*SER_hh_tes_in!L15/SER_hh_num_in!L15)</f>
        <v>1459.0024106522335</v>
      </c>
      <c r="M15" s="135">
        <f>IF(SER_hh_tes_in!M15=0,0,11630*1000*SER_hh_tes_in!M15/SER_hh_num_in!M15)</f>
        <v>1081.0080139927454</v>
      </c>
      <c r="N15" s="135">
        <f>IF(SER_hh_tes_in!N15=0,0,11630*1000*SER_hh_tes_in!N15/SER_hh_num_in!N15)</f>
        <v>1134.178583496496</v>
      </c>
      <c r="O15" s="135">
        <f>IF(SER_hh_tes_in!O15=0,0,11630*1000*SER_hh_tes_in!O15/SER_hh_num_in!O15)</f>
        <v>1193.0395305427148</v>
      </c>
      <c r="P15" s="135">
        <f>IF(SER_hh_tes_in!P15=0,0,11630*1000*SER_hh_tes_in!P15/SER_hh_num_in!P15)</f>
        <v>823.33280918157845</v>
      </c>
      <c r="Q15" s="135">
        <f>IF(SER_hh_tes_in!Q15=0,0,11630*1000*SER_hh_tes_in!Q15/SER_hh_num_in!Q15)</f>
        <v>971.97648897192175</v>
      </c>
      <c r="R15" s="135">
        <f>IF(SER_hh_tes_in!R15=0,0,11630*1000*SER_hh_tes_in!R15/SER_hh_num_in!R15)</f>
        <v>960.77856049513696</v>
      </c>
      <c r="S15" s="135">
        <f>IF(SER_hh_tes_in!S15=0,0,11630*1000*SER_hh_tes_in!S15/SER_hh_num_in!S15)</f>
        <v>916.34792896543263</v>
      </c>
      <c r="T15" s="135">
        <f>IF(SER_hh_tes_in!T15=0,0,11630*1000*SER_hh_tes_in!T15/SER_hh_num_in!T15)</f>
        <v>852.69885297427527</v>
      </c>
      <c r="U15" s="135">
        <f>IF(SER_hh_tes_in!U15=0,0,11630*1000*SER_hh_tes_in!U15/SER_hh_num_in!U15)</f>
        <v>772.81242235502452</v>
      </c>
      <c r="V15" s="135">
        <f>IF(SER_hh_tes_in!V15=0,0,11630*1000*SER_hh_tes_in!V15/SER_hh_num_in!V15)</f>
        <v>673.11668038151856</v>
      </c>
      <c r="W15" s="135">
        <f>IF(SER_hh_tes_in!W15=0,0,11630*1000*SER_hh_tes_in!W15/SER_hh_num_in!W15)</f>
        <v>665.29222417251231</v>
      </c>
      <c r="DA15" s="158" t="s">
        <v>766</v>
      </c>
    </row>
    <row r="16" spans="1:105" ht="12.95" customHeight="1" x14ac:dyDescent="0.25">
      <c r="A16" s="130" t="s">
        <v>74</v>
      </c>
      <c r="B16" s="131"/>
      <c r="C16" s="131">
        <f>IF(SER_hh_tes_in!C16=0,0,11630*1000*SER_hh_tes_in!C16/SER_hh_num_in!C16)</f>
        <v>28291.219084622397</v>
      </c>
      <c r="D16" s="131">
        <f>IF(SER_hh_tes_in!D16=0,0,11630*1000*SER_hh_tes_in!D16/SER_hh_num_in!D16)</f>
        <v>28065.304261839869</v>
      </c>
      <c r="E16" s="131">
        <f>IF(SER_hh_tes_in!E16=0,0,11630*1000*SER_hh_tes_in!E16/SER_hh_num_in!E16)</f>
        <v>35597.758763238468</v>
      </c>
      <c r="F16" s="131">
        <f>IF(SER_hh_tes_in!F16=0,0,11630*1000*SER_hh_tes_in!F16/SER_hh_num_in!F16)</f>
        <v>27409.739128806734</v>
      </c>
      <c r="G16" s="131">
        <f>IF(SER_hh_tes_in!G16=0,0,11630*1000*SER_hh_tes_in!G16/SER_hh_num_in!G16)</f>
        <v>27670.83698899336</v>
      </c>
      <c r="H16" s="131">
        <f>IF(SER_hh_tes_in!H16=0,0,11630*1000*SER_hh_tes_in!H16/SER_hh_num_in!H16)</f>
        <v>34392.046734286974</v>
      </c>
      <c r="I16" s="131">
        <f>IF(SER_hh_tes_in!I16=0,0,11630*1000*SER_hh_tes_in!I16/SER_hh_num_in!I16)</f>
        <v>26664.648172981633</v>
      </c>
      <c r="J16" s="131">
        <f>IF(SER_hh_tes_in!J16=0,0,11630*1000*SER_hh_tes_in!J16/SER_hh_num_in!J16)</f>
        <v>26609.266882340522</v>
      </c>
      <c r="K16" s="131">
        <f>IF(SER_hh_tes_in!K16=0,0,11630*1000*SER_hh_tes_in!K16/SER_hh_num_in!K16)</f>
        <v>26515.821923397121</v>
      </c>
      <c r="L16" s="131">
        <f>IF(SER_hh_tes_in!L16=0,0,11630*1000*SER_hh_tes_in!L16/SER_hh_num_in!L16)</f>
        <v>27910.938340356981</v>
      </c>
      <c r="M16" s="131">
        <f>IF(SER_hh_tes_in!M16=0,0,11630*1000*SER_hh_tes_in!M16/SER_hh_num_in!M16)</f>
        <v>25879.076308992971</v>
      </c>
      <c r="N16" s="131">
        <f>IF(SER_hh_tes_in!N16=0,0,11630*1000*SER_hh_tes_in!N16/SER_hh_num_in!N16)</f>
        <v>25778.232441609958</v>
      </c>
      <c r="O16" s="131">
        <f>IF(SER_hh_tes_in!O16=0,0,11630*1000*SER_hh_tes_in!O16/SER_hh_num_in!O16)</f>
        <v>25570.17950208133</v>
      </c>
      <c r="P16" s="131">
        <f>IF(SER_hh_tes_in!P16=0,0,11630*1000*SER_hh_tes_in!P16/SER_hh_num_in!P16)</f>
        <v>24190.781704199351</v>
      </c>
      <c r="Q16" s="131">
        <f>IF(SER_hh_tes_in!Q16=0,0,11630*1000*SER_hh_tes_in!Q16/SER_hh_num_in!Q16)</f>
        <v>26570.45040648551</v>
      </c>
      <c r="R16" s="131">
        <f>IF(SER_hh_tes_in!R16=0,0,11630*1000*SER_hh_tes_in!R16/SER_hh_num_in!R16)</f>
        <v>25091.189866555193</v>
      </c>
      <c r="S16" s="131">
        <f>IF(SER_hh_tes_in!S16=0,0,11630*1000*SER_hh_tes_in!S16/SER_hh_num_in!S16)</f>
        <v>23129.207670748041</v>
      </c>
      <c r="T16" s="131">
        <f>IF(SER_hh_tes_in!T16=0,0,11630*1000*SER_hh_tes_in!T16/SER_hh_num_in!T16)</f>
        <v>25601.971552981468</v>
      </c>
      <c r="U16" s="131">
        <f>IF(SER_hh_tes_in!U16=0,0,11630*1000*SER_hh_tes_in!U16/SER_hh_num_in!U16)</f>
        <v>23822.009005398206</v>
      </c>
      <c r="V16" s="131">
        <f>IF(SER_hh_tes_in!V16=0,0,11630*1000*SER_hh_tes_in!V16/SER_hh_num_in!V16)</f>
        <v>26179.353573586774</v>
      </c>
      <c r="W16" s="131">
        <f>IF(SER_hh_tes_in!W16=0,0,11630*1000*SER_hh_tes_in!W16/SER_hh_num_in!W16)</f>
        <v>18555.08313957091</v>
      </c>
      <c r="DA16" s="156" t="s">
        <v>767</v>
      </c>
    </row>
    <row r="17" spans="1:105" ht="12.95" customHeight="1" x14ac:dyDescent="0.25">
      <c r="A17" s="132" t="s">
        <v>73</v>
      </c>
      <c r="B17" s="133"/>
      <c r="C17" s="133">
        <f>IF(SER_hh_tes_in!C17=0,0,11630*1000*SER_hh_tes_in!C17/SER_hh_num_in!C17)</f>
        <v>28294.653968244147</v>
      </c>
      <c r="D17" s="133">
        <f>IF(SER_hh_tes_in!D17=0,0,11630*1000*SER_hh_tes_in!D17/SER_hh_num_in!D17)</f>
        <v>28085.050770215963</v>
      </c>
      <c r="E17" s="133">
        <f>IF(SER_hh_tes_in!E17=0,0,11630*1000*SER_hh_tes_in!E17/SER_hh_num_in!E17)</f>
        <v>35519.124995807972</v>
      </c>
      <c r="F17" s="133">
        <f>IF(SER_hh_tes_in!F17=0,0,11630*1000*SER_hh_tes_in!F17/SER_hh_num_in!F17)</f>
        <v>27531.645184740606</v>
      </c>
      <c r="G17" s="133">
        <f>IF(SER_hh_tes_in!G17=0,0,11630*1000*SER_hh_tes_in!G17/SER_hh_num_in!G17)</f>
        <v>27781.180242227569</v>
      </c>
      <c r="H17" s="133">
        <f>IF(SER_hh_tes_in!H17=0,0,11630*1000*SER_hh_tes_in!H17/SER_hh_num_in!H17)</f>
        <v>34458.425343630654</v>
      </c>
      <c r="I17" s="133">
        <f>IF(SER_hh_tes_in!I17=0,0,11630*1000*SER_hh_tes_in!I17/SER_hh_num_in!I17)</f>
        <v>26767.190237849591</v>
      </c>
      <c r="J17" s="133">
        <f>IF(SER_hh_tes_in!J17=0,0,11630*1000*SER_hh_tes_in!J17/SER_hh_num_in!J17)</f>
        <v>26705.523898686461</v>
      </c>
      <c r="K17" s="133">
        <f>IF(SER_hh_tes_in!K17=0,0,11630*1000*SER_hh_tes_in!K17/SER_hh_num_in!K17)</f>
        <v>26552.457900783127</v>
      </c>
      <c r="L17" s="133">
        <f>IF(SER_hh_tes_in!L17=0,0,11630*1000*SER_hh_tes_in!L17/SER_hh_num_in!L17)</f>
        <v>27887.333465760963</v>
      </c>
      <c r="M17" s="133">
        <f>IF(SER_hh_tes_in!M17=0,0,11630*1000*SER_hh_tes_in!M17/SER_hh_num_in!M17)</f>
        <v>25862.065063507122</v>
      </c>
      <c r="N17" s="133">
        <f>IF(SER_hh_tes_in!N17=0,0,11630*1000*SER_hh_tes_in!N17/SER_hh_num_in!N17)</f>
        <v>25757.461072463015</v>
      </c>
      <c r="O17" s="133">
        <f>IF(SER_hh_tes_in!O17=0,0,11630*1000*SER_hh_tes_in!O17/SER_hh_num_in!O17)</f>
        <v>25556.211623677027</v>
      </c>
      <c r="P17" s="133">
        <f>IF(SER_hh_tes_in!P17=0,0,11630*1000*SER_hh_tes_in!P17/SER_hh_num_in!P17)</f>
        <v>24254.311333904803</v>
      </c>
      <c r="Q17" s="133">
        <f>IF(SER_hh_tes_in!Q17=0,0,11630*1000*SER_hh_tes_in!Q17/SER_hh_num_in!Q17)</f>
        <v>26665.925100598812</v>
      </c>
      <c r="R17" s="133">
        <f>IF(SER_hh_tes_in!R17=0,0,11630*1000*SER_hh_tes_in!R17/SER_hh_num_in!R17)</f>
        <v>25214.855828987118</v>
      </c>
      <c r="S17" s="133">
        <f>IF(SER_hh_tes_in!S17=0,0,11630*1000*SER_hh_tes_in!S17/SER_hh_num_in!S17)</f>
        <v>23215.216751489366</v>
      </c>
      <c r="T17" s="133">
        <f>IF(SER_hh_tes_in!T17=0,0,11630*1000*SER_hh_tes_in!T17/SER_hh_num_in!T17)</f>
        <v>25761.954406934958</v>
      </c>
      <c r="U17" s="133">
        <f>IF(SER_hh_tes_in!U17=0,0,11630*1000*SER_hh_tes_in!U17/SER_hh_num_in!U17)</f>
        <v>24015.686235001231</v>
      </c>
      <c r="V17" s="133">
        <f>IF(SER_hh_tes_in!V17=0,0,11630*1000*SER_hh_tes_in!V17/SER_hh_num_in!V17)</f>
        <v>26282.174988560764</v>
      </c>
      <c r="W17" s="133">
        <f>IF(SER_hh_tes_in!W17=0,0,11630*1000*SER_hh_tes_in!W17/SER_hh_num_in!W17)</f>
        <v>18785.781491689449</v>
      </c>
      <c r="DA17" s="157" t="s">
        <v>768</v>
      </c>
    </row>
    <row r="18" spans="1:105" ht="12" customHeight="1" x14ac:dyDescent="0.25">
      <c r="A18" s="132" t="s">
        <v>72</v>
      </c>
      <c r="B18" s="133"/>
      <c r="C18" s="133">
        <f>IF(SER_hh_tes_in!C18=0,0,11630*1000*SER_hh_tes_in!C18/SER_hh_num_in!C18)</f>
        <v>28291.215191095249</v>
      </c>
      <c r="D18" s="133">
        <f>IF(SER_hh_tes_in!D18=0,0,11630*1000*SER_hh_tes_in!D18/SER_hh_num_in!D18)</f>
        <v>28065.279263922843</v>
      </c>
      <c r="E18" s="133">
        <f>IF(SER_hh_tes_in!E18=0,0,11630*1000*SER_hh_tes_in!E18/SER_hh_num_in!E18)</f>
        <v>35597.770141016394</v>
      </c>
      <c r="F18" s="133">
        <f>IF(SER_hh_tes_in!F18=0,0,11630*1000*SER_hh_tes_in!F18/SER_hh_num_in!F18)</f>
        <v>27409.394762448592</v>
      </c>
      <c r="G18" s="133">
        <f>IF(SER_hh_tes_in!G18=0,0,11630*1000*SER_hh_tes_in!G18/SER_hh_num_in!G18)</f>
        <v>27670.602941752582</v>
      </c>
      <c r="H18" s="133">
        <f>IF(SER_hh_tes_in!H18=0,0,11630*1000*SER_hh_tes_in!H18/SER_hh_num_in!H18)</f>
        <v>34391.984240260608</v>
      </c>
      <c r="I18" s="133">
        <f>IF(SER_hh_tes_in!I18=0,0,11630*1000*SER_hh_tes_in!I18/SER_hh_num_in!I18)</f>
        <v>26664.320686123559</v>
      </c>
      <c r="J18" s="133">
        <f>IF(SER_hh_tes_in!J18=0,0,11630*1000*SER_hh_tes_in!J18/SER_hh_num_in!J18)</f>
        <v>26608.928456721671</v>
      </c>
      <c r="K18" s="133">
        <f>IF(SER_hh_tes_in!K18=0,0,11630*1000*SER_hh_tes_in!K18/SER_hh_num_in!K18)</f>
        <v>26515.69525529051</v>
      </c>
      <c r="L18" s="133">
        <f>IF(SER_hh_tes_in!L18=0,0,11630*1000*SER_hh_tes_in!L18/SER_hh_num_in!L18)</f>
        <v>27910.977758370453</v>
      </c>
      <c r="M18" s="133">
        <f>IF(SER_hh_tes_in!M18=0,0,11630*1000*SER_hh_tes_in!M18/SER_hh_num_in!M18)</f>
        <v>25879.12620230058</v>
      </c>
      <c r="N18" s="133">
        <f>IF(SER_hh_tes_in!N18=0,0,11630*1000*SER_hh_tes_in!N18/SER_hh_num_in!N18)</f>
        <v>25778.29953063107</v>
      </c>
      <c r="O18" s="133">
        <f>IF(SER_hh_tes_in!O18=0,0,11630*1000*SER_hh_tes_in!O18/SER_hh_num_in!O18)</f>
        <v>25570.247053240233</v>
      </c>
      <c r="P18" s="133">
        <f>IF(SER_hh_tes_in!P18=0,0,11630*1000*SER_hh_tes_in!P18/SER_hh_num_in!P18)</f>
        <v>24190.252864512822</v>
      </c>
      <c r="Q18" s="133">
        <f>IF(SER_hh_tes_in!Q18=0,0,11630*1000*SER_hh_tes_in!Q18/SER_hh_num_in!Q18)</f>
        <v>26569.269824952211</v>
      </c>
      <c r="R18" s="133">
        <f>IF(SER_hh_tes_in!R18=0,0,11630*1000*SER_hh_tes_in!R18/SER_hh_num_in!R18)</f>
        <v>25090.135972629087</v>
      </c>
      <c r="S18" s="133">
        <f>IF(SER_hh_tes_in!S18=0,0,11630*1000*SER_hh_tes_in!S18/SER_hh_num_in!S18)</f>
        <v>23128.686288084922</v>
      </c>
      <c r="T18" s="133">
        <f>IF(SER_hh_tes_in!T18=0,0,11630*1000*SER_hh_tes_in!T18/SER_hh_num_in!T18)</f>
        <v>25600.328528475347</v>
      </c>
      <c r="U18" s="133">
        <f>IF(SER_hh_tes_in!U18=0,0,11630*1000*SER_hh_tes_in!U18/SER_hh_num_in!U18)</f>
        <v>23819.63432330684</v>
      </c>
      <c r="V18" s="133">
        <f>IF(SER_hh_tes_in!V18=0,0,11630*1000*SER_hh_tes_in!V18/SER_hh_num_in!V18)</f>
        <v>26177.839877365222</v>
      </c>
      <c r="W18" s="133">
        <f>IF(SER_hh_tes_in!W18=0,0,11630*1000*SER_hh_tes_in!W18/SER_hh_num_in!W18)</f>
        <v>18554.68117364285</v>
      </c>
      <c r="DA18" s="157" t="s">
        <v>769</v>
      </c>
    </row>
    <row r="19" spans="1:105" ht="12.95" customHeight="1" x14ac:dyDescent="0.25">
      <c r="A19" s="130" t="s">
        <v>35</v>
      </c>
      <c r="B19" s="131"/>
      <c r="C19" s="131">
        <f>IF(SER_hh_tes_in!C19=0,0,11630*1000*SER_hh_tes_in!C19/SER_hh_num_in!C19)</f>
        <v>12565.052535326471</v>
      </c>
      <c r="D19" s="131">
        <f>IF(SER_hh_tes_in!D19=0,0,11630*1000*SER_hh_tes_in!D19/SER_hh_num_in!D19)</f>
        <v>12606.925360109302</v>
      </c>
      <c r="E19" s="131">
        <f>IF(SER_hh_tes_in!E19=0,0,11630*1000*SER_hh_tes_in!E19/SER_hh_num_in!E19)</f>
        <v>12597.455962235535</v>
      </c>
      <c r="F19" s="131">
        <f>IF(SER_hh_tes_in!F19=0,0,11630*1000*SER_hh_tes_in!F19/SER_hh_num_in!F19)</f>
        <v>12329.963172111271</v>
      </c>
      <c r="G19" s="131">
        <f>IF(SER_hh_tes_in!G19=0,0,11630*1000*SER_hh_tes_in!G19/SER_hh_num_in!G19)</f>
        <v>12265.241598678747</v>
      </c>
      <c r="H19" s="131">
        <f>IF(SER_hh_tes_in!H19=0,0,11630*1000*SER_hh_tes_in!H19/SER_hh_num_in!H19)</f>
        <v>12199.906001951442</v>
      </c>
      <c r="I19" s="131">
        <f>IF(SER_hh_tes_in!I19=0,0,11630*1000*SER_hh_tes_in!I19/SER_hh_num_in!I19)</f>
        <v>12053.84825812449</v>
      </c>
      <c r="J19" s="131">
        <f>IF(SER_hh_tes_in!J19=0,0,11630*1000*SER_hh_tes_in!J19/SER_hh_num_in!J19)</f>
        <v>12023.567254138095</v>
      </c>
      <c r="K19" s="131">
        <f>IF(SER_hh_tes_in!K19=0,0,11630*1000*SER_hh_tes_in!K19/SER_hh_num_in!K19)</f>
        <v>12212.075974670403</v>
      </c>
      <c r="L19" s="131">
        <f>IF(SER_hh_tes_in!L19=0,0,11630*1000*SER_hh_tes_in!L19/SER_hh_num_in!L19)</f>
        <v>12116.751051527624</v>
      </c>
      <c r="M19" s="131">
        <f>IF(SER_hh_tes_in!M19=0,0,11630*1000*SER_hh_tes_in!M19/SER_hh_num_in!M19)</f>
        <v>12152.25382381652</v>
      </c>
      <c r="N19" s="131">
        <f>IF(SER_hh_tes_in!N19=0,0,11630*1000*SER_hh_tes_in!N19/SER_hh_num_in!N19)</f>
        <v>12331.258532713786</v>
      </c>
      <c r="O19" s="131">
        <f>IF(SER_hh_tes_in!O19=0,0,11630*1000*SER_hh_tes_in!O19/SER_hh_num_in!O19)</f>
        <v>12478.178782198034</v>
      </c>
      <c r="P19" s="131">
        <f>IF(SER_hh_tes_in!P19=0,0,11630*1000*SER_hh_tes_in!P19/SER_hh_num_in!P19)</f>
        <v>12504.739181647632</v>
      </c>
      <c r="Q19" s="131">
        <f>IF(SER_hh_tes_in!Q19=0,0,11630*1000*SER_hh_tes_in!Q19/SER_hh_num_in!Q19)</f>
        <v>12500.430362449848</v>
      </c>
      <c r="R19" s="131">
        <f>IF(SER_hh_tes_in!R19=0,0,11630*1000*SER_hh_tes_in!R19/SER_hh_num_in!R19)</f>
        <v>12438.868803917394</v>
      </c>
      <c r="S19" s="131">
        <f>IF(SER_hh_tes_in!S19=0,0,11630*1000*SER_hh_tes_in!S19/SER_hh_num_in!S19)</f>
        <v>12409.074919458917</v>
      </c>
      <c r="T19" s="131">
        <f>IF(SER_hh_tes_in!T19=0,0,11630*1000*SER_hh_tes_in!T19/SER_hh_num_in!T19)</f>
        <v>12301.060758829051</v>
      </c>
      <c r="U19" s="131">
        <f>IF(SER_hh_tes_in!U19=0,0,11630*1000*SER_hh_tes_in!U19/SER_hh_num_in!U19)</f>
        <v>12175.624218465065</v>
      </c>
      <c r="V19" s="131">
        <f>IF(SER_hh_tes_in!V19=0,0,11630*1000*SER_hh_tes_in!V19/SER_hh_num_in!V19)</f>
        <v>11548.136862532943</v>
      </c>
      <c r="W19" s="131">
        <f>IF(SER_hh_tes_in!W19=0,0,11630*1000*SER_hh_tes_in!W19/SER_hh_num_in!W19)</f>
        <v>12085.145702371332</v>
      </c>
      <c r="DA19" s="156" t="s">
        <v>770</v>
      </c>
    </row>
    <row r="20" spans="1:105" ht="12" customHeight="1" x14ac:dyDescent="0.25">
      <c r="A20" s="132" t="s">
        <v>29</v>
      </c>
      <c r="B20" s="133"/>
      <c r="C20" s="133">
        <f>IF(SER_hh_tes_in!C20=0,0,11630*1000*SER_hh_tes_in!C20/SER_hh_num_in!C20)</f>
        <v>0</v>
      </c>
      <c r="D20" s="133">
        <f>IF(SER_hh_tes_in!D20=0,0,11630*1000*SER_hh_tes_in!D20/SER_hh_num_in!D20)</f>
        <v>0</v>
      </c>
      <c r="E20" s="133">
        <f>IF(SER_hh_tes_in!E20=0,0,11630*1000*SER_hh_tes_in!E20/SER_hh_num_in!E20)</f>
        <v>0</v>
      </c>
      <c r="F20" s="133">
        <f>IF(SER_hh_tes_in!F20=0,0,11630*1000*SER_hh_tes_in!F20/SER_hh_num_in!F20)</f>
        <v>0</v>
      </c>
      <c r="G20" s="133">
        <f>IF(SER_hh_tes_in!G20=0,0,11630*1000*SER_hh_tes_in!G20/SER_hh_num_in!G20)</f>
        <v>0</v>
      </c>
      <c r="H20" s="133">
        <f>IF(SER_hh_tes_in!H20=0,0,11630*1000*SER_hh_tes_in!H20/SER_hh_num_in!H20)</f>
        <v>0</v>
      </c>
      <c r="I20" s="133">
        <f>IF(SER_hh_tes_in!I20=0,0,11630*1000*SER_hh_tes_in!I20/SER_hh_num_in!I20)</f>
        <v>0</v>
      </c>
      <c r="J20" s="133">
        <f>IF(SER_hh_tes_in!J20=0,0,11630*1000*SER_hh_tes_in!J20/SER_hh_num_in!J20)</f>
        <v>0</v>
      </c>
      <c r="K20" s="133">
        <f>IF(SER_hh_tes_in!K20=0,0,11630*1000*SER_hh_tes_in!K20/SER_hh_num_in!K20)</f>
        <v>0</v>
      </c>
      <c r="L20" s="133">
        <f>IF(SER_hh_tes_in!L20=0,0,11630*1000*SER_hh_tes_in!L20/SER_hh_num_in!L20)</f>
        <v>0</v>
      </c>
      <c r="M20" s="133">
        <f>IF(SER_hh_tes_in!M20=0,0,11630*1000*SER_hh_tes_in!M20/SER_hh_num_in!M20)</f>
        <v>0</v>
      </c>
      <c r="N20" s="133">
        <f>IF(SER_hh_tes_in!N20=0,0,11630*1000*SER_hh_tes_in!N20/SER_hh_num_in!N20)</f>
        <v>0</v>
      </c>
      <c r="O20" s="133">
        <f>IF(SER_hh_tes_in!O20=0,0,11630*1000*SER_hh_tes_in!O20/SER_hh_num_in!O20)</f>
        <v>0</v>
      </c>
      <c r="P20" s="133">
        <f>IF(SER_hh_tes_in!P20=0,0,11630*1000*SER_hh_tes_in!P20/SER_hh_num_in!P20)</f>
        <v>0</v>
      </c>
      <c r="Q20" s="133">
        <f>IF(SER_hh_tes_in!Q20=0,0,11630*1000*SER_hh_tes_in!Q20/SER_hh_num_in!Q20)</f>
        <v>0</v>
      </c>
      <c r="R20" s="133">
        <f>IF(SER_hh_tes_in!R20=0,0,11630*1000*SER_hh_tes_in!R20/SER_hh_num_in!R20)</f>
        <v>0</v>
      </c>
      <c r="S20" s="133">
        <f>IF(SER_hh_tes_in!S20=0,0,11630*1000*SER_hh_tes_in!S20/SER_hh_num_in!S20)</f>
        <v>0</v>
      </c>
      <c r="T20" s="133">
        <f>IF(SER_hh_tes_in!T20=0,0,11630*1000*SER_hh_tes_in!T20/SER_hh_num_in!T20)</f>
        <v>0</v>
      </c>
      <c r="U20" s="133">
        <f>IF(SER_hh_tes_in!U20=0,0,11630*1000*SER_hh_tes_in!U20/SER_hh_num_in!U20)</f>
        <v>0</v>
      </c>
      <c r="V20" s="133">
        <f>IF(SER_hh_tes_in!V20=0,0,11630*1000*SER_hh_tes_in!V20/SER_hh_num_in!V20)</f>
        <v>0</v>
      </c>
      <c r="W20" s="133">
        <f>IF(SER_hh_tes_in!W20=0,0,11630*1000*SER_hh_tes_in!W20/SER_hh_num_in!W20)</f>
        <v>0</v>
      </c>
      <c r="DA20" s="157" t="s">
        <v>771</v>
      </c>
    </row>
    <row r="21" spans="1:105" s="2" customFormat="1" ht="12" customHeight="1" x14ac:dyDescent="0.25">
      <c r="A21" s="132" t="s">
        <v>52</v>
      </c>
      <c r="B21" s="133"/>
      <c r="C21" s="133">
        <f>IF(SER_hh_tes_in!C21=0,0,11630*1000*SER_hh_tes_in!C21/SER_hh_num_in!C21)</f>
        <v>12646.063891510126</v>
      </c>
      <c r="D21" s="133">
        <f>IF(SER_hh_tes_in!D21=0,0,11630*1000*SER_hh_tes_in!D21/SER_hh_num_in!D21)</f>
        <v>12687.794000358614</v>
      </c>
      <c r="E21" s="133">
        <f>IF(SER_hh_tes_in!E21=0,0,11630*1000*SER_hh_tes_in!E21/SER_hh_num_in!E21)</f>
        <v>12582.75327212095</v>
      </c>
      <c r="F21" s="133">
        <f>IF(SER_hh_tes_in!F21=0,0,11630*1000*SER_hh_tes_in!F21/SER_hh_num_in!F21)</f>
        <v>0</v>
      </c>
      <c r="G21" s="133">
        <f>IF(SER_hh_tes_in!G21=0,0,11630*1000*SER_hh_tes_in!G21/SER_hh_num_in!G21)</f>
        <v>0</v>
      </c>
      <c r="H21" s="133">
        <f>IF(SER_hh_tes_in!H21=0,0,11630*1000*SER_hh_tes_in!H21/SER_hh_num_in!H21)</f>
        <v>0</v>
      </c>
      <c r="I21" s="133">
        <f>IF(SER_hh_tes_in!I21=0,0,11630*1000*SER_hh_tes_in!I21/SER_hh_num_in!I21)</f>
        <v>0</v>
      </c>
      <c r="J21" s="133">
        <f>IF(SER_hh_tes_in!J21=0,0,11630*1000*SER_hh_tes_in!J21/SER_hh_num_in!J21)</f>
        <v>0</v>
      </c>
      <c r="K21" s="133">
        <f>IF(SER_hh_tes_in!K21=0,0,11630*1000*SER_hh_tes_in!K21/SER_hh_num_in!K21)</f>
        <v>0</v>
      </c>
      <c r="L21" s="133">
        <f>IF(SER_hh_tes_in!L21=0,0,11630*1000*SER_hh_tes_in!L21/SER_hh_num_in!L21)</f>
        <v>10854.884534357287</v>
      </c>
      <c r="M21" s="133">
        <f>IF(SER_hh_tes_in!M21=0,0,11630*1000*SER_hh_tes_in!M21/SER_hh_num_in!M21)</f>
        <v>11486.564568737147</v>
      </c>
      <c r="N21" s="133">
        <f>IF(SER_hh_tes_in!N21=0,0,11630*1000*SER_hh_tes_in!N21/SER_hh_num_in!N21)</f>
        <v>12650.99164903068</v>
      </c>
      <c r="O21" s="133">
        <f>IF(SER_hh_tes_in!O21=0,0,11630*1000*SER_hh_tes_in!O21/SER_hh_num_in!O21)</f>
        <v>12805.109781805515</v>
      </c>
      <c r="P21" s="133">
        <f>IF(SER_hh_tes_in!P21=0,0,11630*1000*SER_hh_tes_in!P21/SER_hh_num_in!P21)</f>
        <v>11764.509592718421</v>
      </c>
      <c r="Q21" s="133">
        <f>IF(SER_hh_tes_in!Q21=0,0,11630*1000*SER_hh_tes_in!Q21/SER_hh_num_in!Q21)</f>
        <v>12152.479986006132</v>
      </c>
      <c r="R21" s="133">
        <f>IF(SER_hh_tes_in!R21=0,0,11630*1000*SER_hh_tes_in!R21/SER_hh_num_in!R21)</f>
        <v>11831.011531243423</v>
      </c>
      <c r="S21" s="133">
        <f>IF(SER_hh_tes_in!S21=0,0,11630*1000*SER_hh_tes_in!S21/SER_hh_num_in!S21)</f>
        <v>12401.944250219207</v>
      </c>
      <c r="T21" s="133">
        <f>IF(SER_hh_tes_in!T21=0,0,11630*1000*SER_hh_tes_in!T21/SER_hh_num_in!T21)</f>
        <v>12506.331646598257</v>
      </c>
      <c r="U21" s="133">
        <f>IF(SER_hh_tes_in!U21=0,0,11630*1000*SER_hh_tes_in!U21/SER_hh_num_in!U21)</f>
        <v>12592.966129042446</v>
      </c>
      <c r="V21" s="133">
        <f>IF(SER_hh_tes_in!V21=0,0,11630*1000*SER_hh_tes_in!V21/SER_hh_num_in!V21)</f>
        <v>11011.699077936337</v>
      </c>
      <c r="W21" s="133">
        <f>IF(SER_hh_tes_in!W21=0,0,11630*1000*SER_hh_tes_in!W21/SER_hh_num_in!W21)</f>
        <v>12333.221076625228</v>
      </c>
      <c r="DA21" s="157" t="s">
        <v>772</v>
      </c>
    </row>
    <row r="22" spans="1:105" ht="12" customHeight="1" x14ac:dyDescent="0.25">
      <c r="A22" s="132" t="s">
        <v>168</v>
      </c>
      <c r="B22" s="133"/>
      <c r="C22" s="133">
        <f>IF(SER_hh_tes_in!C22=0,0,11630*1000*SER_hh_tes_in!C22/SER_hh_num_in!C22)</f>
        <v>12571.230561210054</v>
      </c>
      <c r="D22" s="133">
        <f>IF(SER_hh_tes_in!D22=0,0,11630*1000*SER_hh_tes_in!D22/SER_hh_num_in!D22)</f>
        <v>12553.740399127379</v>
      </c>
      <c r="E22" s="133">
        <f>IF(SER_hh_tes_in!E22=0,0,11630*1000*SER_hh_tes_in!E22/SER_hh_num_in!E22)</f>
        <v>12445.061325954122</v>
      </c>
      <c r="F22" s="133">
        <f>IF(SER_hh_tes_in!F22=0,0,11630*1000*SER_hh_tes_in!F22/SER_hh_num_in!F22)</f>
        <v>12412.219868986864</v>
      </c>
      <c r="G22" s="133">
        <f>IF(SER_hh_tes_in!G22=0,0,11630*1000*SER_hh_tes_in!G22/SER_hh_num_in!G22)</f>
        <v>12243.684706169988</v>
      </c>
      <c r="H22" s="133">
        <f>IF(SER_hh_tes_in!H22=0,0,11630*1000*SER_hh_tes_in!H22/SER_hh_num_in!H22)</f>
        <v>12188.804610604051</v>
      </c>
      <c r="I22" s="133">
        <f>IF(SER_hh_tes_in!I22=0,0,11630*1000*SER_hh_tes_in!I22/SER_hh_num_in!I22)</f>
        <v>12069.170203074034</v>
      </c>
      <c r="J22" s="133">
        <f>IF(SER_hh_tes_in!J22=0,0,11630*1000*SER_hh_tes_in!J22/SER_hh_num_in!J22)</f>
        <v>11812.656555885958</v>
      </c>
      <c r="K22" s="133">
        <f>IF(SER_hh_tes_in!K22=0,0,11630*1000*SER_hh_tes_in!K22/SER_hh_num_in!K22)</f>
        <v>9768.2698203587952</v>
      </c>
      <c r="L22" s="133">
        <f>IF(SER_hh_tes_in!L22=0,0,11630*1000*SER_hh_tes_in!L22/SER_hh_num_in!L22)</f>
        <v>12072.512405844323</v>
      </c>
      <c r="M22" s="133">
        <f>IF(SER_hh_tes_in!M22=0,0,11630*1000*SER_hh_tes_in!M22/SER_hh_num_in!M22)</f>
        <v>12236.826588815054</v>
      </c>
      <c r="N22" s="133">
        <f>IF(SER_hh_tes_in!N22=0,0,11630*1000*SER_hh_tes_in!N22/SER_hh_num_in!N22)</f>
        <v>12301.041688045372</v>
      </c>
      <c r="O22" s="133">
        <f>IF(SER_hh_tes_in!O22=0,0,11630*1000*SER_hh_tes_in!O22/SER_hh_num_in!O22)</f>
        <v>12433.168509305107</v>
      </c>
      <c r="P22" s="133">
        <f>IF(SER_hh_tes_in!P22=0,0,11630*1000*SER_hh_tes_in!P22/SER_hh_num_in!P22)</f>
        <v>12505.462750624059</v>
      </c>
      <c r="Q22" s="133">
        <f>IF(SER_hh_tes_in!Q22=0,0,11630*1000*SER_hh_tes_in!Q22/SER_hh_num_in!Q22)</f>
        <v>12593.108182345264</v>
      </c>
      <c r="R22" s="133">
        <f>IF(SER_hh_tes_in!R22=0,0,11630*1000*SER_hh_tes_in!R22/SER_hh_num_in!R22)</f>
        <v>12420.358434619195</v>
      </c>
      <c r="S22" s="133">
        <f>IF(SER_hh_tes_in!S22=0,0,11630*1000*SER_hh_tes_in!S22/SER_hh_num_in!S22)</f>
        <v>12467.761296995241</v>
      </c>
      <c r="T22" s="133">
        <f>IF(SER_hh_tes_in!T22=0,0,11630*1000*SER_hh_tes_in!T22/SER_hh_num_in!T22)</f>
        <v>12342.918858543884</v>
      </c>
      <c r="U22" s="133">
        <f>IF(SER_hh_tes_in!U22=0,0,11630*1000*SER_hh_tes_in!U22/SER_hh_num_in!U22)</f>
        <v>12213.410379750576</v>
      </c>
      <c r="V22" s="133">
        <f>IF(SER_hh_tes_in!V22=0,0,11630*1000*SER_hh_tes_in!V22/SER_hh_num_in!V22)</f>
        <v>11185.738925533067</v>
      </c>
      <c r="W22" s="133">
        <f>IF(SER_hh_tes_in!W22=0,0,11630*1000*SER_hh_tes_in!W22/SER_hh_num_in!W22)</f>
        <v>12234.415754828975</v>
      </c>
      <c r="DA22" s="157" t="s">
        <v>773</v>
      </c>
    </row>
    <row r="23" spans="1:105" ht="12" customHeight="1" x14ac:dyDescent="0.25">
      <c r="A23" s="132" t="s">
        <v>153</v>
      </c>
      <c r="B23" s="133"/>
      <c r="C23" s="133">
        <f>IF(SER_hh_tes_in!C23=0,0,11630*1000*SER_hh_tes_in!C23/SER_hh_num_in!C23)</f>
        <v>12667.021074497927</v>
      </c>
      <c r="D23" s="133">
        <f>IF(SER_hh_tes_in!D23=0,0,11630*1000*SER_hh_tes_in!D23/SER_hh_num_in!D23)</f>
        <v>12460.33301373179</v>
      </c>
      <c r="E23" s="133">
        <f>IF(SER_hh_tes_in!E23=0,0,11630*1000*SER_hh_tes_in!E23/SER_hh_num_in!E23)</f>
        <v>12438.371015916497</v>
      </c>
      <c r="F23" s="133">
        <f>IF(SER_hh_tes_in!F23=0,0,11630*1000*SER_hh_tes_in!F23/SER_hh_num_in!F23)</f>
        <v>12357.761652196235</v>
      </c>
      <c r="G23" s="133">
        <f>IF(SER_hh_tes_in!G23=0,0,11630*1000*SER_hh_tes_in!G23/SER_hh_num_in!G23)</f>
        <v>12291.141457754198</v>
      </c>
      <c r="H23" s="133">
        <f>IF(SER_hh_tes_in!H23=0,0,11630*1000*SER_hh_tes_in!H23/SER_hh_num_in!H23)</f>
        <v>12104.386585483879</v>
      </c>
      <c r="I23" s="133">
        <f>IF(SER_hh_tes_in!I23=0,0,11630*1000*SER_hh_tes_in!I23/SER_hh_num_in!I23)</f>
        <v>11917.371622552933</v>
      </c>
      <c r="J23" s="133">
        <f>IF(SER_hh_tes_in!J23=0,0,11630*1000*SER_hh_tes_in!J23/SER_hh_num_in!J23)</f>
        <v>11871.427742371148</v>
      </c>
      <c r="K23" s="133">
        <f>IF(SER_hh_tes_in!K23=0,0,11630*1000*SER_hh_tes_in!K23/SER_hh_num_in!K23)</f>
        <v>9602.5263576080815</v>
      </c>
      <c r="L23" s="133">
        <f>IF(SER_hh_tes_in!L23=0,0,11630*1000*SER_hh_tes_in!L23/SER_hh_num_in!L23)</f>
        <v>12096.631824786342</v>
      </c>
      <c r="M23" s="133">
        <f>IF(SER_hh_tes_in!M23=0,0,11630*1000*SER_hh_tes_in!M23/SER_hh_num_in!M23)</f>
        <v>12132.43009962044</v>
      </c>
      <c r="N23" s="133">
        <f>IF(SER_hh_tes_in!N23=0,0,11630*1000*SER_hh_tes_in!N23/SER_hh_num_in!N23)</f>
        <v>12363.082515878988</v>
      </c>
      <c r="O23" s="133">
        <f>IF(SER_hh_tes_in!O23=0,0,11630*1000*SER_hh_tes_in!O23/SER_hh_num_in!O23)</f>
        <v>12495.135449976278</v>
      </c>
      <c r="P23" s="133">
        <f>IF(SER_hh_tes_in!P23=0,0,11630*1000*SER_hh_tes_in!P23/SER_hh_num_in!P23)</f>
        <v>12519.044809902029</v>
      </c>
      <c r="Q23" s="133">
        <f>IF(SER_hh_tes_in!Q23=0,0,11630*1000*SER_hh_tes_in!Q23/SER_hh_num_in!Q23)</f>
        <v>12496.941312479872</v>
      </c>
      <c r="R23" s="133">
        <f>IF(SER_hh_tes_in!R23=0,0,11630*1000*SER_hh_tes_in!R23/SER_hh_num_in!R23)</f>
        <v>12293.055370093254</v>
      </c>
      <c r="S23" s="133">
        <f>IF(SER_hh_tes_in!S23=0,0,11630*1000*SER_hh_tes_in!S23/SER_hh_num_in!S23)</f>
        <v>12315.079700171156</v>
      </c>
      <c r="T23" s="133">
        <f>IF(SER_hh_tes_in!T23=0,0,11630*1000*SER_hh_tes_in!T23/SER_hh_num_in!T23)</f>
        <v>12179.335568434471</v>
      </c>
      <c r="U23" s="133">
        <f>IF(SER_hh_tes_in!U23=0,0,11630*1000*SER_hh_tes_in!U23/SER_hh_num_in!U23)</f>
        <v>12126.097654607627</v>
      </c>
      <c r="V23" s="133">
        <f>IF(SER_hh_tes_in!V23=0,0,11630*1000*SER_hh_tes_in!V23/SER_hh_num_in!V23)</f>
        <v>11528.002557009308</v>
      </c>
      <c r="W23" s="133">
        <f>IF(SER_hh_tes_in!W23=0,0,11630*1000*SER_hh_tes_in!W23/SER_hh_num_in!W23)</f>
        <v>12071.223145354355</v>
      </c>
      <c r="DA23" s="157" t="s">
        <v>774</v>
      </c>
    </row>
    <row r="24" spans="1:105" ht="12" customHeight="1" x14ac:dyDescent="0.25">
      <c r="A24" s="132" t="s">
        <v>128</v>
      </c>
      <c r="B24" s="133"/>
      <c r="C24" s="133">
        <f>IF(SER_hh_tes_in!C24=0,0,11630*1000*SER_hh_tes_in!C24/SER_hh_num_in!C24)</f>
        <v>0</v>
      </c>
      <c r="D24" s="133">
        <f>IF(SER_hh_tes_in!D24=0,0,11630*1000*SER_hh_tes_in!D24/SER_hh_num_in!D24)</f>
        <v>0</v>
      </c>
      <c r="E24" s="133">
        <f>IF(SER_hh_tes_in!E24=0,0,11630*1000*SER_hh_tes_in!E24/SER_hh_num_in!E24)</f>
        <v>0</v>
      </c>
      <c r="F24" s="133">
        <f>IF(SER_hh_tes_in!F24=0,0,11630*1000*SER_hh_tes_in!F24/SER_hh_num_in!F24)</f>
        <v>0</v>
      </c>
      <c r="G24" s="133">
        <f>IF(SER_hh_tes_in!G24=0,0,11630*1000*SER_hh_tes_in!G24/SER_hh_num_in!G24)</f>
        <v>0</v>
      </c>
      <c r="H24" s="133">
        <f>IF(SER_hh_tes_in!H24=0,0,11630*1000*SER_hh_tes_in!H24/SER_hh_num_in!H24)</f>
        <v>0</v>
      </c>
      <c r="I24" s="133">
        <f>IF(SER_hh_tes_in!I24=0,0,11630*1000*SER_hh_tes_in!I24/SER_hh_num_in!I24)</f>
        <v>0</v>
      </c>
      <c r="J24" s="133">
        <f>IF(SER_hh_tes_in!J24=0,0,11630*1000*SER_hh_tes_in!J24/SER_hh_num_in!J24)</f>
        <v>0</v>
      </c>
      <c r="K24" s="133">
        <f>IF(SER_hh_tes_in!K24=0,0,11630*1000*SER_hh_tes_in!K24/SER_hh_num_in!K24)</f>
        <v>0</v>
      </c>
      <c r="L24" s="133">
        <f>IF(SER_hh_tes_in!L24=0,0,11630*1000*SER_hh_tes_in!L24/SER_hh_num_in!L24)</f>
        <v>0</v>
      </c>
      <c r="M24" s="133">
        <f>IF(SER_hh_tes_in!M24=0,0,11630*1000*SER_hh_tes_in!M24/SER_hh_num_in!M24)</f>
        <v>0</v>
      </c>
      <c r="N24" s="133">
        <f>IF(SER_hh_tes_in!N24=0,0,11630*1000*SER_hh_tes_in!N24/SER_hh_num_in!N24)</f>
        <v>0</v>
      </c>
      <c r="O24" s="133">
        <f>IF(SER_hh_tes_in!O24=0,0,11630*1000*SER_hh_tes_in!O24/SER_hh_num_in!O24)</f>
        <v>0</v>
      </c>
      <c r="P24" s="133">
        <f>IF(SER_hh_tes_in!P24=0,0,11630*1000*SER_hh_tes_in!P24/SER_hh_num_in!P24)</f>
        <v>0</v>
      </c>
      <c r="Q24" s="133">
        <f>IF(SER_hh_tes_in!Q24=0,0,11630*1000*SER_hh_tes_in!Q24/SER_hh_num_in!Q24)</f>
        <v>0</v>
      </c>
      <c r="R24" s="133">
        <f>IF(SER_hh_tes_in!R24=0,0,11630*1000*SER_hh_tes_in!R24/SER_hh_num_in!R24)</f>
        <v>0</v>
      </c>
      <c r="S24" s="133">
        <f>IF(SER_hh_tes_in!S24=0,0,11630*1000*SER_hh_tes_in!S24/SER_hh_num_in!S24)</f>
        <v>0</v>
      </c>
      <c r="T24" s="133">
        <f>IF(SER_hh_tes_in!T24=0,0,11630*1000*SER_hh_tes_in!T24/SER_hh_num_in!T24)</f>
        <v>0</v>
      </c>
      <c r="U24" s="133">
        <f>IF(SER_hh_tes_in!U24=0,0,11630*1000*SER_hh_tes_in!U24/SER_hh_num_in!U24)</f>
        <v>0</v>
      </c>
      <c r="V24" s="133">
        <f>IF(SER_hh_tes_in!V24=0,0,11630*1000*SER_hh_tes_in!V24/SER_hh_num_in!V24)</f>
        <v>0</v>
      </c>
      <c r="W24" s="133">
        <f>IF(SER_hh_tes_in!W24=0,0,11630*1000*SER_hh_tes_in!W24/SER_hh_num_in!W24)</f>
        <v>0</v>
      </c>
      <c r="DA24" s="157" t="s">
        <v>775</v>
      </c>
    </row>
    <row r="25" spans="1:105" ht="12" customHeight="1" x14ac:dyDescent="0.25">
      <c r="A25" s="132" t="s">
        <v>169</v>
      </c>
      <c r="B25" s="133"/>
      <c r="C25" s="133">
        <f>IF(SER_hh_tes_in!C25=0,0,11630*1000*SER_hh_tes_in!C25/SER_hh_num_in!C25)</f>
        <v>12523.84769470908</v>
      </c>
      <c r="D25" s="133">
        <f>IF(SER_hh_tes_in!D25=0,0,11630*1000*SER_hh_tes_in!D25/SER_hh_num_in!D25)</f>
        <v>12580.223175753521</v>
      </c>
      <c r="E25" s="133">
        <f>IF(SER_hh_tes_in!E25=0,0,11630*1000*SER_hh_tes_in!E25/SER_hh_num_in!E25)</f>
        <v>12358.786463280872</v>
      </c>
      <c r="F25" s="133">
        <f>IF(SER_hh_tes_in!F25=0,0,11630*1000*SER_hh_tes_in!F25/SER_hh_num_in!F25)</f>
        <v>12378.026743603908</v>
      </c>
      <c r="G25" s="133">
        <f>IF(SER_hh_tes_in!G25=0,0,11630*1000*SER_hh_tes_in!G25/SER_hh_num_in!G25)</f>
        <v>12324.126550162691</v>
      </c>
      <c r="H25" s="133">
        <f>IF(SER_hh_tes_in!H25=0,0,11630*1000*SER_hh_tes_in!H25/SER_hh_num_in!H25)</f>
        <v>12200.825031896578</v>
      </c>
      <c r="I25" s="133">
        <f>IF(SER_hh_tes_in!I25=0,0,11630*1000*SER_hh_tes_in!I25/SER_hh_num_in!I25)</f>
        <v>11921.907593878612</v>
      </c>
      <c r="J25" s="133">
        <f>IF(SER_hh_tes_in!J25=0,0,11630*1000*SER_hh_tes_in!J25/SER_hh_num_in!J25)</f>
        <v>11934.951572677368</v>
      </c>
      <c r="K25" s="133">
        <f>IF(SER_hh_tes_in!K25=0,0,11630*1000*SER_hh_tes_in!K25/SER_hh_num_in!K25)</f>
        <v>9912.1725630368692</v>
      </c>
      <c r="L25" s="133">
        <f>IF(SER_hh_tes_in!L25=0,0,11630*1000*SER_hh_tes_in!L25/SER_hh_num_in!L25)</f>
        <v>12144.076206252235</v>
      </c>
      <c r="M25" s="133">
        <f>IF(SER_hh_tes_in!M25=0,0,11630*1000*SER_hh_tes_in!M25/SER_hh_num_in!M25)</f>
        <v>12133.628573790013</v>
      </c>
      <c r="N25" s="133">
        <f>IF(SER_hh_tes_in!N25=0,0,11630*1000*SER_hh_tes_in!N25/SER_hh_num_in!N25)</f>
        <v>12183.238072432756</v>
      </c>
      <c r="O25" s="133">
        <f>IF(SER_hh_tes_in!O25=0,0,11630*1000*SER_hh_tes_in!O25/SER_hh_num_in!O25)</f>
        <v>12202.724941719833</v>
      </c>
      <c r="P25" s="133">
        <f>IF(SER_hh_tes_in!P25=0,0,11630*1000*SER_hh_tes_in!P25/SER_hh_num_in!P25)</f>
        <v>12458.57137271889</v>
      </c>
      <c r="Q25" s="133">
        <f>IF(SER_hh_tes_in!Q25=0,0,11630*1000*SER_hh_tes_in!Q25/SER_hh_num_in!Q25)</f>
        <v>12663.316259783083</v>
      </c>
      <c r="R25" s="133">
        <f>IF(SER_hh_tes_in!R25=0,0,11630*1000*SER_hh_tes_in!R25/SER_hh_num_in!R25)</f>
        <v>12494.154032144785</v>
      </c>
      <c r="S25" s="133">
        <f>IF(SER_hh_tes_in!S25=0,0,11630*1000*SER_hh_tes_in!S25/SER_hh_num_in!S25)</f>
        <v>12365.136962616405</v>
      </c>
      <c r="T25" s="133">
        <f>IF(SER_hh_tes_in!T25=0,0,11630*1000*SER_hh_tes_in!T25/SER_hh_num_in!T25)</f>
        <v>12209.514040427164</v>
      </c>
      <c r="U25" s="133">
        <f>IF(SER_hh_tes_in!U25=0,0,11630*1000*SER_hh_tes_in!U25/SER_hh_num_in!U25)</f>
        <v>12187.885390324789</v>
      </c>
      <c r="V25" s="133">
        <f>IF(SER_hh_tes_in!V25=0,0,11630*1000*SER_hh_tes_in!V25/SER_hh_num_in!V25)</f>
        <v>11626.836178748194</v>
      </c>
      <c r="W25" s="133">
        <f>IF(SER_hh_tes_in!W25=0,0,11630*1000*SER_hh_tes_in!W25/SER_hh_num_in!W25)</f>
        <v>11960.442266786198</v>
      </c>
      <c r="DA25" s="157" t="s">
        <v>776</v>
      </c>
    </row>
    <row r="26" spans="1:105" ht="12" customHeight="1" x14ac:dyDescent="0.25">
      <c r="A26" s="132" t="s">
        <v>24</v>
      </c>
      <c r="B26" s="65"/>
      <c r="C26" s="65">
        <f>IF(SER_hh_tes_in!C26=0,0,11630*1000*SER_hh_tes_in!C26/SER_hh_num_in!C26)</f>
        <v>12308.897347692629</v>
      </c>
      <c r="D26" s="65">
        <f>IF(SER_hh_tes_in!D26=0,0,11630*1000*SER_hh_tes_in!D26/SER_hh_num_in!D26)</f>
        <v>12745.741205194836</v>
      </c>
      <c r="E26" s="65">
        <f>IF(SER_hh_tes_in!E26=0,0,11630*1000*SER_hh_tes_in!E26/SER_hh_num_in!E26)</f>
        <v>11704.473432690254</v>
      </c>
      <c r="F26" s="65">
        <f>IF(SER_hh_tes_in!F26=0,0,11630*1000*SER_hh_tes_in!F26/SER_hh_num_in!F26)</f>
        <v>12082.030140190867</v>
      </c>
      <c r="G26" s="65">
        <f>IF(SER_hh_tes_in!G26=0,0,11630*1000*SER_hh_tes_in!G26/SER_hh_num_in!G26)</f>
        <v>12141.456472672813</v>
      </c>
      <c r="H26" s="65">
        <f>IF(SER_hh_tes_in!H26=0,0,11630*1000*SER_hh_tes_in!H26/SER_hh_num_in!H26)</f>
        <v>11835.646863573391</v>
      </c>
      <c r="I26" s="65">
        <f>IF(SER_hh_tes_in!I26=0,0,11630*1000*SER_hh_tes_in!I26/SER_hh_num_in!I26)</f>
        <v>10986.801845911441</v>
      </c>
      <c r="J26" s="65">
        <f>IF(SER_hh_tes_in!J26=0,0,11630*1000*SER_hh_tes_in!J26/SER_hh_num_in!J26)</f>
        <v>11086.105767091402</v>
      </c>
      <c r="K26" s="65">
        <f>IF(SER_hh_tes_in!K26=0,0,11630*1000*SER_hh_tes_in!K26/SER_hh_num_in!K26)</f>
        <v>5041.0950070678682</v>
      </c>
      <c r="L26" s="65">
        <f>IF(SER_hh_tes_in!L26=0,0,11630*1000*SER_hh_tes_in!L26/SER_hh_num_in!L26)</f>
        <v>12191.910174734443</v>
      </c>
      <c r="M26" s="65">
        <f>IF(SER_hh_tes_in!M26=0,0,11630*1000*SER_hh_tes_in!M26/SER_hh_num_in!M26)</f>
        <v>11710.241366220169</v>
      </c>
      <c r="N26" s="65">
        <f>IF(SER_hh_tes_in!N26=0,0,11630*1000*SER_hh_tes_in!N26/SER_hh_num_in!N26)</f>
        <v>11739.111150999497</v>
      </c>
      <c r="O26" s="65">
        <f>IF(SER_hh_tes_in!O26=0,0,11630*1000*SER_hh_tes_in!O26/SER_hh_num_in!O26)</f>
        <v>12473.786656018789</v>
      </c>
      <c r="P26" s="65">
        <f>IF(SER_hh_tes_in!P26=0,0,11630*1000*SER_hh_tes_in!P26/SER_hh_num_in!P26)</f>
        <v>11327.333541632119</v>
      </c>
      <c r="Q26" s="65">
        <f>IF(SER_hh_tes_in!Q26=0,0,11630*1000*SER_hh_tes_in!Q26/SER_hh_num_in!Q26)</f>
        <v>10173.30118103713</v>
      </c>
      <c r="R26" s="65">
        <f>IF(SER_hh_tes_in!R26=0,0,11630*1000*SER_hh_tes_in!R26/SER_hh_num_in!R26)</f>
        <v>8439.3997930282731</v>
      </c>
      <c r="S26" s="65">
        <f>IF(SER_hh_tes_in!S26=0,0,11630*1000*SER_hh_tes_in!S26/SER_hh_num_in!S26)</f>
        <v>11460.6152956568</v>
      </c>
      <c r="T26" s="65">
        <f>IF(SER_hh_tes_in!T26=0,0,11630*1000*SER_hh_tes_in!T26/SER_hh_num_in!T26)</f>
        <v>11359.306023550533</v>
      </c>
      <c r="U26" s="65">
        <f>IF(SER_hh_tes_in!U26=0,0,11630*1000*SER_hh_tes_in!U26/SER_hh_num_in!U26)</f>
        <v>12179.300065178213</v>
      </c>
      <c r="V26" s="65">
        <f>IF(SER_hh_tes_in!V26=0,0,11630*1000*SER_hh_tes_in!V26/SER_hh_num_in!V26)</f>
        <v>11102.975843487673</v>
      </c>
      <c r="W26" s="65">
        <f>IF(SER_hh_tes_in!W26=0,0,11630*1000*SER_hh_tes_in!W26/SER_hh_num_in!W26)</f>
        <v>12008.07842118485</v>
      </c>
      <c r="DA26" s="109" t="s">
        <v>777</v>
      </c>
    </row>
    <row r="27" spans="1:105" ht="12" customHeight="1" x14ac:dyDescent="0.25">
      <c r="A27" s="145" t="s">
        <v>86</v>
      </c>
      <c r="B27" s="148"/>
      <c r="C27" s="146">
        <f>IF(SER_hh_tes_in!C27=0,0,11630*1000*SER_hh_tes_in!C27/SER_hh_num_in!C19)</f>
        <v>0</v>
      </c>
      <c r="D27" s="146">
        <f>IF(SER_hh_tes_in!D27=0,0,11630*1000*SER_hh_tes_in!D27/SER_hh_num_in!D19)</f>
        <v>29.573125820146775</v>
      </c>
      <c r="E27" s="146">
        <f>IF(SER_hh_tes_in!E27=0,0,11630*1000*SER_hh_tes_in!E27/SER_hh_num_in!E19)</f>
        <v>327.88528681646477</v>
      </c>
      <c r="F27" s="146">
        <f>IF(SER_hh_tes_in!F27=0,0,11630*1000*SER_hh_tes_in!F27/SER_hh_num_in!F19)</f>
        <v>26.628592994935886</v>
      </c>
      <c r="G27" s="146">
        <f>IF(SER_hh_tes_in!G27=0,0,11630*1000*SER_hh_tes_in!G27/SER_hh_num_in!G19)</f>
        <v>20.182328468260817</v>
      </c>
      <c r="H27" s="146">
        <f>IF(SER_hh_tes_in!H27=0,0,11630*1000*SER_hh_tes_in!H27/SER_hh_num_in!H19)</f>
        <v>146.45088177377409</v>
      </c>
      <c r="I27" s="146">
        <f>IF(SER_hh_tes_in!I27=0,0,11630*1000*SER_hh_tes_in!I27/SER_hh_num_in!I19)</f>
        <v>327.76597246239595</v>
      </c>
      <c r="J27" s="146">
        <f>IF(SER_hh_tes_in!J27=0,0,11630*1000*SER_hh_tes_in!J27/SER_hh_num_in!J19)</f>
        <v>358.90574283035465</v>
      </c>
      <c r="K27" s="146">
        <f>IF(SER_hh_tes_in!K27=0,0,11630*1000*SER_hh_tes_in!K27/SER_hh_num_in!K19)</f>
        <v>3538.9587458312312</v>
      </c>
      <c r="L27" s="146">
        <f>IF(SER_hh_tes_in!L27=0,0,11630*1000*SER_hh_tes_in!L27/SER_hh_num_in!L19)</f>
        <v>0</v>
      </c>
      <c r="M27" s="146">
        <f>IF(SER_hh_tes_in!M27=0,0,11630*1000*SER_hh_tes_in!M27/SER_hh_num_in!M19)</f>
        <v>80.986512207910309</v>
      </c>
      <c r="N27" s="146">
        <f>IF(SER_hh_tes_in!N27=0,0,11630*1000*SER_hh_tes_in!N27/SER_hh_num_in!N19)</f>
        <v>95.426985831792294</v>
      </c>
      <c r="O27" s="146">
        <f>IF(SER_hh_tes_in!O27=0,0,11630*1000*SER_hh_tes_in!O27/SER_hh_num_in!O19)</f>
        <v>1.3822727227735457E-12</v>
      </c>
      <c r="P27" s="146">
        <f>IF(SER_hh_tes_in!P27=0,0,11630*1000*SER_hh_tes_in!P27/SER_hh_num_in!P19)</f>
        <v>312.14067846358068</v>
      </c>
      <c r="Q27" s="146">
        <f>IF(SER_hh_tes_in!Q27=0,0,11630*1000*SER_hh_tes_in!Q27/SER_hh_num_in!Q19)</f>
        <v>649.05946795096543</v>
      </c>
      <c r="R27" s="146">
        <f>IF(SER_hh_tes_in!R27=0,0,11630*1000*SER_hh_tes_in!R27/SER_hh_num_in!R19)</f>
        <v>1208.8652980579866</v>
      </c>
      <c r="S27" s="146">
        <f>IF(SER_hh_tes_in!S27=0,0,11630*1000*SER_hh_tes_in!S27/SER_hh_num_in!S19)</f>
        <v>316.10449834324533</v>
      </c>
      <c r="T27" s="146">
        <f>IF(SER_hh_tes_in!T27=0,0,11630*1000*SER_hh_tes_in!T27/SER_hh_num_in!T19)</f>
        <v>343.544405269386</v>
      </c>
      <c r="U27" s="146">
        <f>IF(SER_hh_tes_in!U27=0,0,11630*1000*SER_hh_tes_in!U27/SER_hh_num_in!U19)</f>
        <v>21.370614052425058</v>
      </c>
      <c r="V27" s="146">
        <f>IF(SER_hh_tes_in!V27=0,0,11630*1000*SER_hh_tes_in!V27/SER_hh_num_in!V19)</f>
        <v>165.26141822078321</v>
      </c>
      <c r="W27" s="146">
        <f>IF(SER_hh_tes_in!W27=0,0,11630*1000*SER_hh_tes_in!W27/SER_hh_num_in!W19)</f>
        <v>3.3849694601677675E-12</v>
      </c>
      <c r="DA27" s="159" t="s">
        <v>778</v>
      </c>
    </row>
    <row r="28" spans="1:105" ht="12" customHeight="1" x14ac:dyDescent="0.25">
      <c r="A28" s="78" t="s">
        <v>85</v>
      </c>
      <c r="B28" s="68"/>
      <c r="C28" s="147">
        <f>IF(SER_hh_tes_in!C27=0,0,11630*1000*SER_hh_tes_in!C27/SER_hh_num_in!C27)</f>
        <v>0</v>
      </c>
      <c r="D28" s="147">
        <f>IF(SER_hh_tes_in!D27=0,0,11630*1000*SER_hh_tes_in!D27/SER_hh_num_in!D27)</f>
        <v>7180.2983216122911</v>
      </c>
      <c r="E28" s="147">
        <f>IF(SER_hh_tes_in!E27=0,0,11630*1000*SER_hh_tes_in!E27/SER_hh_num_in!E27)</f>
        <v>7070.5974108644232</v>
      </c>
      <c r="F28" s="147">
        <f>IF(SER_hh_tes_in!F27=0,0,11630*1000*SER_hh_tes_in!F27/SER_hh_num_in!F27)</f>
        <v>7258.2747488766736</v>
      </c>
      <c r="G28" s="147">
        <f>IF(SER_hh_tes_in!G27=0,0,11630*1000*SER_hh_tes_in!G27/SER_hh_num_in!G27)</f>
        <v>7078.2794742813048</v>
      </c>
      <c r="H28" s="147">
        <f>IF(SER_hh_tes_in!H27=0,0,11630*1000*SER_hh_tes_in!H27/SER_hh_num_in!H27)</f>
        <v>6999.162959152809</v>
      </c>
      <c r="I28" s="147">
        <f>IF(SER_hh_tes_in!I27=0,0,11630*1000*SER_hh_tes_in!I27/SER_hh_num_in!I27)</f>
        <v>6657.9506210069931</v>
      </c>
      <c r="J28" s="147">
        <f>IF(SER_hh_tes_in!J27=0,0,11630*1000*SER_hh_tes_in!J27/SER_hh_num_in!J27)</f>
        <v>7237.9201860416351</v>
      </c>
      <c r="K28" s="147">
        <f>IF(SER_hh_tes_in!K27=0,0,11630*1000*SER_hh_tes_in!K27/SER_hh_num_in!K27)</f>
        <v>7129.2549119590249</v>
      </c>
      <c r="L28" s="147">
        <f>IF(SER_hh_tes_in!L27=0,0,11630*1000*SER_hh_tes_in!L27/SER_hh_num_in!L27)</f>
        <v>0</v>
      </c>
      <c r="M28" s="147">
        <f>IF(SER_hh_tes_in!M27=0,0,11630*1000*SER_hh_tes_in!M27/SER_hh_num_in!M27)</f>
        <v>7379.7430016218796</v>
      </c>
      <c r="N28" s="147">
        <f>IF(SER_hh_tes_in!N27=0,0,11630*1000*SER_hh_tes_in!N27/SER_hh_num_in!N27)</f>
        <v>7345.9314879152425</v>
      </c>
      <c r="O28" s="147">
        <f>IF(SER_hh_tes_in!O27=0,0,11630*1000*SER_hh_tes_in!O27/SER_hh_num_in!O27)</f>
        <v>8361.4613313907594</v>
      </c>
      <c r="P28" s="147">
        <f>IF(SER_hh_tes_in!P27=0,0,11630*1000*SER_hh_tes_in!P27/SER_hh_num_in!P27)</f>
        <v>8544.2465637080822</v>
      </c>
      <c r="Q28" s="147">
        <f>IF(SER_hh_tes_in!Q27=0,0,11630*1000*SER_hh_tes_in!Q27/SER_hh_num_in!Q27)</f>
        <v>8183.4051818804764</v>
      </c>
      <c r="R28" s="147">
        <f>IF(SER_hh_tes_in!R27=0,0,11630*1000*SER_hh_tes_in!R27/SER_hh_num_in!R27)</f>
        <v>7259.2503453257614</v>
      </c>
      <c r="S28" s="147">
        <f>IF(SER_hh_tes_in!S27=0,0,11630*1000*SER_hh_tes_in!S27/SER_hh_num_in!S27)</f>
        <v>6977.2411343340054</v>
      </c>
      <c r="T28" s="147">
        <f>IF(SER_hh_tes_in!T27=0,0,11630*1000*SER_hh_tes_in!T27/SER_hh_num_in!T27)</f>
        <v>7265.6950890661901</v>
      </c>
      <c r="U28" s="147">
        <f>IF(SER_hh_tes_in!U27=0,0,11630*1000*SER_hh_tes_in!U27/SER_hh_num_in!U27)</f>
        <v>7141.3616984973469</v>
      </c>
      <c r="V28" s="147">
        <f>IF(SER_hh_tes_in!V27=0,0,11630*1000*SER_hh_tes_in!V27/SER_hh_num_in!V27)</f>
        <v>7401.7610380559181</v>
      </c>
      <c r="W28" s="147">
        <f>IF(SER_hh_tes_in!W27=0,0,11630*1000*SER_hh_tes_in!W27/SER_hh_num_in!W27)</f>
        <v>7368.7773369072947</v>
      </c>
      <c r="DA28" s="160"/>
    </row>
    <row r="29" spans="1:105" ht="12.95" customHeight="1" x14ac:dyDescent="0.25">
      <c r="A29" s="130" t="s">
        <v>34</v>
      </c>
      <c r="B29" s="131"/>
      <c r="C29" s="131">
        <f>IF(SER_hh_tes_in!C29=0,0,11630*1000*SER_hh_tes_in!C29/SER_hh_num_in!C29)</f>
        <v>10090.222801422842</v>
      </c>
      <c r="D29" s="131">
        <f>IF(SER_hh_tes_in!D29=0,0,11630*1000*SER_hh_tes_in!D29/SER_hh_num_in!D29)</f>
        <v>10422.475622298498</v>
      </c>
      <c r="E29" s="131">
        <f>IF(SER_hh_tes_in!E29=0,0,11630*1000*SER_hh_tes_in!E29/SER_hh_num_in!E29)</f>
        <v>10064.273840216776</v>
      </c>
      <c r="F29" s="131">
        <f>IF(SER_hh_tes_in!F29=0,0,11630*1000*SER_hh_tes_in!F29/SER_hh_num_in!F29)</f>
        <v>9830.4740246663441</v>
      </c>
      <c r="G29" s="131">
        <f>IF(SER_hh_tes_in!G29=0,0,11630*1000*SER_hh_tes_in!G29/SER_hh_num_in!G29)</f>
        <v>10743.318025610641</v>
      </c>
      <c r="H29" s="131">
        <f>IF(SER_hh_tes_in!H29=0,0,11630*1000*SER_hh_tes_in!H29/SER_hh_num_in!H29)</f>
        <v>10411.468639916968</v>
      </c>
      <c r="I29" s="131">
        <f>IF(SER_hh_tes_in!I29=0,0,11630*1000*SER_hh_tes_in!I29/SER_hh_num_in!I29)</f>
        <v>10525.330217451903</v>
      </c>
      <c r="J29" s="131">
        <f>IF(SER_hh_tes_in!J29=0,0,11630*1000*SER_hh_tes_in!J29/SER_hh_num_in!J29)</f>
        <v>10626.725224946829</v>
      </c>
      <c r="K29" s="131">
        <f>IF(SER_hh_tes_in!K29=0,0,11630*1000*SER_hh_tes_in!K29/SER_hh_num_in!K29)</f>
        <v>10731.426166851068</v>
      </c>
      <c r="L29" s="131">
        <f>IF(SER_hh_tes_in!L29=0,0,11630*1000*SER_hh_tes_in!L29/SER_hh_num_in!L29)</f>
        <v>10996.188120913292</v>
      </c>
      <c r="M29" s="131">
        <f>IF(SER_hh_tes_in!M29=0,0,11630*1000*SER_hh_tes_in!M29/SER_hh_num_in!M29)</f>
        <v>10760.354876711239</v>
      </c>
      <c r="N29" s="131">
        <f>IF(SER_hh_tes_in!N29=0,0,11630*1000*SER_hh_tes_in!N29/SER_hh_num_in!N29)</f>
        <v>10956.532382271833</v>
      </c>
      <c r="O29" s="131">
        <f>IF(SER_hh_tes_in!O29=0,0,11630*1000*SER_hh_tes_in!O29/SER_hh_num_in!O29)</f>
        <v>11023.559242514237</v>
      </c>
      <c r="P29" s="131">
        <f>IF(SER_hh_tes_in!P29=0,0,11630*1000*SER_hh_tes_in!P29/SER_hh_num_in!P29)</f>
        <v>11084.802413137995</v>
      </c>
      <c r="Q29" s="131">
        <f>IF(SER_hh_tes_in!Q29=0,0,11630*1000*SER_hh_tes_in!Q29/SER_hh_num_in!Q29)</f>
        <v>11240.829951699252</v>
      </c>
      <c r="R29" s="131">
        <f>IF(SER_hh_tes_in!R29=0,0,11630*1000*SER_hh_tes_in!R29/SER_hh_num_in!R29)</f>
        <v>11123.319924275849</v>
      </c>
      <c r="S29" s="131">
        <f>IF(SER_hh_tes_in!S29=0,0,11630*1000*SER_hh_tes_in!S29/SER_hh_num_in!S29)</f>
        <v>11087.896278146687</v>
      </c>
      <c r="T29" s="131">
        <f>IF(SER_hh_tes_in!T29=0,0,11630*1000*SER_hh_tes_in!T29/SER_hh_num_in!T29)</f>
        <v>11040.30683421558</v>
      </c>
      <c r="U29" s="131">
        <f>IF(SER_hh_tes_in!U29=0,0,11630*1000*SER_hh_tes_in!U29/SER_hh_num_in!U29)</f>
        <v>10988.712237292781</v>
      </c>
      <c r="V29" s="131">
        <f>IF(SER_hh_tes_in!V29=0,0,11630*1000*SER_hh_tes_in!V29/SER_hh_num_in!V29)</f>
        <v>10595.380483755745</v>
      </c>
      <c r="W29" s="131">
        <f>IF(SER_hh_tes_in!W29=0,0,11630*1000*SER_hh_tes_in!W29/SER_hh_num_in!W29)</f>
        <v>11086.925608095715</v>
      </c>
      <c r="DA29" s="156" t="s">
        <v>779</v>
      </c>
    </row>
    <row r="30" spans="1:105" s="2" customFormat="1" ht="12" customHeight="1" x14ac:dyDescent="0.25">
      <c r="A30" s="132" t="s">
        <v>52</v>
      </c>
      <c r="B30" s="133"/>
      <c r="C30" s="133">
        <f>IF(SER_hh_tes_in!C30=0,0,11630*1000*SER_hh_tes_in!C30/SER_hh_num_in!C30)</f>
        <v>10739.729404524525</v>
      </c>
      <c r="D30" s="133">
        <f>IF(SER_hh_tes_in!D30=0,0,11630*1000*SER_hh_tes_in!D30/SER_hh_num_in!D30)</f>
        <v>0</v>
      </c>
      <c r="E30" s="133">
        <f>IF(SER_hh_tes_in!E30=0,0,11630*1000*SER_hh_tes_in!E30/SER_hh_num_in!E30)</f>
        <v>0</v>
      </c>
      <c r="F30" s="133">
        <f>IF(SER_hh_tes_in!F30=0,0,11630*1000*SER_hh_tes_in!F30/SER_hh_num_in!F30)</f>
        <v>0</v>
      </c>
      <c r="G30" s="133">
        <f>IF(SER_hh_tes_in!G30=0,0,11630*1000*SER_hh_tes_in!G30/SER_hh_num_in!G30)</f>
        <v>0</v>
      </c>
      <c r="H30" s="133">
        <f>IF(SER_hh_tes_in!H30=0,0,11630*1000*SER_hh_tes_in!H30/SER_hh_num_in!H30)</f>
        <v>0</v>
      </c>
      <c r="I30" s="133">
        <f>IF(SER_hh_tes_in!I30=0,0,11630*1000*SER_hh_tes_in!I30/SER_hh_num_in!I30)</f>
        <v>0</v>
      </c>
      <c r="J30" s="133">
        <f>IF(SER_hh_tes_in!J30=0,0,11630*1000*SER_hh_tes_in!J30/SER_hh_num_in!J30)</f>
        <v>10925.753387979721</v>
      </c>
      <c r="K30" s="133">
        <f>IF(SER_hh_tes_in!K30=0,0,11630*1000*SER_hh_tes_in!K30/SER_hh_num_in!K30)</f>
        <v>10598.256281142765</v>
      </c>
      <c r="L30" s="133">
        <f>IF(SER_hh_tes_in!L30=0,0,11630*1000*SER_hh_tes_in!L30/SER_hh_num_in!L30)</f>
        <v>12719.504188881467</v>
      </c>
      <c r="M30" s="133">
        <f>IF(SER_hh_tes_in!M30=0,0,11630*1000*SER_hh_tes_in!M30/SER_hh_num_in!M30)</f>
        <v>0</v>
      </c>
      <c r="N30" s="133">
        <f>IF(SER_hh_tes_in!N30=0,0,11630*1000*SER_hh_tes_in!N30/SER_hh_num_in!N30)</f>
        <v>0</v>
      </c>
      <c r="O30" s="133">
        <f>IF(SER_hh_tes_in!O30=0,0,11630*1000*SER_hh_tes_in!O30/SER_hh_num_in!O30)</f>
        <v>11457.856692808346</v>
      </c>
      <c r="P30" s="133">
        <f>IF(SER_hh_tes_in!P30=0,0,11630*1000*SER_hh_tes_in!P30/SER_hh_num_in!P30)</f>
        <v>8724.7349828772076</v>
      </c>
      <c r="Q30" s="133">
        <f>IF(SER_hh_tes_in!Q30=0,0,11630*1000*SER_hh_tes_in!Q30/SER_hh_num_in!Q30)</f>
        <v>13536.538626106832</v>
      </c>
      <c r="R30" s="133">
        <f>IF(SER_hh_tes_in!R30=0,0,11630*1000*SER_hh_tes_in!R30/SER_hh_num_in!R30)</f>
        <v>10157.619255081721</v>
      </c>
      <c r="S30" s="133">
        <f>IF(SER_hh_tes_in!S30=0,0,11630*1000*SER_hh_tes_in!S30/SER_hh_num_in!S30)</f>
        <v>11306.437306692804</v>
      </c>
      <c r="T30" s="133">
        <f>IF(SER_hh_tes_in!T30=0,0,11630*1000*SER_hh_tes_in!T30/SER_hh_num_in!T30)</f>
        <v>10563.316924052246</v>
      </c>
      <c r="U30" s="133">
        <f>IF(SER_hh_tes_in!U30=0,0,11630*1000*SER_hh_tes_in!U30/SER_hh_num_in!U30)</f>
        <v>10388.320317350701</v>
      </c>
      <c r="V30" s="133">
        <f>IF(SER_hh_tes_in!V30=0,0,11630*1000*SER_hh_tes_in!V30/SER_hh_num_in!V30)</f>
        <v>11073.345102968189</v>
      </c>
      <c r="W30" s="133">
        <f>IF(SER_hh_tes_in!W30=0,0,11630*1000*SER_hh_tes_in!W30/SER_hh_num_in!W30)</f>
        <v>11175.54155471239</v>
      </c>
      <c r="DA30" s="157" t="s">
        <v>780</v>
      </c>
    </row>
    <row r="31" spans="1:105" ht="12" customHeight="1" x14ac:dyDescent="0.25">
      <c r="A31" s="132" t="s">
        <v>153</v>
      </c>
      <c r="B31" s="133"/>
      <c r="C31" s="133">
        <f>IF(SER_hh_tes_in!C31=0,0,11630*1000*SER_hh_tes_in!C31/SER_hh_num_in!C31)</f>
        <v>10041.585607226623</v>
      </c>
      <c r="D31" s="133">
        <f>IF(SER_hh_tes_in!D31=0,0,11630*1000*SER_hh_tes_in!D31/SER_hh_num_in!D31)</f>
        <v>10081.940681628363</v>
      </c>
      <c r="E31" s="133">
        <f>IF(SER_hh_tes_in!E31=0,0,11630*1000*SER_hh_tes_in!E31/SER_hh_num_in!E31)</f>
        <v>10136.684677264046</v>
      </c>
      <c r="F31" s="133">
        <f>IF(SER_hh_tes_in!F31=0,0,11630*1000*SER_hh_tes_in!F31/SER_hh_num_in!F31)</f>
        <v>10196.559172686033</v>
      </c>
      <c r="G31" s="133">
        <f>IF(SER_hh_tes_in!G31=0,0,11630*1000*SER_hh_tes_in!G31/SER_hh_num_in!G31)</f>
        <v>10335.238285506448</v>
      </c>
      <c r="H31" s="133">
        <f>IF(SER_hh_tes_in!H31=0,0,11630*1000*SER_hh_tes_in!H31/SER_hh_num_in!H31)</f>
        <v>10353.250726250397</v>
      </c>
      <c r="I31" s="133">
        <f>IF(SER_hh_tes_in!I31=0,0,11630*1000*SER_hh_tes_in!I31/SER_hh_num_in!I31)</f>
        <v>10464.321281441293</v>
      </c>
      <c r="J31" s="133">
        <f>IF(SER_hh_tes_in!J31=0,0,11630*1000*SER_hh_tes_in!J31/SER_hh_num_in!J31)</f>
        <v>10633.835942098021</v>
      </c>
      <c r="K31" s="133">
        <f>IF(SER_hh_tes_in!K31=0,0,11630*1000*SER_hh_tes_in!K31/SER_hh_num_in!K31)</f>
        <v>10696.973031350386</v>
      </c>
      <c r="L31" s="133">
        <f>IF(SER_hh_tes_in!L31=0,0,11630*1000*SER_hh_tes_in!L31/SER_hh_num_in!L31)</f>
        <v>10733.460287439817</v>
      </c>
      <c r="M31" s="133">
        <f>IF(SER_hh_tes_in!M31=0,0,11630*1000*SER_hh_tes_in!M31/SER_hh_num_in!M31)</f>
        <v>10789.652907084372</v>
      </c>
      <c r="N31" s="133">
        <f>IF(SER_hh_tes_in!N31=0,0,11630*1000*SER_hh_tes_in!N31/SER_hh_num_in!N31)</f>
        <v>10965.612159368702</v>
      </c>
      <c r="O31" s="133">
        <f>IF(SER_hh_tes_in!O31=0,0,11630*1000*SER_hh_tes_in!O31/SER_hh_num_in!O31)</f>
        <v>11011.610904089806</v>
      </c>
      <c r="P31" s="133">
        <f>IF(SER_hh_tes_in!P31=0,0,11630*1000*SER_hh_tes_in!P31/SER_hh_num_in!P31)</f>
        <v>11103.169950104491</v>
      </c>
      <c r="Q31" s="133">
        <f>IF(SER_hh_tes_in!Q31=0,0,11630*1000*SER_hh_tes_in!Q31/SER_hh_num_in!Q31)</f>
        <v>11135.728262362756</v>
      </c>
      <c r="R31" s="133">
        <f>IF(SER_hh_tes_in!R31=0,0,11630*1000*SER_hh_tes_in!R31/SER_hh_num_in!R31)</f>
        <v>11120.803149205973</v>
      </c>
      <c r="S31" s="133">
        <f>IF(SER_hh_tes_in!S31=0,0,11630*1000*SER_hh_tes_in!S31/SER_hh_num_in!S31)</f>
        <v>11077.167759402057</v>
      </c>
      <c r="T31" s="133">
        <f>IF(SER_hh_tes_in!T31=0,0,11630*1000*SER_hh_tes_in!T31/SER_hh_num_in!T31)</f>
        <v>11046.123893371345</v>
      </c>
      <c r="U31" s="133">
        <f>IF(SER_hh_tes_in!U31=0,0,11630*1000*SER_hh_tes_in!U31/SER_hh_num_in!U31)</f>
        <v>11043.048469005873</v>
      </c>
      <c r="V31" s="133">
        <f>IF(SER_hh_tes_in!V31=0,0,11630*1000*SER_hh_tes_in!V31/SER_hh_num_in!V31)</f>
        <v>10518.412926731622</v>
      </c>
      <c r="W31" s="133">
        <f>IF(SER_hh_tes_in!W31=0,0,11630*1000*SER_hh_tes_in!W31/SER_hh_num_in!W31)</f>
        <v>11137.634397962567</v>
      </c>
      <c r="DA31" s="157" t="s">
        <v>781</v>
      </c>
    </row>
    <row r="32" spans="1:105" ht="12" customHeight="1" x14ac:dyDescent="0.25">
      <c r="A32" s="132" t="s">
        <v>128</v>
      </c>
      <c r="B32" s="133"/>
      <c r="C32" s="133">
        <f>IF(SER_hh_tes_in!C32=0,0,11630*1000*SER_hh_tes_in!C32/SER_hh_num_in!C32)</f>
        <v>0</v>
      </c>
      <c r="D32" s="133">
        <f>IF(SER_hh_tes_in!D32=0,0,11630*1000*SER_hh_tes_in!D32/SER_hh_num_in!D32)</f>
        <v>0</v>
      </c>
      <c r="E32" s="133">
        <f>IF(SER_hh_tes_in!E32=0,0,11630*1000*SER_hh_tes_in!E32/SER_hh_num_in!E32)</f>
        <v>0</v>
      </c>
      <c r="F32" s="133">
        <f>IF(SER_hh_tes_in!F32=0,0,11630*1000*SER_hh_tes_in!F32/SER_hh_num_in!F32)</f>
        <v>0</v>
      </c>
      <c r="G32" s="133">
        <f>IF(SER_hh_tes_in!G32=0,0,11630*1000*SER_hh_tes_in!G32/SER_hh_num_in!G32)</f>
        <v>0</v>
      </c>
      <c r="H32" s="133">
        <f>IF(SER_hh_tes_in!H32=0,0,11630*1000*SER_hh_tes_in!H32/SER_hh_num_in!H32)</f>
        <v>0</v>
      </c>
      <c r="I32" s="133">
        <f>IF(SER_hh_tes_in!I32=0,0,11630*1000*SER_hh_tes_in!I32/SER_hh_num_in!I32)</f>
        <v>0</v>
      </c>
      <c r="J32" s="133">
        <f>IF(SER_hh_tes_in!J32=0,0,11630*1000*SER_hh_tes_in!J32/SER_hh_num_in!J32)</f>
        <v>13601.208827917982</v>
      </c>
      <c r="K32" s="133">
        <f>IF(SER_hh_tes_in!K32=0,0,11630*1000*SER_hh_tes_in!K32/SER_hh_num_in!K32)</f>
        <v>7865.6561979978133</v>
      </c>
      <c r="L32" s="133">
        <f>IF(SER_hh_tes_in!L32=0,0,11630*1000*SER_hh_tes_in!L32/SER_hh_num_in!L32)</f>
        <v>13576.76511639166</v>
      </c>
      <c r="M32" s="133">
        <f>IF(SER_hh_tes_in!M32=0,0,11630*1000*SER_hh_tes_in!M32/SER_hh_num_in!M32)</f>
        <v>12726.319081329637</v>
      </c>
      <c r="N32" s="133">
        <f>IF(SER_hh_tes_in!N32=0,0,11630*1000*SER_hh_tes_in!N32/SER_hh_num_in!N32)</f>
        <v>6879.4549361291693</v>
      </c>
      <c r="O32" s="133">
        <f>IF(SER_hh_tes_in!O32=0,0,11630*1000*SER_hh_tes_in!O32/SER_hh_num_in!O32)</f>
        <v>11154.310019322085</v>
      </c>
      <c r="P32" s="133">
        <f>IF(SER_hh_tes_in!P32=0,0,11630*1000*SER_hh_tes_in!P32/SER_hh_num_in!P32)</f>
        <v>11462.438715901486</v>
      </c>
      <c r="Q32" s="133">
        <f>IF(SER_hh_tes_in!Q32=0,0,11630*1000*SER_hh_tes_in!Q32/SER_hh_num_in!Q32)</f>
        <v>11859.452177482133</v>
      </c>
      <c r="R32" s="133">
        <f>IF(SER_hh_tes_in!R32=0,0,11630*1000*SER_hh_tes_in!R32/SER_hh_num_in!R32)</f>
        <v>11406.118892029715</v>
      </c>
      <c r="S32" s="133">
        <f>IF(SER_hh_tes_in!S32=0,0,11630*1000*SER_hh_tes_in!S32/SER_hh_num_in!S32)</f>
        <v>10989.55367442458</v>
      </c>
      <c r="T32" s="133">
        <f>IF(SER_hh_tes_in!T32=0,0,11630*1000*SER_hh_tes_in!T32/SER_hh_num_in!T32)</f>
        <v>11525.230571952274</v>
      </c>
      <c r="U32" s="133">
        <f>IF(SER_hh_tes_in!U32=0,0,11630*1000*SER_hh_tes_in!U32/SER_hh_num_in!U32)</f>
        <v>0</v>
      </c>
      <c r="V32" s="133">
        <f>IF(SER_hh_tes_in!V32=0,0,11630*1000*SER_hh_tes_in!V32/SER_hh_num_in!V32)</f>
        <v>0</v>
      </c>
      <c r="W32" s="133">
        <f>IF(SER_hh_tes_in!W32=0,0,11630*1000*SER_hh_tes_in!W32/SER_hh_num_in!W32)</f>
        <v>0</v>
      </c>
      <c r="DA32" s="157" t="s">
        <v>782</v>
      </c>
    </row>
    <row r="33" spans="1:105" ht="12" customHeight="1" x14ac:dyDescent="0.25">
      <c r="A33" s="62" t="s">
        <v>24</v>
      </c>
      <c r="B33" s="68"/>
      <c r="C33" s="68">
        <f>IF(SER_hh_tes_in!C33=0,0,11630*1000*SER_hh_tes_in!C33/SER_hh_num_in!C33)</f>
        <v>10067.88702424738</v>
      </c>
      <c r="D33" s="68">
        <f>IF(SER_hh_tes_in!D33=0,0,11630*1000*SER_hh_tes_in!D33/SER_hh_num_in!D33)</f>
        <v>10611.074152388739</v>
      </c>
      <c r="E33" s="68">
        <f>IF(SER_hh_tes_in!E33=0,0,11630*1000*SER_hh_tes_in!E33/SER_hh_num_in!E33)</f>
        <v>10010.868616898641</v>
      </c>
      <c r="F33" s="68">
        <f>IF(SER_hh_tes_in!F33=0,0,11630*1000*SER_hh_tes_in!F33/SER_hh_num_in!F33)</f>
        <v>9555.0785950377613</v>
      </c>
      <c r="G33" s="68">
        <f>IF(SER_hh_tes_in!G33=0,0,11630*1000*SER_hh_tes_in!G33/SER_hh_num_in!G33)</f>
        <v>10988.199622250775</v>
      </c>
      <c r="H33" s="68">
        <f>IF(SER_hh_tes_in!H33=0,0,11630*1000*SER_hh_tes_in!H33/SER_hh_num_in!H33)</f>
        <v>10461.635016535154</v>
      </c>
      <c r="I33" s="68">
        <f>IF(SER_hh_tes_in!I33=0,0,11630*1000*SER_hh_tes_in!I33/SER_hh_num_in!I33)</f>
        <v>10580.396071965324</v>
      </c>
      <c r="J33" s="68">
        <f>IF(SER_hh_tes_in!J33=0,0,11630*1000*SER_hh_tes_in!J33/SER_hh_num_in!J33)</f>
        <v>10510.655272706101</v>
      </c>
      <c r="K33" s="68">
        <f>IF(SER_hh_tes_in!K33=0,0,11630*1000*SER_hh_tes_in!K33/SER_hh_num_in!K33)</f>
        <v>10918.7024080966</v>
      </c>
      <c r="L33" s="68">
        <f>IF(SER_hh_tes_in!L33=0,0,11630*1000*SER_hh_tes_in!L33/SER_hh_num_in!L33)</f>
        <v>10753.66252207547</v>
      </c>
      <c r="M33" s="68">
        <f>IF(SER_hh_tes_in!M33=0,0,11630*1000*SER_hh_tes_in!M33/SER_hh_num_in!M33)</f>
        <v>10727.757561485074</v>
      </c>
      <c r="N33" s="68">
        <f>IF(SER_hh_tes_in!N33=0,0,11630*1000*SER_hh_tes_in!N33/SER_hh_num_in!N33)</f>
        <v>10953.808354127968</v>
      </c>
      <c r="O33" s="68">
        <f>IF(SER_hh_tes_in!O33=0,0,11630*1000*SER_hh_tes_in!O33/SER_hh_num_in!O33)</f>
        <v>11022.610304592519</v>
      </c>
      <c r="P33" s="68">
        <f>IF(SER_hh_tes_in!P33=0,0,11630*1000*SER_hh_tes_in!P33/SER_hh_num_in!P33)</f>
        <v>11086.929153616406</v>
      </c>
      <c r="Q33" s="68">
        <f>IF(SER_hh_tes_in!Q33=0,0,11630*1000*SER_hh_tes_in!Q33/SER_hh_num_in!Q33)</f>
        <v>11125.555063572943</v>
      </c>
      <c r="R33" s="68">
        <f>IF(SER_hh_tes_in!R33=0,0,11630*1000*SER_hh_tes_in!R33/SER_hh_num_in!R33)</f>
        <v>11148.340190553023</v>
      </c>
      <c r="S33" s="68">
        <f>IF(SER_hh_tes_in!S33=0,0,11630*1000*SER_hh_tes_in!S33/SER_hh_num_in!S33)</f>
        <v>11080.490299749748</v>
      </c>
      <c r="T33" s="68">
        <f>IF(SER_hh_tes_in!T33=0,0,11630*1000*SER_hh_tes_in!T33/SER_hh_num_in!T33)</f>
        <v>11075.783859270034</v>
      </c>
      <c r="U33" s="68">
        <f>IF(SER_hh_tes_in!U33=0,0,11630*1000*SER_hh_tes_in!U33/SER_hh_num_in!U33)</f>
        <v>11025.453267097238</v>
      </c>
      <c r="V33" s="68">
        <f>IF(SER_hh_tes_in!V33=0,0,11630*1000*SER_hh_tes_in!V33/SER_hh_num_in!V33)</f>
        <v>10573.166320477862</v>
      </c>
      <c r="W33" s="68">
        <f>IF(SER_hh_tes_in!W33=0,0,11630*1000*SER_hh_tes_in!W33/SER_hh_num_in!W33)</f>
        <v>11020.76835962555</v>
      </c>
      <c r="DA33" s="111" t="s">
        <v>783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784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89</v>
      </c>
      <c r="B3" s="126"/>
      <c r="C3" s="126">
        <f>IF(SER_hh_emi_in!C3=0,0,1000000*SER_hh_emi_in!C3/SER_hh_num_in!C3)</f>
        <v>32943.07240977473</v>
      </c>
      <c r="D3" s="126">
        <f>IF(SER_hh_emi_in!D3=0,0,1000000*SER_hh_emi_in!D3/SER_hh_num_in!D3)</f>
        <v>32106.204008283592</v>
      </c>
      <c r="E3" s="126">
        <f>IF(SER_hh_emi_in!E3=0,0,1000000*SER_hh_emi_in!E3/SER_hh_num_in!E3)</f>
        <v>30596.79212885776</v>
      </c>
      <c r="F3" s="126">
        <f>IF(SER_hh_emi_in!F3=0,0,1000000*SER_hh_emi_in!F3/SER_hh_num_in!F3)</f>
        <v>14817.39371276901</v>
      </c>
      <c r="G3" s="126">
        <f>IF(SER_hh_emi_in!G3=0,0,1000000*SER_hh_emi_in!G3/SER_hh_num_in!G3)</f>
        <v>13492.706642369667</v>
      </c>
      <c r="H3" s="126">
        <f>IF(SER_hh_emi_in!H3=0,0,1000000*SER_hh_emi_in!H3/SER_hh_num_in!H3)</f>
        <v>21145.949042036926</v>
      </c>
      <c r="I3" s="126">
        <f>IF(SER_hh_emi_in!I3=0,0,1000000*SER_hh_emi_in!I3/SER_hh_num_in!I3)</f>
        <v>24901.871393149853</v>
      </c>
      <c r="J3" s="126">
        <f>IF(SER_hh_emi_in!J3=0,0,1000000*SER_hh_emi_in!J3/SER_hh_num_in!J3)</f>
        <v>31257.935338008545</v>
      </c>
      <c r="K3" s="126">
        <f>IF(SER_hh_emi_in!K3=0,0,1000000*SER_hh_emi_in!K3/SER_hh_num_in!K3)</f>
        <v>29499.975091982069</v>
      </c>
      <c r="L3" s="126">
        <f>IF(SER_hh_emi_in!L3=0,0,1000000*SER_hh_emi_in!L3/SER_hh_num_in!L3)</f>
        <v>31362.587997640599</v>
      </c>
      <c r="M3" s="126">
        <f>IF(SER_hh_emi_in!M3=0,0,1000000*SER_hh_emi_in!M3/SER_hh_num_in!M3)</f>
        <v>24418.92858505977</v>
      </c>
      <c r="N3" s="126">
        <f>IF(SER_hh_emi_in!N3=0,0,1000000*SER_hh_emi_in!N3/SER_hh_num_in!N3)</f>
        <v>24857.975494499085</v>
      </c>
      <c r="O3" s="126">
        <f>IF(SER_hh_emi_in!O3=0,0,1000000*SER_hh_emi_in!O3/SER_hh_num_in!O3)</f>
        <v>27422.211396227627</v>
      </c>
      <c r="P3" s="126">
        <f>IF(SER_hh_emi_in!P3=0,0,1000000*SER_hh_emi_in!P3/SER_hh_num_in!P3)</f>
        <v>19445.46968232809</v>
      </c>
      <c r="Q3" s="126">
        <f>IF(SER_hh_emi_in!Q3=0,0,1000000*SER_hh_emi_in!Q3/SER_hh_num_in!Q3)</f>
        <v>22172.041750698845</v>
      </c>
      <c r="R3" s="126">
        <f>IF(SER_hh_emi_in!R3=0,0,1000000*SER_hh_emi_in!R3/SER_hh_num_in!R3)</f>
        <v>19497.425283272609</v>
      </c>
      <c r="S3" s="126">
        <f>IF(SER_hh_emi_in!S3=0,0,1000000*SER_hh_emi_in!S3/SER_hh_num_in!S3)</f>
        <v>16443.9865277766</v>
      </c>
      <c r="T3" s="126">
        <f>IF(SER_hh_emi_in!T3=0,0,1000000*SER_hh_emi_in!T3/SER_hh_num_in!T3)</f>
        <v>13952.391386823643</v>
      </c>
      <c r="U3" s="126">
        <f>IF(SER_hh_emi_in!U3=0,0,1000000*SER_hh_emi_in!U3/SER_hh_num_in!U3)</f>
        <v>11638.715119236926</v>
      </c>
      <c r="V3" s="126">
        <f>IF(SER_hh_emi_in!V3=0,0,1000000*SER_hh_emi_in!V3/SER_hh_num_in!V3)</f>
        <v>10775.884680815478</v>
      </c>
      <c r="W3" s="126">
        <f>IF(SER_hh_emi_in!W3=0,0,1000000*SER_hh_emi_in!W3/SER_hh_num_in!W3)</f>
        <v>12199.942172737125</v>
      </c>
      <c r="DA3" s="155" t="s">
        <v>785</v>
      </c>
    </row>
    <row r="4" spans="1:105" ht="12.95" customHeight="1" x14ac:dyDescent="0.25">
      <c r="A4" s="130" t="s">
        <v>32</v>
      </c>
      <c r="B4" s="131"/>
      <c r="C4" s="131">
        <f>IF(SER_hh_emi_in!C4=0,0,1000000*SER_hh_emi_in!C4/SER_hh_num_in!C4)</f>
        <v>27406.247015080593</v>
      </c>
      <c r="D4" s="131">
        <f>IF(SER_hh_emi_in!D4=0,0,1000000*SER_hh_emi_in!D4/SER_hh_num_in!D4)</f>
        <v>28120.523107134875</v>
      </c>
      <c r="E4" s="131">
        <f>IF(SER_hh_emi_in!E4=0,0,1000000*SER_hh_emi_in!E4/SER_hh_num_in!E4)</f>
        <v>25918.670545399786</v>
      </c>
      <c r="F4" s="131">
        <f>IF(SER_hh_emi_in!F4=0,0,1000000*SER_hh_emi_in!F4/SER_hh_num_in!F4)</f>
        <v>10219.169493560861</v>
      </c>
      <c r="G4" s="131">
        <f>IF(SER_hh_emi_in!G4=0,0,1000000*SER_hh_emi_in!G4/SER_hh_num_in!G4)</f>
        <v>9141.3565641479272</v>
      </c>
      <c r="H4" s="131">
        <f>IF(SER_hh_emi_in!H4=0,0,1000000*SER_hh_emi_in!H4/SER_hh_num_in!H4)</f>
        <v>16619.483347233443</v>
      </c>
      <c r="I4" s="131">
        <f>IF(SER_hh_emi_in!I4=0,0,1000000*SER_hh_emi_in!I4/SER_hh_num_in!I4)</f>
        <v>20332.558400693542</v>
      </c>
      <c r="J4" s="131">
        <f>IF(SER_hh_emi_in!J4=0,0,1000000*SER_hh_emi_in!J4/SER_hh_num_in!J4)</f>
        <v>26422.463945947347</v>
      </c>
      <c r="K4" s="131">
        <f>IF(SER_hh_emi_in!K4=0,0,1000000*SER_hh_emi_in!K4/SER_hh_num_in!K4)</f>
        <v>24539.937252304575</v>
      </c>
      <c r="L4" s="131">
        <f>IF(SER_hh_emi_in!L4=0,0,1000000*SER_hh_emi_in!L4/SER_hh_num_in!L4)</f>
        <v>26431.784017681606</v>
      </c>
      <c r="M4" s="131">
        <f>IF(SER_hh_emi_in!M4=0,0,1000000*SER_hh_emi_in!M4/SER_hh_num_in!M4)</f>
        <v>19849.729091473095</v>
      </c>
      <c r="N4" s="131">
        <f>IF(SER_hh_emi_in!N4=0,0,1000000*SER_hh_emi_in!N4/SER_hh_num_in!N4)</f>
        <v>20184.999953482227</v>
      </c>
      <c r="O4" s="131">
        <f>IF(SER_hh_emi_in!O4=0,0,1000000*SER_hh_emi_in!O4/SER_hh_num_in!O4)</f>
        <v>22839.857197761823</v>
      </c>
      <c r="P4" s="131">
        <f>IF(SER_hh_emi_in!P4=0,0,1000000*SER_hh_emi_in!P4/SER_hh_num_in!P4)</f>
        <v>15462.316182351509</v>
      </c>
      <c r="Q4" s="131">
        <f>IF(SER_hh_emi_in!Q4=0,0,1000000*SER_hh_emi_in!Q4/SER_hh_num_in!Q4)</f>
        <v>18010.075594496935</v>
      </c>
      <c r="R4" s="131">
        <f>IF(SER_hh_emi_in!R4=0,0,1000000*SER_hh_emi_in!R4/SER_hh_num_in!R4)</f>
        <v>15608.900135720798</v>
      </c>
      <c r="S4" s="131">
        <f>IF(SER_hh_emi_in!S4=0,0,1000000*SER_hh_emi_in!S4/SER_hh_num_in!S4)</f>
        <v>12484.752913961727</v>
      </c>
      <c r="T4" s="131">
        <f>IF(SER_hh_emi_in!T4=0,0,1000000*SER_hh_emi_in!T4/SER_hh_num_in!T4)</f>
        <v>10047.738358623184</v>
      </c>
      <c r="U4" s="131">
        <f>IF(SER_hh_emi_in!U4=0,0,1000000*SER_hh_emi_in!U4/SER_hh_num_in!U4)</f>
        <v>7575.732134644074</v>
      </c>
      <c r="V4" s="131">
        <f>IF(SER_hh_emi_in!V4=0,0,1000000*SER_hh_emi_in!V4/SER_hh_num_in!V4)</f>
        <v>6837.161262246781</v>
      </c>
      <c r="W4" s="131">
        <f>IF(SER_hh_emi_in!W4=0,0,1000000*SER_hh_emi_in!W4/SER_hh_num_in!W4)</f>
        <v>7976.4162660138609</v>
      </c>
      <c r="DA4" s="156" t="s">
        <v>786</v>
      </c>
    </row>
    <row r="5" spans="1:105" ht="12" customHeight="1" x14ac:dyDescent="0.25">
      <c r="A5" s="132" t="s">
        <v>29</v>
      </c>
      <c r="B5" s="133"/>
      <c r="C5" s="133">
        <f>IF(SER_hh_emi_in!C5=0,0,1000000*SER_hh_emi_in!C5/SER_hh_num_in!C5)</f>
        <v>0</v>
      </c>
      <c r="D5" s="133">
        <f>IF(SER_hh_emi_in!D5=0,0,1000000*SER_hh_emi_in!D5/SER_hh_num_in!D5)</f>
        <v>0</v>
      </c>
      <c r="E5" s="133">
        <f>IF(SER_hh_emi_in!E5=0,0,1000000*SER_hh_emi_in!E5/SER_hh_num_in!E5)</f>
        <v>0</v>
      </c>
      <c r="F5" s="133">
        <f>IF(SER_hh_emi_in!F5=0,0,1000000*SER_hh_emi_in!F5/SER_hh_num_in!F5)</f>
        <v>0</v>
      </c>
      <c r="G5" s="133">
        <f>IF(SER_hh_emi_in!G5=0,0,1000000*SER_hh_emi_in!G5/SER_hh_num_in!G5)</f>
        <v>0</v>
      </c>
      <c r="H5" s="133">
        <f>IF(SER_hh_emi_in!H5=0,0,1000000*SER_hh_emi_in!H5/SER_hh_num_in!H5)</f>
        <v>0</v>
      </c>
      <c r="I5" s="133">
        <f>IF(SER_hh_emi_in!I5=0,0,1000000*SER_hh_emi_in!I5/SER_hh_num_in!I5)</f>
        <v>0</v>
      </c>
      <c r="J5" s="133">
        <f>IF(SER_hh_emi_in!J5=0,0,1000000*SER_hh_emi_in!J5/SER_hh_num_in!J5)</f>
        <v>0</v>
      </c>
      <c r="K5" s="133">
        <f>IF(SER_hh_emi_in!K5=0,0,1000000*SER_hh_emi_in!K5/SER_hh_num_in!K5)</f>
        <v>0</v>
      </c>
      <c r="L5" s="133">
        <f>IF(SER_hh_emi_in!L5=0,0,1000000*SER_hh_emi_in!L5/SER_hh_num_in!L5)</f>
        <v>0</v>
      </c>
      <c r="M5" s="133">
        <f>IF(SER_hh_emi_in!M5=0,0,1000000*SER_hh_emi_in!M5/SER_hh_num_in!M5)</f>
        <v>0</v>
      </c>
      <c r="N5" s="133">
        <f>IF(SER_hh_emi_in!N5=0,0,1000000*SER_hh_emi_in!N5/SER_hh_num_in!N5)</f>
        <v>0</v>
      </c>
      <c r="O5" s="133">
        <f>IF(SER_hh_emi_in!O5=0,0,1000000*SER_hh_emi_in!O5/SER_hh_num_in!O5)</f>
        <v>0</v>
      </c>
      <c r="P5" s="133">
        <f>IF(SER_hh_emi_in!P5=0,0,1000000*SER_hh_emi_in!P5/SER_hh_num_in!P5)</f>
        <v>0</v>
      </c>
      <c r="Q5" s="133">
        <f>IF(SER_hh_emi_in!Q5=0,0,1000000*SER_hh_emi_in!Q5/SER_hh_num_in!Q5)</f>
        <v>0</v>
      </c>
      <c r="R5" s="133">
        <f>IF(SER_hh_emi_in!R5=0,0,1000000*SER_hh_emi_in!R5/SER_hh_num_in!R5)</f>
        <v>0</v>
      </c>
      <c r="S5" s="133">
        <f>IF(SER_hh_emi_in!S5=0,0,1000000*SER_hh_emi_in!S5/SER_hh_num_in!S5)</f>
        <v>0</v>
      </c>
      <c r="T5" s="133">
        <f>IF(SER_hh_emi_in!T5=0,0,1000000*SER_hh_emi_in!T5/SER_hh_num_in!T5)</f>
        <v>0</v>
      </c>
      <c r="U5" s="133">
        <f>IF(SER_hh_emi_in!U5=0,0,1000000*SER_hh_emi_in!U5/SER_hh_num_in!U5)</f>
        <v>0</v>
      </c>
      <c r="V5" s="133">
        <f>IF(SER_hh_emi_in!V5=0,0,1000000*SER_hh_emi_in!V5/SER_hh_num_in!V5)</f>
        <v>0</v>
      </c>
      <c r="W5" s="133">
        <f>IF(SER_hh_emi_in!W5=0,0,1000000*SER_hh_emi_in!W5/SER_hh_num_in!W5)</f>
        <v>0</v>
      </c>
      <c r="DA5" s="157" t="s">
        <v>787</v>
      </c>
    </row>
    <row r="6" spans="1:105" ht="12" customHeight="1" x14ac:dyDescent="0.25">
      <c r="A6" s="132" t="s">
        <v>52</v>
      </c>
      <c r="B6" s="133"/>
      <c r="C6" s="133">
        <f>IF(SER_hh_emi_in!C6=0,0,1000000*SER_hh_emi_in!C6/SER_hh_num_in!C6)</f>
        <v>0</v>
      </c>
      <c r="D6" s="133">
        <f>IF(SER_hh_emi_in!D6=0,0,1000000*SER_hh_emi_in!D6/SER_hh_num_in!D6)</f>
        <v>0</v>
      </c>
      <c r="E6" s="133">
        <f>IF(SER_hh_emi_in!E6=0,0,1000000*SER_hh_emi_in!E6/SER_hh_num_in!E6)</f>
        <v>0</v>
      </c>
      <c r="F6" s="133">
        <f>IF(SER_hh_emi_in!F6=0,0,1000000*SER_hh_emi_in!F6/SER_hh_num_in!F6)</f>
        <v>0</v>
      </c>
      <c r="G6" s="133">
        <f>IF(SER_hh_emi_in!G6=0,0,1000000*SER_hh_emi_in!G6/SER_hh_num_in!G6)</f>
        <v>0</v>
      </c>
      <c r="H6" s="133">
        <f>IF(SER_hh_emi_in!H6=0,0,1000000*SER_hh_emi_in!H6/SER_hh_num_in!H6)</f>
        <v>0</v>
      </c>
      <c r="I6" s="133">
        <f>IF(SER_hh_emi_in!I6=0,0,1000000*SER_hh_emi_in!I6/SER_hh_num_in!I6)</f>
        <v>0</v>
      </c>
      <c r="J6" s="133">
        <f>IF(SER_hh_emi_in!J6=0,0,1000000*SER_hh_emi_in!J6/SER_hh_num_in!J6)</f>
        <v>0</v>
      </c>
      <c r="K6" s="133">
        <f>IF(SER_hh_emi_in!K6=0,0,1000000*SER_hh_emi_in!K6/SER_hh_num_in!K6)</f>
        <v>0</v>
      </c>
      <c r="L6" s="133">
        <f>IF(SER_hh_emi_in!L6=0,0,1000000*SER_hh_emi_in!L6/SER_hh_num_in!L6)</f>
        <v>0</v>
      </c>
      <c r="M6" s="133">
        <f>IF(SER_hh_emi_in!M6=0,0,1000000*SER_hh_emi_in!M6/SER_hh_num_in!M6)</f>
        <v>0</v>
      </c>
      <c r="N6" s="133">
        <f>IF(SER_hh_emi_in!N6=0,0,1000000*SER_hh_emi_in!N6/SER_hh_num_in!N6)</f>
        <v>0</v>
      </c>
      <c r="O6" s="133">
        <f>IF(SER_hh_emi_in!O6=0,0,1000000*SER_hh_emi_in!O6/SER_hh_num_in!O6)</f>
        <v>0</v>
      </c>
      <c r="P6" s="133">
        <f>IF(SER_hh_emi_in!P6=0,0,1000000*SER_hh_emi_in!P6/SER_hh_num_in!P6)</f>
        <v>0</v>
      </c>
      <c r="Q6" s="133">
        <f>IF(SER_hh_emi_in!Q6=0,0,1000000*SER_hh_emi_in!Q6/SER_hh_num_in!Q6)</f>
        <v>0</v>
      </c>
      <c r="R6" s="133">
        <f>IF(SER_hh_emi_in!R6=0,0,1000000*SER_hh_emi_in!R6/SER_hh_num_in!R6)</f>
        <v>0</v>
      </c>
      <c r="S6" s="133">
        <f>IF(SER_hh_emi_in!S6=0,0,1000000*SER_hh_emi_in!S6/SER_hh_num_in!S6)</f>
        <v>0</v>
      </c>
      <c r="T6" s="133">
        <f>IF(SER_hh_emi_in!T6=0,0,1000000*SER_hh_emi_in!T6/SER_hh_num_in!T6)</f>
        <v>0</v>
      </c>
      <c r="U6" s="133">
        <f>IF(SER_hh_emi_in!U6=0,0,1000000*SER_hh_emi_in!U6/SER_hh_num_in!U6)</f>
        <v>0</v>
      </c>
      <c r="V6" s="133">
        <f>IF(SER_hh_emi_in!V6=0,0,1000000*SER_hh_emi_in!V6/SER_hh_num_in!V6)</f>
        <v>0</v>
      </c>
      <c r="W6" s="133">
        <f>IF(SER_hh_emi_in!W6=0,0,1000000*SER_hh_emi_in!W6/SER_hh_num_in!W6)</f>
        <v>0</v>
      </c>
      <c r="DA6" s="157" t="s">
        <v>788</v>
      </c>
    </row>
    <row r="7" spans="1:105" ht="12" customHeight="1" x14ac:dyDescent="0.25">
      <c r="A7" s="132" t="s">
        <v>168</v>
      </c>
      <c r="B7" s="133"/>
      <c r="C7" s="133">
        <f>IF(SER_hh_emi_in!C7=0,0,1000000*SER_hh_emi_in!C7/SER_hh_num_in!C7)</f>
        <v>31756.400333030972</v>
      </c>
      <c r="D7" s="133">
        <f>IF(SER_hh_emi_in!D7=0,0,1000000*SER_hh_emi_in!D7/SER_hh_num_in!D7)</f>
        <v>40234.262626774675</v>
      </c>
      <c r="E7" s="133">
        <f>IF(SER_hh_emi_in!E7=0,0,1000000*SER_hh_emi_in!E7/SER_hh_num_in!E7)</f>
        <v>45132.277599312809</v>
      </c>
      <c r="F7" s="133">
        <f>IF(SER_hh_emi_in!F7=0,0,1000000*SER_hh_emi_in!F7/SER_hh_num_in!F7)</f>
        <v>43413.760697923048</v>
      </c>
      <c r="G7" s="133">
        <f>IF(SER_hh_emi_in!G7=0,0,1000000*SER_hh_emi_in!G7/SER_hh_num_in!G7)</f>
        <v>43364.212581747306</v>
      </c>
      <c r="H7" s="133">
        <f>IF(SER_hh_emi_in!H7=0,0,1000000*SER_hh_emi_in!H7/SER_hh_num_in!H7)</f>
        <v>37481.604168047998</v>
      </c>
      <c r="I7" s="133">
        <f>IF(SER_hh_emi_in!I7=0,0,1000000*SER_hh_emi_in!I7/SER_hh_num_in!I7)</f>
        <v>31874.259721685477</v>
      </c>
      <c r="J7" s="133">
        <f>IF(SER_hh_emi_in!J7=0,0,1000000*SER_hh_emi_in!J7/SER_hh_num_in!J7)</f>
        <v>39988.444830687491</v>
      </c>
      <c r="K7" s="133">
        <f>IF(SER_hh_emi_in!K7=0,0,1000000*SER_hh_emi_in!K7/SER_hh_num_in!K7)</f>
        <v>32416.768481532465</v>
      </c>
      <c r="L7" s="133">
        <f>IF(SER_hh_emi_in!L7=0,0,1000000*SER_hh_emi_in!L7/SER_hh_num_in!L7)</f>
        <v>36131.848138016358</v>
      </c>
      <c r="M7" s="133">
        <f>IF(SER_hh_emi_in!M7=0,0,1000000*SER_hh_emi_in!M7/SER_hh_num_in!M7)</f>
        <v>29154.531714963177</v>
      </c>
      <c r="N7" s="133">
        <f>IF(SER_hh_emi_in!N7=0,0,1000000*SER_hh_emi_in!N7/SER_hh_num_in!N7)</f>
        <v>27925.87384839572</v>
      </c>
      <c r="O7" s="133">
        <f>IF(SER_hh_emi_in!O7=0,0,1000000*SER_hh_emi_in!O7/SER_hh_num_in!O7)</f>
        <v>29284.393031823744</v>
      </c>
      <c r="P7" s="133">
        <f>IF(SER_hh_emi_in!P7=0,0,1000000*SER_hh_emi_in!P7/SER_hh_num_in!P7)</f>
        <v>20776.875424640049</v>
      </c>
      <c r="Q7" s="133">
        <f>IF(SER_hh_emi_in!Q7=0,0,1000000*SER_hh_emi_in!Q7/SER_hh_num_in!Q7)</f>
        <v>23428.293734817289</v>
      </c>
      <c r="R7" s="133">
        <f>IF(SER_hh_emi_in!R7=0,0,1000000*SER_hh_emi_in!R7/SER_hh_num_in!R7)</f>
        <v>20610.601432203122</v>
      </c>
      <c r="S7" s="133">
        <f>IF(SER_hh_emi_in!S7=0,0,1000000*SER_hh_emi_in!S7/SER_hh_num_in!S7)</f>
        <v>20096.368876298053</v>
      </c>
      <c r="T7" s="133">
        <f>IF(SER_hh_emi_in!T7=0,0,1000000*SER_hh_emi_in!T7/SER_hh_num_in!T7)</f>
        <v>19048.802305805886</v>
      </c>
      <c r="U7" s="133">
        <f>IF(SER_hh_emi_in!U7=0,0,1000000*SER_hh_emi_in!U7/SER_hh_num_in!U7)</f>
        <v>17247.191523909642</v>
      </c>
      <c r="V7" s="133">
        <f>IF(SER_hh_emi_in!V7=0,0,1000000*SER_hh_emi_in!V7/SER_hh_num_in!V7)</f>
        <v>17062.767446952155</v>
      </c>
      <c r="W7" s="133">
        <f>IF(SER_hh_emi_in!W7=0,0,1000000*SER_hh_emi_in!W7/SER_hh_num_in!W7)</f>
        <v>12957.878190675876</v>
      </c>
      <c r="DA7" s="157" t="s">
        <v>789</v>
      </c>
    </row>
    <row r="8" spans="1:105" ht="12" customHeight="1" x14ac:dyDescent="0.25">
      <c r="A8" s="132" t="s">
        <v>73</v>
      </c>
      <c r="B8" s="133"/>
      <c r="C8" s="133">
        <f>IF(SER_hh_emi_in!C8=0,0,1000000*SER_hh_emi_in!C8/SER_hh_num_in!C8)</f>
        <v>8642.8817114938392</v>
      </c>
      <c r="D8" s="133">
        <f>IF(SER_hh_emi_in!D8=0,0,1000000*SER_hh_emi_in!D8/SER_hh_num_in!D8)</f>
        <v>8287.9087780547525</v>
      </c>
      <c r="E8" s="133">
        <f>IF(SER_hh_emi_in!E8=0,0,1000000*SER_hh_emi_in!E8/SER_hh_num_in!E8)</f>
        <v>7935.1438668034179</v>
      </c>
      <c r="F8" s="133">
        <f>IF(SER_hh_emi_in!F8=0,0,1000000*SER_hh_emi_in!F8/SER_hh_num_in!F8)</f>
        <v>8772.8689101400341</v>
      </c>
      <c r="G8" s="133">
        <f>IF(SER_hh_emi_in!G8=0,0,1000000*SER_hh_emi_in!G8/SER_hh_num_in!G8)</f>
        <v>7962.6475267005126</v>
      </c>
      <c r="H8" s="133">
        <f>IF(SER_hh_emi_in!H8=0,0,1000000*SER_hh_emi_in!H8/SER_hh_num_in!H8)</f>
        <v>7495.558431305175</v>
      </c>
      <c r="I8" s="133">
        <f>IF(SER_hh_emi_in!I8=0,0,1000000*SER_hh_emi_in!I8/SER_hh_num_in!I8)</f>
        <v>6212.0531997657254</v>
      </c>
      <c r="J8" s="133">
        <f>IF(SER_hh_emi_in!J8=0,0,1000000*SER_hh_emi_in!J8/SER_hh_num_in!J8)</f>
        <v>6350.0342685102878</v>
      </c>
      <c r="K8" s="133">
        <f>IF(SER_hh_emi_in!K8=0,0,1000000*SER_hh_emi_in!K8/SER_hh_num_in!K8)</f>
        <v>6068.4196701108922</v>
      </c>
      <c r="L8" s="133">
        <f>IF(SER_hh_emi_in!L8=0,0,1000000*SER_hh_emi_in!L8/SER_hh_num_in!L8)</f>
        <v>5700.7784347873567</v>
      </c>
      <c r="M8" s="133">
        <f>IF(SER_hh_emi_in!M8=0,0,1000000*SER_hh_emi_in!M8/SER_hh_num_in!M8)</f>
        <v>4352.5818849456309</v>
      </c>
      <c r="N8" s="133">
        <f>IF(SER_hh_emi_in!N8=0,0,1000000*SER_hh_emi_in!N8/SER_hh_num_in!N8)</f>
        <v>4421.0374828838521</v>
      </c>
      <c r="O8" s="133">
        <f>IF(SER_hh_emi_in!O8=0,0,1000000*SER_hh_emi_in!O8/SER_hh_num_in!O8)</f>
        <v>4496.2078540733464</v>
      </c>
      <c r="P8" s="133">
        <f>IF(SER_hh_emi_in!P8=0,0,1000000*SER_hh_emi_in!P8/SER_hh_num_in!P8)</f>
        <v>3183.1433276396519</v>
      </c>
      <c r="Q8" s="133">
        <f>IF(SER_hh_emi_in!Q8=0,0,1000000*SER_hh_emi_in!Q8/SER_hh_num_in!Q8)</f>
        <v>3318.6344895830607</v>
      </c>
      <c r="R8" s="133">
        <f>IF(SER_hh_emi_in!R8=0,0,1000000*SER_hh_emi_in!R8/SER_hh_num_in!R8)</f>
        <v>3219.9926803645963</v>
      </c>
      <c r="S8" s="133">
        <f>IF(SER_hh_emi_in!S8=0,0,1000000*SER_hh_emi_in!S8/SER_hh_num_in!S8)</f>
        <v>2930.0233908860373</v>
      </c>
      <c r="T8" s="133">
        <f>IF(SER_hh_emi_in!T8=0,0,1000000*SER_hh_emi_in!T8/SER_hh_num_in!T8)</f>
        <v>2759.6568527636623</v>
      </c>
      <c r="U8" s="133">
        <f>IF(SER_hh_emi_in!U8=0,0,1000000*SER_hh_emi_in!U8/SER_hh_num_in!U8)</f>
        <v>2590.3594520500556</v>
      </c>
      <c r="V8" s="133">
        <f>IF(SER_hh_emi_in!V8=0,0,1000000*SER_hh_emi_in!V8/SER_hh_num_in!V8)</f>
        <v>2335.2998390217072</v>
      </c>
      <c r="W8" s="133">
        <f>IF(SER_hh_emi_in!W8=0,0,1000000*SER_hh_emi_in!W8/SER_hh_num_in!W8)</f>
        <v>2245.8591871326557</v>
      </c>
      <c r="DA8" s="157" t="s">
        <v>790</v>
      </c>
    </row>
    <row r="9" spans="1:105" ht="12" customHeight="1" x14ac:dyDescent="0.25">
      <c r="A9" s="132" t="s">
        <v>78</v>
      </c>
      <c r="B9" s="133"/>
      <c r="C9" s="133">
        <f>IF(SER_hh_emi_in!C9=0,0,1000000*SER_hh_emi_in!C9/SER_hh_num_in!C9)</f>
        <v>23934.050048838242</v>
      </c>
      <c r="D9" s="133">
        <f>IF(SER_hh_emi_in!D9=0,0,1000000*SER_hh_emi_in!D9/SER_hh_num_in!D9)</f>
        <v>22152.585610365182</v>
      </c>
      <c r="E9" s="133">
        <f>IF(SER_hh_emi_in!E9=0,0,1000000*SER_hh_emi_in!E9/SER_hh_num_in!E9)</f>
        <v>23043.039738796742</v>
      </c>
      <c r="F9" s="133">
        <f>IF(SER_hh_emi_in!F9=0,0,1000000*SER_hh_emi_in!F9/SER_hh_num_in!F9)</f>
        <v>0</v>
      </c>
      <c r="G9" s="133">
        <f>IF(SER_hh_emi_in!G9=0,0,1000000*SER_hh_emi_in!G9/SER_hh_num_in!G9)</f>
        <v>0</v>
      </c>
      <c r="H9" s="133">
        <f>IF(SER_hh_emi_in!H9=0,0,1000000*SER_hh_emi_in!H9/SER_hh_num_in!H9)</f>
        <v>24432.016745364075</v>
      </c>
      <c r="I9" s="133">
        <f>IF(SER_hh_emi_in!I9=0,0,1000000*SER_hh_emi_in!I9/SER_hh_num_in!I9)</f>
        <v>21410.834895188604</v>
      </c>
      <c r="J9" s="133">
        <f>IF(SER_hh_emi_in!J9=0,0,1000000*SER_hh_emi_in!J9/SER_hh_num_in!J9)</f>
        <v>23333.923772304559</v>
      </c>
      <c r="K9" s="133">
        <f>IF(SER_hh_emi_in!K9=0,0,1000000*SER_hh_emi_in!K9/SER_hh_num_in!K9)</f>
        <v>23490.805466043937</v>
      </c>
      <c r="L9" s="133">
        <f>IF(SER_hh_emi_in!L9=0,0,1000000*SER_hh_emi_in!L9/SER_hh_num_in!L9)</f>
        <v>24118.822094904655</v>
      </c>
      <c r="M9" s="133">
        <f>IF(SER_hh_emi_in!M9=0,0,1000000*SER_hh_emi_in!M9/SER_hh_num_in!M9)</f>
        <v>17559.074074615663</v>
      </c>
      <c r="N9" s="133">
        <f>IF(SER_hh_emi_in!N9=0,0,1000000*SER_hh_emi_in!N9/SER_hh_num_in!N9)</f>
        <v>18946.327177924264</v>
      </c>
      <c r="O9" s="133">
        <f>IF(SER_hh_emi_in!O9=0,0,1000000*SER_hh_emi_in!O9/SER_hh_num_in!O9)</f>
        <v>19777.203574901177</v>
      </c>
      <c r="P9" s="133">
        <f>IF(SER_hh_emi_in!P9=0,0,1000000*SER_hh_emi_in!P9/SER_hh_num_in!P9)</f>
        <v>13769.020934077698</v>
      </c>
      <c r="Q9" s="133">
        <f>IF(SER_hh_emi_in!Q9=0,0,1000000*SER_hh_emi_in!Q9/SER_hh_num_in!Q9)</f>
        <v>14820.012700734873</v>
      </c>
      <c r="R9" s="133">
        <f>IF(SER_hh_emi_in!R9=0,0,1000000*SER_hh_emi_in!R9/SER_hh_num_in!R9)</f>
        <v>14711.886258962209</v>
      </c>
      <c r="S9" s="133">
        <f>IF(SER_hh_emi_in!S9=0,0,1000000*SER_hh_emi_in!S9/SER_hh_num_in!S9)</f>
        <v>13623.686406550605</v>
      </c>
      <c r="T9" s="133">
        <f>IF(SER_hh_emi_in!T9=0,0,1000000*SER_hh_emi_in!T9/SER_hh_num_in!T9)</f>
        <v>12969.580086152921</v>
      </c>
      <c r="U9" s="133">
        <f>IF(SER_hh_emi_in!U9=0,0,1000000*SER_hh_emi_in!U9/SER_hh_num_in!U9)</f>
        <v>12051.068914241796</v>
      </c>
      <c r="V9" s="133">
        <f>IF(SER_hh_emi_in!V9=0,0,1000000*SER_hh_emi_in!V9/SER_hh_num_in!V9)</f>
        <v>10304.766159068728</v>
      </c>
      <c r="W9" s="133">
        <f>IF(SER_hh_emi_in!W9=0,0,1000000*SER_hh_emi_in!W9/SER_hh_num_in!W9)</f>
        <v>10361.537706451167</v>
      </c>
      <c r="DA9" s="157" t="s">
        <v>791</v>
      </c>
    </row>
    <row r="10" spans="1:105" ht="12" customHeight="1" x14ac:dyDescent="0.25">
      <c r="A10" s="132" t="s">
        <v>128</v>
      </c>
      <c r="B10" s="133"/>
      <c r="C10" s="133">
        <f>IF(SER_hh_emi_in!C10=0,0,1000000*SER_hh_emi_in!C10/SER_hh_num_in!C10)</f>
        <v>0</v>
      </c>
      <c r="D10" s="133">
        <f>IF(SER_hh_emi_in!D10=0,0,1000000*SER_hh_emi_in!D10/SER_hh_num_in!D10)</f>
        <v>0</v>
      </c>
      <c r="E10" s="133">
        <f>IF(SER_hh_emi_in!E10=0,0,1000000*SER_hh_emi_in!E10/SER_hh_num_in!E10)</f>
        <v>0</v>
      </c>
      <c r="F10" s="133">
        <f>IF(SER_hh_emi_in!F10=0,0,1000000*SER_hh_emi_in!F10/SER_hh_num_in!F10)</f>
        <v>134295.78220763974</v>
      </c>
      <c r="G10" s="133">
        <f>IF(SER_hh_emi_in!G10=0,0,1000000*SER_hh_emi_in!G10/SER_hh_num_in!G10)</f>
        <v>114918.35387023627</v>
      </c>
      <c r="H10" s="133">
        <f>IF(SER_hh_emi_in!H10=0,0,1000000*SER_hh_emi_in!H10/SER_hh_num_in!H10)</f>
        <v>100031.27481039804</v>
      </c>
      <c r="I10" s="133">
        <f>IF(SER_hh_emi_in!I10=0,0,1000000*SER_hh_emi_in!I10/SER_hh_num_in!I10)</f>
        <v>0</v>
      </c>
      <c r="J10" s="133">
        <f>IF(SER_hh_emi_in!J10=0,0,1000000*SER_hh_emi_in!J10/SER_hh_num_in!J10)</f>
        <v>0</v>
      </c>
      <c r="K10" s="133">
        <f>IF(SER_hh_emi_in!K10=0,0,1000000*SER_hh_emi_in!K10/SER_hh_num_in!K10)</f>
        <v>0</v>
      </c>
      <c r="L10" s="133">
        <f>IF(SER_hh_emi_in!L10=0,0,1000000*SER_hh_emi_in!L10/SER_hh_num_in!L10)</f>
        <v>0</v>
      </c>
      <c r="M10" s="133">
        <f>IF(SER_hh_emi_in!M10=0,0,1000000*SER_hh_emi_in!M10/SER_hh_num_in!M10)</f>
        <v>0</v>
      </c>
      <c r="N10" s="133">
        <f>IF(SER_hh_emi_in!N10=0,0,1000000*SER_hh_emi_in!N10/SER_hh_num_in!N10)</f>
        <v>0</v>
      </c>
      <c r="O10" s="133">
        <f>IF(SER_hh_emi_in!O10=0,0,1000000*SER_hh_emi_in!O10/SER_hh_num_in!O10)</f>
        <v>44407.503140094275</v>
      </c>
      <c r="P10" s="133">
        <f>IF(SER_hh_emi_in!P10=0,0,1000000*SER_hh_emi_in!P10/SER_hh_num_in!P10)</f>
        <v>32299.638004127857</v>
      </c>
      <c r="Q10" s="133">
        <f>IF(SER_hh_emi_in!Q10=0,0,1000000*SER_hh_emi_in!Q10/SER_hh_num_in!Q10)</f>
        <v>36635.78138405941</v>
      </c>
      <c r="R10" s="133">
        <f>IF(SER_hh_emi_in!R10=0,0,1000000*SER_hh_emi_in!R10/SER_hh_num_in!R10)</f>
        <v>33228.875328651782</v>
      </c>
      <c r="S10" s="133">
        <f>IF(SER_hh_emi_in!S10=0,0,1000000*SER_hh_emi_in!S10/SER_hh_num_in!S10)</f>
        <v>30764.957234444151</v>
      </c>
      <c r="T10" s="133">
        <f>IF(SER_hh_emi_in!T10=0,0,1000000*SER_hh_emi_in!T10/SER_hh_num_in!T10)</f>
        <v>28104.025802053893</v>
      </c>
      <c r="U10" s="133">
        <f>IF(SER_hh_emi_in!U10=0,0,1000000*SER_hh_emi_in!U10/SER_hh_num_in!U10)</f>
        <v>25299.095061503136</v>
      </c>
      <c r="V10" s="133">
        <f>IF(SER_hh_emi_in!V10=0,0,1000000*SER_hh_emi_in!V10/SER_hh_num_in!V10)</f>
        <v>23802.377244159234</v>
      </c>
      <c r="W10" s="133">
        <f>IF(SER_hh_emi_in!W10=0,0,1000000*SER_hh_emi_in!W10/SER_hh_num_in!W10)</f>
        <v>20577.560908139701</v>
      </c>
      <c r="DA10" s="157" t="s">
        <v>792</v>
      </c>
    </row>
    <row r="11" spans="1:105" ht="12" customHeight="1" x14ac:dyDescent="0.25">
      <c r="A11" s="132" t="s">
        <v>25</v>
      </c>
      <c r="B11" s="133"/>
      <c r="C11" s="133">
        <f>IF(SER_hh_emi_in!C11=0,0,1000000*SER_hh_emi_in!C11/SER_hh_num_in!C11)</f>
        <v>0</v>
      </c>
      <c r="D11" s="133">
        <f>IF(SER_hh_emi_in!D11=0,0,1000000*SER_hh_emi_in!D11/SER_hh_num_in!D11)</f>
        <v>0</v>
      </c>
      <c r="E11" s="133">
        <f>IF(SER_hh_emi_in!E11=0,0,1000000*SER_hh_emi_in!E11/SER_hh_num_in!E11)</f>
        <v>0</v>
      </c>
      <c r="F11" s="133">
        <f>IF(SER_hh_emi_in!F11=0,0,1000000*SER_hh_emi_in!F11/SER_hh_num_in!F11)</f>
        <v>0</v>
      </c>
      <c r="G11" s="133">
        <f>IF(SER_hh_emi_in!G11=0,0,1000000*SER_hh_emi_in!G11/SER_hh_num_in!G11)</f>
        <v>0</v>
      </c>
      <c r="H11" s="133">
        <f>IF(SER_hh_emi_in!H11=0,0,1000000*SER_hh_emi_in!H11/SER_hh_num_in!H11)</f>
        <v>0</v>
      </c>
      <c r="I11" s="133">
        <f>IF(SER_hh_emi_in!I11=0,0,1000000*SER_hh_emi_in!I11/SER_hh_num_in!I11)</f>
        <v>0</v>
      </c>
      <c r="J11" s="133">
        <f>IF(SER_hh_emi_in!J11=0,0,1000000*SER_hh_emi_in!J11/SER_hh_num_in!J11)</f>
        <v>0</v>
      </c>
      <c r="K11" s="133">
        <f>IF(SER_hh_emi_in!K11=0,0,1000000*SER_hh_emi_in!K11/SER_hh_num_in!K11)</f>
        <v>0</v>
      </c>
      <c r="L11" s="133">
        <f>IF(SER_hh_emi_in!L11=0,0,1000000*SER_hh_emi_in!L11/SER_hh_num_in!L11)</f>
        <v>0</v>
      </c>
      <c r="M11" s="133">
        <f>IF(SER_hh_emi_in!M11=0,0,1000000*SER_hh_emi_in!M11/SER_hh_num_in!M11)</f>
        <v>0</v>
      </c>
      <c r="N11" s="133">
        <f>IF(SER_hh_emi_in!N11=0,0,1000000*SER_hh_emi_in!N11/SER_hh_num_in!N11)</f>
        <v>0</v>
      </c>
      <c r="O11" s="133">
        <f>IF(SER_hh_emi_in!O11=0,0,1000000*SER_hh_emi_in!O11/SER_hh_num_in!O11)</f>
        <v>0</v>
      </c>
      <c r="P11" s="133">
        <f>IF(SER_hh_emi_in!P11=0,0,1000000*SER_hh_emi_in!P11/SER_hh_num_in!P11)</f>
        <v>0</v>
      </c>
      <c r="Q11" s="133">
        <f>IF(SER_hh_emi_in!Q11=0,0,1000000*SER_hh_emi_in!Q11/SER_hh_num_in!Q11)</f>
        <v>0</v>
      </c>
      <c r="R11" s="133">
        <f>IF(SER_hh_emi_in!R11=0,0,1000000*SER_hh_emi_in!R11/SER_hh_num_in!R11)</f>
        <v>0</v>
      </c>
      <c r="S11" s="133">
        <f>IF(SER_hh_emi_in!S11=0,0,1000000*SER_hh_emi_in!S11/SER_hh_num_in!S11)</f>
        <v>0</v>
      </c>
      <c r="T11" s="133">
        <f>IF(SER_hh_emi_in!T11=0,0,1000000*SER_hh_emi_in!T11/SER_hh_num_in!T11)</f>
        <v>0</v>
      </c>
      <c r="U11" s="133">
        <f>IF(SER_hh_emi_in!U11=0,0,1000000*SER_hh_emi_in!U11/SER_hh_num_in!U11)</f>
        <v>0</v>
      </c>
      <c r="V11" s="133">
        <f>IF(SER_hh_emi_in!V11=0,0,1000000*SER_hh_emi_in!V11/SER_hh_num_in!V11)</f>
        <v>0</v>
      </c>
      <c r="W11" s="133">
        <f>IF(SER_hh_emi_in!W11=0,0,1000000*SER_hh_emi_in!W11/SER_hh_num_in!W11)</f>
        <v>0</v>
      </c>
      <c r="DA11" s="157" t="s">
        <v>793</v>
      </c>
    </row>
    <row r="12" spans="1:105" ht="12" customHeight="1" x14ac:dyDescent="0.25">
      <c r="A12" s="132" t="s">
        <v>169</v>
      </c>
      <c r="B12" s="133"/>
      <c r="C12" s="133">
        <f>IF(SER_hh_emi_in!C12=0,0,1000000*SER_hh_emi_in!C12/SER_hh_num_in!C12)</f>
        <v>0</v>
      </c>
      <c r="D12" s="133">
        <f>IF(SER_hh_emi_in!D12=0,0,1000000*SER_hh_emi_in!D12/SER_hh_num_in!D12)</f>
        <v>0</v>
      </c>
      <c r="E12" s="133">
        <f>IF(SER_hh_emi_in!E12=0,0,1000000*SER_hh_emi_in!E12/SER_hh_num_in!E12)</f>
        <v>0</v>
      </c>
      <c r="F12" s="133">
        <f>IF(SER_hh_emi_in!F12=0,0,1000000*SER_hh_emi_in!F12/SER_hh_num_in!F12)</f>
        <v>0</v>
      </c>
      <c r="G12" s="133">
        <f>IF(SER_hh_emi_in!G12=0,0,1000000*SER_hh_emi_in!G12/SER_hh_num_in!G12)</f>
        <v>0</v>
      </c>
      <c r="H12" s="133">
        <f>IF(SER_hh_emi_in!H12=0,0,1000000*SER_hh_emi_in!H12/SER_hh_num_in!H12)</f>
        <v>0</v>
      </c>
      <c r="I12" s="133">
        <f>IF(SER_hh_emi_in!I12=0,0,1000000*SER_hh_emi_in!I12/SER_hh_num_in!I12)</f>
        <v>0</v>
      </c>
      <c r="J12" s="133">
        <f>IF(SER_hh_emi_in!J12=0,0,1000000*SER_hh_emi_in!J12/SER_hh_num_in!J12)</f>
        <v>0</v>
      </c>
      <c r="K12" s="133">
        <f>IF(SER_hh_emi_in!K12=0,0,1000000*SER_hh_emi_in!K12/SER_hh_num_in!K12)</f>
        <v>0</v>
      </c>
      <c r="L12" s="133">
        <f>IF(SER_hh_emi_in!L12=0,0,1000000*SER_hh_emi_in!L12/SER_hh_num_in!L12)</f>
        <v>0</v>
      </c>
      <c r="M12" s="133">
        <f>IF(SER_hh_emi_in!M12=0,0,1000000*SER_hh_emi_in!M12/SER_hh_num_in!M12)</f>
        <v>0</v>
      </c>
      <c r="N12" s="133">
        <f>IF(SER_hh_emi_in!N12=0,0,1000000*SER_hh_emi_in!N12/SER_hh_num_in!N12)</f>
        <v>0</v>
      </c>
      <c r="O12" s="133">
        <f>IF(SER_hh_emi_in!O12=0,0,1000000*SER_hh_emi_in!O12/SER_hh_num_in!O12)</f>
        <v>0</v>
      </c>
      <c r="P12" s="133">
        <f>IF(SER_hh_emi_in!P12=0,0,1000000*SER_hh_emi_in!P12/SER_hh_num_in!P12)</f>
        <v>0</v>
      </c>
      <c r="Q12" s="133">
        <f>IF(SER_hh_emi_in!Q12=0,0,1000000*SER_hh_emi_in!Q12/SER_hh_num_in!Q12)</f>
        <v>0</v>
      </c>
      <c r="R12" s="133">
        <f>IF(SER_hh_emi_in!R12=0,0,1000000*SER_hh_emi_in!R12/SER_hh_num_in!R12)</f>
        <v>0</v>
      </c>
      <c r="S12" s="133">
        <f>IF(SER_hh_emi_in!S12=0,0,1000000*SER_hh_emi_in!S12/SER_hh_num_in!S12)</f>
        <v>0</v>
      </c>
      <c r="T12" s="133">
        <f>IF(SER_hh_emi_in!T12=0,0,1000000*SER_hh_emi_in!T12/SER_hh_num_in!T12)</f>
        <v>0</v>
      </c>
      <c r="U12" s="133">
        <f>IF(SER_hh_emi_in!U12=0,0,1000000*SER_hh_emi_in!U12/SER_hh_num_in!U12)</f>
        <v>0</v>
      </c>
      <c r="V12" s="133">
        <f>IF(SER_hh_emi_in!V12=0,0,1000000*SER_hh_emi_in!V12/SER_hh_num_in!V12)</f>
        <v>0</v>
      </c>
      <c r="W12" s="133">
        <f>IF(SER_hh_emi_in!W12=0,0,1000000*SER_hh_emi_in!W12/SER_hh_num_in!W12)</f>
        <v>0</v>
      </c>
      <c r="DA12" s="157" t="s">
        <v>794</v>
      </c>
    </row>
    <row r="13" spans="1:105" ht="12" customHeight="1" x14ac:dyDescent="0.25">
      <c r="A13" s="132" t="s">
        <v>77</v>
      </c>
      <c r="B13" s="133"/>
      <c r="C13" s="133">
        <f>IF(SER_hh_emi_in!C13=0,0,1000000*SER_hh_emi_in!C13/SER_hh_num_in!C13)</f>
        <v>0</v>
      </c>
      <c r="D13" s="133">
        <f>IF(SER_hh_emi_in!D13=0,0,1000000*SER_hh_emi_in!D13/SER_hh_num_in!D13)</f>
        <v>0</v>
      </c>
      <c r="E13" s="133">
        <f>IF(SER_hh_emi_in!E13=0,0,1000000*SER_hh_emi_in!E13/SER_hh_num_in!E13)</f>
        <v>0</v>
      </c>
      <c r="F13" s="133">
        <f>IF(SER_hh_emi_in!F13=0,0,1000000*SER_hh_emi_in!F13/SER_hh_num_in!F13)</f>
        <v>0</v>
      </c>
      <c r="G13" s="133">
        <f>IF(SER_hh_emi_in!G13=0,0,1000000*SER_hh_emi_in!G13/SER_hh_num_in!G13)</f>
        <v>0</v>
      </c>
      <c r="H13" s="133">
        <f>IF(SER_hh_emi_in!H13=0,0,1000000*SER_hh_emi_in!H13/SER_hh_num_in!H13)</f>
        <v>0</v>
      </c>
      <c r="I13" s="133">
        <f>IF(SER_hh_emi_in!I13=0,0,1000000*SER_hh_emi_in!I13/SER_hh_num_in!I13)</f>
        <v>0</v>
      </c>
      <c r="J13" s="133">
        <f>IF(SER_hh_emi_in!J13=0,0,1000000*SER_hh_emi_in!J13/SER_hh_num_in!J13)</f>
        <v>0</v>
      </c>
      <c r="K13" s="133">
        <f>IF(SER_hh_emi_in!K13=0,0,1000000*SER_hh_emi_in!K13/SER_hh_num_in!K13)</f>
        <v>0</v>
      </c>
      <c r="L13" s="133">
        <f>IF(SER_hh_emi_in!L13=0,0,1000000*SER_hh_emi_in!L13/SER_hh_num_in!L13)</f>
        <v>0</v>
      </c>
      <c r="M13" s="133">
        <f>IF(SER_hh_emi_in!M13=0,0,1000000*SER_hh_emi_in!M13/SER_hh_num_in!M13)</f>
        <v>0</v>
      </c>
      <c r="N13" s="133">
        <f>IF(SER_hh_emi_in!N13=0,0,1000000*SER_hh_emi_in!N13/SER_hh_num_in!N13)</f>
        <v>0</v>
      </c>
      <c r="O13" s="133">
        <f>IF(SER_hh_emi_in!O13=0,0,1000000*SER_hh_emi_in!O13/SER_hh_num_in!O13)</f>
        <v>0</v>
      </c>
      <c r="P13" s="133">
        <f>IF(SER_hh_emi_in!P13=0,0,1000000*SER_hh_emi_in!P13/SER_hh_num_in!P13)</f>
        <v>0</v>
      </c>
      <c r="Q13" s="133">
        <f>IF(SER_hh_emi_in!Q13=0,0,1000000*SER_hh_emi_in!Q13/SER_hh_num_in!Q13)</f>
        <v>0</v>
      </c>
      <c r="R13" s="133">
        <f>IF(SER_hh_emi_in!R13=0,0,1000000*SER_hh_emi_in!R13/SER_hh_num_in!R13)</f>
        <v>0</v>
      </c>
      <c r="S13" s="133">
        <f>IF(SER_hh_emi_in!S13=0,0,1000000*SER_hh_emi_in!S13/SER_hh_num_in!S13)</f>
        <v>0</v>
      </c>
      <c r="T13" s="133">
        <f>IF(SER_hh_emi_in!T13=0,0,1000000*SER_hh_emi_in!T13/SER_hh_num_in!T13)</f>
        <v>0</v>
      </c>
      <c r="U13" s="133">
        <f>IF(SER_hh_emi_in!U13=0,0,1000000*SER_hh_emi_in!U13/SER_hh_num_in!U13)</f>
        <v>0</v>
      </c>
      <c r="V13" s="133">
        <f>IF(SER_hh_emi_in!V13=0,0,1000000*SER_hh_emi_in!V13/SER_hh_num_in!V13)</f>
        <v>0</v>
      </c>
      <c r="W13" s="133">
        <f>IF(SER_hh_emi_in!W13=0,0,1000000*SER_hh_emi_in!W13/SER_hh_num_in!W13)</f>
        <v>0</v>
      </c>
      <c r="DA13" s="157" t="s">
        <v>795</v>
      </c>
    </row>
    <row r="14" spans="1:105" ht="12" customHeight="1" x14ac:dyDescent="0.25">
      <c r="A14" s="60" t="s">
        <v>76</v>
      </c>
      <c r="B14" s="65"/>
      <c r="C14" s="65">
        <f>IF(SER_hh_emi_in!C14=0,0,1000000*SER_hh_emi_in!C14/SER_hh_num_in!C14)</f>
        <v>0</v>
      </c>
      <c r="D14" s="65">
        <f>IF(SER_hh_emi_in!D14=0,0,1000000*SER_hh_emi_in!D14/SER_hh_num_in!D14)</f>
        <v>0</v>
      </c>
      <c r="E14" s="65">
        <f>IF(SER_hh_emi_in!E14=0,0,1000000*SER_hh_emi_in!E14/SER_hh_num_in!E14)</f>
        <v>0</v>
      </c>
      <c r="F14" s="65">
        <f>IF(SER_hh_emi_in!F14=0,0,1000000*SER_hh_emi_in!F14/SER_hh_num_in!F14)</f>
        <v>0</v>
      </c>
      <c r="G14" s="65">
        <f>IF(SER_hh_emi_in!G14=0,0,1000000*SER_hh_emi_in!G14/SER_hh_num_in!G14)</f>
        <v>0</v>
      </c>
      <c r="H14" s="65">
        <f>IF(SER_hh_emi_in!H14=0,0,1000000*SER_hh_emi_in!H14/SER_hh_num_in!H14)</f>
        <v>0</v>
      </c>
      <c r="I14" s="65">
        <f>IF(SER_hh_emi_in!I14=0,0,1000000*SER_hh_emi_in!I14/SER_hh_num_in!I14)</f>
        <v>0</v>
      </c>
      <c r="J14" s="65">
        <f>IF(SER_hh_emi_in!J14=0,0,1000000*SER_hh_emi_in!J14/SER_hh_num_in!J14)</f>
        <v>0</v>
      </c>
      <c r="K14" s="65">
        <f>IF(SER_hh_emi_in!K14=0,0,1000000*SER_hh_emi_in!K14/SER_hh_num_in!K14)</f>
        <v>0</v>
      </c>
      <c r="L14" s="65">
        <f>IF(SER_hh_emi_in!L14=0,0,1000000*SER_hh_emi_in!L14/SER_hh_num_in!L14)</f>
        <v>0</v>
      </c>
      <c r="M14" s="65">
        <f>IF(SER_hh_emi_in!M14=0,0,1000000*SER_hh_emi_in!M14/SER_hh_num_in!M14)</f>
        <v>0</v>
      </c>
      <c r="N14" s="65">
        <f>IF(SER_hh_emi_in!N14=0,0,1000000*SER_hh_emi_in!N14/SER_hh_num_in!N14)</f>
        <v>0</v>
      </c>
      <c r="O14" s="65">
        <f>IF(SER_hh_emi_in!O14=0,0,1000000*SER_hh_emi_in!O14/SER_hh_num_in!O14)</f>
        <v>0</v>
      </c>
      <c r="P14" s="65">
        <f>IF(SER_hh_emi_in!P14=0,0,1000000*SER_hh_emi_in!P14/SER_hh_num_in!P14)</f>
        <v>0</v>
      </c>
      <c r="Q14" s="65">
        <f>IF(SER_hh_emi_in!Q14=0,0,1000000*SER_hh_emi_in!Q14/SER_hh_num_in!Q14)</f>
        <v>0</v>
      </c>
      <c r="R14" s="65">
        <f>IF(SER_hh_emi_in!R14=0,0,1000000*SER_hh_emi_in!R14/SER_hh_num_in!R14)</f>
        <v>0</v>
      </c>
      <c r="S14" s="65">
        <f>IF(SER_hh_emi_in!S14=0,0,1000000*SER_hh_emi_in!S14/SER_hh_num_in!S14)</f>
        <v>0</v>
      </c>
      <c r="T14" s="65">
        <f>IF(SER_hh_emi_in!T14=0,0,1000000*SER_hh_emi_in!T14/SER_hh_num_in!T14)</f>
        <v>0</v>
      </c>
      <c r="U14" s="65">
        <f>IF(SER_hh_emi_in!U14=0,0,1000000*SER_hh_emi_in!U14/SER_hh_num_in!U14)</f>
        <v>0</v>
      </c>
      <c r="V14" s="65">
        <f>IF(SER_hh_emi_in!V14=0,0,1000000*SER_hh_emi_in!V14/SER_hh_num_in!V14)</f>
        <v>0</v>
      </c>
      <c r="W14" s="65">
        <f>IF(SER_hh_emi_in!W14=0,0,1000000*SER_hh_emi_in!W14/SER_hh_num_in!W14)</f>
        <v>0</v>
      </c>
      <c r="DA14" s="109" t="s">
        <v>796</v>
      </c>
    </row>
    <row r="15" spans="1:105" ht="12" customHeight="1" x14ac:dyDescent="0.25">
      <c r="A15" s="134" t="s">
        <v>80</v>
      </c>
      <c r="B15" s="135"/>
      <c r="C15" s="135">
        <f>IF(SER_hh_emi_in!C15=0,0,1000000*SER_hh_emi_in!C15/SER_hh_num_in!C15)</f>
        <v>0</v>
      </c>
      <c r="D15" s="135">
        <f>IF(SER_hh_emi_in!D15=0,0,1000000*SER_hh_emi_in!D15/SER_hh_num_in!D15)</f>
        <v>0</v>
      </c>
      <c r="E15" s="135">
        <f>IF(SER_hh_emi_in!E15=0,0,1000000*SER_hh_emi_in!E15/SER_hh_num_in!E15)</f>
        <v>0</v>
      </c>
      <c r="F15" s="135">
        <f>IF(SER_hh_emi_in!F15=0,0,1000000*SER_hh_emi_in!F15/SER_hh_num_in!F15)</f>
        <v>0</v>
      </c>
      <c r="G15" s="135">
        <f>IF(SER_hh_emi_in!G15=0,0,1000000*SER_hh_emi_in!G15/SER_hh_num_in!G15)</f>
        <v>0</v>
      </c>
      <c r="H15" s="135">
        <f>IF(SER_hh_emi_in!H15=0,0,1000000*SER_hh_emi_in!H15/SER_hh_num_in!H15)</f>
        <v>0</v>
      </c>
      <c r="I15" s="135">
        <f>IF(SER_hh_emi_in!I15=0,0,1000000*SER_hh_emi_in!I15/SER_hh_num_in!I15)</f>
        <v>0</v>
      </c>
      <c r="J15" s="135">
        <f>IF(SER_hh_emi_in!J15=0,0,1000000*SER_hh_emi_in!J15/SER_hh_num_in!J15)</f>
        <v>0</v>
      </c>
      <c r="K15" s="135">
        <f>IF(SER_hh_emi_in!K15=0,0,1000000*SER_hh_emi_in!K15/SER_hh_num_in!K15)</f>
        <v>0</v>
      </c>
      <c r="L15" s="135">
        <f>IF(SER_hh_emi_in!L15=0,0,1000000*SER_hh_emi_in!L15/SER_hh_num_in!L15)</f>
        <v>0</v>
      </c>
      <c r="M15" s="135">
        <f>IF(SER_hh_emi_in!M15=0,0,1000000*SER_hh_emi_in!M15/SER_hh_num_in!M15)</f>
        <v>0</v>
      </c>
      <c r="N15" s="135">
        <f>IF(SER_hh_emi_in!N15=0,0,1000000*SER_hh_emi_in!N15/SER_hh_num_in!N15)</f>
        <v>0</v>
      </c>
      <c r="O15" s="135">
        <f>IF(SER_hh_emi_in!O15=0,0,1000000*SER_hh_emi_in!O15/SER_hh_num_in!O15)</f>
        <v>0</v>
      </c>
      <c r="P15" s="135">
        <f>IF(SER_hh_emi_in!P15=0,0,1000000*SER_hh_emi_in!P15/SER_hh_num_in!P15)</f>
        <v>0</v>
      </c>
      <c r="Q15" s="135">
        <f>IF(SER_hh_emi_in!Q15=0,0,1000000*SER_hh_emi_in!Q15/SER_hh_num_in!Q15)</f>
        <v>0</v>
      </c>
      <c r="R15" s="135">
        <f>IF(SER_hh_emi_in!R15=0,0,1000000*SER_hh_emi_in!R15/SER_hh_num_in!R15)</f>
        <v>0</v>
      </c>
      <c r="S15" s="135">
        <f>IF(SER_hh_emi_in!S15=0,0,1000000*SER_hh_emi_in!S15/SER_hh_num_in!S15)</f>
        <v>0</v>
      </c>
      <c r="T15" s="135">
        <f>IF(SER_hh_emi_in!T15=0,0,1000000*SER_hh_emi_in!T15/SER_hh_num_in!T15)</f>
        <v>0</v>
      </c>
      <c r="U15" s="135">
        <f>IF(SER_hh_emi_in!U15=0,0,1000000*SER_hh_emi_in!U15/SER_hh_num_in!U15)</f>
        <v>0</v>
      </c>
      <c r="V15" s="135">
        <f>IF(SER_hh_emi_in!V15=0,0,1000000*SER_hh_emi_in!V15/SER_hh_num_in!V15)</f>
        <v>0</v>
      </c>
      <c r="W15" s="135">
        <f>IF(SER_hh_emi_in!W15=0,0,1000000*SER_hh_emi_in!W15/SER_hh_num_in!W15)</f>
        <v>0</v>
      </c>
      <c r="DA15" s="158" t="s">
        <v>797</v>
      </c>
    </row>
    <row r="16" spans="1:105" ht="12.95" customHeight="1" x14ac:dyDescent="0.25">
      <c r="A16" s="130" t="s">
        <v>74</v>
      </c>
      <c r="B16" s="131"/>
      <c r="C16" s="131">
        <f>IF(SER_hh_emi_in!C16=0,0,1000000*SER_hh_emi_in!C16/SER_hh_num_in!C16)</f>
        <v>4.7009665547444701</v>
      </c>
      <c r="D16" s="131">
        <f>IF(SER_hh_emi_in!D16=0,0,1000000*SER_hh_emi_in!D16/SER_hh_num_in!D16)</f>
        <v>5.1913159773541979</v>
      </c>
      <c r="E16" s="131">
        <f>IF(SER_hh_emi_in!E16=0,0,1000000*SER_hh_emi_in!E16/SER_hh_num_in!E16)</f>
        <v>0.74886770961539872</v>
      </c>
      <c r="F16" s="131">
        <f>IF(SER_hh_emi_in!F16=0,0,1000000*SER_hh_emi_in!F16/SER_hh_num_in!F16)</f>
        <v>11.283905082342617</v>
      </c>
      <c r="G16" s="131">
        <f>IF(SER_hh_emi_in!G16=0,0,1000000*SER_hh_emi_in!G16/SER_hh_num_in!G16)</f>
        <v>8.5344791867090688</v>
      </c>
      <c r="H16" s="131">
        <f>IF(SER_hh_emi_in!H16=0,0,1000000*SER_hh_emi_in!H16/SER_hh_num_in!H16)</f>
        <v>4.6937857358898274</v>
      </c>
      <c r="I16" s="131">
        <f>IF(SER_hh_emi_in!I16=0,0,1000000*SER_hh_emi_in!I16/SER_hh_num_in!I16)</f>
        <v>12.310463818653757</v>
      </c>
      <c r="J16" s="131">
        <f>IF(SER_hh_emi_in!J16=0,0,1000000*SER_hh_emi_in!J16/SER_hh_num_in!J16)</f>
        <v>13.492174190756723</v>
      </c>
      <c r="K16" s="131">
        <f>IF(SER_hh_emi_in!K16=0,0,1000000*SER_hh_emi_in!K16/SER_hh_num_in!K16)</f>
        <v>13.154452312583125</v>
      </c>
      <c r="L16" s="131">
        <f>IF(SER_hh_emi_in!L16=0,0,1000000*SER_hh_emi_in!L16/SER_hh_num_in!L16)</f>
        <v>6.661498916020852</v>
      </c>
      <c r="M16" s="131">
        <f>IF(SER_hh_emi_in!M16=0,0,1000000*SER_hh_emi_in!M16/SER_hh_num_in!M16)</f>
        <v>10.740424556702406</v>
      </c>
      <c r="N16" s="131">
        <f>IF(SER_hh_emi_in!N16=0,0,1000000*SER_hh_emi_in!N16/SER_hh_num_in!N16)</f>
        <v>11.59548691998492</v>
      </c>
      <c r="O16" s="131">
        <f>IF(SER_hh_emi_in!O16=0,0,1000000*SER_hh_emi_in!O16/SER_hh_num_in!O16)</f>
        <v>16.876030108111781</v>
      </c>
      <c r="P16" s="131">
        <f>IF(SER_hh_emi_in!P16=0,0,1000000*SER_hh_emi_in!P16/SER_hh_num_in!P16)</f>
        <v>26.63737715706532</v>
      </c>
      <c r="Q16" s="131">
        <f>IF(SER_hh_emi_in!Q16=0,0,1000000*SER_hh_emi_in!Q16/SER_hh_num_in!Q16)</f>
        <v>42.334015155595594</v>
      </c>
      <c r="R16" s="131">
        <f>IF(SER_hh_emi_in!R16=0,0,1000000*SER_hh_emi_in!R16/SER_hh_num_in!R16)</f>
        <v>27.116395304059456</v>
      </c>
      <c r="S16" s="131">
        <f>IF(SER_hh_emi_in!S16=0,0,1000000*SER_hh_emi_in!S16/SER_hh_num_in!S16)</f>
        <v>17.446749678127681</v>
      </c>
      <c r="T16" s="131">
        <f>IF(SER_hh_emi_in!T16=0,0,1000000*SER_hh_emi_in!T16/SER_hh_num_in!T16)</f>
        <v>31.969721727638053</v>
      </c>
      <c r="U16" s="131">
        <f>IF(SER_hh_emi_in!U16=0,0,1000000*SER_hh_emi_in!U16/SER_hh_num_in!U16)</f>
        <v>34.682212318627627</v>
      </c>
      <c r="V16" s="131">
        <f>IF(SER_hh_emi_in!V16=0,0,1000000*SER_hh_emi_in!V16/SER_hh_num_in!V16)</f>
        <v>44.376458272564363</v>
      </c>
      <c r="W16" s="131">
        <f>IF(SER_hh_emi_in!W16=0,0,1000000*SER_hh_emi_in!W16/SER_hh_num_in!W16)</f>
        <v>3.7463152385973677</v>
      </c>
      <c r="DA16" s="156" t="s">
        <v>798</v>
      </c>
    </row>
    <row r="17" spans="1:105" ht="12.95" customHeight="1" x14ac:dyDescent="0.25">
      <c r="A17" s="132" t="s">
        <v>73</v>
      </c>
      <c r="B17" s="133"/>
      <c r="C17" s="133">
        <f>IF(SER_hh_emi_in!C17=0,0,1000000*SER_hh_emi_in!C17/SER_hh_num_in!C17)</f>
        <v>4151.9105333487387</v>
      </c>
      <c r="D17" s="133">
        <f>IF(SER_hh_emi_in!D17=0,0,1000000*SER_hh_emi_in!D17/SER_hh_num_in!D17)</f>
        <v>4105.9475633615111</v>
      </c>
      <c r="E17" s="133">
        <f>IF(SER_hh_emi_in!E17=0,0,1000000*SER_hh_emi_in!E17/SER_hh_num_in!E17)</f>
        <v>5176.301570800445</v>
      </c>
      <c r="F17" s="133">
        <f>IF(SER_hh_emi_in!F17=0,0,1000000*SER_hh_emi_in!F17/SER_hh_num_in!F17)</f>
        <v>4005.7982691632064</v>
      </c>
      <c r="G17" s="133">
        <f>IF(SER_hh_emi_in!G17=0,0,1000000*SER_hh_emi_in!G17/SER_hh_num_in!G17)</f>
        <v>4032.1760097477486</v>
      </c>
      <c r="H17" s="133">
        <f>IF(SER_hh_emi_in!H17=0,0,1000000*SER_hh_emi_in!H17/SER_hh_num_in!H17)</f>
        <v>4990.2418105772849</v>
      </c>
      <c r="I17" s="133">
        <f>IF(SER_hh_emi_in!I17=0,0,1000000*SER_hh_emi_in!I17/SER_hh_num_in!I17)</f>
        <v>3866.9395834817401</v>
      </c>
      <c r="J17" s="133">
        <f>IF(SER_hh_emi_in!J17=0,0,1000000*SER_hh_emi_in!J17/SER_hh_num_in!J17)</f>
        <v>3851.0161655023994</v>
      </c>
      <c r="K17" s="133">
        <f>IF(SER_hh_emi_in!K17=0,0,1000000*SER_hh_emi_in!K17/SER_hh_num_in!K17)</f>
        <v>3817.7918653797992</v>
      </c>
      <c r="L17" s="133">
        <f>IF(SER_hh_emi_in!L17=0,0,1000000*SER_hh_emi_in!L17/SER_hh_num_in!L17)</f>
        <v>3995.7982587215029</v>
      </c>
      <c r="M17" s="133">
        <f>IF(SER_hh_emi_in!M17=0,0,1000000*SER_hh_emi_in!M17/SER_hh_num_in!M17)</f>
        <v>3672.7144953029056</v>
      </c>
      <c r="N17" s="133">
        <f>IF(SER_hh_emi_in!N17=0,0,1000000*SER_hh_emi_in!N17/SER_hh_num_in!N17)</f>
        <v>3601.6633588765026</v>
      </c>
      <c r="O17" s="133">
        <f>IF(SER_hh_emi_in!O17=0,0,1000000*SER_hh_emi_in!O17/SER_hh_num_in!O17)</f>
        <v>3506.4140385208907</v>
      </c>
      <c r="P17" s="133">
        <f>IF(SER_hh_emi_in!P17=0,0,1000000*SER_hh_emi_in!P17/SER_hh_num_in!P17)</f>
        <v>3226.5914468332198</v>
      </c>
      <c r="Q17" s="133">
        <f>IF(SER_hh_emi_in!Q17=0,0,1000000*SER_hh_emi_in!Q17/SER_hh_num_in!Q17)</f>
        <v>3465.9240286977815</v>
      </c>
      <c r="R17" s="133">
        <f>IF(SER_hh_emi_in!R17=0,0,1000000*SER_hh_emi_in!R17/SER_hh_num_in!R17)</f>
        <v>3209.006944142774</v>
      </c>
      <c r="S17" s="133">
        <f>IF(SER_hh_emi_in!S17=0,0,1000000*SER_hh_emi_in!S17/SER_hh_num_in!S17)</f>
        <v>2895.5226963762038</v>
      </c>
      <c r="T17" s="133">
        <f>IF(SER_hh_emi_in!T17=0,0,1000000*SER_hh_emi_in!T17/SER_hh_num_in!T17)</f>
        <v>3144.8918376479446</v>
      </c>
      <c r="U17" s="133">
        <f>IF(SER_hh_emi_in!U17=0,0,1000000*SER_hh_emi_in!U17/SER_hh_num_in!U17)</f>
        <v>2863.3365500084101</v>
      </c>
      <c r="V17" s="133">
        <f>IF(SER_hh_emi_in!V17=0,0,1000000*SER_hh_emi_in!V17/SER_hh_num_in!V17)</f>
        <v>3058.7529006291761</v>
      </c>
      <c r="W17" s="133">
        <f>IF(SER_hh_emi_in!W17=0,0,1000000*SER_hh_emi_in!W17/SER_hh_num_in!W17)</f>
        <v>2153.850818464065</v>
      </c>
      <c r="DA17" s="157" t="s">
        <v>799</v>
      </c>
    </row>
    <row r="18" spans="1:105" ht="12" customHeight="1" x14ac:dyDescent="0.25">
      <c r="A18" s="132" t="s">
        <v>72</v>
      </c>
      <c r="B18" s="133"/>
      <c r="C18" s="133">
        <f>IF(SER_hh_emi_in!C18=0,0,1000000*SER_hh_emi_in!C18/SER_hh_num_in!C18)</f>
        <v>0</v>
      </c>
      <c r="D18" s="133">
        <f>IF(SER_hh_emi_in!D18=0,0,1000000*SER_hh_emi_in!D18/SER_hh_num_in!D18)</f>
        <v>0</v>
      </c>
      <c r="E18" s="133">
        <f>IF(SER_hh_emi_in!E18=0,0,1000000*SER_hh_emi_in!E18/SER_hh_num_in!E18)</f>
        <v>0</v>
      </c>
      <c r="F18" s="133">
        <f>IF(SER_hh_emi_in!F18=0,0,1000000*SER_hh_emi_in!F18/SER_hh_num_in!F18)</f>
        <v>0</v>
      </c>
      <c r="G18" s="133">
        <f>IF(SER_hh_emi_in!G18=0,0,1000000*SER_hh_emi_in!G18/SER_hh_num_in!G18)</f>
        <v>0</v>
      </c>
      <c r="H18" s="133">
        <f>IF(SER_hh_emi_in!H18=0,0,1000000*SER_hh_emi_in!H18/SER_hh_num_in!H18)</f>
        <v>0</v>
      </c>
      <c r="I18" s="133">
        <f>IF(SER_hh_emi_in!I18=0,0,1000000*SER_hh_emi_in!I18/SER_hh_num_in!I18)</f>
        <v>0</v>
      </c>
      <c r="J18" s="133">
        <f>IF(SER_hh_emi_in!J18=0,0,1000000*SER_hh_emi_in!J18/SER_hh_num_in!J18)</f>
        <v>0</v>
      </c>
      <c r="K18" s="133">
        <f>IF(SER_hh_emi_in!K18=0,0,1000000*SER_hh_emi_in!K18/SER_hh_num_in!K18)</f>
        <v>0</v>
      </c>
      <c r="L18" s="133">
        <f>IF(SER_hh_emi_in!L18=0,0,1000000*SER_hh_emi_in!L18/SER_hh_num_in!L18)</f>
        <v>0</v>
      </c>
      <c r="M18" s="133">
        <f>IF(SER_hh_emi_in!M18=0,0,1000000*SER_hh_emi_in!M18/SER_hh_num_in!M18)</f>
        <v>0</v>
      </c>
      <c r="N18" s="133">
        <f>IF(SER_hh_emi_in!N18=0,0,1000000*SER_hh_emi_in!N18/SER_hh_num_in!N18)</f>
        <v>0</v>
      </c>
      <c r="O18" s="133">
        <f>IF(SER_hh_emi_in!O18=0,0,1000000*SER_hh_emi_in!O18/SER_hh_num_in!O18)</f>
        <v>0</v>
      </c>
      <c r="P18" s="133">
        <f>IF(SER_hh_emi_in!P18=0,0,1000000*SER_hh_emi_in!P18/SER_hh_num_in!P18)</f>
        <v>0</v>
      </c>
      <c r="Q18" s="133">
        <f>IF(SER_hh_emi_in!Q18=0,0,1000000*SER_hh_emi_in!Q18/SER_hh_num_in!Q18)</f>
        <v>0</v>
      </c>
      <c r="R18" s="133">
        <f>IF(SER_hh_emi_in!R18=0,0,1000000*SER_hh_emi_in!R18/SER_hh_num_in!R18)</f>
        <v>0</v>
      </c>
      <c r="S18" s="133">
        <f>IF(SER_hh_emi_in!S18=0,0,1000000*SER_hh_emi_in!S18/SER_hh_num_in!S18)</f>
        <v>0</v>
      </c>
      <c r="T18" s="133">
        <f>IF(SER_hh_emi_in!T18=0,0,1000000*SER_hh_emi_in!T18/SER_hh_num_in!T18)</f>
        <v>0</v>
      </c>
      <c r="U18" s="133">
        <f>IF(SER_hh_emi_in!U18=0,0,1000000*SER_hh_emi_in!U18/SER_hh_num_in!U18)</f>
        <v>0</v>
      </c>
      <c r="V18" s="133">
        <f>IF(SER_hh_emi_in!V18=0,0,1000000*SER_hh_emi_in!V18/SER_hh_num_in!V18)</f>
        <v>0</v>
      </c>
      <c r="W18" s="133">
        <f>IF(SER_hh_emi_in!W18=0,0,1000000*SER_hh_emi_in!W18/SER_hh_num_in!W18)</f>
        <v>0</v>
      </c>
      <c r="DA18" s="157" t="s">
        <v>800</v>
      </c>
    </row>
    <row r="19" spans="1:105" ht="12.95" customHeight="1" x14ac:dyDescent="0.25">
      <c r="A19" s="130" t="s">
        <v>35</v>
      </c>
      <c r="B19" s="131"/>
      <c r="C19" s="131">
        <f>IF(SER_hh_emi_in!C19=0,0,1000000*SER_hh_emi_in!C19/SER_hh_num_in!C19)</f>
        <v>3509.311964392658</v>
      </c>
      <c r="D19" s="131">
        <f>IF(SER_hh_emi_in!D19=0,0,1000000*SER_hh_emi_in!D19/SER_hh_num_in!D19)</f>
        <v>2851.6822851581487</v>
      </c>
      <c r="E19" s="131">
        <f>IF(SER_hh_emi_in!E19=0,0,1000000*SER_hh_emi_in!E19/SER_hh_num_in!E19)</f>
        <v>3323.9145315592382</v>
      </c>
      <c r="F19" s="131">
        <f>IF(SER_hh_emi_in!F19=0,0,1000000*SER_hh_emi_in!F19/SER_hh_num_in!F19)</f>
        <v>3208.5148508781776</v>
      </c>
      <c r="G19" s="131">
        <f>IF(SER_hh_emi_in!G19=0,0,1000000*SER_hh_emi_in!G19/SER_hh_num_in!G19)</f>
        <v>3122.6461050577122</v>
      </c>
      <c r="H19" s="131">
        <f>IF(SER_hh_emi_in!H19=0,0,1000000*SER_hh_emi_in!H19/SER_hh_num_in!H19)</f>
        <v>3013.7674516089073</v>
      </c>
      <c r="I19" s="131">
        <f>IF(SER_hh_emi_in!I19=0,0,1000000*SER_hh_emi_in!I19/SER_hh_num_in!I19)</f>
        <v>2996.0872706716245</v>
      </c>
      <c r="J19" s="131">
        <f>IF(SER_hh_emi_in!J19=0,0,1000000*SER_hh_emi_in!J19/SER_hh_num_in!J19)</f>
        <v>2856.2191758556173</v>
      </c>
      <c r="K19" s="131">
        <f>IF(SER_hh_emi_in!K19=0,0,1000000*SER_hh_emi_in!K19/SER_hh_num_in!K19)</f>
        <v>2506.6386569175042</v>
      </c>
      <c r="L19" s="131">
        <f>IF(SER_hh_emi_in!L19=0,0,1000000*SER_hh_emi_in!L19/SER_hh_num_in!L19)</f>
        <v>2900.2275209218751</v>
      </c>
      <c r="M19" s="131">
        <f>IF(SER_hh_emi_in!M19=0,0,1000000*SER_hh_emi_in!M19/SER_hh_num_in!M19)</f>
        <v>3165.2857983985136</v>
      </c>
      <c r="N19" s="131">
        <f>IF(SER_hh_emi_in!N19=0,0,1000000*SER_hh_emi_in!N19/SER_hh_num_in!N19)</f>
        <v>3094.3980332827282</v>
      </c>
      <c r="O19" s="131">
        <f>IF(SER_hh_emi_in!O19=0,0,1000000*SER_hh_emi_in!O19/SER_hh_num_in!O19)</f>
        <v>2935.6575074944571</v>
      </c>
      <c r="P19" s="131">
        <f>IF(SER_hh_emi_in!P19=0,0,1000000*SER_hh_emi_in!P19/SER_hh_num_in!P19)</f>
        <v>2469.612719402237</v>
      </c>
      <c r="Q19" s="131">
        <f>IF(SER_hh_emi_in!Q19=0,0,1000000*SER_hh_emi_in!Q19/SER_hh_num_in!Q19)</f>
        <v>2350.619398490056</v>
      </c>
      <c r="R19" s="131">
        <f>IF(SER_hh_emi_in!R19=0,0,1000000*SER_hh_emi_in!R19/SER_hh_num_in!R19)</f>
        <v>2261.6751297562168</v>
      </c>
      <c r="S19" s="131">
        <f>IF(SER_hh_emi_in!S19=0,0,1000000*SER_hh_emi_in!S19/SER_hh_num_in!S19)</f>
        <v>2215.9627602710493</v>
      </c>
      <c r="T19" s="131">
        <f>IF(SER_hh_emi_in!T19=0,0,1000000*SER_hh_emi_in!T19/SER_hh_num_in!T19)</f>
        <v>2094.1255337068669</v>
      </c>
      <c r="U19" s="131">
        <f>IF(SER_hh_emi_in!U19=0,0,1000000*SER_hh_emi_in!U19/SER_hh_num_in!U19)</f>
        <v>2136.7140120313161</v>
      </c>
      <c r="V19" s="131">
        <f>IF(SER_hh_emi_in!V19=0,0,1000000*SER_hh_emi_in!V19/SER_hh_num_in!V19)</f>
        <v>1989.32167470486</v>
      </c>
      <c r="W19" s="131">
        <f>IF(SER_hh_emi_in!W19=0,0,1000000*SER_hh_emi_in!W19/SER_hh_num_in!W19)</f>
        <v>2326.1192689738027</v>
      </c>
      <c r="DA19" s="156" t="s">
        <v>801</v>
      </c>
    </row>
    <row r="20" spans="1:105" ht="12" customHeight="1" x14ac:dyDescent="0.25">
      <c r="A20" s="132" t="s">
        <v>29</v>
      </c>
      <c r="B20" s="133"/>
      <c r="C20" s="133">
        <f>IF(SER_hh_emi_in!C20=0,0,1000000*SER_hh_emi_in!C20/SER_hh_num_in!C20)</f>
        <v>0</v>
      </c>
      <c r="D20" s="133">
        <f>IF(SER_hh_emi_in!D20=0,0,1000000*SER_hh_emi_in!D20/SER_hh_num_in!D20)</f>
        <v>0</v>
      </c>
      <c r="E20" s="133">
        <f>IF(SER_hh_emi_in!E20=0,0,1000000*SER_hh_emi_in!E20/SER_hh_num_in!E20)</f>
        <v>0</v>
      </c>
      <c r="F20" s="133">
        <f>IF(SER_hh_emi_in!F20=0,0,1000000*SER_hh_emi_in!F20/SER_hh_num_in!F20)</f>
        <v>0</v>
      </c>
      <c r="G20" s="133">
        <f>IF(SER_hh_emi_in!G20=0,0,1000000*SER_hh_emi_in!G20/SER_hh_num_in!G20)</f>
        <v>0</v>
      </c>
      <c r="H20" s="133">
        <f>IF(SER_hh_emi_in!H20=0,0,1000000*SER_hh_emi_in!H20/SER_hh_num_in!H20)</f>
        <v>0</v>
      </c>
      <c r="I20" s="133">
        <f>IF(SER_hh_emi_in!I20=0,0,1000000*SER_hh_emi_in!I20/SER_hh_num_in!I20)</f>
        <v>0</v>
      </c>
      <c r="J20" s="133">
        <f>IF(SER_hh_emi_in!J20=0,0,1000000*SER_hh_emi_in!J20/SER_hh_num_in!J20)</f>
        <v>0</v>
      </c>
      <c r="K20" s="133">
        <f>IF(SER_hh_emi_in!K20=0,0,1000000*SER_hh_emi_in!K20/SER_hh_num_in!K20)</f>
        <v>0</v>
      </c>
      <c r="L20" s="133">
        <f>IF(SER_hh_emi_in!L20=0,0,1000000*SER_hh_emi_in!L20/SER_hh_num_in!L20)</f>
        <v>0</v>
      </c>
      <c r="M20" s="133">
        <f>IF(SER_hh_emi_in!M20=0,0,1000000*SER_hh_emi_in!M20/SER_hh_num_in!M20)</f>
        <v>0</v>
      </c>
      <c r="N20" s="133">
        <f>IF(SER_hh_emi_in!N20=0,0,1000000*SER_hh_emi_in!N20/SER_hh_num_in!N20)</f>
        <v>0</v>
      </c>
      <c r="O20" s="133">
        <f>IF(SER_hh_emi_in!O20=0,0,1000000*SER_hh_emi_in!O20/SER_hh_num_in!O20)</f>
        <v>0</v>
      </c>
      <c r="P20" s="133">
        <f>IF(SER_hh_emi_in!P20=0,0,1000000*SER_hh_emi_in!P20/SER_hh_num_in!P20)</f>
        <v>0</v>
      </c>
      <c r="Q20" s="133">
        <f>IF(SER_hh_emi_in!Q20=0,0,1000000*SER_hh_emi_in!Q20/SER_hh_num_in!Q20)</f>
        <v>0</v>
      </c>
      <c r="R20" s="133">
        <f>IF(SER_hh_emi_in!R20=0,0,1000000*SER_hh_emi_in!R20/SER_hh_num_in!R20)</f>
        <v>0</v>
      </c>
      <c r="S20" s="133">
        <f>IF(SER_hh_emi_in!S20=0,0,1000000*SER_hh_emi_in!S20/SER_hh_num_in!S20)</f>
        <v>0</v>
      </c>
      <c r="T20" s="133">
        <f>IF(SER_hh_emi_in!T20=0,0,1000000*SER_hh_emi_in!T20/SER_hh_num_in!T20)</f>
        <v>0</v>
      </c>
      <c r="U20" s="133">
        <f>IF(SER_hh_emi_in!U20=0,0,1000000*SER_hh_emi_in!U20/SER_hh_num_in!U20)</f>
        <v>0</v>
      </c>
      <c r="V20" s="133">
        <f>IF(SER_hh_emi_in!V20=0,0,1000000*SER_hh_emi_in!V20/SER_hh_num_in!V20)</f>
        <v>0</v>
      </c>
      <c r="W20" s="133">
        <f>IF(SER_hh_emi_in!W20=0,0,1000000*SER_hh_emi_in!W20/SER_hh_num_in!W20)</f>
        <v>0</v>
      </c>
      <c r="DA20" s="157" t="s">
        <v>802</v>
      </c>
    </row>
    <row r="21" spans="1:105" s="2" customFormat="1" ht="12" customHeight="1" x14ac:dyDescent="0.25">
      <c r="A21" s="132" t="s">
        <v>52</v>
      </c>
      <c r="B21" s="133"/>
      <c r="C21" s="133">
        <f>IF(SER_hh_emi_in!C21=0,0,1000000*SER_hh_emi_in!C21/SER_hh_num_in!C21)</f>
        <v>4676.3107984417111</v>
      </c>
      <c r="D21" s="133">
        <f>IF(SER_hh_emi_in!D21=0,0,1000000*SER_hh_emi_in!D21/SER_hh_num_in!D21)</f>
        <v>4677.2987849572346</v>
      </c>
      <c r="E21" s="133">
        <f>IF(SER_hh_emi_in!E21=0,0,1000000*SER_hh_emi_in!E21/SER_hh_num_in!E21)</f>
        <v>4621.9921430509112</v>
      </c>
      <c r="F21" s="133">
        <f>IF(SER_hh_emi_in!F21=0,0,1000000*SER_hh_emi_in!F21/SER_hh_num_in!F21)</f>
        <v>0</v>
      </c>
      <c r="G21" s="133">
        <f>IF(SER_hh_emi_in!G21=0,0,1000000*SER_hh_emi_in!G21/SER_hh_num_in!G21)</f>
        <v>0</v>
      </c>
      <c r="H21" s="133">
        <f>IF(SER_hh_emi_in!H21=0,0,1000000*SER_hh_emi_in!H21/SER_hh_num_in!H21)</f>
        <v>0</v>
      </c>
      <c r="I21" s="133">
        <f>IF(SER_hh_emi_in!I21=0,0,1000000*SER_hh_emi_in!I21/SER_hh_num_in!I21)</f>
        <v>0</v>
      </c>
      <c r="J21" s="133">
        <f>IF(SER_hh_emi_in!J21=0,0,1000000*SER_hh_emi_in!J21/SER_hh_num_in!J21)</f>
        <v>0</v>
      </c>
      <c r="K21" s="133">
        <f>IF(SER_hh_emi_in!K21=0,0,1000000*SER_hh_emi_in!K21/SER_hh_num_in!K21)</f>
        <v>0</v>
      </c>
      <c r="L21" s="133">
        <f>IF(SER_hh_emi_in!L21=0,0,1000000*SER_hh_emi_in!L21/SER_hh_num_in!L21)</f>
        <v>3837.2165124221692</v>
      </c>
      <c r="M21" s="133">
        <f>IF(SER_hh_emi_in!M21=0,0,1000000*SER_hh_emi_in!M21/SER_hh_num_in!M21)</f>
        <v>3991.1950869965972</v>
      </c>
      <c r="N21" s="133">
        <f>IF(SER_hh_emi_in!N21=0,0,1000000*SER_hh_emi_in!N21/SER_hh_num_in!N21)</f>
        <v>4274.1387227496898</v>
      </c>
      <c r="O21" s="133">
        <f>IF(SER_hh_emi_in!O21=0,0,1000000*SER_hh_emi_in!O21/SER_hh_num_in!O21)</f>
        <v>4156.9020177038792</v>
      </c>
      <c r="P21" s="133">
        <f>IF(SER_hh_emi_in!P21=0,0,1000000*SER_hh_emi_in!P21/SER_hh_num_in!P21)</f>
        <v>3645.2722870120406</v>
      </c>
      <c r="Q21" s="133">
        <f>IF(SER_hh_emi_in!Q21=0,0,1000000*SER_hh_emi_in!Q21/SER_hh_num_in!Q21)</f>
        <v>3616.0551661082868</v>
      </c>
      <c r="R21" s="133">
        <f>IF(SER_hh_emi_in!R21=0,0,1000000*SER_hh_emi_in!R21/SER_hh_num_in!R21)</f>
        <v>3428.5754983307738</v>
      </c>
      <c r="S21" s="133">
        <f>IF(SER_hh_emi_in!S21=0,0,1000000*SER_hh_emi_in!S21/SER_hh_num_in!S21)</f>
        <v>3505.9081461537035</v>
      </c>
      <c r="T21" s="133">
        <f>IF(SER_hh_emi_in!T21=0,0,1000000*SER_hh_emi_in!T21/SER_hh_num_in!T21)</f>
        <v>3458.6165278169806</v>
      </c>
      <c r="U21" s="133">
        <f>IF(SER_hh_emi_in!U21=0,0,1000000*SER_hh_emi_in!U21/SER_hh_num_in!U21)</f>
        <v>3420.6520364856788</v>
      </c>
      <c r="V21" s="133">
        <f>IF(SER_hh_emi_in!V21=0,0,1000000*SER_hh_emi_in!V21/SER_hh_num_in!V21)</f>
        <v>2953.0610916916066</v>
      </c>
      <c r="W21" s="133">
        <f>IF(SER_hh_emi_in!W21=0,0,1000000*SER_hh_emi_in!W21/SER_hh_num_in!W21)</f>
        <v>3287.7772998699334</v>
      </c>
      <c r="DA21" s="157" t="s">
        <v>803</v>
      </c>
    </row>
    <row r="22" spans="1:105" ht="12" customHeight="1" x14ac:dyDescent="0.25">
      <c r="A22" s="132" t="s">
        <v>168</v>
      </c>
      <c r="B22" s="133"/>
      <c r="C22" s="133">
        <f>IF(SER_hh_emi_in!C22=0,0,1000000*SER_hh_emi_in!C22/SER_hh_num_in!C22)</f>
        <v>5796.0622743956174</v>
      </c>
      <c r="D22" s="133">
        <f>IF(SER_hh_emi_in!D22=0,0,1000000*SER_hh_emi_in!D22/SER_hh_num_in!D22)</f>
        <v>5765.8746526018867</v>
      </c>
      <c r="E22" s="133">
        <f>IF(SER_hh_emi_in!E22=0,0,1000000*SER_hh_emi_in!E22/SER_hh_num_in!E22)</f>
        <v>5695.6141162205713</v>
      </c>
      <c r="F22" s="133">
        <f>IF(SER_hh_emi_in!F22=0,0,1000000*SER_hh_emi_in!F22/SER_hh_num_in!F22)</f>
        <v>5658.0785828647531</v>
      </c>
      <c r="G22" s="133">
        <f>IF(SER_hh_emi_in!G22=0,0,1000000*SER_hh_emi_in!G22/SER_hh_num_in!G22)</f>
        <v>5556.535576124822</v>
      </c>
      <c r="H22" s="133">
        <f>IF(SER_hh_emi_in!H22=0,0,1000000*SER_hh_emi_in!H22/SER_hh_num_in!H22)</f>
        <v>5501.6633892662867</v>
      </c>
      <c r="I22" s="133">
        <f>IF(SER_hh_emi_in!I22=0,0,1000000*SER_hh_emi_in!I22/SER_hh_num_in!I22)</f>
        <v>5419.8165029266138</v>
      </c>
      <c r="J22" s="133">
        <f>IF(SER_hh_emi_in!J22=0,0,1000000*SER_hh_emi_in!J22/SER_hh_num_in!J22)</f>
        <v>5259.7762022629158</v>
      </c>
      <c r="K22" s="133">
        <f>IF(SER_hh_emi_in!K22=0,0,1000000*SER_hh_emi_in!K22/SER_hh_num_in!K22)</f>
        <v>4313.99434561214</v>
      </c>
      <c r="L22" s="133">
        <f>IF(SER_hh_emi_in!L22=0,0,1000000*SER_hh_emi_in!L22/SER_hh_num_in!L22)</f>
        <v>5286.3519541366823</v>
      </c>
      <c r="M22" s="133">
        <f>IF(SER_hh_emi_in!M22=0,0,1000000*SER_hh_emi_in!M22/SER_hh_num_in!M22)</f>
        <v>5257.3087070984402</v>
      </c>
      <c r="N22" s="133">
        <f>IF(SER_hh_emi_in!N22=0,0,1000000*SER_hh_emi_in!N22/SER_hh_num_in!N22)</f>
        <v>5123.4989753101381</v>
      </c>
      <c r="O22" s="133">
        <f>IF(SER_hh_emi_in!O22=0,0,1000000*SER_hh_emi_in!O22/SER_hh_num_in!O22)</f>
        <v>4955.3726460944936</v>
      </c>
      <c r="P22" s="133">
        <f>IF(SER_hh_emi_in!P22=0,0,1000000*SER_hh_emi_in!P22/SER_hh_num_in!P22)</f>
        <v>4733.6685018587104</v>
      </c>
      <c r="Q22" s="133">
        <f>IF(SER_hh_emi_in!Q22=0,0,1000000*SER_hh_emi_in!Q22/SER_hh_num_in!Q22)</f>
        <v>4560.740314623733</v>
      </c>
      <c r="R22" s="133">
        <f>IF(SER_hh_emi_in!R22=0,0,1000000*SER_hh_emi_in!R22/SER_hh_num_in!R22)</f>
        <v>4372.0064892914133</v>
      </c>
      <c r="S22" s="133">
        <f>IF(SER_hh_emi_in!S22=0,0,1000000*SER_hh_emi_in!S22/SER_hh_num_in!S22)</f>
        <v>4272.6606537653424</v>
      </c>
      <c r="T22" s="133">
        <f>IF(SER_hh_emi_in!T22=0,0,1000000*SER_hh_emi_in!T22/SER_hh_num_in!T22)</f>
        <v>4130.7739589986868</v>
      </c>
      <c r="U22" s="133">
        <f>IF(SER_hh_emi_in!U22=0,0,1000000*SER_hh_emi_in!U22/SER_hh_num_in!U22)</f>
        <v>4009.3489309765287</v>
      </c>
      <c r="V22" s="133">
        <f>IF(SER_hh_emi_in!V22=0,0,1000000*SER_hh_emi_in!V22/SER_hh_num_in!V22)</f>
        <v>3622.5343982866611</v>
      </c>
      <c r="W22" s="133">
        <f>IF(SER_hh_emi_in!W22=0,0,1000000*SER_hh_emi_in!W22/SER_hh_num_in!W22)</f>
        <v>3935.9149095107682</v>
      </c>
      <c r="DA22" s="157" t="s">
        <v>804</v>
      </c>
    </row>
    <row r="23" spans="1:105" ht="12" customHeight="1" x14ac:dyDescent="0.25">
      <c r="A23" s="132" t="s">
        <v>153</v>
      </c>
      <c r="B23" s="133"/>
      <c r="C23" s="133">
        <f>IF(SER_hh_emi_in!C23=0,0,1000000*SER_hh_emi_in!C23/SER_hh_num_in!C23)</f>
        <v>4039.6095799874606</v>
      </c>
      <c r="D23" s="133">
        <f>IF(SER_hh_emi_in!D23=0,0,1000000*SER_hh_emi_in!D23/SER_hh_num_in!D23)</f>
        <v>3937.8782200804476</v>
      </c>
      <c r="E23" s="133">
        <f>IF(SER_hh_emi_in!E23=0,0,1000000*SER_hh_emi_in!E23/SER_hh_num_in!E23)</f>
        <v>3893.8394352080199</v>
      </c>
      <c r="F23" s="133">
        <f>IF(SER_hh_emi_in!F23=0,0,1000000*SER_hh_emi_in!F23/SER_hh_num_in!F23)</f>
        <v>3836.1389521101946</v>
      </c>
      <c r="G23" s="133">
        <f>IF(SER_hh_emi_in!G23=0,0,1000000*SER_hh_emi_in!G23/SER_hh_num_in!G23)</f>
        <v>3777.3659598983854</v>
      </c>
      <c r="H23" s="133">
        <f>IF(SER_hh_emi_in!H23=0,0,1000000*SER_hh_emi_in!H23/SER_hh_num_in!H23)</f>
        <v>3681.7926819129962</v>
      </c>
      <c r="I23" s="133">
        <f>IF(SER_hh_emi_in!I23=0,0,1000000*SER_hh_emi_in!I23/SER_hh_num_in!I23)</f>
        <v>3585.0141435933128</v>
      </c>
      <c r="J23" s="133">
        <f>IF(SER_hh_emi_in!J23=0,0,1000000*SER_hh_emi_in!J23/SER_hh_num_in!J23)</f>
        <v>3532.0377590156095</v>
      </c>
      <c r="K23" s="133">
        <f>IF(SER_hh_emi_in!K23=0,0,1000000*SER_hh_emi_in!K23/SER_hh_num_in!K23)</f>
        <v>2821.1437887227389</v>
      </c>
      <c r="L23" s="133">
        <f>IF(SER_hh_emi_in!L23=0,0,1000000*SER_hh_emi_in!L23/SER_hh_num_in!L23)</f>
        <v>3506.1072845518243</v>
      </c>
      <c r="M23" s="133">
        <f>IF(SER_hh_emi_in!M23=0,0,1000000*SER_hh_emi_in!M23/SER_hh_num_in!M23)</f>
        <v>3439.2763977629643</v>
      </c>
      <c r="N23" s="133">
        <f>IF(SER_hh_emi_in!N23=0,0,1000000*SER_hh_emi_in!N23/SER_hh_num_in!N23)</f>
        <v>3400.7962985772292</v>
      </c>
      <c r="O23" s="133">
        <f>IF(SER_hh_emi_in!O23=0,0,1000000*SER_hh_emi_in!O23/SER_hh_num_in!O23)</f>
        <v>3320.5317102606768</v>
      </c>
      <c r="P23" s="133">
        <f>IF(SER_hh_emi_in!P23=0,0,1000000*SER_hh_emi_in!P23/SER_hh_num_in!P23)</f>
        <v>3182.5288255393052</v>
      </c>
      <c r="Q23" s="133">
        <f>IF(SER_hh_emi_in!Q23=0,0,1000000*SER_hh_emi_in!Q23/SER_hh_num_in!Q23)</f>
        <v>3081.5490377637689</v>
      </c>
      <c r="R23" s="133">
        <f>IF(SER_hh_emi_in!R23=0,0,1000000*SER_hh_emi_in!R23/SER_hh_num_in!R23)</f>
        <v>2966.7904841836885</v>
      </c>
      <c r="S23" s="133">
        <f>IF(SER_hh_emi_in!S23=0,0,1000000*SER_hh_emi_in!S23/SER_hh_num_in!S23)</f>
        <v>2915.8691860192084</v>
      </c>
      <c r="T23" s="133">
        <f>IF(SER_hh_emi_in!T23=0,0,1000000*SER_hh_emi_in!T23/SER_hh_num_in!T23)</f>
        <v>2840.5358751982221</v>
      </c>
      <c r="U23" s="133">
        <f>IF(SER_hh_emi_in!U23=0,0,1000000*SER_hh_emi_in!U23/SER_hh_num_in!U23)</f>
        <v>2790.2506015066783</v>
      </c>
      <c r="V23" s="133">
        <f>IF(SER_hh_emi_in!V23=0,0,1000000*SER_hh_emi_in!V23/SER_hh_num_in!V23)</f>
        <v>2621.37923660658</v>
      </c>
      <c r="W23" s="133">
        <f>IF(SER_hh_emi_in!W23=0,0,1000000*SER_hh_emi_in!W23/SER_hh_num_in!W23)</f>
        <v>2738.7912180000435</v>
      </c>
      <c r="DA23" s="157" t="s">
        <v>805</v>
      </c>
    </row>
    <row r="24" spans="1:105" ht="12" customHeight="1" x14ac:dyDescent="0.25">
      <c r="A24" s="132" t="s">
        <v>128</v>
      </c>
      <c r="B24" s="133"/>
      <c r="C24" s="133">
        <f>IF(SER_hh_emi_in!C24=0,0,1000000*SER_hh_emi_in!C24/SER_hh_num_in!C24)</f>
        <v>0</v>
      </c>
      <c r="D24" s="133">
        <f>IF(SER_hh_emi_in!D24=0,0,1000000*SER_hh_emi_in!D24/SER_hh_num_in!D24)</f>
        <v>0</v>
      </c>
      <c r="E24" s="133">
        <f>IF(SER_hh_emi_in!E24=0,0,1000000*SER_hh_emi_in!E24/SER_hh_num_in!E24)</f>
        <v>0</v>
      </c>
      <c r="F24" s="133">
        <f>IF(SER_hh_emi_in!F24=0,0,1000000*SER_hh_emi_in!F24/SER_hh_num_in!F24)</f>
        <v>0</v>
      </c>
      <c r="G24" s="133">
        <f>IF(SER_hh_emi_in!G24=0,0,1000000*SER_hh_emi_in!G24/SER_hh_num_in!G24)</f>
        <v>0</v>
      </c>
      <c r="H24" s="133">
        <f>IF(SER_hh_emi_in!H24=0,0,1000000*SER_hh_emi_in!H24/SER_hh_num_in!H24)</f>
        <v>0</v>
      </c>
      <c r="I24" s="133">
        <f>IF(SER_hh_emi_in!I24=0,0,1000000*SER_hh_emi_in!I24/SER_hh_num_in!I24)</f>
        <v>0</v>
      </c>
      <c r="J24" s="133">
        <f>IF(SER_hh_emi_in!J24=0,0,1000000*SER_hh_emi_in!J24/SER_hh_num_in!J24)</f>
        <v>0</v>
      </c>
      <c r="K24" s="133">
        <f>IF(SER_hh_emi_in!K24=0,0,1000000*SER_hh_emi_in!K24/SER_hh_num_in!K24)</f>
        <v>0</v>
      </c>
      <c r="L24" s="133">
        <f>IF(SER_hh_emi_in!L24=0,0,1000000*SER_hh_emi_in!L24/SER_hh_num_in!L24)</f>
        <v>0</v>
      </c>
      <c r="M24" s="133">
        <f>IF(SER_hh_emi_in!M24=0,0,1000000*SER_hh_emi_in!M24/SER_hh_num_in!M24)</f>
        <v>0</v>
      </c>
      <c r="N24" s="133">
        <f>IF(SER_hh_emi_in!N24=0,0,1000000*SER_hh_emi_in!N24/SER_hh_num_in!N24)</f>
        <v>0</v>
      </c>
      <c r="O24" s="133">
        <f>IF(SER_hh_emi_in!O24=0,0,1000000*SER_hh_emi_in!O24/SER_hh_num_in!O24)</f>
        <v>0</v>
      </c>
      <c r="P24" s="133">
        <f>IF(SER_hh_emi_in!P24=0,0,1000000*SER_hh_emi_in!P24/SER_hh_num_in!P24)</f>
        <v>0</v>
      </c>
      <c r="Q24" s="133">
        <f>IF(SER_hh_emi_in!Q24=0,0,1000000*SER_hh_emi_in!Q24/SER_hh_num_in!Q24)</f>
        <v>0</v>
      </c>
      <c r="R24" s="133">
        <f>IF(SER_hh_emi_in!R24=0,0,1000000*SER_hh_emi_in!R24/SER_hh_num_in!R24)</f>
        <v>0</v>
      </c>
      <c r="S24" s="133">
        <f>IF(SER_hh_emi_in!S24=0,0,1000000*SER_hh_emi_in!S24/SER_hh_num_in!S24)</f>
        <v>0</v>
      </c>
      <c r="T24" s="133">
        <f>IF(SER_hh_emi_in!T24=0,0,1000000*SER_hh_emi_in!T24/SER_hh_num_in!T24)</f>
        <v>0</v>
      </c>
      <c r="U24" s="133">
        <f>IF(SER_hh_emi_in!U24=0,0,1000000*SER_hh_emi_in!U24/SER_hh_num_in!U24)</f>
        <v>0</v>
      </c>
      <c r="V24" s="133">
        <f>IF(SER_hh_emi_in!V24=0,0,1000000*SER_hh_emi_in!V24/SER_hh_num_in!V24)</f>
        <v>0</v>
      </c>
      <c r="W24" s="133">
        <f>IF(SER_hh_emi_in!W24=0,0,1000000*SER_hh_emi_in!W24/SER_hh_num_in!W24)</f>
        <v>0</v>
      </c>
      <c r="DA24" s="157" t="s">
        <v>806</v>
      </c>
    </row>
    <row r="25" spans="1:105" ht="12" customHeight="1" x14ac:dyDescent="0.25">
      <c r="A25" s="132" t="s">
        <v>169</v>
      </c>
      <c r="B25" s="133"/>
      <c r="C25" s="133">
        <f>IF(SER_hh_emi_in!C25=0,0,1000000*SER_hh_emi_in!C25/SER_hh_num_in!C25)</f>
        <v>0</v>
      </c>
      <c r="D25" s="133">
        <f>IF(SER_hh_emi_in!D25=0,0,1000000*SER_hh_emi_in!D25/SER_hh_num_in!D25)</f>
        <v>0</v>
      </c>
      <c r="E25" s="133">
        <f>IF(SER_hh_emi_in!E25=0,0,1000000*SER_hh_emi_in!E25/SER_hh_num_in!E25)</f>
        <v>0</v>
      </c>
      <c r="F25" s="133">
        <f>IF(SER_hh_emi_in!F25=0,0,1000000*SER_hh_emi_in!F25/SER_hh_num_in!F25)</f>
        <v>0</v>
      </c>
      <c r="G25" s="133">
        <f>IF(SER_hh_emi_in!G25=0,0,1000000*SER_hh_emi_in!G25/SER_hh_num_in!G25)</f>
        <v>0</v>
      </c>
      <c r="H25" s="133">
        <f>IF(SER_hh_emi_in!H25=0,0,1000000*SER_hh_emi_in!H25/SER_hh_num_in!H25)</f>
        <v>0</v>
      </c>
      <c r="I25" s="133">
        <f>IF(SER_hh_emi_in!I25=0,0,1000000*SER_hh_emi_in!I25/SER_hh_num_in!I25)</f>
        <v>0</v>
      </c>
      <c r="J25" s="133">
        <f>IF(SER_hh_emi_in!J25=0,0,1000000*SER_hh_emi_in!J25/SER_hh_num_in!J25)</f>
        <v>0</v>
      </c>
      <c r="K25" s="133">
        <f>IF(SER_hh_emi_in!K25=0,0,1000000*SER_hh_emi_in!K25/SER_hh_num_in!K25)</f>
        <v>0</v>
      </c>
      <c r="L25" s="133">
        <f>IF(SER_hh_emi_in!L25=0,0,1000000*SER_hh_emi_in!L25/SER_hh_num_in!L25)</f>
        <v>0</v>
      </c>
      <c r="M25" s="133">
        <f>IF(SER_hh_emi_in!M25=0,0,1000000*SER_hh_emi_in!M25/SER_hh_num_in!M25)</f>
        <v>0</v>
      </c>
      <c r="N25" s="133">
        <f>IF(SER_hh_emi_in!N25=0,0,1000000*SER_hh_emi_in!N25/SER_hh_num_in!N25)</f>
        <v>0</v>
      </c>
      <c r="O25" s="133">
        <f>IF(SER_hh_emi_in!O25=0,0,1000000*SER_hh_emi_in!O25/SER_hh_num_in!O25)</f>
        <v>0</v>
      </c>
      <c r="P25" s="133">
        <f>IF(SER_hh_emi_in!P25=0,0,1000000*SER_hh_emi_in!P25/SER_hh_num_in!P25)</f>
        <v>0</v>
      </c>
      <c r="Q25" s="133">
        <f>IF(SER_hh_emi_in!Q25=0,0,1000000*SER_hh_emi_in!Q25/SER_hh_num_in!Q25)</f>
        <v>0</v>
      </c>
      <c r="R25" s="133">
        <f>IF(SER_hh_emi_in!R25=0,0,1000000*SER_hh_emi_in!R25/SER_hh_num_in!R25)</f>
        <v>0</v>
      </c>
      <c r="S25" s="133">
        <f>IF(SER_hh_emi_in!S25=0,0,1000000*SER_hh_emi_in!S25/SER_hh_num_in!S25)</f>
        <v>0</v>
      </c>
      <c r="T25" s="133">
        <f>IF(SER_hh_emi_in!T25=0,0,1000000*SER_hh_emi_in!T25/SER_hh_num_in!T25)</f>
        <v>0</v>
      </c>
      <c r="U25" s="133">
        <f>IF(SER_hh_emi_in!U25=0,0,1000000*SER_hh_emi_in!U25/SER_hh_num_in!U25)</f>
        <v>0</v>
      </c>
      <c r="V25" s="133">
        <f>IF(SER_hh_emi_in!V25=0,0,1000000*SER_hh_emi_in!V25/SER_hh_num_in!V25)</f>
        <v>0</v>
      </c>
      <c r="W25" s="133">
        <f>IF(SER_hh_emi_in!W25=0,0,1000000*SER_hh_emi_in!W25/SER_hh_num_in!W25)</f>
        <v>0</v>
      </c>
      <c r="DA25" s="157" t="s">
        <v>807</v>
      </c>
    </row>
    <row r="26" spans="1:105" ht="12" customHeight="1" x14ac:dyDescent="0.25">
      <c r="A26" s="132" t="s">
        <v>24</v>
      </c>
      <c r="B26" s="65"/>
      <c r="C26" s="65">
        <f>IF(SER_hh_emi_in!C26=0,0,1000000*SER_hh_emi_in!C26/SER_hh_num_in!C26)</f>
        <v>0</v>
      </c>
      <c r="D26" s="65">
        <f>IF(SER_hh_emi_in!D26=0,0,1000000*SER_hh_emi_in!D26/SER_hh_num_in!D26)</f>
        <v>0</v>
      </c>
      <c r="E26" s="65">
        <f>IF(SER_hh_emi_in!E26=0,0,1000000*SER_hh_emi_in!E26/SER_hh_num_in!E26)</f>
        <v>0</v>
      </c>
      <c r="F26" s="65">
        <f>IF(SER_hh_emi_in!F26=0,0,1000000*SER_hh_emi_in!F26/SER_hh_num_in!F26)</f>
        <v>0</v>
      </c>
      <c r="G26" s="65">
        <f>IF(SER_hh_emi_in!G26=0,0,1000000*SER_hh_emi_in!G26/SER_hh_num_in!G26)</f>
        <v>0</v>
      </c>
      <c r="H26" s="65">
        <f>IF(SER_hh_emi_in!H26=0,0,1000000*SER_hh_emi_in!H26/SER_hh_num_in!H26)</f>
        <v>0</v>
      </c>
      <c r="I26" s="65">
        <f>IF(SER_hh_emi_in!I26=0,0,1000000*SER_hh_emi_in!I26/SER_hh_num_in!I26)</f>
        <v>0</v>
      </c>
      <c r="J26" s="65">
        <f>IF(SER_hh_emi_in!J26=0,0,1000000*SER_hh_emi_in!J26/SER_hh_num_in!J26)</f>
        <v>0</v>
      </c>
      <c r="K26" s="65">
        <f>IF(SER_hh_emi_in!K26=0,0,1000000*SER_hh_emi_in!K26/SER_hh_num_in!K26)</f>
        <v>0</v>
      </c>
      <c r="L26" s="65">
        <f>IF(SER_hh_emi_in!L26=0,0,1000000*SER_hh_emi_in!L26/SER_hh_num_in!L26)</f>
        <v>0</v>
      </c>
      <c r="M26" s="65">
        <f>IF(SER_hh_emi_in!M26=0,0,1000000*SER_hh_emi_in!M26/SER_hh_num_in!M26)</f>
        <v>0</v>
      </c>
      <c r="N26" s="65">
        <f>IF(SER_hh_emi_in!N26=0,0,1000000*SER_hh_emi_in!N26/SER_hh_num_in!N26)</f>
        <v>0</v>
      </c>
      <c r="O26" s="65">
        <f>IF(SER_hh_emi_in!O26=0,0,1000000*SER_hh_emi_in!O26/SER_hh_num_in!O26)</f>
        <v>0</v>
      </c>
      <c r="P26" s="65">
        <f>IF(SER_hh_emi_in!P26=0,0,1000000*SER_hh_emi_in!P26/SER_hh_num_in!P26)</f>
        <v>0</v>
      </c>
      <c r="Q26" s="65">
        <f>IF(SER_hh_emi_in!Q26=0,0,1000000*SER_hh_emi_in!Q26/SER_hh_num_in!Q26)</f>
        <v>0</v>
      </c>
      <c r="R26" s="65">
        <f>IF(SER_hh_emi_in!R26=0,0,1000000*SER_hh_emi_in!R26/SER_hh_num_in!R26)</f>
        <v>0</v>
      </c>
      <c r="S26" s="65">
        <f>IF(SER_hh_emi_in!S26=0,0,1000000*SER_hh_emi_in!S26/SER_hh_num_in!S26)</f>
        <v>0</v>
      </c>
      <c r="T26" s="65">
        <f>IF(SER_hh_emi_in!T26=0,0,1000000*SER_hh_emi_in!T26/SER_hh_num_in!T26)</f>
        <v>0</v>
      </c>
      <c r="U26" s="65">
        <f>IF(SER_hh_emi_in!U26=0,0,1000000*SER_hh_emi_in!U26/SER_hh_num_in!U26)</f>
        <v>0</v>
      </c>
      <c r="V26" s="65">
        <f>IF(SER_hh_emi_in!V26=0,0,1000000*SER_hh_emi_in!V26/SER_hh_num_in!V26)</f>
        <v>0</v>
      </c>
      <c r="W26" s="65">
        <f>IF(SER_hh_emi_in!W26=0,0,1000000*SER_hh_emi_in!W26/SER_hh_num_in!W26)</f>
        <v>0</v>
      </c>
      <c r="DA26" s="109" t="s">
        <v>808</v>
      </c>
    </row>
    <row r="27" spans="1:105" ht="12" customHeight="1" x14ac:dyDescent="0.25">
      <c r="A27" s="145" t="s">
        <v>86</v>
      </c>
      <c r="B27" s="148"/>
      <c r="C27" s="146">
        <f>IF(SER_hh_emi_in!C27=0,0,1000000*SER_hh_emi_in!C27/SER_hh_num_in!C19)</f>
        <v>0</v>
      </c>
      <c r="D27" s="146">
        <f>IF(SER_hh_emi_in!D27=0,0,1000000*SER_hh_emi_in!D27/SER_hh_num_in!D19)</f>
        <v>0</v>
      </c>
      <c r="E27" s="146">
        <f>IF(SER_hh_emi_in!E27=0,0,1000000*SER_hh_emi_in!E27/SER_hh_num_in!E19)</f>
        <v>0</v>
      </c>
      <c r="F27" s="146">
        <f>IF(SER_hh_emi_in!F27=0,0,1000000*SER_hh_emi_in!F27/SER_hh_num_in!F19)</f>
        <v>0</v>
      </c>
      <c r="G27" s="146">
        <f>IF(SER_hh_emi_in!G27=0,0,1000000*SER_hh_emi_in!G27/SER_hh_num_in!G19)</f>
        <v>0</v>
      </c>
      <c r="H27" s="146">
        <f>IF(SER_hh_emi_in!H27=0,0,1000000*SER_hh_emi_in!H27/SER_hh_num_in!H19)</f>
        <v>0</v>
      </c>
      <c r="I27" s="146">
        <f>IF(SER_hh_emi_in!I27=0,0,1000000*SER_hh_emi_in!I27/SER_hh_num_in!I19)</f>
        <v>0</v>
      </c>
      <c r="J27" s="146">
        <f>IF(SER_hh_emi_in!J27=0,0,1000000*SER_hh_emi_in!J27/SER_hh_num_in!J19)</f>
        <v>0</v>
      </c>
      <c r="K27" s="146">
        <f>IF(SER_hh_emi_in!K27=0,0,1000000*SER_hh_emi_in!K27/SER_hh_num_in!K19)</f>
        <v>0</v>
      </c>
      <c r="L27" s="146">
        <f>IF(SER_hh_emi_in!L27=0,0,1000000*SER_hh_emi_in!L27/SER_hh_num_in!L19)</f>
        <v>0</v>
      </c>
      <c r="M27" s="146">
        <f>IF(SER_hh_emi_in!M27=0,0,1000000*SER_hh_emi_in!M27/SER_hh_num_in!M19)</f>
        <v>0</v>
      </c>
      <c r="N27" s="146">
        <f>IF(SER_hh_emi_in!N27=0,0,1000000*SER_hh_emi_in!N27/SER_hh_num_in!N19)</f>
        <v>0</v>
      </c>
      <c r="O27" s="146">
        <f>IF(SER_hh_emi_in!O27=0,0,1000000*SER_hh_emi_in!O27/SER_hh_num_in!O19)</f>
        <v>0</v>
      </c>
      <c r="P27" s="146">
        <f>IF(SER_hh_emi_in!P27=0,0,1000000*SER_hh_emi_in!P27/SER_hh_num_in!P19)</f>
        <v>0</v>
      </c>
      <c r="Q27" s="146">
        <f>IF(SER_hh_emi_in!Q27=0,0,1000000*SER_hh_emi_in!Q27/SER_hh_num_in!Q19)</f>
        <v>0</v>
      </c>
      <c r="R27" s="146">
        <f>IF(SER_hh_emi_in!R27=0,0,1000000*SER_hh_emi_in!R27/SER_hh_num_in!R19)</f>
        <v>0</v>
      </c>
      <c r="S27" s="146">
        <f>IF(SER_hh_emi_in!S27=0,0,1000000*SER_hh_emi_in!S27/SER_hh_num_in!S19)</f>
        <v>0</v>
      </c>
      <c r="T27" s="146">
        <f>IF(SER_hh_emi_in!T27=0,0,1000000*SER_hh_emi_in!T27/SER_hh_num_in!T19)</f>
        <v>0</v>
      </c>
      <c r="U27" s="146">
        <f>IF(SER_hh_emi_in!U27=0,0,1000000*SER_hh_emi_in!U27/SER_hh_num_in!U19)</f>
        <v>0</v>
      </c>
      <c r="V27" s="146">
        <f>IF(SER_hh_emi_in!V27=0,0,1000000*SER_hh_emi_in!V27/SER_hh_num_in!V19)</f>
        <v>0</v>
      </c>
      <c r="W27" s="146">
        <f>IF(SER_hh_emi_in!W27=0,0,1000000*SER_hh_emi_in!W27/SER_hh_num_in!W19)</f>
        <v>0</v>
      </c>
      <c r="DA27" s="159" t="s">
        <v>809</v>
      </c>
    </row>
    <row r="28" spans="1:105" ht="12" customHeight="1" x14ac:dyDescent="0.25">
      <c r="A28" s="78" t="s">
        <v>85</v>
      </c>
      <c r="B28" s="68"/>
      <c r="C28" s="147">
        <f>IF(SER_hh_emi_in!C27=0,0,1000000*SER_hh_emi_in!C27/SER_hh_num_in!C27)</f>
        <v>0</v>
      </c>
      <c r="D28" s="147">
        <f>IF(SER_hh_emi_in!D27=0,0,1000000*SER_hh_emi_in!D27/SER_hh_num_in!D27)</f>
        <v>0</v>
      </c>
      <c r="E28" s="147">
        <f>IF(SER_hh_emi_in!E27=0,0,1000000*SER_hh_emi_in!E27/SER_hh_num_in!E27)</f>
        <v>0</v>
      </c>
      <c r="F28" s="147">
        <f>IF(SER_hh_emi_in!F27=0,0,1000000*SER_hh_emi_in!F27/SER_hh_num_in!F27)</f>
        <v>0</v>
      </c>
      <c r="G28" s="147">
        <f>IF(SER_hh_emi_in!G27=0,0,1000000*SER_hh_emi_in!G27/SER_hh_num_in!G27)</f>
        <v>0</v>
      </c>
      <c r="H28" s="147">
        <f>IF(SER_hh_emi_in!H27=0,0,1000000*SER_hh_emi_in!H27/SER_hh_num_in!H27)</f>
        <v>0</v>
      </c>
      <c r="I28" s="147">
        <f>IF(SER_hh_emi_in!I27=0,0,1000000*SER_hh_emi_in!I27/SER_hh_num_in!I27)</f>
        <v>0</v>
      </c>
      <c r="J28" s="147">
        <f>IF(SER_hh_emi_in!J27=0,0,1000000*SER_hh_emi_in!J27/SER_hh_num_in!J27)</f>
        <v>0</v>
      </c>
      <c r="K28" s="147">
        <f>IF(SER_hh_emi_in!K27=0,0,1000000*SER_hh_emi_in!K27/SER_hh_num_in!K27)</f>
        <v>0</v>
      </c>
      <c r="L28" s="147">
        <f>IF(SER_hh_emi_in!L27=0,0,1000000*SER_hh_emi_in!L27/SER_hh_num_in!L27)</f>
        <v>0</v>
      </c>
      <c r="M28" s="147">
        <f>IF(SER_hh_emi_in!M27=0,0,1000000*SER_hh_emi_in!M27/SER_hh_num_in!M27)</f>
        <v>0</v>
      </c>
      <c r="N28" s="147">
        <f>IF(SER_hh_emi_in!N27=0,0,1000000*SER_hh_emi_in!N27/SER_hh_num_in!N27)</f>
        <v>0</v>
      </c>
      <c r="O28" s="147">
        <f>IF(SER_hh_emi_in!O27=0,0,1000000*SER_hh_emi_in!O27/SER_hh_num_in!O27)</f>
        <v>0</v>
      </c>
      <c r="P28" s="147">
        <f>IF(SER_hh_emi_in!P27=0,0,1000000*SER_hh_emi_in!P27/SER_hh_num_in!P27)</f>
        <v>0</v>
      </c>
      <c r="Q28" s="147">
        <f>IF(SER_hh_emi_in!Q27=0,0,1000000*SER_hh_emi_in!Q27/SER_hh_num_in!Q27)</f>
        <v>0</v>
      </c>
      <c r="R28" s="147">
        <f>IF(SER_hh_emi_in!R27=0,0,1000000*SER_hh_emi_in!R27/SER_hh_num_in!R27)</f>
        <v>0</v>
      </c>
      <c r="S28" s="147">
        <f>IF(SER_hh_emi_in!S27=0,0,1000000*SER_hh_emi_in!S27/SER_hh_num_in!S27)</f>
        <v>0</v>
      </c>
      <c r="T28" s="147">
        <f>IF(SER_hh_emi_in!T27=0,0,1000000*SER_hh_emi_in!T27/SER_hh_num_in!T27)</f>
        <v>0</v>
      </c>
      <c r="U28" s="147">
        <f>IF(SER_hh_emi_in!U27=0,0,1000000*SER_hh_emi_in!U27/SER_hh_num_in!U27)</f>
        <v>0</v>
      </c>
      <c r="V28" s="147">
        <f>IF(SER_hh_emi_in!V27=0,0,1000000*SER_hh_emi_in!V27/SER_hh_num_in!V27)</f>
        <v>0</v>
      </c>
      <c r="W28" s="147">
        <f>IF(SER_hh_emi_in!W27=0,0,1000000*SER_hh_emi_in!W27/SER_hh_num_in!W27)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IF(SER_hh_emi_in!C29=0,0,1000000*SER_hh_emi_in!C29/SER_hh_num_in!C29)</f>
        <v>2022.8124637467401</v>
      </c>
      <c r="D29" s="131">
        <f>IF(SER_hh_emi_in!D29=0,0,1000000*SER_hh_emi_in!D29/SER_hh_num_in!D29)</f>
        <v>1130.3539900464473</v>
      </c>
      <c r="E29" s="131">
        <f>IF(SER_hh_emi_in!E29=0,0,1000000*SER_hh_emi_in!E29/SER_hh_num_in!E29)</f>
        <v>1353.4581841891177</v>
      </c>
      <c r="F29" s="131">
        <f>IF(SER_hh_emi_in!F29=0,0,1000000*SER_hh_emi_in!F29/SER_hh_num_in!F29)</f>
        <v>1378.4254632476261</v>
      </c>
      <c r="G29" s="131">
        <f>IF(SER_hh_emi_in!G29=0,0,1000000*SER_hh_emi_in!G29/SER_hh_num_in!G29)</f>
        <v>1220.1694939773192</v>
      </c>
      <c r="H29" s="131">
        <f>IF(SER_hh_emi_in!H29=0,0,1000000*SER_hh_emi_in!H29/SER_hh_num_in!H29)</f>
        <v>1508.0044574586855</v>
      </c>
      <c r="I29" s="131">
        <f>IF(SER_hh_emi_in!I29=0,0,1000000*SER_hh_emi_in!I29/SER_hh_num_in!I29)</f>
        <v>1560.9152579660376</v>
      </c>
      <c r="J29" s="131">
        <f>IF(SER_hh_emi_in!J29=0,0,1000000*SER_hh_emi_in!J29/SER_hh_num_in!J29)</f>
        <v>1965.7600420148215</v>
      </c>
      <c r="K29" s="131">
        <f>IF(SER_hh_emi_in!K29=0,0,1000000*SER_hh_emi_in!K29/SER_hh_num_in!K29)</f>
        <v>2440.2447304474081</v>
      </c>
      <c r="L29" s="131">
        <f>IF(SER_hh_emi_in!L29=0,0,1000000*SER_hh_emi_in!L29/SER_hh_num_in!L29)</f>
        <v>2023.9149601211002</v>
      </c>
      <c r="M29" s="131">
        <f>IF(SER_hh_emi_in!M29=0,0,1000000*SER_hh_emi_in!M29/SER_hh_num_in!M29)</f>
        <v>1393.1732706314563</v>
      </c>
      <c r="N29" s="131">
        <f>IF(SER_hh_emi_in!N29=0,0,1000000*SER_hh_emi_in!N29/SER_hh_num_in!N29)</f>
        <v>1566.9820208141373</v>
      </c>
      <c r="O29" s="131">
        <f>IF(SER_hh_emi_in!O29=0,0,1000000*SER_hh_emi_in!O29/SER_hh_num_in!O29)</f>
        <v>1629.8206608632372</v>
      </c>
      <c r="P29" s="131">
        <f>IF(SER_hh_emi_in!P29=0,0,1000000*SER_hh_emi_in!P29/SER_hh_num_in!P29)</f>
        <v>1486.9034034172764</v>
      </c>
      <c r="Q29" s="131">
        <f>IF(SER_hh_emi_in!Q29=0,0,1000000*SER_hh_emi_in!Q29/SER_hh_num_in!Q29)</f>
        <v>1769.012742556253</v>
      </c>
      <c r="R29" s="131">
        <f>IF(SER_hh_emi_in!R29=0,0,1000000*SER_hh_emi_in!R29/SER_hh_num_in!R29)</f>
        <v>1599.7336224915334</v>
      </c>
      <c r="S29" s="131">
        <f>IF(SER_hh_emi_in!S29=0,0,1000000*SER_hh_emi_in!S29/SER_hh_num_in!S29)</f>
        <v>1725.824103865697</v>
      </c>
      <c r="T29" s="131">
        <f>IF(SER_hh_emi_in!T29=0,0,1000000*SER_hh_emi_in!T29/SER_hh_num_in!T29)</f>
        <v>1778.5577727659547</v>
      </c>
      <c r="U29" s="131">
        <f>IF(SER_hh_emi_in!U29=0,0,1000000*SER_hh_emi_in!U29/SER_hh_num_in!U29)</f>
        <v>1891.5867602429075</v>
      </c>
      <c r="V29" s="131">
        <f>IF(SER_hh_emi_in!V29=0,0,1000000*SER_hh_emi_in!V29/SER_hh_num_in!V29)</f>
        <v>1905.0252855912711</v>
      </c>
      <c r="W29" s="131">
        <f>IF(SER_hh_emi_in!W29=0,0,1000000*SER_hh_emi_in!W29/SER_hh_num_in!W29)</f>
        <v>1893.6603225108622</v>
      </c>
      <c r="DA29" s="156" t="s">
        <v>810</v>
      </c>
    </row>
    <row r="30" spans="1:105" s="2" customFormat="1" ht="12" customHeight="1" x14ac:dyDescent="0.25">
      <c r="A30" s="132" t="s">
        <v>52</v>
      </c>
      <c r="B30" s="133"/>
      <c r="C30" s="133">
        <f>IF(SER_hh_emi_in!C30=0,0,1000000*SER_hh_emi_in!C30/SER_hh_num_in!C30)</f>
        <v>3825.0755891793551</v>
      </c>
      <c r="D30" s="133">
        <f>IF(SER_hh_emi_in!D30=0,0,1000000*SER_hh_emi_in!D30/SER_hh_num_in!D30)</f>
        <v>0</v>
      </c>
      <c r="E30" s="133">
        <f>IF(SER_hh_emi_in!E30=0,0,1000000*SER_hh_emi_in!E30/SER_hh_num_in!E30)</f>
        <v>0</v>
      </c>
      <c r="F30" s="133">
        <f>IF(SER_hh_emi_in!F30=0,0,1000000*SER_hh_emi_in!F30/SER_hh_num_in!F30)</f>
        <v>0</v>
      </c>
      <c r="G30" s="133">
        <f>IF(SER_hh_emi_in!G30=0,0,1000000*SER_hh_emi_in!G30/SER_hh_num_in!G30)</f>
        <v>0</v>
      </c>
      <c r="H30" s="133">
        <f>IF(SER_hh_emi_in!H30=0,0,1000000*SER_hh_emi_in!H30/SER_hh_num_in!H30)</f>
        <v>0</v>
      </c>
      <c r="I30" s="133">
        <f>IF(SER_hh_emi_in!I30=0,0,1000000*SER_hh_emi_in!I30/SER_hh_num_in!I30)</f>
        <v>0</v>
      </c>
      <c r="J30" s="133">
        <f>IF(SER_hh_emi_in!J30=0,0,1000000*SER_hh_emi_in!J30/SER_hh_num_in!J30)</f>
        <v>3884.5122894012848</v>
      </c>
      <c r="K30" s="133">
        <f>IF(SER_hh_emi_in!K30=0,0,1000000*SER_hh_emi_in!K30/SER_hh_num_in!K30)</f>
        <v>3767.2119127809074</v>
      </c>
      <c r="L30" s="133">
        <f>IF(SER_hh_emi_in!L30=0,0,1000000*SER_hh_emi_in!L30/SER_hh_num_in!L30)</f>
        <v>4520.2305918153907</v>
      </c>
      <c r="M30" s="133">
        <f>IF(SER_hh_emi_in!M30=0,0,1000000*SER_hh_emi_in!M30/SER_hh_num_in!M30)</f>
        <v>0</v>
      </c>
      <c r="N30" s="133">
        <f>IF(SER_hh_emi_in!N30=0,0,1000000*SER_hh_emi_in!N30/SER_hh_num_in!N30)</f>
        <v>0</v>
      </c>
      <c r="O30" s="133">
        <f>IF(SER_hh_emi_in!O30=0,0,1000000*SER_hh_emi_in!O30/SER_hh_num_in!O30)</f>
        <v>4071.3886157944717</v>
      </c>
      <c r="P30" s="133">
        <f>IF(SER_hh_emi_in!P30=0,0,1000000*SER_hh_emi_in!P30/SER_hh_num_in!P30)</f>
        <v>3100.2121633626025</v>
      </c>
      <c r="Q30" s="133">
        <f>IF(SER_hh_emi_in!Q30=0,0,1000000*SER_hh_emi_in!Q30/SER_hh_num_in!Q30)</f>
        <v>4810.0190757478658</v>
      </c>
      <c r="R30" s="133">
        <f>IF(SER_hh_emi_in!R30=0,0,1000000*SER_hh_emi_in!R30/SER_hh_num_in!R30)</f>
        <v>3606.6794901370076</v>
      </c>
      <c r="S30" s="133">
        <f>IF(SER_hh_emi_in!S30=0,0,1000000*SER_hh_emi_in!S30/SER_hh_num_in!S30)</f>
        <v>4009.7088401071946</v>
      </c>
      <c r="T30" s="133">
        <f>IF(SER_hh_emi_in!T30=0,0,1000000*SER_hh_emi_in!T30/SER_hh_num_in!T30)</f>
        <v>3740.8606100587863</v>
      </c>
      <c r="U30" s="133">
        <f>IF(SER_hh_emi_in!U30=0,0,1000000*SER_hh_emi_in!U30/SER_hh_num_in!U30)</f>
        <v>3673.4965019967462</v>
      </c>
      <c r="V30" s="133">
        <f>IF(SER_hh_emi_in!V30=0,0,1000000*SER_hh_emi_in!V30/SER_hh_num_in!V30)</f>
        <v>3910.398153860705</v>
      </c>
      <c r="W30" s="133">
        <f>IF(SER_hh_emi_in!W30=0,0,1000000*SER_hh_emi_in!W30/SER_hh_num_in!W30)</f>
        <v>3941.5146953333915</v>
      </c>
      <c r="DA30" s="157" t="s">
        <v>811</v>
      </c>
    </row>
    <row r="31" spans="1:105" ht="12" customHeight="1" x14ac:dyDescent="0.25">
      <c r="A31" s="132" t="s">
        <v>153</v>
      </c>
      <c r="B31" s="133"/>
      <c r="C31" s="133">
        <f>IF(SER_hh_emi_in!C31=0,0,1000000*SER_hh_emi_in!C31/SER_hh_num_in!C31)</f>
        <v>3158.2586663847055</v>
      </c>
      <c r="D31" s="133">
        <f>IF(SER_hh_emi_in!D31=0,0,1000000*SER_hh_emi_in!D31/SER_hh_num_in!D31)</f>
        <v>3171.3297534977155</v>
      </c>
      <c r="E31" s="133">
        <f>IF(SER_hh_emi_in!E31=0,0,1000000*SER_hh_emi_in!E31/SER_hh_num_in!E31)</f>
        <v>3188.5790569508576</v>
      </c>
      <c r="F31" s="133">
        <f>IF(SER_hh_emi_in!F31=0,0,1000000*SER_hh_emi_in!F31/SER_hh_num_in!F31)</f>
        <v>3210.7764591508026</v>
      </c>
      <c r="G31" s="133">
        <f>IF(SER_hh_emi_in!G31=0,0,1000000*SER_hh_emi_in!G31/SER_hh_num_in!G31)</f>
        <v>3253.5050194600999</v>
      </c>
      <c r="H31" s="133">
        <f>IF(SER_hh_emi_in!H31=0,0,1000000*SER_hh_emi_in!H31/SER_hh_num_in!H31)</f>
        <v>3258.0386283801622</v>
      </c>
      <c r="I31" s="133">
        <f>IF(SER_hh_emi_in!I31=0,0,1000000*SER_hh_emi_in!I31/SER_hh_num_in!I31)</f>
        <v>3290.2951056541224</v>
      </c>
      <c r="J31" s="133">
        <f>IF(SER_hh_emi_in!J31=0,0,1000000*SER_hh_emi_in!J31/SER_hh_num_in!J31)</f>
        <v>3342.8138779502501</v>
      </c>
      <c r="K31" s="133">
        <f>IF(SER_hh_emi_in!K31=0,0,1000000*SER_hh_emi_in!K31/SER_hh_num_in!K31)</f>
        <v>3359.0197686066349</v>
      </c>
      <c r="L31" s="133">
        <f>IF(SER_hh_emi_in!L31=0,0,1000000*SER_hh_emi_in!L31/SER_hh_num_in!L31)</f>
        <v>3366.3622590435452</v>
      </c>
      <c r="M31" s="133">
        <f>IF(SER_hh_emi_in!M31=0,0,1000000*SER_hh_emi_in!M31/SER_hh_num_in!M31)</f>
        <v>3371.6352118089817</v>
      </c>
      <c r="N31" s="133">
        <f>IF(SER_hh_emi_in!N31=0,0,1000000*SER_hh_emi_in!N31/SER_hh_num_in!N31)</f>
        <v>3412.8733539895143</v>
      </c>
      <c r="O31" s="133">
        <f>IF(SER_hh_emi_in!O31=0,0,1000000*SER_hh_emi_in!O31/SER_hh_num_in!O31)</f>
        <v>3425.6055322914412</v>
      </c>
      <c r="P31" s="133">
        <f>IF(SER_hh_emi_in!P31=0,0,1000000*SER_hh_emi_in!P31/SER_hh_num_in!P31)</f>
        <v>3432.918740060783</v>
      </c>
      <c r="Q31" s="133">
        <f>IF(SER_hh_emi_in!Q31=0,0,1000000*SER_hh_emi_in!Q31/SER_hh_num_in!Q31)</f>
        <v>3450.9016302285154</v>
      </c>
      <c r="R31" s="133">
        <f>IF(SER_hh_emi_in!R31=0,0,1000000*SER_hh_emi_in!R31/SER_hh_num_in!R31)</f>
        <v>3441.9060588647681</v>
      </c>
      <c r="S31" s="133">
        <f>IF(SER_hh_emi_in!S31=0,0,1000000*SER_hh_emi_in!S31/SER_hh_num_in!S31)</f>
        <v>3423.0737775577877</v>
      </c>
      <c r="T31" s="133">
        <f>IF(SER_hh_emi_in!T31=0,0,1000000*SER_hh_emi_in!T31/SER_hh_num_in!T31)</f>
        <v>3412.3952059382441</v>
      </c>
      <c r="U31" s="133">
        <f>IF(SER_hh_emi_in!U31=0,0,1000000*SER_hh_emi_in!U31/SER_hh_num_in!U31)</f>
        <v>3405.5382001953626</v>
      </c>
      <c r="V31" s="133">
        <f>IF(SER_hh_emi_in!V31=0,0,1000000*SER_hh_emi_in!V31/SER_hh_num_in!V31)</f>
        <v>3232.639460265269</v>
      </c>
      <c r="W31" s="133">
        <f>IF(SER_hh_emi_in!W31=0,0,1000000*SER_hh_emi_in!W31/SER_hh_num_in!W31)</f>
        <v>3428.1593729882607</v>
      </c>
      <c r="DA31" s="157" t="s">
        <v>812</v>
      </c>
    </row>
    <row r="32" spans="1:105" ht="12" customHeight="1" x14ac:dyDescent="0.25">
      <c r="A32" s="132" t="s">
        <v>128</v>
      </c>
      <c r="B32" s="133"/>
      <c r="C32" s="133">
        <f>IF(SER_hh_emi_in!C32=0,0,1000000*SER_hh_emi_in!C32/SER_hh_num_in!C32)</f>
        <v>0</v>
      </c>
      <c r="D32" s="133">
        <f>IF(SER_hh_emi_in!D32=0,0,1000000*SER_hh_emi_in!D32/SER_hh_num_in!D32)</f>
        <v>0</v>
      </c>
      <c r="E32" s="133">
        <f>IF(SER_hh_emi_in!E32=0,0,1000000*SER_hh_emi_in!E32/SER_hh_num_in!E32)</f>
        <v>0</v>
      </c>
      <c r="F32" s="133">
        <f>IF(SER_hh_emi_in!F32=0,0,1000000*SER_hh_emi_in!F32/SER_hh_num_in!F32)</f>
        <v>0</v>
      </c>
      <c r="G32" s="133">
        <f>IF(SER_hh_emi_in!G32=0,0,1000000*SER_hh_emi_in!G32/SER_hh_num_in!G32)</f>
        <v>0</v>
      </c>
      <c r="H32" s="133">
        <f>IF(SER_hh_emi_in!H32=0,0,1000000*SER_hh_emi_in!H32/SER_hh_num_in!H32)</f>
        <v>0</v>
      </c>
      <c r="I32" s="133">
        <f>IF(SER_hh_emi_in!I32=0,0,1000000*SER_hh_emi_in!I32/SER_hh_num_in!I32)</f>
        <v>0</v>
      </c>
      <c r="J32" s="133">
        <f>IF(SER_hh_emi_in!J32=0,0,1000000*SER_hh_emi_in!J32/SER_hh_num_in!J32)</f>
        <v>0</v>
      </c>
      <c r="K32" s="133">
        <f>IF(SER_hh_emi_in!K32=0,0,1000000*SER_hh_emi_in!K32/SER_hh_num_in!K32)</f>
        <v>0</v>
      </c>
      <c r="L32" s="133">
        <f>IF(SER_hh_emi_in!L32=0,0,1000000*SER_hh_emi_in!L32/SER_hh_num_in!L32)</f>
        <v>0</v>
      </c>
      <c r="M32" s="133">
        <f>IF(SER_hh_emi_in!M32=0,0,1000000*SER_hh_emi_in!M32/SER_hh_num_in!M32)</f>
        <v>0</v>
      </c>
      <c r="N32" s="133">
        <f>IF(SER_hh_emi_in!N32=0,0,1000000*SER_hh_emi_in!N32/SER_hh_num_in!N32)</f>
        <v>0</v>
      </c>
      <c r="O32" s="133">
        <f>IF(SER_hh_emi_in!O32=0,0,1000000*SER_hh_emi_in!O32/SER_hh_num_in!O32)</f>
        <v>5449.4800818899384</v>
      </c>
      <c r="P32" s="133">
        <f>IF(SER_hh_emi_in!P32=0,0,1000000*SER_hh_emi_in!P32/SER_hh_num_in!P32)</f>
        <v>4966.4105146927823</v>
      </c>
      <c r="Q32" s="133">
        <f>IF(SER_hh_emi_in!Q32=0,0,1000000*SER_hh_emi_in!Q32/SER_hh_num_in!Q32)</f>
        <v>5862.1266710946211</v>
      </c>
      <c r="R32" s="133">
        <f>IF(SER_hh_emi_in!R32=0,0,1000000*SER_hh_emi_in!R32/SER_hh_num_in!R32)</f>
        <v>5541.8392168378514</v>
      </c>
      <c r="S32" s="133">
        <f>IF(SER_hh_emi_in!S32=0,0,1000000*SER_hh_emi_in!S32/SER_hh_num_in!S32)</f>
        <v>5408.7646193897426</v>
      </c>
      <c r="T32" s="133">
        <f>IF(SER_hh_emi_in!T32=0,0,1000000*SER_hh_emi_in!T32/SER_hh_num_in!T32)</f>
        <v>5564.0421282078369</v>
      </c>
      <c r="U32" s="133">
        <f>IF(SER_hh_emi_in!U32=0,0,1000000*SER_hh_emi_in!U32/SER_hh_num_in!U32)</f>
        <v>0</v>
      </c>
      <c r="V32" s="133">
        <f>IF(SER_hh_emi_in!V32=0,0,1000000*SER_hh_emi_in!V32/SER_hh_num_in!V32)</f>
        <v>0</v>
      </c>
      <c r="W32" s="133">
        <f>IF(SER_hh_emi_in!W32=0,0,1000000*SER_hh_emi_in!W32/SER_hh_num_in!W32)</f>
        <v>0</v>
      </c>
      <c r="DA32" s="157" t="s">
        <v>813</v>
      </c>
    </row>
    <row r="33" spans="1:105" ht="12" customHeight="1" x14ac:dyDescent="0.25">
      <c r="A33" s="62" t="s">
        <v>24</v>
      </c>
      <c r="B33" s="68"/>
      <c r="C33" s="68">
        <f>IF(SER_hh_emi_in!C33=0,0,1000000*SER_hh_emi_in!C33/SER_hh_num_in!C33)</f>
        <v>0</v>
      </c>
      <c r="D33" s="68">
        <f>IF(SER_hh_emi_in!D33=0,0,1000000*SER_hh_emi_in!D33/SER_hh_num_in!D33)</f>
        <v>0</v>
      </c>
      <c r="E33" s="68">
        <f>IF(SER_hh_emi_in!E33=0,0,1000000*SER_hh_emi_in!E33/SER_hh_num_in!E33)</f>
        <v>0</v>
      </c>
      <c r="F33" s="68">
        <f>IF(SER_hh_emi_in!F33=0,0,1000000*SER_hh_emi_in!F33/SER_hh_num_in!F33)</f>
        <v>0</v>
      </c>
      <c r="G33" s="68">
        <f>IF(SER_hh_emi_in!G33=0,0,1000000*SER_hh_emi_in!G33/SER_hh_num_in!G33)</f>
        <v>0</v>
      </c>
      <c r="H33" s="68">
        <f>IF(SER_hh_emi_in!H33=0,0,1000000*SER_hh_emi_in!H33/SER_hh_num_in!H33)</f>
        <v>0</v>
      </c>
      <c r="I33" s="68">
        <f>IF(SER_hh_emi_in!I33=0,0,1000000*SER_hh_emi_in!I33/SER_hh_num_in!I33)</f>
        <v>0</v>
      </c>
      <c r="J33" s="68">
        <f>IF(SER_hh_emi_in!J33=0,0,1000000*SER_hh_emi_in!J33/SER_hh_num_in!J33)</f>
        <v>0</v>
      </c>
      <c r="K33" s="68">
        <f>IF(SER_hh_emi_in!K33=0,0,1000000*SER_hh_emi_in!K33/SER_hh_num_in!K33)</f>
        <v>0</v>
      </c>
      <c r="L33" s="68">
        <f>IF(SER_hh_emi_in!L33=0,0,1000000*SER_hh_emi_in!L33/SER_hh_num_in!L33)</f>
        <v>0</v>
      </c>
      <c r="M33" s="68">
        <f>IF(SER_hh_emi_in!M33=0,0,1000000*SER_hh_emi_in!M33/SER_hh_num_in!M33)</f>
        <v>0</v>
      </c>
      <c r="N33" s="68">
        <f>IF(SER_hh_emi_in!N33=0,0,1000000*SER_hh_emi_in!N33/SER_hh_num_in!N33)</f>
        <v>0</v>
      </c>
      <c r="O33" s="68">
        <f>IF(SER_hh_emi_in!O33=0,0,1000000*SER_hh_emi_in!O33/SER_hh_num_in!O33)</f>
        <v>0</v>
      </c>
      <c r="P33" s="68">
        <f>IF(SER_hh_emi_in!P33=0,0,1000000*SER_hh_emi_in!P33/SER_hh_num_in!P33)</f>
        <v>0</v>
      </c>
      <c r="Q33" s="68">
        <f>IF(SER_hh_emi_in!Q33=0,0,1000000*SER_hh_emi_in!Q33/SER_hh_num_in!Q33)</f>
        <v>0</v>
      </c>
      <c r="R33" s="68">
        <f>IF(SER_hh_emi_in!R33=0,0,1000000*SER_hh_emi_in!R33/SER_hh_num_in!R33)</f>
        <v>0</v>
      </c>
      <c r="S33" s="68">
        <f>IF(SER_hh_emi_in!S33=0,0,1000000*SER_hh_emi_in!S33/SER_hh_num_in!S33)</f>
        <v>0</v>
      </c>
      <c r="T33" s="68">
        <f>IF(SER_hh_emi_in!T33=0,0,1000000*SER_hh_emi_in!T33/SER_hh_num_in!T33)</f>
        <v>0</v>
      </c>
      <c r="U33" s="68">
        <f>IF(SER_hh_emi_in!U33=0,0,1000000*SER_hh_emi_in!U33/SER_hh_num_in!U33)</f>
        <v>0</v>
      </c>
      <c r="V33" s="68">
        <f>IF(SER_hh_emi_in!V33=0,0,1000000*SER_hh_emi_in!V33/SER_hh_num_in!V33)</f>
        <v>0</v>
      </c>
      <c r="W33" s="68">
        <f>IF(SER_hh_emi_in!W33=0,0,1000000*SER_hh_emi_in!W33/SER_hh_num_in!W33)</f>
        <v>0</v>
      </c>
      <c r="DA33" s="111" t="s">
        <v>814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815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90</v>
      </c>
      <c r="B3" s="126"/>
      <c r="C3" s="126">
        <f>IF(SER_hh_fech_in!C3=0,0,SER_hh_fech_in!C3/SER_summary!C$27)</f>
        <v>182.04041497975751</v>
      </c>
      <c r="D3" s="126">
        <f>IF(SER_hh_fech_in!D3=0,0,SER_hh_fech_in!D3/SER_summary!D$27)</f>
        <v>181.8297267903387</v>
      </c>
      <c r="E3" s="126">
        <f>IF(SER_hh_fech_in!E3=0,0,SER_hh_fech_in!E3/SER_summary!E$27)</f>
        <v>174.02749073986192</v>
      </c>
      <c r="F3" s="126">
        <f>IF(SER_hh_fech_in!F3=0,0,SER_hh_fech_in!F3/SER_summary!F$27)</f>
        <v>231.03311936584797</v>
      </c>
      <c r="G3" s="126">
        <f>IF(SER_hh_fech_in!G3=0,0,SER_hh_fech_in!G3/SER_summary!G$27)</f>
        <v>197.77748826599148</v>
      </c>
      <c r="H3" s="126">
        <f>IF(SER_hh_fech_in!H3=0,0,SER_hh_fech_in!H3/SER_summary!H$27)</f>
        <v>179.1512721397828</v>
      </c>
      <c r="I3" s="126">
        <f>IF(SER_hh_fech_in!I3=0,0,SER_hh_fech_in!I3/SER_summary!I$27)</f>
        <v>164.40725942741258</v>
      </c>
      <c r="J3" s="126">
        <f>IF(SER_hh_fech_in!J3=0,0,SER_hh_fech_in!J3/SER_summary!J$27)</f>
        <v>181.90593717552957</v>
      </c>
      <c r="K3" s="126">
        <f>IF(SER_hh_fech_in!K3=0,0,SER_hh_fech_in!K3/SER_summary!K$27)</f>
        <v>175.37242516947305</v>
      </c>
      <c r="L3" s="126">
        <f>IF(SER_hh_fech_in!L3=0,0,SER_hh_fech_in!L3/SER_summary!L$27)</f>
        <v>183.63325353020463</v>
      </c>
      <c r="M3" s="126">
        <f>IF(SER_hh_fech_in!M3=0,0,SER_hh_fech_in!M3/SER_summary!M$27)</f>
        <v>147.50191934332668</v>
      </c>
      <c r="N3" s="126">
        <f>IF(SER_hh_fech_in!N3=0,0,SER_hh_fech_in!N3/SER_summary!N$27)</f>
        <v>152.16135140493097</v>
      </c>
      <c r="O3" s="126">
        <f>IF(SER_hh_fech_in!O3=0,0,SER_hh_fech_in!O3/SER_summary!O$27)</f>
        <v>157.41886007291905</v>
      </c>
      <c r="P3" s="126">
        <f>IF(SER_hh_fech_in!P3=0,0,SER_hh_fech_in!P3/SER_summary!P$27)</f>
        <v>124.62463219802235</v>
      </c>
      <c r="Q3" s="126">
        <f>IF(SER_hh_fech_in!Q3=0,0,SER_hh_fech_in!Q3/SER_summary!Q$27)</f>
        <v>131.48029775379604</v>
      </c>
      <c r="R3" s="126">
        <f>IF(SER_hh_fech_in!R3=0,0,SER_hh_fech_in!R3/SER_summary!R$27)</f>
        <v>122.76106897972838</v>
      </c>
      <c r="S3" s="126">
        <f>IF(SER_hh_fech_in!S3=0,0,SER_hh_fech_in!S3/SER_summary!S$27)</f>
        <v>114.96061400553087</v>
      </c>
      <c r="T3" s="126">
        <f>IF(SER_hh_fech_in!T3=0,0,SER_hh_fech_in!T3/SER_summary!T$27)</f>
        <v>109.01545706877401</v>
      </c>
      <c r="U3" s="126">
        <f>IF(SER_hh_fech_in!U3=0,0,SER_hh_fech_in!U3/SER_summary!U$27)</f>
        <v>103.18083603082093</v>
      </c>
      <c r="V3" s="126">
        <f>IF(SER_hh_fech_in!V3=0,0,SER_hh_fech_in!V3/SER_summary!V$27)</f>
        <v>94.001168558932093</v>
      </c>
      <c r="W3" s="126">
        <f>IF(SER_hh_fech_in!W3=0,0,SER_hh_fech_in!W3/SER_summary!W$27)</f>
        <v>90.986281812710232</v>
      </c>
      <c r="DA3" s="155" t="s">
        <v>816</v>
      </c>
    </row>
    <row r="4" spans="1:105" ht="12.95" customHeight="1" x14ac:dyDescent="0.25">
      <c r="A4" s="130" t="s">
        <v>32</v>
      </c>
      <c r="B4" s="131"/>
      <c r="C4" s="131">
        <f>IF(SER_hh_fech_in!C4=0,0,SER_hh_fech_in!C4/SER_summary!C$27)</f>
        <v>132.55585804187712</v>
      </c>
      <c r="D4" s="131">
        <f>IF(SER_hh_fech_in!D4=0,0,SER_hh_fech_in!D4/SER_summary!D$27)</f>
        <v>137.55480753998094</v>
      </c>
      <c r="E4" s="131">
        <f>IF(SER_hh_fech_in!E4=0,0,SER_hh_fech_in!E4/SER_summary!E$27)</f>
        <v>123.9110222220459</v>
      </c>
      <c r="F4" s="131">
        <f>IF(SER_hh_fech_in!F4=0,0,SER_hh_fech_in!F4/SER_summary!F$27)</f>
        <v>185.21114101922089</v>
      </c>
      <c r="G4" s="131">
        <f>IF(SER_hh_fech_in!G4=0,0,SER_hh_fech_in!G4/SER_summary!G$27)</f>
        <v>151.51912810707009</v>
      </c>
      <c r="H4" s="131">
        <f>IF(SER_hh_fech_in!H4=0,0,SER_hh_fech_in!H4/SER_summary!H$27)</f>
        <v>131.25382969471005</v>
      </c>
      <c r="I4" s="131">
        <f>IF(SER_hh_fech_in!I4=0,0,SER_hh_fech_in!I4/SER_summary!I$27)</f>
        <v>119.74599999784942</v>
      </c>
      <c r="J4" s="131">
        <f>IF(SER_hh_fech_in!J4=0,0,SER_hh_fech_in!J4/SER_summary!J$27)</f>
        <v>137.08156643001152</v>
      </c>
      <c r="K4" s="131">
        <f>IF(SER_hh_fech_in!K4=0,0,SER_hh_fech_in!K4/SER_summary!K$27)</f>
        <v>131.29962739562498</v>
      </c>
      <c r="L4" s="131">
        <f>IF(SER_hh_fech_in!L4=0,0,SER_hh_fech_in!L4/SER_summary!L$27)</f>
        <v>138.49647625654632</v>
      </c>
      <c r="M4" s="131">
        <f>IF(SER_hh_fech_in!M4=0,0,SER_hh_fech_in!M4/SER_summary!M$27)</f>
        <v>104.50062766023889</v>
      </c>
      <c r="N4" s="131">
        <f>IF(SER_hh_fech_in!N4=0,0,SER_hh_fech_in!N4/SER_summary!N$27)</f>
        <v>109.22251181391022</v>
      </c>
      <c r="O4" s="131">
        <f>IF(SER_hh_fech_in!O4=0,0,SER_hh_fech_in!O4/SER_summary!O$27)</f>
        <v>115.17541949422913</v>
      </c>
      <c r="P4" s="131">
        <f>IF(SER_hh_fech_in!P4=0,0,SER_hh_fech_in!P4/SER_summary!P$27)</f>
        <v>84.197044250994779</v>
      </c>
      <c r="Q4" s="131">
        <f>IF(SER_hh_fech_in!Q4=0,0,SER_hh_fech_in!Q4/SER_summary!Q$27)</f>
        <v>90.740922401767634</v>
      </c>
      <c r="R4" s="131">
        <f>IF(SER_hh_fech_in!R4=0,0,SER_hh_fech_in!R4/SER_summary!R$27)</f>
        <v>83.605573303937732</v>
      </c>
      <c r="S4" s="131">
        <f>IF(SER_hh_fech_in!S4=0,0,SER_hh_fech_in!S4/SER_summary!S$27)</f>
        <v>76.595418444645375</v>
      </c>
      <c r="T4" s="131">
        <f>IF(SER_hh_fech_in!T4=0,0,SER_hh_fech_in!T4/SER_summary!T$27)</f>
        <v>70.620617067149496</v>
      </c>
      <c r="U4" s="131">
        <f>IF(SER_hh_fech_in!U4=0,0,SER_hh_fech_in!U4/SER_summary!U$27)</f>
        <v>65.582043330668924</v>
      </c>
      <c r="V4" s="131">
        <f>IF(SER_hh_fech_in!V4=0,0,SER_hh_fech_in!V4/SER_summary!V$27)</f>
        <v>57.422056638901218</v>
      </c>
      <c r="W4" s="131">
        <f>IF(SER_hh_fech_in!W4=0,0,SER_hh_fech_in!W4/SER_summary!W$27)</f>
        <v>55.150003467776685</v>
      </c>
      <c r="DA4" s="156" t="s">
        <v>817</v>
      </c>
    </row>
    <row r="5" spans="1:105" ht="12" customHeight="1" x14ac:dyDescent="0.25">
      <c r="A5" s="132" t="s">
        <v>29</v>
      </c>
      <c r="B5" s="133"/>
      <c r="C5" s="133">
        <f>IF(SER_hh_fech_in!C5=0,0,SER_hh_fech_in!C5/SER_summary!C$27)</f>
        <v>0</v>
      </c>
      <c r="D5" s="133">
        <f>IF(SER_hh_fech_in!D5=0,0,SER_hh_fech_in!D5/SER_summary!D$27)</f>
        <v>0</v>
      </c>
      <c r="E5" s="133">
        <f>IF(SER_hh_fech_in!E5=0,0,SER_hh_fech_in!E5/SER_summary!E$27)</f>
        <v>0</v>
      </c>
      <c r="F5" s="133">
        <f>IF(SER_hh_fech_in!F5=0,0,SER_hh_fech_in!F5/SER_summary!F$27)</f>
        <v>0</v>
      </c>
      <c r="G5" s="133">
        <f>IF(SER_hh_fech_in!G5=0,0,SER_hh_fech_in!G5/SER_summary!G$27)</f>
        <v>0</v>
      </c>
      <c r="H5" s="133">
        <f>IF(SER_hh_fech_in!H5=0,0,SER_hh_fech_in!H5/SER_summary!H$27)</f>
        <v>0</v>
      </c>
      <c r="I5" s="133">
        <f>IF(SER_hh_fech_in!I5=0,0,SER_hh_fech_in!I5/SER_summary!I$27)</f>
        <v>0</v>
      </c>
      <c r="J5" s="133">
        <f>IF(SER_hh_fech_in!J5=0,0,SER_hh_fech_in!J5/SER_summary!J$27)</f>
        <v>0</v>
      </c>
      <c r="K5" s="133">
        <f>IF(SER_hh_fech_in!K5=0,0,SER_hh_fech_in!K5/SER_summary!K$27)</f>
        <v>0</v>
      </c>
      <c r="L5" s="133">
        <f>IF(SER_hh_fech_in!L5=0,0,SER_hh_fech_in!L5/SER_summary!L$27)</f>
        <v>0</v>
      </c>
      <c r="M5" s="133">
        <f>IF(SER_hh_fech_in!M5=0,0,SER_hh_fech_in!M5/SER_summary!M$27)</f>
        <v>0</v>
      </c>
      <c r="N5" s="133">
        <f>IF(SER_hh_fech_in!N5=0,0,SER_hh_fech_in!N5/SER_summary!N$27)</f>
        <v>0</v>
      </c>
      <c r="O5" s="133">
        <f>IF(SER_hh_fech_in!O5=0,0,SER_hh_fech_in!O5/SER_summary!O$27)</f>
        <v>0</v>
      </c>
      <c r="P5" s="133">
        <f>IF(SER_hh_fech_in!P5=0,0,SER_hh_fech_in!P5/SER_summary!P$27)</f>
        <v>0</v>
      </c>
      <c r="Q5" s="133">
        <f>IF(SER_hh_fech_in!Q5=0,0,SER_hh_fech_in!Q5/SER_summary!Q$27)</f>
        <v>0</v>
      </c>
      <c r="R5" s="133">
        <f>IF(SER_hh_fech_in!R5=0,0,SER_hh_fech_in!R5/SER_summary!R$27)</f>
        <v>0</v>
      </c>
      <c r="S5" s="133">
        <f>IF(SER_hh_fech_in!S5=0,0,SER_hh_fech_in!S5/SER_summary!S$27)</f>
        <v>0</v>
      </c>
      <c r="T5" s="133">
        <f>IF(SER_hh_fech_in!T5=0,0,SER_hh_fech_in!T5/SER_summary!T$27)</f>
        <v>0</v>
      </c>
      <c r="U5" s="133">
        <f>IF(SER_hh_fech_in!U5=0,0,SER_hh_fech_in!U5/SER_summary!U$27)</f>
        <v>0</v>
      </c>
      <c r="V5" s="133">
        <f>IF(SER_hh_fech_in!V5=0,0,SER_hh_fech_in!V5/SER_summary!V$27)</f>
        <v>0</v>
      </c>
      <c r="W5" s="133">
        <f>IF(SER_hh_fech_in!W5=0,0,SER_hh_fech_in!W5/SER_summary!W$27)</f>
        <v>0</v>
      </c>
      <c r="DA5" s="157" t="s">
        <v>818</v>
      </c>
    </row>
    <row r="6" spans="1:105" ht="12" customHeight="1" x14ac:dyDescent="0.25">
      <c r="A6" s="132" t="s">
        <v>52</v>
      </c>
      <c r="B6" s="133"/>
      <c r="C6" s="133">
        <f>IF(SER_hh_fech_in!C6=0,0,SER_hh_fech_in!C6/SER_summary!C$27)</f>
        <v>0</v>
      </c>
      <c r="D6" s="133">
        <f>IF(SER_hh_fech_in!D6=0,0,SER_hh_fech_in!D6/SER_summary!D$27)</f>
        <v>0</v>
      </c>
      <c r="E6" s="133">
        <f>IF(SER_hh_fech_in!E6=0,0,SER_hh_fech_in!E6/SER_summary!E$27)</f>
        <v>0</v>
      </c>
      <c r="F6" s="133">
        <f>IF(SER_hh_fech_in!F6=0,0,SER_hh_fech_in!F6/SER_summary!F$27)</f>
        <v>0</v>
      </c>
      <c r="G6" s="133">
        <f>IF(SER_hh_fech_in!G6=0,0,SER_hh_fech_in!G6/SER_summary!G$27)</f>
        <v>0</v>
      </c>
      <c r="H6" s="133">
        <f>IF(SER_hh_fech_in!H6=0,0,SER_hh_fech_in!H6/SER_summary!H$27)</f>
        <v>0</v>
      </c>
      <c r="I6" s="133">
        <f>IF(SER_hh_fech_in!I6=0,0,SER_hh_fech_in!I6/SER_summary!I$27)</f>
        <v>0</v>
      </c>
      <c r="J6" s="133">
        <f>IF(SER_hh_fech_in!J6=0,0,SER_hh_fech_in!J6/SER_summary!J$27)</f>
        <v>0</v>
      </c>
      <c r="K6" s="133">
        <f>IF(SER_hh_fech_in!K6=0,0,SER_hh_fech_in!K6/SER_summary!K$27)</f>
        <v>0</v>
      </c>
      <c r="L6" s="133">
        <f>IF(SER_hh_fech_in!L6=0,0,SER_hh_fech_in!L6/SER_summary!L$27)</f>
        <v>0</v>
      </c>
      <c r="M6" s="133">
        <f>IF(SER_hh_fech_in!M6=0,0,SER_hh_fech_in!M6/SER_summary!M$27)</f>
        <v>0</v>
      </c>
      <c r="N6" s="133">
        <f>IF(SER_hh_fech_in!N6=0,0,SER_hh_fech_in!N6/SER_summary!N$27)</f>
        <v>0</v>
      </c>
      <c r="O6" s="133">
        <f>IF(SER_hh_fech_in!O6=0,0,SER_hh_fech_in!O6/SER_summary!O$27)</f>
        <v>0</v>
      </c>
      <c r="P6" s="133">
        <f>IF(SER_hh_fech_in!P6=0,0,SER_hh_fech_in!P6/SER_summary!P$27)</f>
        <v>0</v>
      </c>
      <c r="Q6" s="133">
        <f>IF(SER_hh_fech_in!Q6=0,0,SER_hh_fech_in!Q6/SER_summary!Q$27)</f>
        <v>0</v>
      </c>
      <c r="R6" s="133">
        <f>IF(SER_hh_fech_in!R6=0,0,SER_hh_fech_in!R6/SER_summary!R$27)</f>
        <v>0</v>
      </c>
      <c r="S6" s="133">
        <f>IF(SER_hh_fech_in!S6=0,0,SER_hh_fech_in!S6/SER_summary!S$27)</f>
        <v>0</v>
      </c>
      <c r="T6" s="133">
        <f>IF(SER_hh_fech_in!T6=0,0,SER_hh_fech_in!T6/SER_summary!T$27)</f>
        <v>0</v>
      </c>
      <c r="U6" s="133">
        <f>IF(SER_hh_fech_in!U6=0,0,SER_hh_fech_in!U6/SER_summary!U$27)</f>
        <v>0</v>
      </c>
      <c r="V6" s="133">
        <f>IF(SER_hh_fech_in!V6=0,0,SER_hh_fech_in!V6/SER_summary!V$27)</f>
        <v>0</v>
      </c>
      <c r="W6" s="133">
        <f>IF(SER_hh_fech_in!W6=0,0,SER_hh_fech_in!W6/SER_summary!W$27)</f>
        <v>0</v>
      </c>
      <c r="DA6" s="157" t="s">
        <v>819</v>
      </c>
    </row>
    <row r="7" spans="1:105" ht="12" customHeight="1" x14ac:dyDescent="0.25">
      <c r="A7" s="132" t="s">
        <v>168</v>
      </c>
      <c r="B7" s="133"/>
      <c r="C7" s="133">
        <f>IF(SER_hh_fech_in!C7=0,0,SER_hh_fech_in!C7/SER_summary!C$27)</f>
        <v>132.14987435243933</v>
      </c>
      <c r="D7" s="133">
        <f>IF(SER_hh_fech_in!D7=0,0,SER_hh_fech_in!D7/SER_summary!D$27)</f>
        <v>167.49581229336752</v>
      </c>
      <c r="E7" s="133">
        <f>IF(SER_hh_fech_in!E7=0,0,SER_hh_fech_in!E7/SER_summary!E$27)</f>
        <v>187.80733974514982</v>
      </c>
      <c r="F7" s="133">
        <f>IF(SER_hh_fech_in!F7=0,0,SER_hh_fech_in!F7/SER_summary!F$27)</f>
        <v>180.64216604824233</v>
      </c>
      <c r="G7" s="133">
        <f>IF(SER_hh_fech_in!G7=0,0,SER_hh_fech_in!G7/SER_summary!G$27)</f>
        <v>180.41644785832099</v>
      </c>
      <c r="H7" s="133">
        <f>IF(SER_hh_fech_in!H7=0,0,SER_hh_fech_in!H7/SER_summary!H$27)</f>
        <v>156.01145219709861</v>
      </c>
      <c r="I7" s="133">
        <f>IF(SER_hh_fech_in!I7=0,0,SER_hh_fech_in!I7/SER_summary!I$27)</f>
        <v>132.6185486561063</v>
      </c>
      <c r="J7" s="133">
        <f>IF(SER_hh_fech_in!J7=0,0,SER_hh_fech_in!J7/SER_summary!J$27)</f>
        <v>166.7117794999705</v>
      </c>
      <c r="K7" s="133">
        <f>IF(SER_hh_fech_in!K7=0,0,SER_hh_fech_in!K7/SER_summary!K$27)</f>
        <v>135.19721996925736</v>
      </c>
      <c r="L7" s="133">
        <f>IF(SER_hh_fech_in!L7=0,0,SER_hh_fech_in!L7/SER_summary!L$27)</f>
        <v>150.59122932394729</v>
      </c>
      <c r="M7" s="133">
        <f>IF(SER_hh_fech_in!M7=0,0,SER_hh_fech_in!M7/SER_summary!M$27)</f>
        <v>121.50690805539277</v>
      </c>
      <c r="N7" s="133">
        <f>IF(SER_hh_fech_in!N7=0,0,SER_hh_fech_in!N7/SER_summary!N$27)</f>
        <v>116.38876346487594</v>
      </c>
      <c r="O7" s="133">
        <f>IF(SER_hh_fech_in!O7=0,0,SER_hh_fech_in!O7/SER_summary!O$27)</f>
        <v>122.06486356840171</v>
      </c>
      <c r="P7" s="133">
        <f>IF(SER_hh_fech_in!P7=0,0,SER_hh_fech_in!P7/SER_summary!P$27)</f>
        <v>86.648638408701402</v>
      </c>
      <c r="Q7" s="133">
        <f>IF(SER_hh_fech_in!Q7=0,0,SER_hh_fech_in!Q7/SER_summary!Q$27)</f>
        <v>97.706772077514088</v>
      </c>
      <c r="R7" s="133">
        <f>IF(SER_hh_fech_in!R7=0,0,SER_hh_fech_in!R7/SER_summary!R$27)</f>
        <v>85.929196686417882</v>
      </c>
      <c r="S7" s="133">
        <f>IF(SER_hh_fech_in!S7=0,0,SER_hh_fech_in!S7/SER_summary!S$27)</f>
        <v>83.772120716778801</v>
      </c>
      <c r="T7" s="133">
        <f>IF(SER_hh_fech_in!T7=0,0,SER_hh_fech_in!T7/SER_summary!T$27)</f>
        <v>79.398228330856995</v>
      </c>
      <c r="U7" s="133">
        <f>IF(SER_hh_fech_in!U7=0,0,SER_hh_fech_in!U7/SER_summary!U$27)</f>
        <v>71.880244864273877</v>
      </c>
      <c r="V7" s="133">
        <f>IF(SER_hh_fech_in!V7=0,0,SER_hh_fech_in!V7/SER_summary!V$27)</f>
        <v>71.091820788499419</v>
      </c>
      <c r="W7" s="133">
        <f>IF(SER_hh_fech_in!W7=0,0,SER_hh_fech_in!W7/SER_summary!W$27)</f>
        <v>53.999641733306966</v>
      </c>
      <c r="DA7" s="157" t="s">
        <v>820</v>
      </c>
    </row>
    <row r="8" spans="1:105" ht="12" customHeight="1" x14ac:dyDescent="0.25">
      <c r="A8" s="132" t="s">
        <v>73</v>
      </c>
      <c r="B8" s="133"/>
      <c r="C8" s="133">
        <f>IF(SER_hh_fech_in!C8=0,0,SER_hh_fech_in!C8/SER_summary!C$27)</f>
        <v>47.662373914780289</v>
      </c>
      <c r="D8" s="133">
        <f>IF(SER_hh_fech_in!D8=0,0,SER_hh_fech_in!D8/SER_summary!D$27)</f>
        <v>45.687514693081461</v>
      </c>
      <c r="E8" s="133">
        <f>IF(SER_hh_fech_in!E8=0,0,SER_hh_fech_in!E8/SER_summary!E$27)</f>
        <v>43.731295241915731</v>
      </c>
      <c r="F8" s="133">
        <f>IF(SER_hh_fech_in!F8=0,0,SER_hh_fech_in!F8/SER_summary!F$27)</f>
        <v>48.285106985097471</v>
      </c>
      <c r="G8" s="133">
        <f>IF(SER_hh_fech_in!G8=0,0,SER_hh_fech_in!G8/SER_summary!G$27)</f>
        <v>43.827346363157076</v>
      </c>
      <c r="H8" s="133">
        <f>IF(SER_hh_fech_in!H8=0,0,SER_hh_fech_in!H8/SER_summary!H$27)</f>
        <v>41.260566974558152</v>
      </c>
      <c r="I8" s="133">
        <f>IF(SER_hh_fech_in!I8=0,0,SER_hh_fech_in!I8/SER_summary!I$27)</f>
        <v>34.214936735360723</v>
      </c>
      <c r="J8" s="133">
        <f>IF(SER_hh_fech_in!J8=0,0,SER_hh_fech_in!J8/SER_summary!J$27)</f>
        <v>34.974760836614379</v>
      </c>
      <c r="K8" s="133">
        <f>IF(SER_hh_fech_in!K8=0,0,SER_hh_fech_in!K8/SER_summary!K$27)</f>
        <v>33.452255182170759</v>
      </c>
      <c r="L8" s="133">
        <f>IF(SER_hh_fech_in!L8=0,0,SER_hh_fech_in!L8/SER_summary!L$27)</f>
        <v>31.457144197771914</v>
      </c>
      <c r="M8" s="133">
        <f>IF(SER_hh_fech_in!M8=0,0,SER_hh_fech_in!M8/SER_summary!M$27)</f>
        <v>24.102874214668734</v>
      </c>
      <c r="N8" s="133">
        <f>IF(SER_hh_fech_in!N8=0,0,SER_hh_fech_in!N8/SER_summary!N$27)</f>
        <v>24.580566997408543</v>
      </c>
      <c r="O8" s="133">
        <f>IF(SER_hh_fech_in!O8=0,0,SER_hh_fech_in!O8/SER_summary!O$27)</f>
        <v>25.010068230915767</v>
      </c>
      <c r="P8" s="133">
        <f>IF(SER_hh_fech_in!P8=0,0,SER_hh_fech_in!P8/SER_summary!P$27)</f>
        <v>17.815361890949788</v>
      </c>
      <c r="Q8" s="133">
        <f>IF(SER_hh_fech_in!Q8=0,0,SER_hh_fech_in!Q8/SER_summary!Q$27)</f>
        <v>18.531068357358691</v>
      </c>
      <c r="R8" s="133">
        <f>IF(SER_hh_fech_in!R8=0,0,SER_hh_fech_in!R8/SER_summary!R$27)</f>
        <v>17.989681078415952</v>
      </c>
      <c r="S8" s="133">
        <f>IF(SER_hh_fech_in!S8=0,0,SER_hh_fech_in!S8/SER_summary!S$27)</f>
        <v>16.375193432037573</v>
      </c>
      <c r="T8" s="133">
        <f>IF(SER_hh_fech_in!T8=0,0,SER_hh_fech_in!T8/SER_summary!T$27)</f>
        <v>15.406099747541289</v>
      </c>
      <c r="U8" s="133">
        <f>IF(SER_hh_fech_in!U8=0,0,SER_hh_fech_in!U8/SER_summary!U$27)</f>
        <v>14.464831289875022</v>
      </c>
      <c r="V8" s="133">
        <f>IF(SER_hh_fech_in!V8=0,0,SER_hh_fech_in!V8/SER_summary!V$27)</f>
        <v>13.067531589819636</v>
      </c>
      <c r="W8" s="133">
        <f>IF(SER_hh_fech_in!W8=0,0,SER_hh_fech_in!W8/SER_summary!W$27)</f>
        <v>12.532129332272582</v>
      </c>
      <c r="DA8" s="157" t="s">
        <v>821</v>
      </c>
    </row>
    <row r="9" spans="1:105" ht="12" customHeight="1" x14ac:dyDescent="0.25">
      <c r="A9" s="132" t="s">
        <v>78</v>
      </c>
      <c r="B9" s="133"/>
      <c r="C9" s="133">
        <f>IF(SER_hh_fech_in!C9=0,0,SER_hh_fech_in!C9/SER_summary!C$27)</f>
        <v>131.98764958286409</v>
      </c>
      <c r="D9" s="133">
        <f>IF(SER_hh_fech_in!D9=0,0,SER_hh_fech_in!D9/SER_summary!D$27)</f>
        <v>122.11724424901942</v>
      </c>
      <c r="E9" s="133">
        <f>IF(SER_hh_fech_in!E9=0,0,SER_hh_fech_in!E9/SER_summary!E$27)</f>
        <v>126.99227525089071</v>
      </c>
      <c r="F9" s="133">
        <f>IF(SER_hh_fech_in!F9=0,0,SER_hh_fech_in!F9/SER_summary!F$27)</f>
        <v>0</v>
      </c>
      <c r="G9" s="133">
        <f>IF(SER_hh_fech_in!G9=0,0,SER_hh_fech_in!G9/SER_summary!G$27)</f>
        <v>0</v>
      </c>
      <c r="H9" s="133">
        <f>IF(SER_hh_fech_in!H9=0,0,SER_hh_fech_in!H9/SER_summary!H$27)</f>
        <v>134.4901614048371</v>
      </c>
      <c r="I9" s="133">
        <f>IF(SER_hh_fech_in!I9=0,0,SER_hh_fech_in!I9/SER_summary!I$27)</f>
        <v>117.92725172053568</v>
      </c>
      <c r="J9" s="133">
        <f>IF(SER_hh_fech_in!J9=0,0,SER_hh_fech_in!J9/SER_summary!J$27)</f>
        <v>128.51874002683118</v>
      </c>
      <c r="K9" s="133">
        <f>IF(SER_hh_fech_in!K9=0,0,SER_hh_fech_in!K9/SER_summary!K$27)</f>
        <v>129.49342029775502</v>
      </c>
      <c r="L9" s="133">
        <f>IF(SER_hh_fech_in!L9=0,0,SER_hh_fech_in!L9/SER_summary!L$27)</f>
        <v>133.08871291857594</v>
      </c>
      <c r="M9" s="133">
        <f>IF(SER_hh_fech_in!M9=0,0,SER_hh_fech_in!M9/SER_summary!M$27)</f>
        <v>97.235196243022258</v>
      </c>
      <c r="N9" s="133">
        <f>IF(SER_hh_fech_in!N9=0,0,SER_hh_fech_in!N9/SER_summary!N$27)</f>
        <v>105.33985888036514</v>
      </c>
      <c r="O9" s="133">
        <f>IF(SER_hh_fech_in!O9=0,0,SER_hh_fech_in!O9/SER_summary!O$27)</f>
        <v>110.01030799251853</v>
      </c>
      <c r="P9" s="133">
        <f>IF(SER_hh_fech_in!P9=0,0,SER_hh_fech_in!P9/SER_summary!P$27)</f>
        <v>77.062219817337393</v>
      </c>
      <c r="Q9" s="133">
        <f>IF(SER_hh_fech_in!Q9=0,0,SER_hh_fech_in!Q9/SER_summary!Q$27)</f>
        <v>82.754117477018497</v>
      </c>
      <c r="R9" s="133">
        <f>IF(SER_hh_fech_in!R9=0,0,SER_hh_fech_in!R9/SER_summary!R$27)</f>
        <v>82.193398598251676</v>
      </c>
      <c r="S9" s="133">
        <f>IF(SER_hh_fech_in!S9=0,0,SER_hh_fech_in!S9/SER_summary!S$27)</f>
        <v>76.139494605612924</v>
      </c>
      <c r="T9" s="133">
        <f>IF(SER_hh_fech_in!T9=0,0,SER_hh_fech_in!T9/SER_summary!T$27)</f>
        <v>72.404162963556999</v>
      </c>
      <c r="U9" s="133">
        <f>IF(SER_hh_fech_in!U9=0,0,SER_hh_fech_in!U9/SER_summary!U$27)</f>
        <v>67.294397528191553</v>
      </c>
      <c r="V9" s="133">
        <f>IF(SER_hh_fech_in!V9=0,0,SER_hh_fech_in!V9/SER_summary!V$27)</f>
        <v>57.661913497902333</v>
      </c>
      <c r="W9" s="133">
        <f>IF(SER_hh_fech_in!W9=0,0,SER_hh_fech_in!W9/SER_summary!W$27)</f>
        <v>57.818464916427146</v>
      </c>
      <c r="DA9" s="157" t="s">
        <v>822</v>
      </c>
    </row>
    <row r="10" spans="1:105" ht="12" customHeight="1" x14ac:dyDescent="0.25">
      <c r="A10" s="132" t="s">
        <v>128</v>
      </c>
      <c r="B10" s="133"/>
      <c r="C10" s="133">
        <f>IF(SER_hh_fech_in!C10=0,0,SER_hh_fech_in!C10/SER_summary!C$27)</f>
        <v>180.1711760539109</v>
      </c>
      <c r="D10" s="133">
        <f>IF(SER_hh_fech_in!D10=0,0,SER_hh_fech_in!D10/SER_summary!D$27)</f>
        <v>13.101650018572911</v>
      </c>
      <c r="E10" s="133">
        <f>IF(SER_hh_fech_in!E10=0,0,SER_hh_fech_in!E10/SER_summary!E$27)</f>
        <v>4.1134394245503625</v>
      </c>
      <c r="F10" s="133">
        <f>IF(SER_hh_fech_in!F10=0,0,SER_hh_fech_in!F10/SER_summary!F$27)</f>
        <v>291.5517697131736</v>
      </c>
      <c r="G10" s="133">
        <f>IF(SER_hh_fech_in!G10=0,0,SER_hh_fech_in!G10/SER_summary!G$27)</f>
        <v>249.18157841197234</v>
      </c>
      <c r="H10" s="133">
        <f>IF(SER_hh_fech_in!H10=0,0,SER_hh_fech_in!H10/SER_summary!H$27)</f>
        <v>216.9107487705225</v>
      </c>
      <c r="I10" s="133">
        <f>IF(SER_hh_fech_in!I10=0,0,SER_hh_fech_in!I10/SER_summary!I$27)</f>
        <v>0</v>
      </c>
      <c r="J10" s="133">
        <f>IF(SER_hh_fech_in!J10=0,0,SER_hh_fech_in!J10/SER_summary!J$27)</f>
        <v>0</v>
      </c>
      <c r="K10" s="133">
        <f>IF(SER_hh_fech_in!K10=0,0,SER_hh_fech_in!K10/SER_summary!K$27)</f>
        <v>49.980617606140271</v>
      </c>
      <c r="L10" s="133">
        <f>IF(SER_hh_fech_in!L10=0,0,SER_hh_fech_in!L10/SER_summary!L$27)</f>
        <v>166.78785415325956</v>
      </c>
      <c r="M10" s="133">
        <f>IF(SER_hh_fech_in!M10=0,0,SER_hh_fech_in!M10/SER_summary!M$27)</f>
        <v>102.17256478626295</v>
      </c>
      <c r="N10" s="133">
        <f>IF(SER_hh_fech_in!N10=0,0,SER_hh_fech_in!N10/SER_summary!N$27)</f>
        <v>128.58957190482232</v>
      </c>
      <c r="O10" s="133">
        <f>IF(SER_hh_fech_in!O10=0,0,SER_hh_fech_in!O10/SER_summary!O$27)</f>
        <v>162.60859858703651</v>
      </c>
      <c r="P10" s="133">
        <f>IF(SER_hh_fech_in!P10=0,0,SER_hh_fech_in!P10/SER_summary!P$27)</f>
        <v>133.36183955343301</v>
      </c>
      <c r="Q10" s="133">
        <f>IF(SER_hh_fech_in!Q10=0,0,SER_hh_fech_in!Q10/SER_summary!Q$27)</f>
        <v>132.59110766189048</v>
      </c>
      <c r="R10" s="133">
        <f>IF(SER_hh_fech_in!R10=0,0,SER_hh_fech_in!R10/SER_summary!R$27)</f>
        <v>122.1136570602574</v>
      </c>
      <c r="S10" s="133">
        <f>IF(SER_hh_fech_in!S10=0,0,SER_hh_fech_in!S10/SER_summary!S$27)</f>
        <v>111.26053128955475</v>
      </c>
      <c r="T10" s="133">
        <f>IF(SER_hh_fech_in!T10=0,0,SER_hh_fech_in!T10/SER_summary!T$27)</f>
        <v>103.23981620508842</v>
      </c>
      <c r="U10" s="133">
        <f>IF(SER_hh_fech_in!U10=0,0,SER_hh_fech_in!U10/SER_summary!U$27)</f>
        <v>99.606686291627298</v>
      </c>
      <c r="V10" s="133">
        <f>IF(SER_hh_fech_in!V10=0,0,SER_hh_fech_in!V10/SER_summary!V$27)</f>
        <v>89.167302107567224</v>
      </c>
      <c r="W10" s="133">
        <f>IF(SER_hh_fech_in!W10=0,0,SER_hh_fech_in!W10/SER_summary!W$27)</f>
        <v>74.747625054970115</v>
      </c>
      <c r="DA10" s="157" t="s">
        <v>823</v>
      </c>
    </row>
    <row r="11" spans="1:105" ht="12" customHeight="1" x14ac:dyDescent="0.25">
      <c r="A11" s="132" t="s">
        <v>25</v>
      </c>
      <c r="B11" s="133"/>
      <c r="C11" s="133">
        <f>IF(SER_hh_fech_in!C11=0,0,SER_hh_fech_in!C11/SER_summary!C$27)</f>
        <v>0</v>
      </c>
      <c r="D11" s="133">
        <f>IF(SER_hh_fech_in!D11=0,0,SER_hh_fech_in!D11/SER_summary!D$27)</f>
        <v>0</v>
      </c>
      <c r="E11" s="133">
        <f>IF(SER_hh_fech_in!E11=0,0,SER_hh_fech_in!E11/SER_summary!E$27)</f>
        <v>0</v>
      </c>
      <c r="F11" s="133">
        <f>IF(SER_hh_fech_in!F11=0,0,SER_hh_fech_in!F11/SER_summary!F$27)</f>
        <v>0</v>
      </c>
      <c r="G11" s="133">
        <f>IF(SER_hh_fech_in!G11=0,0,SER_hh_fech_in!G11/SER_summary!G$27)</f>
        <v>0</v>
      </c>
      <c r="H11" s="133">
        <f>IF(SER_hh_fech_in!H11=0,0,SER_hh_fech_in!H11/SER_summary!H$27)</f>
        <v>0</v>
      </c>
      <c r="I11" s="133">
        <f>IF(SER_hh_fech_in!I11=0,0,SER_hh_fech_in!I11/SER_summary!I$27)</f>
        <v>0</v>
      </c>
      <c r="J11" s="133">
        <f>IF(SER_hh_fech_in!J11=0,0,SER_hh_fech_in!J11/SER_summary!J$27)</f>
        <v>0</v>
      </c>
      <c r="K11" s="133">
        <f>IF(SER_hh_fech_in!K11=0,0,SER_hh_fech_in!K11/SER_summary!K$27)</f>
        <v>0</v>
      </c>
      <c r="L11" s="133">
        <f>IF(SER_hh_fech_in!L11=0,0,SER_hh_fech_in!L11/SER_summary!L$27)</f>
        <v>0</v>
      </c>
      <c r="M11" s="133">
        <f>IF(SER_hh_fech_in!M11=0,0,SER_hh_fech_in!M11/SER_summary!M$27)</f>
        <v>0</v>
      </c>
      <c r="N11" s="133">
        <f>IF(SER_hh_fech_in!N11=0,0,SER_hh_fech_in!N11/SER_summary!N$27)</f>
        <v>0</v>
      </c>
      <c r="O11" s="133">
        <f>IF(SER_hh_fech_in!O11=0,0,SER_hh_fech_in!O11/SER_summary!O$27)</f>
        <v>0</v>
      </c>
      <c r="P11" s="133">
        <f>IF(SER_hh_fech_in!P11=0,0,SER_hh_fech_in!P11/SER_summary!P$27)</f>
        <v>0</v>
      </c>
      <c r="Q11" s="133">
        <f>IF(SER_hh_fech_in!Q11=0,0,SER_hh_fech_in!Q11/SER_summary!Q$27)</f>
        <v>0</v>
      </c>
      <c r="R11" s="133">
        <f>IF(SER_hh_fech_in!R11=0,0,SER_hh_fech_in!R11/SER_summary!R$27)</f>
        <v>0</v>
      </c>
      <c r="S11" s="133">
        <f>IF(SER_hh_fech_in!S11=0,0,SER_hh_fech_in!S11/SER_summary!S$27)</f>
        <v>0</v>
      </c>
      <c r="T11" s="133">
        <f>IF(SER_hh_fech_in!T11=0,0,SER_hh_fech_in!T11/SER_summary!T$27)</f>
        <v>0</v>
      </c>
      <c r="U11" s="133">
        <f>IF(SER_hh_fech_in!U11=0,0,SER_hh_fech_in!U11/SER_summary!U$27)</f>
        <v>0</v>
      </c>
      <c r="V11" s="133">
        <f>IF(SER_hh_fech_in!V11=0,0,SER_hh_fech_in!V11/SER_summary!V$27)</f>
        <v>0</v>
      </c>
      <c r="W11" s="133">
        <f>IF(SER_hh_fech_in!W11=0,0,SER_hh_fech_in!W11/SER_summary!W$27)</f>
        <v>0</v>
      </c>
      <c r="DA11" s="157" t="s">
        <v>824</v>
      </c>
    </row>
    <row r="12" spans="1:105" ht="12" customHeight="1" x14ac:dyDescent="0.25">
      <c r="A12" s="132" t="s">
        <v>169</v>
      </c>
      <c r="B12" s="133"/>
      <c r="C12" s="133">
        <f>IF(SER_hh_fech_in!C12=0,0,SER_hh_fech_in!C12/SER_summary!C$27)</f>
        <v>94.832723243433904</v>
      </c>
      <c r="D12" s="133">
        <f>IF(SER_hh_fech_in!D12=0,0,SER_hh_fech_in!D12/SER_summary!D$27)</f>
        <v>95.160408592322767</v>
      </c>
      <c r="E12" s="133">
        <f>IF(SER_hh_fech_in!E12=0,0,SER_hh_fech_in!E12/SER_summary!E$27)</f>
        <v>96.802646798261094</v>
      </c>
      <c r="F12" s="133">
        <f>IF(SER_hh_fech_in!F12=0,0,SER_hh_fech_in!F12/SER_summary!F$27)</f>
        <v>114.65068624529042</v>
      </c>
      <c r="G12" s="133">
        <f>IF(SER_hh_fech_in!G12=0,0,SER_hh_fech_in!G12/SER_summary!G$27)</f>
        <v>103.46179809566553</v>
      </c>
      <c r="H12" s="133">
        <f>IF(SER_hh_fech_in!H12=0,0,SER_hh_fech_in!H12/SER_summary!H$27)</f>
        <v>116.15548052895744</v>
      </c>
      <c r="I12" s="133">
        <f>IF(SER_hh_fech_in!I12=0,0,SER_hh_fech_in!I12/SER_summary!I$27)</f>
        <v>125.20933436386959</v>
      </c>
      <c r="J12" s="133">
        <f>IF(SER_hh_fech_in!J12=0,0,SER_hh_fech_in!J12/SER_summary!J$27)</f>
        <v>0</v>
      </c>
      <c r="K12" s="133">
        <f>IF(SER_hh_fech_in!K12=0,0,SER_hh_fech_in!K12/SER_summary!K$27)</f>
        <v>0</v>
      </c>
      <c r="L12" s="133">
        <f>IF(SER_hh_fech_in!L12=0,0,SER_hh_fech_in!L12/SER_summary!L$27)</f>
        <v>109.55088880745012</v>
      </c>
      <c r="M12" s="133">
        <f>IF(SER_hh_fech_in!M12=0,0,SER_hh_fech_in!M12/SER_summary!M$27)</f>
        <v>89.83406411723449</v>
      </c>
      <c r="N12" s="133">
        <f>IF(SER_hh_fech_in!N12=0,0,SER_hh_fech_in!N12/SER_summary!N$27)</f>
        <v>83.094168743291533</v>
      </c>
      <c r="O12" s="133">
        <f>IF(SER_hh_fech_in!O12=0,0,SER_hh_fech_in!O12/SER_summary!O$27)</f>
        <v>69.332131265704575</v>
      </c>
      <c r="P12" s="133">
        <f>IF(SER_hh_fech_in!P12=0,0,SER_hh_fech_in!P12/SER_summary!P$27)</f>
        <v>82.050656784235841</v>
      </c>
      <c r="Q12" s="133">
        <f>IF(SER_hh_fech_in!Q12=0,0,SER_hh_fech_in!Q12/SER_summary!Q$27)</f>
        <v>83.137564444386953</v>
      </c>
      <c r="R12" s="133">
        <f>IF(SER_hh_fech_in!R12=0,0,SER_hh_fech_in!R12/SER_summary!R$27)</f>
        <v>72.589825091969686</v>
      </c>
      <c r="S12" s="133">
        <f>IF(SER_hh_fech_in!S12=0,0,SER_hh_fech_in!S12/SER_summary!S$27)</f>
        <v>64.039662412265869</v>
      </c>
      <c r="T12" s="133">
        <f>IF(SER_hh_fech_in!T12=0,0,SER_hh_fech_in!T12/SER_summary!T$27)</f>
        <v>64.284510398081238</v>
      </c>
      <c r="U12" s="133">
        <f>IF(SER_hh_fech_in!U12=0,0,SER_hh_fech_in!U12/SER_summary!U$27)</f>
        <v>57.580108246088905</v>
      </c>
      <c r="V12" s="133">
        <f>IF(SER_hh_fech_in!V12=0,0,SER_hh_fech_in!V12/SER_summary!V$27)</f>
        <v>57.167023070464388</v>
      </c>
      <c r="W12" s="133">
        <f>IF(SER_hh_fech_in!W12=0,0,SER_hh_fech_in!W12/SER_summary!W$27)</f>
        <v>51.808191094373711</v>
      </c>
      <c r="DA12" s="157" t="s">
        <v>825</v>
      </c>
    </row>
    <row r="13" spans="1:105" ht="12" customHeight="1" x14ac:dyDescent="0.25">
      <c r="A13" s="132" t="s">
        <v>77</v>
      </c>
      <c r="B13" s="133"/>
      <c r="C13" s="133">
        <f>IF(SER_hh_fech_in!C13=0,0,SER_hh_fech_in!C13/SER_summary!C$27)</f>
        <v>57.206526154635675</v>
      </c>
      <c r="D13" s="133">
        <f>IF(SER_hh_fech_in!D13=0,0,SER_hh_fech_in!D13/SER_summary!D$27)</f>
        <v>50.706852824946012</v>
      </c>
      <c r="E13" s="133">
        <f>IF(SER_hh_fech_in!E13=0,0,SER_hh_fech_in!E13/SER_summary!E$27)</f>
        <v>42.402208115685987</v>
      </c>
      <c r="F13" s="133">
        <f>IF(SER_hh_fech_in!F13=0,0,SER_hh_fech_in!F13/SER_summary!F$27)</f>
        <v>20.020530634813237</v>
      </c>
      <c r="G13" s="133">
        <f>IF(SER_hh_fech_in!G13=0,0,SER_hh_fech_in!G13/SER_summary!G$27)</f>
        <v>14.071883960599907</v>
      </c>
      <c r="H13" s="133">
        <f>IF(SER_hh_fech_in!H13=0,0,SER_hh_fech_in!H13/SER_summary!H$27)</f>
        <v>47.178603507924755</v>
      </c>
      <c r="I13" s="133">
        <f>IF(SER_hh_fech_in!I13=0,0,SER_hh_fech_in!I13/SER_summary!I$27)</f>
        <v>41.416635770857013</v>
      </c>
      <c r="J13" s="133">
        <f>IF(SER_hh_fech_in!J13=0,0,SER_hh_fech_in!J13/SER_summary!J$27)</f>
        <v>39.592110098730664</v>
      </c>
      <c r="K13" s="133">
        <f>IF(SER_hh_fech_in!K13=0,0,SER_hh_fech_in!K13/SER_summary!K$27)</f>
        <v>37.166714156445529</v>
      </c>
      <c r="L13" s="133">
        <f>IF(SER_hh_fech_in!L13=0,0,SER_hh_fech_in!L13/SER_summary!L$27)</f>
        <v>32.149581769213455</v>
      </c>
      <c r="M13" s="133">
        <f>IF(SER_hh_fech_in!M13=0,0,SER_hh_fech_in!M13/SER_summary!M$27)</f>
        <v>27.762233501185467</v>
      </c>
      <c r="N13" s="133">
        <f>IF(SER_hh_fech_in!N13=0,0,SER_hh_fech_in!N13/SER_summary!N$27)</f>
        <v>25.907624472392097</v>
      </c>
      <c r="O13" s="133">
        <f>IF(SER_hh_fech_in!O13=0,0,SER_hh_fech_in!O13/SER_summary!O$27)</f>
        <v>25.546950997169748</v>
      </c>
      <c r="P13" s="133">
        <f>IF(SER_hh_fech_in!P13=0,0,SER_hh_fech_in!P13/SER_summary!P$27)</f>
        <v>19.8339480696953</v>
      </c>
      <c r="Q13" s="133">
        <f>IF(SER_hh_fech_in!Q13=0,0,SER_hh_fech_in!Q13/SER_summary!Q$27)</f>
        <v>17.977461492972132</v>
      </c>
      <c r="R13" s="133">
        <f>IF(SER_hh_fech_in!R13=0,0,SER_hh_fech_in!R13/SER_summary!R$27)</f>
        <v>15.805022996281002</v>
      </c>
      <c r="S13" s="133">
        <f>IF(SER_hh_fech_in!S13=0,0,SER_hh_fech_in!S13/SER_summary!S$27)</f>
        <v>11.324503011650393</v>
      </c>
      <c r="T13" s="133">
        <f>IF(SER_hh_fech_in!T13=0,0,SER_hh_fech_in!T13/SER_summary!T$27)</f>
        <v>16.425048347923905</v>
      </c>
      <c r="U13" s="133">
        <f>IF(SER_hh_fech_in!U13=0,0,SER_hh_fech_in!U13/SER_summary!U$27)</f>
        <v>15.162812562752681</v>
      </c>
      <c r="V13" s="133">
        <f>IF(SER_hh_fech_in!V13=0,0,SER_hh_fech_in!V13/SER_summary!V$27)</f>
        <v>12.679949281363088</v>
      </c>
      <c r="W13" s="133">
        <f>IF(SER_hh_fech_in!W13=0,0,SER_hh_fech_in!W13/SER_summary!W$27)</f>
        <v>15.179101614279837</v>
      </c>
      <c r="DA13" s="157" t="s">
        <v>826</v>
      </c>
    </row>
    <row r="14" spans="1:105" ht="12" customHeight="1" x14ac:dyDescent="0.25">
      <c r="A14" s="60" t="s">
        <v>76</v>
      </c>
      <c r="B14" s="65"/>
      <c r="C14" s="65">
        <f>IF(SER_hh_fech_in!C14=0,0,SER_hh_fech_in!C14/SER_summary!C$27)</f>
        <v>123.72098862220901</v>
      </c>
      <c r="D14" s="65">
        <f>IF(SER_hh_fech_in!D14=0,0,SER_hh_fech_in!D14/SER_summary!D$27)</f>
        <v>31.987944862266058</v>
      </c>
      <c r="E14" s="65">
        <f>IF(SER_hh_fech_in!E14=0,0,SER_hh_fech_in!E14/SER_summary!E$27)</f>
        <v>4.390032585679509</v>
      </c>
      <c r="F14" s="65">
        <f>IF(SER_hh_fech_in!F14=0,0,SER_hh_fech_in!F14/SER_summary!F$27)</f>
        <v>186.75777886467543</v>
      </c>
      <c r="G14" s="65">
        <f>IF(SER_hh_fech_in!G14=0,0,SER_hh_fech_in!G14/SER_summary!G$27)</f>
        <v>145.88386802228356</v>
      </c>
      <c r="H14" s="65">
        <f>IF(SER_hh_fech_in!H14=0,0,SER_hh_fech_in!H14/SER_summary!H$27)</f>
        <v>117.72763354940155</v>
      </c>
      <c r="I14" s="65">
        <f>IF(SER_hh_fech_in!I14=0,0,SER_hh_fech_in!I14/SER_summary!I$27)</f>
        <v>110.51213995958545</v>
      </c>
      <c r="J14" s="65">
        <f>IF(SER_hh_fech_in!J14=0,0,SER_hh_fech_in!J14/SER_summary!J$27)</f>
        <v>0</v>
      </c>
      <c r="K14" s="65">
        <f>IF(SER_hh_fech_in!K14=0,0,SER_hh_fech_in!K14/SER_summary!K$27)</f>
        <v>0</v>
      </c>
      <c r="L14" s="65">
        <f>IF(SER_hh_fech_in!L14=0,0,SER_hh_fech_in!L14/SER_summary!L$27)</f>
        <v>0</v>
      </c>
      <c r="M14" s="65">
        <f>IF(SER_hh_fech_in!M14=0,0,SER_hh_fech_in!M14/SER_summary!M$27)</f>
        <v>0</v>
      </c>
      <c r="N14" s="65">
        <f>IF(SER_hh_fech_in!N14=0,0,SER_hh_fech_in!N14/SER_summary!N$27)</f>
        <v>0</v>
      </c>
      <c r="O14" s="65">
        <f>IF(SER_hh_fech_in!O14=0,0,SER_hh_fech_in!O14/SER_summary!O$27)</f>
        <v>0</v>
      </c>
      <c r="P14" s="65">
        <f>IF(SER_hh_fech_in!P14=0,0,SER_hh_fech_in!P14/SER_summary!P$27)</f>
        <v>0</v>
      </c>
      <c r="Q14" s="65">
        <f>IF(SER_hh_fech_in!Q14=0,0,SER_hh_fech_in!Q14/SER_summary!Q$27)</f>
        <v>0</v>
      </c>
      <c r="R14" s="65">
        <f>IF(SER_hh_fech_in!R14=0,0,SER_hh_fech_in!R14/SER_summary!R$27)</f>
        <v>72.212538378527498</v>
      </c>
      <c r="S14" s="65">
        <f>IF(SER_hh_fech_in!S14=0,0,SER_hh_fech_in!S14/SER_summary!S$27)</f>
        <v>68.325484492324435</v>
      </c>
      <c r="T14" s="65">
        <f>IF(SER_hh_fech_in!T14=0,0,SER_hh_fech_in!T14/SER_summary!T$27)</f>
        <v>64.344616421273457</v>
      </c>
      <c r="U14" s="65">
        <f>IF(SER_hh_fech_in!U14=0,0,SER_hh_fech_in!U14/SER_summary!U$27)</f>
        <v>65.732198106947564</v>
      </c>
      <c r="V14" s="65">
        <f>IF(SER_hh_fech_in!V14=0,0,SER_hh_fech_in!V14/SER_summary!V$27)</f>
        <v>55.988703335032149</v>
      </c>
      <c r="W14" s="65">
        <f>IF(SER_hh_fech_in!W14=0,0,SER_hh_fech_in!W14/SER_summary!W$27)</f>
        <v>52.989778008124588</v>
      </c>
      <c r="DA14" s="109" t="s">
        <v>827</v>
      </c>
    </row>
    <row r="15" spans="1:105" ht="12" customHeight="1" x14ac:dyDescent="0.25">
      <c r="A15" s="134" t="s">
        <v>80</v>
      </c>
      <c r="B15" s="135"/>
      <c r="C15" s="135">
        <f>IF(SER_hh_fech_in!C15=0,0,SER_hh_fech_in!C15/SER_summary!C$27)</f>
        <v>1.523924804086797</v>
      </c>
      <c r="D15" s="135">
        <f>IF(SER_hh_fech_in!D15=0,0,SER_hh_fech_in!D15/SER_summary!D$27)</f>
        <v>1.6566244111977482</v>
      </c>
      <c r="E15" s="135">
        <f>IF(SER_hh_fech_in!E15=0,0,SER_hh_fech_in!E15/SER_summary!E$27)</f>
        <v>1.784142162027091</v>
      </c>
      <c r="F15" s="135">
        <f>IF(SER_hh_fech_in!F15=0,0,SER_hh_fech_in!F15/SER_summary!F$27)</f>
        <v>1.8562311606834103</v>
      </c>
      <c r="G15" s="135">
        <f>IF(SER_hh_fech_in!G15=0,0,SER_hh_fech_in!G15/SER_summary!G$27)</f>
        <v>1.6717923108700568</v>
      </c>
      <c r="H15" s="135">
        <f>IF(SER_hh_fech_in!H15=0,0,SER_hh_fech_in!H15/SER_summary!H$27)</f>
        <v>1.59660927474426</v>
      </c>
      <c r="I15" s="135">
        <f>IF(SER_hh_fech_in!I15=0,0,SER_hh_fech_in!I15/SER_summary!I$27)</f>
        <v>1.4375091521273589</v>
      </c>
      <c r="J15" s="135">
        <f>IF(SER_hh_fech_in!J15=0,0,SER_hh_fech_in!J15/SER_summary!J$27)</f>
        <v>1.6247898555872646</v>
      </c>
      <c r="K15" s="135">
        <f>IF(SER_hh_fech_in!K15=0,0,SER_hh_fech_in!K15/SER_summary!K$27)</f>
        <v>1.5790407942198148</v>
      </c>
      <c r="L15" s="135">
        <f>IF(SER_hh_fech_in!L15=0,0,SER_hh_fech_in!L15/SER_summary!L$27)</f>
        <v>1.6211137896135925</v>
      </c>
      <c r="M15" s="135">
        <f>IF(SER_hh_fech_in!M15=0,0,SER_hh_fech_in!M15/SER_summary!M$27)</f>
        <v>1.2011200155474948</v>
      </c>
      <c r="N15" s="135">
        <f>IF(SER_hh_fech_in!N15=0,0,SER_hh_fech_in!N15/SER_summary!N$27)</f>
        <v>1.2601984261072177</v>
      </c>
      <c r="O15" s="135">
        <f>IF(SER_hh_fech_in!O15=0,0,SER_hh_fech_in!O15/SER_summary!O$27)</f>
        <v>1.3255994783807943</v>
      </c>
      <c r="P15" s="135">
        <f>IF(SER_hh_fech_in!P15=0,0,SER_hh_fech_in!P15/SER_summary!P$27)</f>
        <v>0.91481423242397619</v>
      </c>
      <c r="Q15" s="135">
        <f>IF(SER_hh_fech_in!Q15=0,0,SER_hh_fech_in!Q15/SER_summary!Q$27)</f>
        <v>1.0799738766354685</v>
      </c>
      <c r="R15" s="135">
        <f>IF(SER_hh_fech_in!R15=0,0,SER_hh_fech_in!R15/SER_summary!R$27)</f>
        <v>1.0675317338834853</v>
      </c>
      <c r="S15" s="135">
        <f>IF(SER_hh_fech_in!S15=0,0,SER_hh_fech_in!S15/SER_summary!S$27)</f>
        <v>1.0181643655171473</v>
      </c>
      <c r="T15" s="135">
        <f>IF(SER_hh_fech_in!T15=0,0,SER_hh_fech_in!T15/SER_summary!T$27)</f>
        <v>0.94744316997141698</v>
      </c>
      <c r="U15" s="135">
        <f>IF(SER_hh_fech_in!U15=0,0,SER_hh_fech_in!U15/SER_summary!U$27)</f>
        <v>0.85868046928336061</v>
      </c>
      <c r="V15" s="135">
        <f>IF(SER_hh_fech_in!V15=0,0,SER_hh_fech_in!V15/SER_summary!V$27)</f>
        <v>0.74790742264613175</v>
      </c>
      <c r="W15" s="135">
        <f>IF(SER_hh_fech_in!W15=0,0,SER_hh_fech_in!W15/SER_summary!W$27)</f>
        <v>0.73921358241390256</v>
      </c>
      <c r="DA15" s="158" t="s">
        <v>828</v>
      </c>
    </row>
    <row r="16" spans="1:105" ht="12.95" customHeight="1" x14ac:dyDescent="0.25">
      <c r="A16" s="130" t="s">
        <v>74</v>
      </c>
      <c r="B16" s="131"/>
      <c r="C16" s="131">
        <f>IF(SER_hh_fech_in!C16=0,0,SER_hh_fech_in!C16/SER_summary!C$27)</f>
        <v>11.770462224168035</v>
      </c>
      <c r="D16" s="131">
        <f>IF(SER_hh_fech_in!D16=0,0,SER_hh_fech_in!D16/SER_summary!D$27)</f>
        <v>11.2858547004929</v>
      </c>
      <c r="E16" s="131">
        <f>IF(SER_hh_fech_in!E16=0,0,SER_hh_fech_in!E16/SER_summary!E$27)</f>
        <v>13.827902792903386</v>
      </c>
      <c r="F16" s="131">
        <f>IF(SER_hh_fech_in!F16=0,0,SER_hh_fech_in!F16/SER_summary!F$27)</f>
        <v>10.338360511772812</v>
      </c>
      <c r="G16" s="131">
        <f>IF(SER_hh_fech_in!G16=0,0,SER_hh_fech_in!G16/SER_summary!G$27)</f>
        <v>10.103600794368342</v>
      </c>
      <c r="H16" s="131">
        <f>IF(SER_hh_fech_in!H16=0,0,SER_hh_fech_in!H16/SER_summary!H$27)</f>
        <v>12.156864795728946</v>
      </c>
      <c r="I16" s="131">
        <f>IF(SER_hh_fech_in!I16=0,0,SER_hh_fech_in!I16/SER_summary!I$27)</f>
        <v>9.1701379584663893</v>
      </c>
      <c r="J16" s="131">
        <f>IF(SER_hh_fech_in!J16=0,0,SER_hh_fech_in!J16/SER_summary!J$27)</f>
        <v>8.8851307021211312</v>
      </c>
      <c r="K16" s="131">
        <f>IF(SER_hh_fech_in!K16=0,0,SER_hh_fech_in!K16/SER_summary!K$27)</f>
        <v>8.5934110298203361</v>
      </c>
      <c r="L16" s="131">
        <f>IF(SER_hh_fech_in!L16=0,0,SER_hh_fech_in!L16/SER_summary!L$27)</f>
        <v>8.7573928691032492</v>
      </c>
      <c r="M16" s="131">
        <f>IF(SER_hh_fech_in!M16=0,0,SER_hh_fech_in!M16/SER_summary!M$27)</f>
        <v>7.8601415553178517</v>
      </c>
      <c r="N16" s="131">
        <f>IF(SER_hh_fech_in!N16=0,0,SER_hh_fech_in!N16/SER_summary!N$27)</f>
        <v>7.52482861796965</v>
      </c>
      <c r="O16" s="131">
        <f>IF(SER_hh_fech_in!O16=0,0,SER_hh_fech_in!O16/SER_summary!O$27)</f>
        <v>7.1481465049891275</v>
      </c>
      <c r="P16" s="131">
        <f>IF(SER_hh_fech_in!P16=0,0,SER_hh_fech_in!P16/SER_summary!P$27)</f>
        <v>6.4884484743757751</v>
      </c>
      <c r="Q16" s="131">
        <f>IF(SER_hh_fech_in!Q16=0,0,SER_hh_fech_in!Q16/SER_summary!Q$27)</f>
        <v>6.9032593999242966</v>
      </c>
      <c r="R16" s="131">
        <f>IF(SER_hh_fech_in!R16=0,0,SER_hh_fech_in!R16/SER_summary!R$27)</f>
        <v>6.3204603674286819</v>
      </c>
      <c r="S16" s="131">
        <f>IF(SER_hh_fech_in!S16=0,0,SER_hh_fech_in!S16/SER_summary!S$27)</f>
        <v>5.6918952065045225</v>
      </c>
      <c r="T16" s="131">
        <f>IF(SER_hh_fech_in!T16=0,0,SER_hh_fech_in!T16/SER_summary!T$27)</f>
        <v>6.2503877569615414</v>
      </c>
      <c r="U16" s="131">
        <f>IF(SER_hh_fech_in!U16=0,0,SER_hh_fech_in!U16/SER_summary!U$27)</f>
        <v>5.7545192677891457</v>
      </c>
      <c r="V16" s="131">
        <f>IF(SER_hh_fech_in!V16=0,0,SER_hh_fech_in!V16/SER_summary!V$27)</f>
        <v>6.2605144706132361</v>
      </c>
      <c r="W16" s="131">
        <f>IF(SER_hh_fech_in!W16=0,0,SER_hh_fech_in!W16/SER_summary!W$27)</f>
        <v>4.2798234395333372</v>
      </c>
      <c r="DA16" s="156" t="s">
        <v>829</v>
      </c>
    </row>
    <row r="17" spans="1:105" ht="12.95" customHeight="1" x14ac:dyDescent="0.25">
      <c r="A17" s="132" t="s">
        <v>73</v>
      </c>
      <c r="B17" s="133"/>
      <c r="C17" s="133">
        <f>IF(SER_hh_fech_in!C17=0,0,SER_hh_fech_in!C17/SER_summary!C$27)</f>
        <v>22.896288403208864</v>
      </c>
      <c r="D17" s="133">
        <f>IF(SER_hh_fech_in!D17=0,0,SER_hh_fech_in!D17/SER_summary!D$27)</f>
        <v>22.634242805231533</v>
      </c>
      <c r="E17" s="133">
        <f>IF(SER_hh_fech_in!E17=0,0,SER_hh_fech_in!E17/SER_summary!E$27)</f>
        <v>28.52706593019284</v>
      </c>
      <c r="F17" s="133">
        <f>IF(SER_hh_fech_in!F17=0,0,SER_hh_fech_in!F17/SER_summary!F$27)</f>
        <v>22.047565051804277</v>
      </c>
      <c r="G17" s="133">
        <f>IF(SER_hh_fech_in!G17=0,0,SER_hh_fech_in!G17/SER_summary!G$27)</f>
        <v>22.193569913002868</v>
      </c>
      <c r="H17" s="133">
        <f>IF(SER_hh_fech_in!H17=0,0,SER_hh_fech_in!H17/SER_summary!H$27)</f>
        <v>27.469628624949792</v>
      </c>
      <c r="I17" s="133">
        <f>IF(SER_hh_fech_in!I17=0,0,SER_hh_fech_in!I17/SER_summary!I$27)</f>
        <v>21.298448186708956</v>
      </c>
      <c r="J17" s="133">
        <f>IF(SER_hh_fech_in!J17=0,0,SER_hh_fech_in!J17/SER_summary!J$27)</f>
        <v>21.210652363609999</v>
      </c>
      <c r="K17" s="133">
        <f>IF(SER_hh_fech_in!K17=0,0,SER_hh_fech_in!K17/SER_summary!K$27)</f>
        <v>21.045635380515296</v>
      </c>
      <c r="L17" s="133">
        <f>IF(SER_hh_fech_in!L17=0,0,SER_hh_fech_in!L17/SER_summary!L$27)</f>
        <v>22.048989177123989</v>
      </c>
      <c r="M17" s="133">
        <f>IF(SER_hh_fech_in!M17=0,0,SER_hh_fech_in!M17/SER_summary!M$27)</f>
        <v>20.338037938551558</v>
      </c>
      <c r="N17" s="133">
        <f>IF(SER_hh_fech_in!N17=0,0,SER_hh_fech_in!N17/SER_summary!N$27)</f>
        <v>20.024921262876614</v>
      </c>
      <c r="O17" s="133">
        <f>IF(SER_hh_fech_in!O17=0,0,SER_hh_fech_in!O17/SER_summary!O$27)</f>
        <v>19.504359494813034</v>
      </c>
      <c r="P17" s="133">
        <f>IF(SER_hh_fech_in!P17=0,0,SER_hh_fech_in!P17/SER_summary!P$27)</f>
        <v>18.058531578030294</v>
      </c>
      <c r="Q17" s="133">
        <f>IF(SER_hh_fech_in!Q17=0,0,SER_hh_fech_in!Q17/SER_summary!Q$27)</f>
        <v>19.353524860545839</v>
      </c>
      <c r="R17" s="133">
        <f>IF(SER_hh_fech_in!R17=0,0,SER_hh_fech_in!R17/SER_summary!R$27)</f>
        <v>17.92830519633792</v>
      </c>
      <c r="S17" s="133">
        <f>IF(SER_hh_fech_in!S17=0,0,SER_hh_fech_in!S17/SER_summary!S$27)</f>
        <v>16.182377378795312</v>
      </c>
      <c r="T17" s="133">
        <f>IF(SER_hh_fech_in!T17=0,0,SER_hh_fech_in!T17/SER_summary!T$27)</f>
        <v>17.556718074390961</v>
      </c>
      <c r="U17" s="133">
        <f>IF(SER_hh_fech_in!U17=0,0,SER_hh_fech_in!U17/SER_summary!U$27)</f>
        <v>15.989163237258737</v>
      </c>
      <c r="V17" s="133">
        <f>IF(SER_hh_fech_in!V17=0,0,SER_hh_fech_in!V17/SER_summary!V$27)</f>
        <v>17.115725135821695</v>
      </c>
      <c r="W17" s="133">
        <f>IF(SER_hh_fech_in!W17=0,0,SER_hh_fech_in!W17/SER_summary!W$27)</f>
        <v>12.018713004832064</v>
      </c>
      <c r="DA17" s="157" t="s">
        <v>830</v>
      </c>
    </row>
    <row r="18" spans="1:105" ht="12" customHeight="1" x14ac:dyDescent="0.25">
      <c r="A18" s="132" t="s">
        <v>72</v>
      </c>
      <c r="B18" s="133"/>
      <c r="C18" s="133">
        <f>IF(SER_hh_fech_in!C18=0,0,SER_hh_fech_in!C18/SER_summary!C$27)</f>
        <v>11.757850819820316</v>
      </c>
      <c r="D18" s="133">
        <f>IF(SER_hh_fech_in!D18=0,0,SER_hh_fech_in!D18/SER_summary!D$27)</f>
        <v>11.271488309288124</v>
      </c>
      <c r="E18" s="133">
        <f>IF(SER_hh_fech_in!E18=0,0,SER_hh_fech_in!E18/SER_summary!E$27)</f>
        <v>13.82577592273833</v>
      </c>
      <c r="F18" s="133">
        <f>IF(SER_hh_fech_in!F18=0,0,SER_hh_fech_in!F18/SER_summary!F$27)</f>
        <v>10.305283761866104</v>
      </c>
      <c r="G18" s="133">
        <f>IF(SER_hh_fech_in!G18=0,0,SER_hh_fech_in!G18/SER_summary!G$27)</f>
        <v>10.077956961778577</v>
      </c>
      <c r="H18" s="133">
        <f>IF(SER_hh_fech_in!H18=0,0,SER_hh_fech_in!H18/SER_summary!H$27)</f>
        <v>12.142448159467394</v>
      </c>
      <c r="I18" s="133">
        <f>IF(SER_hh_fech_in!I18=0,0,SER_hh_fech_in!I18/SER_summary!I$27)</f>
        <v>9.1314039792400727</v>
      </c>
      <c r="J18" s="133">
        <f>IF(SER_hh_fech_in!J18=0,0,SER_hh_fech_in!J18/SER_summary!J$27)</f>
        <v>8.8417959671135424</v>
      </c>
      <c r="K18" s="133">
        <f>IF(SER_hh_fech_in!K18=0,0,SER_hh_fech_in!K18/SER_summary!K$27)</f>
        <v>8.550357731010779</v>
      </c>
      <c r="L18" s="133">
        <f>IF(SER_hh_fech_in!L18=0,0,SER_hh_fech_in!L18/SER_summary!L$27)</f>
        <v>8.7351971010137159</v>
      </c>
      <c r="M18" s="133">
        <f>IF(SER_hh_fech_in!M18=0,0,SER_hh_fech_in!M18/SER_summary!M$27)</f>
        <v>7.8235443806406515</v>
      </c>
      <c r="N18" s="133">
        <f>IF(SER_hh_fech_in!N18=0,0,SER_hh_fech_in!N18/SER_summary!N$27)</f>
        <v>7.4844548239545441</v>
      </c>
      <c r="O18" s="133">
        <f>IF(SER_hh_fech_in!O18=0,0,SER_hh_fech_in!O18/SER_summary!O$27)</f>
        <v>7.0883896483692004</v>
      </c>
      <c r="P18" s="133">
        <f>IF(SER_hh_fech_in!P18=0,0,SER_hh_fech_in!P18/SER_summary!P$27)</f>
        <v>6.3921356334224591</v>
      </c>
      <c r="Q18" s="133">
        <f>IF(SER_hh_fech_in!Q18=0,0,SER_hh_fech_in!Q18/SER_summary!Q$27)</f>
        <v>6.7493070503099188</v>
      </c>
      <c r="R18" s="133">
        <f>IF(SER_hh_fech_in!R18=0,0,SER_hh_fech_in!R18/SER_summary!R$27)</f>
        <v>6.2215371316424086</v>
      </c>
      <c r="S18" s="133">
        <f>IF(SER_hh_fech_in!S18=0,0,SER_hh_fech_in!S18/SER_summary!S$27)</f>
        <v>5.6283024383314659</v>
      </c>
      <c r="T18" s="133">
        <f>IF(SER_hh_fech_in!T18=0,0,SER_hh_fech_in!T18/SER_summary!T$27)</f>
        <v>6.1342717024800066</v>
      </c>
      <c r="U18" s="133">
        <f>IF(SER_hh_fech_in!U18=0,0,SER_hh_fech_in!U18/SER_summary!U$27)</f>
        <v>5.6290320032531014</v>
      </c>
      <c r="V18" s="133">
        <f>IF(SER_hh_fech_in!V18=0,0,SER_hh_fech_in!V18/SER_summary!V$27)</f>
        <v>6.100708350728647</v>
      </c>
      <c r="W18" s="133">
        <f>IF(SER_hh_fech_in!W18=0,0,SER_hh_fech_in!W18/SER_summary!W$27)</f>
        <v>4.2663392949883576</v>
      </c>
      <c r="DA18" s="157" t="s">
        <v>831</v>
      </c>
    </row>
    <row r="19" spans="1:105" ht="12.95" customHeight="1" x14ac:dyDescent="0.25">
      <c r="A19" s="130" t="s">
        <v>35</v>
      </c>
      <c r="B19" s="131"/>
      <c r="C19" s="131">
        <f>IF(SER_hh_fech_in!C19=0,0,SER_hh_fech_in!C19/SER_summary!C$27)</f>
        <v>21.816176037957739</v>
      </c>
      <c r="D19" s="131">
        <f>IF(SER_hh_fech_in!D19=0,0,SER_hh_fech_in!D19/SER_summary!D$27)</f>
        <v>21.224084714781583</v>
      </c>
      <c r="E19" s="131">
        <f>IF(SER_hh_fech_in!E19=0,0,SER_hh_fech_in!E19/SER_summary!E$27)</f>
        <v>21.333462393778373</v>
      </c>
      <c r="F19" s="131">
        <f>IF(SER_hh_fech_in!F19=0,0,SER_hh_fech_in!F19/SER_summary!F$27)</f>
        <v>20.811476427233504</v>
      </c>
      <c r="G19" s="131">
        <f>IF(SER_hh_fech_in!G19=0,0,SER_hh_fech_in!G19/SER_summary!G$27)</f>
        <v>20.527609516726461</v>
      </c>
      <c r="H19" s="131">
        <f>IF(SER_hh_fech_in!H19=0,0,SER_hh_fech_in!H19/SER_summary!H$27)</f>
        <v>20.157594142532449</v>
      </c>
      <c r="I19" s="131">
        <f>IF(SER_hh_fech_in!I19=0,0,SER_hh_fech_in!I19/SER_summary!I$27)</f>
        <v>19.697748639430785</v>
      </c>
      <c r="J19" s="131">
        <f>IF(SER_hh_fech_in!J19=0,0,SER_hh_fech_in!J19/SER_summary!J$27)</f>
        <v>19.397473532812569</v>
      </c>
      <c r="K19" s="131">
        <f>IF(SER_hh_fech_in!K19=0,0,SER_hh_fech_in!K19/SER_summary!K$27)</f>
        <v>18.246097106604282</v>
      </c>
      <c r="L19" s="131">
        <f>IF(SER_hh_fech_in!L19=0,0,SER_hh_fech_in!L19/SER_summary!L$27)</f>
        <v>19.396583623771058</v>
      </c>
      <c r="M19" s="131">
        <f>IF(SER_hh_fech_in!M19=0,0,SER_hh_fech_in!M19/SER_summary!M$27)</f>
        <v>19.3071467739477</v>
      </c>
      <c r="N19" s="131">
        <f>IF(SER_hh_fech_in!N19=0,0,SER_hh_fech_in!N19/SER_summary!N$27)</f>
        <v>19.11485677224313</v>
      </c>
      <c r="O19" s="131">
        <f>IF(SER_hh_fech_in!O19=0,0,SER_hh_fech_in!O19/SER_summary!O$27)</f>
        <v>18.672839121634578</v>
      </c>
      <c r="P19" s="131">
        <f>IF(SER_hh_fech_in!P19=0,0,SER_hh_fech_in!P19/SER_summary!P$27)</f>
        <v>17.668432926794427</v>
      </c>
      <c r="Q19" s="131">
        <f>IF(SER_hh_fech_in!Q19=0,0,SER_hh_fech_in!Q19/SER_summary!Q$27)</f>
        <v>17.044548365390934</v>
      </c>
      <c r="R19" s="131">
        <f>IF(SER_hh_fech_in!R19=0,0,SER_hh_fech_in!R19/SER_summary!R$27)</f>
        <v>16.486377314806315</v>
      </c>
      <c r="S19" s="131">
        <f>IF(SER_hh_fech_in!S19=0,0,SER_hh_fech_in!S19/SER_summary!S$27)</f>
        <v>16.280764628035204</v>
      </c>
      <c r="T19" s="131">
        <f>IF(SER_hh_fech_in!T19=0,0,SER_hh_fech_in!T19/SER_summary!T$27)</f>
        <v>15.810758973354222</v>
      </c>
      <c r="U19" s="131">
        <f>IF(SER_hh_fech_in!U19=0,0,SER_hh_fech_in!U19/SER_summary!U$27)</f>
        <v>15.485359576694385</v>
      </c>
      <c r="V19" s="131">
        <f>IF(SER_hh_fech_in!V19=0,0,SER_hh_fech_in!V19/SER_summary!V$27)</f>
        <v>14.490126376755329</v>
      </c>
      <c r="W19" s="131">
        <f>IF(SER_hh_fech_in!W19=0,0,SER_hh_fech_in!W19/SER_summary!W$27)</f>
        <v>15.207211752919747</v>
      </c>
      <c r="DA19" s="156" t="s">
        <v>832</v>
      </c>
    </row>
    <row r="20" spans="1:105" ht="12" customHeight="1" x14ac:dyDescent="0.25">
      <c r="A20" s="132" t="s">
        <v>29</v>
      </c>
      <c r="B20" s="133"/>
      <c r="C20" s="133">
        <f>IF(SER_hh_fech_in!C20=0,0,SER_hh_fech_in!C20/SER_summary!C$27)</f>
        <v>0</v>
      </c>
      <c r="D20" s="133">
        <f>IF(SER_hh_fech_in!D20=0,0,SER_hh_fech_in!D20/SER_summary!D$27)</f>
        <v>0</v>
      </c>
      <c r="E20" s="133">
        <f>IF(SER_hh_fech_in!E20=0,0,SER_hh_fech_in!E20/SER_summary!E$27)</f>
        <v>0</v>
      </c>
      <c r="F20" s="133">
        <f>IF(SER_hh_fech_in!F20=0,0,SER_hh_fech_in!F20/SER_summary!F$27)</f>
        <v>0</v>
      </c>
      <c r="G20" s="133">
        <f>IF(SER_hh_fech_in!G20=0,0,SER_hh_fech_in!G20/SER_summary!G$27)</f>
        <v>0</v>
      </c>
      <c r="H20" s="133">
        <f>IF(SER_hh_fech_in!H20=0,0,SER_hh_fech_in!H20/SER_summary!H$27)</f>
        <v>0</v>
      </c>
      <c r="I20" s="133">
        <f>IF(SER_hh_fech_in!I20=0,0,SER_hh_fech_in!I20/SER_summary!I$27)</f>
        <v>0</v>
      </c>
      <c r="J20" s="133">
        <f>IF(SER_hh_fech_in!J20=0,0,SER_hh_fech_in!J20/SER_summary!J$27)</f>
        <v>0</v>
      </c>
      <c r="K20" s="133">
        <f>IF(SER_hh_fech_in!K20=0,0,SER_hh_fech_in!K20/SER_summary!K$27)</f>
        <v>0</v>
      </c>
      <c r="L20" s="133">
        <f>IF(SER_hh_fech_in!L20=0,0,SER_hh_fech_in!L20/SER_summary!L$27)</f>
        <v>0</v>
      </c>
      <c r="M20" s="133">
        <f>IF(SER_hh_fech_in!M20=0,0,SER_hh_fech_in!M20/SER_summary!M$27)</f>
        <v>0</v>
      </c>
      <c r="N20" s="133">
        <f>IF(SER_hh_fech_in!N20=0,0,SER_hh_fech_in!N20/SER_summary!N$27)</f>
        <v>0</v>
      </c>
      <c r="O20" s="133">
        <f>IF(SER_hh_fech_in!O20=0,0,SER_hh_fech_in!O20/SER_summary!O$27)</f>
        <v>0</v>
      </c>
      <c r="P20" s="133">
        <f>IF(SER_hh_fech_in!P20=0,0,SER_hh_fech_in!P20/SER_summary!P$27)</f>
        <v>0</v>
      </c>
      <c r="Q20" s="133">
        <f>IF(SER_hh_fech_in!Q20=0,0,SER_hh_fech_in!Q20/SER_summary!Q$27)</f>
        <v>0</v>
      </c>
      <c r="R20" s="133">
        <f>IF(SER_hh_fech_in!R20=0,0,SER_hh_fech_in!R20/SER_summary!R$27)</f>
        <v>0</v>
      </c>
      <c r="S20" s="133">
        <f>IF(SER_hh_fech_in!S20=0,0,SER_hh_fech_in!S20/SER_summary!S$27)</f>
        <v>0</v>
      </c>
      <c r="T20" s="133">
        <f>IF(SER_hh_fech_in!T20=0,0,SER_hh_fech_in!T20/SER_summary!T$27)</f>
        <v>0</v>
      </c>
      <c r="U20" s="133">
        <f>IF(SER_hh_fech_in!U20=0,0,SER_hh_fech_in!U20/SER_summary!U$27)</f>
        <v>0</v>
      </c>
      <c r="V20" s="133">
        <f>IF(SER_hh_fech_in!V20=0,0,SER_hh_fech_in!V20/SER_summary!V$27)</f>
        <v>0</v>
      </c>
      <c r="W20" s="133">
        <f>IF(SER_hh_fech_in!W20=0,0,SER_hh_fech_in!W20/SER_summary!W$27)</f>
        <v>0</v>
      </c>
      <c r="DA20" s="157" t="s">
        <v>833</v>
      </c>
    </row>
    <row r="21" spans="1:105" s="2" customFormat="1" ht="12" customHeight="1" x14ac:dyDescent="0.25">
      <c r="A21" s="132" t="s">
        <v>52</v>
      </c>
      <c r="B21" s="133"/>
      <c r="C21" s="133">
        <f>IF(SER_hh_fech_in!C21=0,0,SER_hh_fech_in!C21/SER_summary!C$27)</f>
        <v>22.873309064788941</v>
      </c>
      <c r="D21" s="133">
        <f>IF(SER_hh_fech_in!D21=0,0,SER_hh_fech_in!D21/SER_summary!D$27)</f>
        <v>22.878141618033464</v>
      </c>
      <c r="E21" s="133">
        <f>IF(SER_hh_fech_in!E21=0,0,SER_hh_fech_in!E21/SER_summary!E$27)</f>
        <v>22.60761941192165</v>
      </c>
      <c r="F21" s="133">
        <f>IF(SER_hh_fech_in!F21=0,0,SER_hh_fech_in!F21/SER_summary!F$27)</f>
        <v>0</v>
      </c>
      <c r="G21" s="133">
        <f>IF(SER_hh_fech_in!G21=0,0,SER_hh_fech_in!G21/SER_summary!G$27)</f>
        <v>0</v>
      </c>
      <c r="H21" s="133">
        <f>IF(SER_hh_fech_in!H21=0,0,SER_hh_fech_in!H21/SER_summary!H$27)</f>
        <v>0</v>
      </c>
      <c r="I21" s="133">
        <f>IF(SER_hh_fech_in!I21=0,0,SER_hh_fech_in!I21/SER_summary!I$27)</f>
        <v>0</v>
      </c>
      <c r="J21" s="133">
        <f>IF(SER_hh_fech_in!J21=0,0,SER_hh_fech_in!J21/SER_summary!J$27)</f>
        <v>0</v>
      </c>
      <c r="K21" s="133">
        <f>IF(SER_hh_fech_in!K21=0,0,SER_hh_fech_in!K21/SER_summary!K$27)</f>
        <v>0</v>
      </c>
      <c r="L21" s="133">
        <f>IF(SER_hh_fech_in!L21=0,0,SER_hh_fech_in!L21/SER_summary!L$27)</f>
        <v>18.769034613009762</v>
      </c>
      <c r="M21" s="133">
        <f>IF(SER_hh_fech_in!M21=0,0,SER_hh_fech_in!M21/SER_summary!M$27)</f>
        <v>19.522192321597096</v>
      </c>
      <c r="N21" s="133">
        <f>IF(SER_hh_fech_in!N21=0,0,SER_hh_fech_in!N21/SER_summary!N$27)</f>
        <v>20.906158765968623</v>
      </c>
      <c r="O21" s="133">
        <f>IF(SER_hh_fech_in!O21=0,0,SER_hh_fech_in!O21/SER_summary!O$27)</f>
        <v>20.332717114240957</v>
      </c>
      <c r="P21" s="133">
        <f>IF(SER_hh_fech_in!P21=0,0,SER_hh_fech_in!P21/SER_summary!P$27)</f>
        <v>17.830174947721822</v>
      </c>
      <c r="Q21" s="133">
        <f>IF(SER_hh_fech_in!Q21=0,0,SER_hh_fech_in!Q21/SER_summary!Q$27)</f>
        <v>17.68726480654011</v>
      </c>
      <c r="R21" s="133">
        <f>IF(SER_hh_fech_in!R21=0,0,SER_hh_fech_in!R21/SER_summary!R$27)</f>
        <v>16.770242698884644</v>
      </c>
      <c r="S21" s="133">
        <f>IF(SER_hh_fech_in!S21=0,0,SER_hh_fech_in!S21/SER_summary!S$27)</f>
        <v>17.148501037710584</v>
      </c>
      <c r="T21" s="133">
        <f>IF(SER_hh_fech_in!T21=0,0,SER_hh_fech_in!T21/SER_summary!T$27)</f>
        <v>16.917182836458785</v>
      </c>
      <c r="U21" s="133">
        <f>IF(SER_hh_fech_in!U21=0,0,SER_hh_fech_in!U21/SER_summary!U$27)</f>
        <v>16.731486551259405</v>
      </c>
      <c r="V21" s="133">
        <f>IF(SER_hh_fech_in!V21=0,0,SER_hh_fech_in!V21/SER_summary!V$27)</f>
        <v>14.444351957952328</v>
      </c>
      <c r="W21" s="133">
        <f>IF(SER_hh_fech_in!W21=0,0,SER_hh_fech_in!W21/SER_summary!W$27)</f>
        <v>16.081554361438499</v>
      </c>
      <c r="DA21" s="157" t="s">
        <v>834</v>
      </c>
    </row>
    <row r="22" spans="1:105" ht="12" customHeight="1" x14ac:dyDescent="0.25">
      <c r="A22" s="132" t="s">
        <v>168</v>
      </c>
      <c r="B22" s="133"/>
      <c r="C22" s="133">
        <f>IF(SER_hh_fech_in!C22=0,0,SER_hh_fech_in!C22/SER_summary!C$27)</f>
        <v>24.119512705084635</v>
      </c>
      <c r="D22" s="133">
        <f>IF(SER_hh_fech_in!D22=0,0,SER_hh_fech_in!D22/SER_summary!D$27)</f>
        <v>24.003418864115275</v>
      </c>
      <c r="E22" s="133">
        <f>IF(SER_hh_fech_in!E22=0,0,SER_hh_fech_in!E22/SER_summary!E$27)</f>
        <v>23.700956217609441</v>
      </c>
      <c r="F22" s="133">
        <f>IF(SER_hh_fech_in!F22=0,0,SER_hh_fech_in!F22/SER_summary!F$27)</f>
        <v>23.542940174928365</v>
      </c>
      <c r="G22" s="133">
        <f>IF(SER_hh_fech_in!G22=0,0,SER_hh_fech_in!G22/SER_summary!G$27)</f>
        <v>23.11792031627466</v>
      </c>
      <c r="H22" s="133">
        <f>IF(SER_hh_fech_in!H22=0,0,SER_hh_fech_in!H22/SER_summary!H$27)</f>
        <v>22.899833502610338</v>
      </c>
      <c r="I22" s="133">
        <f>IF(SER_hh_fech_in!I22=0,0,SER_hh_fech_in!I22/SER_summary!I$27)</f>
        <v>22.550114257603632</v>
      </c>
      <c r="J22" s="133">
        <f>IF(SER_hh_fech_in!J22=0,0,SER_hh_fech_in!J22/SER_summary!J$27)</f>
        <v>21.928000805320956</v>
      </c>
      <c r="K22" s="133">
        <f>IF(SER_hh_fech_in!K22=0,0,SER_hh_fech_in!K22/SER_summary!K$27)</f>
        <v>17.991924235820221</v>
      </c>
      <c r="L22" s="133">
        <f>IF(SER_hh_fech_in!L22=0,0,SER_hh_fech_in!L22/SER_summary!L$27)</f>
        <v>22.032591202410572</v>
      </c>
      <c r="M22" s="133">
        <f>IF(SER_hh_fech_in!M22=0,0,SER_hh_fech_in!M22/SER_summary!M$27)</f>
        <v>21.910807278182787</v>
      </c>
      <c r="N22" s="133">
        <f>IF(SER_hh_fech_in!N22=0,0,SER_hh_fech_in!N22/SER_summary!N$27)</f>
        <v>21.353591783276038</v>
      </c>
      <c r="O22" s="133">
        <f>IF(SER_hh_fech_in!O22=0,0,SER_hh_fech_in!O22/SER_summary!O$27)</f>
        <v>20.655264574505136</v>
      </c>
      <c r="P22" s="133">
        <f>IF(SER_hh_fech_in!P22=0,0,SER_hh_fech_in!P22/SER_summary!P$27)</f>
        <v>19.74146362151183</v>
      </c>
      <c r="Q22" s="133">
        <f>IF(SER_hh_fech_in!Q22=0,0,SER_hh_fech_in!Q22/SER_summary!Q$27)</f>
        <v>19.020387035844294</v>
      </c>
      <c r="R22" s="133">
        <f>IF(SER_hh_fech_in!R22=0,0,SER_hh_fech_in!R22/SER_summary!R$27)</f>
        <v>18.227658555641643</v>
      </c>
      <c r="S22" s="133">
        <f>IF(SER_hh_fech_in!S22=0,0,SER_hh_fech_in!S22/SER_summary!S$27)</f>
        <v>17.810672478808296</v>
      </c>
      <c r="T22" s="133">
        <f>IF(SER_hh_fech_in!T22=0,0,SER_hh_fech_in!T22/SER_summary!T$27)</f>
        <v>17.217677453651348</v>
      </c>
      <c r="U22" s="133">
        <f>IF(SER_hh_fech_in!U22=0,0,SER_hh_fech_in!U22/SER_summary!U$27)</f>
        <v>16.709560075644081</v>
      </c>
      <c r="V22" s="133">
        <f>IF(SER_hh_fech_in!V22=0,0,SER_hh_fech_in!V22/SER_summary!V$27)</f>
        <v>15.093247156056838</v>
      </c>
      <c r="W22" s="133">
        <f>IF(SER_hh_fech_in!W22=0,0,SER_hh_fech_in!W22/SER_summary!W$27)</f>
        <v>16.402222021140712</v>
      </c>
      <c r="DA22" s="157" t="s">
        <v>835</v>
      </c>
    </row>
    <row r="23" spans="1:105" ht="12" customHeight="1" x14ac:dyDescent="0.25">
      <c r="A23" s="132" t="s">
        <v>153</v>
      </c>
      <c r="B23" s="133"/>
      <c r="C23" s="133">
        <f>IF(SER_hh_fech_in!C23=0,0,SER_hh_fech_in!C23/SER_summary!C$27)</f>
        <v>22.276989168443983</v>
      </c>
      <c r="D23" s="133">
        <f>IF(SER_hh_fech_in!D23=0,0,SER_hh_fech_in!D23/SER_summary!D$27)</f>
        <v>21.707752082874379</v>
      </c>
      <c r="E23" s="133">
        <f>IF(SER_hh_fech_in!E23=0,0,SER_hh_fech_in!E23/SER_summary!E$27)</f>
        <v>21.45930115748396</v>
      </c>
      <c r="F23" s="133">
        <f>IF(SER_hh_fech_in!F23=0,0,SER_hh_fech_in!F23/SER_summary!F$27)</f>
        <v>21.113774936069781</v>
      </c>
      <c r="G23" s="133">
        <f>IF(SER_hh_fech_in!G23=0,0,SER_hh_fech_in!G23/SER_summary!G$27)</f>
        <v>20.791065497968329</v>
      </c>
      <c r="H23" s="133">
        <f>IF(SER_hh_fech_in!H23=0,0,SER_hh_fech_in!H23/SER_summary!H$27)</f>
        <v>20.267049470796696</v>
      </c>
      <c r="I23" s="133">
        <f>IF(SER_hh_fech_in!I23=0,0,SER_hh_fech_in!I23/SER_summary!I$27)</f>
        <v>19.745650620481566</v>
      </c>
      <c r="J23" s="133">
        <f>IF(SER_hh_fech_in!J23=0,0,SER_hh_fech_in!J23/SER_summary!J$27)</f>
        <v>19.453780981947823</v>
      </c>
      <c r="K23" s="133">
        <f>IF(SER_hh_fech_in!K23=0,0,SER_hh_fech_in!K23/SER_summary!K$27)</f>
        <v>15.551597789251868</v>
      </c>
      <c r="L23" s="133">
        <f>IF(SER_hh_fech_in!L23=0,0,SER_hh_fech_in!L23/SER_summary!L$27)</f>
        <v>19.346853010455451</v>
      </c>
      <c r="M23" s="133">
        <f>IF(SER_hh_fech_in!M23=0,0,SER_hh_fech_in!M23/SER_summary!M$27)</f>
        <v>19.045350230279521</v>
      </c>
      <c r="N23" s="133">
        <f>IF(SER_hh_fech_in!N23=0,0,SER_hh_fech_in!N23/SER_summary!N$27)</f>
        <v>18.908118645306839</v>
      </c>
      <c r="O23" s="133">
        <f>IF(SER_hh_fech_in!O23=0,0,SER_hh_fech_in!O23/SER_summary!O$27)</f>
        <v>18.470392680201083</v>
      </c>
      <c r="P23" s="133">
        <f>IF(SER_hh_fech_in!P23=0,0,SER_hh_fech_in!P23/SER_summary!P$27)</f>
        <v>17.811922656151481</v>
      </c>
      <c r="Q23" s="133">
        <f>IF(SER_hh_fech_in!Q23=0,0,SER_hh_fech_in!Q23/SER_summary!Q$27)</f>
        <v>17.207196527547591</v>
      </c>
      <c r="R23" s="133">
        <f>IF(SER_hh_fech_in!R23=0,0,SER_hh_fech_in!R23/SER_summary!R$27)</f>
        <v>16.575073279638815</v>
      </c>
      <c r="S23" s="133">
        <f>IF(SER_hh_fech_in!S23=0,0,SER_hh_fech_in!S23/SER_summary!S$27)</f>
        <v>16.296088997823173</v>
      </c>
      <c r="T23" s="133">
        <f>IF(SER_hh_fech_in!T23=0,0,SER_hh_fech_in!T23/SER_summary!T$27)</f>
        <v>15.857616132943567</v>
      </c>
      <c r="U23" s="133">
        <f>IF(SER_hh_fech_in!U23=0,0,SER_hh_fech_in!U23/SER_summary!U$27)</f>
        <v>15.581043849078316</v>
      </c>
      <c r="V23" s="133">
        <f>IF(SER_hh_fech_in!V23=0,0,SER_hh_fech_in!V23/SER_summary!V$27)</f>
        <v>14.668333124025599</v>
      </c>
      <c r="W23" s="133">
        <f>IF(SER_hh_fech_in!W23=0,0,SER_hh_fech_in!W23/SER_summary!W$27)</f>
        <v>15.282741658389446</v>
      </c>
      <c r="DA23" s="157" t="s">
        <v>836</v>
      </c>
    </row>
    <row r="24" spans="1:105" ht="12" customHeight="1" x14ac:dyDescent="0.25">
      <c r="A24" s="132" t="s">
        <v>128</v>
      </c>
      <c r="B24" s="133"/>
      <c r="C24" s="133">
        <f>IF(SER_hh_fech_in!C24=0,0,SER_hh_fech_in!C24/SER_summary!C$27)</f>
        <v>0</v>
      </c>
      <c r="D24" s="133">
        <f>IF(SER_hh_fech_in!D24=0,0,SER_hh_fech_in!D24/SER_summary!D$27)</f>
        <v>0</v>
      </c>
      <c r="E24" s="133">
        <f>IF(SER_hh_fech_in!E24=0,0,SER_hh_fech_in!E24/SER_summary!E$27)</f>
        <v>0</v>
      </c>
      <c r="F24" s="133">
        <f>IF(SER_hh_fech_in!F24=0,0,SER_hh_fech_in!F24/SER_summary!F$27)</f>
        <v>0</v>
      </c>
      <c r="G24" s="133">
        <f>IF(SER_hh_fech_in!G24=0,0,SER_hh_fech_in!G24/SER_summary!G$27)</f>
        <v>0</v>
      </c>
      <c r="H24" s="133">
        <f>IF(SER_hh_fech_in!H24=0,0,SER_hh_fech_in!H24/SER_summary!H$27)</f>
        <v>0</v>
      </c>
      <c r="I24" s="133">
        <f>IF(SER_hh_fech_in!I24=0,0,SER_hh_fech_in!I24/SER_summary!I$27)</f>
        <v>0</v>
      </c>
      <c r="J24" s="133">
        <f>IF(SER_hh_fech_in!J24=0,0,SER_hh_fech_in!J24/SER_summary!J$27)</f>
        <v>0</v>
      </c>
      <c r="K24" s="133">
        <f>IF(SER_hh_fech_in!K24=0,0,SER_hh_fech_in!K24/SER_summary!K$27)</f>
        <v>0</v>
      </c>
      <c r="L24" s="133">
        <f>IF(SER_hh_fech_in!L24=0,0,SER_hh_fech_in!L24/SER_summary!L$27)</f>
        <v>0</v>
      </c>
      <c r="M24" s="133">
        <f>IF(SER_hh_fech_in!M24=0,0,SER_hh_fech_in!M24/SER_summary!M$27)</f>
        <v>0</v>
      </c>
      <c r="N24" s="133">
        <f>IF(SER_hh_fech_in!N24=0,0,SER_hh_fech_in!N24/SER_summary!N$27)</f>
        <v>0</v>
      </c>
      <c r="O24" s="133">
        <f>IF(SER_hh_fech_in!O24=0,0,SER_hh_fech_in!O24/SER_summary!O$27)</f>
        <v>0</v>
      </c>
      <c r="P24" s="133">
        <f>IF(SER_hh_fech_in!P24=0,0,SER_hh_fech_in!P24/SER_summary!P$27)</f>
        <v>0</v>
      </c>
      <c r="Q24" s="133">
        <f>IF(SER_hh_fech_in!Q24=0,0,SER_hh_fech_in!Q24/SER_summary!Q$27)</f>
        <v>0</v>
      </c>
      <c r="R24" s="133">
        <f>IF(SER_hh_fech_in!R24=0,0,SER_hh_fech_in!R24/SER_summary!R$27)</f>
        <v>0</v>
      </c>
      <c r="S24" s="133">
        <f>IF(SER_hh_fech_in!S24=0,0,SER_hh_fech_in!S24/SER_summary!S$27)</f>
        <v>0</v>
      </c>
      <c r="T24" s="133">
        <f>IF(SER_hh_fech_in!T24=0,0,SER_hh_fech_in!T24/SER_summary!T$27)</f>
        <v>0</v>
      </c>
      <c r="U24" s="133">
        <f>IF(SER_hh_fech_in!U24=0,0,SER_hh_fech_in!U24/SER_summary!U$27)</f>
        <v>0</v>
      </c>
      <c r="V24" s="133">
        <f>IF(SER_hh_fech_in!V24=0,0,SER_hh_fech_in!V24/SER_summary!V$27)</f>
        <v>0</v>
      </c>
      <c r="W24" s="133">
        <f>IF(SER_hh_fech_in!W24=0,0,SER_hh_fech_in!W24/SER_summary!W$27)</f>
        <v>0</v>
      </c>
      <c r="DA24" s="157" t="s">
        <v>837</v>
      </c>
    </row>
    <row r="25" spans="1:105" ht="12" customHeight="1" x14ac:dyDescent="0.25">
      <c r="A25" s="132" t="s">
        <v>169</v>
      </c>
      <c r="B25" s="133"/>
      <c r="C25" s="133">
        <f>IF(SER_hh_fech_in!C25=0,0,SER_hh_fech_in!C25/SER_summary!C$27)</f>
        <v>15.743987623334355</v>
      </c>
      <c r="D25" s="133">
        <f>IF(SER_hh_fech_in!D25=0,0,SER_hh_fech_in!D25/SER_summary!D$27)</f>
        <v>15.782620859612097</v>
      </c>
      <c r="E25" s="133">
        <f>IF(SER_hh_fech_in!E25=0,0,SER_hh_fech_in!E25/SER_summary!E$27)</f>
        <v>15.47242463735439</v>
      </c>
      <c r="F25" s="133">
        <f>IF(SER_hh_fech_in!F25=0,0,SER_hh_fech_in!F25/SER_summary!F$27)</f>
        <v>15.464090530748956</v>
      </c>
      <c r="G25" s="133">
        <f>IF(SER_hh_fech_in!G25=0,0,SER_hh_fech_in!G25/SER_summary!G$27)</f>
        <v>15.363832504835202</v>
      </c>
      <c r="H25" s="133">
        <f>IF(SER_hh_fech_in!H25=0,0,SER_hh_fech_in!H25/SER_summary!H$27)</f>
        <v>15.176984749285179</v>
      </c>
      <c r="I25" s="133">
        <f>IF(SER_hh_fech_in!I25=0,0,SER_hh_fech_in!I25/SER_summary!I$27)</f>
        <v>14.796974248355037</v>
      </c>
      <c r="J25" s="133">
        <f>IF(SER_hh_fech_in!J25=0,0,SER_hh_fech_in!J25/SER_summary!J$27)</f>
        <v>14.778765182937766</v>
      </c>
      <c r="K25" s="133">
        <f>IF(SER_hh_fech_in!K25=0,0,SER_hh_fech_in!K25/SER_summary!K$27)</f>
        <v>12.243922061923382</v>
      </c>
      <c r="L25" s="133">
        <f>IF(SER_hh_fech_in!L25=0,0,SER_hh_fech_in!L25/SER_summary!L$27)</f>
        <v>14.962028716942847</v>
      </c>
      <c r="M25" s="133">
        <f>IF(SER_hh_fech_in!M25=0,0,SER_hh_fech_in!M25/SER_summary!M$27)</f>
        <v>14.895765368519598</v>
      </c>
      <c r="N25" s="133">
        <f>IF(SER_hh_fech_in!N25=0,0,SER_hh_fech_in!N25/SER_summary!N$27)</f>
        <v>14.884745488845692</v>
      </c>
      <c r="O25" s="133">
        <f>IF(SER_hh_fech_in!O25=0,0,SER_hh_fech_in!O25/SER_summary!O$27)</f>
        <v>14.815258745865084</v>
      </c>
      <c r="P25" s="133">
        <f>IF(SER_hh_fech_in!P25=0,0,SER_hh_fech_in!P25/SER_summary!P$27)</f>
        <v>15.016345852662322</v>
      </c>
      <c r="Q25" s="133">
        <f>IF(SER_hh_fech_in!Q25=0,0,SER_hh_fech_in!Q25/SER_summary!Q$27)</f>
        <v>15.159551934837776</v>
      </c>
      <c r="R25" s="133">
        <f>IF(SER_hh_fech_in!R25=0,0,SER_hh_fech_in!R25/SER_summary!R$27)</f>
        <v>14.87967289040005</v>
      </c>
      <c r="S25" s="133">
        <f>IF(SER_hh_fech_in!S25=0,0,SER_hh_fech_in!S25/SER_summary!S$27)</f>
        <v>14.652287093679334</v>
      </c>
      <c r="T25" s="133">
        <f>IF(SER_hh_fech_in!T25=0,0,SER_hh_fech_in!T25/SER_summary!T$27)</f>
        <v>14.398279628600241</v>
      </c>
      <c r="U25" s="133">
        <f>IF(SER_hh_fech_in!U25=0,0,SER_hh_fech_in!U25/SER_summary!U$27)</f>
        <v>14.306892354582459</v>
      </c>
      <c r="V25" s="133">
        <f>IF(SER_hh_fech_in!V25=0,0,SER_hh_fech_in!V25/SER_summary!V$27)</f>
        <v>13.589241840423929</v>
      </c>
      <c r="W25" s="133">
        <f>IF(SER_hh_fech_in!W25=0,0,SER_hh_fech_in!W25/SER_summary!W$27)</f>
        <v>13.923654955221735</v>
      </c>
      <c r="DA25" s="157" t="s">
        <v>838</v>
      </c>
    </row>
    <row r="26" spans="1:105" ht="12" customHeight="1" x14ac:dyDescent="0.25">
      <c r="A26" s="132" t="s">
        <v>24</v>
      </c>
      <c r="B26" s="65"/>
      <c r="C26" s="65">
        <f>IF(SER_hh_fech_in!C26=0,0,SER_hh_fech_in!C26/SER_summary!C$27)</f>
        <v>18.697448786543696</v>
      </c>
      <c r="D26" s="65">
        <f>IF(SER_hh_fech_in!D26=0,0,SER_hh_fech_in!D26/SER_summary!D$27)</f>
        <v>19.298344300715971</v>
      </c>
      <c r="E26" s="65">
        <f>IF(SER_hh_fech_in!E26=0,0,SER_hh_fech_in!E26/SER_summary!E$27)</f>
        <v>17.660189577626422</v>
      </c>
      <c r="F26" s="65">
        <f>IF(SER_hh_fech_in!F26=0,0,SER_hh_fech_in!F26/SER_summary!F$27)</f>
        <v>18.166142706308886</v>
      </c>
      <c r="G26" s="65">
        <f>IF(SER_hh_fech_in!G26=0,0,SER_hh_fech_in!G26/SER_summary!G$27)</f>
        <v>18.187743765532318</v>
      </c>
      <c r="H26" s="65">
        <f>IF(SER_hh_fech_in!H26=0,0,SER_hh_fech_in!H26/SER_summary!H$27)</f>
        <v>17.660448756269897</v>
      </c>
      <c r="I26" s="65">
        <f>IF(SER_hh_fech_in!I26=0,0,SER_hh_fech_in!I26/SER_summary!I$27)</f>
        <v>16.325941178843852</v>
      </c>
      <c r="J26" s="65">
        <f>IF(SER_hh_fech_in!J26=0,0,SER_hh_fech_in!J26/SER_summary!J$27)</f>
        <v>16.398060105114055</v>
      </c>
      <c r="K26" s="65">
        <f>IF(SER_hh_fech_in!K26=0,0,SER_hh_fech_in!K26/SER_summary!K$27)</f>
        <v>7.4178779714883252</v>
      </c>
      <c r="L26" s="65">
        <f>IF(SER_hh_fech_in!L26=0,0,SER_hh_fech_in!L26/SER_summary!L$27)</f>
        <v>17.835284936008534</v>
      </c>
      <c r="M26" s="65">
        <f>IF(SER_hh_fech_in!M26=0,0,SER_hh_fech_in!M26/SER_summary!M$27)</f>
        <v>16.951201482290795</v>
      </c>
      <c r="N26" s="65">
        <f>IF(SER_hh_fech_in!N26=0,0,SER_hh_fech_in!N26/SER_summary!N$27)</f>
        <v>16.710120909654101</v>
      </c>
      <c r="O26" s="65">
        <f>IF(SER_hh_fech_in!O26=0,0,SER_hh_fech_in!O26/SER_summary!O$27)</f>
        <v>17.319244205838547</v>
      </c>
      <c r="P26" s="65">
        <f>IF(SER_hh_fech_in!P26=0,0,SER_hh_fech_in!P26/SER_summary!P$27)</f>
        <v>15.239906627849603</v>
      </c>
      <c r="Q26" s="65">
        <f>IF(SER_hh_fech_in!Q26=0,0,SER_hh_fech_in!Q26/SER_summary!Q$27)</f>
        <v>13.283211578816903</v>
      </c>
      <c r="R26" s="65">
        <f>IF(SER_hh_fech_in!R26=0,0,SER_hh_fech_in!R26/SER_summary!R$27)</f>
        <v>10.790914957116161</v>
      </c>
      <c r="S26" s="65">
        <f>IF(SER_hh_fech_in!S26=0,0,SER_hh_fech_in!S26/SER_summary!S$27)</f>
        <v>14.359312373809127</v>
      </c>
      <c r="T26" s="65">
        <f>IF(SER_hh_fech_in!T26=0,0,SER_hh_fech_in!T26/SER_summary!T$27)</f>
        <v>13.960369259351022</v>
      </c>
      <c r="U26" s="65">
        <f>IF(SER_hh_fech_in!U26=0,0,SER_hh_fech_in!U26/SER_summary!U$27)</f>
        <v>14.704138071096244</v>
      </c>
      <c r="V26" s="65">
        <f>IF(SER_hh_fech_in!V26=0,0,SER_hh_fech_in!V26/SER_summary!V$27)</f>
        <v>13.197859192242172</v>
      </c>
      <c r="W26" s="65">
        <f>IF(SER_hh_fech_in!W26=0,0,SER_hh_fech_in!W26/SER_summary!W$27)</f>
        <v>14.102446959141194</v>
      </c>
      <c r="DA26" s="109" t="s">
        <v>839</v>
      </c>
    </row>
    <row r="27" spans="1:105" ht="12" customHeight="1" x14ac:dyDescent="0.25">
      <c r="A27" s="145" t="s">
        <v>86</v>
      </c>
      <c r="B27" s="148"/>
      <c r="C27" s="146">
        <f>IF(SER_hh_fech_in!C27=0,0,SER_hh_fech_in!C27/SER_summary!C$27)</f>
        <v>0</v>
      </c>
      <c r="D27" s="146">
        <f>IF(SER_hh_fech_in!D27=0,0,SER_hh_fech_in!D27/SER_summary!D$27)</f>
        <v>3.2859028689051967E-2</v>
      </c>
      <c r="E27" s="146">
        <f>IF(SER_hh_fech_in!E27=0,0,SER_hh_fech_in!E27/SER_summary!E$27)</f>
        <v>0.36431698535162749</v>
      </c>
      <c r="F27" s="146">
        <f>IF(SER_hh_fech_in!F27=0,0,SER_hh_fech_in!F27/SER_summary!F$27)</f>
        <v>2.9587325549928763E-2</v>
      </c>
      <c r="G27" s="146">
        <f>IF(SER_hh_fech_in!G27=0,0,SER_hh_fech_in!G27/SER_summary!G$27)</f>
        <v>2.2424809409178681E-2</v>
      </c>
      <c r="H27" s="146">
        <f>IF(SER_hh_fech_in!H27=0,0,SER_hh_fech_in!H27/SER_summary!H$27)</f>
        <v>0.1627232019708601</v>
      </c>
      <c r="I27" s="146">
        <f>IF(SER_hh_fech_in!I27=0,0,SER_hh_fech_in!I27/SER_summary!I$27)</f>
        <v>0.36418441384710659</v>
      </c>
      <c r="J27" s="146">
        <f>IF(SER_hh_fech_in!J27=0,0,SER_hh_fech_in!J27/SER_summary!J$27)</f>
        <v>0.39878415870039402</v>
      </c>
      <c r="K27" s="146">
        <f>IF(SER_hh_fech_in!K27=0,0,SER_hh_fech_in!K27/SER_summary!K$27)</f>
        <v>3.9321763842569242</v>
      </c>
      <c r="L27" s="146">
        <f>IF(SER_hh_fech_in!L27=0,0,SER_hh_fech_in!L27/SER_summary!L$27)</f>
        <v>0</v>
      </c>
      <c r="M27" s="146">
        <f>IF(SER_hh_fech_in!M27=0,0,SER_hh_fech_in!M27/SER_summary!M$27)</f>
        <v>8.9985013564344782E-2</v>
      </c>
      <c r="N27" s="146">
        <f>IF(SER_hh_fech_in!N27=0,0,SER_hh_fech_in!N27/SER_summary!N$27)</f>
        <v>0.10602998425754698</v>
      </c>
      <c r="O27" s="146">
        <f>IF(SER_hh_fech_in!O27=0,0,SER_hh_fech_in!O27/SER_summary!O$27)</f>
        <v>1.5358585808594952E-15</v>
      </c>
      <c r="P27" s="146">
        <f>IF(SER_hh_fech_in!P27=0,0,SER_hh_fech_in!P27/SER_summary!P$27)</f>
        <v>0.34682297607064527</v>
      </c>
      <c r="Q27" s="146">
        <f>IF(SER_hh_fech_in!Q27=0,0,SER_hh_fech_in!Q27/SER_summary!Q$27)</f>
        <v>0.72117718661218377</v>
      </c>
      <c r="R27" s="146">
        <f>IF(SER_hh_fech_in!R27=0,0,SER_hh_fech_in!R27/SER_summary!R$27)</f>
        <v>1.3431836645088737</v>
      </c>
      <c r="S27" s="146">
        <f>IF(SER_hh_fech_in!S27=0,0,SER_hh_fech_in!S27/SER_summary!S$27)</f>
        <v>0.35122722038138371</v>
      </c>
      <c r="T27" s="146">
        <f>IF(SER_hh_fech_in!T27=0,0,SER_hh_fech_in!T27/SER_summary!T$27)</f>
        <v>0.38171600585487336</v>
      </c>
      <c r="U27" s="146">
        <f>IF(SER_hh_fech_in!U27=0,0,SER_hh_fech_in!U27/SER_summary!U$27)</f>
        <v>2.3745126724916733E-2</v>
      </c>
      <c r="V27" s="146">
        <f>IF(SER_hh_fech_in!V27=0,0,SER_hh_fech_in!V27/SER_summary!V$27)</f>
        <v>0.18362379802309245</v>
      </c>
      <c r="W27" s="146">
        <f>IF(SER_hh_fech_in!W27=0,0,SER_hh_fech_in!W27/SER_summary!W$27)</f>
        <v>3.7610771779641864E-15</v>
      </c>
      <c r="DA27" s="159" t="s">
        <v>840</v>
      </c>
    </row>
    <row r="28" spans="1:105" ht="12" customHeight="1" x14ac:dyDescent="0.25">
      <c r="A28" s="78" t="s">
        <v>85</v>
      </c>
      <c r="B28" s="68"/>
      <c r="C28" s="147">
        <f>IF(SER_hh_fech_in!C28=0,0,SER_hh_fech_in!C28/SER_summary!C$27)</f>
        <v>0</v>
      </c>
      <c r="D28" s="147">
        <f>IF(SER_hh_fech_in!D28=0,0,SER_hh_fech_in!D28/SER_summary!D$27)</f>
        <v>7.9781092462358778</v>
      </c>
      <c r="E28" s="147">
        <f>IF(SER_hh_fech_in!E28=0,0,SER_hh_fech_in!E28/SER_summary!E$27)</f>
        <v>7.8562193454049138</v>
      </c>
      <c r="F28" s="147">
        <f>IF(SER_hh_fech_in!F28=0,0,SER_hh_fech_in!F28/SER_summary!F$27)</f>
        <v>8.0647497209740813</v>
      </c>
      <c r="G28" s="147">
        <f>IF(SER_hh_fech_in!G28=0,0,SER_hh_fech_in!G28/SER_summary!G$27)</f>
        <v>7.8647549714236709</v>
      </c>
      <c r="H28" s="147">
        <f>IF(SER_hh_fech_in!H28=0,0,SER_hh_fech_in!H28/SER_summary!H$27)</f>
        <v>7.7768477323920102</v>
      </c>
      <c r="I28" s="147">
        <f>IF(SER_hh_fech_in!I28=0,0,SER_hh_fech_in!I28/SER_summary!I$27)</f>
        <v>7.3977229122299919</v>
      </c>
      <c r="J28" s="147">
        <f>IF(SER_hh_fech_in!J28=0,0,SER_hh_fech_in!J28/SER_summary!J$27)</f>
        <v>8.0421335400462599</v>
      </c>
      <c r="K28" s="147">
        <f>IF(SER_hh_fech_in!K28=0,0,SER_hh_fech_in!K28/SER_summary!K$27)</f>
        <v>7.9213943466211401</v>
      </c>
      <c r="L28" s="147">
        <f>IF(SER_hh_fech_in!L28=0,0,SER_hh_fech_in!L28/SER_summary!L$27)</f>
        <v>0</v>
      </c>
      <c r="M28" s="147">
        <f>IF(SER_hh_fech_in!M28=0,0,SER_hh_fech_in!M28/SER_summary!M$27)</f>
        <v>8.1997144462465315</v>
      </c>
      <c r="N28" s="147">
        <f>IF(SER_hh_fech_in!N28=0,0,SER_hh_fech_in!N28/SER_summary!N$27)</f>
        <v>8.1621460976836016</v>
      </c>
      <c r="O28" s="147">
        <f>IF(SER_hh_fech_in!O28=0,0,SER_hh_fech_in!O28/SER_summary!O$27)</f>
        <v>9.2905125904341777</v>
      </c>
      <c r="P28" s="147">
        <f>IF(SER_hh_fech_in!P28=0,0,SER_hh_fech_in!P28/SER_summary!P$27)</f>
        <v>9.4936072930089814</v>
      </c>
      <c r="Q28" s="147">
        <f>IF(SER_hh_fech_in!Q28=0,0,SER_hh_fech_in!Q28/SER_summary!Q$27)</f>
        <v>9.0926724243116404</v>
      </c>
      <c r="R28" s="147">
        <f>IF(SER_hh_fech_in!R28=0,0,SER_hh_fech_in!R28/SER_summary!R$27)</f>
        <v>8.0658337170286227</v>
      </c>
      <c r="S28" s="147">
        <f>IF(SER_hh_fech_in!S28=0,0,SER_hh_fech_in!S28/SER_summary!S$27)</f>
        <v>7.752490149260006</v>
      </c>
      <c r="T28" s="147">
        <f>IF(SER_hh_fech_in!T28=0,0,SER_hh_fech_in!T28/SER_summary!T$27)</f>
        <v>8.0729945434068782</v>
      </c>
      <c r="U28" s="147">
        <f>IF(SER_hh_fech_in!U28=0,0,SER_hh_fech_in!U28/SER_summary!U$27)</f>
        <v>7.934846331663719</v>
      </c>
      <c r="V28" s="147">
        <f>IF(SER_hh_fech_in!V28=0,0,SER_hh_fech_in!V28/SER_summary!V$27)</f>
        <v>8.2241789311732418</v>
      </c>
      <c r="W28" s="147">
        <f>IF(SER_hh_fech_in!W28=0,0,SER_hh_fech_in!W28/SER_summary!W$27)</f>
        <v>8.1875303743414385</v>
      </c>
      <c r="DA28" s="160"/>
    </row>
    <row r="29" spans="1:105" ht="12.95" customHeight="1" x14ac:dyDescent="0.25">
      <c r="A29" s="130" t="s">
        <v>34</v>
      </c>
      <c r="B29" s="131"/>
      <c r="C29" s="131">
        <f>IF(SER_hh_fech_in!C29=0,0,SER_hh_fech_in!C29/SER_summary!C$27)</f>
        <v>15.897918675754653</v>
      </c>
      <c r="D29" s="131">
        <f>IF(SER_hh_fech_in!D29=0,0,SER_hh_fech_in!D29/SER_summary!D$27)</f>
        <v>15.127464233633139</v>
      </c>
      <c r="E29" s="131">
        <f>IF(SER_hh_fech_in!E29=0,0,SER_hh_fech_in!E29/SER_summary!E$27)</f>
        <v>14.955103331134259</v>
      </c>
      <c r="F29" s="131">
        <f>IF(SER_hh_fech_in!F29=0,0,SER_hh_fech_in!F29/SER_summary!F$27)</f>
        <v>14.672141407620703</v>
      </c>
      <c r="G29" s="131">
        <f>IF(SER_hh_fech_in!G29=0,0,SER_hh_fech_in!G29/SER_summary!G$27)</f>
        <v>15.627149847826541</v>
      </c>
      <c r="H29" s="131">
        <f>IF(SER_hh_fech_in!H29=0,0,SER_hh_fech_in!H29/SER_summary!H$27)</f>
        <v>15.582983506811333</v>
      </c>
      <c r="I29" s="131">
        <f>IF(SER_hh_fech_in!I29=0,0,SER_hh_fech_in!I29/SER_summary!I$27)</f>
        <v>15.79337283166601</v>
      </c>
      <c r="J29" s="131">
        <f>IF(SER_hh_fech_in!J29=0,0,SER_hh_fech_in!J29/SER_summary!J$27)</f>
        <v>16.541766510584377</v>
      </c>
      <c r="K29" s="131">
        <f>IF(SER_hh_fech_in!K29=0,0,SER_hh_fech_in!K29/SER_summary!K$27)</f>
        <v>17.233289637423407</v>
      </c>
      <c r="L29" s="131">
        <f>IF(SER_hh_fech_in!L29=0,0,SER_hh_fech_in!L29/SER_summary!L$27)</f>
        <v>16.982800780784018</v>
      </c>
      <c r="M29" s="131">
        <f>IF(SER_hh_fech_in!M29=0,0,SER_hh_fech_in!M29/SER_summary!M$27)</f>
        <v>15.834003353822217</v>
      </c>
      <c r="N29" s="131">
        <f>IF(SER_hh_fech_in!N29=0,0,SER_hh_fech_in!N29/SER_summary!N$27)</f>
        <v>16.299154200807955</v>
      </c>
      <c r="O29" s="131">
        <f>IF(SER_hh_fech_in!O29=0,0,SER_hh_fech_in!O29/SER_summary!O$27)</f>
        <v>16.422454952066232</v>
      </c>
      <c r="P29" s="131">
        <f>IF(SER_hh_fech_in!P29=0,0,SER_hh_fech_in!P29/SER_summary!P$27)</f>
        <v>16.270706545857365</v>
      </c>
      <c r="Q29" s="131">
        <f>IF(SER_hh_fech_in!Q29=0,0,SER_hh_fech_in!Q29/SER_summary!Q$27)</f>
        <v>16.791567586713178</v>
      </c>
      <c r="R29" s="131">
        <f>IF(SER_hh_fech_in!R29=0,0,SER_hh_fech_in!R29/SER_summary!R$27)</f>
        <v>16.34865799355568</v>
      </c>
      <c r="S29" s="131">
        <f>IF(SER_hh_fech_in!S29=0,0,SER_hh_fech_in!S29/SER_summary!S$27)</f>
        <v>16.392535726345752</v>
      </c>
      <c r="T29" s="131">
        <f>IF(SER_hh_fech_in!T29=0,0,SER_hh_fech_in!T29/SER_summary!T$27)</f>
        <v>16.333693271308743</v>
      </c>
      <c r="U29" s="131">
        <f>IF(SER_hh_fech_in!U29=0,0,SER_hh_fech_in!U29/SER_summary!U$27)</f>
        <v>16.358913855668469</v>
      </c>
      <c r="V29" s="131">
        <f>IF(SER_hh_fech_in!V29=0,0,SER_hh_fech_in!V29/SER_summary!V$27)</f>
        <v>15.828471072662309</v>
      </c>
      <c r="W29" s="131">
        <f>IF(SER_hh_fech_in!W29=0,0,SER_hh_fech_in!W29/SER_summary!W$27)</f>
        <v>16.349243152480462</v>
      </c>
      <c r="DA29" s="156" t="s">
        <v>841</v>
      </c>
    </row>
    <row r="30" spans="1:105" s="2" customFormat="1" ht="12" customHeight="1" x14ac:dyDescent="0.25">
      <c r="A30" s="132" t="s">
        <v>52</v>
      </c>
      <c r="B30" s="133"/>
      <c r="C30" s="133">
        <f>IF(SER_hh_fech_in!C30=0,0,SER_hh_fech_in!C30/SER_summary!C$27)</f>
        <v>18.709649533267569</v>
      </c>
      <c r="D30" s="133">
        <f>IF(SER_hh_fech_in!D30=0,0,SER_hh_fech_in!D30/SER_summary!D$27)</f>
        <v>0</v>
      </c>
      <c r="E30" s="133">
        <f>IF(SER_hh_fech_in!E30=0,0,SER_hh_fech_in!E30/SER_summary!E$27)</f>
        <v>0</v>
      </c>
      <c r="F30" s="133">
        <f>IF(SER_hh_fech_in!F30=0,0,SER_hh_fech_in!F30/SER_summary!F$27)</f>
        <v>0</v>
      </c>
      <c r="G30" s="133">
        <f>IF(SER_hh_fech_in!G30=0,0,SER_hh_fech_in!G30/SER_summary!G$27)</f>
        <v>0</v>
      </c>
      <c r="H30" s="133">
        <f>IF(SER_hh_fech_in!H30=0,0,SER_hh_fech_in!H30/SER_summary!H$27)</f>
        <v>0</v>
      </c>
      <c r="I30" s="133">
        <f>IF(SER_hh_fech_in!I30=0,0,SER_hh_fech_in!I30/SER_summary!I$27)</f>
        <v>0</v>
      </c>
      <c r="J30" s="133">
        <f>IF(SER_hh_fech_in!J30=0,0,SER_hh_fech_in!J30/SER_summary!J$27)</f>
        <v>19.000373155491399</v>
      </c>
      <c r="K30" s="133">
        <f>IF(SER_hh_fech_in!K30=0,0,SER_hh_fech_in!K30/SER_summary!K$27)</f>
        <v>18.426620066037191</v>
      </c>
      <c r="L30" s="133">
        <f>IF(SER_hh_fech_in!L30=0,0,SER_hh_fech_in!L30/SER_summary!L$27)</f>
        <v>22.10987161186139</v>
      </c>
      <c r="M30" s="133">
        <f>IF(SER_hh_fech_in!M30=0,0,SER_hh_fech_in!M30/SER_summary!M$27)</f>
        <v>0</v>
      </c>
      <c r="N30" s="133">
        <f>IF(SER_hh_fech_in!N30=0,0,SER_hh_fech_in!N30/SER_summary!N$27)</f>
        <v>0</v>
      </c>
      <c r="O30" s="133">
        <f>IF(SER_hh_fech_in!O30=0,0,SER_hh_fech_in!O30/SER_summary!O$27)</f>
        <v>19.91444413039498</v>
      </c>
      <c r="P30" s="133">
        <f>IF(SER_hh_fech_in!P30=0,0,SER_hh_fech_in!P30/SER_summary!P$27)</f>
        <v>15.164114199304466</v>
      </c>
      <c r="Q30" s="133">
        <f>IF(SER_hh_fech_in!Q30=0,0,SER_hh_fech_in!Q30/SER_summary!Q$27)</f>
        <v>23.527318364676219</v>
      </c>
      <c r="R30" s="133">
        <f>IF(SER_hh_fech_in!R30=0,0,SER_hh_fech_in!R30/SER_summary!R$27)</f>
        <v>17.641405422203668</v>
      </c>
      <c r="S30" s="133">
        <f>IF(SER_hh_fech_in!S30=0,0,SER_hh_fech_in!S30/SER_summary!S$27)</f>
        <v>19.612748919543705</v>
      </c>
      <c r="T30" s="133">
        <f>IF(SER_hh_fech_in!T30=0,0,SER_hh_fech_in!T30/SER_summary!T$27)</f>
        <v>18.297727544260461</v>
      </c>
      <c r="U30" s="133">
        <f>IF(SER_hh_fech_in!U30=0,0,SER_hh_fech_in!U30/SER_summary!U$27)</f>
        <v>17.968228473306851</v>
      </c>
      <c r="V30" s="133">
        <f>IF(SER_hh_fech_in!V30=0,0,SER_hh_fech_in!V30/SER_summary!V$27)</f>
        <v>19.126989072120995</v>
      </c>
      <c r="W30" s="133">
        <f>IF(SER_hh_fech_in!W30=0,0,SER_hh_fech_in!W30/SER_summary!W$27)</f>
        <v>19.279189877586973</v>
      </c>
      <c r="DA30" s="157" t="s">
        <v>842</v>
      </c>
    </row>
    <row r="31" spans="1:105" ht="12" customHeight="1" x14ac:dyDescent="0.25">
      <c r="A31" s="132" t="s">
        <v>153</v>
      </c>
      <c r="B31" s="133"/>
      <c r="C31" s="133">
        <f>IF(SER_hh_fech_in!C31=0,0,SER_hh_fech_in!C31/SER_summary!C$27)</f>
        <v>17.416656909308259</v>
      </c>
      <c r="D31" s="133">
        <f>IF(SER_hh_fech_in!D31=0,0,SER_hh_fech_in!D31/SER_summary!D$27)</f>
        <v>17.482115041273456</v>
      </c>
      <c r="E31" s="133">
        <f>IF(SER_hh_fech_in!E31=0,0,SER_hh_fech_in!E31/SER_summary!E$27)</f>
        <v>17.572547452486109</v>
      </c>
      <c r="F31" s="133">
        <f>IF(SER_hh_fech_in!F31=0,0,SER_hh_fech_in!F31/SER_summary!F$27)</f>
        <v>17.67183419965799</v>
      </c>
      <c r="G31" s="133">
        <f>IF(SER_hh_fech_in!G31=0,0,SER_hh_fech_in!G31/SER_summary!G$27)</f>
        <v>17.907673409378457</v>
      </c>
      <c r="H31" s="133">
        <f>IF(SER_hh_fech_in!H31=0,0,SER_hh_fech_in!H31/SER_summary!H$27)</f>
        <v>17.934423734266012</v>
      </c>
      <c r="I31" s="133">
        <f>IF(SER_hh_fech_in!I31=0,0,SER_hh_fech_in!I31/SER_summary!I$27)</f>
        <v>18.122388083358405</v>
      </c>
      <c r="J31" s="133">
        <f>IF(SER_hh_fech_in!J31=0,0,SER_hh_fech_in!J31/SER_summary!J$27)</f>
        <v>18.411572435506461</v>
      </c>
      <c r="K31" s="133">
        <f>IF(SER_hh_fech_in!K31=0,0,SER_hh_fech_in!K31/SER_summary!K$27)</f>
        <v>18.516647260707987</v>
      </c>
      <c r="L31" s="133">
        <f>IF(SER_hh_fech_in!L31=0,0,SER_hh_fech_in!L31/SER_summary!L$27)</f>
        <v>18.575733860917897</v>
      </c>
      <c r="M31" s="133">
        <f>IF(SER_hh_fech_in!M31=0,0,SER_hh_fech_in!M31/SER_summary!M$27)</f>
        <v>18.670780138348846</v>
      </c>
      <c r="N31" s="133">
        <f>IF(SER_hh_fech_in!N31=0,0,SER_hh_fech_in!N31/SER_summary!N$27)</f>
        <v>18.97526597686473</v>
      </c>
      <c r="O31" s="133">
        <f>IF(SER_hh_fech_in!O31=0,0,SER_hh_fech_in!O31/SER_summary!O$27)</f>
        <v>19.054863759733532</v>
      </c>
      <c r="P31" s="133">
        <f>IF(SER_hh_fech_in!P31=0,0,SER_hh_fech_in!P31/SER_summary!P$27)</f>
        <v>19.213300628142409</v>
      </c>
      <c r="Q31" s="133">
        <f>IF(SER_hh_fech_in!Q31=0,0,SER_hh_fech_in!Q31/SER_summary!Q$27)</f>
        <v>19.26964063231906</v>
      </c>
      <c r="R31" s="133">
        <f>IF(SER_hh_fech_in!R31=0,0,SER_hh_fech_in!R31/SER_summary!R$27)</f>
        <v>19.229482314796357</v>
      </c>
      <c r="S31" s="133">
        <f>IF(SER_hh_fech_in!S31=0,0,SER_hh_fech_in!S31/SER_summary!S$27)</f>
        <v>19.130733022132564</v>
      </c>
      <c r="T31" s="133">
        <f>IF(SER_hh_fech_in!T31=0,0,SER_hh_fech_in!T31/SER_summary!T$27)</f>
        <v>19.050086197517022</v>
      </c>
      <c r="U31" s="133">
        <f>IF(SER_hh_fech_in!U31=0,0,SER_hh_fech_in!U31/SER_summary!U$27)</f>
        <v>19.016872534066611</v>
      </c>
      <c r="V31" s="133">
        <f>IF(SER_hh_fech_in!V31=0,0,SER_hh_fech_in!V31/SER_summary!V$27)</f>
        <v>18.088734285705247</v>
      </c>
      <c r="W31" s="133">
        <f>IF(SER_hh_fech_in!W31=0,0,SER_hh_fech_in!W31/SER_summary!W$27)</f>
        <v>19.129488117544085</v>
      </c>
      <c r="DA31" s="157" t="s">
        <v>843</v>
      </c>
    </row>
    <row r="32" spans="1:105" ht="12" customHeight="1" x14ac:dyDescent="0.25">
      <c r="A32" s="132" t="s">
        <v>128</v>
      </c>
      <c r="B32" s="133"/>
      <c r="C32" s="133">
        <f>IF(SER_hh_fech_in!C32=0,0,SER_hh_fech_in!C32/SER_summary!C$27)</f>
        <v>0</v>
      </c>
      <c r="D32" s="133">
        <f>IF(SER_hh_fech_in!D32=0,0,SER_hh_fech_in!D32/SER_summary!D$27)</f>
        <v>0</v>
      </c>
      <c r="E32" s="133">
        <f>IF(SER_hh_fech_in!E32=0,0,SER_hh_fech_in!E32/SER_summary!E$27)</f>
        <v>0</v>
      </c>
      <c r="F32" s="133">
        <f>IF(SER_hh_fech_in!F32=0,0,SER_hh_fech_in!F32/SER_summary!F$27)</f>
        <v>0</v>
      </c>
      <c r="G32" s="133">
        <f>IF(SER_hh_fech_in!G32=0,0,SER_hh_fech_in!G32/SER_summary!G$27)</f>
        <v>0</v>
      </c>
      <c r="H32" s="133">
        <f>IF(SER_hh_fech_in!H32=0,0,SER_hh_fech_in!H32/SER_summary!H$27)</f>
        <v>0</v>
      </c>
      <c r="I32" s="133">
        <f>IF(SER_hh_fech_in!I32=0,0,SER_hh_fech_in!I32/SER_summary!I$27)</f>
        <v>0</v>
      </c>
      <c r="J32" s="133">
        <f>IF(SER_hh_fech_in!J32=0,0,SER_hh_fech_in!J32/SER_summary!J$27)</f>
        <v>24.367573386180432</v>
      </c>
      <c r="K32" s="133">
        <f>IF(SER_hh_fech_in!K32=0,0,SER_hh_fech_in!K32/SER_summary!K$27)</f>
        <v>14.083568851993361</v>
      </c>
      <c r="L32" s="133">
        <f>IF(SER_hh_fech_in!L32=0,0,SER_hh_fech_in!L32/SER_summary!L$27)</f>
        <v>24.295627075089413</v>
      </c>
      <c r="M32" s="133">
        <f>IF(SER_hh_fech_in!M32=0,0,SER_hh_fech_in!M32/SER_summary!M$27)</f>
        <v>22.766817081869664</v>
      </c>
      <c r="N32" s="133">
        <f>IF(SER_hh_fech_in!N32=0,0,SER_hh_fech_in!N32/SER_summary!N$27)</f>
        <v>12.307037970122485</v>
      </c>
      <c r="O32" s="133">
        <f>IF(SER_hh_fech_in!O32=0,0,SER_hh_fech_in!O32/SER_summary!O$27)</f>
        <v>19.954563001404782</v>
      </c>
      <c r="P32" s="133">
        <f>IF(SER_hh_fech_in!P32=0,0,SER_hh_fech_in!P32/SER_summary!P$27)</f>
        <v>20.505791493152234</v>
      </c>
      <c r="Q32" s="133">
        <f>IF(SER_hh_fech_in!Q32=0,0,SER_hh_fech_in!Q32/SER_summary!Q$27)</f>
        <v>21.216030864103324</v>
      </c>
      <c r="R32" s="133">
        <f>IF(SER_hh_fech_in!R32=0,0,SER_hh_fech_in!R32/SER_summary!R$27)</f>
        <v>20.365848886390236</v>
      </c>
      <c r="S32" s="133">
        <f>IF(SER_hh_fech_in!S32=0,0,SER_hh_fech_in!S32/SER_summary!S$27)</f>
        <v>19.560632592061584</v>
      </c>
      <c r="T32" s="133">
        <f>IF(SER_hh_fech_in!T32=0,0,SER_hh_fech_in!T32/SER_summary!T$27)</f>
        <v>20.439444893747769</v>
      </c>
      <c r="U32" s="133">
        <f>IF(SER_hh_fech_in!U32=0,0,SER_hh_fech_in!U32/SER_summary!U$27)</f>
        <v>0</v>
      </c>
      <c r="V32" s="133">
        <f>IF(SER_hh_fech_in!V32=0,0,SER_hh_fech_in!V32/SER_summary!V$27)</f>
        <v>0</v>
      </c>
      <c r="W32" s="133">
        <f>IF(SER_hh_fech_in!W32=0,0,SER_hh_fech_in!W32/SER_summary!W$27)</f>
        <v>0</v>
      </c>
      <c r="DA32" s="157" t="s">
        <v>844</v>
      </c>
    </row>
    <row r="33" spans="1:105" ht="12" customHeight="1" x14ac:dyDescent="0.25">
      <c r="A33" s="62" t="s">
        <v>24</v>
      </c>
      <c r="B33" s="68"/>
      <c r="C33" s="68">
        <f>IF(SER_hh_fech_in!C33=0,0,SER_hh_fech_in!C33/SER_summary!C$27)</f>
        <v>13.132116991075717</v>
      </c>
      <c r="D33" s="68">
        <f>IF(SER_hh_fech_in!D33=0,0,SER_hh_fech_in!D33/SER_summary!D$27)</f>
        <v>13.823387535004635</v>
      </c>
      <c r="E33" s="68">
        <f>IF(SER_hh_fech_in!E33=0,0,SER_hh_fech_in!E33/SER_summary!E$27)</f>
        <v>13.024657647537421</v>
      </c>
      <c r="F33" s="68">
        <f>IF(SER_hh_fech_in!F33=0,0,SER_hh_fech_in!F33/SER_summary!F$27)</f>
        <v>12.415557960612251</v>
      </c>
      <c r="G33" s="68">
        <f>IF(SER_hh_fech_in!G33=0,0,SER_hh_fech_in!G33/SER_summary!G$27)</f>
        <v>14.258647087102156</v>
      </c>
      <c r="H33" s="68">
        <f>IF(SER_hh_fech_in!H33=0,0,SER_hh_fech_in!H33/SER_summary!H$27)</f>
        <v>13.556747446185048</v>
      </c>
      <c r="I33" s="68">
        <f>IF(SER_hh_fech_in!I33=0,0,SER_hh_fech_in!I33/SER_summary!I$27)</f>
        <v>13.691234630355154</v>
      </c>
      <c r="J33" s="68">
        <f>IF(SER_hh_fech_in!J33=0,0,SER_hh_fech_in!J33/SER_summary!J$27)</f>
        <v>13.580638297037247</v>
      </c>
      <c r="K33" s="68">
        <f>IF(SER_hh_fech_in!K33=0,0,SER_hh_fech_in!K33/SER_summary!K$27)</f>
        <v>14.085196131920124</v>
      </c>
      <c r="L33" s="68">
        <f>IF(SER_hh_fech_in!L33=0,0,SER_hh_fech_in!L33/SER_summary!L$27)</f>
        <v>13.848355387718026</v>
      </c>
      <c r="M33" s="68">
        <f>IF(SER_hh_fech_in!M33=0,0,SER_hh_fech_in!M33/SER_summary!M$27)</f>
        <v>13.78263724123719</v>
      </c>
      <c r="N33" s="68">
        <f>IF(SER_hh_fech_in!N33=0,0,SER_hh_fech_in!N33/SER_summary!N$27)</f>
        <v>14.029502804889287</v>
      </c>
      <c r="O33" s="68">
        <f>IF(SER_hh_fech_in!O33=0,0,SER_hh_fech_in!O33/SER_summary!O$27)</f>
        <v>14.058598800001782</v>
      </c>
      <c r="P33" s="68">
        <f>IF(SER_hh_fech_in!P33=0,0,SER_hh_fech_in!P33/SER_summary!P$27)</f>
        <v>14.063853036071951</v>
      </c>
      <c r="Q33" s="68">
        <f>IF(SER_hh_fech_in!Q33=0,0,SER_hh_fech_in!Q33/SER_summary!Q$27)</f>
        <v>14.014771737142944</v>
      </c>
      <c r="R33" s="68">
        <f>IF(SER_hh_fech_in!R33=0,0,SER_hh_fech_in!R33/SER_summary!R$27)</f>
        <v>13.911952482236774</v>
      </c>
      <c r="S33" s="68">
        <f>IF(SER_hh_fech_in!S33=0,0,SER_hh_fech_in!S33/SER_summary!S$27)</f>
        <v>13.667526220868552</v>
      </c>
      <c r="T33" s="68">
        <f>IF(SER_hh_fech_in!T33=0,0,SER_hh_fech_in!T33/SER_summary!T$27)</f>
        <v>13.494095416503301</v>
      </c>
      <c r="U33" s="68">
        <f>IF(SER_hh_fech_in!U33=0,0,SER_hh_fech_in!U33/SER_summary!U$27)</f>
        <v>13.277209511596132</v>
      </c>
      <c r="V33" s="68">
        <f>IF(SER_hh_fech_in!V33=0,0,SER_hh_fech_in!V33/SER_summary!V$27)</f>
        <v>12.610978912811202</v>
      </c>
      <c r="W33" s="68">
        <f>IF(SER_hh_fech_in!W33=0,0,SER_hh_fech_in!W33/SER_summary!W$27)</f>
        <v>13.051652298494744</v>
      </c>
      <c r="DA33" s="111" t="s">
        <v>845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846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91</v>
      </c>
      <c r="B3" s="126"/>
      <c r="C3" s="126">
        <f>IF(SER_hh_tesh_in!C3=0,0,SER_hh_tesh_in!C3/SER_summary!C$27)</f>
        <v>137.51952607136189</v>
      </c>
      <c r="D3" s="126">
        <f>IF(SER_hh_tesh_in!D3=0,0,SER_hh_tesh_in!D3/SER_summary!D$27)</f>
        <v>133.2495848045921</v>
      </c>
      <c r="E3" s="126">
        <f>IF(SER_hh_tesh_in!E3=0,0,SER_hh_tesh_in!E3/SER_summary!E$27)</f>
        <v>142.06896324540085</v>
      </c>
      <c r="F3" s="126">
        <f>IF(SER_hh_tesh_in!F3=0,0,SER_hh_tesh_in!F3/SER_summary!F$27)</f>
        <v>195.03371240135741</v>
      </c>
      <c r="G3" s="126">
        <f>IF(SER_hh_tesh_in!G3=0,0,SER_hh_tesh_in!G3/SER_summary!G$27)</f>
        <v>170.99843117082901</v>
      </c>
      <c r="H3" s="126">
        <f>IF(SER_hh_tesh_in!H3=0,0,SER_hh_tesh_in!H3/SER_summary!H$27)</f>
        <v>158.84034439648346</v>
      </c>
      <c r="I3" s="126">
        <f>IF(SER_hh_tesh_in!I3=0,0,SER_hh_tesh_in!I3/SER_summary!I$27)</f>
        <v>139.72664478849666</v>
      </c>
      <c r="J3" s="126">
        <f>IF(SER_hh_tesh_in!J3=0,0,SER_hh_tesh_in!J3/SER_summary!J$27)</f>
        <v>149.74586310281916</v>
      </c>
      <c r="K3" s="126">
        <f>IF(SER_hh_tesh_in!K3=0,0,SER_hh_tesh_in!K3/SER_summary!K$27)</f>
        <v>148.48904973473952</v>
      </c>
      <c r="L3" s="126">
        <f>IF(SER_hh_tesh_in!L3=0,0,SER_hh_tesh_in!L3/SER_summary!L$27)</f>
        <v>154.6791492574383</v>
      </c>
      <c r="M3" s="126">
        <f>IF(SER_hh_tesh_in!M3=0,0,SER_hh_tesh_in!M3/SER_summary!M$27)</f>
        <v>128.96633377853746</v>
      </c>
      <c r="N3" s="126">
        <f>IF(SER_hh_tesh_in!N3=0,0,SER_hh_tesh_in!N3/SER_summary!N$27)</f>
        <v>134.23283071373575</v>
      </c>
      <c r="O3" s="126">
        <f>IF(SER_hh_tesh_in!O3=0,0,SER_hh_tesh_in!O3/SER_summary!O$27)</f>
        <v>139.77209129522777</v>
      </c>
      <c r="P3" s="126">
        <f>IF(SER_hh_tesh_in!P3=0,0,SER_hh_tesh_in!P3/SER_summary!P$27)</f>
        <v>117.54660109783211</v>
      </c>
      <c r="Q3" s="126">
        <f>IF(SER_hh_tesh_in!Q3=0,0,SER_hh_tesh_in!Q3/SER_summary!Q$27)</f>
        <v>126.70997775585467</v>
      </c>
      <c r="R3" s="126">
        <f>IF(SER_hh_tesh_in!R3=0,0,SER_hh_tesh_in!R3/SER_summary!R$27)</f>
        <v>122.02509575548207</v>
      </c>
      <c r="S3" s="126">
        <f>IF(SER_hh_tesh_in!S3=0,0,SER_hh_tesh_in!S3/SER_summary!S$27)</f>
        <v>115.4346378086457</v>
      </c>
      <c r="T3" s="126">
        <f>IF(SER_hh_tesh_in!T3=0,0,SER_hh_tesh_in!T3/SER_summary!T$27)</f>
        <v>115.34775159861999</v>
      </c>
      <c r="U3" s="126">
        <f>IF(SER_hh_tesh_in!U3=0,0,SER_hh_tesh_in!U3/SER_summary!U$27)</f>
        <v>110.87962779680296</v>
      </c>
      <c r="V3" s="126">
        <f>IF(SER_hh_tesh_in!V3=0,0,SER_hh_tesh_in!V3/SER_summary!V$27)</f>
        <v>105.37334640626756</v>
      </c>
      <c r="W3" s="126">
        <f>IF(SER_hh_tesh_in!W3=0,0,SER_hh_tesh_in!W3/SER_summary!W$27)</f>
        <v>96.413868083850517</v>
      </c>
      <c r="DA3" s="155" t="s">
        <v>847</v>
      </c>
    </row>
    <row r="4" spans="1:105" ht="12.95" customHeight="1" x14ac:dyDescent="0.25">
      <c r="A4" s="130" t="s">
        <v>32</v>
      </c>
      <c r="B4" s="131"/>
      <c r="C4" s="131">
        <f>IF(SER_hh_tesh_in!C4=0,0,SER_hh_tesh_in!C4/SER_summary!C$27)</f>
        <v>80.912310047615534</v>
      </c>
      <c r="D4" s="131">
        <f>IF(SER_hh_tesh_in!D4=0,0,SER_hh_tesh_in!D4/SER_summary!D$27)</f>
        <v>85.768489178554717</v>
      </c>
      <c r="E4" s="131">
        <f>IF(SER_hh_tesh_in!E4=0,0,SER_hh_tesh_in!E4/SER_summary!E$27)</f>
        <v>77.336198172411102</v>
      </c>
      <c r="F4" s="131">
        <f>IF(SER_hh_tesh_in!F4=0,0,SER_hh_tesh_in!F4/SER_summary!F$27)</f>
        <v>139.95573870626367</v>
      </c>
      <c r="G4" s="131">
        <f>IF(SER_hh_tesh_in!G4=0,0,SER_hh_tesh_in!G4/SER_summary!G$27)</f>
        <v>114.68799048940375</v>
      </c>
      <c r="H4" s="131">
        <f>IF(SER_hh_tesh_in!H4=0,0,SER_hh_tesh_in!H4/SER_summary!H$27)</f>
        <v>95.503209534088597</v>
      </c>
      <c r="I4" s="131">
        <f>IF(SER_hh_tesh_in!I4=0,0,SER_hh_tesh_in!I4/SER_summary!I$27)</f>
        <v>85.011281845654381</v>
      </c>
      <c r="J4" s="131">
        <f>IF(SER_hh_tesh_in!J4=0,0,SER_hh_tesh_in!J4/SER_summary!J$27)</f>
        <v>95.013019367901975</v>
      </c>
      <c r="K4" s="131">
        <f>IF(SER_hh_tesh_in!K4=0,0,SER_hh_tesh_in!K4/SER_summary!K$27)</f>
        <v>93.534245218163264</v>
      </c>
      <c r="L4" s="131">
        <f>IF(SER_hh_tesh_in!L4=0,0,SER_hh_tesh_in!L4/SER_summary!L$27)</f>
        <v>97.985952020996194</v>
      </c>
      <c r="M4" s="131">
        <f>IF(SER_hh_tesh_in!M4=0,0,SER_hh_tesh_in!M4/SER_summary!M$27)</f>
        <v>74.753350434625517</v>
      </c>
      <c r="N4" s="131">
        <f>IF(SER_hh_tesh_in!N4=0,0,SER_hh_tesh_in!N4/SER_summary!N$27)</f>
        <v>79.715026984185116</v>
      </c>
      <c r="O4" s="131">
        <f>IF(SER_hh_tesh_in!O4=0,0,SER_hh_tesh_in!O4/SER_summary!O$27)</f>
        <v>85.247738487679342</v>
      </c>
      <c r="P4" s="131">
        <f>IF(SER_hh_tesh_in!P4=0,0,SER_hh_tesh_in!P4/SER_summary!P$27)</f>
        <v>64.457352987848779</v>
      </c>
      <c r="Q4" s="131">
        <f>IF(SER_hh_tesh_in!Q4=0,0,SER_hh_tesh_in!Q4/SER_summary!Q$27)</f>
        <v>70.808076955149559</v>
      </c>
      <c r="R4" s="131">
        <f>IF(SER_hh_tesh_in!R4=0,0,SER_hh_tesh_in!R4/SER_summary!R$27)</f>
        <v>67.965786205761574</v>
      </c>
      <c r="S4" s="131">
        <f>IF(SER_hh_tesh_in!S4=0,0,SER_hh_tesh_in!S4/SER_summary!S$27)</f>
        <v>63.627772399363884</v>
      </c>
      <c r="T4" s="131">
        <f>IF(SER_hh_tesh_in!T4=0,0,SER_hh_tesh_in!T4/SER_summary!T$27)</f>
        <v>60.966263658591018</v>
      </c>
      <c r="U4" s="131">
        <f>IF(SER_hh_tesh_in!U4=0,0,SER_hh_tesh_in!U4/SER_summary!U$27)</f>
        <v>58.672577284407332</v>
      </c>
      <c r="V4" s="131">
        <f>IF(SER_hh_tesh_in!V4=0,0,SER_hh_tesh_in!V4/SER_summary!V$27)</f>
        <v>51.681267606405939</v>
      </c>
      <c r="W4" s="131">
        <f>IF(SER_hh_tesh_in!W4=0,0,SER_hh_tesh_in!W4/SER_summary!W$27)</f>
        <v>50.050363139363903</v>
      </c>
      <c r="DA4" s="156" t="s">
        <v>848</v>
      </c>
    </row>
    <row r="5" spans="1:105" ht="12" customHeight="1" x14ac:dyDescent="0.25">
      <c r="A5" s="132" t="s">
        <v>29</v>
      </c>
      <c r="B5" s="133"/>
      <c r="C5" s="133">
        <f>IF(SER_hh_tesh_in!C5=0,0,SER_hh_tesh_in!C5/SER_summary!C$27)</f>
        <v>0</v>
      </c>
      <c r="D5" s="133">
        <f>IF(SER_hh_tesh_in!D5=0,0,SER_hh_tesh_in!D5/SER_summary!D$27)</f>
        <v>0</v>
      </c>
      <c r="E5" s="133">
        <f>IF(SER_hh_tesh_in!E5=0,0,SER_hh_tesh_in!E5/SER_summary!E$27)</f>
        <v>0</v>
      </c>
      <c r="F5" s="133">
        <f>IF(SER_hh_tesh_in!F5=0,0,SER_hh_tesh_in!F5/SER_summary!F$27)</f>
        <v>0</v>
      </c>
      <c r="G5" s="133">
        <f>IF(SER_hh_tesh_in!G5=0,0,SER_hh_tesh_in!G5/SER_summary!G$27)</f>
        <v>0</v>
      </c>
      <c r="H5" s="133">
        <f>IF(SER_hh_tesh_in!H5=0,0,SER_hh_tesh_in!H5/SER_summary!H$27)</f>
        <v>0</v>
      </c>
      <c r="I5" s="133">
        <f>IF(SER_hh_tesh_in!I5=0,0,SER_hh_tesh_in!I5/SER_summary!I$27)</f>
        <v>0</v>
      </c>
      <c r="J5" s="133">
        <f>IF(SER_hh_tesh_in!J5=0,0,SER_hh_tesh_in!J5/SER_summary!J$27)</f>
        <v>0</v>
      </c>
      <c r="K5" s="133">
        <f>IF(SER_hh_tesh_in!K5=0,0,SER_hh_tesh_in!K5/SER_summary!K$27)</f>
        <v>0</v>
      </c>
      <c r="L5" s="133">
        <f>IF(SER_hh_tesh_in!L5=0,0,SER_hh_tesh_in!L5/SER_summary!L$27)</f>
        <v>0</v>
      </c>
      <c r="M5" s="133">
        <f>IF(SER_hh_tesh_in!M5=0,0,SER_hh_tesh_in!M5/SER_summary!M$27)</f>
        <v>0</v>
      </c>
      <c r="N5" s="133">
        <f>IF(SER_hh_tesh_in!N5=0,0,SER_hh_tesh_in!N5/SER_summary!N$27)</f>
        <v>0</v>
      </c>
      <c r="O5" s="133">
        <f>IF(SER_hh_tesh_in!O5=0,0,SER_hh_tesh_in!O5/SER_summary!O$27)</f>
        <v>0</v>
      </c>
      <c r="P5" s="133">
        <f>IF(SER_hh_tesh_in!P5=0,0,SER_hh_tesh_in!P5/SER_summary!P$27)</f>
        <v>0</v>
      </c>
      <c r="Q5" s="133">
        <f>IF(SER_hh_tesh_in!Q5=0,0,SER_hh_tesh_in!Q5/SER_summary!Q$27)</f>
        <v>0</v>
      </c>
      <c r="R5" s="133">
        <f>IF(SER_hh_tesh_in!R5=0,0,SER_hh_tesh_in!R5/SER_summary!R$27)</f>
        <v>0</v>
      </c>
      <c r="S5" s="133">
        <f>IF(SER_hh_tesh_in!S5=0,0,SER_hh_tesh_in!S5/SER_summary!S$27)</f>
        <v>0</v>
      </c>
      <c r="T5" s="133">
        <f>IF(SER_hh_tesh_in!T5=0,0,SER_hh_tesh_in!T5/SER_summary!T$27)</f>
        <v>0</v>
      </c>
      <c r="U5" s="133">
        <f>IF(SER_hh_tesh_in!U5=0,0,SER_hh_tesh_in!U5/SER_summary!U$27)</f>
        <v>0</v>
      </c>
      <c r="V5" s="133">
        <f>IF(SER_hh_tesh_in!V5=0,0,SER_hh_tesh_in!V5/SER_summary!V$27)</f>
        <v>0</v>
      </c>
      <c r="W5" s="133">
        <f>IF(SER_hh_tesh_in!W5=0,0,SER_hh_tesh_in!W5/SER_summary!W$27)</f>
        <v>0</v>
      </c>
      <c r="DA5" s="157" t="s">
        <v>849</v>
      </c>
    </row>
    <row r="6" spans="1:105" ht="12" customHeight="1" x14ac:dyDescent="0.25">
      <c r="A6" s="132" t="s">
        <v>52</v>
      </c>
      <c r="B6" s="133"/>
      <c r="C6" s="133">
        <f>IF(SER_hh_tesh_in!C6=0,0,SER_hh_tesh_in!C6/SER_summary!C$27)</f>
        <v>0</v>
      </c>
      <c r="D6" s="133">
        <f>IF(SER_hh_tesh_in!D6=0,0,SER_hh_tesh_in!D6/SER_summary!D$27)</f>
        <v>0</v>
      </c>
      <c r="E6" s="133">
        <f>IF(SER_hh_tesh_in!E6=0,0,SER_hh_tesh_in!E6/SER_summary!E$27)</f>
        <v>0</v>
      </c>
      <c r="F6" s="133">
        <f>IF(SER_hh_tesh_in!F6=0,0,SER_hh_tesh_in!F6/SER_summary!F$27)</f>
        <v>0</v>
      </c>
      <c r="G6" s="133">
        <f>IF(SER_hh_tesh_in!G6=0,0,SER_hh_tesh_in!G6/SER_summary!G$27)</f>
        <v>0</v>
      </c>
      <c r="H6" s="133">
        <f>IF(SER_hh_tesh_in!H6=0,0,SER_hh_tesh_in!H6/SER_summary!H$27)</f>
        <v>0</v>
      </c>
      <c r="I6" s="133">
        <f>IF(SER_hh_tesh_in!I6=0,0,SER_hh_tesh_in!I6/SER_summary!I$27)</f>
        <v>0</v>
      </c>
      <c r="J6" s="133">
        <f>IF(SER_hh_tesh_in!J6=0,0,SER_hh_tesh_in!J6/SER_summary!J$27)</f>
        <v>0</v>
      </c>
      <c r="K6" s="133">
        <f>IF(SER_hh_tesh_in!K6=0,0,SER_hh_tesh_in!K6/SER_summary!K$27)</f>
        <v>0</v>
      </c>
      <c r="L6" s="133">
        <f>IF(SER_hh_tesh_in!L6=0,0,SER_hh_tesh_in!L6/SER_summary!L$27)</f>
        <v>0</v>
      </c>
      <c r="M6" s="133">
        <f>IF(SER_hh_tesh_in!M6=0,0,SER_hh_tesh_in!M6/SER_summary!M$27)</f>
        <v>0</v>
      </c>
      <c r="N6" s="133">
        <f>IF(SER_hh_tesh_in!N6=0,0,SER_hh_tesh_in!N6/SER_summary!N$27)</f>
        <v>0</v>
      </c>
      <c r="O6" s="133">
        <f>IF(SER_hh_tesh_in!O6=0,0,SER_hh_tesh_in!O6/SER_summary!O$27)</f>
        <v>0</v>
      </c>
      <c r="P6" s="133">
        <f>IF(SER_hh_tesh_in!P6=0,0,SER_hh_tesh_in!P6/SER_summary!P$27)</f>
        <v>0</v>
      </c>
      <c r="Q6" s="133">
        <f>IF(SER_hh_tesh_in!Q6=0,0,SER_hh_tesh_in!Q6/SER_summary!Q$27)</f>
        <v>0</v>
      </c>
      <c r="R6" s="133">
        <f>IF(SER_hh_tesh_in!R6=0,0,SER_hh_tesh_in!R6/SER_summary!R$27)</f>
        <v>0</v>
      </c>
      <c r="S6" s="133">
        <f>IF(SER_hh_tesh_in!S6=0,0,SER_hh_tesh_in!S6/SER_summary!S$27)</f>
        <v>0</v>
      </c>
      <c r="T6" s="133">
        <f>IF(SER_hh_tesh_in!T6=0,0,SER_hh_tesh_in!T6/SER_summary!T$27)</f>
        <v>0</v>
      </c>
      <c r="U6" s="133">
        <f>IF(SER_hh_tesh_in!U6=0,0,SER_hh_tesh_in!U6/SER_summary!U$27)</f>
        <v>0</v>
      </c>
      <c r="V6" s="133">
        <f>IF(SER_hh_tesh_in!V6=0,0,SER_hh_tesh_in!V6/SER_summary!V$27)</f>
        <v>0</v>
      </c>
      <c r="W6" s="133">
        <f>IF(SER_hh_tesh_in!W6=0,0,SER_hh_tesh_in!W6/SER_summary!W$27)</f>
        <v>0</v>
      </c>
      <c r="DA6" s="157" t="s">
        <v>850</v>
      </c>
    </row>
    <row r="7" spans="1:105" ht="12" customHeight="1" x14ac:dyDescent="0.25">
      <c r="A7" s="132" t="s">
        <v>168</v>
      </c>
      <c r="B7" s="133"/>
      <c r="C7" s="133">
        <f>IF(SER_hh_tesh_in!C7=0,0,SER_hh_tesh_in!C7/SER_summary!C$27)</f>
        <v>74.824586587219812</v>
      </c>
      <c r="D7" s="133">
        <f>IF(SER_hh_tesh_in!D7=0,0,SER_hh_tesh_in!D7/SER_summary!D$27)</f>
        <v>95.806298163956825</v>
      </c>
      <c r="E7" s="133">
        <f>IF(SER_hh_tesh_in!E7=0,0,SER_hh_tesh_in!E7/SER_summary!E$27)</f>
        <v>108.54881241499609</v>
      </c>
      <c r="F7" s="133">
        <f>IF(SER_hh_tesh_in!F7=0,0,SER_hh_tesh_in!F7/SER_summary!F$27)</f>
        <v>105.48391156696206</v>
      </c>
      <c r="G7" s="133">
        <f>IF(SER_hh_tesh_in!G7=0,0,SER_hh_tesh_in!G7/SER_summary!G$27)</f>
        <v>106.45875033473321</v>
      </c>
      <c r="H7" s="133">
        <f>IF(SER_hh_tesh_in!H7=0,0,SER_hh_tesh_in!H7/SER_summary!H$27)</f>
        <v>93.037440468931848</v>
      </c>
      <c r="I7" s="133">
        <f>IF(SER_hh_tesh_in!I7=0,0,SER_hh_tesh_in!I7/SER_summary!I$27)</f>
        <v>79.944544369463443</v>
      </c>
      <c r="J7" s="133">
        <f>IF(SER_hh_tesh_in!J7=0,0,SER_hh_tesh_in!J7/SER_summary!J$27)</f>
        <v>101.6380823442293</v>
      </c>
      <c r="K7" s="133">
        <f>IF(SER_hh_tesh_in!K7=0,0,SER_hh_tesh_in!K7/SER_summary!K$27)</f>
        <v>83.42356277280328</v>
      </c>
      <c r="L7" s="133">
        <f>IF(SER_hh_tesh_in!L7=0,0,SER_hh_tesh_in!L7/SER_summary!L$27)</f>
        <v>94.120526338086151</v>
      </c>
      <c r="M7" s="133">
        <f>IF(SER_hh_tesh_in!M7=0,0,SER_hh_tesh_in!M7/SER_summary!M$27)</f>
        <v>77.492239940352789</v>
      </c>
      <c r="N7" s="133">
        <f>IF(SER_hh_tesh_in!N7=0,0,SER_hh_tesh_in!N7/SER_summary!N$27)</f>
        <v>76.414315052897479</v>
      </c>
      <c r="O7" s="133">
        <f>IF(SER_hh_tesh_in!O7=0,0,SER_hh_tesh_in!O7/SER_summary!O$27)</f>
        <v>83.255063295996024</v>
      </c>
      <c r="P7" s="133">
        <f>IF(SER_hh_tesh_in!P7=0,0,SER_hh_tesh_in!P7/SER_summary!P$27)</f>
        <v>61.633360446968474</v>
      </c>
      <c r="Q7" s="133">
        <f>IF(SER_hh_tesh_in!Q7=0,0,SER_hh_tesh_in!Q7/SER_summary!Q$27)</f>
        <v>71.863954959604882</v>
      </c>
      <c r="R7" s="133">
        <f>IF(SER_hh_tesh_in!R7=0,0,SER_hh_tesh_in!R7/SER_summary!R$27)</f>
        <v>64.21878877256394</v>
      </c>
      <c r="S7" s="133">
        <f>IF(SER_hh_tesh_in!S7=0,0,SER_hh_tesh_in!S7/SER_summary!S$27)</f>
        <v>63.316313023284692</v>
      </c>
      <c r="T7" s="133">
        <f>IF(SER_hh_tesh_in!T7=0,0,SER_hh_tesh_in!T7/SER_summary!T$27)</f>
        <v>60.503162127028503</v>
      </c>
      <c r="U7" s="133">
        <f>IF(SER_hh_tesh_in!U7=0,0,SER_hh_tesh_in!U7/SER_summary!U$27)</f>
        <v>55.121753342103872</v>
      </c>
      <c r="V7" s="133">
        <f>IF(SER_hh_tesh_in!V7=0,0,SER_hh_tesh_in!V7/SER_summary!V$27)</f>
        <v>54.81529420219109</v>
      </c>
      <c r="W7" s="133">
        <f>IF(SER_hh_tesh_in!W7=0,0,SER_hh_tesh_in!W7/SER_summary!W$27)</f>
        <v>41.782739098215252</v>
      </c>
      <c r="DA7" s="157" t="s">
        <v>851</v>
      </c>
    </row>
    <row r="8" spans="1:105" ht="12" customHeight="1" x14ac:dyDescent="0.25">
      <c r="A8" s="132" t="s">
        <v>73</v>
      </c>
      <c r="B8" s="133"/>
      <c r="C8" s="133">
        <f>IF(SER_hh_tesh_in!C8=0,0,SER_hh_tesh_in!C8/SER_summary!C$27)</f>
        <v>83.183114258920142</v>
      </c>
      <c r="D8" s="133">
        <f>IF(SER_hh_tesh_in!D8=0,0,SER_hh_tesh_in!D8/SER_summary!D$27)</f>
        <v>85.179030665464339</v>
      </c>
      <c r="E8" s="133">
        <f>IF(SER_hh_tesh_in!E8=0,0,SER_hh_tesh_in!E8/SER_summary!E$27)</f>
        <v>86.863793181747994</v>
      </c>
      <c r="F8" s="133">
        <f>IF(SER_hh_tesh_in!F8=0,0,SER_hh_tesh_in!F8/SER_summary!F$27)</f>
        <v>101.90577924871822</v>
      </c>
      <c r="G8" s="133">
        <f>IF(SER_hh_tesh_in!G8=0,0,SER_hh_tesh_in!G8/SER_summary!G$27)</f>
        <v>98.059585410036206</v>
      </c>
      <c r="H8" s="133">
        <f>IF(SER_hh_tesh_in!H8=0,0,SER_hh_tesh_in!H8/SER_summary!H$27)</f>
        <v>97.661305671918655</v>
      </c>
      <c r="I8" s="133">
        <f>IF(SER_hh_tesh_in!I8=0,0,SER_hh_tesh_in!I8/SER_summary!I$27)</f>
        <v>85.509375815314471</v>
      </c>
      <c r="J8" s="133">
        <f>IF(SER_hh_tesh_in!J8=0,0,SER_hh_tesh_in!J8/SER_summary!J$27)</f>
        <v>92.141833878428017</v>
      </c>
      <c r="K8" s="133">
        <f>IF(SER_hh_tesh_in!K8=0,0,SER_hh_tesh_in!K8/SER_summary!K$27)</f>
        <v>92.771697910954956</v>
      </c>
      <c r="L8" s="133">
        <f>IF(SER_hh_tesh_in!L8=0,0,SER_hh_tesh_in!L8/SER_summary!L$27)</f>
        <v>91.709886261577651</v>
      </c>
      <c r="M8" s="133">
        <f>IF(SER_hh_tesh_in!M8=0,0,SER_hh_tesh_in!M8/SER_summary!M$27)</f>
        <v>74.041504455618082</v>
      </c>
      <c r="N8" s="133">
        <f>IF(SER_hh_tesh_in!N8=0,0,SER_hh_tesh_in!N8/SER_summary!N$27)</f>
        <v>79.779153654970443</v>
      </c>
      <c r="O8" s="133">
        <f>IF(SER_hh_tesh_in!O8=0,0,SER_hh_tesh_in!O8/SER_summary!O$27)</f>
        <v>85.911548097757063</v>
      </c>
      <c r="P8" s="133">
        <f>IF(SER_hh_tesh_in!P8=0,0,SER_hh_tesh_in!P8/SER_summary!P$27)</f>
        <v>64.595120207217505</v>
      </c>
      <c r="Q8" s="133">
        <f>IF(SER_hh_tesh_in!Q8=0,0,SER_hh_tesh_in!Q8/SER_summary!Q$27)</f>
        <v>70.08847796160768</v>
      </c>
      <c r="R8" s="133">
        <f>IF(SER_hh_tesh_in!R8=0,0,SER_hh_tesh_in!R8/SER_summary!R$27)</f>
        <v>69.189573246765789</v>
      </c>
      <c r="S8" s="133">
        <f>IF(SER_hh_tesh_in!S8=0,0,SER_hh_tesh_in!S8/SER_summary!S$27)</f>
        <v>63.652920391462736</v>
      </c>
      <c r="T8" s="133">
        <f>IF(SER_hh_tesh_in!T8=0,0,SER_hh_tesh_in!T8/SER_summary!T$27)</f>
        <v>60.300809348566837</v>
      </c>
      <c r="U8" s="133">
        <f>IF(SER_hh_tesh_in!U8=0,0,SER_hh_tesh_in!U8/SER_summary!U$27)</f>
        <v>56.928216565361922</v>
      </c>
      <c r="V8" s="133">
        <f>IF(SER_hh_tesh_in!V8=0,0,SER_hh_tesh_in!V8/SER_summary!V$27)</f>
        <v>51.757817013617142</v>
      </c>
      <c r="W8" s="133">
        <f>IF(SER_hh_tesh_in!W8=0,0,SER_hh_tesh_in!W8/SER_summary!W$27)</f>
        <v>49.985574973625909</v>
      </c>
      <c r="DA8" s="157" t="s">
        <v>852</v>
      </c>
    </row>
    <row r="9" spans="1:105" ht="12" customHeight="1" x14ac:dyDescent="0.25">
      <c r="A9" s="132" t="s">
        <v>78</v>
      </c>
      <c r="B9" s="133"/>
      <c r="C9" s="133">
        <f>IF(SER_hh_tesh_in!C9=0,0,SER_hh_tesh_in!C9/SER_summary!C$27)</f>
        <v>85.61335527410624</v>
      </c>
      <c r="D9" s="133">
        <f>IF(SER_hh_tesh_in!D9=0,0,SER_hh_tesh_in!D9/SER_summary!D$27)</f>
        <v>80.313485847503784</v>
      </c>
      <c r="E9" s="133">
        <f>IF(SER_hh_tesh_in!E9=0,0,SER_hh_tesh_in!E9/SER_summary!E$27)</f>
        <v>84.666596415900315</v>
      </c>
      <c r="F9" s="133">
        <f>IF(SER_hh_tesh_in!F9=0,0,SER_hh_tesh_in!F9/SER_summary!F$27)</f>
        <v>0</v>
      </c>
      <c r="G9" s="133">
        <f>IF(SER_hh_tesh_in!G9=0,0,SER_hh_tesh_in!G9/SER_summary!G$27)</f>
        <v>0</v>
      </c>
      <c r="H9" s="133">
        <f>IF(SER_hh_tesh_in!H9=0,0,SER_hh_tesh_in!H9/SER_summary!H$27)</f>
        <v>93.260449981935025</v>
      </c>
      <c r="I9" s="133">
        <f>IF(SER_hh_tesh_in!I9=0,0,SER_hh_tesh_in!I9/SER_summary!I$27)</f>
        <v>82.825329082186585</v>
      </c>
      <c r="J9" s="133">
        <f>IF(SER_hh_tesh_in!J9=0,0,SER_hh_tesh_in!J9/SER_summary!J$27)</f>
        <v>91.423861058610768</v>
      </c>
      <c r="K9" s="133">
        <f>IF(SER_hh_tesh_in!K9=0,0,SER_hh_tesh_in!K9/SER_summary!K$27)</f>
        <v>93.313070292132551</v>
      </c>
      <c r="L9" s="133">
        <f>IF(SER_hh_tesh_in!L9=0,0,SER_hh_tesh_in!L9/SER_summary!L$27)</f>
        <v>97.164694767962985</v>
      </c>
      <c r="M9" s="133">
        <f>IF(SER_hh_tesh_in!M9=0,0,SER_hh_tesh_in!M9/SER_summary!M$27)</f>
        <v>72.166449920781204</v>
      </c>
      <c r="N9" s="133">
        <f>IF(SER_hh_tesh_in!N9=0,0,SER_hh_tesh_in!N9/SER_summary!N$27)</f>
        <v>79.818533798980539</v>
      </c>
      <c r="O9" s="133">
        <f>IF(SER_hh_tesh_in!O9=0,0,SER_hh_tesh_in!O9/SER_summary!O$27)</f>
        <v>85.494727382501281</v>
      </c>
      <c r="P9" s="133">
        <f>IF(SER_hh_tesh_in!P9=0,0,SER_hh_tesh_in!P9/SER_summary!P$27)</f>
        <v>61.551828544051482</v>
      </c>
      <c r="Q9" s="133">
        <f>IF(SER_hh_tesh_in!Q9=0,0,SER_hh_tesh_in!Q9/SER_summary!Q$27)</f>
        <v>67.612182010213999</v>
      </c>
      <c r="R9" s="133">
        <f>IF(SER_hh_tesh_in!R9=0,0,SER_hh_tesh_in!R9/SER_summary!R$27)</f>
        <v>68.008783464137792</v>
      </c>
      <c r="S9" s="133">
        <f>IF(SER_hh_tesh_in!S9=0,0,SER_hh_tesh_in!S9/SER_summary!S$27)</f>
        <v>63.610839195870355</v>
      </c>
      <c r="T9" s="133">
        <f>IF(SER_hh_tesh_in!T9=0,0,SER_hh_tesh_in!T9/SER_summary!T$27)</f>
        <v>60.95331573382829</v>
      </c>
      <c r="U9" s="133">
        <f>IF(SER_hh_tesh_in!U9=0,0,SER_hh_tesh_in!U9/SER_summary!U$27)</f>
        <v>57.010101103924306</v>
      </c>
      <c r="V9" s="133">
        <f>IF(SER_hh_tesh_in!V9=0,0,SER_hh_tesh_in!V9/SER_summary!V$27)</f>
        <v>49.116331918208608</v>
      </c>
      <c r="W9" s="133">
        <f>IF(SER_hh_tesh_in!W9=0,0,SER_hh_tesh_in!W9/SER_summary!W$27)</f>
        <v>49.434643852748714</v>
      </c>
      <c r="DA9" s="157" t="s">
        <v>853</v>
      </c>
    </row>
    <row r="10" spans="1:105" ht="12" customHeight="1" x14ac:dyDescent="0.25">
      <c r="A10" s="132" t="s">
        <v>128</v>
      </c>
      <c r="B10" s="133"/>
      <c r="C10" s="133">
        <f>IF(SER_hh_tesh_in!C10=0,0,SER_hh_tesh_in!C10/SER_summary!C$27)</f>
        <v>78.328267089349765</v>
      </c>
      <c r="D10" s="133">
        <f>IF(SER_hh_tesh_in!D10=0,0,SER_hh_tesh_in!D10/SER_summary!D$27)</f>
        <v>5.8111486421418084</v>
      </c>
      <c r="E10" s="133">
        <f>IF(SER_hh_tesh_in!E10=0,0,SER_hh_tesh_in!E10/SER_summary!E$27)</f>
        <v>1.8610293244865717</v>
      </c>
      <c r="F10" s="133">
        <f>IF(SER_hh_tesh_in!F10=0,0,SER_hh_tesh_in!F10/SER_summary!F$27)</f>
        <v>134.5176146951911</v>
      </c>
      <c r="G10" s="133">
        <f>IF(SER_hh_tesh_in!G10=0,0,SER_hh_tesh_in!G10/SER_summary!G$27)</f>
        <v>117.21752045147768</v>
      </c>
      <c r="H10" s="133">
        <f>IF(SER_hh_tesh_in!H10=0,0,SER_hh_tesh_in!H10/SER_summary!H$27)</f>
        <v>104.00688641457862</v>
      </c>
      <c r="I10" s="133">
        <f>IF(SER_hh_tesh_in!I10=0,0,SER_hh_tesh_in!I10/SER_summary!I$27)</f>
        <v>0</v>
      </c>
      <c r="J10" s="133">
        <f>IF(SER_hh_tesh_in!J10=0,0,SER_hh_tesh_in!J10/SER_summary!J$27)</f>
        <v>0</v>
      </c>
      <c r="K10" s="133">
        <f>IF(SER_hh_tesh_in!K10=0,0,SER_hh_tesh_in!K10/SER_summary!K$27)</f>
        <v>25.333757347681473</v>
      </c>
      <c r="L10" s="133">
        <f>IF(SER_hh_tesh_in!L10=0,0,SER_hh_tesh_in!L10/SER_summary!L$27)</f>
        <v>86.050940712738836</v>
      </c>
      <c r="M10" s="133">
        <f>IF(SER_hh_tesh_in!M10=0,0,SER_hh_tesh_in!M10/SER_summary!M$27)</f>
        <v>53.566353110895967</v>
      </c>
      <c r="N10" s="133">
        <f>IF(SER_hh_tesh_in!N10=0,0,SER_hh_tesh_in!N10/SER_summary!N$27)</f>
        <v>68.351331549649942</v>
      </c>
      <c r="O10" s="133">
        <f>IF(SER_hh_tesh_in!O10=0,0,SER_hh_tesh_in!O10/SER_summary!O$27)</f>
        <v>87.411625986793354</v>
      </c>
      <c r="P10" s="133">
        <f>IF(SER_hh_tesh_in!P10=0,0,SER_hh_tesh_in!P10/SER_summary!P$27)</f>
        <v>72.392060640145829</v>
      </c>
      <c r="Q10" s="133">
        <f>IF(SER_hh_tesh_in!Q10=0,0,SER_hh_tesh_in!Q10/SER_summary!Q$27)</f>
        <v>72.804932937475272</v>
      </c>
      <c r="R10" s="133">
        <f>IF(SER_hh_tesh_in!R10=0,0,SER_hh_tesh_in!R10/SER_summary!R$27)</f>
        <v>68.180623817480367</v>
      </c>
      <c r="S10" s="133">
        <f>IF(SER_hh_tesh_in!S10=0,0,SER_hh_tesh_in!S10/SER_summary!S$27)</f>
        <v>63.273595283793298</v>
      </c>
      <c r="T10" s="133">
        <f>IF(SER_hh_tesh_in!T10=0,0,SER_hh_tesh_in!T10/SER_summary!T$27)</f>
        <v>59.787003791052541</v>
      </c>
      <c r="U10" s="133">
        <f>IF(SER_hh_tesh_in!U10=0,0,SER_hh_tesh_in!U10/SER_summary!U$27)</f>
        <v>58.638197119504646</v>
      </c>
      <c r="V10" s="133">
        <f>IF(SER_hh_tesh_in!V10=0,0,SER_hh_tesh_in!V10/SER_summary!V$27)</f>
        <v>53.209293277935252</v>
      </c>
      <c r="W10" s="133">
        <f>IF(SER_hh_tesh_in!W10=0,0,SER_hh_tesh_in!W10/SER_summary!W$27)</f>
        <v>45.087843124218374</v>
      </c>
      <c r="DA10" s="157" t="s">
        <v>854</v>
      </c>
    </row>
    <row r="11" spans="1:105" ht="12" customHeight="1" x14ac:dyDescent="0.25">
      <c r="A11" s="132" t="s">
        <v>25</v>
      </c>
      <c r="B11" s="133"/>
      <c r="C11" s="133">
        <f>IF(SER_hh_tesh_in!C11=0,0,SER_hh_tesh_in!C11/SER_summary!C$27)</f>
        <v>0</v>
      </c>
      <c r="D11" s="133">
        <f>IF(SER_hh_tesh_in!D11=0,0,SER_hh_tesh_in!D11/SER_summary!D$27)</f>
        <v>0</v>
      </c>
      <c r="E11" s="133">
        <f>IF(SER_hh_tesh_in!E11=0,0,SER_hh_tesh_in!E11/SER_summary!E$27)</f>
        <v>0</v>
      </c>
      <c r="F11" s="133">
        <f>IF(SER_hh_tesh_in!F11=0,0,SER_hh_tesh_in!F11/SER_summary!F$27)</f>
        <v>0</v>
      </c>
      <c r="G11" s="133">
        <f>IF(SER_hh_tesh_in!G11=0,0,SER_hh_tesh_in!G11/SER_summary!G$27)</f>
        <v>0</v>
      </c>
      <c r="H11" s="133">
        <f>IF(SER_hh_tesh_in!H11=0,0,SER_hh_tesh_in!H11/SER_summary!H$27)</f>
        <v>0</v>
      </c>
      <c r="I11" s="133">
        <f>IF(SER_hh_tesh_in!I11=0,0,SER_hh_tesh_in!I11/SER_summary!I$27)</f>
        <v>0</v>
      </c>
      <c r="J11" s="133">
        <f>IF(SER_hh_tesh_in!J11=0,0,SER_hh_tesh_in!J11/SER_summary!J$27)</f>
        <v>0</v>
      </c>
      <c r="K11" s="133">
        <f>IF(SER_hh_tesh_in!K11=0,0,SER_hh_tesh_in!K11/SER_summary!K$27)</f>
        <v>0</v>
      </c>
      <c r="L11" s="133">
        <f>IF(SER_hh_tesh_in!L11=0,0,SER_hh_tesh_in!L11/SER_summary!L$27)</f>
        <v>0</v>
      </c>
      <c r="M11" s="133">
        <f>IF(SER_hh_tesh_in!M11=0,0,SER_hh_tesh_in!M11/SER_summary!M$27)</f>
        <v>0</v>
      </c>
      <c r="N11" s="133">
        <f>IF(SER_hh_tesh_in!N11=0,0,SER_hh_tesh_in!N11/SER_summary!N$27)</f>
        <v>0</v>
      </c>
      <c r="O11" s="133">
        <f>IF(SER_hh_tesh_in!O11=0,0,SER_hh_tesh_in!O11/SER_summary!O$27)</f>
        <v>0</v>
      </c>
      <c r="P11" s="133">
        <f>IF(SER_hh_tesh_in!P11=0,0,SER_hh_tesh_in!P11/SER_summary!P$27)</f>
        <v>0</v>
      </c>
      <c r="Q11" s="133">
        <f>IF(SER_hh_tesh_in!Q11=0,0,SER_hh_tesh_in!Q11/SER_summary!Q$27)</f>
        <v>0</v>
      </c>
      <c r="R11" s="133">
        <f>IF(SER_hh_tesh_in!R11=0,0,SER_hh_tesh_in!R11/SER_summary!R$27)</f>
        <v>0</v>
      </c>
      <c r="S11" s="133">
        <f>IF(SER_hh_tesh_in!S11=0,0,SER_hh_tesh_in!S11/SER_summary!S$27)</f>
        <v>0</v>
      </c>
      <c r="T11" s="133">
        <f>IF(SER_hh_tesh_in!T11=0,0,SER_hh_tesh_in!T11/SER_summary!T$27)</f>
        <v>0</v>
      </c>
      <c r="U11" s="133">
        <f>IF(SER_hh_tesh_in!U11=0,0,SER_hh_tesh_in!U11/SER_summary!U$27)</f>
        <v>0</v>
      </c>
      <c r="V11" s="133">
        <f>IF(SER_hh_tesh_in!V11=0,0,SER_hh_tesh_in!V11/SER_summary!V$27)</f>
        <v>0</v>
      </c>
      <c r="W11" s="133">
        <f>IF(SER_hh_tesh_in!W11=0,0,SER_hh_tesh_in!W11/SER_summary!W$27)</f>
        <v>0</v>
      </c>
      <c r="DA11" s="157" t="s">
        <v>855</v>
      </c>
    </row>
    <row r="12" spans="1:105" ht="12" customHeight="1" x14ac:dyDescent="0.25">
      <c r="A12" s="132" t="s">
        <v>169</v>
      </c>
      <c r="B12" s="133"/>
      <c r="C12" s="133">
        <f>IF(SER_hh_tesh_in!C12=0,0,SER_hh_tesh_in!C12/SER_summary!C$27)</f>
        <v>83.195108542346247</v>
      </c>
      <c r="D12" s="133">
        <f>IF(SER_hh_tesh_in!D12=0,0,SER_hh_tesh_in!D12/SER_summary!D$27)</f>
        <v>83.659421975407056</v>
      </c>
      <c r="E12" s="133">
        <f>IF(SER_hh_tesh_in!E12=0,0,SER_hh_tesh_in!E12/SER_summary!E$27)</f>
        <v>85.287930219081204</v>
      </c>
      <c r="F12" s="133">
        <f>IF(SER_hh_tesh_in!F12=0,0,SER_hh_tesh_in!F12/SER_summary!F$27)</f>
        <v>101.23253450133204</v>
      </c>
      <c r="G12" s="133">
        <f>IF(SER_hh_tesh_in!G12=0,0,SER_hh_tesh_in!G12/SER_summary!G$27)</f>
        <v>91.556085199006972</v>
      </c>
      <c r="H12" s="133">
        <f>IF(SER_hh_tesh_in!H12=0,0,SER_hh_tesh_in!H12/SER_summary!H$27)</f>
        <v>103.02171412377442</v>
      </c>
      <c r="I12" s="133">
        <f>IF(SER_hh_tesh_in!I12=0,0,SER_hh_tesh_in!I12/SER_summary!I$27)</f>
        <v>111.3090274658821</v>
      </c>
      <c r="J12" s="133">
        <f>IF(SER_hh_tesh_in!J12=0,0,SER_hh_tesh_in!J12/SER_summary!J$27)</f>
        <v>0</v>
      </c>
      <c r="K12" s="133">
        <f>IF(SER_hh_tesh_in!K12=0,0,SER_hh_tesh_in!K12/SER_summary!K$27)</f>
        <v>0</v>
      </c>
      <c r="L12" s="133">
        <f>IF(SER_hh_tesh_in!L12=0,0,SER_hh_tesh_in!L12/SER_summary!L$27)</f>
        <v>98.135780103380242</v>
      </c>
      <c r="M12" s="133">
        <f>IF(SER_hh_tesh_in!M12=0,0,SER_hh_tesh_in!M12/SER_summary!M$27)</f>
        <v>80.772343939955562</v>
      </c>
      <c r="N12" s="133">
        <f>IF(SER_hh_tesh_in!N12=0,0,SER_hh_tesh_in!N12/SER_summary!N$27)</f>
        <v>75.086374965951563</v>
      </c>
      <c r="O12" s="133">
        <f>IF(SER_hh_tesh_in!O12=0,0,SER_hh_tesh_in!O12/SER_summary!O$27)</f>
        <v>63.05930414200656</v>
      </c>
      <c r="P12" s="133">
        <f>IF(SER_hh_tesh_in!P12=0,0,SER_hh_tesh_in!P12/SER_summary!P$27)</f>
        <v>75.190935822709207</v>
      </c>
      <c r="Q12" s="133">
        <f>IF(SER_hh_tesh_in!Q12=0,0,SER_hh_tesh_in!Q12/SER_summary!Q$27)</f>
        <v>76.725967528027269</v>
      </c>
      <c r="R12" s="133">
        <f>IF(SER_hh_tesh_in!R12=0,0,SER_hh_tesh_in!R12/SER_summary!R$27)</f>
        <v>67.352286680552211</v>
      </c>
      <c r="S12" s="133">
        <f>IF(SER_hh_tesh_in!S12=0,0,SER_hh_tesh_in!S12/SER_summary!S$27)</f>
        <v>59.728534457546331</v>
      </c>
      <c r="T12" s="133">
        <f>IF(SER_hh_tesh_in!T12=0,0,SER_hh_tesh_in!T12/SER_summary!T$27)</f>
        <v>60.256825636347365</v>
      </c>
      <c r="U12" s="133">
        <f>IF(SER_hh_tesh_in!U12=0,0,SER_hh_tesh_in!U12/SER_summary!U$27)</f>
        <v>54.22963782645796</v>
      </c>
      <c r="V12" s="133">
        <f>IF(SER_hh_tesh_in!V12=0,0,SER_hh_tesh_in!V12/SER_summary!V$27)</f>
        <v>54.08264747842172</v>
      </c>
      <c r="W12" s="133">
        <f>IF(SER_hh_tesh_in!W12=0,0,SER_hh_tesh_in!W12/SER_summary!W$27)</f>
        <v>49.215024561023959</v>
      </c>
      <c r="DA12" s="157" t="s">
        <v>856</v>
      </c>
    </row>
    <row r="13" spans="1:105" ht="12" customHeight="1" x14ac:dyDescent="0.25">
      <c r="A13" s="132" t="s">
        <v>77</v>
      </c>
      <c r="B13" s="133"/>
      <c r="C13" s="133">
        <f>IF(SER_hh_tesh_in!C13=0,0,SER_hh_tesh_in!C13/SER_summary!C$27)</f>
        <v>89.557209798583131</v>
      </c>
      <c r="D13" s="133">
        <f>IF(SER_hh_tesh_in!D13=0,0,SER_hh_tesh_in!D13/SER_summary!D$27)</f>
        <v>85.279551149563986</v>
      </c>
      <c r="E13" s="133">
        <f>IF(SER_hh_tesh_in!E13=0,0,SER_hh_tesh_in!E13/SER_summary!E$27)</f>
        <v>76.385645702529317</v>
      </c>
      <c r="F13" s="133">
        <f>IF(SER_hh_tesh_in!F13=0,0,SER_hh_tesh_in!F13/SER_summary!F$27)</f>
        <v>38.518049843021657</v>
      </c>
      <c r="G13" s="133">
        <f>IF(SER_hh_tesh_in!G13=0,0,SER_hh_tesh_in!G13/SER_summary!G$27)</f>
        <v>28.84240237945582</v>
      </c>
      <c r="H13" s="133">
        <f>IF(SER_hh_tesh_in!H13=0,0,SER_hh_tesh_in!H13/SER_summary!H$27)</f>
        <v>102.78031162551662</v>
      </c>
      <c r="I13" s="133">
        <f>IF(SER_hh_tesh_in!I13=0,0,SER_hh_tesh_in!I13/SER_summary!I$27)</f>
        <v>95.700085904029478</v>
      </c>
      <c r="J13" s="133">
        <f>IF(SER_hh_tesh_in!J13=0,0,SER_hh_tesh_in!J13/SER_summary!J$27)</f>
        <v>96.858335591875033</v>
      </c>
      <c r="K13" s="133">
        <f>IF(SER_hh_tesh_in!K13=0,0,SER_hh_tesh_in!K13/SER_summary!K$27)</f>
        <v>96.113767067101477</v>
      </c>
      <c r="L13" s="133">
        <f>IF(SER_hh_tesh_in!L13=0,0,SER_hh_tesh_in!L13/SER_summary!L$27)</f>
        <v>87.75242004026714</v>
      </c>
      <c r="M13" s="133">
        <f>IF(SER_hh_tesh_in!M13=0,0,SER_hh_tesh_in!M13/SER_summary!M$27)</f>
        <v>80.157325346319439</v>
      </c>
      <c r="N13" s="133">
        <f>IF(SER_hh_tesh_in!N13=0,0,SER_hh_tesh_in!N13/SER_summary!N$27)</f>
        <v>79.32884152507232</v>
      </c>
      <c r="O13" s="133">
        <f>IF(SER_hh_tesh_in!O13=0,0,SER_hh_tesh_in!O13/SER_summary!O$27)</f>
        <v>83.075245021966381</v>
      </c>
      <c r="P13" s="133">
        <f>IF(SER_hh_tesh_in!P13=0,0,SER_hh_tesh_in!P13/SER_summary!P$27)</f>
        <v>68.277464197364907</v>
      </c>
      <c r="Q13" s="133">
        <f>IF(SER_hh_tesh_in!Q13=0,0,SER_hh_tesh_in!Q13/SER_summary!Q$27)</f>
        <v>64.695267175627237</v>
      </c>
      <c r="R13" s="133">
        <f>IF(SER_hh_tesh_in!R13=0,0,SER_hh_tesh_in!R13/SER_summary!R$27)</f>
        <v>57.863864009380826</v>
      </c>
      <c r="S13" s="133">
        <f>IF(SER_hh_tesh_in!S13=0,0,SER_hh_tesh_in!S13/SER_summary!S$27)</f>
        <v>41.90761851893231</v>
      </c>
      <c r="T13" s="133">
        <f>IF(SER_hh_tesh_in!T13=0,0,SER_hh_tesh_in!T13/SER_summary!T$27)</f>
        <v>61.198969764457566</v>
      </c>
      <c r="U13" s="133">
        <f>IF(SER_hh_tesh_in!U13=0,0,SER_hh_tesh_in!U13/SER_summary!U$27)</f>
        <v>56.801720648571525</v>
      </c>
      <c r="V13" s="133">
        <f>IF(SER_hh_tesh_in!V13=0,0,SER_hh_tesh_in!V13/SER_summary!V$27)</f>
        <v>47.809292538344302</v>
      </c>
      <c r="W13" s="133">
        <f>IF(SER_hh_tesh_in!W13=0,0,SER_hh_tesh_in!W13/SER_summary!W$27)</f>
        <v>57.654687813585284</v>
      </c>
      <c r="DA13" s="157" t="s">
        <v>857</v>
      </c>
    </row>
    <row r="14" spans="1:105" ht="12" customHeight="1" x14ac:dyDescent="0.25">
      <c r="A14" s="60" t="s">
        <v>76</v>
      </c>
      <c r="B14" s="65"/>
      <c r="C14" s="65">
        <f>IF(SER_hh_tesh_in!C14=0,0,SER_hh_tesh_in!C14/SER_summary!C$27)</f>
        <v>98.309964459126022</v>
      </c>
      <c r="D14" s="65">
        <f>IF(SER_hh_tesh_in!D14=0,0,SER_hh_tesh_in!D14/SER_summary!D$27)</f>
        <v>25.522656939320498</v>
      </c>
      <c r="E14" s="65">
        <f>IF(SER_hh_tesh_in!E14=0,0,SER_hh_tesh_in!E14/SER_summary!E$27)</f>
        <v>3.5174739293497135</v>
      </c>
      <c r="F14" s="65">
        <f>IF(SER_hh_tesh_in!F14=0,0,SER_hh_tesh_in!F14/SER_summary!F$27)</f>
        <v>150.26711199279754</v>
      </c>
      <c r="G14" s="65">
        <f>IF(SER_hh_tesh_in!G14=0,0,SER_hh_tesh_in!G14/SER_summary!G$27)</f>
        <v>117.88228189719464</v>
      </c>
      <c r="H14" s="65">
        <f>IF(SER_hh_tesh_in!H14=0,0,SER_hh_tesh_in!H14/SER_summary!H$27)</f>
        <v>95.544308557918384</v>
      </c>
      <c r="I14" s="65">
        <f>IF(SER_hh_tesh_in!I14=0,0,SER_hh_tesh_in!I14/SER_summary!I$27)</f>
        <v>90.086324304176969</v>
      </c>
      <c r="J14" s="65">
        <f>IF(SER_hh_tesh_in!J14=0,0,SER_hh_tesh_in!J14/SER_summary!J$27)</f>
        <v>0</v>
      </c>
      <c r="K14" s="65">
        <f>IF(SER_hh_tesh_in!K14=0,0,SER_hh_tesh_in!K14/SER_summary!K$27)</f>
        <v>0</v>
      </c>
      <c r="L14" s="65">
        <f>IF(SER_hh_tesh_in!L14=0,0,SER_hh_tesh_in!L14/SER_summary!L$27)</f>
        <v>0</v>
      </c>
      <c r="M14" s="65">
        <f>IF(SER_hh_tesh_in!M14=0,0,SER_hh_tesh_in!M14/SER_summary!M$27)</f>
        <v>0</v>
      </c>
      <c r="N14" s="65">
        <f>IF(SER_hh_tesh_in!N14=0,0,SER_hh_tesh_in!N14/SER_summary!N$27)</f>
        <v>0</v>
      </c>
      <c r="O14" s="65">
        <f>IF(SER_hh_tesh_in!O14=0,0,SER_hh_tesh_in!O14/SER_summary!O$27)</f>
        <v>0</v>
      </c>
      <c r="P14" s="65">
        <f>IF(SER_hh_tesh_in!P14=0,0,SER_hh_tesh_in!P14/SER_summary!P$27)</f>
        <v>0</v>
      </c>
      <c r="Q14" s="65">
        <f>IF(SER_hh_tesh_in!Q14=0,0,SER_hh_tesh_in!Q14/SER_summary!Q$27)</f>
        <v>0</v>
      </c>
      <c r="R14" s="65">
        <f>IF(SER_hh_tesh_in!R14=0,0,SER_hh_tesh_in!R14/SER_summary!R$27)</f>
        <v>63.953588947341956</v>
      </c>
      <c r="S14" s="65">
        <f>IF(SER_hh_tesh_in!S14=0,0,SER_hh_tesh_in!S14/SER_summary!S$27)</f>
        <v>61.53939323355354</v>
      </c>
      <c r="T14" s="65">
        <f>IF(SER_hh_tesh_in!T14=0,0,SER_hh_tesh_in!T14/SER_summary!T$27)</f>
        <v>58.933745318481058</v>
      </c>
      <c r="U14" s="65">
        <f>IF(SER_hh_tesh_in!U14=0,0,SER_hh_tesh_in!U14/SER_summary!U$27)</f>
        <v>61.089630184050456</v>
      </c>
      <c r="V14" s="65">
        <f>IF(SER_hh_tesh_in!V14=0,0,SER_hh_tesh_in!V14/SER_summary!V$27)</f>
        <v>52.58024852776051</v>
      </c>
      <c r="W14" s="65">
        <f>IF(SER_hh_tesh_in!W14=0,0,SER_hh_tesh_in!W14/SER_summary!W$27)</f>
        <v>50.023459055503984</v>
      </c>
      <c r="DA14" s="109" t="s">
        <v>858</v>
      </c>
    </row>
    <row r="15" spans="1:105" ht="12" customHeight="1" x14ac:dyDescent="0.25">
      <c r="A15" s="134" t="s">
        <v>80</v>
      </c>
      <c r="B15" s="135"/>
      <c r="C15" s="135">
        <f>IF(SER_hh_tesh_in!C15=0,0,SER_hh_tesh_in!C15/SER_summary!C$27)</f>
        <v>1.523924804086797</v>
      </c>
      <c r="D15" s="135">
        <f>IF(SER_hh_tesh_in!D15=0,0,SER_hh_tesh_in!D15/SER_summary!D$27)</f>
        <v>1.6566244111977482</v>
      </c>
      <c r="E15" s="135">
        <f>IF(SER_hh_tesh_in!E15=0,0,SER_hh_tesh_in!E15/SER_summary!E$27)</f>
        <v>1.784142162027091</v>
      </c>
      <c r="F15" s="135">
        <f>IF(SER_hh_tesh_in!F15=0,0,SER_hh_tesh_in!F15/SER_summary!F$27)</f>
        <v>1.8562311606834103</v>
      </c>
      <c r="G15" s="135">
        <f>IF(SER_hh_tesh_in!G15=0,0,SER_hh_tesh_in!G15/SER_summary!G$27)</f>
        <v>1.6717923108700568</v>
      </c>
      <c r="H15" s="135">
        <f>IF(SER_hh_tesh_in!H15=0,0,SER_hh_tesh_in!H15/SER_summary!H$27)</f>
        <v>1.59660927474426</v>
      </c>
      <c r="I15" s="135">
        <f>IF(SER_hh_tesh_in!I15=0,0,SER_hh_tesh_in!I15/SER_summary!I$27)</f>
        <v>1.4375091521273589</v>
      </c>
      <c r="J15" s="135">
        <f>IF(SER_hh_tesh_in!J15=0,0,SER_hh_tesh_in!J15/SER_summary!J$27)</f>
        <v>1.6247898555872646</v>
      </c>
      <c r="K15" s="135">
        <f>IF(SER_hh_tesh_in!K15=0,0,SER_hh_tesh_in!K15/SER_summary!K$27)</f>
        <v>1.5790407942198148</v>
      </c>
      <c r="L15" s="135">
        <f>IF(SER_hh_tesh_in!L15=0,0,SER_hh_tesh_in!L15/SER_summary!L$27)</f>
        <v>1.6211137896135925</v>
      </c>
      <c r="M15" s="135">
        <f>IF(SER_hh_tesh_in!M15=0,0,SER_hh_tesh_in!M15/SER_summary!M$27)</f>
        <v>1.2011200155474948</v>
      </c>
      <c r="N15" s="135">
        <f>IF(SER_hh_tesh_in!N15=0,0,SER_hh_tesh_in!N15/SER_summary!N$27)</f>
        <v>1.2601984261072177</v>
      </c>
      <c r="O15" s="135">
        <f>IF(SER_hh_tesh_in!O15=0,0,SER_hh_tesh_in!O15/SER_summary!O$27)</f>
        <v>1.3255994783807943</v>
      </c>
      <c r="P15" s="135">
        <f>IF(SER_hh_tesh_in!P15=0,0,SER_hh_tesh_in!P15/SER_summary!P$27)</f>
        <v>0.91481423242397619</v>
      </c>
      <c r="Q15" s="135">
        <f>IF(SER_hh_tesh_in!Q15=0,0,SER_hh_tesh_in!Q15/SER_summary!Q$27)</f>
        <v>1.0799738766354685</v>
      </c>
      <c r="R15" s="135">
        <f>IF(SER_hh_tesh_in!R15=0,0,SER_hh_tesh_in!R15/SER_summary!R$27)</f>
        <v>1.0675317338834853</v>
      </c>
      <c r="S15" s="135">
        <f>IF(SER_hh_tesh_in!S15=0,0,SER_hh_tesh_in!S15/SER_summary!S$27)</f>
        <v>1.0181643655171473</v>
      </c>
      <c r="T15" s="135">
        <f>IF(SER_hh_tesh_in!T15=0,0,SER_hh_tesh_in!T15/SER_summary!T$27)</f>
        <v>0.94744316997141698</v>
      </c>
      <c r="U15" s="135">
        <f>IF(SER_hh_tesh_in!U15=0,0,SER_hh_tesh_in!U15/SER_summary!U$27)</f>
        <v>0.85868046928336061</v>
      </c>
      <c r="V15" s="135">
        <f>IF(SER_hh_tesh_in!V15=0,0,SER_hh_tesh_in!V15/SER_summary!V$27)</f>
        <v>0.74790742264613175</v>
      </c>
      <c r="W15" s="135">
        <f>IF(SER_hh_tesh_in!W15=0,0,SER_hh_tesh_in!W15/SER_summary!W$27)</f>
        <v>0.73921358241390256</v>
      </c>
      <c r="DA15" s="158" t="s">
        <v>859</v>
      </c>
    </row>
    <row r="16" spans="1:105" ht="12.95" customHeight="1" x14ac:dyDescent="0.25">
      <c r="A16" s="130" t="s">
        <v>74</v>
      </c>
      <c r="B16" s="131"/>
      <c r="C16" s="131">
        <f>IF(SER_hh_tesh_in!C16=0,0,SER_hh_tesh_in!C16/SER_summary!C$27)</f>
        <v>31.434687871802662</v>
      </c>
      <c r="D16" s="131">
        <f>IF(SER_hh_tesh_in!D16=0,0,SER_hh_tesh_in!D16/SER_summary!D$27)</f>
        <v>31.183671402044293</v>
      </c>
      <c r="E16" s="131">
        <f>IF(SER_hh_tesh_in!E16=0,0,SER_hh_tesh_in!E16/SER_summary!E$27)</f>
        <v>39.553065292487183</v>
      </c>
      <c r="F16" s="131">
        <f>IF(SER_hh_tesh_in!F16=0,0,SER_hh_tesh_in!F16/SER_summary!F$27)</f>
        <v>30.45526569867415</v>
      </c>
      <c r="G16" s="131">
        <f>IF(SER_hh_tesh_in!G16=0,0,SER_hh_tesh_in!G16/SER_summary!G$27)</f>
        <v>30.745374432214842</v>
      </c>
      <c r="H16" s="131">
        <f>IF(SER_hh_tesh_in!H16=0,0,SER_hh_tesh_in!H16/SER_summary!H$27)</f>
        <v>38.213385260318859</v>
      </c>
      <c r="I16" s="131">
        <f>IF(SER_hh_tesh_in!I16=0,0,SER_hh_tesh_in!I16/SER_summary!I$27)</f>
        <v>29.62738685886848</v>
      </c>
      <c r="J16" s="131">
        <f>IF(SER_hh_tesh_in!J16=0,0,SER_hh_tesh_in!J16/SER_summary!J$27)</f>
        <v>29.565852091489464</v>
      </c>
      <c r="K16" s="131">
        <f>IF(SER_hh_tesh_in!K16=0,0,SER_hh_tesh_in!K16/SER_summary!K$27)</f>
        <v>29.462024359330137</v>
      </c>
      <c r="L16" s="131">
        <f>IF(SER_hh_tesh_in!L16=0,0,SER_hh_tesh_in!L16/SER_summary!L$27)</f>
        <v>31.012153711507754</v>
      </c>
      <c r="M16" s="131">
        <f>IF(SER_hh_tesh_in!M16=0,0,SER_hh_tesh_in!M16/SER_summary!M$27)</f>
        <v>28.754529232214409</v>
      </c>
      <c r="N16" s="131">
        <f>IF(SER_hh_tesh_in!N16=0,0,SER_hh_tesh_in!N16/SER_summary!N$27)</f>
        <v>28.642480490677727</v>
      </c>
      <c r="O16" s="131">
        <f>IF(SER_hh_tesh_in!O16=0,0,SER_hh_tesh_in!O16/SER_summary!O$27)</f>
        <v>28.411310557868145</v>
      </c>
      <c r="P16" s="131">
        <f>IF(SER_hh_tesh_in!P16=0,0,SER_hh_tesh_in!P16/SER_summary!P$27)</f>
        <v>26.878646337999282</v>
      </c>
      <c r="Q16" s="131">
        <f>IF(SER_hh_tesh_in!Q16=0,0,SER_hh_tesh_in!Q16/SER_summary!Q$27)</f>
        <v>29.522722673872789</v>
      </c>
      <c r="R16" s="131">
        <f>IF(SER_hh_tesh_in!R16=0,0,SER_hh_tesh_in!R16/SER_summary!R$27)</f>
        <v>27.87909985172799</v>
      </c>
      <c r="S16" s="131">
        <f>IF(SER_hh_tesh_in!S16=0,0,SER_hh_tesh_in!S16/SER_summary!S$27)</f>
        <v>25.699119634164489</v>
      </c>
      <c r="T16" s="131">
        <f>IF(SER_hh_tesh_in!T16=0,0,SER_hh_tesh_in!T16/SER_summary!T$27)</f>
        <v>28.446635058868296</v>
      </c>
      <c r="U16" s="131">
        <f>IF(SER_hh_tesh_in!U16=0,0,SER_hh_tesh_in!U16/SER_summary!U$27)</f>
        <v>26.468898894886895</v>
      </c>
      <c r="V16" s="131">
        <f>IF(SER_hh_tesh_in!V16=0,0,SER_hh_tesh_in!V16/SER_summary!V$27)</f>
        <v>29.088170637318637</v>
      </c>
      <c r="W16" s="131">
        <f>IF(SER_hh_tesh_in!W16=0,0,SER_hh_tesh_in!W16/SER_summary!W$27)</f>
        <v>20.616759043967679</v>
      </c>
      <c r="DA16" s="156" t="s">
        <v>860</v>
      </c>
    </row>
    <row r="17" spans="1:105" ht="12.95" customHeight="1" x14ac:dyDescent="0.25">
      <c r="A17" s="132" t="s">
        <v>73</v>
      </c>
      <c r="B17" s="133"/>
      <c r="C17" s="133">
        <f>IF(SER_hh_tesh_in!C17=0,0,SER_hh_tesh_in!C17/SER_summary!C$27)</f>
        <v>31.438504409160164</v>
      </c>
      <c r="D17" s="133">
        <f>IF(SER_hh_tesh_in!D17=0,0,SER_hh_tesh_in!D17/SER_summary!D$27)</f>
        <v>31.20561196690662</v>
      </c>
      <c r="E17" s="133">
        <f>IF(SER_hh_tesh_in!E17=0,0,SER_hh_tesh_in!E17/SER_summary!E$27)</f>
        <v>39.465694439786631</v>
      </c>
      <c r="F17" s="133">
        <f>IF(SER_hh_tesh_in!F17=0,0,SER_hh_tesh_in!F17/SER_summary!F$27)</f>
        <v>30.590716871934006</v>
      </c>
      <c r="G17" s="133">
        <f>IF(SER_hh_tesh_in!G17=0,0,SER_hh_tesh_in!G17/SER_summary!G$27)</f>
        <v>30.867978046919518</v>
      </c>
      <c r="H17" s="133">
        <f>IF(SER_hh_tesh_in!H17=0,0,SER_hh_tesh_in!H17/SER_summary!H$27)</f>
        <v>38.287139270700727</v>
      </c>
      <c r="I17" s="133">
        <f>IF(SER_hh_tesh_in!I17=0,0,SER_hh_tesh_in!I17/SER_summary!I$27)</f>
        <v>29.741322486499545</v>
      </c>
      <c r="J17" s="133">
        <f>IF(SER_hh_tesh_in!J17=0,0,SER_hh_tesh_in!J17/SER_summary!J$27)</f>
        <v>29.672804331873841</v>
      </c>
      <c r="K17" s="133">
        <f>IF(SER_hh_tesh_in!K17=0,0,SER_hh_tesh_in!K17/SER_summary!K$27)</f>
        <v>29.502731000870146</v>
      </c>
      <c r="L17" s="133">
        <f>IF(SER_hh_tesh_in!L17=0,0,SER_hh_tesh_in!L17/SER_summary!L$27)</f>
        <v>30.985926073067734</v>
      </c>
      <c r="M17" s="133">
        <f>IF(SER_hh_tesh_in!M17=0,0,SER_hh_tesh_in!M17/SER_summary!M$27)</f>
        <v>28.735627848341242</v>
      </c>
      <c r="N17" s="133">
        <f>IF(SER_hh_tesh_in!N17=0,0,SER_hh_tesh_in!N17/SER_summary!N$27)</f>
        <v>28.619401191625567</v>
      </c>
      <c r="O17" s="133">
        <f>IF(SER_hh_tesh_in!O17=0,0,SER_hh_tesh_in!O17/SER_summary!O$27)</f>
        <v>28.395790692974476</v>
      </c>
      <c r="P17" s="133">
        <f>IF(SER_hh_tesh_in!P17=0,0,SER_hh_tesh_in!P17/SER_summary!P$27)</f>
        <v>26.949234815449785</v>
      </c>
      <c r="Q17" s="133">
        <f>IF(SER_hh_tesh_in!Q17=0,0,SER_hh_tesh_in!Q17/SER_summary!Q$27)</f>
        <v>29.628805667332013</v>
      </c>
      <c r="R17" s="133">
        <f>IF(SER_hh_tesh_in!R17=0,0,SER_hh_tesh_in!R17/SER_summary!R$27)</f>
        <v>28.016506476652349</v>
      </c>
      <c r="S17" s="133">
        <f>IF(SER_hh_tesh_in!S17=0,0,SER_hh_tesh_in!S17/SER_summary!S$27)</f>
        <v>25.794685279432628</v>
      </c>
      <c r="T17" s="133">
        <f>IF(SER_hh_tesh_in!T17=0,0,SER_hh_tesh_in!T17/SER_summary!T$27)</f>
        <v>28.624393785483285</v>
      </c>
      <c r="U17" s="133">
        <f>IF(SER_hh_tesh_in!U17=0,0,SER_hh_tesh_in!U17/SER_summary!U$27)</f>
        <v>26.684095816668034</v>
      </c>
      <c r="V17" s="133">
        <f>IF(SER_hh_tesh_in!V17=0,0,SER_hh_tesh_in!V17/SER_summary!V$27)</f>
        <v>29.202416653956405</v>
      </c>
      <c r="W17" s="133">
        <f>IF(SER_hh_tesh_in!W17=0,0,SER_hh_tesh_in!W17/SER_summary!W$27)</f>
        <v>20.87309054632161</v>
      </c>
      <c r="DA17" s="157" t="s">
        <v>861</v>
      </c>
    </row>
    <row r="18" spans="1:105" ht="12" customHeight="1" x14ac:dyDescent="0.25">
      <c r="A18" s="132" t="s">
        <v>72</v>
      </c>
      <c r="B18" s="133"/>
      <c r="C18" s="133">
        <f>IF(SER_hh_tesh_in!C18=0,0,SER_hh_tesh_in!C18/SER_summary!C$27)</f>
        <v>31.434683545661386</v>
      </c>
      <c r="D18" s="133">
        <f>IF(SER_hh_tesh_in!D18=0,0,SER_hh_tesh_in!D18/SER_summary!D$27)</f>
        <v>31.183643626580931</v>
      </c>
      <c r="E18" s="133">
        <f>IF(SER_hh_tesh_in!E18=0,0,SER_hh_tesh_in!E18/SER_summary!E$27)</f>
        <v>39.553077934462657</v>
      </c>
      <c r="F18" s="133">
        <f>IF(SER_hh_tesh_in!F18=0,0,SER_hh_tesh_in!F18/SER_summary!F$27)</f>
        <v>30.454883069387325</v>
      </c>
      <c r="G18" s="133">
        <f>IF(SER_hh_tesh_in!G18=0,0,SER_hh_tesh_in!G18/SER_summary!G$27)</f>
        <v>30.745114379725088</v>
      </c>
      <c r="H18" s="133">
        <f>IF(SER_hh_tesh_in!H18=0,0,SER_hh_tesh_in!H18/SER_summary!H$27)</f>
        <v>38.213315822511788</v>
      </c>
      <c r="I18" s="133">
        <f>IF(SER_hh_tesh_in!I18=0,0,SER_hh_tesh_in!I18/SER_summary!I$27)</f>
        <v>29.627022984581732</v>
      </c>
      <c r="J18" s="133">
        <f>IF(SER_hh_tesh_in!J18=0,0,SER_hh_tesh_in!J18/SER_summary!J$27)</f>
        <v>29.565476063024075</v>
      </c>
      <c r="K18" s="133">
        <f>IF(SER_hh_tesh_in!K18=0,0,SER_hh_tesh_in!K18/SER_summary!K$27)</f>
        <v>29.461883616989457</v>
      </c>
      <c r="L18" s="133">
        <f>IF(SER_hh_tesh_in!L18=0,0,SER_hh_tesh_in!L18/SER_summary!L$27)</f>
        <v>31.012197509300499</v>
      </c>
      <c r="M18" s="133">
        <f>IF(SER_hh_tesh_in!M18=0,0,SER_hh_tesh_in!M18/SER_summary!M$27)</f>
        <v>28.754584669222861</v>
      </c>
      <c r="N18" s="133">
        <f>IF(SER_hh_tesh_in!N18=0,0,SER_hh_tesh_in!N18/SER_summary!N$27)</f>
        <v>28.642555034034519</v>
      </c>
      <c r="O18" s="133">
        <f>IF(SER_hh_tesh_in!O18=0,0,SER_hh_tesh_in!O18/SER_summary!O$27)</f>
        <v>28.411385614711371</v>
      </c>
      <c r="P18" s="133">
        <f>IF(SER_hh_tesh_in!P18=0,0,SER_hh_tesh_in!P18/SER_summary!P$27)</f>
        <v>26.878058738347583</v>
      </c>
      <c r="Q18" s="133">
        <f>IF(SER_hh_tesh_in!Q18=0,0,SER_hh_tesh_in!Q18/SER_summary!Q$27)</f>
        <v>29.521410916613569</v>
      </c>
      <c r="R18" s="133">
        <f>IF(SER_hh_tesh_in!R18=0,0,SER_hh_tesh_in!R18/SER_summary!R$27)</f>
        <v>27.877928858476761</v>
      </c>
      <c r="S18" s="133">
        <f>IF(SER_hh_tesh_in!S18=0,0,SER_hh_tesh_in!S18/SER_summary!S$27)</f>
        <v>25.698540320094359</v>
      </c>
      <c r="T18" s="133">
        <f>IF(SER_hh_tesh_in!T18=0,0,SER_hh_tesh_in!T18/SER_summary!T$27)</f>
        <v>28.444809476083719</v>
      </c>
      <c r="U18" s="133">
        <f>IF(SER_hh_tesh_in!U18=0,0,SER_hh_tesh_in!U18/SER_summary!U$27)</f>
        <v>26.466260359229821</v>
      </c>
      <c r="V18" s="133">
        <f>IF(SER_hh_tesh_in!V18=0,0,SER_hh_tesh_in!V18/SER_summary!V$27)</f>
        <v>29.086488752628025</v>
      </c>
      <c r="W18" s="133">
        <f>IF(SER_hh_tesh_in!W18=0,0,SER_hh_tesh_in!W18/SER_summary!W$27)</f>
        <v>20.61631241515872</v>
      </c>
      <c r="DA18" s="157" t="s">
        <v>862</v>
      </c>
    </row>
    <row r="19" spans="1:105" ht="12.95" customHeight="1" x14ac:dyDescent="0.25">
      <c r="A19" s="130" t="s">
        <v>35</v>
      </c>
      <c r="B19" s="131"/>
      <c r="C19" s="131">
        <f>IF(SER_hh_tesh_in!C19=0,0,SER_hh_tesh_in!C19/SER_summary!C$27)</f>
        <v>13.961169483696079</v>
      </c>
      <c r="D19" s="131">
        <f>IF(SER_hh_tesh_in!D19=0,0,SER_hh_tesh_in!D19/SER_summary!D$27)</f>
        <v>14.00769484456589</v>
      </c>
      <c r="E19" s="131">
        <f>IF(SER_hh_tesh_in!E19=0,0,SER_hh_tesh_in!E19/SER_summary!E$27)</f>
        <v>13.997173291372816</v>
      </c>
      <c r="F19" s="131">
        <f>IF(SER_hh_tesh_in!F19=0,0,SER_hh_tesh_in!F19/SER_summary!F$27)</f>
        <v>13.699959080123634</v>
      </c>
      <c r="G19" s="131">
        <f>IF(SER_hh_tesh_in!G19=0,0,SER_hh_tesh_in!G19/SER_summary!G$27)</f>
        <v>13.628046220754163</v>
      </c>
      <c r="H19" s="131">
        <f>IF(SER_hh_tesh_in!H19=0,0,SER_hh_tesh_in!H19/SER_summary!H$27)</f>
        <v>13.55545111327938</v>
      </c>
      <c r="I19" s="131">
        <f>IF(SER_hh_tesh_in!I19=0,0,SER_hh_tesh_in!I19/SER_summary!I$27)</f>
        <v>13.393164731249433</v>
      </c>
      <c r="J19" s="131">
        <f>IF(SER_hh_tesh_in!J19=0,0,SER_hh_tesh_in!J19/SER_summary!J$27)</f>
        <v>13.359519171264548</v>
      </c>
      <c r="K19" s="131">
        <f>IF(SER_hh_tesh_in!K19=0,0,SER_hh_tesh_in!K19/SER_summary!K$27)</f>
        <v>13.568973305189338</v>
      </c>
      <c r="L19" s="131">
        <f>IF(SER_hh_tesh_in!L19=0,0,SER_hh_tesh_in!L19/SER_summary!L$27)</f>
        <v>13.46305672391958</v>
      </c>
      <c r="M19" s="131">
        <f>IF(SER_hh_tesh_in!M19=0,0,SER_hh_tesh_in!M19/SER_summary!M$27)</f>
        <v>13.502504248685021</v>
      </c>
      <c r="N19" s="131">
        <f>IF(SER_hh_tesh_in!N19=0,0,SER_hh_tesh_in!N19/SER_summary!N$27)</f>
        <v>13.701398369681982</v>
      </c>
      <c r="O19" s="131">
        <f>IF(SER_hh_tesh_in!O19=0,0,SER_hh_tesh_in!O19/SER_summary!O$27)</f>
        <v>13.86464309133115</v>
      </c>
      <c r="P19" s="131">
        <f>IF(SER_hh_tesh_in!P19=0,0,SER_hh_tesh_in!P19/SER_summary!P$27)</f>
        <v>13.894154646275149</v>
      </c>
      <c r="Q19" s="131">
        <f>IF(SER_hh_tesh_in!Q19=0,0,SER_hh_tesh_in!Q19/SER_summary!Q$27)</f>
        <v>13.889367069388721</v>
      </c>
      <c r="R19" s="131">
        <f>IF(SER_hh_tesh_in!R19=0,0,SER_hh_tesh_in!R19/SER_summary!R$27)</f>
        <v>13.820965337685992</v>
      </c>
      <c r="S19" s="131">
        <f>IF(SER_hh_tesh_in!S19=0,0,SER_hh_tesh_in!S19/SER_summary!S$27)</f>
        <v>13.787861021621019</v>
      </c>
      <c r="T19" s="131">
        <f>IF(SER_hh_tesh_in!T19=0,0,SER_hh_tesh_in!T19/SER_summary!T$27)</f>
        <v>13.667845287587834</v>
      </c>
      <c r="U19" s="131">
        <f>IF(SER_hh_tesh_in!U19=0,0,SER_hh_tesh_in!U19/SER_summary!U$27)</f>
        <v>13.528471353850072</v>
      </c>
      <c r="V19" s="131">
        <f>IF(SER_hh_tesh_in!V19=0,0,SER_hh_tesh_in!V19/SER_summary!V$27)</f>
        <v>12.83126318059216</v>
      </c>
      <c r="W19" s="131">
        <f>IF(SER_hh_tesh_in!W19=0,0,SER_hh_tesh_in!W19/SER_summary!W$27)</f>
        <v>13.42793966930148</v>
      </c>
      <c r="DA19" s="156" t="s">
        <v>863</v>
      </c>
    </row>
    <row r="20" spans="1:105" ht="12" customHeight="1" x14ac:dyDescent="0.25">
      <c r="A20" s="132" t="s">
        <v>29</v>
      </c>
      <c r="B20" s="133"/>
      <c r="C20" s="133">
        <f>IF(SER_hh_tesh_in!C20=0,0,SER_hh_tesh_in!C20/SER_summary!C$27)</f>
        <v>0</v>
      </c>
      <c r="D20" s="133">
        <f>IF(SER_hh_tesh_in!D20=0,0,SER_hh_tesh_in!D20/SER_summary!D$27)</f>
        <v>0</v>
      </c>
      <c r="E20" s="133">
        <f>IF(SER_hh_tesh_in!E20=0,0,SER_hh_tesh_in!E20/SER_summary!E$27)</f>
        <v>0</v>
      </c>
      <c r="F20" s="133">
        <f>IF(SER_hh_tesh_in!F20=0,0,SER_hh_tesh_in!F20/SER_summary!F$27)</f>
        <v>0</v>
      </c>
      <c r="G20" s="133">
        <f>IF(SER_hh_tesh_in!G20=0,0,SER_hh_tesh_in!G20/SER_summary!G$27)</f>
        <v>0</v>
      </c>
      <c r="H20" s="133">
        <f>IF(SER_hh_tesh_in!H20=0,0,SER_hh_tesh_in!H20/SER_summary!H$27)</f>
        <v>0</v>
      </c>
      <c r="I20" s="133">
        <f>IF(SER_hh_tesh_in!I20=0,0,SER_hh_tesh_in!I20/SER_summary!I$27)</f>
        <v>0</v>
      </c>
      <c r="J20" s="133">
        <f>IF(SER_hh_tesh_in!J20=0,0,SER_hh_tesh_in!J20/SER_summary!J$27)</f>
        <v>0</v>
      </c>
      <c r="K20" s="133">
        <f>IF(SER_hh_tesh_in!K20=0,0,SER_hh_tesh_in!K20/SER_summary!K$27)</f>
        <v>0</v>
      </c>
      <c r="L20" s="133">
        <f>IF(SER_hh_tesh_in!L20=0,0,SER_hh_tesh_in!L20/SER_summary!L$27)</f>
        <v>0</v>
      </c>
      <c r="M20" s="133">
        <f>IF(SER_hh_tesh_in!M20=0,0,SER_hh_tesh_in!M20/SER_summary!M$27)</f>
        <v>0</v>
      </c>
      <c r="N20" s="133">
        <f>IF(SER_hh_tesh_in!N20=0,0,SER_hh_tesh_in!N20/SER_summary!N$27)</f>
        <v>0</v>
      </c>
      <c r="O20" s="133">
        <f>IF(SER_hh_tesh_in!O20=0,0,SER_hh_tesh_in!O20/SER_summary!O$27)</f>
        <v>0</v>
      </c>
      <c r="P20" s="133">
        <f>IF(SER_hh_tesh_in!P20=0,0,SER_hh_tesh_in!P20/SER_summary!P$27)</f>
        <v>0</v>
      </c>
      <c r="Q20" s="133">
        <f>IF(SER_hh_tesh_in!Q20=0,0,SER_hh_tesh_in!Q20/SER_summary!Q$27)</f>
        <v>0</v>
      </c>
      <c r="R20" s="133">
        <f>IF(SER_hh_tesh_in!R20=0,0,SER_hh_tesh_in!R20/SER_summary!R$27)</f>
        <v>0</v>
      </c>
      <c r="S20" s="133">
        <f>IF(SER_hh_tesh_in!S20=0,0,SER_hh_tesh_in!S20/SER_summary!S$27)</f>
        <v>0</v>
      </c>
      <c r="T20" s="133">
        <f>IF(SER_hh_tesh_in!T20=0,0,SER_hh_tesh_in!T20/SER_summary!T$27)</f>
        <v>0</v>
      </c>
      <c r="U20" s="133">
        <f>IF(SER_hh_tesh_in!U20=0,0,SER_hh_tesh_in!U20/SER_summary!U$27)</f>
        <v>0</v>
      </c>
      <c r="V20" s="133">
        <f>IF(SER_hh_tesh_in!V20=0,0,SER_hh_tesh_in!V20/SER_summary!V$27)</f>
        <v>0</v>
      </c>
      <c r="W20" s="133">
        <f>IF(SER_hh_tesh_in!W20=0,0,SER_hh_tesh_in!W20/SER_summary!W$27)</f>
        <v>0</v>
      </c>
      <c r="DA20" s="157" t="s">
        <v>864</v>
      </c>
    </row>
    <row r="21" spans="1:105" s="2" customFormat="1" ht="12" customHeight="1" x14ac:dyDescent="0.25">
      <c r="A21" s="132" t="s">
        <v>52</v>
      </c>
      <c r="B21" s="133"/>
      <c r="C21" s="133">
        <f>IF(SER_hh_tesh_in!C21=0,0,SER_hh_tesh_in!C21/SER_summary!C$27)</f>
        <v>14.051182101677918</v>
      </c>
      <c r="D21" s="133">
        <f>IF(SER_hh_tesh_in!D21=0,0,SER_hh_tesh_in!D21/SER_summary!D$27)</f>
        <v>14.097548889287348</v>
      </c>
      <c r="E21" s="133">
        <f>IF(SER_hh_tesh_in!E21=0,0,SER_hh_tesh_in!E21/SER_summary!E$27)</f>
        <v>13.980836969023276</v>
      </c>
      <c r="F21" s="133">
        <f>IF(SER_hh_tesh_in!F21=0,0,SER_hh_tesh_in!F21/SER_summary!F$27)</f>
        <v>0</v>
      </c>
      <c r="G21" s="133">
        <f>IF(SER_hh_tesh_in!G21=0,0,SER_hh_tesh_in!G21/SER_summary!G$27)</f>
        <v>0</v>
      </c>
      <c r="H21" s="133">
        <f>IF(SER_hh_tesh_in!H21=0,0,SER_hh_tesh_in!H21/SER_summary!H$27)</f>
        <v>0</v>
      </c>
      <c r="I21" s="133">
        <f>IF(SER_hh_tesh_in!I21=0,0,SER_hh_tesh_in!I21/SER_summary!I$27)</f>
        <v>0</v>
      </c>
      <c r="J21" s="133">
        <f>IF(SER_hh_tesh_in!J21=0,0,SER_hh_tesh_in!J21/SER_summary!J$27)</f>
        <v>0</v>
      </c>
      <c r="K21" s="133">
        <f>IF(SER_hh_tesh_in!K21=0,0,SER_hh_tesh_in!K21/SER_summary!K$27)</f>
        <v>0</v>
      </c>
      <c r="L21" s="133">
        <f>IF(SER_hh_tesh_in!L21=0,0,SER_hh_tesh_in!L21/SER_summary!L$27)</f>
        <v>12.060982815952539</v>
      </c>
      <c r="M21" s="133">
        <f>IF(SER_hh_tesh_in!M21=0,0,SER_hh_tesh_in!M21/SER_summary!M$27)</f>
        <v>12.762849520819051</v>
      </c>
      <c r="N21" s="133">
        <f>IF(SER_hh_tesh_in!N21=0,0,SER_hh_tesh_in!N21/SER_summary!N$27)</f>
        <v>14.056657387811866</v>
      </c>
      <c r="O21" s="133">
        <f>IF(SER_hh_tesh_in!O21=0,0,SER_hh_tesh_in!O21/SER_summary!O$27)</f>
        <v>14.227899757561683</v>
      </c>
      <c r="P21" s="133">
        <f>IF(SER_hh_tesh_in!P21=0,0,SER_hh_tesh_in!P21/SER_summary!P$27)</f>
        <v>13.071677325242693</v>
      </c>
      <c r="Q21" s="133">
        <f>IF(SER_hh_tesh_in!Q21=0,0,SER_hh_tesh_in!Q21/SER_summary!Q$27)</f>
        <v>13.502755540006813</v>
      </c>
      <c r="R21" s="133">
        <f>IF(SER_hh_tesh_in!R21=0,0,SER_hh_tesh_in!R21/SER_summary!R$27)</f>
        <v>13.145568368048245</v>
      </c>
      <c r="S21" s="133">
        <f>IF(SER_hh_tesh_in!S21=0,0,SER_hh_tesh_in!S21/SER_summary!S$27)</f>
        <v>13.77993805579912</v>
      </c>
      <c r="T21" s="133">
        <f>IF(SER_hh_tesh_in!T21=0,0,SER_hh_tesh_in!T21/SER_summary!T$27)</f>
        <v>13.895924051775841</v>
      </c>
      <c r="U21" s="133">
        <f>IF(SER_hh_tesh_in!U21=0,0,SER_hh_tesh_in!U21/SER_summary!U$27)</f>
        <v>13.992184587824941</v>
      </c>
      <c r="V21" s="133">
        <f>IF(SER_hh_tesh_in!V21=0,0,SER_hh_tesh_in!V21/SER_summary!V$27)</f>
        <v>12.235221197707041</v>
      </c>
      <c r="W21" s="133">
        <f>IF(SER_hh_tesh_in!W21=0,0,SER_hh_tesh_in!W21/SER_summary!W$27)</f>
        <v>13.703578974028032</v>
      </c>
      <c r="DA21" s="157" t="s">
        <v>865</v>
      </c>
    </row>
    <row r="22" spans="1:105" ht="12" customHeight="1" x14ac:dyDescent="0.25">
      <c r="A22" s="132" t="s">
        <v>168</v>
      </c>
      <c r="B22" s="133"/>
      <c r="C22" s="133">
        <f>IF(SER_hh_tesh_in!C22=0,0,SER_hh_tesh_in!C22/SER_summary!C$27)</f>
        <v>13.96803395690006</v>
      </c>
      <c r="D22" s="133">
        <f>IF(SER_hh_tesh_in!D22=0,0,SER_hh_tesh_in!D22/SER_summary!D$27)</f>
        <v>13.948600443474863</v>
      </c>
      <c r="E22" s="133">
        <f>IF(SER_hh_tesh_in!E22=0,0,SER_hh_tesh_in!E22/SER_summary!E$27)</f>
        <v>13.827845917726801</v>
      </c>
      <c r="F22" s="133">
        <f>IF(SER_hh_tesh_in!F22=0,0,SER_hh_tesh_in!F22/SER_summary!F$27)</f>
        <v>13.791355409985405</v>
      </c>
      <c r="G22" s="133">
        <f>IF(SER_hh_tesh_in!G22=0,0,SER_hh_tesh_in!G22/SER_summary!G$27)</f>
        <v>13.604094117966651</v>
      </c>
      <c r="H22" s="133">
        <f>IF(SER_hh_tesh_in!H22=0,0,SER_hh_tesh_in!H22/SER_summary!H$27)</f>
        <v>13.543116234004501</v>
      </c>
      <c r="I22" s="133">
        <f>IF(SER_hh_tesh_in!I22=0,0,SER_hh_tesh_in!I22/SER_summary!I$27)</f>
        <v>13.410189114526705</v>
      </c>
      <c r="J22" s="133">
        <f>IF(SER_hh_tesh_in!J22=0,0,SER_hh_tesh_in!J22/SER_summary!J$27)</f>
        <v>13.125173950984397</v>
      </c>
      <c r="K22" s="133">
        <f>IF(SER_hh_tesh_in!K22=0,0,SER_hh_tesh_in!K22/SER_summary!K$27)</f>
        <v>10.853633133731996</v>
      </c>
      <c r="L22" s="133">
        <f>IF(SER_hh_tesh_in!L22=0,0,SER_hh_tesh_in!L22/SER_summary!L$27)</f>
        <v>13.413902673160358</v>
      </c>
      <c r="M22" s="133">
        <f>IF(SER_hh_tesh_in!M22=0,0,SER_hh_tesh_in!M22/SER_summary!M$27)</f>
        <v>13.596473987572281</v>
      </c>
      <c r="N22" s="133">
        <f>IF(SER_hh_tesh_in!N22=0,0,SER_hh_tesh_in!N22/SER_summary!N$27)</f>
        <v>13.66782409782819</v>
      </c>
      <c r="O22" s="133">
        <f>IF(SER_hh_tesh_in!O22=0,0,SER_hh_tesh_in!O22/SER_summary!O$27)</f>
        <v>13.814631677005675</v>
      </c>
      <c r="P22" s="133">
        <f>IF(SER_hh_tesh_in!P22=0,0,SER_hh_tesh_in!P22/SER_summary!P$27)</f>
        <v>13.894958611804512</v>
      </c>
      <c r="Q22" s="133">
        <f>IF(SER_hh_tesh_in!Q22=0,0,SER_hh_tesh_in!Q22/SER_summary!Q$27)</f>
        <v>13.992342424828072</v>
      </c>
      <c r="R22" s="133">
        <f>IF(SER_hh_tesh_in!R22=0,0,SER_hh_tesh_in!R22/SER_summary!R$27)</f>
        <v>13.800398260687992</v>
      </c>
      <c r="S22" s="133">
        <f>IF(SER_hh_tesh_in!S22=0,0,SER_hh_tesh_in!S22/SER_summary!S$27)</f>
        <v>13.85306810777249</v>
      </c>
      <c r="T22" s="133">
        <f>IF(SER_hh_tesh_in!T22=0,0,SER_hh_tesh_in!T22/SER_summary!T$27)</f>
        <v>13.714354287270982</v>
      </c>
      <c r="U22" s="133">
        <f>IF(SER_hh_tesh_in!U22=0,0,SER_hh_tesh_in!U22/SER_summary!U$27)</f>
        <v>13.570455977500639</v>
      </c>
      <c r="V22" s="133">
        <f>IF(SER_hh_tesh_in!V22=0,0,SER_hh_tesh_in!V22/SER_summary!V$27)</f>
        <v>12.428598806147852</v>
      </c>
      <c r="W22" s="133">
        <f>IF(SER_hh_tesh_in!W22=0,0,SER_hh_tesh_in!W22/SER_summary!W$27)</f>
        <v>13.593795283143306</v>
      </c>
      <c r="DA22" s="157" t="s">
        <v>866</v>
      </c>
    </row>
    <row r="23" spans="1:105" ht="12" customHeight="1" x14ac:dyDescent="0.25">
      <c r="A23" s="132" t="s">
        <v>153</v>
      </c>
      <c r="B23" s="133"/>
      <c r="C23" s="133">
        <f>IF(SER_hh_tesh_in!C23=0,0,SER_hh_tesh_in!C23/SER_summary!C$27)</f>
        <v>14.074467860553252</v>
      </c>
      <c r="D23" s="133">
        <f>IF(SER_hh_tesh_in!D23=0,0,SER_hh_tesh_in!D23/SER_summary!D$27)</f>
        <v>13.844814459701986</v>
      </c>
      <c r="E23" s="133">
        <f>IF(SER_hh_tesh_in!E23=0,0,SER_hh_tesh_in!E23/SER_summary!E$27)</f>
        <v>13.820412239907217</v>
      </c>
      <c r="F23" s="133">
        <f>IF(SER_hh_tesh_in!F23=0,0,SER_hh_tesh_in!F23/SER_summary!F$27)</f>
        <v>13.730846280218039</v>
      </c>
      <c r="G23" s="133">
        <f>IF(SER_hh_tesh_in!G23=0,0,SER_hh_tesh_in!G23/SER_summary!G$27)</f>
        <v>13.656823841949107</v>
      </c>
      <c r="H23" s="133">
        <f>IF(SER_hh_tesh_in!H23=0,0,SER_hh_tesh_in!H23/SER_summary!H$27)</f>
        <v>13.44931842831542</v>
      </c>
      <c r="I23" s="133">
        <f>IF(SER_hh_tesh_in!I23=0,0,SER_hh_tesh_in!I23/SER_summary!I$27)</f>
        <v>13.241524025058816</v>
      </c>
      <c r="J23" s="133">
        <f>IF(SER_hh_tesh_in!J23=0,0,SER_hh_tesh_in!J23/SER_summary!J$27)</f>
        <v>13.190475269301274</v>
      </c>
      <c r="K23" s="133">
        <f>IF(SER_hh_tesh_in!K23=0,0,SER_hh_tesh_in!K23/SER_summary!K$27)</f>
        <v>10.669473730675648</v>
      </c>
      <c r="L23" s="133">
        <f>IF(SER_hh_tesh_in!L23=0,0,SER_hh_tesh_in!L23/SER_summary!L$27)</f>
        <v>13.440702027540379</v>
      </c>
      <c r="M23" s="133">
        <f>IF(SER_hh_tesh_in!M23=0,0,SER_hh_tesh_in!M23/SER_summary!M$27)</f>
        <v>13.480477888467155</v>
      </c>
      <c r="N23" s="133">
        <f>IF(SER_hh_tesh_in!N23=0,0,SER_hh_tesh_in!N23/SER_summary!N$27)</f>
        <v>13.736758350976652</v>
      </c>
      <c r="O23" s="133">
        <f>IF(SER_hh_tesh_in!O23=0,0,SER_hh_tesh_in!O23/SER_summary!O$27)</f>
        <v>13.883483833306975</v>
      </c>
      <c r="P23" s="133">
        <f>IF(SER_hh_tesh_in!P23=0,0,SER_hh_tesh_in!P23/SER_summary!P$27)</f>
        <v>13.910049788780034</v>
      </c>
      <c r="Q23" s="133">
        <f>IF(SER_hh_tesh_in!Q23=0,0,SER_hh_tesh_in!Q23/SER_summary!Q$27)</f>
        <v>13.885490347199857</v>
      </c>
      <c r="R23" s="133">
        <f>IF(SER_hh_tesh_in!R23=0,0,SER_hh_tesh_in!R23/SER_summary!R$27)</f>
        <v>13.658950411214725</v>
      </c>
      <c r="S23" s="133">
        <f>IF(SER_hh_tesh_in!S23=0,0,SER_hh_tesh_in!S23/SER_summary!S$27)</f>
        <v>13.683421889079062</v>
      </c>
      <c r="T23" s="133">
        <f>IF(SER_hh_tesh_in!T23=0,0,SER_hh_tesh_in!T23/SER_summary!T$27)</f>
        <v>13.532595076038302</v>
      </c>
      <c r="U23" s="133">
        <f>IF(SER_hh_tesh_in!U23=0,0,SER_hh_tesh_in!U23/SER_summary!U$27)</f>
        <v>13.473441838452919</v>
      </c>
      <c r="V23" s="133">
        <f>IF(SER_hh_tesh_in!V23=0,0,SER_hh_tesh_in!V23/SER_summary!V$27)</f>
        <v>12.808891730010341</v>
      </c>
      <c r="W23" s="133">
        <f>IF(SER_hh_tesh_in!W23=0,0,SER_hh_tesh_in!W23/SER_summary!W$27)</f>
        <v>13.412470161504839</v>
      </c>
      <c r="DA23" s="157" t="s">
        <v>867</v>
      </c>
    </row>
    <row r="24" spans="1:105" ht="12" customHeight="1" x14ac:dyDescent="0.25">
      <c r="A24" s="132" t="s">
        <v>128</v>
      </c>
      <c r="B24" s="133"/>
      <c r="C24" s="133">
        <f>IF(SER_hh_tesh_in!C24=0,0,SER_hh_tesh_in!C24/SER_summary!C$27)</f>
        <v>0</v>
      </c>
      <c r="D24" s="133">
        <f>IF(SER_hh_tesh_in!D24=0,0,SER_hh_tesh_in!D24/SER_summary!D$27)</f>
        <v>0</v>
      </c>
      <c r="E24" s="133">
        <f>IF(SER_hh_tesh_in!E24=0,0,SER_hh_tesh_in!E24/SER_summary!E$27)</f>
        <v>0</v>
      </c>
      <c r="F24" s="133">
        <f>IF(SER_hh_tesh_in!F24=0,0,SER_hh_tesh_in!F24/SER_summary!F$27)</f>
        <v>0</v>
      </c>
      <c r="G24" s="133">
        <f>IF(SER_hh_tesh_in!G24=0,0,SER_hh_tesh_in!G24/SER_summary!G$27)</f>
        <v>0</v>
      </c>
      <c r="H24" s="133">
        <f>IF(SER_hh_tesh_in!H24=0,0,SER_hh_tesh_in!H24/SER_summary!H$27)</f>
        <v>0</v>
      </c>
      <c r="I24" s="133">
        <f>IF(SER_hh_tesh_in!I24=0,0,SER_hh_tesh_in!I24/SER_summary!I$27)</f>
        <v>0</v>
      </c>
      <c r="J24" s="133">
        <f>IF(SER_hh_tesh_in!J24=0,0,SER_hh_tesh_in!J24/SER_summary!J$27)</f>
        <v>0</v>
      </c>
      <c r="K24" s="133">
        <f>IF(SER_hh_tesh_in!K24=0,0,SER_hh_tesh_in!K24/SER_summary!K$27)</f>
        <v>0</v>
      </c>
      <c r="L24" s="133">
        <f>IF(SER_hh_tesh_in!L24=0,0,SER_hh_tesh_in!L24/SER_summary!L$27)</f>
        <v>0</v>
      </c>
      <c r="M24" s="133">
        <f>IF(SER_hh_tesh_in!M24=0,0,SER_hh_tesh_in!M24/SER_summary!M$27)</f>
        <v>0</v>
      </c>
      <c r="N24" s="133">
        <f>IF(SER_hh_tesh_in!N24=0,0,SER_hh_tesh_in!N24/SER_summary!N$27)</f>
        <v>0</v>
      </c>
      <c r="O24" s="133">
        <f>IF(SER_hh_tesh_in!O24=0,0,SER_hh_tesh_in!O24/SER_summary!O$27)</f>
        <v>0</v>
      </c>
      <c r="P24" s="133">
        <f>IF(SER_hh_tesh_in!P24=0,0,SER_hh_tesh_in!P24/SER_summary!P$27)</f>
        <v>0</v>
      </c>
      <c r="Q24" s="133">
        <f>IF(SER_hh_tesh_in!Q24=0,0,SER_hh_tesh_in!Q24/SER_summary!Q$27)</f>
        <v>0</v>
      </c>
      <c r="R24" s="133">
        <f>IF(SER_hh_tesh_in!R24=0,0,SER_hh_tesh_in!R24/SER_summary!R$27)</f>
        <v>0</v>
      </c>
      <c r="S24" s="133">
        <f>IF(SER_hh_tesh_in!S24=0,0,SER_hh_tesh_in!S24/SER_summary!S$27)</f>
        <v>0</v>
      </c>
      <c r="T24" s="133">
        <f>IF(SER_hh_tesh_in!T24=0,0,SER_hh_tesh_in!T24/SER_summary!T$27)</f>
        <v>0</v>
      </c>
      <c r="U24" s="133">
        <f>IF(SER_hh_tesh_in!U24=0,0,SER_hh_tesh_in!U24/SER_summary!U$27)</f>
        <v>0</v>
      </c>
      <c r="V24" s="133">
        <f>IF(SER_hh_tesh_in!V24=0,0,SER_hh_tesh_in!V24/SER_summary!V$27)</f>
        <v>0</v>
      </c>
      <c r="W24" s="133">
        <f>IF(SER_hh_tesh_in!W24=0,0,SER_hh_tesh_in!W24/SER_summary!W$27)</f>
        <v>0</v>
      </c>
      <c r="DA24" s="157" t="s">
        <v>868</v>
      </c>
    </row>
    <row r="25" spans="1:105" ht="12" customHeight="1" x14ac:dyDescent="0.25">
      <c r="A25" s="132" t="s">
        <v>169</v>
      </c>
      <c r="B25" s="133"/>
      <c r="C25" s="133">
        <f>IF(SER_hh_tesh_in!C25=0,0,SER_hh_tesh_in!C25/SER_summary!C$27)</f>
        <v>13.915386327454534</v>
      </c>
      <c r="D25" s="133">
        <f>IF(SER_hh_tesh_in!D25=0,0,SER_hh_tesh_in!D25/SER_summary!D$27)</f>
        <v>13.978025750837244</v>
      </c>
      <c r="E25" s="133">
        <f>IF(SER_hh_tesh_in!E25=0,0,SER_hh_tesh_in!E25/SER_summary!E$27)</f>
        <v>13.731984959200968</v>
      </c>
      <c r="F25" s="133">
        <f>IF(SER_hh_tesh_in!F25=0,0,SER_hh_tesh_in!F25/SER_summary!F$27)</f>
        <v>13.753363048448787</v>
      </c>
      <c r="G25" s="133">
        <f>IF(SER_hh_tesh_in!G25=0,0,SER_hh_tesh_in!G25/SER_summary!G$27)</f>
        <v>13.693473944625211</v>
      </c>
      <c r="H25" s="133">
        <f>IF(SER_hh_tesh_in!H25=0,0,SER_hh_tesh_in!H25/SER_summary!H$27)</f>
        <v>13.556472257662865</v>
      </c>
      <c r="I25" s="133">
        <f>IF(SER_hh_tesh_in!I25=0,0,SER_hh_tesh_in!I25/SER_summary!I$27)</f>
        <v>13.246563993198457</v>
      </c>
      <c r="J25" s="133">
        <f>IF(SER_hh_tesh_in!J25=0,0,SER_hh_tesh_in!J25/SER_summary!J$27)</f>
        <v>13.261057302974852</v>
      </c>
      <c r="K25" s="133">
        <f>IF(SER_hh_tesh_in!K25=0,0,SER_hh_tesh_in!K25/SER_summary!K$27)</f>
        <v>11.013525070040966</v>
      </c>
      <c r="L25" s="133">
        <f>IF(SER_hh_tesh_in!L25=0,0,SER_hh_tesh_in!L25/SER_summary!L$27)</f>
        <v>13.493418006946927</v>
      </c>
      <c r="M25" s="133">
        <f>IF(SER_hh_tesh_in!M25=0,0,SER_hh_tesh_in!M25/SER_summary!M$27)</f>
        <v>13.481809526433345</v>
      </c>
      <c r="N25" s="133">
        <f>IF(SER_hh_tesh_in!N25=0,0,SER_hh_tesh_in!N25/SER_summary!N$27)</f>
        <v>13.536931191591949</v>
      </c>
      <c r="O25" s="133">
        <f>IF(SER_hh_tesh_in!O25=0,0,SER_hh_tesh_in!O25/SER_summary!O$27)</f>
        <v>13.558583268577593</v>
      </c>
      <c r="P25" s="133">
        <f>IF(SER_hh_tesh_in!P25=0,0,SER_hh_tesh_in!P25/SER_summary!P$27)</f>
        <v>13.842857080798769</v>
      </c>
      <c r="Q25" s="133">
        <f>IF(SER_hh_tesh_in!Q25=0,0,SER_hh_tesh_in!Q25/SER_summary!Q$27)</f>
        <v>14.070351399758982</v>
      </c>
      <c r="R25" s="133">
        <f>IF(SER_hh_tesh_in!R25=0,0,SER_hh_tesh_in!R25/SER_summary!R$27)</f>
        <v>13.882393369049758</v>
      </c>
      <c r="S25" s="133">
        <f>IF(SER_hh_tesh_in!S25=0,0,SER_hh_tesh_in!S25/SER_summary!S$27)</f>
        <v>13.739041069573783</v>
      </c>
      <c r="T25" s="133">
        <f>IF(SER_hh_tesh_in!T25=0,0,SER_hh_tesh_in!T25/SER_summary!T$27)</f>
        <v>13.566126711585738</v>
      </c>
      <c r="U25" s="133">
        <f>IF(SER_hh_tesh_in!U25=0,0,SER_hh_tesh_in!U25/SER_summary!U$27)</f>
        <v>13.542094878138654</v>
      </c>
      <c r="V25" s="133">
        <f>IF(SER_hh_tesh_in!V25=0,0,SER_hh_tesh_in!V25/SER_summary!V$27)</f>
        <v>12.918706865275771</v>
      </c>
      <c r="W25" s="133">
        <f>IF(SER_hh_tesh_in!W25=0,0,SER_hh_tesh_in!W25/SER_summary!W$27)</f>
        <v>13.289380296429108</v>
      </c>
      <c r="DA25" s="157" t="s">
        <v>869</v>
      </c>
    </row>
    <row r="26" spans="1:105" ht="12" customHeight="1" x14ac:dyDescent="0.25">
      <c r="A26" s="132" t="s">
        <v>24</v>
      </c>
      <c r="B26" s="65"/>
      <c r="C26" s="65">
        <f>IF(SER_hh_tesh_in!C26=0,0,SER_hh_tesh_in!C26/SER_summary!C$27)</f>
        <v>13.676552608547366</v>
      </c>
      <c r="D26" s="65">
        <f>IF(SER_hh_tesh_in!D26=0,0,SER_hh_tesh_in!D26/SER_summary!D$27)</f>
        <v>14.161934672438704</v>
      </c>
      <c r="E26" s="65">
        <f>IF(SER_hh_tesh_in!E26=0,0,SER_hh_tesh_in!E26/SER_summary!E$27)</f>
        <v>13.004970480766948</v>
      </c>
      <c r="F26" s="65">
        <f>IF(SER_hh_tesh_in!F26=0,0,SER_hh_tesh_in!F26/SER_summary!F$27)</f>
        <v>13.424477933545408</v>
      </c>
      <c r="G26" s="65">
        <f>IF(SER_hh_tesh_in!G26=0,0,SER_hh_tesh_in!G26/SER_summary!G$27)</f>
        <v>13.490507191858679</v>
      </c>
      <c r="H26" s="65">
        <f>IF(SER_hh_tesh_in!H26=0,0,SER_hh_tesh_in!H26/SER_summary!H$27)</f>
        <v>13.150718737303768</v>
      </c>
      <c r="I26" s="65">
        <f>IF(SER_hh_tesh_in!I26=0,0,SER_hh_tesh_in!I26/SER_summary!I$27)</f>
        <v>12.207557606568267</v>
      </c>
      <c r="J26" s="65">
        <f>IF(SER_hh_tesh_in!J26=0,0,SER_hh_tesh_in!J26/SER_summary!J$27)</f>
        <v>12.317895296768222</v>
      </c>
      <c r="K26" s="65">
        <f>IF(SER_hh_tesh_in!K26=0,0,SER_hh_tesh_in!K26/SER_summary!K$27)</f>
        <v>5.6012166745198542</v>
      </c>
      <c r="L26" s="65">
        <f>IF(SER_hh_tesh_in!L26=0,0,SER_hh_tesh_in!L26/SER_summary!L$27)</f>
        <v>13.546566860816046</v>
      </c>
      <c r="M26" s="65">
        <f>IF(SER_hh_tesh_in!M26=0,0,SER_hh_tesh_in!M26/SER_summary!M$27)</f>
        <v>13.011379295800186</v>
      </c>
      <c r="N26" s="65">
        <f>IF(SER_hh_tesh_in!N26=0,0,SER_hh_tesh_in!N26/SER_summary!N$27)</f>
        <v>13.043456834443884</v>
      </c>
      <c r="O26" s="65">
        <f>IF(SER_hh_tesh_in!O26=0,0,SER_hh_tesh_in!O26/SER_summary!O$27)</f>
        <v>13.859762951131987</v>
      </c>
      <c r="P26" s="65">
        <f>IF(SER_hh_tesh_in!P26=0,0,SER_hh_tesh_in!P26/SER_summary!P$27)</f>
        <v>12.585926157369023</v>
      </c>
      <c r="Q26" s="65">
        <f>IF(SER_hh_tesh_in!Q26=0,0,SER_hh_tesh_in!Q26/SER_summary!Q$27)</f>
        <v>11.303667978930145</v>
      </c>
      <c r="R26" s="65">
        <f>IF(SER_hh_tesh_in!R26=0,0,SER_hh_tesh_in!R26/SER_summary!R$27)</f>
        <v>9.3771108811425243</v>
      </c>
      <c r="S26" s="65">
        <f>IF(SER_hh_tesh_in!S26=0,0,SER_hh_tesh_in!S26/SER_summary!S$27)</f>
        <v>12.734016995174223</v>
      </c>
      <c r="T26" s="65">
        <f>IF(SER_hh_tesh_in!T26=0,0,SER_hh_tesh_in!T26/SER_summary!T$27)</f>
        <v>12.62145113727837</v>
      </c>
      <c r="U26" s="65">
        <f>IF(SER_hh_tesh_in!U26=0,0,SER_hh_tesh_in!U26/SER_summary!U$27)</f>
        <v>13.532555627975793</v>
      </c>
      <c r="V26" s="65">
        <f>IF(SER_hh_tesh_in!V26=0,0,SER_hh_tesh_in!V26/SER_summary!V$27)</f>
        <v>12.336639826097414</v>
      </c>
      <c r="W26" s="65">
        <f>IF(SER_hh_tesh_in!W26=0,0,SER_hh_tesh_in!W26/SER_summary!W$27)</f>
        <v>13.342309356872056</v>
      </c>
      <c r="DA26" s="109" t="s">
        <v>870</v>
      </c>
    </row>
    <row r="27" spans="1:105" ht="12" customHeight="1" x14ac:dyDescent="0.25">
      <c r="A27" s="145" t="s">
        <v>86</v>
      </c>
      <c r="B27" s="148"/>
      <c r="C27" s="146">
        <f>IF(SER_hh_tesh_in!C27=0,0,SER_hh_tesh_in!C27/SER_summary!C$27)</f>
        <v>0</v>
      </c>
      <c r="D27" s="146">
        <f>IF(SER_hh_tesh_in!D27=0,0,SER_hh_tesh_in!D27/SER_summary!D$27)</f>
        <v>3.2859028689051967E-2</v>
      </c>
      <c r="E27" s="146">
        <f>IF(SER_hh_tesh_in!E27=0,0,SER_hh_tesh_in!E27/SER_summary!E$27)</f>
        <v>0.36431698535162749</v>
      </c>
      <c r="F27" s="146">
        <f>IF(SER_hh_tesh_in!F27=0,0,SER_hh_tesh_in!F27/SER_summary!F$27)</f>
        <v>2.9587325549928763E-2</v>
      </c>
      <c r="G27" s="146">
        <f>IF(SER_hh_tesh_in!G27=0,0,SER_hh_tesh_in!G27/SER_summary!G$27)</f>
        <v>2.2424809409178681E-2</v>
      </c>
      <c r="H27" s="146">
        <f>IF(SER_hh_tesh_in!H27=0,0,SER_hh_tesh_in!H27/SER_summary!H$27)</f>
        <v>0.1627232019708601</v>
      </c>
      <c r="I27" s="146">
        <f>IF(SER_hh_tesh_in!I27=0,0,SER_hh_tesh_in!I27/SER_summary!I$27)</f>
        <v>0.36418441384710659</v>
      </c>
      <c r="J27" s="146">
        <f>IF(SER_hh_tesh_in!J27=0,0,SER_hh_tesh_in!J27/SER_summary!J$27)</f>
        <v>0.39878415870039402</v>
      </c>
      <c r="K27" s="146">
        <f>IF(SER_hh_tesh_in!K27=0,0,SER_hh_tesh_in!K27/SER_summary!K$27)</f>
        <v>3.9321763842569242</v>
      </c>
      <c r="L27" s="146">
        <f>IF(SER_hh_tesh_in!L27=0,0,SER_hh_tesh_in!L27/SER_summary!L$27)</f>
        <v>0</v>
      </c>
      <c r="M27" s="146">
        <f>IF(SER_hh_tesh_in!M27=0,0,SER_hh_tesh_in!M27/SER_summary!M$27)</f>
        <v>8.9985013564344782E-2</v>
      </c>
      <c r="N27" s="146">
        <f>IF(SER_hh_tesh_in!N27=0,0,SER_hh_tesh_in!N27/SER_summary!N$27)</f>
        <v>0.10602998425754698</v>
      </c>
      <c r="O27" s="146">
        <f>IF(SER_hh_tesh_in!O27=0,0,SER_hh_tesh_in!O27/SER_summary!O$27)</f>
        <v>1.5358585808594952E-15</v>
      </c>
      <c r="P27" s="146">
        <f>IF(SER_hh_tesh_in!P27=0,0,SER_hh_tesh_in!P27/SER_summary!P$27)</f>
        <v>0.34682297607064527</v>
      </c>
      <c r="Q27" s="146">
        <f>IF(SER_hh_tesh_in!Q27=0,0,SER_hh_tesh_in!Q27/SER_summary!Q$27)</f>
        <v>0.72117718661218377</v>
      </c>
      <c r="R27" s="146">
        <f>IF(SER_hh_tesh_in!R27=0,0,SER_hh_tesh_in!R27/SER_summary!R$27)</f>
        <v>1.3431836645088737</v>
      </c>
      <c r="S27" s="146">
        <f>IF(SER_hh_tesh_in!S27=0,0,SER_hh_tesh_in!S27/SER_summary!S$27)</f>
        <v>0.35122722038138371</v>
      </c>
      <c r="T27" s="146">
        <f>IF(SER_hh_tesh_in!T27=0,0,SER_hh_tesh_in!T27/SER_summary!T$27)</f>
        <v>0.38171600585487336</v>
      </c>
      <c r="U27" s="146">
        <f>IF(SER_hh_tesh_in!U27=0,0,SER_hh_tesh_in!U27/SER_summary!U$27)</f>
        <v>2.3745126724916733E-2</v>
      </c>
      <c r="V27" s="146">
        <f>IF(SER_hh_tesh_in!V27=0,0,SER_hh_tesh_in!V27/SER_summary!V$27)</f>
        <v>0.18362379802309245</v>
      </c>
      <c r="W27" s="146">
        <f>IF(SER_hh_tesh_in!W27=0,0,SER_hh_tesh_in!W27/SER_summary!W$27)</f>
        <v>3.7610771779641864E-15</v>
      </c>
      <c r="DA27" s="159" t="s">
        <v>871</v>
      </c>
    </row>
    <row r="28" spans="1:105" ht="12" customHeight="1" x14ac:dyDescent="0.25">
      <c r="A28" s="78" t="s">
        <v>85</v>
      </c>
      <c r="B28" s="68"/>
      <c r="C28" s="147">
        <f>IF(SER_hh_tesh_in!C28=0,0,SER_hh_tesh_in!C28/SER_summary!C$27)</f>
        <v>0</v>
      </c>
      <c r="D28" s="147">
        <f>IF(SER_hh_tesh_in!D28=0,0,SER_hh_tesh_in!D28/SER_summary!D$27)</f>
        <v>7.9781092462358778</v>
      </c>
      <c r="E28" s="147">
        <f>IF(SER_hh_tesh_in!E28=0,0,SER_hh_tesh_in!E28/SER_summary!E$27)</f>
        <v>7.8562193454049138</v>
      </c>
      <c r="F28" s="147">
        <f>IF(SER_hh_tesh_in!F28=0,0,SER_hh_tesh_in!F28/SER_summary!F$27)</f>
        <v>8.0647497209740813</v>
      </c>
      <c r="G28" s="147">
        <f>IF(SER_hh_tesh_in!G28=0,0,SER_hh_tesh_in!G28/SER_summary!G$27)</f>
        <v>7.8647549714236709</v>
      </c>
      <c r="H28" s="147">
        <f>IF(SER_hh_tesh_in!H28=0,0,SER_hh_tesh_in!H28/SER_summary!H$27)</f>
        <v>7.7768477323920102</v>
      </c>
      <c r="I28" s="147">
        <f>IF(SER_hh_tesh_in!I28=0,0,SER_hh_tesh_in!I28/SER_summary!I$27)</f>
        <v>7.3977229122299919</v>
      </c>
      <c r="J28" s="147">
        <f>IF(SER_hh_tesh_in!J28=0,0,SER_hh_tesh_in!J28/SER_summary!J$27)</f>
        <v>8.0421335400462599</v>
      </c>
      <c r="K28" s="147">
        <f>IF(SER_hh_tesh_in!K28=0,0,SER_hh_tesh_in!K28/SER_summary!K$27)</f>
        <v>7.9213943466211401</v>
      </c>
      <c r="L28" s="147">
        <f>IF(SER_hh_tesh_in!L28=0,0,SER_hh_tesh_in!L28/SER_summary!L$27)</f>
        <v>0</v>
      </c>
      <c r="M28" s="147">
        <f>IF(SER_hh_tesh_in!M28=0,0,SER_hh_tesh_in!M28/SER_summary!M$27)</f>
        <v>8.1997144462465315</v>
      </c>
      <c r="N28" s="147">
        <f>IF(SER_hh_tesh_in!N28=0,0,SER_hh_tesh_in!N28/SER_summary!N$27)</f>
        <v>8.1621460976836016</v>
      </c>
      <c r="O28" s="147">
        <f>IF(SER_hh_tesh_in!O28=0,0,SER_hh_tesh_in!O28/SER_summary!O$27)</f>
        <v>9.2905125904341777</v>
      </c>
      <c r="P28" s="147">
        <f>IF(SER_hh_tesh_in!P28=0,0,SER_hh_tesh_in!P28/SER_summary!P$27)</f>
        <v>9.4936072930089814</v>
      </c>
      <c r="Q28" s="147">
        <f>IF(SER_hh_tesh_in!Q28=0,0,SER_hh_tesh_in!Q28/SER_summary!Q$27)</f>
        <v>9.0926724243116404</v>
      </c>
      <c r="R28" s="147">
        <f>IF(SER_hh_tesh_in!R28=0,0,SER_hh_tesh_in!R28/SER_summary!R$27)</f>
        <v>8.0658337170286227</v>
      </c>
      <c r="S28" s="147">
        <f>IF(SER_hh_tesh_in!S28=0,0,SER_hh_tesh_in!S28/SER_summary!S$27)</f>
        <v>7.752490149260006</v>
      </c>
      <c r="T28" s="147">
        <f>IF(SER_hh_tesh_in!T28=0,0,SER_hh_tesh_in!T28/SER_summary!T$27)</f>
        <v>8.0729945434068782</v>
      </c>
      <c r="U28" s="147">
        <f>IF(SER_hh_tesh_in!U28=0,0,SER_hh_tesh_in!U28/SER_summary!U$27)</f>
        <v>7.934846331663719</v>
      </c>
      <c r="V28" s="147">
        <f>IF(SER_hh_tesh_in!V28=0,0,SER_hh_tesh_in!V28/SER_summary!V$27)</f>
        <v>8.2241789311732418</v>
      </c>
      <c r="W28" s="147">
        <f>IF(SER_hh_tesh_in!W28=0,0,SER_hh_tesh_in!W28/SER_summary!W$27)</f>
        <v>8.1875303743414385</v>
      </c>
      <c r="DA28" s="160"/>
    </row>
    <row r="29" spans="1:105" ht="12.95" customHeight="1" x14ac:dyDescent="0.25">
      <c r="A29" s="130" t="s">
        <v>34</v>
      </c>
      <c r="B29" s="131"/>
      <c r="C29" s="131">
        <f>IF(SER_hh_tesh_in!C29=0,0,SER_hh_tesh_in!C29/SER_summary!C$27)</f>
        <v>11.211358668247602</v>
      </c>
      <c r="D29" s="131">
        <f>IF(SER_hh_tesh_in!D29=0,0,SER_hh_tesh_in!D29/SER_summary!D$27)</f>
        <v>11.580528469220551</v>
      </c>
      <c r="E29" s="131">
        <f>IF(SER_hh_tesh_in!E29=0,0,SER_hh_tesh_in!E29/SER_summary!E$27)</f>
        <v>11.182526489129749</v>
      </c>
      <c r="F29" s="131">
        <f>IF(SER_hh_tesh_in!F29=0,0,SER_hh_tesh_in!F29/SER_summary!F$27)</f>
        <v>10.922748916295937</v>
      </c>
      <c r="G29" s="131">
        <f>IF(SER_hh_tesh_in!G29=0,0,SER_hh_tesh_in!G29/SER_summary!G$27)</f>
        <v>11.937020028456265</v>
      </c>
      <c r="H29" s="131">
        <f>IF(SER_hh_tesh_in!H29=0,0,SER_hh_tesh_in!H29/SER_summary!H$27)</f>
        <v>11.56829848879663</v>
      </c>
      <c r="I29" s="131">
        <f>IF(SER_hh_tesh_in!I29=0,0,SER_hh_tesh_in!I29/SER_summary!I$27)</f>
        <v>11.694811352724336</v>
      </c>
      <c r="J29" s="131">
        <f>IF(SER_hh_tesh_in!J29=0,0,SER_hh_tesh_in!J29/SER_summary!J$27)</f>
        <v>11.807472472163143</v>
      </c>
      <c r="K29" s="131">
        <f>IF(SER_hh_tesh_in!K29=0,0,SER_hh_tesh_in!K29/SER_summary!K$27)</f>
        <v>11.923806852056744</v>
      </c>
      <c r="L29" s="131">
        <f>IF(SER_hh_tesh_in!L29=0,0,SER_hh_tesh_in!L29/SER_summary!L$27)</f>
        <v>12.217986801014767</v>
      </c>
      <c r="M29" s="131">
        <f>IF(SER_hh_tesh_in!M29=0,0,SER_hh_tesh_in!M29/SER_summary!M$27)</f>
        <v>11.955949863012487</v>
      </c>
      <c r="N29" s="131">
        <f>IF(SER_hh_tesh_in!N29=0,0,SER_hh_tesh_in!N29/SER_summary!N$27)</f>
        <v>12.173924869190923</v>
      </c>
      <c r="O29" s="131">
        <f>IF(SER_hh_tesh_in!O29=0,0,SER_hh_tesh_in!O29/SER_summary!O$27)</f>
        <v>12.248399158349152</v>
      </c>
      <c r="P29" s="131">
        <f>IF(SER_hh_tesh_in!P29=0,0,SER_hh_tesh_in!P29/SER_summary!P$27)</f>
        <v>12.316447125708885</v>
      </c>
      <c r="Q29" s="131">
        <f>IF(SER_hh_tesh_in!Q29=0,0,SER_hh_tesh_in!Q29/SER_summary!Q$27)</f>
        <v>12.489811057443614</v>
      </c>
      <c r="R29" s="131">
        <f>IF(SER_hh_tesh_in!R29=0,0,SER_hh_tesh_in!R29/SER_summary!R$27)</f>
        <v>12.359244360306498</v>
      </c>
      <c r="S29" s="131">
        <f>IF(SER_hh_tesh_in!S29=0,0,SER_hh_tesh_in!S29/SER_summary!S$27)</f>
        <v>12.31988475349632</v>
      </c>
      <c r="T29" s="131">
        <f>IF(SER_hh_tesh_in!T29=0,0,SER_hh_tesh_in!T29/SER_summary!T$27)</f>
        <v>12.267007593572867</v>
      </c>
      <c r="U29" s="131">
        <f>IF(SER_hh_tesh_in!U29=0,0,SER_hh_tesh_in!U29/SER_summary!U$27)</f>
        <v>12.209680263658646</v>
      </c>
      <c r="V29" s="131">
        <f>IF(SER_hh_tesh_in!V29=0,0,SER_hh_tesh_in!V29/SER_summary!V$27)</f>
        <v>11.772644981950828</v>
      </c>
      <c r="W29" s="131">
        <f>IF(SER_hh_tesh_in!W29=0,0,SER_hh_tesh_in!W29/SER_summary!W$27)</f>
        <v>12.318806231217462</v>
      </c>
      <c r="DA29" s="156" t="s">
        <v>872</v>
      </c>
    </row>
    <row r="30" spans="1:105" s="2" customFormat="1" ht="12" customHeight="1" x14ac:dyDescent="0.25">
      <c r="A30" s="132" t="s">
        <v>52</v>
      </c>
      <c r="B30" s="133"/>
      <c r="C30" s="133">
        <f>IF(SER_hh_tesh_in!C30=0,0,SER_hh_tesh_in!C30/SER_summary!C$27)</f>
        <v>11.933032671693917</v>
      </c>
      <c r="D30" s="133">
        <f>IF(SER_hh_tesh_in!D30=0,0,SER_hh_tesh_in!D30/SER_summary!D$27)</f>
        <v>0</v>
      </c>
      <c r="E30" s="133">
        <f>IF(SER_hh_tesh_in!E30=0,0,SER_hh_tesh_in!E30/SER_summary!E$27)</f>
        <v>0</v>
      </c>
      <c r="F30" s="133">
        <f>IF(SER_hh_tesh_in!F30=0,0,SER_hh_tesh_in!F30/SER_summary!F$27)</f>
        <v>0</v>
      </c>
      <c r="G30" s="133">
        <f>IF(SER_hh_tesh_in!G30=0,0,SER_hh_tesh_in!G30/SER_summary!G$27)</f>
        <v>0</v>
      </c>
      <c r="H30" s="133">
        <f>IF(SER_hh_tesh_in!H30=0,0,SER_hh_tesh_in!H30/SER_summary!H$27)</f>
        <v>0</v>
      </c>
      <c r="I30" s="133">
        <f>IF(SER_hh_tesh_in!I30=0,0,SER_hh_tesh_in!I30/SER_summary!I$27)</f>
        <v>0</v>
      </c>
      <c r="J30" s="133">
        <f>IF(SER_hh_tesh_in!J30=0,0,SER_hh_tesh_in!J30/SER_summary!J$27)</f>
        <v>12.139725986644134</v>
      </c>
      <c r="K30" s="133">
        <f>IF(SER_hh_tesh_in!K30=0,0,SER_hh_tesh_in!K30/SER_summary!K$27)</f>
        <v>11.775840312380852</v>
      </c>
      <c r="L30" s="133">
        <f>IF(SER_hh_tesh_in!L30=0,0,SER_hh_tesh_in!L30/SER_summary!L$27)</f>
        <v>14.132782432090517</v>
      </c>
      <c r="M30" s="133">
        <f>IF(SER_hh_tesh_in!M30=0,0,SER_hh_tesh_in!M30/SER_summary!M$27)</f>
        <v>0</v>
      </c>
      <c r="N30" s="133">
        <f>IF(SER_hh_tesh_in!N30=0,0,SER_hh_tesh_in!N30/SER_summary!N$27)</f>
        <v>0</v>
      </c>
      <c r="O30" s="133">
        <f>IF(SER_hh_tesh_in!O30=0,0,SER_hh_tesh_in!O30/SER_summary!O$27)</f>
        <v>12.730951880898163</v>
      </c>
      <c r="P30" s="133">
        <f>IF(SER_hh_tesh_in!P30=0,0,SER_hh_tesh_in!P30/SER_summary!P$27)</f>
        <v>9.694149980974677</v>
      </c>
      <c r="Q30" s="133">
        <f>IF(SER_hh_tesh_in!Q30=0,0,SER_hh_tesh_in!Q30/SER_summary!Q$27)</f>
        <v>15.040598473452036</v>
      </c>
      <c r="R30" s="133">
        <f>IF(SER_hh_tesh_in!R30=0,0,SER_hh_tesh_in!R30/SER_summary!R$27)</f>
        <v>11.286243616757467</v>
      </c>
      <c r="S30" s="133">
        <f>IF(SER_hh_tesh_in!S30=0,0,SER_hh_tesh_in!S30/SER_summary!S$27)</f>
        <v>12.56270811854756</v>
      </c>
      <c r="T30" s="133">
        <f>IF(SER_hh_tesh_in!T30=0,0,SER_hh_tesh_in!T30/SER_summary!T$27)</f>
        <v>11.737018804502496</v>
      </c>
      <c r="U30" s="133">
        <f>IF(SER_hh_tesh_in!U30=0,0,SER_hh_tesh_in!U30/SER_summary!U$27)</f>
        <v>11.542578130389668</v>
      </c>
      <c r="V30" s="133">
        <f>IF(SER_hh_tesh_in!V30=0,0,SER_hh_tesh_in!V30/SER_summary!V$27)</f>
        <v>12.303716781075765</v>
      </c>
      <c r="W30" s="133">
        <f>IF(SER_hh_tesh_in!W30=0,0,SER_hh_tesh_in!W30/SER_summary!W$27)</f>
        <v>12.417268394124878</v>
      </c>
      <c r="DA30" s="157" t="s">
        <v>873</v>
      </c>
    </row>
    <row r="31" spans="1:105" ht="12" customHeight="1" x14ac:dyDescent="0.25">
      <c r="A31" s="132" t="s">
        <v>153</v>
      </c>
      <c r="B31" s="133"/>
      <c r="C31" s="133">
        <f>IF(SER_hh_tesh_in!C31=0,0,SER_hh_tesh_in!C31/SER_summary!C$27)</f>
        <v>11.157317341362916</v>
      </c>
      <c r="D31" s="133">
        <f>IF(SER_hh_tesh_in!D31=0,0,SER_hh_tesh_in!D31/SER_summary!D$27)</f>
        <v>11.202156312920401</v>
      </c>
      <c r="E31" s="133">
        <f>IF(SER_hh_tesh_in!E31=0,0,SER_hh_tesh_in!E31/SER_summary!E$27)</f>
        <v>11.262982974737827</v>
      </c>
      <c r="F31" s="133">
        <f>IF(SER_hh_tesh_in!F31=0,0,SER_hh_tesh_in!F31/SER_summary!F$27)</f>
        <v>11.32951019187337</v>
      </c>
      <c r="G31" s="133">
        <f>IF(SER_hh_tesh_in!G31=0,0,SER_hh_tesh_in!G31/SER_summary!G$27)</f>
        <v>11.483598095007164</v>
      </c>
      <c r="H31" s="133">
        <f>IF(SER_hh_tesh_in!H31=0,0,SER_hh_tesh_in!H31/SER_summary!H$27)</f>
        <v>11.503611918055997</v>
      </c>
      <c r="I31" s="133">
        <f>IF(SER_hh_tesh_in!I31=0,0,SER_hh_tesh_in!I31/SER_summary!I$27)</f>
        <v>11.627023646045881</v>
      </c>
      <c r="J31" s="133">
        <f>IF(SER_hh_tesh_in!J31=0,0,SER_hh_tesh_in!J31/SER_summary!J$27)</f>
        <v>11.815373268997799</v>
      </c>
      <c r="K31" s="133">
        <f>IF(SER_hh_tesh_in!K31=0,0,SER_hh_tesh_in!K31/SER_summary!K$27)</f>
        <v>11.885525590389319</v>
      </c>
      <c r="L31" s="133">
        <f>IF(SER_hh_tesh_in!L31=0,0,SER_hh_tesh_in!L31/SER_summary!L$27)</f>
        <v>11.926066986044239</v>
      </c>
      <c r="M31" s="133">
        <f>IF(SER_hh_tesh_in!M31=0,0,SER_hh_tesh_in!M31/SER_summary!M$27)</f>
        <v>11.988503230093745</v>
      </c>
      <c r="N31" s="133">
        <f>IF(SER_hh_tesh_in!N31=0,0,SER_hh_tesh_in!N31/SER_summary!N$27)</f>
        <v>12.184013510409667</v>
      </c>
      <c r="O31" s="133">
        <f>IF(SER_hh_tesh_in!O31=0,0,SER_hh_tesh_in!O31/SER_summary!O$27)</f>
        <v>12.235123226766451</v>
      </c>
      <c r="P31" s="133">
        <f>IF(SER_hh_tesh_in!P31=0,0,SER_hh_tesh_in!P31/SER_summary!P$27)</f>
        <v>12.336855500116103</v>
      </c>
      <c r="Q31" s="133">
        <f>IF(SER_hh_tesh_in!Q31=0,0,SER_hh_tesh_in!Q31/SER_summary!Q$27)</f>
        <v>12.373031402625285</v>
      </c>
      <c r="R31" s="133">
        <f>IF(SER_hh_tesh_in!R31=0,0,SER_hh_tesh_in!R31/SER_summary!R$27)</f>
        <v>12.356447943562189</v>
      </c>
      <c r="S31" s="133">
        <f>IF(SER_hh_tesh_in!S31=0,0,SER_hh_tesh_in!S31/SER_summary!S$27)</f>
        <v>12.307964177113396</v>
      </c>
      <c r="T31" s="133">
        <f>IF(SER_hh_tesh_in!T31=0,0,SER_hh_tesh_in!T31/SER_summary!T$27)</f>
        <v>12.273470992634827</v>
      </c>
      <c r="U31" s="133">
        <f>IF(SER_hh_tesh_in!U31=0,0,SER_hh_tesh_in!U31/SER_summary!U$27)</f>
        <v>12.270053854450969</v>
      </c>
      <c r="V31" s="133">
        <f>IF(SER_hh_tesh_in!V31=0,0,SER_hh_tesh_in!V31/SER_summary!V$27)</f>
        <v>11.687125474146248</v>
      </c>
      <c r="W31" s="133">
        <f>IF(SER_hh_tesh_in!W31=0,0,SER_hh_tesh_in!W31/SER_summary!W$27)</f>
        <v>12.375149331069519</v>
      </c>
      <c r="DA31" s="157" t="s">
        <v>874</v>
      </c>
    </row>
    <row r="32" spans="1:105" ht="12" customHeight="1" x14ac:dyDescent="0.25">
      <c r="A32" s="132" t="s">
        <v>128</v>
      </c>
      <c r="B32" s="133"/>
      <c r="C32" s="133">
        <f>IF(SER_hh_tesh_in!C32=0,0,SER_hh_tesh_in!C32/SER_summary!C$27)</f>
        <v>0</v>
      </c>
      <c r="D32" s="133">
        <f>IF(SER_hh_tesh_in!D32=0,0,SER_hh_tesh_in!D32/SER_summary!D$27)</f>
        <v>0</v>
      </c>
      <c r="E32" s="133">
        <f>IF(SER_hh_tesh_in!E32=0,0,SER_hh_tesh_in!E32/SER_summary!E$27)</f>
        <v>0</v>
      </c>
      <c r="F32" s="133">
        <f>IF(SER_hh_tesh_in!F32=0,0,SER_hh_tesh_in!F32/SER_summary!F$27)</f>
        <v>0</v>
      </c>
      <c r="G32" s="133">
        <f>IF(SER_hh_tesh_in!G32=0,0,SER_hh_tesh_in!G32/SER_summary!G$27)</f>
        <v>0</v>
      </c>
      <c r="H32" s="133">
        <f>IF(SER_hh_tesh_in!H32=0,0,SER_hh_tesh_in!H32/SER_summary!H$27)</f>
        <v>0</v>
      </c>
      <c r="I32" s="133">
        <f>IF(SER_hh_tesh_in!I32=0,0,SER_hh_tesh_in!I32/SER_summary!I$27)</f>
        <v>0</v>
      </c>
      <c r="J32" s="133">
        <f>IF(SER_hh_tesh_in!J32=0,0,SER_hh_tesh_in!J32/SER_summary!J$27)</f>
        <v>15.1124542532422</v>
      </c>
      <c r="K32" s="133">
        <f>IF(SER_hh_tesh_in!K32=0,0,SER_hh_tesh_in!K32/SER_summary!K$27)</f>
        <v>8.7396179977753494</v>
      </c>
      <c r="L32" s="133">
        <f>IF(SER_hh_tesh_in!L32=0,0,SER_hh_tesh_in!L32/SER_summary!L$27)</f>
        <v>15.085294573768509</v>
      </c>
      <c r="M32" s="133">
        <f>IF(SER_hh_tesh_in!M32=0,0,SER_hh_tesh_in!M32/SER_summary!M$27)</f>
        <v>14.140354534810706</v>
      </c>
      <c r="N32" s="133">
        <f>IF(SER_hh_tesh_in!N32=0,0,SER_hh_tesh_in!N32/SER_summary!N$27)</f>
        <v>7.6438388179212984</v>
      </c>
      <c r="O32" s="133">
        <f>IF(SER_hh_tesh_in!O32=0,0,SER_hh_tesh_in!O32/SER_summary!O$27)</f>
        <v>12.393677799246761</v>
      </c>
      <c r="P32" s="133">
        <f>IF(SER_hh_tesh_in!P32=0,0,SER_hh_tesh_in!P32/SER_summary!P$27)</f>
        <v>12.736043017668319</v>
      </c>
      <c r="Q32" s="133">
        <f>IF(SER_hh_tesh_in!Q32=0,0,SER_hh_tesh_in!Q32/SER_summary!Q$27)</f>
        <v>13.17716908609126</v>
      </c>
      <c r="R32" s="133">
        <f>IF(SER_hh_tesh_in!R32=0,0,SER_hh_tesh_in!R32/SER_summary!R$27)</f>
        <v>12.673465435588572</v>
      </c>
      <c r="S32" s="133">
        <f>IF(SER_hh_tesh_in!S32=0,0,SER_hh_tesh_in!S32/SER_summary!S$27)</f>
        <v>12.210615193805088</v>
      </c>
      <c r="T32" s="133">
        <f>IF(SER_hh_tesh_in!T32=0,0,SER_hh_tesh_in!T32/SER_summary!T$27)</f>
        <v>12.805811746613637</v>
      </c>
      <c r="U32" s="133">
        <f>IF(SER_hh_tesh_in!U32=0,0,SER_hh_tesh_in!U32/SER_summary!U$27)</f>
        <v>0</v>
      </c>
      <c r="V32" s="133">
        <f>IF(SER_hh_tesh_in!V32=0,0,SER_hh_tesh_in!V32/SER_summary!V$27)</f>
        <v>0</v>
      </c>
      <c r="W32" s="133">
        <f>IF(SER_hh_tesh_in!W32=0,0,SER_hh_tesh_in!W32/SER_summary!W$27)</f>
        <v>0</v>
      </c>
      <c r="DA32" s="157" t="s">
        <v>875</v>
      </c>
    </row>
    <row r="33" spans="1:105" ht="12" customHeight="1" x14ac:dyDescent="0.25">
      <c r="A33" s="62" t="s">
        <v>24</v>
      </c>
      <c r="B33" s="68"/>
      <c r="C33" s="68">
        <f>IF(SER_hh_tesh_in!C33=0,0,SER_hh_tesh_in!C33/SER_summary!C$27)</f>
        <v>11.186541138052645</v>
      </c>
      <c r="D33" s="68">
        <f>IF(SER_hh_tesh_in!D33=0,0,SER_hh_tesh_in!D33/SER_summary!D$27)</f>
        <v>11.790082391543041</v>
      </c>
      <c r="E33" s="68">
        <f>IF(SER_hh_tesh_in!E33=0,0,SER_hh_tesh_in!E33/SER_summary!E$27)</f>
        <v>11.1231873521096</v>
      </c>
      <c r="F33" s="68">
        <f>IF(SER_hh_tesh_in!F33=0,0,SER_hh_tesh_in!F33/SER_summary!F$27)</f>
        <v>10.616753994486402</v>
      </c>
      <c r="G33" s="68">
        <f>IF(SER_hh_tesh_in!G33=0,0,SER_hh_tesh_in!G33/SER_summary!G$27)</f>
        <v>12.209110691389748</v>
      </c>
      <c r="H33" s="68">
        <f>IF(SER_hh_tesh_in!H33=0,0,SER_hh_tesh_in!H33/SER_summary!H$27)</f>
        <v>11.624038907261282</v>
      </c>
      <c r="I33" s="68">
        <f>IF(SER_hh_tesh_in!I33=0,0,SER_hh_tesh_in!I33/SER_summary!I$27)</f>
        <v>11.755995635517026</v>
      </c>
      <c r="J33" s="68">
        <f>IF(SER_hh_tesh_in!J33=0,0,SER_hh_tesh_in!J33/SER_summary!J$27)</f>
        <v>11.678505858562332</v>
      </c>
      <c r="K33" s="68">
        <f>IF(SER_hh_tesh_in!K33=0,0,SER_hh_tesh_in!K33/SER_summary!K$27)</f>
        <v>12.131891564551779</v>
      </c>
      <c r="L33" s="68">
        <f>IF(SER_hh_tesh_in!L33=0,0,SER_hh_tesh_in!L33/SER_summary!L$27)</f>
        <v>11.948513913417187</v>
      </c>
      <c r="M33" s="68">
        <f>IF(SER_hh_tesh_in!M33=0,0,SER_hh_tesh_in!M33/SER_summary!M$27)</f>
        <v>11.919730623872303</v>
      </c>
      <c r="N33" s="68">
        <f>IF(SER_hh_tesh_in!N33=0,0,SER_hh_tesh_in!N33/SER_summary!N$27)</f>
        <v>12.170898171253297</v>
      </c>
      <c r="O33" s="68">
        <f>IF(SER_hh_tesh_in!O33=0,0,SER_hh_tesh_in!O33/SER_summary!O$27)</f>
        <v>12.247344782880576</v>
      </c>
      <c r="P33" s="68">
        <f>IF(SER_hh_tesh_in!P33=0,0,SER_hh_tesh_in!P33/SER_summary!P$27)</f>
        <v>12.318810170684896</v>
      </c>
      <c r="Q33" s="68">
        <f>IF(SER_hh_tesh_in!Q33=0,0,SER_hh_tesh_in!Q33/SER_summary!Q$27)</f>
        <v>12.361727848414381</v>
      </c>
      <c r="R33" s="68">
        <f>IF(SER_hh_tesh_in!R33=0,0,SER_hh_tesh_in!R33/SER_summary!R$27)</f>
        <v>12.387044656170024</v>
      </c>
      <c r="S33" s="68">
        <f>IF(SER_hh_tesh_in!S33=0,0,SER_hh_tesh_in!S33/SER_summary!S$27)</f>
        <v>12.311655888610831</v>
      </c>
      <c r="T33" s="68">
        <f>IF(SER_hh_tesh_in!T33=0,0,SER_hh_tesh_in!T33/SER_summary!T$27)</f>
        <v>12.306426510300037</v>
      </c>
      <c r="U33" s="68">
        <f>IF(SER_hh_tesh_in!U33=0,0,SER_hh_tesh_in!U33/SER_summary!U$27)</f>
        <v>12.250503630108042</v>
      </c>
      <c r="V33" s="68">
        <f>IF(SER_hh_tesh_in!V33=0,0,SER_hh_tesh_in!V33/SER_summary!V$27)</f>
        <v>11.747962578308735</v>
      </c>
      <c r="W33" s="68">
        <f>IF(SER_hh_tesh_in!W33=0,0,SER_hh_tesh_in!W33/SER_summary!W$27)</f>
        <v>12.245298177361722</v>
      </c>
      <c r="DA33" s="111" t="s">
        <v>876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877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92</v>
      </c>
      <c r="B3" s="126"/>
      <c r="C3" s="126">
        <f>IF(SER_hh_emih_in!C3=0,0,SER_hh_emih_in!C3/SER_summary!C$27)</f>
        <v>36.603413788638591</v>
      </c>
      <c r="D3" s="126">
        <f>IF(SER_hh_emih_in!D3=0,0,SER_hh_emih_in!D3/SER_summary!D$27)</f>
        <v>35.673560009203989</v>
      </c>
      <c r="E3" s="126">
        <f>IF(SER_hh_emih_in!E3=0,0,SER_hh_emih_in!E3/SER_summary!E$27)</f>
        <v>33.996435698730842</v>
      </c>
      <c r="F3" s="126">
        <f>IF(SER_hh_emih_in!F3=0,0,SER_hh_emih_in!F3/SER_summary!F$27)</f>
        <v>16.463770791965565</v>
      </c>
      <c r="G3" s="126">
        <f>IF(SER_hh_emih_in!G3=0,0,SER_hh_emih_in!G3/SER_summary!G$27)</f>
        <v>14.991896269299628</v>
      </c>
      <c r="H3" s="126">
        <f>IF(SER_hh_emih_in!H3=0,0,SER_hh_emih_in!H3/SER_summary!H$27)</f>
        <v>23.495498935596583</v>
      </c>
      <c r="I3" s="126">
        <f>IF(SER_hh_emih_in!I3=0,0,SER_hh_emih_in!I3/SER_summary!I$27)</f>
        <v>27.668745992388725</v>
      </c>
      <c r="J3" s="126">
        <f>IF(SER_hh_emih_in!J3=0,0,SER_hh_emih_in!J3/SER_summary!J$27)</f>
        <v>34.731039264453933</v>
      </c>
      <c r="K3" s="126">
        <f>IF(SER_hh_emih_in!K3=0,0,SER_hh_emih_in!K3/SER_summary!K$27)</f>
        <v>32.777750102202305</v>
      </c>
      <c r="L3" s="126">
        <f>IF(SER_hh_emih_in!L3=0,0,SER_hh_emih_in!L3/SER_summary!L$27)</f>
        <v>34.847319997378442</v>
      </c>
      <c r="M3" s="126">
        <f>IF(SER_hh_emih_in!M3=0,0,SER_hh_emih_in!M3/SER_summary!M$27)</f>
        <v>27.132142872288629</v>
      </c>
      <c r="N3" s="126">
        <f>IF(SER_hh_emih_in!N3=0,0,SER_hh_emih_in!N3/SER_summary!N$27)</f>
        <v>27.619972771665648</v>
      </c>
      <c r="O3" s="126">
        <f>IF(SER_hh_emih_in!O3=0,0,SER_hh_emih_in!O3/SER_summary!O$27)</f>
        <v>30.469123773586251</v>
      </c>
      <c r="P3" s="126">
        <f>IF(SER_hh_emih_in!P3=0,0,SER_hh_emih_in!P3/SER_summary!P$27)</f>
        <v>21.606077424808991</v>
      </c>
      <c r="Q3" s="126">
        <f>IF(SER_hh_emih_in!Q3=0,0,SER_hh_emih_in!Q3/SER_summary!Q$27)</f>
        <v>24.635601945220937</v>
      </c>
      <c r="R3" s="126">
        <f>IF(SER_hh_emih_in!R3=0,0,SER_hh_emih_in!R3/SER_summary!R$27)</f>
        <v>21.663805870302895</v>
      </c>
      <c r="S3" s="126">
        <f>IF(SER_hh_emih_in!S3=0,0,SER_hh_emih_in!S3/SER_summary!S$27)</f>
        <v>18.271096141973999</v>
      </c>
      <c r="T3" s="126">
        <f>IF(SER_hh_emih_in!T3=0,0,SER_hh_emih_in!T3/SER_summary!T$27)</f>
        <v>15.502657096470715</v>
      </c>
      <c r="U3" s="126">
        <f>IF(SER_hh_emih_in!U3=0,0,SER_hh_emih_in!U3/SER_summary!U$27)</f>
        <v>12.931905688041029</v>
      </c>
      <c r="V3" s="126">
        <f>IF(SER_hh_emih_in!V3=0,0,SER_hh_emih_in!V3/SER_summary!V$27)</f>
        <v>11.973205200906087</v>
      </c>
      <c r="W3" s="126">
        <f>IF(SER_hh_emih_in!W3=0,0,SER_hh_emih_in!W3/SER_summary!W$27)</f>
        <v>13.555491303041249</v>
      </c>
      <c r="DA3" s="155" t="s">
        <v>878</v>
      </c>
    </row>
    <row r="4" spans="1:105" ht="12.95" customHeight="1" x14ac:dyDescent="0.25">
      <c r="A4" s="130" t="s">
        <v>32</v>
      </c>
      <c r="B4" s="131"/>
      <c r="C4" s="131">
        <f>IF(SER_hh_emih_in!C4=0,0,SER_hh_emih_in!C4/SER_summary!C$27)</f>
        <v>30.451385572311771</v>
      </c>
      <c r="D4" s="131">
        <f>IF(SER_hh_emih_in!D4=0,0,SER_hh_emih_in!D4/SER_summary!D$27)</f>
        <v>31.245025674594302</v>
      </c>
      <c r="E4" s="131">
        <f>IF(SER_hh_emih_in!E4=0,0,SER_hh_emih_in!E4/SER_summary!E$27)</f>
        <v>28.79852282822198</v>
      </c>
      <c r="F4" s="131">
        <f>IF(SER_hh_emih_in!F4=0,0,SER_hh_emih_in!F4/SER_summary!F$27)</f>
        <v>11.354632770623178</v>
      </c>
      <c r="G4" s="131">
        <f>IF(SER_hh_emih_in!G4=0,0,SER_hh_emih_in!G4/SER_summary!G$27)</f>
        <v>10.157062849053251</v>
      </c>
      <c r="H4" s="131">
        <f>IF(SER_hh_emih_in!H4=0,0,SER_hh_emih_in!H4/SER_summary!H$27)</f>
        <v>18.466092608037158</v>
      </c>
      <c r="I4" s="131">
        <f>IF(SER_hh_emih_in!I4=0,0,SER_hh_emih_in!I4/SER_summary!I$27)</f>
        <v>22.59173155632616</v>
      </c>
      <c r="J4" s="131">
        <f>IF(SER_hh_emih_in!J4=0,0,SER_hh_emih_in!J4/SER_summary!J$27)</f>
        <v>29.358293273274828</v>
      </c>
      <c r="K4" s="131">
        <f>IF(SER_hh_emih_in!K4=0,0,SER_hh_emih_in!K4/SER_summary!K$27)</f>
        <v>27.266596947005088</v>
      </c>
      <c r="L4" s="131">
        <f>IF(SER_hh_emih_in!L4=0,0,SER_hh_emih_in!L4/SER_summary!L$27)</f>
        <v>29.368648908535114</v>
      </c>
      <c r="M4" s="131">
        <f>IF(SER_hh_emih_in!M4=0,0,SER_hh_emih_in!M4/SER_summary!M$27)</f>
        <v>22.055254546081212</v>
      </c>
      <c r="N4" s="131">
        <f>IF(SER_hh_emih_in!N4=0,0,SER_hh_emih_in!N4/SER_summary!N$27)</f>
        <v>22.42777772609136</v>
      </c>
      <c r="O4" s="131">
        <f>IF(SER_hh_emih_in!O4=0,0,SER_hh_emih_in!O4/SER_summary!O$27)</f>
        <v>25.377619108624248</v>
      </c>
      <c r="P4" s="131">
        <f>IF(SER_hh_emih_in!P4=0,0,SER_hh_emih_in!P4/SER_summary!P$27)</f>
        <v>17.1803513137239</v>
      </c>
      <c r="Q4" s="131">
        <f>IF(SER_hh_emih_in!Q4=0,0,SER_hh_emih_in!Q4/SER_summary!Q$27)</f>
        <v>20.011195104996595</v>
      </c>
      <c r="R4" s="131">
        <f>IF(SER_hh_emih_in!R4=0,0,SER_hh_emih_in!R4/SER_summary!R$27)</f>
        <v>17.343222373023107</v>
      </c>
      <c r="S4" s="131">
        <f>IF(SER_hh_emih_in!S4=0,0,SER_hh_emih_in!S4/SER_summary!S$27)</f>
        <v>13.871947682179696</v>
      </c>
      <c r="T4" s="131">
        <f>IF(SER_hh_emih_in!T4=0,0,SER_hh_emih_in!T4/SER_summary!T$27)</f>
        <v>11.164153731803538</v>
      </c>
      <c r="U4" s="131">
        <f>IF(SER_hh_emih_in!U4=0,0,SER_hh_emih_in!U4/SER_summary!U$27)</f>
        <v>8.4174801496045273</v>
      </c>
      <c r="V4" s="131">
        <f>IF(SER_hh_emih_in!V4=0,0,SER_hh_emih_in!V4/SER_summary!V$27)</f>
        <v>7.5968458469408677</v>
      </c>
      <c r="W4" s="131">
        <f>IF(SER_hh_emih_in!W4=0,0,SER_hh_emih_in!W4/SER_summary!W$27)</f>
        <v>8.8626847400154016</v>
      </c>
      <c r="DA4" s="156" t="s">
        <v>879</v>
      </c>
    </row>
    <row r="5" spans="1:105" ht="12" customHeight="1" x14ac:dyDescent="0.25">
      <c r="A5" s="132" t="s">
        <v>29</v>
      </c>
      <c r="B5" s="133"/>
      <c r="C5" s="133">
        <f>IF(SER_hh_emih_in!C5=0,0,SER_hh_emih_in!C5/SER_summary!C$27)</f>
        <v>0</v>
      </c>
      <c r="D5" s="133">
        <f>IF(SER_hh_emih_in!D5=0,0,SER_hh_emih_in!D5/SER_summary!D$27)</f>
        <v>0</v>
      </c>
      <c r="E5" s="133">
        <f>IF(SER_hh_emih_in!E5=0,0,SER_hh_emih_in!E5/SER_summary!E$27)</f>
        <v>0</v>
      </c>
      <c r="F5" s="133">
        <f>IF(SER_hh_emih_in!F5=0,0,SER_hh_emih_in!F5/SER_summary!F$27)</f>
        <v>0</v>
      </c>
      <c r="G5" s="133">
        <f>IF(SER_hh_emih_in!G5=0,0,SER_hh_emih_in!G5/SER_summary!G$27)</f>
        <v>0</v>
      </c>
      <c r="H5" s="133">
        <f>IF(SER_hh_emih_in!H5=0,0,SER_hh_emih_in!H5/SER_summary!H$27)</f>
        <v>0</v>
      </c>
      <c r="I5" s="133">
        <f>IF(SER_hh_emih_in!I5=0,0,SER_hh_emih_in!I5/SER_summary!I$27)</f>
        <v>0</v>
      </c>
      <c r="J5" s="133">
        <f>IF(SER_hh_emih_in!J5=0,0,SER_hh_emih_in!J5/SER_summary!J$27)</f>
        <v>0</v>
      </c>
      <c r="K5" s="133">
        <f>IF(SER_hh_emih_in!K5=0,0,SER_hh_emih_in!K5/SER_summary!K$27)</f>
        <v>0</v>
      </c>
      <c r="L5" s="133">
        <f>IF(SER_hh_emih_in!L5=0,0,SER_hh_emih_in!L5/SER_summary!L$27)</f>
        <v>0</v>
      </c>
      <c r="M5" s="133">
        <f>IF(SER_hh_emih_in!M5=0,0,SER_hh_emih_in!M5/SER_summary!M$27)</f>
        <v>0</v>
      </c>
      <c r="N5" s="133">
        <f>IF(SER_hh_emih_in!N5=0,0,SER_hh_emih_in!N5/SER_summary!N$27)</f>
        <v>0</v>
      </c>
      <c r="O5" s="133">
        <f>IF(SER_hh_emih_in!O5=0,0,SER_hh_emih_in!O5/SER_summary!O$27)</f>
        <v>0</v>
      </c>
      <c r="P5" s="133">
        <f>IF(SER_hh_emih_in!P5=0,0,SER_hh_emih_in!P5/SER_summary!P$27)</f>
        <v>0</v>
      </c>
      <c r="Q5" s="133">
        <f>IF(SER_hh_emih_in!Q5=0,0,SER_hh_emih_in!Q5/SER_summary!Q$27)</f>
        <v>0</v>
      </c>
      <c r="R5" s="133">
        <f>IF(SER_hh_emih_in!R5=0,0,SER_hh_emih_in!R5/SER_summary!R$27)</f>
        <v>0</v>
      </c>
      <c r="S5" s="133">
        <f>IF(SER_hh_emih_in!S5=0,0,SER_hh_emih_in!S5/SER_summary!S$27)</f>
        <v>0</v>
      </c>
      <c r="T5" s="133">
        <f>IF(SER_hh_emih_in!T5=0,0,SER_hh_emih_in!T5/SER_summary!T$27)</f>
        <v>0</v>
      </c>
      <c r="U5" s="133">
        <f>IF(SER_hh_emih_in!U5=0,0,SER_hh_emih_in!U5/SER_summary!U$27)</f>
        <v>0</v>
      </c>
      <c r="V5" s="133">
        <f>IF(SER_hh_emih_in!V5=0,0,SER_hh_emih_in!V5/SER_summary!V$27)</f>
        <v>0</v>
      </c>
      <c r="W5" s="133">
        <f>IF(SER_hh_emih_in!W5=0,0,SER_hh_emih_in!W5/SER_summary!W$27)</f>
        <v>0</v>
      </c>
      <c r="DA5" s="157" t="s">
        <v>880</v>
      </c>
    </row>
    <row r="6" spans="1:105" ht="12" customHeight="1" x14ac:dyDescent="0.25">
      <c r="A6" s="132" t="s">
        <v>52</v>
      </c>
      <c r="B6" s="133"/>
      <c r="C6" s="133">
        <f>IF(SER_hh_emih_in!C6=0,0,SER_hh_emih_in!C6/SER_summary!C$27)</f>
        <v>0</v>
      </c>
      <c r="D6" s="133">
        <f>IF(SER_hh_emih_in!D6=0,0,SER_hh_emih_in!D6/SER_summary!D$27)</f>
        <v>0</v>
      </c>
      <c r="E6" s="133">
        <f>IF(SER_hh_emih_in!E6=0,0,SER_hh_emih_in!E6/SER_summary!E$27)</f>
        <v>0</v>
      </c>
      <c r="F6" s="133">
        <f>IF(SER_hh_emih_in!F6=0,0,SER_hh_emih_in!F6/SER_summary!F$27)</f>
        <v>0</v>
      </c>
      <c r="G6" s="133">
        <f>IF(SER_hh_emih_in!G6=0,0,SER_hh_emih_in!G6/SER_summary!G$27)</f>
        <v>0</v>
      </c>
      <c r="H6" s="133">
        <f>IF(SER_hh_emih_in!H6=0,0,SER_hh_emih_in!H6/SER_summary!H$27)</f>
        <v>0</v>
      </c>
      <c r="I6" s="133">
        <f>IF(SER_hh_emih_in!I6=0,0,SER_hh_emih_in!I6/SER_summary!I$27)</f>
        <v>0</v>
      </c>
      <c r="J6" s="133">
        <f>IF(SER_hh_emih_in!J6=0,0,SER_hh_emih_in!J6/SER_summary!J$27)</f>
        <v>0</v>
      </c>
      <c r="K6" s="133">
        <f>IF(SER_hh_emih_in!K6=0,0,SER_hh_emih_in!K6/SER_summary!K$27)</f>
        <v>0</v>
      </c>
      <c r="L6" s="133">
        <f>IF(SER_hh_emih_in!L6=0,0,SER_hh_emih_in!L6/SER_summary!L$27)</f>
        <v>0</v>
      </c>
      <c r="M6" s="133">
        <f>IF(SER_hh_emih_in!M6=0,0,SER_hh_emih_in!M6/SER_summary!M$27)</f>
        <v>0</v>
      </c>
      <c r="N6" s="133">
        <f>IF(SER_hh_emih_in!N6=0,0,SER_hh_emih_in!N6/SER_summary!N$27)</f>
        <v>0</v>
      </c>
      <c r="O6" s="133">
        <f>IF(SER_hh_emih_in!O6=0,0,SER_hh_emih_in!O6/SER_summary!O$27)</f>
        <v>0</v>
      </c>
      <c r="P6" s="133">
        <f>IF(SER_hh_emih_in!P6=0,0,SER_hh_emih_in!P6/SER_summary!P$27)</f>
        <v>0</v>
      </c>
      <c r="Q6" s="133">
        <f>IF(SER_hh_emih_in!Q6=0,0,SER_hh_emih_in!Q6/SER_summary!Q$27)</f>
        <v>0</v>
      </c>
      <c r="R6" s="133">
        <f>IF(SER_hh_emih_in!R6=0,0,SER_hh_emih_in!R6/SER_summary!R$27)</f>
        <v>0</v>
      </c>
      <c r="S6" s="133">
        <f>IF(SER_hh_emih_in!S6=0,0,SER_hh_emih_in!S6/SER_summary!S$27)</f>
        <v>0</v>
      </c>
      <c r="T6" s="133">
        <f>IF(SER_hh_emih_in!T6=0,0,SER_hh_emih_in!T6/SER_summary!T$27)</f>
        <v>0</v>
      </c>
      <c r="U6" s="133">
        <f>IF(SER_hh_emih_in!U6=0,0,SER_hh_emih_in!U6/SER_summary!U$27)</f>
        <v>0</v>
      </c>
      <c r="V6" s="133">
        <f>IF(SER_hh_emih_in!V6=0,0,SER_hh_emih_in!V6/SER_summary!V$27)</f>
        <v>0</v>
      </c>
      <c r="W6" s="133">
        <f>IF(SER_hh_emih_in!W6=0,0,SER_hh_emih_in!W6/SER_summary!W$27)</f>
        <v>0</v>
      </c>
      <c r="DA6" s="157" t="s">
        <v>881</v>
      </c>
    </row>
    <row r="7" spans="1:105" ht="12" customHeight="1" x14ac:dyDescent="0.25">
      <c r="A7" s="132" t="s">
        <v>168</v>
      </c>
      <c r="B7" s="133"/>
      <c r="C7" s="133">
        <f>IF(SER_hh_emih_in!C7=0,0,SER_hh_emih_in!C7/SER_summary!C$27)</f>
        <v>35.2848892589233</v>
      </c>
      <c r="D7" s="133">
        <f>IF(SER_hh_emih_in!D7=0,0,SER_hh_emih_in!D7/SER_summary!D$27)</f>
        <v>44.704736251971852</v>
      </c>
      <c r="E7" s="133">
        <f>IF(SER_hh_emih_in!E7=0,0,SER_hh_emih_in!E7/SER_summary!E$27)</f>
        <v>50.146975110347562</v>
      </c>
      <c r="F7" s="133">
        <f>IF(SER_hh_emih_in!F7=0,0,SER_hh_emih_in!F7/SER_summary!F$27)</f>
        <v>48.237511886581167</v>
      </c>
      <c r="G7" s="133">
        <f>IF(SER_hh_emih_in!G7=0,0,SER_hh_emih_in!G7/SER_summary!G$27)</f>
        <v>48.18245842416367</v>
      </c>
      <c r="H7" s="133">
        <f>IF(SER_hh_emih_in!H7=0,0,SER_hh_emih_in!H7/SER_summary!H$27)</f>
        <v>41.646226853386665</v>
      </c>
      <c r="I7" s="133">
        <f>IF(SER_hh_emih_in!I7=0,0,SER_hh_emih_in!I7/SER_summary!I$27)</f>
        <v>35.415844135206086</v>
      </c>
      <c r="J7" s="133">
        <f>IF(SER_hh_emih_in!J7=0,0,SER_hh_emih_in!J7/SER_summary!J$27)</f>
        <v>44.431605367430542</v>
      </c>
      <c r="K7" s="133">
        <f>IF(SER_hh_emih_in!K7=0,0,SER_hh_emih_in!K7/SER_summary!K$27)</f>
        <v>36.018631646147185</v>
      </c>
      <c r="L7" s="133">
        <f>IF(SER_hh_emih_in!L7=0,0,SER_hh_emih_in!L7/SER_summary!L$27)</f>
        <v>40.146497931129282</v>
      </c>
      <c r="M7" s="133">
        <f>IF(SER_hh_emih_in!M7=0,0,SER_hh_emih_in!M7/SER_summary!M$27)</f>
        <v>32.393924127736859</v>
      </c>
      <c r="N7" s="133">
        <f>IF(SER_hh_emih_in!N7=0,0,SER_hh_emih_in!N7/SER_summary!N$27)</f>
        <v>31.028748720439687</v>
      </c>
      <c r="O7" s="133">
        <f>IF(SER_hh_emih_in!O7=0,0,SER_hh_emih_in!O7/SER_summary!O$27)</f>
        <v>32.538214479804161</v>
      </c>
      <c r="P7" s="133">
        <f>IF(SER_hh_emih_in!P7=0,0,SER_hh_emih_in!P7/SER_summary!P$27)</f>
        <v>23.085417138488946</v>
      </c>
      <c r="Q7" s="133">
        <f>IF(SER_hh_emih_in!Q7=0,0,SER_hh_emih_in!Q7/SER_summary!Q$27)</f>
        <v>26.031437483130322</v>
      </c>
      <c r="R7" s="133">
        <f>IF(SER_hh_emih_in!R7=0,0,SER_hh_emih_in!R7/SER_summary!R$27)</f>
        <v>22.900668258003467</v>
      </c>
      <c r="S7" s="133">
        <f>IF(SER_hh_emih_in!S7=0,0,SER_hh_emih_in!S7/SER_summary!S$27)</f>
        <v>22.32929875144228</v>
      </c>
      <c r="T7" s="133">
        <f>IF(SER_hh_emih_in!T7=0,0,SER_hh_emih_in!T7/SER_summary!T$27)</f>
        <v>21.165335895339872</v>
      </c>
      <c r="U7" s="133">
        <f>IF(SER_hh_emih_in!U7=0,0,SER_hh_emih_in!U7/SER_summary!U$27)</f>
        <v>19.163546137677379</v>
      </c>
      <c r="V7" s="133">
        <f>IF(SER_hh_emih_in!V7=0,0,SER_hh_emih_in!V7/SER_summary!V$27)</f>
        <v>18.958630496613505</v>
      </c>
      <c r="W7" s="133">
        <f>IF(SER_hh_emih_in!W7=0,0,SER_hh_emih_in!W7/SER_summary!W$27)</f>
        <v>14.397642434084306</v>
      </c>
      <c r="DA7" s="157" t="s">
        <v>882</v>
      </c>
    </row>
    <row r="8" spans="1:105" ht="12" customHeight="1" x14ac:dyDescent="0.25">
      <c r="A8" s="132" t="s">
        <v>73</v>
      </c>
      <c r="B8" s="133"/>
      <c r="C8" s="133">
        <f>IF(SER_hh_emih_in!C8=0,0,SER_hh_emih_in!C8/SER_summary!C$27)</f>
        <v>9.6032019016598209</v>
      </c>
      <c r="D8" s="133">
        <f>IF(SER_hh_emih_in!D8=0,0,SER_hh_emih_in!D8/SER_summary!D$27)</f>
        <v>9.2087875311719465</v>
      </c>
      <c r="E8" s="133">
        <f>IF(SER_hh_emih_in!E8=0,0,SER_hh_emih_in!E8/SER_summary!E$27)</f>
        <v>8.8168265186704637</v>
      </c>
      <c r="F8" s="133">
        <f>IF(SER_hh_emih_in!F8=0,0,SER_hh_emih_in!F8/SER_summary!F$27)</f>
        <v>9.7476321223778157</v>
      </c>
      <c r="G8" s="133">
        <f>IF(SER_hh_emih_in!G8=0,0,SER_hh_emih_in!G8/SER_summary!G$27)</f>
        <v>8.8473861407783456</v>
      </c>
      <c r="H8" s="133">
        <f>IF(SER_hh_emih_in!H8=0,0,SER_hh_emih_in!H8/SER_summary!H$27)</f>
        <v>8.32839825700575</v>
      </c>
      <c r="I8" s="133">
        <f>IF(SER_hh_emih_in!I8=0,0,SER_hh_emih_in!I8/SER_summary!I$27)</f>
        <v>6.9022813330730282</v>
      </c>
      <c r="J8" s="133">
        <f>IF(SER_hh_emih_in!J8=0,0,SER_hh_emih_in!J8/SER_summary!J$27)</f>
        <v>7.0555936316780965</v>
      </c>
      <c r="K8" s="133">
        <f>IF(SER_hh_emih_in!K8=0,0,SER_hh_emih_in!K8/SER_summary!K$27)</f>
        <v>6.7426885223454365</v>
      </c>
      <c r="L8" s="133">
        <f>IF(SER_hh_emih_in!L8=0,0,SER_hh_emih_in!L8/SER_summary!L$27)</f>
        <v>6.3341982608748397</v>
      </c>
      <c r="M8" s="133">
        <f>IF(SER_hh_emih_in!M8=0,0,SER_hh_emih_in!M8/SER_summary!M$27)</f>
        <v>4.836202094384034</v>
      </c>
      <c r="N8" s="133">
        <f>IF(SER_hh_emih_in!N8=0,0,SER_hh_emih_in!N8/SER_summary!N$27)</f>
        <v>4.9122638698709462</v>
      </c>
      <c r="O8" s="133">
        <f>IF(SER_hh_emih_in!O8=0,0,SER_hh_emih_in!O8/SER_summary!O$27)</f>
        <v>4.9957865045259409</v>
      </c>
      <c r="P8" s="133">
        <f>IF(SER_hh_emih_in!P8=0,0,SER_hh_emih_in!P8/SER_summary!P$27)</f>
        <v>3.5368259195996137</v>
      </c>
      <c r="Q8" s="133">
        <f>IF(SER_hh_emih_in!Q8=0,0,SER_hh_emih_in!Q8/SER_summary!Q$27)</f>
        <v>3.6873716550922895</v>
      </c>
      <c r="R8" s="133">
        <f>IF(SER_hh_emih_in!R8=0,0,SER_hh_emih_in!R8/SER_summary!R$27)</f>
        <v>3.5777696448495511</v>
      </c>
      <c r="S8" s="133">
        <f>IF(SER_hh_emih_in!S8=0,0,SER_hh_emih_in!S8/SER_summary!S$27)</f>
        <v>3.2555815454289303</v>
      </c>
      <c r="T8" s="133">
        <f>IF(SER_hh_emih_in!T8=0,0,SER_hh_emih_in!T8/SER_summary!T$27)</f>
        <v>3.0662853919596249</v>
      </c>
      <c r="U8" s="133">
        <f>IF(SER_hh_emih_in!U8=0,0,SER_hh_emih_in!U8/SER_summary!U$27)</f>
        <v>2.8781771689445064</v>
      </c>
      <c r="V8" s="133">
        <f>IF(SER_hh_emih_in!V8=0,0,SER_hh_emih_in!V8/SER_summary!V$27)</f>
        <v>2.5947775989130077</v>
      </c>
      <c r="W8" s="133">
        <f>IF(SER_hh_emih_in!W8=0,0,SER_hh_emih_in!W8/SER_summary!W$27)</f>
        <v>2.495399096814062</v>
      </c>
      <c r="DA8" s="157" t="s">
        <v>883</v>
      </c>
    </row>
    <row r="9" spans="1:105" ht="12" customHeight="1" x14ac:dyDescent="0.25">
      <c r="A9" s="132" t="s">
        <v>78</v>
      </c>
      <c r="B9" s="133"/>
      <c r="C9" s="133">
        <f>IF(SER_hh_emih_in!C9=0,0,SER_hh_emih_in!C9/SER_summary!C$27)</f>
        <v>26.593388943153602</v>
      </c>
      <c r="D9" s="133">
        <f>IF(SER_hh_emih_in!D9=0,0,SER_hh_emih_in!D9/SER_summary!D$27)</f>
        <v>24.613984011516866</v>
      </c>
      <c r="E9" s="133">
        <f>IF(SER_hh_emih_in!E9=0,0,SER_hh_emih_in!E9/SER_summary!E$27)</f>
        <v>25.603377487551931</v>
      </c>
      <c r="F9" s="133">
        <f>IF(SER_hh_emih_in!F9=0,0,SER_hh_emih_in!F9/SER_summary!F$27)</f>
        <v>0</v>
      </c>
      <c r="G9" s="133">
        <f>IF(SER_hh_emih_in!G9=0,0,SER_hh_emih_in!G9/SER_summary!G$27)</f>
        <v>0</v>
      </c>
      <c r="H9" s="133">
        <f>IF(SER_hh_emih_in!H9=0,0,SER_hh_emih_in!H9/SER_summary!H$27)</f>
        <v>27.146685272626751</v>
      </c>
      <c r="I9" s="133">
        <f>IF(SER_hh_emih_in!I9=0,0,SER_hh_emih_in!I9/SER_summary!I$27)</f>
        <v>23.789816550209558</v>
      </c>
      <c r="J9" s="133">
        <f>IF(SER_hh_emih_in!J9=0,0,SER_hh_emih_in!J9/SER_summary!J$27)</f>
        <v>25.926581969227286</v>
      </c>
      <c r="K9" s="133">
        <f>IF(SER_hh_emih_in!K9=0,0,SER_hh_emih_in!K9/SER_summary!K$27)</f>
        <v>26.100894962271045</v>
      </c>
      <c r="L9" s="133">
        <f>IF(SER_hh_emih_in!L9=0,0,SER_hh_emih_in!L9/SER_summary!L$27)</f>
        <v>26.798691216560727</v>
      </c>
      <c r="M9" s="133">
        <f>IF(SER_hh_emih_in!M9=0,0,SER_hh_emih_in!M9/SER_summary!M$27)</f>
        <v>19.51008230512851</v>
      </c>
      <c r="N9" s="133">
        <f>IF(SER_hh_emih_in!N9=0,0,SER_hh_emih_in!N9/SER_summary!N$27)</f>
        <v>21.051474642138068</v>
      </c>
      <c r="O9" s="133">
        <f>IF(SER_hh_emih_in!O9=0,0,SER_hh_emih_in!O9/SER_summary!O$27)</f>
        <v>21.974670638779084</v>
      </c>
      <c r="P9" s="133">
        <f>IF(SER_hh_emih_in!P9=0,0,SER_hh_emih_in!P9/SER_summary!P$27)</f>
        <v>15.298912148975223</v>
      </c>
      <c r="Q9" s="133">
        <f>IF(SER_hh_emih_in!Q9=0,0,SER_hh_emih_in!Q9/SER_summary!Q$27)</f>
        <v>16.466680778594302</v>
      </c>
      <c r="R9" s="133">
        <f>IF(SER_hh_emih_in!R9=0,0,SER_hh_emih_in!R9/SER_summary!R$27)</f>
        <v>16.346540287735785</v>
      </c>
      <c r="S9" s="133">
        <f>IF(SER_hh_emih_in!S9=0,0,SER_hh_emih_in!S9/SER_summary!S$27)</f>
        <v>15.137429340611783</v>
      </c>
      <c r="T9" s="133">
        <f>IF(SER_hh_emih_in!T9=0,0,SER_hh_emih_in!T9/SER_summary!T$27)</f>
        <v>14.410644540169912</v>
      </c>
      <c r="U9" s="133">
        <f>IF(SER_hh_emih_in!U9=0,0,SER_hh_emih_in!U9/SER_summary!U$27)</f>
        <v>13.390076571379772</v>
      </c>
      <c r="V9" s="133">
        <f>IF(SER_hh_emih_in!V9=0,0,SER_hh_emih_in!V9/SER_summary!V$27)</f>
        <v>11.449740176743031</v>
      </c>
      <c r="W9" s="133">
        <f>IF(SER_hh_emih_in!W9=0,0,SER_hh_emih_in!W9/SER_summary!W$27)</f>
        <v>11.512819673834629</v>
      </c>
      <c r="DA9" s="157" t="s">
        <v>884</v>
      </c>
    </row>
    <row r="10" spans="1:105" ht="12" customHeight="1" x14ac:dyDescent="0.25">
      <c r="A10" s="132" t="s">
        <v>128</v>
      </c>
      <c r="B10" s="133"/>
      <c r="C10" s="133">
        <f>IF(SER_hh_emih_in!C10=0,0,SER_hh_emih_in!C10/SER_summary!C$27)</f>
        <v>0</v>
      </c>
      <c r="D10" s="133">
        <f>IF(SER_hh_emih_in!D10=0,0,SER_hh_emih_in!D10/SER_summary!D$27)</f>
        <v>0</v>
      </c>
      <c r="E10" s="133">
        <f>IF(SER_hh_emih_in!E10=0,0,SER_hh_emih_in!E10/SER_summary!E$27)</f>
        <v>0</v>
      </c>
      <c r="F10" s="133">
        <f>IF(SER_hh_emih_in!F10=0,0,SER_hh_emih_in!F10/SER_summary!F$27)</f>
        <v>149.21753578626638</v>
      </c>
      <c r="G10" s="133">
        <f>IF(SER_hh_emih_in!G10=0,0,SER_hh_emih_in!G10/SER_summary!G$27)</f>
        <v>127.68705985581806</v>
      </c>
      <c r="H10" s="133">
        <f>IF(SER_hh_emih_in!H10=0,0,SER_hh_emih_in!H10/SER_summary!H$27)</f>
        <v>111.14586090044227</v>
      </c>
      <c r="I10" s="133">
        <f>IF(SER_hh_emih_in!I10=0,0,SER_hh_emih_in!I10/SER_summary!I$27)</f>
        <v>0</v>
      </c>
      <c r="J10" s="133">
        <f>IF(SER_hh_emih_in!J10=0,0,SER_hh_emih_in!J10/SER_summary!J$27)</f>
        <v>0</v>
      </c>
      <c r="K10" s="133">
        <f>IF(SER_hh_emih_in!K10=0,0,SER_hh_emih_in!K10/SER_summary!K$27)</f>
        <v>0</v>
      </c>
      <c r="L10" s="133">
        <f>IF(SER_hh_emih_in!L10=0,0,SER_hh_emih_in!L10/SER_summary!L$27)</f>
        <v>0</v>
      </c>
      <c r="M10" s="133">
        <f>IF(SER_hh_emih_in!M10=0,0,SER_hh_emih_in!M10/SER_summary!M$27)</f>
        <v>0</v>
      </c>
      <c r="N10" s="133">
        <f>IF(SER_hh_emih_in!N10=0,0,SER_hh_emih_in!N10/SER_summary!N$27)</f>
        <v>0</v>
      </c>
      <c r="O10" s="133">
        <f>IF(SER_hh_emih_in!O10=0,0,SER_hh_emih_in!O10/SER_summary!O$27)</f>
        <v>49.341670155660303</v>
      </c>
      <c r="P10" s="133">
        <f>IF(SER_hh_emih_in!P10=0,0,SER_hh_emih_in!P10/SER_summary!P$27)</f>
        <v>35.888486671253176</v>
      </c>
      <c r="Q10" s="133">
        <f>IF(SER_hh_emih_in!Q10=0,0,SER_hh_emih_in!Q10/SER_summary!Q$27)</f>
        <v>40.706423760066009</v>
      </c>
      <c r="R10" s="133">
        <f>IF(SER_hh_emih_in!R10=0,0,SER_hh_emih_in!R10/SER_summary!R$27)</f>
        <v>36.920972587390864</v>
      </c>
      <c r="S10" s="133">
        <f>IF(SER_hh_emih_in!S10=0,0,SER_hh_emih_in!S10/SER_summary!S$27)</f>
        <v>34.183285816049057</v>
      </c>
      <c r="T10" s="133">
        <f>IF(SER_hh_emih_in!T10=0,0,SER_hh_emih_in!T10/SER_summary!T$27)</f>
        <v>31.226695335615435</v>
      </c>
      <c r="U10" s="133">
        <f>IF(SER_hh_emih_in!U10=0,0,SER_hh_emih_in!U10/SER_summary!U$27)</f>
        <v>28.110105623892373</v>
      </c>
      <c r="V10" s="133">
        <f>IF(SER_hh_emih_in!V10=0,0,SER_hh_emih_in!V10/SER_summary!V$27)</f>
        <v>26.447085826843594</v>
      </c>
      <c r="W10" s="133">
        <f>IF(SER_hh_emih_in!W10=0,0,SER_hh_emih_in!W10/SER_summary!W$27)</f>
        <v>22.863956564599668</v>
      </c>
      <c r="DA10" s="157" t="s">
        <v>885</v>
      </c>
    </row>
    <row r="11" spans="1:105" ht="12" customHeight="1" x14ac:dyDescent="0.25">
      <c r="A11" s="132" t="s">
        <v>25</v>
      </c>
      <c r="B11" s="133"/>
      <c r="C11" s="133">
        <f>IF(SER_hh_emih_in!C11=0,0,SER_hh_emih_in!C11/SER_summary!C$27)</f>
        <v>0</v>
      </c>
      <c r="D11" s="133">
        <f>IF(SER_hh_emih_in!D11=0,0,SER_hh_emih_in!D11/SER_summary!D$27)</f>
        <v>0</v>
      </c>
      <c r="E11" s="133">
        <f>IF(SER_hh_emih_in!E11=0,0,SER_hh_emih_in!E11/SER_summary!E$27)</f>
        <v>0</v>
      </c>
      <c r="F11" s="133">
        <f>IF(SER_hh_emih_in!F11=0,0,SER_hh_emih_in!F11/SER_summary!F$27)</f>
        <v>0</v>
      </c>
      <c r="G11" s="133">
        <f>IF(SER_hh_emih_in!G11=0,0,SER_hh_emih_in!G11/SER_summary!G$27)</f>
        <v>0</v>
      </c>
      <c r="H11" s="133">
        <f>IF(SER_hh_emih_in!H11=0,0,SER_hh_emih_in!H11/SER_summary!H$27)</f>
        <v>0</v>
      </c>
      <c r="I11" s="133">
        <f>IF(SER_hh_emih_in!I11=0,0,SER_hh_emih_in!I11/SER_summary!I$27)</f>
        <v>0</v>
      </c>
      <c r="J11" s="133">
        <f>IF(SER_hh_emih_in!J11=0,0,SER_hh_emih_in!J11/SER_summary!J$27)</f>
        <v>0</v>
      </c>
      <c r="K11" s="133">
        <f>IF(SER_hh_emih_in!K11=0,0,SER_hh_emih_in!K11/SER_summary!K$27)</f>
        <v>0</v>
      </c>
      <c r="L11" s="133">
        <f>IF(SER_hh_emih_in!L11=0,0,SER_hh_emih_in!L11/SER_summary!L$27)</f>
        <v>0</v>
      </c>
      <c r="M11" s="133">
        <f>IF(SER_hh_emih_in!M11=0,0,SER_hh_emih_in!M11/SER_summary!M$27)</f>
        <v>0</v>
      </c>
      <c r="N11" s="133">
        <f>IF(SER_hh_emih_in!N11=0,0,SER_hh_emih_in!N11/SER_summary!N$27)</f>
        <v>0</v>
      </c>
      <c r="O11" s="133">
        <f>IF(SER_hh_emih_in!O11=0,0,SER_hh_emih_in!O11/SER_summary!O$27)</f>
        <v>0</v>
      </c>
      <c r="P11" s="133">
        <f>IF(SER_hh_emih_in!P11=0,0,SER_hh_emih_in!P11/SER_summary!P$27)</f>
        <v>0</v>
      </c>
      <c r="Q11" s="133">
        <f>IF(SER_hh_emih_in!Q11=0,0,SER_hh_emih_in!Q11/SER_summary!Q$27)</f>
        <v>0</v>
      </c>
      <c r="R11" s="133">
        <f>IF(SER_hh_emih_in!R11=0,0,SER_hh_emih_in!R11/SER_summary!R$27)</f>
        <v>0</v>
      </c>
      <c r="S11" s="133">
        <f>IF(SER_hh_emih_in!S11=0,0,SER_hh_emih_in!S11/SER_summary!S$27)</f>
        <v>0</v>
      </c>
      <c r="T11" s="133">
        <f>IF(SER_hh_emih_in!T11=0,0,SER_hh_emih_in!T11/SER_summary!T$27)</f>
        <v>0</v>
      </c>
      <c r="U11" s="133">
        <f>IF(SER_hh_emih_in!U11=0,0,SER_hh_emih_in!U11/SER_summary!U$27)</f>
        <v>0</v>
      </c>
      <c r="V11" s="133">
        <f>IF(SER_hh_emih_in!V11=0,0,SER_hh_emih_in!V11/SER_summary!V$27)</f>
        <v>0</v>
      </c>
      <c r="W11" s="133">
        <f>IF(SER_hh_emih_in!W11=0,0,SER_hh_emih_in!W11/SER_summary!W$27)</f>
        <v>0</v>
      </c>
      <c r="DA11" s="157" t="s">
        <v>886</v>
      </c>
    </row>
    <row r="12" spans="1:105" ht="12" customHeight="1" x14ac:dyDescent="0.25">
      <c r="A12" s="132" t="s">
        <v>169</v>
      </c>
      <c r="B12" s="133"/>
      <c r="C12" s="133">
        <f>IF(SER_hh_emih_in!C12=0,0,SER_hh_emih_in!C12/SER_summary!C$27)</f>
        <v>0</v>
      </c>
      <c r="D12" s="133">
        <f>IF(SER_hh_emih_in!D12=0,0,SER_hh_emih_in!D12/SER_summary!D$27)</f>
        <v>0</v>
      </c>
      <c r="E12" s="133">
        <f>IF(SER_hh_emih_in!E12=0,0,SER_hh_emih_in!E12/SER_summary!E$27)</f>
        <v>0</v>
      </c>
      <c r="F12" s="133">
        <f>IF(SER_hh_emih_in!F12=0,0,SER_hh_emih_in!F12/SER_summary!F$27)</f>
        <v>0</v>
      </c>
      <c r="G12" s="133">
        <f>IF(SER_hh_emih_in!G12=0,0,SER_hh_emih_in!G12/SER_summary!G$27)</f>
        <v>0</v>
      </c>
      <c r="H12" s="133">
        <f>IF(SER_hh_emih_in!H12=0,0,SER_hh_emih_in!H12/SER_summary!H$27)</f>
        <v>0</v>
      </c>
      <c r="I12" s="133">
        <f>IF(SER_hh_emih_in!I12=0,0,SER_hh_emih_in!I12/SER_summary!I$27)</f>
        <v>0</v>
      </c>
      <c r="J12" s="133">
        <f>IF(SER_hh_emih_in!J12=0,0,SER_hh_emih_in!J12/SER_summary!J$27)</f>
        <v>0</v>
      </c>
      <c r="K12" s="133">
        <f>IF(SER_hh_emih_in!K12=0,0,SER_hh_emih_in!K12/SER_summary!K$27)</f>
        <v>0</v>
      </c>
      <c r="L12" s="133">
        <f>IF(SER_hh_emih_in!L12=0,0,SER_hh_emih_in!L12/SER_summary!L$27)</f>
        <v>0</v>
      </c>
      <c r="M12" s="133">
        <f>IF(SER_hh_emih_in!M12=0,0,SER_hh_emih_in!M12/SER_summary!M$27)</f>
        <v>0</v>
      </c>
      <c r="N12" s="133">
        <f>IF(SER_hh_emih_in!N12=0,0,SER_hh_emih_in!N12/SER_summary!N$27)</f>
        <v>0</v>
      </c>
      <c r="O12" s="133">
        <f>IF(SER_hh_emih_in!O12=0,0,SER_hh_emih_in!O12/SER_summary!O$27)</f>
        <v>0</v>
      </c>
      <c r="P12" s="133">
        <f>IF(SER_hh_emih_in!P12=0,0,SER_hh_emih_in!P12/SER_summary!P$27)</f>
        <v>0</v>
      </c>
      <c r="Q12" s="133">
        <f>IF(SER_hh_emih_in!Q12=0,0,SER_hh_emih_in!Q12/SER_summary!Q$27)</f>
        <v>0</v>
      </c>
      <c r="R12" s="133">
        <f>IF(SER_hh_emih_in!R12=0,0,SER_hh_emih_in!R12/SER_summary!R$27)</f>
        <v>0</v>
      </c>
      <c r="S12" s="133">
        <f>IF(SER_hh_emih_in!S12=0,0,SER_hh_emih_in!S12/SER_summary!S$27)</f>
        <v>0</v>
      </c>
      <c r="T12" s="133">
        <f>IF(SER_hh_emih_in!T12=0,0,SER_hh_emih_in!T12/SER_summary!T$27)</f>
        <v>0</v>
      </c>
      <c r="U12" s="133">
        <f>IF(SER_hh_emih_in!U12=0,0,SER_hh_emih_in!U12/SER_summary!U$27)</f>
        <v>0</v>
      </c>
      <c r="V12" s="133">
        <f>IF(SER_hh_emih_in!V12=0,0,SER_hh_emih_in!V12/SER_summary!V$27)</f>
        <v>0</v>
      </c>
      <c r="W12" s="133">
        <f>IF(SER_hh_emih_in!W12=0,0,SER_hh_emih_in!W12/SER_summary!W$27)</f>
        <v>0</v>
      </c>
      <c r="DA12" s="157" t="s">
        <v>887</v>
      </c>
    </row>
    <row r="13" spans="1:105" ht="12" customHeight="1" x14ac:dyDescent="0.25">
      <c r="A13" s="132" t="s">
        <v>77</v>
      </c>
      <c r="B13" s="133"/>
      <c r="C13" s="133">
        <f>IF(SER_hh_emih_in!C13=0,0,SER_hh_emih_in!C13/SER_summary!C$27)</f>
        <v>0</v>
      </c>
      <c r="D13" s="133">
        <f>IF(SER_hh_emih_in!D13=0,0,SER_hh_emih_in!D13/SER_summary!D$27)</f>
        <v>0</v>
      </c>
      <c r="E13" s="133">
        <f>IF(SER_hh_emih_in!E13=0,0,SER_hh_emih_in!E13/SER_summary!E$27)</f>
        <v>0</v>
      </c>
      <c r="F13" s="133">
        <f>IF(SER_hh_emih_in!F13=0,0,SER_hh_emih_in!F13/SER_summary!F$27)</f>
        <v>0</v>
      </c>
      <c r="G13" s="133">
        <f>IF(SER_hh_emih_in!G13=0,0,SER_hh_emih_in!G13/SER_summary!G$27)</f>
        <v>0</v>
      </c>
      <c r="H13" s="133">
        <f>IF(SER_hh_emih_in!H13=0,0,SER_hh_emih_in!H13/SER_summary!H$27)</f>
        <v>0</v>
      </c>
      <c r="I13" s="133">
        <f>IF(SER_hh_emih_in!I13=0,0,SER_hh_emih_in!I13/SER_summary!I$27)</f>
        <v>0</v>
      </c>
      <c r="J13" s="133">
        <f>IF(SER_hh_emih_in!J13=0,0,SER_hh_emih_in!J13/SER_summary!J$27)</f>
        <v>0</v>
      </c>
      <c r="K13" s="133">
        <f>IF(SER_hh_emih_in!K13=0,0,SER_hh_emih_in!K13/SER_summary!K$27)</f>
        <v>0</v>
      </c>
      <c r="L13" s="133">
        <f>IF(SER_hh_emih_in!L13=0,0,SER_hh_emih_in!L13/SER_summary!L$27)</f>
        <v>0</v>
      </c>
      <c r="M13" s="133">
        <f>IF(SER_hh_emih_in!M13=0,0,SER_hh_emih_in!M13/SER_summary!M$27)</f>
        <v>0</v>
      </c>
      <c r="N13" s="133">
        <f>IF(SER_hh_emih_in!N13=0,0,SER_hh_emih_in!N13/SER_summary!N$27)</f>
        <v>0</v>
      </c>
      <c r="O13" s="133">
        <f>IF(SER_hh_emih_in!O13=0,0,SER_hh_emih_in!O13/SER_summary!O$27)</f>
        <v>0</v>
      </c>
      <c r="P13" s="133">
        <f>IF(SER_hh_emih_in!P13=0,0,SER_hh_emih_in!P13/SER_summary!P$27)</f>
        <v>0</v>
      </c>
      <c r="Q13" s="133">
        <f>IF(SER_hh_emih_in!Q13=0,0,SER_hh_emih_in!Q13/SER_summary!Q$27)</f>
        <v>0</v>
      </c>
      <c r="R13" s="133">
        <f>IF(SER_hh_emih_in!R13=0,0,SER_hh_emih_in!R13/SER_summary!R$27)</f>
        <v>0</v>
      </c>
      <c r="S13" s="133">
        <f>IF(SER_hh_emih_in!S13=0,0,SER_hh_emih_in!S13/SER_summary!S$27)</f>
        <v>0</v>
      </c>
      <c r="T13" s="133">
        <f>IF(SER_hh_emih_in!T13=0,0,SER_hh_emih_in!T13/SER_summary!T$27)</f>
        <v>0</v>
      </c>
      <c r="U13" s="133">
        <f>IF(SER_hh_emih_in!U13=0,0,SER_hh_emih_in!U13/SER_summary!U$27)</f>
        <v>0</v>
      </c>
      <c r="V13" s="133">
        <f>IF(SER_hh_emih_in!V13=0,0,SER_hh_emih_in!V13/SER_summary!V$27)</f>
        <v>0</v>
      </c>
      <c r="W13" s="133">
        <f>IF(SER_hh_emih_in!W13=0,0,SER_hh_emih_in!W13/SER_summary!W$27)</f>
        <v>0</v>
      </c>
      <c r="DA13" s="157" t="s">
        <v>888</v>
      </c>
    </row>
    <row r="14" spans="1:105" ht="12" customHeight="1" x14ac:dyDescent="0.25">
      <c r="A14" s="60" t="s">
        <v>76</v>
      </c>
      <c r="B14" s="65"/>
      <c r="C14" s="65">
        <f>IF(SER_hh_emih_in!C14=0,0,SER_hh_emih_in!C14/SER_summary!C$27)</f>
        <v>0</v>
      </c>
      <c r="D14" s="65">
        <f>IF(SER_hh_emih_in!D14=0,0,SER_hh_emih_in!D14/SER_summary!D$27)</f>
        <v>0</v>
      </c>
      <c r="E14" s="65">
        <f>IF(SER_hh_emih_in!E14=0,0,SER_hh_emih_in!E14/SER_summary!E$27)</f>
        <v>0</v>
      </c>
      <c r="F14" s="65">
        <f>IF(SER_hh_emih_in!F14=0,0,SER_hh_emih_in!F14/SER_summary!F$27)</f>
        <v>0</v>
      </c>
      <c r="G14" s="65">
        <f>IF(SER_hh_emih_in!G14=0,0,SER_hh_emih_in!G14/SER_summary!G$27)</f>
        <v>0</v>
      </c>
      <c r="H14" s="65">
        <f>IF(SER_hh_emih_in!H14=0,0,SER_hh_emih_in!H14/SER_summary!H$27)</f>
        <v>0</v>
      </c>
      <c r="I14" s="65">
        <f>IF(SER_hh_emih_in!I14=0,0,SER_hh_emih_in!I14/SER_summary!I$27)</f>
        <v>0</v>
      </c>
      <c r="J14" s="65">
        <f>IF(SER_hh_emih_in!J14=0,0,SER_hh_emih_in!J14/SER_summary!J$27)</f>
        <v>0</v>
      </c>
      <c r="K14" s="65">
        <f>IF(SER_hh_emih_in!K14=0,0,SER_hh_emih_in!K14/SER_summary!K$27)</f>
        <v>0</v>
      </c>
      <c r="L14" s="65">
        <f>IF(SER_hh_emih_in!L14=0,0,SER_hh_emih_in!L14/SER_summary!L$27)</f>
        <v>0</v>
      </c>
      <c r="M14" s="65">
        <f>IF(SER_hh_emih_in!M14=0,0,SER_hh_emih_in!M14/SER_summary!M$27)</f>
        <v>0</v>
      </c>
      <c r="N14" s="65">
        <f>IF(SER_hh_emih_in!N14=0,0,SER_hh_emih_in!N14/SER_summary!N$27)</f>
        <v>0</v>
      </c>
      <c r="O14" s="65">
        <f>IF(SER_hh_emih_in!O14=0,0,SER_hh_emih_in!O14/SER_summary!O$27)</f>
        <v>0</v>
      </c>
      <c r="P14" s="65">
        <f>IF(SER_hh_emih_in!P14=0,0,SER_hh_emih_in!P14/SER_summary!P$27)</f>
        <v>0</v>
      </c>
      <c r="Q14" s="65">
        <f>IF(SER_hh_emih_in!Q14=0,0,SER_hh_emih_in!Q14/SER_summary!Q$27)</f>
        <v>0</v>
      </c>
      <c r="R14" s="65">
        <f>IF(SER_hh_emih_in!R14=0,0,SER_hh_emih_in!R14/SER_summary!R$27)</f>
        <v>0</v>
      </c>
      <c r="S14" s="65">
        <f>IF(SER_hh_emih_in!S14=0,0,SER_hh_emih_in!S14/SER_summary!S$27)</f>
        <v>0</v>
      </c>
      <c r="T14" s="65">
        <f>IF(SER_hh_emih_in!T14=0,0,SER_hh_emih_in!T14/SER_summary!T$27)</f>
        <v>0</v>
      </c>
      <c r="U14" s="65">
        <f>IF(SER_hh_emih_in!U14=0,0,SER_hh_emih_in!U14/SER_summary!U$27)</f>
        <v>0</v>
      </c>
      <c r="V14" s="65">
        <f>IF(SER_hh_emih_in!V14=0,0,SER_hh_emih_in!V14/SER_summary!V$27)</f>
        <v>0</v>
      </c>
      <c r="W14" s="65">
        <f>IF(SER_hh_emih_in!W14=0,0,SER_hh_emih_in!W14/SER_summary!W$27)</f>
        <v>0</v>
      </c>
      <c r="DA14" s="109" t="s">
        <v>889</v>
      </c>
    </row>
    <row r="15" spans="1:105" ht="12" customHeight="1" x14ac:dyDescent="0.25">
      <c r="A15" s="134" t="s">
        <v>80</v>
      </c>
      <c r="B15" s="135"/>
      <c r="C15" s="135">
        <f>IF(SER_hh_emih_in!C15=0,0,SER_hh_emih_in!C15/SER_summary!C$27)</f>
        <v>0</v>
      </c>
      <c r="D15" s="135">
        <f>IF(SER_hh_emih_in!D15=0,0,SER_hh_emih_in!D15/SER_summary!D$27)</f>
        <v>0</v>
      </c>
      <c r="E15" s="135">
        <f>IF(SER_hh_emih_in!E15=0,0,SER_hh_emih_in!E15/SER_summary!E$27)</f>
        <v>0</v>
      </c>
      <c r="F15" s="135">
        <f>IF(SER_hh_emih_in!F15=0,0,SER_hh_emih_in!F15/SER_summary!F$27)</f>
        <v>0</v>
      </c>
      <c r="G15" s="135">
        <f>IF(SER_hh_emih_in!G15=0,0,SER_hh_emih_in!G15/SER_summary!G$27)</f>
        <v>0</v>
      </c>
      <c r="H15" s="135">
        <f>IF(SER_hh_emih_in!H15=0,0,SER_hh_emih_in!H15/SER_summary!H$27)</f>
        <v>0</v>
      </c>
      <c r="I15" s="135">
        <f>IF(SER_hh_emih_in!I15=0,0,SER_hh_emih_in!I15/SER_summary!I$27)</f>
        <v>0</v>
      </c>
      <c r="J15" s="135">
        <f>IF(SER_hh_emih_in!J15=0,0,SER_hh_emih_in!J15/SER_summary!J$27)</f>
        <v>0</v>
      </c>
      <c r="K15" s="135">
        <f>IF(SER_hh_emih_in!K15=0,0,SER_hh_emih_in!K15/SER_summary!K$27)</f>
        <v>0</v>
      </c>
      <c r="L15" s="135">
        <f>IF(SER_hh_emih_in!L15=0,0,SER_hh_emih_in!L15/SER_summary!L$27)</f>
        <v>0</v>
      </c>
      <c r="M15" s="135">
        <f>IF(SER_hh_emih_in!M15=0,0,SER_hh_emih_in!M15/SER_summary!M$27)</f>
        <v>0</v>
      </c>
      <c r="N15" s="135">
        <f>IF(SER_hh_emih_in!N15=0,0,SER_hh_emih_in!N15/SER_summary!N$27)</f>
        <v>0</v>
      </c>
      <c r="O15" s="135">
        <f>IF(SER_hh_emih_in!O15=0,0,SER_hh_emih_in!O15/SER_summary!O$27)</f>
        <v>0</v>
      </c>
      <c r="P15" s="135">
        <f>IF(SER_hh_emih_in!P15=0,0,SER_hh_emih_in!P15/SER_summary!P$27)</f>
        <v>0</v>
      </c>
      <c r="Q15" s="135">
        <f>IF(SER_hh_emih_in!Q15=0,0,SER_hh_emih_in!Q15/SER_summary!Q$27)</f>
        <v>0</v>
      </c>
      <c r="R15" s="135">
        <f>IF(SER_hh_emih_in!R15=0,0,SER_hh_emih_in!R15/SER_summary!R$27)</f>
        <v>0</v>
      </c>
      <c r="S15" s="135">
        <f>IF(SER_hh_emih_in!S15=0,0,SER_hh_emih_in!S15/SER_summary!S$27)</f>
        <v>0</v>
      </c>
      <c r="T15" s="135">
        <f>IF(SER_hh_emih_in!T15=0,0,SER_hh_emih_in!T15/SER_summary!T$27)</f>
        <v>0</v>
      </c>
      <c r="U15" s="135">
        <f>IF(SER_hh_emih_in!U15=0,0,SER_hh_emih_in!U15/SER_summary!U$27)</f>
        <v>0</v>
      </c>
      <c r="V15" s="135">
        <f>IF(SER_hh_emih_in!V15=0,0,SER_hh_emih_in!V15/SER_summary!V$27)</f>
        <v>0</v>
      </c>
      <c r="W15" s="135">
        <f>IF(SER_hh_emih_in!W15=0,0,SER_hh_emih_in!W15/SER_summary!W$27)</f>
        <v>0</v>
      </c>
      <c r="DA15" s="158" t="s">
        <v>890</v>
      </c>
    </row>
    <row r="16" spans="1:105" ht="12.95" customHeight="1" x14ac:dyDescent="0.25">
      <c r="A16" s="130" t="s">
        <v>74</v>
      </c>
      <c r="B16" s="131"/>
      <c r="C16" s="131">
        <f>IF(SER_hh_emih_in!C16=0,0,SER_hh_emih_in!C16/SER_summary!C$27)</f>
        <v>5.2232961719383001E-3</v>
      </c>
      <c r="D16" s="131">
        <f>IF(SER_hh_emih_in!D16=0,0,SER_hh_emih_in!D16/SER_summary!D$27)</f>
        <v>5.768128863726886E-3</v>
      </c>
      <c r="E16" s="131">
        <f>IF(SER_hh_emih_in!E16=0,0,SER_hh_emih_in!E16/SER_summary!E$27)</f>
        <v>8.3207523290599846E-4</v>
      </c>
      <c r="F16" s="131">
        <f>IF(SER_hh_emih_in!F16=0,0,SER_hh_emih_in!F16/SER_summary!F$27)</f>
        <v>1.253767231371402E-2</v>
      </c>
      <c r="G16" s="131">
        <f>IF(SER_hh_emih_in!G16=0,0,SER_hh_emih_in!G16/SER_summary!G$27)</f>
        <v>9.4827546518989649E-3</v>
      </c>
      <c r="H16" s="131">
        <f>IF(SER_hh_emih_in!H16=0,0,SER_hh_emih_in!H16/SER_summary!H$27)</f>
        <v>5.2153174843220301E-3</v>
      </c>
      <c r="I16" s="131">
        <f>IF(SER_hh_emih_in!I16=0,0,SER_hh_emih_in!I16/SER_summary!I$27)</f>
        <v>1.3678293131837507E-2</v>
      </c>
      <c r="J16" s="131">
        <f>IF(SER_hh_emih_in!J16=0,0,SER_hh_emih_in!J16/SER_summary!J$27)</f>
        <v>1.4991304656396356E-2</v>
      </c>
      <c r="K16" s="131">
        <f>IF(SER_hh_emih_in!K16=0,0,SER_hh_emih_in!K16/SER_summary!K$27)</f>
        <v>1.4616058125092363E-2</v>
      </c>
      <c r="L16" s="131">
        <f>IF(SER_hh_emih_in!L16=0,0,SER_hh_emih_in!L16/SER_summary!L$27)</f>
        <v>7.4016654622453904E-3</v>
      </c>
      <c r="M16" s="131">
        <f>IF(SER_hh_emih_in!M16=0,0,SER_hh_emih_in!M16/SER_summary!M$27)</f>
        <v>1.1933805063002671E-2</v>
      </c>
      <c r="N16" s="131">
        <f>IF(SER_hh_emih_in!N16=0,0,SER_hh_emih_in!N16/SER_summary!N$27)</f>
        <v>1.2883874355538798E-2</v>
      </c>
      <c r="O16" s="131">
        <f>IF(SER_hh_emih_in!O16=0,0,SER_hh_emih_in!O16/SER_summary!O$27)</f>
        <v>1.8751144564568646E-2</v>
      </c>
      <c r="P16" s="131">
        <f>IF(SER_hh_emih_in!P16=0,0,SER_hh_emih_in!P16/SER_summary!P$27)</f>
        <v>2.9597085730072581E-2</v>
      </c>
      <c r="Q16" s="131">
        <f>IF(SER_hh_emih_in!Q16=0,0,SER_hh_emih_in!Q16/SER_summary!Q$27)</f>
        <v>4.7037794617328439E-2</v>
      </c>
      <c r="R16" s="131">
        <f>IF(SER_hh_emih_in!R16=0,0,SER_hh_emih_in!R16/SER_summary!R$27)</f>
        <v>3.0129328115621613E-2</v>
      </c>
      <c r="S16" s="131">
        <f>IF(SER_hh_emih_in!S16=0,0,SER_hh_emih_in!S16/SER_summary!S$27)</f>
        <v>1.9385277420141869E-2</v>
      </c>
      <c r="T16" s="131">
        <f>IF(SER_hh_emih_in!T16=0,0,SER_hh_emih_in!T16/SER_summary!T$27)</f>
        <v>3.5521913030708945E-2</v>
      </c>
      <c r="U16" s="131">
        <f>IF(SER_hh_emih_in!U16=0,0,SER_hh_emih_in!U16/SER_summary!U$27)</f>
        <v>3.8535791465141807E-2</v>
      </c>
      <c r="V16" s="131">
        <f>IF(SER_hh_emih_in!V16=0,0,SER_hh_emih_in!V16/SER_summary!V$27)</f>
        <v>4.9307175858404849E-2</v>
      </c>
      <c r="W16" s="131">
        <f>IF(SER_hh_emih_in!W16=0,0,SER_hh_emih_in!W16/SER_summary!W$27)</f>
        <v>4.1625724873304085E-3</v>
      </c>
      <c r="DA16" s="156" t="s">
        <v>891</v>
      </c>
    </row>
    <row r="17" spans="1:105" ht="12.95" customHeight="1" x14ac:dyDescent="0.25">
      <c r="A17" s="132" t="s">
        <v>73</v>
      </c>
      <c r="B17" s="133"/>
      <c r="C17" s="133">
        <f>IF(SER_hh_emih_in!C17=0,0,SER_hh_emih_in!C17/SER_summary!C$27)</f>
        <v>4.6132339259430433</v>
      </c>
      <c r="D17" s="133">
        <f>IF(SER_hh_emih_in!D17=0,0,SER_hh_emih_in!D17/SER_summary!D$27)</f>
        <v>4.562163959290567</v>
      </c>
      <c r="E17" s="133">
        <f>IF(SER_hh_emih_in!E17=0,0,SER_hh_emih_in!E17/SER_summary!E$27)</f>
        <v>5.7514461897782718</v>
      </c>
      <c r="F17" s="133">
        <f>IF(SER_hh_emih_in!F17=0,0,SER_hh_emih_in!F17/SER_summary!F$27)</f>
        <v>4.4508869657368964</v>
      </c>
      <c r="G17" s="133">
        <f>IF(SER_hh_emih_in!G17=0,0,SER_hh_emih_in!G17/SER_summary!G$27)</f>
        <v>4.4801955663863868</v>
      </c>
      <c r="H17" s="133">
        <f>IF(SER_hh_emih_in!H17=0,0,SER_hh_emih_in!H17/SER_summary!H$27)</f>
        <v>5.5447131228636497</v>
      </c>
      <c r="I17" s="133">
        <f>IF(SER_hh_emih_in!I17=0,0,SER_hh_emih_in!I17/SER_summary!I$27)</f>
        <v>4.2965995372019332</v>
      </c>
      <c r="J17" s="133">
        <f>IF(SER_hh_emih_in!J17=0,0,SER_hh_emih_in!J17/SER_summary!J$27)</f>
        <v>4.2789068505582213</v>
      </c>
      <c r="K17" s="133">
        <f>IF(SER_hh_emih_in!K17=0,0,SER_hh_emih_in!K17/SER_summary!K$27)</f>
        <v>4.2419909615331104</v>
      </c>
      <c r="L17" s="133">
        <f>IF(SER_hh_emih_in!L17=0,0,SER_hh_emih_in!L17/SER_summary!L$27)</f>
        <v>4.4397758430238916</v>
      </c>
      <c r="M17" s="133">
        <f>IF(SER_hh_emih_in!M17=0,0,SER_hh_emih_in!M17/SER_summary!M$27)</f>
        <v>4.0807938836698945</v>
      </c>
      <c r="N17" s="133">
        <f>IF(SER_hh_emih_in!N17=0,0,SER_hh_emih_in!N17/SER_summary!N$27)</f>
        <v>4.0018481765294469</v>
      </c>
      <c r="O17" s="133">
        <f>IF(SER_hh_emih_in!O17=0,0,SER_hh_emih_in!O17/SER_summary!O$27)</f>
        <v>3.8960155983565454</v>
      </c>
      <c r="P17" s="133">
        <f>IF(SER_hh_emih_in!P17=0,0,SER_hh_emih_in!P17/SER_summary!P$27)</f>
        <v>3.5851016075924669</v>
      </c>
      <c r="Q17" s="133">
        <f>IF(SER_hh_emih_in!Q17=0,0,SER_hh_emih_in!Q17/SER_summary!Q$27)</f>
        <v>3.8510266985530905</v>
      </c>
      <c r="R17" s="133">
        <f>IF(SER_hh_emih_in!R17=0,0,SER_hh_emih_in!R17/SER_summary!R$27)</f>
        <v>3.5655632712697485</v>
      </c>
      <c r="S17" s="133">
        <f>IF(SER_hh_emih_in!S17=0,0,SER_hh_emih_in!S17/SER_summary!S$27)</f>
        <v>3.2172474404180043</v>
      </c>
      <c r="T17" s="133">
        <f>IF(SER_hh_emih_in!T17=0,0,SER_hh_emih_in!T17/SER_summary!T$27)</f>
        <v>3.4943242640532719</v>
      </c>
      <c r="U17" s="133">
        <f>IF(SER_hh_emih_in!U17=0,0,SER_hh_emih_in!U17/SER_summary!U$27)</f>
        <v>3.1814850555649001</v>
      </c>
      <c r="V17" s="133">
        <f>IF(SER_hh_emih_in!V17=0,0,SER_hh_emih_in!V17/SER_summary!V$27)</f>
        <v>3.398614334032418</v>
      </c>
      <c r="W17" s="133">
        <f>IF(SER_hh_emih_in!W17=0,0,SER_hh_emih_in!W17/SER_summary!W$27)</f>
        <v>2.3931675760711832</v>
      </c>
      <c r="DA17" s="157" t="s">
        <v>892</v>
      </c>
    </row>
    <row r="18" spans="1:105" ht="12" customHeight="1" x14ac:dyDescent="0.25">
      <c r="A18" s="132" t="s">
        <v>72</v>
      </c>
      <c r="B18" s="133"/>
      <c r="C18" s="133">
        <f>IF(SER_hh_emih_in!C18=0,0,SER_hh_emih_in!C18/SER_summary!C$27)</f>
        <v>0</v>
      </c>
      <c r="D18" s="133">
        <f>IF(SER_hh_emih_in!D18=0,0,SER_hh_emih_in!D18/SER_summary!D$27)</f>
        <v>0</v>
      </c>
      <c r="E18" s="133">
        <f>IF(SER_hh_emih_in!E18=0,0,SER_hh_emih_in!E18/SER_summary!E$27)</f>
        <v>0</v>
      </c>
      <c r="F18" s="133">
        <f>IF(SER_hh_emih_in!F18=0,0,SER_hh_emih_in!F18/SER_summary!F$27)</f>
        <v>0</v>
      </c>
      <c r="G18" s="133">
        <f>IF(SER_hh_emih_in!G18=0,0,SER_hh_emih_in!G18/SER_summary!G$27)</f>
        <v>0</v>
      </c>
      <c r="H18" s="133">
        <f>IF(SER_hh_emih_in!H18=0,0,SER_hh_emih_in!H18/SER_summary!H$27)</f>
        <v>0</v>
      </c>
      <c r="I18" s="133">
        <f>IF(SER_hh_emih_in!I18=0,0,SER_hh_emih_in!I18/SER_summary!I$27)</f>
        <v>0</v>
      </c>
      <c r="J18" s="133">
        <f>IF(SER_hh_emih_in!J18=0,0,SER_hh_emih_in!J18/SER_summary!J$27)</f>
        <v>0</v>
      </c>
      <c r="K18" s="133">
        <f>IF(SER_hh_emih_in!K18=0,0,SER_hh_emih_in!K18/SER_summary!K$27)</f>
        <v>0</v>
      </c>
      <c r="L18" s="133">
        <f>IF(SER_hh_emih_in!L18=0,0,SER_hh_emih_in!L18/SER_summary!L$27)</f>
        <v>0</v>
      </c>
      <c r="M18" s="133">
        <f>IF(SER_hh_emih_in!M18=0,0,SER_hh_emih_in!M18/SER_summary!M$27)</f>
        <v>0</v>
      </c>
      <c r="N18" s="133">
        <f>IF(SER_hh_emih_in!N18=0,0,SER_hh_emih_in!N18/SER_summary!N$27)</f>
        <v>0</v>
      </c>
      <c r="O18" s="133">
        <f>IF(SER_hh_emih_in!O18=0,0,SER_hh_emih_in!O18/SER_summary!O$27)</f>
        <v>0</v>
      </c>
      <c r="P18" s="133">
        <f>IF(SER_hh_emih_in!P18=0,0,SER_hh_emih_in!P18/SER_summary!P$27)</f>
        <v>0</v>
      </c>
      <c r="Q18" s="133">
        <f>IF(SER_hh_emih_in!Q18=0,0,SER_hh_emih_in!Q18/SER_summary!Q$27)</f>
        <v>0</v>
      </c>
      <c r="R18" s="133">
        <f>IF(SER_hh_emih_in!R18=0,0,SER_hh_emih_in!R18/SER_summary!R$27)</f>
        <v>0</v>
      </c>
      <c r="S18" s="133">
        <f>IF(SER_hh_emih_in!S18=0,0,SER_hh_emih_in!S18/SER_summary!S$27)</f>
        <v>0</v>
      </c>
      <c r="T18" s="133">
        <f>IF(SER_hh_emih_in!T18=0,0,SER_hh_emih_in!T18/SER_summary!T$27)</f>
        <v>0</v>
      </c>
      <c r="U18" s="133">
        <f>IF(SER_hh_emih_in!U18=0,0,SER_hh_emih_in!U18/SER_summary!U$27)</f>
        <v>0</v>
      </c>
      <c r="V18" s="133">
        <f>IF(SER_hh_emih_in!V18=0,0,SER_hh_emih_in!V18/SER_summary!V$27)</f>
        <v>0</v>
      </c>
      <c r="W18" s="133">
        <f>IF(SER_hh_emih_in!W18=0,0,SER_hh_emih_in!W18/SER_summary!W$27)</f>
        <v>0</v>
      </c>
      <c r="DA18" s="157" t="s">
        <v>893</v>
      </c>
    </row>
    <row r="19" spans="1:105" ht="12.95" customHeight="1" x14ac:dyDescent="0.25">
      <c r="A19" s="130" t="s">
        <v>35</v>
      </c>
      <c r="B19" s="131"/>
      <c r="C19" s="131">
        <f>IF(SER_hh_emih_in!C19=0,0,SER_hh_emih_in!C19/SER_summary!C$27)</f>
        <v>3.8992355159918421</v>
      </c>
      <c r="D19" s="131">
        <f>IF(SER_hh_emih_in!D19=0,0,SER_hh_emih_in!D19/SER_summary!D$27)</f>
        <v>3.1685358723979427</v>
      </c>
      <c r="E19" s="131">
        <f>IF(SER_hh_emih_in!E19=0,0,SER_hh_emih_in!E19/SER_summary!E$27)</f>
        <v>3.693238368399153</v>
      </c>
      <c r="F19" s="131">
        <f>IF(SER_hh_emih_in!F19=0,0,SER_hh_emih_in!F19/SER_summary!F$27)</f>
        <v>3.5650165009757528</v>
      </c>
      <c r="G19" s="131">
        <f>IF(SER_hh_emih_in!G19=0,0,SER_hh_emih_in!G19/SER_summary!G$27)</f>
        <v>3.4696067833974578</v>
      </c>
      <c r="H19" s="131">
        <f>IF(SER_hh_emih_in!H19=0,0,SER_hh_emih_in!H19/SER_summary!H$27)</f>
        <v>3.348630501787675</v>
      </c>
      <c r="I19" s="131">
        <f>IF(SER_hh_emih_in!I19=0,0,SER_hh_emih_in!I19/SER_summary!I$27)</f>
        <v>3.3289858563018049</v>
      </c>
      <c r="J19" s="131">
        <f>IF(SER_hh_emih_in!J19=0,0,SER_hh_emih_in!J19/SER_summary!J$27)</f>
        <v>3.1735768620617968</v>
      </c>
      <c r="K19" s="131">
        <f>IF(SER_hh_emih_in!K19=0,0,SER_hh_emih_in!K19/SER_summary!K$27)</f>
        <v>2.7851540632416718</v>
      </c>
      <c r="L19" s="131">
        <f>IF(SER_hh_emih_in!L19=0,0,SER_hh_emih_in!L19/SER_summary!L$27)</f>
        <v>3.2224750232465276</v>
      </c>
      <c r="M19" s="131">
        <f>IF(SER_hh_emih_in!M19=0,0,SER_hh_emih_in!M19/SER_summary!M$27)</f>
        <v>3.5169842204427924</v>
      </c>
      <c r="N19" s="131">
        <f>IF(SER_hh_emih_in!N19=0,0,SER_hh_emih_in!N19/SER_summary!N$27)</f>
        <v>3.4382200369808085</v>
      </c>
      <c r="O19" s="131">
        <f>IF(SER_hh_emih_in!O19=0,0,SER_hh_emih_in!O19/SER_summary!O$27)</f>
        <v>3.2618416749938413</v>
      </c>
      <c r="P19" s="131">
        <f>IF(SER_hh_emih_in!P19=0,0,SER_hh_emih_in!P19/SER_summary!P$27)</f>
        <v>2.7440141326691525</v>
      </c>
      <c r="Q19" s="131">
        <f>IF(SER_hh_emih_in!Q19=0,0,SER_hh_emih_in!Q19/SER_summary!Q$27)</f>
        <v>2.6117993316556176</v>
      </c>
      <c r="R19" s="131">
        <f>IF(SER_hh_emih_in!R19=0,0,SER_hh_emih_in!R19/SER_summary!R$27)</f>
        <v>2.5129723663957964</v>
      </c>
      <c r="S19" s="131">
        <f>IF(SER_hh_emih_in!S19=0,0,SER_hh_emih_in!S19/SER_summary!S$27)</f>
        <v>2.4621808447456104</v>
      </c>
      <c r="T19" s="131">
        <f>IF(SER_hh_emih_in!T19=0,0,SER_hh_emih_in!T19/SER_summary!T$27)</f>
        <v>2.3268061485631857</v>
      </c>
      <c r="U19" s="131">
        <f>IF(SER_hh_emih_in!U19=0,0,SER_hh_emih_in!U19/SER_summary!U$27)</f>
        <v>2.3741266800347955</v>
      </c>
      <c r="V19" s="131">
        <f>IF(SER_hh_emih_in!V19=0,0,SER_hh_emih_in!V19/SER_summary!V$27)</f>
        <v>2.2103574163387334</v>
      </c>
      <c r="W19" s="131">
        <f>IF(SER_hh_emih_in!W19=0,0,SER_hh_emih_in!W19/SER_summary!W$27)</f>
        <v>2.5845769655264474</v>
      </c>
      <c r="DA19" s="156" t="s">
        <v>894</v>
      </c>
    </row>
    <row r="20" spans="1:105" ht="12" customHeight="1" x14ac:dyDescent="0.25">
      <c r="A20" s="132" t="s">
        <v>29</v>
      </c>
      <c r="B20" s="133"/>
      <c r="C20" s="133">
        <f>IF(SER_hh_emih_in!C20=0,0,SER_hh_emih_in!C20/SER_summary!C$27)</f>
        <v>0</v>
      </c>
      <c r="D20" s="133">
        <f>IF(SER_hh_emih_in!D20=0,0,SER_hh_emih_in!D20/SER_summary!D$27)</f>
        <v>0</v>
      </c>
      <c r="E20" s="133">
        <f>IF(SER_hh_emih_in!E20=0,0,SER_hh_emih_in!E20/SER_summary!E$27)</f>
        <v>0</v>
      </c>
      <c r="F20" s="133">
        <f>IF(SER_hh_emih_in!F20=0,0,SER_hh_emih_in!F20/SER_summary!F$27)</f>
        <v>0</v>
      </c>
      <c r="G20" s="133">
        <f>IF(SER_hh_emih_in!G20=0,0,SER_hh_emih_in!G20/SER_summary!G$27)</f>
        <v>0</v>
      </c>
      <c r="H20" s="133">
        <f>IF(SER_hh_emih_in!H20=0,0,SER_hh_emih_in!H20/SER_summary!H$27)</f>
        <v>0</v>
      </c>
      <c r="I20" s="133">
        <f>IF(SER_hh_emih_in!I20=0,0,SER_hh_emih_in!I20/SER_summary!I$27)</f>
        <v>0</v>
      </c>
      <c r="J20" s="133">
        <f>IF(SER_hh_emih_in!J20=0,0,SER_hh_emih_in!J20/SER_summary!J$27)</f>
        <v>0</v>
      </c>
      <c r="K20" s="133">
        <f>IF(SER_hh_emih_in!K20=0,0,SER_hh_emih_in!K20/SER_summary!K$27)</f>
        <v>0</v>
      </c>
      <c r="L20" s="133">
        <f>IF(SER_hh_emih_in!L20=0,0,SER_hh_emih_in!L20/SER_summary!L$27)</f>
        <v>0</v>
      </c>
      <c r="M20" s="133">
        <f>IF(SER_hh_emih_in!M20=0,0,SER_hh_emih_in!M20/SER_summary!M$27)</f>
        <v>0</v>
      </c>
      <c r="N20" s="133">
        <f>IF(SER_hh_emih_in!N20=0,0,SER_hh_emih_in!N20/SER_summary!N$27)</f>
        <v>0</v>
      </c>
      <c r="O20" s="133">
        <f>IF(SER_hh_emih_in!O20=0,0,SER_hh_emih_in!O20/SER_summary!O$27)</f>
        <v>0</v>
      </c>
      <c r="P20" s="133">
        <f>IF(SER_hh_emih_in!P20=0,0,SER_hh_emih_in!P20/SER_summary!P$27)</f>
        <v>0</v>
      </c>
      <c r="Q20" s="133">
        <f>IF(SER_hh_emih_in!Q20=0,0,SER_hh_emih_in!Q20/SER_summary!Q$27)</f>
        <v>0</v>
      </c>
      <c r="R20" s="133">
        <f>IF(SER_hh_emih_in!R20=0,0,SER_hh_emih_in!R20/SER_summary!R$27)</f>
        <v>0</v>
      </c>
      <c r="S20" s="133">
        <f>IF(SER_hh_emih_in!S20=0,0,SER_hh_emih_in!S20/SER_summary!S$27)</f>
        <v>0</v>
      </c>
      <c r="T20" s="133">
        <f>IF(SER_hh_emih_in!T20=0,0,SER_hh_emih_in!T20/SER_summary!T$27)</f>
        <v>0</v>
      </c>
      <c r="U20" s="133">
        <f>IF(SER_hh_emih_in!U20=0,0,SER_hh_emih_in!U20/SER_summary!U$27)</f>
        <v>0</v>
      </c>
      <c r="V20" s="133">
        <f>IF(SER_hh_emih_in!V20=0,0,SER_hh_emih_in!V20/SER_summary!V$27)</f>
        <v>0</v>
      </c>
      <c r="W20" s="133">
        <f>IF(SER_hh_emih_in!W20=0,0,SER_hh_emih_in!W20/SER_summary!W$27)</f>
        <v>0</v>
      </c>
      <c r="DA20" s="157" t="s">
        <v>895</v>
      </c>
    </row>
    <row r="21" spans="1:105" s="2" customFormat="1" ht="12" customHeight="1" x14ac:dyDescent="0.25">
      <c r="A21" s="132" t="s">
        <v>52</v>
      </c>
      <c r="B21" s="133"/>
      <c r="C21" s="133">
        <f>IF(SER_hh_emih_in!C21=0,0,SER_hh_emih_in!C21/SER_summary!C$27)</f>
        <v>5.1959008871574568</v>
      </c>
      <c r="D21" s="133">
        <f>IF(SER_hh_emih_in!D21=0,0,SER_hh_emih_in!D21/SER_summary!D$27)</f>
        <v>5.1969986499524818</v>
      </c>
      <c r="E21" s="133">
        <f>IF(SER_hh_emih_in!E21=0,0,SER_hh_emih_in!E21/SER_summary!E$27)</f>
        <v>5.1355468256121233</v>
      </c>
      <c r="F21" s="133">
        <f>IF(SER_hh_emih_in!F21=0,0,SER_hh_emih_in!F21/SER_summary!F$27)</f>
        <v>0</v>
      </c>
      <c r="G21" s="133">
        <f>IF(SER_hh_emih_in!G21=0,0,SER_hh_emih_in!G21/SER_summary!G$27)</f>
        <v>0</v>
      </c>
      <c r="H21" s="133">
        <f>IF(SER_hh_emih_in!H21=0,0,SER_hh_emih_in!H21/SER_summary!H$27)</f>
        <v>0</v>
      </c>
      <c r="I21" s="133">
        <f>IF(SER_hh_emih_in!I21=0,0,SER_hh_emih_in!I21/SER_summary!I$27)</f>
        <v>0</v>
      </c>
      <c r="J21" s="133">
        <f>IF(SER_hh_emih_in!J21=0,0,SER_hh_emih_in!J21/SER_summary!J$27)</f>
        <v>0</v>
      </c>
      <c r="K21" s="133">
        <f>IF(SER_hh_emih_in!K21=0,0,SER_hh_emih_in!K21/SER_summary!K$27)</f>
        <v>0</v>
      </c>
      <c r="L21" s="133">
        <f>IF(SER_hh_emih_in!L21=0,0,SER_hh_emih_in!L21/SER_summary!L$27)</f>
        <v>4.2635739026912987</v>
      </c>
      <c r="M21" s="133">
        <f>IF(SER_hh_emih_in!M21=0,0,SER_hh_emih_in!M21/SER_summary!M$27)</f>
        <v>4.4346612077739964</v>
      </c>
      <c r="N21" s="133">
        <f>IF(SER_hh_emih_in!N21=0,0,SER_hh_emih_in!N21/SER_summary!N$27)</f>
        <v>4.7490430252774329</v>
      </c>
      <c r="O21" s="133">
        <f>IF(SER_hh_emih_in!O21=0,0,SER_hh_emih_in!O21/SER_summary!O$27)</f>
        <v>4.618780019670977</v>
      </c>
      <c r="P21" s="133">
        <f>IF(SER_hh_emih_in!P21=0,0,SER_hh_emih_in!P21/SER_summary!P$27)</f>
        <v>4.0503025411244904</v>
      </c>
      <c r="Q21" s="133">
        <f>IF(SER_hh_emih_in!Q21=0,0,SER_hh_emih_in!Q21/SER_summary!Q$27)</f>
        <v>4.0178390734536524</v>
      </c>
      <c r="R21" s="133">
        <f>IF(SER_hh_emih_in!R21=0,0,SER_hh_emih_in!R21/SER_summary!R$27)</f>
        <v>3.8095283314786372</v>
      </c>
      <c r="S21" s="133">
        <f>IF(SER_hh_emih_in!S21=0,0,SER_hh_emih_in!S21/SER_summary!S$27)</f>
        <v>3.8954534957263371</v>
      </c>
      <c r="T21" s="133">
        <f>IF(SER_hh_emih_in!T21=0,0,SER_hh_emih_in!T21/SER_summary!T$27)</f>
        <v>3.8429072531299786</v>
      </c>
      <c r="U21" s="133">
        <f>IF(SER_hh_emih_in!U21=0,0,SER_hh_emih_in!U21/SER_summary!U$27)</f>
        <v>3.8007244849840873</v>
      </c>
      <c r="V21" s="133">
        <f>IF(SER_hh_emih_in!V21=0,0,SER_hh_emih_in!V21/SER_summary!V$27)</f>
        <v>3.2811789907684519</v>
      </c>
      <c r="W21" s="133">
        <f>IF(SER_hh_emih_in!W21=0,0,SER_hh_emih_in!W21/SER_summary!W$27)</f>
        <v>3.6530858887443705</v>
      </c>
      <c r="DA21" s="157" t="s">
        <v>896</v>
      </c>
    </row>
    <row r="22" spans="1:105" ht="12" customHeight="1" x14ac:dyDescent="0.25">
      <c r="A22" s="132" t="s">
        <v>168</v>
      </c>
      <c r="B22" s="133"/>
      <c r="C22" s="133">
        <f>IF(SER_hh_emih_in!C22=0,0,SER_hh_emih_in!C22/SER_summary!C$27)</f>
        <v>6.4400691937729082</v>
      </c>
      <c r="D22" s="133">
        <f>IF(SER_hh_emih_in!D22=0,0,SER_hh_emih_in!D22/SER_summary!D$27)</f>
        <v>6.4065273917798731</v>
      </c>
      <c r="E22" s="133">
        <f>IF(SER_hh_emih_in!E22=0,0,SER_hh_emih_in!E22/SER_summary!E$27)</f>
        <v>6.3284601291339673</v>
      </c>
      <c r="F22" s="133">
        <f>IF(SER_hh_emih_in!F22=0,0,SER_hh_emih_in!F22/SER_summary!F$27)</f>
        <v>6.286753980960837</v>
      </c>
      <c r="G22" s="133">
        <f>IF(SER_hh_emih_in!G22=0,0,SER_hh_emih_in!G22/SER_summary!G$27)</f>
        <v>6.1739284179164677</v>
      </c>
      <c r="H22" s="133">
        <f>IF(SER_hh_emih_in!H22=0,0,SER_hh_emih_in!H22/SER_summary!H$27)</f>
        <v>6.1129593214069855</v>
      </c>
      <c r="I22" s="133">
        <f>IF(SER_hh_emih_in!I22=0,0,SER_hh_emih_in!I22/SER_summary!I$27)</f>
        <v>6.0220183365851261</v>
      </c>
      <c r="J22" s="133">
        <f>IF(SER_hh_emih_in!J22=0,0,SER_hh_emih_in!J22/SER_summary!J$27)</f>
        <v>5.8441957802921278</v>
      </c>
      <c r="K22" s="133">
        <f>IF(SER_hh_emih_in!K22=0,0,SER_hh_emih_in!K22/SER_summary!K$27)</f>
        <v>4.7933270506801557</v>
      </c>
      <c r="L22" s="133">
        <f>IF(SER_hh_emih_in!L22=0,0,SER_hh_emih_in!L22/SER_summary!L$27)</f>
        <v>5.8737243934852019</v>
      </c>
      <c r="M22" s="133">
        <f>IF(SER_hh_emih_in!M22=0,0,SER_hh_emih_in!M22/SER_summary!M$27)</f>
        <v>5.8414541189982661</v>
      </c>
      <c r="N22" s="133">
        <f>IF(SER_hh_emih_in!N22=0,0,SER_hh_emih_in!N22/SER_summary!N$27)</f>
        <v>5.692776639233486</v>
      </c>
      <c r="O22" s="133">
        <f>IF(SER_hh_emih_in!O22=0,0,SER_hh_emih_in!O22/SER_summary!O$27)</f>
        <v>5.5059696067716599</v>
      </c>
      <c r="P22" s="133">
        <f>IF(SER_hh_emih_in!P22=0,0,SER_hh_emih_in!P22/SER_summary!P$27)</f>
        <v>5.2596316687319016</v>
      </c>
      <c r="Q22" s="133">
        <f>IF(SER_hh_emih_in!Q22=0,0,SER_hh_emih_in!Q22/SER_summary!Q$27)</f>
        <v>5.0674892384708148</v>
      </c>
      <c r="R22" s="133">
        <f>IF(SER_hh_emih_in!R22=0,0,SER_hh_emih_in!R22/SER_summary!R$27)</f>
        <v>4.85778498810157</v>
      </c>
      <c r="S22" s="133">
        <f>IF(SER_hh_emih_in!S22=0,0,SER_hh_emih_in!S22/SER_summary!S$27)</f>
        <v>4.7474007264059361</v>
      </c>
      <c r="T22" s="133">
        <f>IF(SER_hh_emih_in!T22=0,0,SER_hh_emih_in!T22/SER_summary!T$27)</f>
        <v>4.5897488433318738</v>
      </c>
      <c r="U22" s="133">
        <f>IF(SER_hh_emih_in!U22=0,0,SER_hh_emih_in!U22/SER_summary!U$27)</f>
        <v>4.4548321455294762</v>
      </c>
      <c r="V22" s="133">
        <f>IF(SER_hh_emih_in!V22=0,0,SER_hh_emih_in!V22/SER_summary!V$27)</f>
        <v>4.0250382203185122</v>
      </c>
      <c r="W22" s="133">
        <f>IF(SER_hh_emih_in!W22=0,0,SER_hh_emih_in!W22/SER_summary!W$27)</f>
        <v>4.3732387883452981</v>
      </c>
      <c r="DA22" s="157" t="s">
        <v>897</v>
      </c>
    </row>
    <row r="23" spans="1:105" ht="12" customHeight="1" x14ac:dyDescent="0.25">
      <c r="A23" s="132" t="s">
        <v>153</v>
      </c>
      <c r="B23" s="133"/>
      <c r="C23" s="133">
        <f>IF(SER_hh_emih_in!C23=0,0,SER_hh_emih_in!C23/SER_summary!C$27)</f>
        <v>4.4884550888749564</v>
      </c>
      <c r="D23" s="133">
        <f>IF(SER_hh_emih_in!D23=0,0,SER_hh_emih_in!D23/SER_summary!D$27)</f>
        <v>4.3754202445338297</v>
      </c>
      <c r="E23" s="133">
        <f>IF(SER_hh_emih_in!E23=0,0,SER_hh_emih_in!E23/SER_summary!E$27)</f>
        <v>4.3264882613422442</v>
      </c>
      <c r="F23" s="133">
        <f>IF(SER_hh_emih_in!F23=0,0,SER_hh_emih_in!F23/SER_summary!F$27)</f>
        <v>4.2623766134557721</v>
      </c>
      <c r="G23" s="133">
        <f>IF(SER_hh_emih_in!G23=0,0,SER_hh_emih_in!G23/SER_summary!G$27)</f>
        <v>4.1970732887759832</v>
      </c>
      <c r="H23" s="133">
        <f>IF(SER_hh_emih_in!H23=0,0,SER_hh_emih_in!H23/SER_summary!H$27)</f>
        <v>4.0908807576811066</v>
      </c>
      <c r="I23" s="133">
        <f>IF(SER_hh_emih_in!I23=0,0,SER_hh_emih_in!I23/SER_summary!I$27)</f>
        <v>3.9833490484370144</v>
      </c>
      <c r="J23" s="133">
        <f>IF(SER_hh_emih_in!J23=0,0,SER_hh_emih_in!J23/SER_summary!J$27)</f>
        <v>3.9244863989062324</v>
      </c>
      <c r="K23" s="133">
        <f>IF(SER_hh_emih_in!K23=0,0,SER_hh_emih_in!K23/SER_summary!K$27)</f>
        <v>3.1346042096919327</v>
      </c>
      <c r="L23" s="133">
        <f>IF(SER_hh_emih_in!L23=0,0,SER_hh_emih_in!L23/SER_summary!L$27)</f>
        <v>3.8956747606131374</v>
      </c>
      <c r="M23" s="133">
        <f>IF(SER_hh_emih_in!M23=0,0,SER_hh_emih_in!M23/SER_summary!M$27)</f>
        <v>3.8214182197366267</v>
      </c>
      <c r="N23" s="133">
        <f>IF(SER_hh_emih_in!N23=0,0,SER_hh_emih_in!N23/SER_summary!N$27)</f>
        <v>3.7786625539746987</v>
      </c>
      <c r="O23" s="133">
        <f>IF(SER_hh_emih_in!O23=0,0,SER_hh_emih_in!O23/SER_summary!O$27)</f>
        <v>3.6894796780674186</v>
      </c>
      <c r="P23" s="133">
        <f>IF(SER_hh_emih_in!P23=0,0,SER_hh_emih_in!P23/SER_summary!P$27)</f>
        <v>3.5361431394881175</v>
      </c>
      <c r="Q23" s="133">
        <f>IF(SER_hh_emih_in!Q23=0,0,SER_hh_emih_in!Q23/SER_summary!Q$27)</f>
        <v>3.4239433752930766</v>
      </c>
      <c r="R23" s="133">
        <f>IF(SER_hh_emih_in!R23=0,0,SER_hh_emih_in!R23/SER_summary!R$27)</f>
        <v>3.2964338713152088</v>
      </c>
      <c r="S23" s="133">
        <f>IF(SER_hh_emih_in!S23=0,0,SER_hh_emih_in!S23/SER_summary!S$27)</f>
        <v>3.239854651132454</v>
      </c>
      <c r="T23" s="133">
        <f>IF(SER_hh_emih_in!T23=0,0,SER_hh_emih_in!T23/SER_summary!T$27)</f>
        <v>3.156150972442469</v>
      </c>
      <c r="U23" s="133">
        <f>IF(SER_hh_emih_in!U23=0,0,SER_hh_emih_in!U23/SER_summary!U$27)</f>
        <v>3.1002784461185313</v>
      </c>
      <c r="V23" s="133">
        <f>IF(SER_hh_emih_in!V23=0,0,SER_hh_emih_in!V23/SER_summary!V$27)</f>
        <v>2.9126435962295334</v>
      </c>
      <c r="W23" s="133">
        <f>IF(SER_hh_emih_in!W23=0,0,SER_hh_emih_in!W23/SER_summary!W$27)</f>
        <v>3.0431013533333817</v>
      </c>
      <c r="DA23" s="157" t="s">
        <v>898</v>
      </c>
    </row>
    <row r="24" spans="1:105" ht="12" customHeight="1" x14ac:dyDescent="0.25">
      <c r="A24" s="132" t="s">
        <v>128</v>
      </c>
      <c r="B24" s="133"/>
      <c r="C24" s="133">
        <f>IF(SER_hh_emih_in!C24=0,0,SER_hh_emih_in!C24/SER_summary!C$27)</f>
        <v>0</v>
      </c>
      <c r="D24" s="133">
        <f>IF(SER_hh_emih_in!D24=0,0,SER_hh_emih_in!D24/SER_summary!D$27)</f>
        <v>0</v>
      </c>
      <c r="E24" s="133">
        <f>IF(SER_hh_emih_in!E24=0,0,SER_hh_emih_in!E24/SER_summary!E$27)</f>
        <v>0</v>
      </c>
      <c r="F24" s="133">
        <f>IF(SER_hh_emih_in!F24=0,0,SER_hh_emih_in!F24/SER_summary!F$27)</f>
        <v>0</v>
      </c>
      <c r="G24" s="133">
        <f>IF(SER_hh_emih_in!G24=0,0,SER_hh_emih_in!G24/SER_summary!G$27)</f>
        <v>0</v>
      </c>
      <c r="H24" s="133">
        <f>IF(SER_hh_emih_in!H24=0,0,SER_hh_emih_in!H24/SER_summary!H$27)</f>
        <v>0</v>
      </c>
      <c r="I24" s="133">
        <f>IF(SER_hh_emih_in!I24=0,0,SER_hh_emih_in!I24/SER_summary!I$27)</f>
        <v>0</v>
      </c>
      <c r="J24" s="133">
        <f>IF(SER_hh_emih_in!J24=0,0,SER_hh_emih_in!J24/SER_summary!J$27)</f>
        <v>0</v>
      </c>
      <c r="K24" s="133">
        <f>IF(SER_hh_emih_in!K24=0,0,SER_hh_emih_in!K24/SER_summary!K$27)</f>
        <v>0</v>
      </c>
      <c r="L24" s="133">
        <f>IF(SER_hh_emih_in!L24=0,0,SER_hh_emih_in!L24/SER_summary!L$27)</f>
        <v>0</v>
      </c>
      <c r="M24" s="133">
        <f>IF(SER_hh_emih_in!M24=0,0,SER_hh_emih_in!M24/SER_summary!M$27)</f>
        <v>0</v>
      </c>
      <c r="N24" s="133">
        <f>IF(SER_hh_emih_in!N24=0,0,SER_hh_emih_in!N24/SER_summary!N$27)</f>
        <v>0</v>
      </c>
      <c r="O24" s="133">
        <f>IF(SER_hh_emih_in!O24=0,0,SER_hh_emih_in!O24/SER_summary!O$27)</f>
        <v>0</v>
      </c>
      <c r="P24" s="133">
        <f>IF(SER_hh_emih_in!P24=0,0,SER_hh_emih_in!P24/SER_summary!P$27)</f>
        <v>0</v>
      </c>
      <c r="Q24" s="133">
        <f>IF(SER_hh_emih_in!Q24=0,0,SER_hh_emih_in!Q24/SER_summary!Q$27)</f>
        <v>0</v>
      </c>
      <c r="R24" s="133">
        <f>IF(SER_hh_emih_in!R24=0,0,SER_hh_emih_in!R24/SER_summary!R$27)</f>
        <v>0</v>
      </c>
      <c r="S24" s="133">
        <f>IF(SER_hh_emih_in!S24=0,0,SER_hh_emih_in!S24/SER_summary!S$27)</f>
        <v>0</v>
      </c>
      <c r="T24" s="133">
        <f>IF(SER_hh_emih_in!T24=0,0,SER_hh_emih_in!T24/SER_summary!T$27)</f>
        <v>0</v>
      </c>
      <c r="U24" s="133">
        <f>IF(SER_hh_emih_in!U24=0,0,SER_hh_emih_in!U24/SER_summary!U$27)</f>
        <v>0</v>
      </c>
      <c r="V24" s="133">
        <f>IF(SER_hh_emih_in!V24=0,0,SER_hh_emih_in!V24/SER_summary!V$27)</f>
        <v>0</v>
      </c>
      <c r="W24" s="133">
        <f>IF(SER_hh_emih_in!W24=0,0,SER_hh_emih_in!W24/SER_summary!W$27)</f>
        <v>0</v>
      </c>
      <c r="DA24" s="157" t="s">
        <v>899</v>
      </c>
    </row>
    <row r="25" spans="1:105" ht="12" customHeight="1" x14ac:dyDescent="0.25">
      <c r="A25" s="132" t="s">
        <v>169</v>
      </c>
      <c r="B25" s="133"/>
      <c r="C25" s="133">
        <f>IF(SER_hh_emih_in!C25=0,0,SER_hh_emih_in!C25/SER_summary!C$27)</f>
        <v>0</v>
      </c>
      <c r="D25" s="133">
        <f>IF(SER_hh_emih_in!D25=0,0,SER_hh_emih_in!D25/SER_summary!D$27)</f>
        <v>0</v>
      </c>
      <c r="E25" s="133">
        <f>IF(SER_hh_emih_in!E25=0,0,SER_hh_emih_in!E25/SER_summary!E$27)</f>
        <v>0</v>
      </c>
      <c r="F25" s="133">
        <f>IF(SER_hh_emih_in!F25=0,0,SER_hh_emih_in!F25/SER_summary!F$27)</f>
        <v>0</v>
      </c>
      <c r="G25" s="133">
        <f>IF(SER_hh_emih_in!G25=0,0,SER_hh_emih_in!G25/SER_summary!G$27)</f>
        <v>0</v>
      </c>
      <c r="H25" s="133">
        <f>IF(SER_hh_emih_in!H25=0,0,SER_hh_emih_in!H25/SER_summary!H$27)</f>
        <v>0</v>
      </c>
      <c r="I25" s="133">
        <f>IF(SER_hh_emih_in!I25=0,0,SER_hh_emih_in!I25/SER_summary!I$27)</f>
        <v>0</v>
      </c>
      <c r="J25" s="133">
        <f>IF(SER_hh_emih_in!J25=0,0,SER_hh_emih_in!J25/SER_summary!J$27)</f>
        <v>0</v>
      </c>
      <c r="K25" s="133">
        <f>IF(SER_hh_emih_in!K25=0,0,SER_hh_emih_in!K25/SER_summary!K$27)</f>
        <v>0</v>
      </c>
      <c r="L25" s="133">
        <f>IF(SER_hh_emih_in!L25=0,0,SER_hh_emih_in!L25/SER_summary!L$27)</f>
        <v>0</v>
      </c>
      <c r="M25" s="133">
        <f>IF(SER_hh_emih_in!M25=0,0,SER_hh_emih_in!M25/SER_summary!M$27)</f>
        <v>0</v>
      </c>
      <c r="N25" s="133">
        <f>IF(SER_hh_emih_in!N25=0,0,SER_hh_emih_in!N25/SER_summary!N$27)</f>
        <v>0</v>
      </c>
      <c r="O25" s="133">
        <f>IF(SER_hh_emih_in!O25=0,0,SER_hh_emih_in!O25/SER_summary!O$27)</f>
        <v>0</v>
      </c>
      <c r="P25" s="133">
        <f>IF(SER_hh_emih_in!P25=0,0,SER_hh_emih_in!P25/SER_summary!P$27)</f>
        <v>0</v>
      </c>
      <c r="Q25" s="133">
        <f>IF(SER_hh_emih_in!Q25=0,0,SER_hh_emih_in!Q25/SER_summary!Q$27)</f>
        <v>0</v>
      </c>
      <c r="R25" s="133">
        <f>IF(SER_hh_emih_in!R25=0,0,SER_hh_emih_in!R25/SER_summary!R$27)</f>
        <v>0</v>
      </c>
      <c r="S25" s="133">
        <f>IF(SER_hh_emih_in!S25=0,0,SER_hh_emih_in!S25/SER_summary!S$27)</f>
        <v>0</v>
      </c>
      <c r="T25" s="133">
        <f>IF(SER_hh_emih_in!T25=0,0,SER_hh_emih_in!T25/SER_summary!T$27)</f>
        <v>0</v>
      </c>
      <c r="U25" s="133">
        <f>IF(SER_hh_emih_in!U25=0,0,SER_hh_emih_in!U25/SER_summary!U$27)</f>
        <v>0</v>
      </c>
      <c r="V25" s="133">
        <f>IF(SER_hh_emih_in!V25=0,0,SER_hh_emih_in!V25/SER_summary!V$27)</f>
        <v>0</v>
      </c>
      <c r="W25" s="133">
        <f>IF(SER_hh_emih_in!W25=0,0,SER_hh_emih_in!W25/SER_summary!W$27)</f>
        <v>0</v>
      </c>
      <c r="DA25" s="157" t="s">
        <v>900</v>
      </c>
    </row>
    <row r="26" spans="1:105" ht="12" customHeight="1" x14ac:dyDescent="0.25">
      <c r="A26" s="132" t="s">
        <v>24</v>
      </c>
      <c r="B26" s="65"/>
      <c r="C26" s="65">
        <f>IF(SER_hh_emih_in!C26=0,0,SER_hh_emih_in!C26/SER_summary!C$27)</f>
        <v>0</v>
      </c>
      <c r="D26" s="65">
        <f>IF(SER_hh_emih_in!D26=0,0,SER_hh_emih_in!D26/SER_summary!D$27)</f>
        <v>0</v>
      </c>
      <c r="E26" s="65">
        <f>IF(SER_hh_emih_in!E26=0,0,SER_hh_emih_in!E26/SER_summary!E$27)</f>
        <v>0</v>
      </c>
      <c r="F26" s="65">
        <f>IF(SER_hh_emih_in!F26=0,0,SER_hh_emih_in!F26/SER_summary!F$27)</f>
        <v>0</v>
      </c>
      <c r="G26" s="65">
        <f>IF(SER_hh_emih_in!G26=0,0,SER_hh_emih_in!G26/SER_summary!G$27)</f>
        <v>0</v>
      </c>
      <c r="H26" s="65">
        <f>IF(SER_hh_emih_in!H26=0,0,SER_hh_emih_in!H26/SER_summary!H$27)</f>
        <v>0</v>
      </c>
      <c r="I26" s="65">
        <f>IF(SER_hh_emih_in!I26=0,0,SER_hh_emih_in!I26/SER_summary!I$27)</f>
        <v>0</v>
      </c>
      <c r="J26" s="65">
        <f>IF(SER_hh_emih_in!J26=0,0,SER_hh_emih_in!J26/SER_summary!J$27)</f>
        <v>0</v>
      </c>
      <c r="K26" s="65">
        <f>IF(SER_hh_emih_in!K26=0,0,SER_hh_emih_in!K26/SER_summary!K$27)</f>
        <v>0</v>
      </c>
      <c r="L26" s="65">
        <f>IF(SER_hh_emih_in!L26=0,0,SER_hh_emih_in!L26/SER_summary!L$27)</f>
        <v>0</v>
      </c>
      <c r="M26" s="65">
        <f>IF(SER_hh_emih_in!M26=0,0,SER_hh_emih_in!M26/SER_summary!M$27)</f>
        <v>0</v>
      </c>
      <c r="N26" s="65">
        <f>IF(SER_hh_emih_in!N26=0,0,SER_hh_emih_in!N26/SER_summary!N$27)</f>
        <v>0</v>
      </c>
      <c r="O26" s="65">
        <f>IF(SER_hh_emih_in!O26=0,0,SER_hh_emih_in!O26/SER_summary!O$27)</f>
        <v>0</v>
      </c>
      <c r="P26" s="65">
        <f>IF(SER_hh_emih_in!P26=0,0,SER_hh_emih_in!P26/SER_summary!P$27)</f>
        <v>0</v>
      </c>
      <c r="Q26" s="65">
        <f>IF(SER_hh_emih_in!Q26=0,0,SER_hh_emih_in!Q26/SER_summary!Q$27)</f>
        <v>0</v>
      </c>
      <c r="R26" s="65">
        <f>IF(SER_hh_emih_in!R26=0,0,SER_hh_emih_in!R26/SER_summary!R$27)</f>
        <v>0</v>
      </c>
      <c r="S26" s="65">
        <f>IF(SER_hh_emih_in!S26=0,0,SER_hh_emih_in!S26/SER_summary!S$27)</f>
        <v>0</v>
      </c>
      <c r="T26" s="65">
        <f>IF(SER_hh_emih_in!T26=0,0,SER_hh_emih_in!T26/SER_summary!T$27)</f>
        <v>0</v>
      </c>
      <c r="U26" s="65">
        <f>IF(SER_hh_emih_in!U26=0,0,SER_hh_emih_in!U26/SER_summary!U$27)</f>
        <v>0</v>
      </c>
      <c r="V26" s="65">
        <f>IF(SER_hh_emih_in!V26=0,0,SER_hh_emih_in!V26/SER_summary!V$27)</f>
        <v>0</v>
      </c>
      <c r="W26" s="65">
        <f>IF(SER_hh_emih_in!W26=0,0,SER_hh_emih_in!W26/SER_summary!W$27)</f>
        <v>0</v>
      </c>
      <c r="DA26" s="109" t="s">
        <v>901</v>
      </c>
    </row>
    <row r="27" spans="1:105" ht="12" customHeight="1" x14ac:dyDescent="0.25">
      <c r="A27" s="145" t="s">
        <v>86</v>
      </c>
      <c r="B27" s="148"/>
      <c r="C27" s="146">
        <f>IF(SER_hh_emih_in!C27=0,0,SER_hh_emih_in!C27/SER_summary!C$27)</f>
        <v>0</v>
      </c>
      <c r="D27" s="146">
        <f>IF(SER_hh_emih_in!D27=0,0,SER_hh_emih_in!D27/SER_summary!D$27)</f>
        <v>0</v>
      </c>
      <c r="E27" s="146">
        <f>IF(SER_hh_emih_in!E27=0,0,SER_hh_emih_in!E27/SER_summary!E$27)</f>
        <v>0</v>
      </c>
      <c r="F27" s="146">
        <f>IF(SER_hh_emih_in!F27=0,0,SER_hh_emih_in!F27/SER_summary!F$27)</f>
        <v>0</v>
      </c>
      <c r="G27" s="146">
        <f>IF(SER_hh_emih_in!G27=0,0,SER_hh_emih_in!G27/SER_summary!G$27)</f>
        <v>0</v>
      </c>
      <c r="H27" s="146">
        <f>IF(SER_hh_emih_in!H27=0,0,SER_hh_emih_in!H27/SER_summary!H$27)</f>
        <v>0</v>
      </c>
      <c r="I27" s="146">
        <f>IF(SER_hh_emih_in!I27=0,0,SER_hh_emih_in!I27/SER_summary!I$27)</f>
        <v>0</v>
      </c>
      <c r="J27" s="146">
        <f>IF(SER_hh_emih_in!J27=0,0,SER_hh_emih_in!J27/SER_summary!J$27)</f>
        <v>0</v>
      </c>
      <c r="K27" s="146">
        <f>IF(SER_hh_emih_in!K27=0,0,SER_hh_emih_in!K27/SER_summary!K$27)</f>
        <v>0</v>
      </c>
      <c r="L27" s="146">
        <f>IF(SER_hh_emih_in!L27=0,0,SER_hh_emih_in!L27/SER_summary!L$27)</f>
        <v>0</v>
      </c>
      <c r="M27" s="146">
        <f>IF(SER_hh_emih_in!M27=0,0,SER_hh_emih_in!M27/SER_summary!M$27)</f>
        <v>0</v>
      </c>
      <c r="N27" s="146">
        <f>IF(SER_hh_emih_in!N27=0,0,SER_hh_emih_in!N27/SER_summary!N$27)</f>
        <v>0</v>
      </c>
      <c r="O27" s="146">
        <f>IF(SER_hh_emih_in!O27=0,0,SER_hh_emih_in!O27/SER_summary!O$27)</f>
        <v>0</v>
      </c>
      <c r="P27" s="146">
        <f>IF(SER_hh_emih_in!P27=0,0,SER_hh_emih_in!P27/SER_summary!P$27)</f>
        <v>0</v>
      </c>
      <c r="Q27" s="146">
        <f>IF(SER_hh_emih_in!Q27=0,0,SER_hh_emih_in!Q27/SER_summary!Q$27)</f>
        <v>0</v>
      </c>
      <c r="R27" s="146">
        <f>IF(SER_hh_emih_in!R27=0,0,SER_hh_emih_in!R27/SER_summary!R$27)</f>
        <v>0</v>
      </c>
      <c r="S27" s="146">
        <f>IF(SER_hh_emih_in!S27=0,0,SER_hh_emih_in!S27/SER_summary!S$27)</f>
        <v>0</v>
      </c>
      <c r="T27" s="146">
        <f>IF(SER_hh_emih_in!T27=0,0,SER_hh_emih_in!T27/SER_summary!T$27)</f>
        <v>0</v>
      </c>
      <c r="U27" s="146">
        <f>IF(SER_hh_emih_in!U27=0,0,SER_hh_emih_in!U27/SER_summary!U$27)</f>
        <v>0</v>
      </c>
      <c r="V27" s="146">
        <f>IF(SER_hh_emih_in!V27=0,0,SER_hh_emih_in!V27/SER_summary!V$27)</f>
        <v>0</v>
      </c>
      <c r="W27" s="146">
        <f>IF(SER_hh_emih_in!W27=0,0,SER_hh_emih_in!W27/SER_summary!W$27)</f>
        <v>0</v>
      </c>
      <c r="DA27" s="159" t="s">
        <v>902</v>
      </c>
    </row>
    <row r="28" spans="1:105" ht="12" customHeight="1" x14ac:dyDescent="0.25">
      <c r="A28" s="78" t="s">
        <v>85</v>
      </c>
      <c r="B28" s="68"/>
      <c r="C28" s="147">
        <f>IF(SER_hh_emih_in!C28=0,0,SER_hh_emih_in!C28/SER_summary!C$27)</f>
        <v>0</v>
      </c>
      <c r="D28" s="147">
        <f>IF(SER_hh_emih_in!D28=0,0,SER_hh_emih_in!D28/SER_summary!D$27)</f>
        <v>0</v>
      </c>
      <c r="E28" s="147">
        <f>IF(SER_hh_emih_in!E28=0,0,SER_hh_emih_in!E28/SER_summary!E$27)</f>
        <v>0</v>
      </c>
      <c r="F28" s="147">
        <f>IF(SER_hh_emih_in!F28=0,0,SER_hh_emih_in!F28/SER_summary!F$27)</f>
        <v>0</v>
      </c>
      <c r="G28" s="147">
        <f>IF(SER_hh_emih_in!G28=0,0,SER_hh_emih_in!G28/SER_summary!G$27)</f>
        <v>0</v>
      </c>
      <c r="H28" s="147">
        <f>IF(SER_hh_emih_in!H28=0,0,SER_hh_emih_in!H28/SER_summary!H$27)</f>
        <v>0</v>
      </c>
      <c r="I28" s="147">
        <f>IF(SER_hh_emih_in!I28=0,0,SER_hh_emih_in!I28/SER_summary!I$27)</f>
        <v>0</v>
      </c>
      <c r="J28" s="147">
        <f>IF(SER_hh_emih_in!J28=0,0,SER_hh_emih_in!J28/SER_summary!J$27)</f>
        <v>0</v>
      </c>
      <c r="K28" s="147">
        <f>IF(SER_hh_emih_in!K28=0,0,SER_hh_emih_in!K28/SER_summary!K$27)</f>
        <v>0</v>
      </c>
      <c r="L28" s="147">
        <f>IF(SER_hh_emih_in!L28=0,0,SER_hh_emih_in!L28/SER_summary!L$27)</f>
        <v>0</v>
      </c>
      <c r="M28" s="147">
        <f>IF(SER_hh_emih_in!M28=0,0,SER_hh_emih_in!M28/SER_summary!M$27)</f>
        <v>0</v>
      </c>
      <c r="N28" s="147">
        <f>IF(SER_hh_emih_in!N28=0,0,SER_hh_emih_in!N28/SER_summary!N$27)</f>
        <v>0</v>
      </c>
      <c r="O28" s="147">
        <f>IF(SER_hh_emih_in!O28=0,0,SER_hh_emih_in!O28/SER_summary!O$27)</f>
        <v>0</v>
      </c>
      <c r="P28" s="147">
        <f>IF(SER_hh_emih_in!P28=0,0,SER_hh_emih_in!P28/SER_summary!P$27)</f>
        <v>0</v>
      </c>
      <c r="Q28" s="147">
        <f>IF(SER_hh_emih_in!Q28=0,0,SER_hh_emih_in!Q28/SER_summary!Q$27)</f>
        <v>0</v>
      </c>
      <c r="R28" s="147">
        <f>IF(SER_hh_emih_in!R28=0,0,SER_hh_emih_in!R28/SER_summary!R$27)</f>
        <v>0</v>
      </c>
      <c r="S28" s="147">
        <f>IF(SER_hh_emih_in!S28=0,0,SER_hh_emih_in!S28/SER_summary!S$27)</f>
        <v>0</v>
      </c>
      <c r="T28" s="147">
        <f>IF(SER_hh_emih_in!T28=0,0,SER_hh_emih_in!T28/SER_summary!T$27)</f>
        <v>0</v>
      </c>
      <c r="U28" s="147">
        <f>IF(SER_hh_emih_in!U28=0,0,SER_hh_emih_in!U28/SER_summary!U$27)</f>
        <v>0</v>
      </c>
      <c r="V28" s="147">
        <f>IF(SER_hh_emih_in!V28=0,0,SER_hh_emih_in!V28/SER_summary!V$27)</f>
        <v>0</v>
      </c>
      <c r="W28" s="147">
        <f>IF(SER_hh_emih_in!W28=0,0,SER_hh_emih_in!W28/SER_summary!W$27)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IF(SER_hh_emih_in!C29=0,0,SER_hh_emih_in!C29/SER_summary!C$27)</f>
        <v>2.2475694041630447</v>
      </c>
      <c r="D29" s="131">
        <f>IF(SER_hh_emih_in!D29=0,0,SER_hh_emih_in!D29/SER_summary!D$27)</f>
        <v>1.2559488778293857</v>
      </c>
      <c r="E29" s="131">
        <f>IF(SER_hh_emih_in!E29=0,0,SER_hh_emih_in!E29/SER_summary!E$27)</f>
        <v>1.5038424268767971</v>
      </c>
      <c r="F29" s="131">
        <f>IF(SER_hh_emih_in!F29=0,0,SER_hh_emih_in!F29/SER_summary!F$27)</f>
        <v>1.5315838480529178</v>
      </c>
      <c r="G29" s="131">
        <f>IF(SER_hh_emih_in!G29=0,0,SER_hh_emih_in!G29/SER_summary!G$27)</f>
        <v>1.3557438821970211</v>
      </c>
      <c r="H29" s="131">
        <f>IF(SER_hh_emih_in!H29=0,0,SER_hh_emih_in!H29/SER_summary!H$27)</f>
        <v>1.6755605082874283</v>
      </c>
      <c r="I29" s="131">
        <f>IF(SER_hh_emih_in!I29=0,0,SER_hh_emih_in!I29/SER_summary!I$27)</f>
        <v>1.7343502866289306</v>
      </c>
      <c r="J29" s="131">
        <f>IF(SER_hh_emih_in!J29=0,0,SER_hh_emih_in!J29/SER_summary!J$27)</f>
        <v>2.1841778244609125</v>
      </c>
      <c r="K29" s="131">
        <f>IF(SER_hh_emih_in!K29=0,0,SER_hh_emih_in!K29/SER_summary!K$27)</f>
        <v>2.7113830338304536</v>
      </c>
      <c r="L29" s="131">
        <f>IF(SER_hh_emih_in!L29=0,0,SER_hh_emih_in!L29/SER_summary!L$27)</f>
        <v>2.2487944001345554</v>
      </c>
      <c r="M29" s="131">
        <f>IF(SER_hh_emih_in!M29=0,0,SER_hh_emih_in!M29/SER_summary!M$27)</f>
        <v>1.5479703007016179</v>
      </c>
      <c r="N29" s="131">
        <f>IF(SER_hh_emih_in!N29=0,0,SER_hh_emih_in!N29/SER_summary!N$27)</f>
        <v>1.74109113423793</v>
      </c>
      <c r="O29" s="131">
        <f>IF(SER_hh_emih_in!O29=0,0,SER_hh_emih_in!O29/SER_summary!O$27)</f>
        <v>1.8109118454035968</v>
      </c>
      <c r="P29" s="131">
        <f>IF(SER_hh_emih_in!P29=0,0,SER_hh_emih_in!P29/SER_summary!P$27)</f>
        <v>1.6521148926858629</v>
      </c>
      <c r="Q29" s="131">
        <f>IF(SER_hh_emih_in!Q29=0,0,SER_hh_emih_in!Q29/SER_summary!Q$27)</f>
        <v>1.9655697139513921</v>
      </c>
      <c r="R29" s="131">
        <f>IF(SER_hh_emih_in!R29=0,0,SER_hh_emih_in!R29/SER_summary!R$27)</f>
        <v>1.7774818027683703</v>
      </c>
      <c r="S29" s="131">
        <f>IF(SER_hh_emih_in!S29=0,0,SER_hh_emih_in!S29/SER_summary!S$27)</f>
        <v>1.9175823376285521</v>
      </c>
      <c r="T29" s="131">
        <f>IF(SER_hh_emih_in!T29=0,0,SER_hh_emih_in!T29/SER_summary!T$27)</f>
        <v>1.9761753030732829</v>
      </c>
      <c r="U29" s="131">
        <f>IF(SER_hh_emih_in!U29=0,0,SER_hh_emih_in!U29/SER_summary!U$27)</f>
        <v>2.1017630669365639</v>
      </c>
      <c r="V29" s="131">
        <f>IF(SER_hh_emih_in!V29=0,0,SER_hh_emih_in!V29/SER_summary!V$27)</f>
        <v>2.1166947617680791</v>
      </c>
      <c r="W29" s="131">
        <f>IF(SER_hh_emih_in!W29=0,0,SER_hh_emih_in!W29/SER_summary!W$27)</f>
        <v>2.104067025012069</v>
      </c>
      <c r="DA29" s="156" t="s">
        <v>903</v>
      </c>
    </row>
    <row r="30" spans="1:105" s="2" customFormat="1" ht="12" customHeight="1" x14ac:dyDescent="0.25">
      <c r="A30" s="132" t="s">
        <v>52</v>
      </c>
      <c r="B30" s="133"/>
      <c r="C30" s="133">
        <f>IF(SER_hh_emih_in!C30=0,0,SER_hh_emih_in!C30/SER_summary!C$27)</f>
        <v>4.2500839879770611</v>
      </c>
      <c r="D30" s="133">
        <f>IF(SER_hh_emih_in!D30=0,0,SER_hh_emih_in!D30/SER_summary!D$27)</f>
        <v>0</v>
      </c>
      <c r="E30" s="133">
        <f>IF(SER_hh_emih_in!E30=0,0,SER_hh_emih_in!E30/SER_summary!E$27)</f>
        <v>0</v>
      </c>
      <c r="F30" s="133">
        <f>IF(SER_hh_emih_in!F30=0,0,SER_hh_emih_in!F30/SER_summary!F$27)</f>
        <v>0</v>
      </c>
      <c r="G30" s="133">
        <f>IF(SER_hh_emih_in!G30=0,0,SER_hh_emih_in!G30/SER_summary!G$27)</f>
        <v>0</v>
      </c>
      <c r="H30" s="133">
        <f>IF(SER_hh_emih_in!H30=0,0,SER_hh_emih_in!H30/SER_summary!H$27)</f>
        <v>0</v>
      </c>
      <c r="I30" s="133">
        <f>IF(SER_hh_emih_in!I30=0,0,SER_hh_emih_in!I30/SER_summary!I$27)</f>
        <v>0</v>
      </c>
      <c r="J30" s="133">
        <f>IF(SER_hh_emih_in!J30=0,0,SER_hh_emih_in!J30/SER_summary!J$27)</f>
        <v>4.316124766001427</v>
      </c>
      <c r="K30" s="133">
        <f>IF(SER_hh_emih_in!K30=0,0,SER_hh_emih_in!K30/SER_summary!K$27)</f>
        <v>4.1857910142010084</v>
      </c>
      <c r="L30" s="133">
        <f>IF(SER_hh_emih_in!L30=0,0,SER_hh_emih_in!L30/SER_summary!L$27)</f>
        <v>5.0224784353504335</v>
      </c>
      <c r="M30" s="133">
        <f>IF(SER_hh_emih_in!M30=0,0,SER_hh_emih_in!M30/SER_summary!M$27)</f>
        <v>0</v>
      </c>
      <c r="N30" s="133">
        <f>IF(SER_hh_emih_in!N30=0,0,SER_hh_emih_in!N30/SER_summary!N$27)</f>
        <v>0</v>
      </c>
      <c r="O30" s="133">
        <f>IF(SER_hh_emih_in!O30=0,0,SER_hh_emih_in!O30/SER_summary!O$27)</f>
        <v>4.523765128660524</v>
      </c>
      <c r="P30" s="133">
        <f>IF(SER_hh_emih_in!P30=0,0,SER_hh_emih_in!P30/SER_summary!P$27)</f>
        <v>3.4446801815140033</v>
      </c>
      <c r="Q30" s="133">
        <f>IF(SER_hh_emih_in!Q30=0,0,SER_hh_emih_in!Q30/SER_summary!Q$27)</f>
        <v>5.3444656397198509</v>
      </c>
      <c r="R30" s="133">
        <f>IF(SER_hh_emih_in!R30=0,0,SER_hh_emih_in!R30/SER_summary!R$27)</f>
        <v>4.0074216557077857</v>
      </c>
      <c r="S30" s="133">
        <f>IF(SER_hh_emih_in!S30=0,0,SER_hh_emih_in!S30/SER_summary!S$27)</f>
        <v>4.4552320445635498</v>
      </c>
      <c r="T30" s="133">
        <f>IF(SER_hh_emih_in!T30=0,0,SER_hh_emih_in!T30/SER_summary!T$27)</f>
        <v>4.1565117889542069</v>
      </c>
      <c r="U30" s="133">
        <f>IF(SER_hh_emih_in!U30=0,0,SER_hh_emih_in!U30/SER_summary!U$27)</f>
        <v>4.0816627799963845</v>
      </c>
      <c r="V30" s="133">
        <f>IF(SER_hh_emih_in!V30=0,0,SER_hh_emih_in!V30/SER_summary!V$27)</f>
        <v>4.3448868376230054</v>
      </c>
      <c r="W30" s="133">
        <f>IF(SER_hh_emih_in!W30=0,0,SER_hh_emih_in!W30/SER_summary!W$27)</f>
        <v>4.3794607725926573</v>
      </c>
      <c r="DA30" s="157" t="s">
        <v>904</v>
      </c>
    </row>
    <row r="31" spans="1:105" ht="12" customHeight="1" x14ac:dyDescent="0.25">
      <c r="A31" s="132" t="s">
        <v>153</v>
      </c>
      <c r="B31" s="133"/>
      <c r="C31" s="133">
        <f>IF(SER_hh_emih_in!C31=0,0,SER_hh_emih_in!C31/SER_summary!C$27)</f>
        <v>3.5091762959830062</v>
      </c>
      <c r="D31" s="133">
        <f>IF(SER_hh_emih_in!D31=0,0,SER_hh_emih_in!D31/SER_summary!D$27)</f>
        <v>3.5236997261085725</v>
      </c>
      <c r="E31" s="133">
        <f>IF(SER_hh_emih_in!E31=0,0,SER_hh_emih_in!E31/SER_summary!E$27)</f>
        <v>3.542865618834286</v>
      </c>
      <c r="F31" s="133">
        <f>IF(SER_hh_emih_in!F31=0,0,SER_hh_emih_in!F31/SER_summary!F$27)</f>
        <v>3.5675293990564474</v>
      </c>
      <c r="G31" s="133">
        <f>IF(SER_hh_emih_in!G31=0,0,SER_hh_emih_in!G31/SER_summary!G$27)</f>
        <v>3.6150055771778882</v>
      </c>
      <c r="H31" s="133">
        <f>IF(SER_hh_emih_in!H31=0,0,SER_hh_emih_in!H31/SER_summary!H$27)</f>
        <v>3.6200429204224025</v>
      </c>
      <c r="I31" s="133">
        <f>IF(SER_hh_emih_in!I31=0,0,SER_hh_emih_in!I31/SER_summary!I$27)</f>
        <v>3.6558834507268028</v>
      </c>
      <c r="J31" s="133">
        <f>IF(SER_hh_emih_in!J31=0,0,SER_hh_emih_in!J31/SER_summary!J$27)</f>
        <v>3.7142376421669443</v>
      </c>
      <c r="K31" s="133">
        <f>IF(SER_hh_emih_in!K31=0,0,SER_hh_emih_in!K31/SER_summary!K$27)</f>
        <v>3.7322441873407057</v>
      </c>
      <c r="L31" s="133">
        <f>IF(SER_hh_emih_in!L31=0,0,SER_hh_emih_in!L31/SER_summary!L$27)</f>
        <v>3.7404025100483831</v>
      </c>
      <c r="M31" s="133">
        <f>IF(SER_hh_emih_in!M31=0,0,SER_hh_emih_in!M31/SER_summary!M$27)</f>
        <v>3.7462613464544234</v>
      </c>
      <c r="N31" s="133">
        <f>IF(SER_hh_emih_in!N31=0,0,SER_hh_emih_in!N31/SER_summary!N$27)</f>
        <v>3.7920815044327933</v>
      </c>
      <c r="O31" s="133">
        <f>IF(SER_hh_emih_in!O31=0,0,SER_hh_emih_in!O31/SER_summary!O$27)</f>
        <v>3.8062283692127123</v>
      </c>
      <c r="P31" s="133">
        <f>IF(SER_hh_emih_in!P31=0,0,SER_hh_emih_in!P31/SER_summary!P$27)</f>
        <v>3.8143541556230929</v>
      </c>
      <c r="Q31" s="133">
        <f>IF(SER_hh_emih_in!Q31=0,0,SER_hh_emih_in!Q31/SER_summary!Q$27)</f>
        <v>3.8343351446983505</v>
      </c>
      <c r="R31" s="133">
        <f>IF(SER_hh_emih_in!R31=0,0,SER_hh_emih_in!R31/SER_summary!R$27)</f>
        <v>3.8243400654052975</v>
      </c>
      <c r="S31" s="133">
        <f>IF(SER_hh_emih_in!S31=0,0,SER_hh_emih_in!S31/SER_summary!S$27)</f>
        <v>3.8034153083975419</v>
      </c>
      <c r="T31" s="133">
        <f>IF(SER_hh_emih_in!T31=0,0,SER_hh_emih_in!T31/SER_summary!T$27)</f>
        <v>3.7915502288202712</v>
      </c>
      <c r="U31" s="133">
        <f>IF(SER_hh_emih_in!U31=0,0,SER_hh_emih_in!U31/SER_summary!U$27)</f>
        <v>3.7839313335504028</v>
      </c>
      <c r="V31" s="133">
        <f>IF(SER_hh_emih_in!V31=0,0,SER_hh_emih_in!V31/SER_summary!V$27)</f>
        <v>3.5918216225169655</v>
      </c>
      <c r="W31" s="133">
        <f>IF(SER_hh_emih_in!W31=0,0,SER_hh_emih_in!W31/SER_summary!W$27)</f>
        <v>3.8090659699869565</v>
      </c>
      <c r="DA31" s="157" t="s">
        <v>905</v>
      </c>
    </row>
    <row r="32" spans="1:105" ht="12" customHeight="1" x14ac:dyDescent="0.25">
      <c r="A32" s="132" t="s">
        <v>128</v>
      </c>
      <c r="B32" s="133"/>
      <c r="C32" s="133">
        <f>IF(SER_hh_emih_in!C32=0,0,SER_hh_emih_in!C32/SER_summary!C$27)</f>
        <v>0</v>
      </c>
      <c r="D32" s="133">
        <f>IF(SER_hh_emih_in!D32=0,0,SER_hh_emih_in!D32/SER_summary!D$27)</f>
        <v>0</v>
      </c>
      <c r="E32" s="133">
        <f>IF(SER_hh_emih_in!E32=0,0,SER_hh_emih_in!E32/SER_summary!E$27)</f>
        <v>0</v>
      </c>
      <c r="F32" s="133">
        <f>IF(SER_hh_emih_in!F32=0,0,SER_hh_emih_in!F32/SER_summary!F$27)</f>
        <v>0</v>
      </c>
      <c r="G32" s="133">
        <f>IF(SER_hh_emih_in!G32=0,0,SER_hh_emih_in!G32/SER_summary!G$27)</f>
        <v>0</v>
      </c>
      <c r="H32" s="133">
        <f>IF(SER_hh_emih_in!H32=0,0,SER_hh_emih_in!H32/SER_summary!H$27)</f>
        <v>0</v>
      </c>
      <c r="I32" s="133">
        <f>IF(SER_hh_emih_in!I32=0,0,SER_hh_emih_in!I32/SER_summary!I$27)</f>
        <v>0</v>
      </c>
      <c r="J32" s="133">
        <f>IF(SER_hh_emih_in!J32=0,0,SER_hh_emih_in!J32/SER_summary!J$27)</f>
        <v>0</v>
      </c>
      <c r="K32" s="133">
        <f>IF(SER_hh_emih_in!K32=0,0,SER_hh_emih_in!K32/SER_summary!K$27)</f>
        <v>0</v>
      </c>
      <c r="L32" s="133">
        <f>IF(SER_hh_emih_in!L32=0,0,SER_hh_emih_in!L32/SER_summary!L$27)</f>
        <v>0</v>
      </c>
      <c r="M32" s="133">
        <f>IF(SER_hh_emih_in!M32=0,0,SER_hh_emih_in!M32/SER_summary!M$27)</f>
        <v>0</v>
      </c>
      <c r="N32" s="133">
        <f>IF(SER_hh_emih_in!N32=0,0,SER_hh_emih_in!N32/SER_summary!N$27)</f>
        <v>0</v>
      </c>
      <c r="O32" s="133">
        <f>IF(SER_hh_emih_in!O32=0,0,SER_hh_emih_in!O32/SER_summary!O$27)</f>
        <v>6.0549778687665983</v>
      </c>
      <c r="P32" s="133">
        <f>IF(SER_hh_emih_in!P32=0,0,SER_hh_emih_in!P32/SER_summary!P$27)</f>
        <v>5.5182339052142035</v>
      </c>
      <c r="Q32" s="133">
        <f>IF(SER_hh_emih_in!Q32=0,0,SER_hh_emih_in!Q32/SER_summary!Q$27)</f>
        <v>6.5134740789940233</v>
      </c>
      <c r="R32" s="133">
        <f>IF(SER_hh_emih_in!R32=0,0,SER_hh_emih_in!R32/SER_summary!R$27)</f>
        <v>6.1575991298198343</v>
      </c>
      <c r="S32" s="133">
        <f>IF(SER_hh_emih_in!S32=0,0,SER_hh_emih_in!S32/SER_summary!S$27)</f>
        <v>6.0097384659886028</v>
      </c>
      <c r="T32" s="133">
        <f>IF(SER_hh_emih_in!T32=0,0,SER_hh_emih_in!T32/SER_summary!T$27)</f>
        <v>6.1822690313420408</v>
      </c>
      <c r="U32" s="133">
        <f>IF(SER_hh_emih_in!U32=0,0,SER_hh_emih_in!U32/SER_summary!U$27)</f>
        <v>0</v>
      </c>
      <c r="V32" s="133">
        <f>IF(SER_hh_emih_in!V32=0,0,SER_hh_emih_in!V32/SER_summary!V$27)</f>
        <v>0</v>
      </c>
      <c r="W32" s="133">
        <f>IF(SER_hh_emih_in!W32=0,0,SER_hh_emih_in!W32/SER_summary!W$27)</f>
        <v>0</v>
      </c>
      <c r="DA32" s="157" t="s">
        <v>906</v>
      </c>
    </row>
    <row r="33" spans="1:105" ht="12" customHeight="1" x14ac:dyDescent="0.25">
      <c r="A33" s="62" t="s">
        <v>24</v>
      </c>
      <c r="B33" s="68"/>
      <c r="C33" s="68">
        <f>IF(SER_hh_emih_in!C33=0,0,SER_hh_emih_in!C33/SER_summary!C$27)</f>
        <v>0</v>
      </c>
      <c r="D33" s="68">
        <f>IF(SER_hh_emih_in!D33=0,0,SER_hh_emih_in!D33/SER_summary!D$27)</f>
        <v>0</v>
      </c>
      <c r="E33" s="68">
        <f>IF(SER_hh_emih_in!E33=0,0,SER_hh_emih_in!E33/SER_summary!E$27)</f>
        <v>0</v>
      </c>
      <c r="F33" s="68">
        <f>IF(SER_hh_emih_in!F33=0,0,SER_hh_emih_in!F33/SER_summary!F$27)</f>
        <v>0</v>
      </c>
      <c r="G33" s="68">
        <f>IF(SER_hh_emih_in!G33=0,0,SER_hh_emih_in!G33/SER_summary!G$27)</f>
        <v>0</v>
      </c>
      <c r="H33" s="68">
        <f>IF(SER_hh_emih_in!H33=0,0,SER_hh_emih_in!H33/SER_summary!H$27)</f>
        <v>0</v>
      </c>
      <c r="I33" s="68">
        <f>IF(SER_hh_emih_in!I33=0,0,SER_hh_emih_in!I33/SER_summary!I$27)</f>
        <v>0</v>
      </c>
      <c r="J33" s="68">
        <f>IF(SER_hh_emih_in!J33=0,0,SER_hh_emih_in!J33/SER_summary!J$27)</f>
        <v>0</v>
      </c>
      <c r="K33" s="68">
        <f>IF(SER_hh_emih_in!K33=0,0,SER_hh_emih_in!K33/SER_summary!K$27)</f>
        <v>0</v>
      </c>
      <c r="L33" s="68">
        <f>IF(SER_hh_emih_in!L33=0,0,SER_hh_emih_in!L33/SER_summary!L$27)</f>
        <v>0</v>
      </c>
      <c r="M33" s="68">
        <f>IF(SER_hh_emih_in!M33=0,0,SER_hh_emih_in!M33/SER_summary!M$27)</f>
        <v>0</v>
      </c>
      <c r="N33" s="68">
        <f>IF(SER_hh_emih_in!N33=0,0,SER_hh_emih_in!N33/SER_summary!N$27)</f>
        <v>0</v>
      </c>
      <c r="O33" s="68">
        <f>IF(SER_hh_emih_in!O33=0,0,SER_hh_emih_in!O33/SER_summary!O$27)</f>
        <v>0</v>
      </c>
      <c r="P33" s="68">
        <f>IF(SER_hh_emih_in!P33=0,0,SER_hh_emih_in!P33/SER_summary!P$27)</f>
        <v>0</v>
      </c>
      <c r="Q33" s="68">
        <f>IF(SER_hh_emih_in!Q33=0,0,SER_hh_emih_in!Q33/SER_summary!Q$27)</f>
        <v>0</v>
      </c>
      <c r="R33" s="68">
        <f>IF(SER_hh_emih_in!R33=0,0,SER_hh_emih_in!R33/SER_summary!R$27)</f>
        <v>0</v>
      </c>
      <c r="S33" s="68">
        <f>IF(SER_hh_emih_in!S33=0,0,SER_hh_emih_in!S33/SER_summary!S$27)</f>
        <v>0</v>
      </c>
      <c r="T33" s="68">
        <f>IF(SER_hh_emih_in!T33=0,0,SER_hh_emih_in!T33/SER_summary!T$27)</f>
        <v>0</v>
      </c>
      <c r="U33" s="68">
        <f>IF(SER_hh_emih_in!U33=0,0,SER_hh_emih_in!U33/SER_summary!U$27)</f>
        <v>0</v>
      </c>
      <c r="V33" s="68">
        <f>IF(SER_hh_emih_in!V33=0,0,SER_hh_emih_in!V33/SER_summary!V$27)</f>
        <v>0</v>
      </c>
      <c r="W33" s="68">
        <f>IF(SER_hh_emih_in!W33=0,0,SER_hh_emih_in!W33/SER_summary!W$27)</f>
        <v>0</v>
      </c>
      <c r="DA33" s="111" t="s">
        <v>907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7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79" t="s">
        <v>81</v>
      </c>
      <c r="B3" s="180">
        <f t="shared" ref="B3" si="0">SUM(B4:B9)</f>
        <v>715.05124692361994</v>
      </c>
      <c r="C3" s="180">
        <f t="shared" ref="C3:W3" si="1">SUM(C4:C9)</f>
        <v>748.965637333004</v>
      </c>
      <c r="D3" s="180">
        <f t="shared" si="1"/>
        <v>796.31861246189874</v>
      </c>
      <c r="E3" s="180">
        <f t="shared" si="1"/>
        <v>827.49213549142758</v>
      </c>
      <c r="F3" s="180">
        <f t="shared" si="1"/>
        <v>895.47295007556465</v>
      </c>
      <c r="G3" s="180">
        <f t="shared" si="1"/>
        <v>940.57343198925741</v>
      </c>
      <c r="H3" s="180">
        <f t="shared" si="1"/>
        <v>994.9990737914585</v>
      </c>
      <c r="I3" s="180">
        <f t="shared" si="1"/>
        <v>1044.7726824429365</v>
      </c>
      <c r="J3" s="180">
        <f t="shared" si="1"/>
        <v>1083.9999808920984</v>
      </c>
      <c r="K3" s="180">
        <f t="shared" si="1"/>
        <v>1108.6327606589471</v>
      </c>
      <c r="L3" s="180">
        <f t="shared" si="1"/>
        <v>1142.5149189559661</v>
      </c>
      <c r="M3" s="180">
        <f t="shared" si="1"/>
        <v>1171.3767904727679</v>
      </c>
      <c r="N3" s="180">
        <f t="shared" si="1"/>
        <v>1199.679330775818</v>
      </c>
      <c r="O3" s="180">
        <f t="shared" si="1"/>
        <v>1230.3594252729306</v>
      </c>
      <c r="P3" s="180">
        <f t="shared" si="1"/>
        <v>1240.1575359469575</v>
      </c>
      <c r="Q3" s="180">
        <f t="shared" si="1"/>
        <v>1252.4520598023269</v>
      </c>
      <c r="R3" s="180">
        <f t="shared" si="1"/>
        <v>1277.7274826404528</v>
      </c>
      <c r="S3" s="180">
        <f t="shared" si="1"/>
        <v>1292.6576368539813</v>
      </c>
      <c r="T3" s="180">
        <f t="shared" si="1"/>
        <v>1285.3519587778478</v>
      </c>
      <c r="U3" s="180">
        <f t="shared" si="1"/>
        <v>1239.6283673069709</v>
      </c>
      <c r="V3" s="180">
        <f t="shared" si="1"/>
        <v>1157.2111169238594</v>
      </c>
      <c r="W3" s="180">
        <f t="shared" si="1"/>
        <v>1135.1455068016207</v>
      </c>
      <c r="DA3" s="189" t="s">
        <v>217</v>
      </c>
    </row>
    <row r="4" spans="1:105" ht="12" customHeight="1" x14ac:dyDescent="0.25">
      <c r="A4" s="132" t="s">
        <v>7</v>
      </c>
      <c r="B4" s="181">
        <f t="shared" ref="B4:B9" si="2">B12*B44/11630</f>
        <v>49.661467355788375</v>
      </c>
      <c r="C4" s="181">
        <f t="shared" ref="C4:R9" si="3">C12*C44/11630</f>
        <v>51.282182494231698</v>
      </c>
      <c r="D4" s="181">
        <f t="shared" si="3"/>
        <v>54.120453834606813</v>
      </c>
      <c r="E4" s="181">
        <f t="shared" si="3"/>
        <v>55.271702537816381</v>
      </c>
      <c r="F4" s="181">
        <f t="shared" si="3"/>
        <v>56.961023404423706</v>
      </c>
      <c r="G4" s="181">
        <f t="shared" si="3"/>
        <v>58.446552229508569</v>
      </c>
      <c r="H4" s="181">
        <f t="shared" si="3"/>
        <v>60.603862240631983</v>
      </c>
      <c r="I4" s="181">
        <f t="shared" si="3"/>
        <v>62.744397093051134</v>
      </c>
      <c r="J4" s="181">
        <f t="shared" si="3"/>
        <v>64.664204336895367</v>
      </c>
      <c r="K4" s="181">
        <f t="shared" si="3"/>
        <v>64.878890972605845</v>
      </c>
      <c r="L4" s="181">
        <f t="shared" si="3"/>
        <v>66.53793440114957</v>
      </c>
      <c r="M4" s="181">
        <f t="shared" si="3"/>
        <v>67.935725806306422</v>
      </c>
      <c r="N4" s="181">
        <f t="shared" si="3"/>
        <v>68.80320945578984</v>
      </c>
      <c r="O4" s="181">
        <f t="shared" si="3"/>
        <v>69.763457924974077</v>
      </c>
      <c r="P4" s="181">
        <f t="shared" si="3"/>
        <v>70.707280514401944</v>
      </c>
      <c r="Q4" s="181">
        <f t="shared" si="3"/>
        <v>71.642940145057253</v>
      </c>
      <c r="R4" s="181">
        <f t="shared" si="3"/>
        <v>71.637548851247942</v>
      </c>
      <c r="S4" s="181">
        <f t="shared" ref="D4:W9" si="4">S12*S44/11630</f>
        <v>71.52524130047253</v>
      </c>
      <c r="T4" s="181">
        <f t="shared" si="4"/>
        <v>71.482801802113414</v>
      </c>
      <c r="U4" s="181">
        <f t="shared" si="4"/>
        <v>71.632339876372669</v>
      </c>
      <c r="V4" s="181">
        <f t="shared" si="4"/>
        <v>71.503959807264906</v>
      </c>
      <c r="W4" s="181">
        <f t="shared" si="4"/>
        <v>71.729306591826557</v>
      </c>
      <c r="DA4" s="190" t="s">
        <v>908</v>
      </c>
    </row>
    <row r="5" spans="1:105" ht="12" customHeight="1" x14ac:dyDescent="0.25">
      <c r="A5" s="132" t="s">
        <v>6</v>
      </c>
      <c r="B5" s="181">
        <f t="shared" si="2"/>
        <v>72.466842340499994</v>
      </c>
      <c r="C5" s="181">
        <f t="shared" si="3"/>
        <v>73.029633173515947</v>
      </c>
      <c r="D5" s="181">
        <f t="shared" si="4"/>
        <v>74.236617945451002</v>
      </c>
      <c r="E5" s="181">
        <f t="shared" si="4"/>
        <v>74.915787488121467</v>
      </c>
      <c r="F5" s="181">
        <f t="shared" si="4"/>
        <v>75.877085702450074</v>
      </c>
      <c r="G5" s="181">
        <f t="shared" si="4"/>
        <v>77.160340660700939</v>
      </c>
      <c r="H5" s="181">
        <f t="shared" si="4"/>
        <v>78.243386008635554</v>
      </c>
      <c r="I5" s="181">
        <f t="shared" si="4"/>
        <v>79.457098259545958</v>
      </c>
      <c r="J5" s="181">
        <f t="shared" si="4"/>
        <v>81.076324262698151</v>
      </c>
      <c r="K5" s="181">
        <f t="shared" si="4"/>
        <v>82.549530838380093</v>
      </c>
      <c r="L5" s="181">
        <f t="shared" si="4"/>
        <v>83.207345461833512</v>
      </c>
      <c r="M5" s="181">
        <f t="shared" si="4"/>
        <v>84.147400796788958</v>
      </c>
      <c r="N5" s="181">
        <f t="shared" si="4"/>
        <v>84.367038660668868</v>
      </c>
      <c r="O5" s="181">
        <f t="shared" si="4"/>
        <v>85.001265937064844</v>
      </c>
      <c r="P5" s="181">
        <f t="shared" si="4"/>
        <v>85.02022227047469</v>
      </c>
      <c r="Q5" s="181">
        <f t="shared" si="4"/>
        <v>84.792697278180853</v>
      </c>
      <c r="R5" s="181">
        <f t="shared" si="4"/>
        <v>83.834169311764711</v>
      </c>
      <c r="S5" s="181">
        <f t="shared" si="4"/>
        <v>83.304320035475513</v>
      </c>
      <c r="T5" s="181">
        <f t="shared" si="4"/>
        <v>80.718449200301364</v>
      </c>
      <c r="U5" s="181">
        <f t="shared" si="4"/>
        <v>77.819318837206325</v>
      </c>
      <c r="V5" s="181">
        <f t="shared" si="4"/>
        <v>74.707540743234063</v>
      </c>
      <c r="W5" s="181">
        <f t="shared" si="4"/>
        <v>72.316460905569642</v>
      </c>
      <c r="DA5" s="190" t="s">
        <v>909</v>
      </c>
    </row>
    <row r="6" spans="1:105" ht="12" customHeight="1" x14ac:dyDescent="0.25">
      <c r="A6" s="132" t="s">
        <v>5</v>
      </c>
      <c r="B6" s="181">
        <f t="shared" si="2"/>
        <v>283.87050726256768</v>
      </c>
      <c r="C6" s="181">
        <f t="shared" si="3"/>
        <v>287.9360454118243</v>
      </c>
      <c r="D6" s="181">
        <f t="shared" si="4"/>
        <v>300.85879905489185</v>
      </c>
      <c r="E6" s="181">
        <f t="shared" si="4"/>
        <v>303.25398443812344</v>
      </c>
      <c r="F6" s="181">
        <f t="shared" si="4"/>
        <v>309.75708103660725</v>
      </c>
      <c r="G6" s="181">
        <f t="shared" si="4"/>
        <v>312.79894662444161</v>
      </c>
      <c r="H6" s="181">
        <f t="shared" si="4"/>
        <v>318.11618887039987</v>
      </c>
      <c r="I6" s="181">
        <f t="shared" si="4"/>
        <v>325.10256119082658</v>
      </c>
      <c r="J6" s="181">
        <f t="shared" si="4"/>
        <v>330.1253795613959</v>
      </c>
      <c r="K6" s="181">
        <f t="shared" si="4"/>
        <v>328.85280681851236</v>
      </c>
      <c r="L6" s="181">
        <f t="shared" si="4"/>
        <v>337.33637790023795</v>
      </c>
      <c r="M6" s="181">
        <f t="shared" si="4"/>
        <v>342.01832173864329</v>
      </c>
      <c r="N6" s="181">
        <f t="shared" si="4"/>
        <v>343.59951215760134</v>
      </c>
      <c r="O6" s="181">
        <f t="shared" si="4"/>
        <v>341.81572203137421</v>
      </c>
      <c r="P6" s="181">
        <f t="shared" si="4"/>
        <v>341.099349730158</v>
      </c>
      <c r="Q6" s="181">
        <f t="shared" si="4"/>
        <v>341.74611260796911</v>
      </c>
      <c r="R6" s="181">
        <f t="shared" si="4"/>
        <v>333.4406076381498</v>
      </c>
      <c r="S6" s="181">
        <f t="shared" si="4"/>
        <v>333.6033888879557</v>
      </c>
      <c r="T6" s="181">
        <f t="shared" si="4"/>
        <v>315.51411689390608</v>
      </c>
      <c r="U6" s="181">
        <f t="shared" si="4"/>
        <v>297.76753214134226</v>
      </c>
      <c r="V6" s="181">
        <f t="shared" si="4"/>
        <v>264.89545787719368</v>
      </c>
      <c r="W6" s="181">
        <f t="shared" si="4"/>
        <v>250.40018037369759</v>
      </c>
      <c r="DA6" s="190" t="s">
        <v>910</v>
      </c>
    </row>
    <row r="7" spans="1:105" ht="12" customHeight="1" x14ac:dyDescent="0.25">
      <c r="A7" s="132" t="s">
        <v>179</v>
      </c>
      <c r="B7" s="181">
        <f t="shared" si="2"/>
        <v>104.25614892900394</v>
      </c>
      <c r="C7" s="181">
        <f t="shared" si="3"/>
        <v>105.65725119124959</v>
      </c>
      <c r="D7" s="181">
        <f t="shared" si="4"/>
        <v>107.70282122601579</v>
      </c>
      <c r="E7" s="181">
        <f t="shared" si="4"/>
        <v>110.87286741530572</v>
      </c>
      <c r="F7" s="181">
        <f t="shared" si="4"/>
        <v>117.19302248566322</v>
      </c>
      <c r="G7" s="181">
        <f t="shared" si="4"/>
        <v>129.58273818825074</v>
      </c>
      <c r="H7" s="181">
        <f t="shared" si="4"/>
        <v>146.17543677336977</v>
      </c>
      <c r="I7" s="181">
        <f t="shared" si="4"/>
        <v>156.48747246246242</v>
      </c>
      <c r="J7" s="181">
        <f t="shared" si="4"/>
        <v>162.8599854628203</v>
      </c>
      <c r="K7" s="181">
        <f t="shared" si="4"/>
        <v>169.73478857625835</v>
      </c>
      <c r="L7" s="181">
        <f t="shared" si="4"/>
        <v>173.94085967480652</v>
      </c>
      <c r="M7" s="181">
        <f t="shared" si="4"/>
        <v>176.33842726269552</v>
      </c>
      <c r="N7" s="181">
        <f t="shared" si="4"/>
        <v>177.97835425485857</v>
      </c>
      <c r="O7" s="181">
        <f t="shared" si="4"/>
        <v>179.53233669772479</v>
      </c>
      <c r="P7" s="181">
        <f t="shared" si="4"/>
        <v>181.24093105035266</v>
      </c>
      <c r="Q7" s="181">
        <f t="shared" si="4"/>
        <v>183.84401667128219</v>
      </c>
      <c r="R7" s="181">
        <f t="shared" si="4"/>
        <v>181.83303609573545</v>
      </c>
      <c r="S7" s="181">
        <f t="shared" si="4"/>
        <v>180.55827775574281</v>
      </c>
      <c r="T7" s="181">
        <f t="shared" si="4"/>
        <v>180.23960760005866</v>
      </c>
      <c r="U7" s="181">
        <f t="shared" si="4"/>
        <v>179.67375933359284</v>
      </c>
      <c r="V7" s="181">
        <f t="shared" si="4"/>
        <v>179.40872398970302</v>
      </c>
      <c r="W7" s="181">
        <f t="shared" si="4"/>
        <v>179.32464470907078</v>
      </c>
      <c r="DA7" s="190" t="s">
        <v>911</v>
      </c>
    </row>
    <row r="8" spans="1:105" ht="12" customHeight="1" x14ac:dyDescent="0.25">
      <c r="A8" s="60" t="s">
        <v>4</v>
      </c>
      <c r="B8" s="55">
        <f t="shared" si="2"/>
        <v>87.079237213114737</v>
      </c>
      <c r="C8" s="55">
        <f t="shared" si="3"/>
        <v>92.715775619696714</v>
      </c>
      <c r="D8" s="55">
        <f t="shared" si="4"/>
        <v>102.06268936104981</v>
      </c>
      <c r="E8" s="55">
        <f t="shared" si="4"/>
        <v>109.23600784565014</v>
      </c>
      <c r="F8" s="55">
        <f t="shared" si="4"/>
        <v>118.32698842271878</v>
      </c>
      <c r="G8" s="55">
        <f t="shared" si="4"/>
        <v>127.76581576628921</v>
      </c>
      <c r="H8" s="55">
        <f t="shared" si="4"/>
        <v>136.86362262558572</v>
      </c>
      <c r="I8" s="55">
        <f t="shared" si="4"/>
        <v>145.69553517504229</v>
      </c>
      <c r="J8" s="55">
        <f t="shared" si="4"/>
        <v>152.43740271153459</v>
      </c>
      <c r="K8" s="55">
        <f t="shared" si="4"/>
        <v>154.37674358263763</v>
      </c>
      <c r="L8" s="55">
        <f t="shared" si="4"/>
        <v>159.69947695711048</v>
      </c>
      <c r="M8" s="55">
        <f t="shared" si="4"/>
        <v>163.47452121166023</v>
      </c>
      <c r="N8" s="55">
        <f t="shared" si="4"/>
        <v>165.78519793314047</v>
      </c>
      <c r="O8" s="55">
        <f t="shared" si="4"/>
        <v>167.51479630967185</v>
      </c>
      <c r="P8" s="55">
        <f t="shared" si="4"/>
        <v>169.15375621094884</v>
      </c>
      <c r="Q8" s="55">
        <f t="shared" si="4"/>
        <v>169.01781602885748</v>
      </c>
      <c r="R8" s="55">
        <f t="shared" si="4"/>
        <v>172.21035038193457</v>
      </c>
      <c r="S8" s="55">
        <f t="shared" si="4"/>
        <v>176.08632815252372</v>
      </c>
      <c r="T8" s="55">
        <f t="shared" si="4"/>
        <v>177.05850480631202</v>
      </c>
      <c r="U8" s="55">
        <f t="shared" si="4"/>
        <v>176.61269838658444</v>
      </c>
      <c r="V8" s="55">
        <f t="shared" si="4"/>
        <v>167.75000445153367</v>
      </c>
      <c r="W8" s="55">
        <f t="shared" si="4"/>
        <v>168.25468942873948</v>
      </c>
      <c r="DA8" s="101" t="s">
        <v>912</v>
      </c>
    </row>
    <row r="9" spans="1:105" ht="12" customHeight="1" x14ac:dyDescent="0.25">
      <c r="A9" s="62" t="s">
        <v>3</v>
      </c>
      <c r="B9" s="63">
        <f t="shared" si="2"/>
        <v>117.71704382264524</v>
      </c>
      <c r="C9" s="63">
        <f t="shared" si="3"/>
        <v>138.34474944248581</v>
      </c>
      <c r="D9" s="63">
        <f t="shared" si="4"/>
        <v>157.33723103988345</v>
      </c>
      <c r="E9" s="63">
        <f t="shared" si="4"/>
        <v>173.94178576641033</v>
      </c>
      <c r="F9" s="63">
        <f t="shared" si="4"/>
        <v>217.35774902370159</v>
      </c>
      <c r="G9" s="63">
        <f t="shared" si="4"/>
        <v>234.81903852006627</v>
      </c>
      <c r="H9" s="63">
        <f t="shared" si="4"/>
        <v>254.99657727283565</v>
      </c>
      <c r="I9" s="63">
        <f t="shared" si="4"/>
        <v>275.28561826200792</v>
      </c>
      <c r="J9" s="63">
        <f t="shared" si="4"/>
        <v>292.83668455675399</v>
      </c>
      <c r="K9" s="63">
        <f t="shared" si="4"/>
        <v>308.23999987055265</v>
      </c>
      <c r="L9" s="63">
        <f t="shared" si="4"/>
        <v>321.79292456082817</v>
      </c>
      <c r="M9" s="63">
        <f t="shared" si="4"/>
        <v>337.4623936566735</v>
      </c>
      <c r="N9" s="63">
        <f t="shared" si="4"/>
        <v>359.14601831375899</v>
      </c>
      <c r="O9" s="63">
        <f t="shared" si="4"/>
        <v>386.73184637212086</v>
      </c>
      <c r="P9" s="63">
        <f t="shared" si="4"/>
        <v>392.93599617062159</v>
      </c>
      <c r="Q9" s="63">
        <f t="shared" si="4"/>
        <v>401.4084770709801</v>
      </c>
      <c r="R9" s="63">
        <f t="shared" si="4"/>
        <v>434.7717703616201</v>
      </c>
      <c r="S9" s="63">
        <f t="shared" si="4"/>
        <v>447.58008072181121</v>
      </c>
      <c r="T9" s="63">
        <f t="shared" si="4"/>
        <v>460.33847847515631</v>
      </c>
      <c r="U9" s="63">
        <f t="shared" si="4"/>
        <v>436.12271873187228</v>
      </c>
      <c r="V9" s="63">
        <f t="shared" si="4"/>
        <v>398.94543005493011</v>
      </c>
      <c r="W9" s="63">
        <f t="shared" si="4"/>
        <v>393.12022479271678</v>
      </c>
      <c r="DA9" s="105" t="s">
        <v>913</v>
      </c>
    </row>
    <row r="10" spans="1:105" s="2" customFormat="1" ht="12" customHeight="1" x14ac:dyDescent="0.25">
      <c r="DA10" s="7"/>
    </row>
    <row r="11" spans="1:105" ht="12.95" customHeight="1" x14ac:dyDescent="0.25">
      <c r="A11" s="179" t="s">
        <v>108</v>
      </c>
      <c r="B11" s="180">
        <f t="shared" ref="B11" si="5">SUM(B12:B17)</f>
        <v>3746.968998977386</v>
      </c>
      <c r="C11" s="180">
        <f t="shared" ref="C11:W11" si="6">SUM(C12:C17)</f>
        <v>3961.4945527112586</v>
      </c>
      <c r="D11" s="180">
        <f t="shared" si="6"/>
        <v>4253.2305640431287</v>
      </c>
      <c r="E11" s="180">
        <f t="shared" si="6"/>
        <v>4447.2343590210157</v>
      </c>
      <c r="F11" s="180">
        <f t="shared" si="6"/>
        <v>4855.5036050979816</v>
      </c>
      <c r="G11" s="180">
        <f t="shared" si="6"/>
        <v>5092.9111963810992</v>
      </c>
      <c r="H11" s="180">
        <f t="shared" si="6"/>
        <v>5354.1462681719204</v>
      </c>
      <c r="I11" s="180">
        <f t="shared" si="6"/>
        <v>5613.0115465915078</v>
      </c>
      <c r="J11" s="180">
        <f t="shared" si="6"/>
        <v>5821.0390674699729</v>
      </c>
      <c r="K11" s="180">
        <f t="shared" si="6"/>
        <v>5918.9777591791153</v>
      </c>
      <c r="L11" s="180">
        <f t="shared" si="6"/>
        <v>6085.46270597273</v>
      </c>
      <c r="M11" s="180">
        <f t="shared" si="6"/>
        <v>6226.0369983369492</v>
      </c>
      <c r="N11" s="180">
        <f t="shared" si="6"/>
        <v>6371.3061441526406</v>
      </c>
      <c r="O11" s="180">
        <f t="shared" si="6"/>
        <v>6528.9943552251552</v>
      </c>
      <c r="P11" s="180">
        <f t="shared" si="6"/>
        <v>6557.6406254892536</v>
      </c>
      <c r="Q11" s="180">
        <f t="shared" si="6"/>
        <v>6584.4807573726648</v>
      </c>
      <c r="R11" s="180">
        <f t="shared" si="6"/>
        <v>6712.1143422947389</v>
      </c>
      <c r="S11" s="180">
        <f t="shared" si="6"/>
        <v>6694.7121801511994</v>
      </c>
      <c r="T11" s="180">
        <f t="shared" si="6"/>
        <v>6725.3907655415469</v>
      </c>
      <c r="U11" s="180">
        <f t="shared" si="6"/>
        <v>6546.0021281471236</v>
      </c>
      <c r="V11" s="180">
        <f t="shared" si="6"/>
        <v>6334.8682349401097</v>
      </c>
      <c r="W11" s="180">
        <f t="shared" si="6"/>
        <v>6235.3158840878896</v>
      </c>
      <c r="DA11" s="189" t="s">
        <v>914</v>
      </c>
    </row>
    <row r="12" spans="1:105" ht="12" customHeight="1" x14ac:dyDescent="0.25">
      <c r="A12" s="132" t="s">
        <v>7</v>
      </c>
      <c r="B12" s="181">
        <f>B20*B52</f>
        <v>65.931833943814937</v>
      </c>
      <c r="C12" s="181">
        <f t="shared" ref="C12:W12" si="7">C20*C52</f>
        <v>68.083536804556488</v>
      </c>
      <c r="D12" s="181">
        <f t="shared" si="7"/>
        <v>71.85169841283988</v>
      </c>
      <c r="E12" s="181">
        <f t="shared" si="7"/>
        <v>73.380125629543912</v>
      </c>
      <c r="F12" s="181">
        <f t="shared" si="7"/>
        <v>75.622911209297712</v>
      </c>
      <c r="G12" s="181">
        <f t="shared" si="7"/>
        <v>77.595137263605565</v>
      </c>
      <c r="H12" s="181">
        <f t="shared" si="7"/>
        <v>80.459237198464621</v>
      </c>
      <c r="I12" s="181">
        <f t="shared" si="7"/>
        <v>83.301066003674052</v>
      </c>
      <c r="J12" s="181">
        <f t="shared" si="7"/>
        <v>85.84985119156309</v>
      </c>
      <c r="K12" s="181">
        <f t="shared" si="7"/>
        <v>86.134874658836324</v>
      </c>
      <c r="L12" s="181">
        <f t="shared" si="7"/>
        <v>88.337463137599258</v>
      </c>
      <c r="M12" s="181">
        <f t="shared" si="7"/>
        <v>90.193206749696742</v>
      </c>
      <c r="N12" s="181">
        <f t="shared" si="7"/>
        <v>91.344900224981302</v>
      </c>
      <c r="O12" s="181">
        <f t="shared" si="7"/>
        <v>92.619750646969024</v>
      </c>
      <c r="P12" s="181">
        <f t="shared" si="7"/>
        <v>93.872793650969754</v>
      </c>
      <c r="Q12" s="181">
        <f t="shared" si="7"/>
        <v>95.114999302170787</v>
      </c>
      <c r="R12" s="181">
        <f t="shared" si="7"/>
        <v>95.107841682649948</v>
      </c>
      <c r="S12" s="181">
        <f t="shared" si="7"/>
        <v>94.958739306449289</v>
      </c>
      <c r="T12" s="181">
        <f t="shared" si="7"/>
        <v>94.902395543216784</v>
      </c>
      <c r="U12" s="181">
        <f t="shared" si="7"/>
        <v>95.100926114408011</v>
      </c>
      <c r="V12" s="181">
        <f t="shared" si="7"/>
        <v>94.930485451882518</v>
      </c>
      <c r="W12" s="181">
        <f t="shared" si="7"/>
        <v>95.229661605358785</v>
      </c>
      <c r="DA12" s="190" t="s">
        <v>915</v>
      </c>
    </row>
    <row r="13" spans="1:105" ht="12" customHeight="1" x14ac:dyDescent="0.25">
      <c r="A13" s="132" t="s">
        <v>6</v>
      </c>
      <c r="B13" s="181">
        <f>B21*B53/1000</f>
        <v>203.70171561468197</v>
      </c>
      <c r="C13" s="181">
        <f t="shared" ref="C13:W13" si="8">C21*C53/1000</f>
        <v>206.05130579382165</v>
      </c>
      <c r="D13" s="181">
        <f t="shared" si="8"/>
        <v>210.05447146400661</v>
      </c>
      <c r="E13" s="181">
        <f t="shared" si="8"/>
        <v>212.76096143968138</v>
      </c>
      <c r="F13" s="181">
        <f t="shared" si="8"/>
        <v>215.65585638886398</v>
      </c>
      <c r="G13" s="181">
        <f t="shared" si="8"/>
        <v>219.79274674303051</v>
      </c>
      <c r="H13" s="181">
        <f t="shared" si="8"/>
        <v>223.02870632799554</v>
      </c>
      <c r="I13" s="181">
        <f t="shared" si="8"/>
        <v>226.72036045267481</v>
      </c>
      <c r="J13" s="181">
        <f t="shared" si="8"/>
        <v>231.6110863447266</v>
      </c>
      <c r="K13" s="181">
        <f t="shared" si="8"/>
        <v>236.51646598709431</v>
      </c>
      <c r="L13" s="181">
        <f t="shared" si="8"/>
        <v>239.38295377147446</v>
      </c>
      <c r="M13" s="181">
        <f t="shared" si="8"/>
        <v>243.61339951234834</v>
      </c>
      <c r="N13" s="181">
        <f t="shared" si="8"/>
        <v>246.03400274291914</v>
      </c>
      <c r="O13" s="181">
        <f t="shared" si="8"/>
        <v>250.30816295908917</v>
      </c>
      <c r="P13" s="181">
        <f t="shared" si="8"/>
        <v>253.61722272128236</v>
      </c>
      <c r="Q13" s="181">
        <f t="shared" si="8"/>
        <v>256.20842113083398</v>
      </c>
      <c r="R13" s="181">
        <f t="shared" si="8"/>
        <v>252.21066419854841</v>
      </c>
      <c r="S13" s="181">
        <f t="shared" si="8"/>
        <v>247.67055769417783</v>
      </c>
      <c r="T13" s="181">
        <f t="shared" si="8"/>
        <v>242.08335267354443</v>
      </c>
      <c r="U13" s="181">
        <f t="shared" si="8"/>
        <v>235.70921283818285</v>
      </c>
      <c r="V13" s="181">
        <f t="shared" si="8"/>
        <v>227.94078087593752</v>
      </c>
      <c r="W13" s="181">
        <f t="shared" si="8"/>
        <v>220.68568460476178</v>
      </c>
      <c r="DA13" s="190" t="s">
        <v>916</v>
      </c>
    </row>
    <row r="14" spans="1:105" ht="12" customHeight="1" x14ac:dyDescent="0.25">
      <c r="A14" s="132" t="s">
        <v>5</v>
      </c>
      <c r="B14" s="181">
        <f>B22*B54</f>
        <v>1352.0862164929681</v>
      </c>
      <c r="C14" s="181">
        <f t="shared" ref="C14:W14" si="9">C22*C54</f>
        <v>1363.1249440121537</v>
      </c>
      <c r="D14" s="181">
        <f t="shared" si="9"/>
        <v>1415.7849210415882</v>
      </c>
      <c r="E14" s="181">
        <f t="shared" si="9"/>
        <v>1420.0391396587902</v>
      </c>
      <c r="F14" s="181">
        <f t="shared" si="9"/>
        <v>1440.6412013864608</v>
      </c>
      <c r="G14" s="181">
        <f t="shared" si="9"/>
        <v>1446.6933043117997</v>
      </c>
      <c r="H14" s="181">
        <f t="shared" si="9"/>
        <v>1463.054222475454</v>
      </c>
      <c r="I14" s="181">
        <f t="shared" si="9"/>
        <v>1485.6759347183474</v>
      </c>
      <c r="J14" s="181">
        <f t="shared" si="9"/>
        <v>1502.4597888762894</v>
      </c>
      <c r="K14" s="181">
        <f t="shared" si="9"/>
        <v>1493.1664143042551</v>
      </c>
      <c r="L14" s="181">
        <f t="shared" si="9"/>
        <v>1526.9602460128299</v>
      </c>
      <c r="M14" s="181">
        <f t="shared" si="9"/>
        <v>1541.4507314284729</v>
      </c>
      <c r="N14" s="181">
        <f t="shared" si="9"/>
        <v>1545.1737038251367</v>
      </c>
      <c r="O14" s="181">
        <f t="shared" si="9"/>
        <v>1535.4475480334729</v>
      </c>
      <c r="P14" s="181">
        <f t="shared" si="9"/>
        <v>1525.568792772491</v>
      </c>
      <c r="Q14" s="181">
        <f t="shared" si="9"/>
        <v>1524.4573794863738</v>
      </c>
      <c r="R14" s="181">
        <f t="shared" si="9"/>
        <v>1478.1259440516351</v>
      </c>
      <c r="S14" s="181">
        <f t="shared" si="9"/>
        <v>1434.9900076404824</v>
      </c>
      <c r="T14" s="181">
        <f t="shared" si="9"/>
        <v>1380.3559073234469</v>
      </c>
      <c r="U14" s="181">
        <f t="shared" si="9"/>
        <v>1323.9524834826177</v>
      </c>
      <c r="V14" s="181">
        <f t="shared" si="9"/>
        <v>1244.3916029706136</v>
      </c>
      <c r="W14" s="181">
        <f t="shared" si="9"/>
        <v>1176.7362958450535</v>
      </c>
      <c r="DA14" s="190" t="s">
        <v>917</v>
      </c>
    </row>
    <row r="15" spans="1:105" ht="12" customHeight="1" x14ac:dyDescent="0.25">
      <c r="A15" s="132" t="s">
        <v>179</v>
      </c>
      <c r="B15" s="181">
        <f>B23*B55/1000</f>
        <v>138.41312922880323</v>
      </c>
      <c r="C15" s="181">
        <f t="shared" ref="C15:W15" si="10">C23*C55/1000</f>
        <v>140.27326841943295</v>
      </c>
      <c r="D15" s="181">
        <f t="shared" si="10"/>
        <v>142.98901950440225</v>
      </c>
      <c r="E15" s="181">
        <f t="shared" si="10"/>
        <v>147.19765388584537</v>
      </c>
      <c r="F15" s="181">
        <f t="shared" si="10"/>
        <v>155.58845336852326</v>
      </c>
      <c r="G15" s="181">
        <f t="shared" si="10"/>
        <v>172.03735674992646</v>
      </c>
      <c r="H15" s="181">
        <f t="shared" si="10"/>
        <v>194.06624767971357</v>
      </c>
      <c r="I15" s="181">
        <f t="shared" si="10"/>
        <v>207.75676994731035</v>
      </c>
      <c r="J15" s="181">
        <f t="shared" si="10"/>
        <v>216.21708115668955</v>
      </c>
      <c r="K15" s="181">
        <f t="shared" si="10"/>
        <v>225.34424556414214</v>
      </c>
      <c r="L15" s="181">
        <f t="shared" si="10"/>
        <v>230.92833310707755</v>
      </c>
      <c r="M15" s="181">
        <f t="shared" si="10"/>
        <v>234.1114051444234</v>
      </c>
      <c r="N15" s="181">
        <f t="shared" si="10"/>
        <v>236.28861415342524</v>
      </c>
      <c r="O15" s="181">
        <f t="shared" si="10"/>
        <v>238.3517209811117</v>
      </c>
      <c r="P15" s="181">
        <f t="shared" si="10"/>
        <v>240.62009453374452</v>
      </c>
      <c r="Q15" s="181">
        <f t="shared" si="10"/>
        <v>244.07601756701047</v>
      </c>
      <c r="R15" s="181">
        <f t="shared" si="10"/>
        <v>241.40618833258026</v>
      </c>
      <c r="S15" s="181">
        <f t="shared" si="10"/>
        <v>239.71378656384579</v>
      </c>
      <c r="T15" s="181">
        <f t="shared" si="10"/>
        <v>239.29071191651624</v>
      </c>
      <c r="U15" s="181">
        <f t="shared" si="10"/>
        <v>238.53947728877679</v>
      </c>
      <c r="V15" s="181">
        <f t="shared" si="10"/>
        <v>238.18760958906918</v>
      </c>
      <c r="W15" s="181">
        <f t="shared" si="10"/>
        <v>238.07598378612934</v>
      </c>
      <c r="DA15" s="190" t="s">
        <v>918</v>
      </c>
    </row>
    <row r="16" spans="1:105" ht="12" customHeight="1" x14ac:dyDescent="0.25">
      <c r="A16" s="60" t="s">
        <v>4</v>
      </c>
      <c r="B16" s="55">
        <f>B24*B56</f>
        <v>1178.8216503568801</v>
      </c>
      <c r="C16" s="55">
        <f t="shared" ref="C16:W16" si="11">C24*C56</f>
        <v>1249.1583316225024</v>
      </c>
      <c r="D16" s="55">
        <f t="shared" si="11"/>
        <v>1369.119742576411</v>
      </c>
      <c r="E16" s="55">
        <f t="shared" si="11"/>
        <v>1459.4934147972292</v>
      </c>
      <c r="F16" s="55">
        <f t="shared" si="11"/>
        <v>1575.110029769899</v>
      </c>
      <c r="G16" s="55">
        <f t="shared" si="11"/>
        <v>1694.8981150732332</v>
      </c>
      <c r="H16" s="55">
        <f t="shared" si="11"/>
        <v>1809.737224161036</v>
      </c>
      <c r="I16" s="55">
        <f t="shared" si="11"/>
        <v>1920.6900406643613</v>
      </c>
      <c r="J16" s="55">
        <f t="shared" si="11"/>
        <v>2003.8324379817091</v>
      </c>
      <c r="K16" s="55">
        <f t="shared" si="11"/>
        <v>2023.8470267609398</v>
      </c>
      <c r="L16" s="55">
        <f t="shared" si="11"/>
        <v>2088.2643835142571</v>
      </c>
      <c r="M16" s="55">
        <f t="shared" si="11"/>
        <v>2134.1539850638424</v>
      </c>
      <c r="N16" s="55">
        <f t="shared" si="11"/>
        <v>2160.966247524605</v>
      </c>
      <c r="O16" s="55">
        <f t="shared" si="11"/>
        <v>2180.2781371984229</v>
      </c>
      <c r="P16" s="55">
        <f t="shared" si="11"/>
        <v>2198.4888072683129</v>
      </c>
      <c r="Q16" s="55">
        <f t="shared" si="11"/>
        <v>2193.7348751369409</v>
      </c>
      <c r="R16" s="55">
        <f t="shared" si="11"/>
        <v>2219.0532476538883</v>
      </c>
      <c r="S16" s="55">
        <f t="shared" si="11"/>
        <v>2230.5610775783598</v>
      </c>
      <c r="T16" s="55">
        <f t="shared" si="11"/>
        <v>2250.197253990877</v>
      </c>
      <c r="U16" s="55">
        <f t="shared" si="11"/>
        <v>2261.7822274108539</v>
      </c>
      <c r="V16" s="55">
        <f t="shared" si="11"/>
        <v>2269.754599338803</v>
      </c>
      <c r="W16" s="55">
        <f t="shared" si="11"/>
        <v>2277.4323918788623</v>
      </c>
      <c r="DA16" s="101" t="s">
        <v>919</v>
      </c>
    </row>
    <row r="17" spans="1:105" ht="12" customHeight="1" x14ac:dyDescent="0.25">
      <c r="A17" s="62" t="s">
        <v>3</v>
      </c>
      <c r="B17" s="63">
        <f>B25*B57/1000</f>
        <v>808.01445334023776</v>
      </c>
      <c r="C17" s="63">
        <f t="shared" ref="C17:W17" si="12">C25*C57/1000</f>
        <v>934.80316605879113</v>
      </c>
      <c r="D17" s="63">
        <f t="shared" si="12"/>
        <v>1043.4307110438808</v>
      </c>
      <c r="E17" s="63">
        <f t="shared" si="12"/>
        <v>1134.3630636099263</v>
      </c>
      <c r="F17" s="63">
        <f t="shared" si="12"/>
        <v>1392.8851529749363</v>
      </c>
      <c r="G17" s="63">
        <f t="shared" si="12"/>
        <v>1481.8945362395034</v>
      </c>
      <c r="H17" s="63">
        <f t="shared" si="12"/>
        <v>1583.8006303292566</v>
      </c>
      <c r="I17" s="63">
        <f t="shared" si="12"/>
        <v>1688.8673748051397</v>
      </c>
      <c r="J17" s="63">
        <f t="shared" si="12"/>
        <v>1781.0688219189951</v>
      </c>
      <c r="K17" s="63">
        <f t="shared" si="12"/>
        <v>1853.968731903848</v>
      </c>
      <c r="L17" s="63">
        <f t="shared" si="12"/>
        <v>1911.5893264294916</v>
      </c>
      <c r="M17" s="63">
        <f t="shared" si="12"/>
        <v>1982.5142704381649</v>
      </c>
      <c r="N17" s="63">
        <f t="shared" si="12"/>
        <v>2091.4986756815724</v>
      </c>
      <c r="O17" s="63">
        <f t="shared" si="12"/>
        <v>2231.9890354060899</v>
      </c>
      <c r="P17" s="63">
        <f t="shared" si="12"/>
        <v>2245.472914542454</v>
      </c>
      <c r="Q17" s="63">
        <f t="shared" si="12"/>
        <v>2270.8890647493349</v>
      </c>
      <c r="R17" s="63">
        <f t="shared" si="12"/>
        <v>2426.210456375436</v>
      </c>
      <c r="S17" s="63">
        <f t="shared" si="12"/>
        <v>2446.8180113678845</v>
      </c>
      <c r="T17" s="63">
        <f t="shared" si="12"/>
        <v>2518.5611440939456</v>
      </c>
      <c r="U17" s="63">
        <f t="shared" si="12"/>
        <v>2390.9178010122841</v>
      </c>
      <c r="V17" s="63">
        <f t="shared" si="12"/>
        <v>2259.6631567138038</v>
      </c>
      <c r="W17" s="63">
        <f t="shared" si="12"/>
        <v>2227.1558663677242</v>
      </c>
      <c r="DA17" s="105" t="s">
        <v>920</v>
      </c>
    </row>
    <row r="18" spans="1:105" s="2" customFormat="1" ht="12" customHeight="1" x14ac:dyDescent="0.25">
      <c r="DA18" s="7"/>
    </row>
    <row r="19" spans="1:105" ht="12.95" customHeight="1" x14ac:dyDescent="0.25">
      <c r="A19" s="179" t="s">
        <v>107</v>
      </c>
      <c r="B19" s="180"/>
      <c r="C19" s="180"/>
      <c r="D19" s="180"/>
      <c r="E19" s="180"/>
      <c r="F19" s="180"/>
      <c r="G19" s="180"/>
      <c r="H19" s="180"/>
      <c r="I19" s="180"/>
      <c r="J19" s="180"/>
      <c r="K19" s="180"/>
      <c r="L19" s="180"/>
      <c r="M19" s="180"/>
      <c r="N19" s="180"/>
      <c r="O19" s="180"/>
      <c r="P19" s="180"/>
      <c r="Q19" s="180"/>
      <c r="R19" s="180"/>
      <c r="S19" s="180"/>
      <c r="T19" s="180"/>
      <c r="U19" s="180"/>
      <c r="V19" s="180"/>
      <c r="W19" s="180"/>
      <c r="DA19" s="189"/>
    </row>
    <row r="20" spans="1:105" ht="12" customHeight="1" x14ac:dyDescent="0.25">
      <c r="A20" s="132" t="s">
        <v>165</v>
      </c>
      <c r="B20" s="182">
        <v>101.80483774004398</v>
      </c>
      <c r="C20" s="182">
        <v>106.0660034674236</v>
      </c>
      <c r="D20" s="182">
        <v>113.27218073994258</v>
      </c>
      <c r="E20" s="182">
        <v>116.66949832491746</v>
      </c>
      <c r="F20" s="182">
        <v>121.44612929075561</v>
      </c>
      <c r="G20" s="182">
        <v>125.86653797253706</v>
      </c>
      <c r="H20" s="182">
        <v>132.06616323102074</v>
      </c>
      <c r="I20" s="182">
        <v>138.37480187332054</v>
      </c>
      <c r="J20" s="182">
        <v>144.30558636786688</v>
      </c>
      <c r="K20" s="182">
        <v>146.11831492358249</v>
      </c>
      <c r="L20" s="182">
        <v>151.78157367433249</v>
      </c>
      <c r="M20" s="182">
        <v>156.98180193945748</v>
      </c>
      <c r="N20" s="182">
        <v>161.04780104162495</v>
      </c>
      <c r="O20" s="182">
        <v>165.6152993461063</v>
      </c>
      <c r="P20" s="182">
        <v>170.42848394802638</v>
      </c>
      <c r="Q20" s="182">
        <v>175.51500304651123</v>
      </c>
      <c r="R20" s="182">
        <v>178.08185724907486</v>
      </c>
      <c r="S20" s="182">
        <v>180.51366554151519</v>
      </c>
      <c r="T20" s="182">
        <v>183.31812701649767</v>
      </c>
      <c r="U20" s="182">
        <v>186.10706719235242</v>
      </c>
      <c r="V20" s="182">
        <v>188.8777091704705</v>
      </c>
      <c r="W20" s="182">
        <v>191.62617465130739</v>
      </c>
      <c r="DA20" s="191" t="s">
        <v>921</v>
      </c>
    </row>
    <row r="21" spans="1:105" ht="12" customHeight="1" x14ac:dyDescent="0.25">
      <c r="A21" s="132" t="s">
        <v>163</v>
      </c>
      <c r="B21" s="182">
        <v>1133.7262748417306</v>
      </c>
      <c r="C21" s="182">
        <v>1157.627728576625</v>
      </c>
      <c r="D21" s="182">
        <v>1193.639082112594</v>
      </c>
      <c r="E21" s="182">
        <v>1223.9918188531897</v>
      </c>
      <c r="F21" s="182">
        <v>1259.4522046095801</v>
      </c>
      <c r="G21" s="182">
        <v>1306.6676477598937</v>
      </c>
      <c r="H21" s="182">
        <v>1354.9626015486187</v>
      </c>
      <c r="I21" s="182">
        <v>1412.5411994722031</v>
      </c>
      <c r="J21" s="182">
        <v>1467.2117022146094</v>
      </c>
      <c r="K21" s="182">
        <v>1526.7932844151135</v>
      </c>
      <c r="L21" s="182">
        <v>1576.2851698081931</v>
      </c>
      <c r="M21" s="182">
        <v>1641.7140455963722</v>
      </c>
      <c r="N21" s="182">
        <v>1704.6320559209507</v>
      </c>
      <c r="O21" s="182">
        <v>1789.3974971770524</v>
      </c>
      <c r="P21" s="182">
        <v>1884.0735729647645</v>
      </c>
      <c r="Q21" s="182">
        <v>1980.286343740521</v>
      </c>
      <c r="R21" s="182">
        <v>2033.6773031511595</v>
      </c>
      <c r="S21" s="182">
        <v>2083.4608412903863</v>
      </c>
      <c r="T21" s="182">
        <v>2137.1301135389303</v>
      </c>
      <c r="U21" s="182">
        <v>2189.7454867916185</v>
      </c>
      <c r="V21" s="182">
        <v>2240.0553961859018</v>
      </c>
      <c r="W21" s="182">
        <v>2286.7293962663257</v>
      </c>
      <c r="DA21" s="191" t="s">
        <v>922</v>
      </c>
    </row>
    <row r="22" spans="1:105" ht="12" customHeight="1" x14ac:dyDescent="0.25">
      <c r="A22" s="132" t="s">
        <v>167</v>
      </c>
      <c r="B22" s="182">
        <v>33.119639535147023</v>
      </c>
      <c r="C22" s="182">
        <v>33.793433798693009</v>
      </c>
      <c r="D22" s="182">
        <v>35.864569412315689</v>
      </c>
      <c r="E22" s="182">
        <v>36.817925724711074</v>
      </c>
      <c r="F22" s="182">
        <v>38.345404364408616</v>
      </c>
      <c r="G22" s="182">
        <v>39.584791896909756</v>
      </c>
      <c r="H22" s="182">
        <v>41.331620745392236</v>
      </c>
      <c r="I22" s="182">
        <v>42.954576677150037</v>
      </c>
      <c r="J22" s="182">
        <v>44.539829662719974</v>
      </c>
      <c r="K22" s="182">
        <v>45.236333746580442</v>
      </c>
      <c r="L22" s="182">
        <v>47.726960448749203</v>
      </c>
      <c r="M22" s="182">
        <v>49.740973933107405</v>
      </c>
      <c r="N22" s="182">
        <v>51.753123556605665</v>
      </c>
      <c r="O22" s="182">
        <v>53.389137961161516</v>
      </c>
      <c r="P22" s="182">
        <v>55.705262377300279</v>
      </c>
      <c r="Q22" s="182">
        <v>57.982823812738431</v>
      </c>
      <c r="R22" s="182">
        <v>59.65918336716971</v>
      </c>
      <c r="S22" s="182">
        <v>61.32005830137701</v>
      </c>
      <c r="T22" s="182">
        <v>63.067740744743702</v>
      </c>
      <c r="U22" s="182">
        <v>64.726507962336115</v>
      </c>
      <c r="V22" s="182">
        <v>66.210158318848514</v>
      </c>
      <c r="W22" s="182">
        <v>67.404110465939326</v>
      </c>
      <c r="DA22" s="191" t="s">
        <v>923</v>
      </c>
    </row>
    <row r="23" spans="1:105" ht="12" customHeight="1" x14ac:dyDescent="0.25">
      <c r="A23" s="132" t="s">
        <v>180</v>
      </c>
      <c r="B23" s="182">
        <v>218.13324103817703</v>
      </c>
      <c r="C23" s="182">
        <v>223.23079898053834</v>
      </c>
      <c r="D23" s="182">
        <v>230.52441964687983</v>
      </c>
      <c r="E23" s="182">
        <v>240.89802067786218</v>
      </c>
      <c r="F23" s="182">
        <v>259.37441284330373</v>
      </c>
      <c r="G23" s="182">
        <v>293.43472093338113</v>
      </c>
      <c r="H23" s="182">
        <v>338.7308148815373</v>
      </c>
      <c r="I23" s="182">
        <v>369.45213159744469</v>
      </c>
      <c r="J23" s="182">
        <v>391.19559725480144</v>
      </c>
      <c r="K23" s="182">
        <v>415.31148966520817</v>
      </c>
      <c r="L23" s="182">
        <v>433.55115385477012</v>
      </c>
      <c r="M23" s="182">
        <v>445.58119045680706</v>
      </c>
      <c r="N23" s="182">
        <v>455.89661044728115</v>
      </c>
      <c r="O23" s="182">
        <v>467.35377522411954</v>
      </c>
      <c r="P23" s="182">
        <v>481.79636854836434</v>
      </c>
      <c r="Q23" s="182">
        <v>502.22845308702261</v>
      </c>
      <c r="R23" s="182">
        <v>511.54817344106533</v>
      </c>
      <c r="S23" s="182">
        <v>519.91185750040154</v>
      </c>
      <c r="T23" s="182">
        <v>529.21311179695272</v>
      </c>
      <c r="U23" s="182">
        <v>538.22082376153253</v>
      </c>
      <c r="V23" s="182">
        <v>546.64127427877395</v>
      </c>
      <c r="W23" s="182">
        <v>554.13320619366777</v>
      </c>
      <c r="DA23" s="191" t="s">
        <v>924</v>
      </c>
    </row>
    <row r="24" spans="1:105" ht="12" customHeight="1" x14ac:dyDescent="0.25">
      <c r="A24" s="60" t="s">
        <v>166</v>
      </c>
      <c r="B24" s="36">
        <v>25.700204123573894</v>
      </c>
      <c r="C24" s="36">
        <v>27.378013433955157</v>
      </c>
      <c r="D24" s="36">
        <v>30.245769281412962</v>
      </c>
      <c r="E24" s="36">
        <v>32.448394819000022</v>
      </c>
      <c r="F24" s="36">
        <v>35.282082322056667</v>
      </c>
      <c r="G24" s="36">
        <v>38.257456478728194</v>
      </c>
      <c r="H24" s="36">
        <v>41.158897592584431</v>
      </c>
      <c r="I24" s="36">
        <v>44.017467208375052</v>
      </c>
      <c r="J24" s="36">
        <v>46.256482257097829</v>
      </c>
      <c r="K24" s="36">
        <v>46.996775449591219</v>
      </c>
      <c r="L24" s="36">
        <v>48.921968102198356</v>
      </c>
      <c r="M24" s="36">
        <v>50.500881206903607</v>
      </c>
      <c r="N24" s="36">
        <v>51.716317694418542</v>
      </c>
      <c r="O24" s="36">
        <v>52.895640727137994</v>
      </c>
      <c r="P24" s="36">
        <v>54.237317281009844</v>
      </c>
      <c r="Q24" s="36">
        <v>55.159541599452901</v>
      </c>
      <c r="R24" s="36">
        <v>56.532253526544046</v>
      </c>
      <c r="S24" s="36">
        <v>57.871080871503459</v>
      </c>
      <c r="T24" s="36">
        <v>59.338534243733896</v>
      </c>
      <c r="U24" s="36">
        <v>60.810792609662521</v>
      </c>
      <c r="V24" s="36">
        <v>62.286128155220091</v>
      </c>
      <c r="W24" s="36">
        <v>63.770680948330217</v>
      </c>
      <c r="DA24" s="89" t="s">
        <v>925</v>
      </c>
    </row>
    <row r="25" spans="1:105" ht="12" customHeight="1" x14ac:dyDescent="0.25">
      <c r="A25" s="62" t="s">
        <v>164</v>
      </c>
      <c r="B25" s="38">
        <v>2298.1227941658767</v>
      </c>
      <c r="C25" s="38">
        <v>2730.2045273808694</v>
      </c>
      <c r="D25" s="38">
        <v>3144.1904993634166</v>
      </c>
      <c r="E25" s="38">
        <v>3531.708506134853</v>
      </c>
      <c r="F25" s="38">
        <v>4533.9517085434009</v>
      </c>
      <c r="G25" s="38">
        <v>4982.4074764319757</v>
      </c>
      <c r="H25" s="38">
        <v>5567.8693660936497</v>
      </c>
      <c r="I25" s="38">
        <v>6192.9631156042178</v>
      </c>
      <c r="J25" s="38">
        <v>6805.305508434355</v>
      </c>
      <c r="K25" s="38">
        <v>7572.1315530498641</v>
      </c>
      <c r="L25" s="38">
        <v>8173.0051930885675</v>
      </c>
      <c r="M25" s="38">
        <v>9166.054998776186</v>
      </c>
      <c r="N25" s="38">
        <v>10458.639216125126</v>
      </c>
      <c r="O25" s="38">
        <v>12041.176121188291</v>
      </c>
      <c r="P25" s="38">
        <v>13152.066539645542</v>
      </c>
      <c r="Q25" s="38">
        <v>13990.336277503671</v>
      </c>
      <c r="R25" s="38">
        <v>15957.415580634453</v>
      </c>
      <c r="S25" s="38">
        <v>16899.732344614476</v>
      </c>
      <c r="T25" s="38">
        <v>18089.482064466887</v>
      </c>
      <c r="U25" s="38">
        <v>17705.730794305538</v>
      </c>
      <c r="V25" s="38">
        <v>16980.630763802834</v>
      </c>
      <c r="W25" s="38">
        <v>17316.649199068732</v>
      </c>
      <c r="DA25" s="90" t="s">
        <v>926</v>
      </c>
    </row>
    <row r="26" spans="1:105" s="2" customFormat="1" ht="12" customHeight="1" x14ac:dyDescent="0.25">
      <c r="DA26" s="7"/>
    </row>
    <row r="27" spans="1:105" ht="12.95" customHeight="1" x14ac:dyDescent="0.25">
      <c r="A27" s="179" t="s">
        <v>106</v>
      </c>
      <c r="B27" s="180"/>
      <c r="C27" s="180"/>
      <c r="D27" s="180"/>
      <c r="E27" s="180"/>
      <c r="F27" s="180"/>
      <c r="G27" s="180"/>
      <c r="H27" s="180"/>
      <c r="I27" s="180"/>
      <c r="J27" s="180"/>
      <c r="K27" s="180"/>
      <c r="L27" s="180"/>
      <c r="M27" s="180"/>
      <c r="N27" s="180"/>
      <c r="O27" s="180"/>
      <c r="P27" s="180"/>
      <c r="Q27" s="180"/>
      <c r="R27" s="180"/>
      <c r="S27" s="180"/>
      <c r="T27" s="180"/>
      <c r="U27" s="180"/>
      <c r="V27" s="180"/>
      <c r="W27" s="180"/>
      <c r="DA27" s="189"/>
    </row>
    <row r="28" spans="1:105" ht="12" customHeight="1" x14ac:dyDescent="0.25">
      <c r="A28" s="132" t="s">
        <v>165</v>
      </c>
      <c r="B28" s="183"/>
      <c r="C28" s="183">
        <v>8.6767802597489805</v>
      </c>
      <c r="D28" s="183">
        <v>11.746690086126819</v>
      </c>
      <c r="E28" s="183">
        <v>8.0662615019327859</v>
      </c>
      <c r="F28" s="183">
        <v>9.5776387362307389</v>
      </c>
      <c r="G28" s="183">
        <v>9.3572158101883787</v>
      </c>
      <c r="H28" s="183">
        <v>11.276072910451646</v>
      </c>
      <c r="I28" s="183">
        <v>11.52867663302581</v>
      </c>
      <c r="J28" s="183">
        <v>11.298474362097608</v>
      </c>
      <c r="K28" s="183">
        <v>7.332246721177313</v>
      </c>
      <c r="L28" s="183">
        <v>11.338899767759784</v>
      </c>
      <c r="M28" s="183">
        <v>11.036408161322385</v>
      </c>
      <c r="N28" s="183">
        <v>10.067258815158198</v>
      </c>
      <c r="O28" s="183">
        <v>10.738507214989994</v>
      </c>
      <c r="P28" s="183">
        <v>11.158744166880041</v>
      </c>
      <c r="Q28" s="183">
        <v>11.611566586892337</v>
      </c>
      <c r="R28" s="183">
        <v>9.2764665370027046</v>
      </c>
      <c r="S28" s="183">
        <v>9.3312059992674676</v>
      </c>
      <c r="T28" s="183">
        <v>9.8990127462446935</v>
      </c>
      <c r="U28" s="183">
        <v>11.465720435603714</v>
      </c>
      <c r="V28" s="183">
        <v>14.517332064244897</v>
      </c>
      <c r="W28" s="183">
        <v>10.814726982769685</v>
      </c>
      <c r="DA28" s="192" t="s">
        <v>927</v>
      </c>
    </row>
    <row r="29" spans="1:105" ht="12" customHeight="1" x14ac:dyDescent="0.25">
      <c r="A29" s="132" t="s">
        <v>163</v>
      </c>
      <c r="B29" s="183"/>
      <c r="C29" s="183">
        <v>166.12109955737981</v>
      </c>
      <c r="D29" s="183">
        <v>184.35282716136737</v>
      </c>
      <c r="E29" s="183">
        <v>185.07955152131194</v>
      </c>
      <c r="F29" s="183">
        <v>196.84739794586017</v>
      </c>
      <c r="G29" s="183">
        <v>215.54934015683421</v>
      </c>
      <c r="H29" s="183">
        <v>223.87476344611423</v>
      </c>
      <c r="I29" s="183">
        <v>240.71621968333534</v>
      </c>
      <c r="J29" s="183">
        <v>220.79160229978606</v>
      </c>
      <c r="K29" s="183">
        <v>243.9344093618713</v>
      </c>
      <c r="L29" s="183">
        <v>234.5714369143916</v>
      </c>
      <c r="M29" s="183">
        <v>262.27627373403925</v>
      </c>
      <c r="N29" s="183">
        <v>278.46735048141272</v>
      </c>
      <c r="O29" s="183">
        <v>308.6402047022159</v>
      </c>
      <c r="P29" s="183">
        <v>335.39229547104742</v>
      </c>
      <c r="Q29" s="183">
        <v>317.00437307554262</v>
      </c>
      <c r="R29" s="183">
        <v>297.32536877250982</v>
      </c>
      <c r="S29" s="183">
        <v>284.35497505361832</v>
      </c>
      <c r="T29" s="183">
        <v>315.94554598258333</v>
      </c>
      <c r="U29" s="183">
        <v>331.08272373410091</v>
      </c>
      <c r="V29" s="183">
        <v>358.95011409649919</v>
      </c>
      <c r="W29" s="183">
        <v>382.06629555147128</v>
      </c>
      <c r="DA29" s="192" t="s">
        <v>928</v>
      </c>
    </row>
    <row r="30" spans="1:105" ht="12" customHeight="1" x14ac:dyDescent="0.25">
      <c r="A30" s="132" t="s">
        <v>167</v>
      </c>
      <c r="B30" s="183"/>
      <c r="C30" s="183">
        <v>5.8459591117812622</v>
      </c>
      <c r="D30" s="183">
        <v>7.3776647813278693</v>
      </c>
      <c r="E30" s="183">
        <v>6.3977403631693619</v>
      </c>
      <c r="F30" s="183">
        <v>7.1132988162293209</v>
      </c>
      <c r="G30" s="183">
        <v>6.9703181122632216</v>
      </c>
      <c r="H30" s="183">
        <v>7.6266395606212001</v>
      </c>
      <c r="I30" s="183">
        <v>7.468915043539063</v>
      </c>
      <c r="J30" s="183">
        <v>8.9629177668978102</v>
      </c>
      <c r="K30" s="183">
        <v>7.0942444470298298</v>
      </c>
      <c r="L30" s="183">
        <v>9.6039255183980785</v>
      </c>
      <c r="M30" s="183">
        <v>8.9843315966214234</v>
      </c>
      <c r="N30" s="183">
        <v>9.6387891841194602</v>
      </c>
      <c r="O30" s="183">
        <v>9.1049294480949143</v>
      </c>
      <c r="P30" s="183">
        <v>11.279042183036573</v>
      </c>
      <c r="Q30" s="183">
        <v>9.3718058824679815</v>
      </c>
      <c r="R30" s="183">
        <v>11.280285072829358</v>
      </c>
      <c r="S30" s="183">
        <v>10.645206530828723</v>
      </c>
      <c r="T30" s="183">
        <v>11.386471627486152</v>
      </c>
      <c r="U30" s="183">
        <v>10.763696665687327</v>
      </c>
      <c r="V30" s="183">
        <v>12.762692539548972</v>
      </c>
      <c r="W30" s="183">
        <v>10.565758029558793</v>
      </c>
      <c r="DA30" s="192" t="s">
        <v>929</v>
      </c>
    </row>
    <row r="31" spans="1:105" ht="12" customHeight="1" x14ac:dyDescent="0.25">
      <c r="A31" s="132" t="s">
        <v>180</v>
      </c>
      <c r="B31" s="183"/>
      <c r="C31" s="183">
        <v>24.922183620278247</v>
      </c>
      <c r="D31" s="183">
        <v>27.535835930934837</v>
      </c>
      <c r="E31" s="183">
        <v>31.042202066640812</v>
      </c>
      <c r="F31" s="183">
        <v>39.580360441010811</v>
      </c>
      <c r="G31" s="183">
        <v>55.608814261726252</v>
      </c>
      <c r="H31" s="183">
        <v>67.298501844453256</v>
      </c>
      <c r="I31" s="183">
        <v>53.187187406840508</v>
      </c>
      <c r="J31" s="183">
        <v>44.682561609062475</v>
      </c>
      <c r="K31" s="183">
        <v>47.538181727416315</v>
      </c>
      <c r="L31" s="183">
        <v>42.155324946406608</v>
      </c>
      <c r="M31" s="183">
        <v>36.952220222315191</v>
      </c>
      <c r="N31" s="183">
        <v>37.851255921408949</v>
      </c>
      <c r="O31" s="183">
        <v>42.499366843479208</v>
      </c>
      <c r="P31" s="183">
        <v>54.022953765255636</v>
      </c>
      <c r="Q31" s="183">
        <v>76.040898800384525</v>
      </c>
      <c r="R31" s="183">
        <v>76.618222198495971</v>
      </c>
      <c r="S31" s="183">
        <v>61.550871466176716</v>
      </c>
      <c r="T31" s="183">
        <v>53.983815905613653</v>
      </c>
      <c r="U31" s="183">
        <v>56.545893691996127</v>
      </c>
      <c r="V31" s="183">
        <v>50.575775463648029</v>
      </c>
      <c r="W31" s="183">
        <v>44.444152137209016</v>
      </c>
      <c r="DA31" s="192" t="s">
        <v>930</v>
      </c>
    </row>
    <row r="32" spans="1:105" ht="12" customHeight="1" x14ac:dyDescent="0.25">
      <c r="A32" s="60" t="s">
        <v>166</v>
      </c>
      <c r="B32" s="41"/>
      <c r="C32" s="41">
        <v>2.4098142061283916</v>
      </c>
      <c r="D32" s="41">
        <v>3.6821343346332114</v>
      </c>
      <c r="E32" s="41">
        <v>3.1086472380255401</v>
      </c>
      <c r="F32" s="41">
        <v>3.8416651628209166</v>
      </c>
      <c r="G32" s="41">
        <v>4.0967810303613561</v>
      </c>
      <c r="H32" s="41">
        <v>4.149041558347129</v>
      </c>
      <c r="I32" s="41">
        <v>4.2465643798787056</v>
      </c>
      <c r="J32" s="41">
        <v>3.783202912427889</v>
      </c>
      <c r="K32" s="41">
        <v>2.4582507958715141</v>
      </c>
      <c r="L32" s="41">
        <v>3.8364745609645894</v>
      </c>
      <c r="M32" s="41">
        <v>3.7052743874466714</v>
      </c>
      <c r="N32" s="41">
        <v>3.5810803441176731</v>
      </c>
      <c r="O32" s="41">
        <v>3.8111762844242776</v>
      </c>
      <c r="P32" s="41">
        <v>4.269696136860361</v>
      </c>
      <c r="Q32" s="41">
        <v>4.1797382671446854</v>
      </c>
      <c r="R32" s="41">
        <v>3.782526133219541</v>
      </c>
      <c r="S32" s="41">
        <v>5.0209616795926237</v>
      </c>
      <c r="T32" s="41">
        <v>4.5761006102559776</v>
      </c>
      <c r="U32" s="41">
        <v>5.313923528749541</v>
      </c>
      <c r="V32" s="41">
        <v>5.5721165759189262</v>
      </c>
      <c r="W32" s="41">
        <v>5.6335943514572548</v>
      </c>
      <c r="DA32" s="92" t="s">
        <v>931</v>
      </c>
    </row>
    <row r="33" spans="1:105" ht="12" customHeight="1" x14ac:dyDescent="0.25">
      <c r="A33" s="62" t="s">
        <v>164</v>
      </c>
      <c r="B33" s="42"/>
      <c r="C33" s="42">
        <v>891.70629204816805</v>
      </c>
      <c r="D33" s="42">
        <v>873.61053081572254</v>
      </c>
      <c r="E33" s="42">
        <v>847.14256560461172</v>
      </c>
      <c r="F33" s="42">
        <v>1461.8677612417232</v>
      </c>
      <c r="G33" s="42">
        <v>908.08032672175023</v>
      </c>
      <c r="H33" s="42">
        <v>1477.168181709842</v>
      </c>
      <c r="I33" s="42">
        <v>1498.7042803262902</v>
      </c>
      <c r="J33" s="42">
        <v>1459.4849584347494</v>
      </c>
      <c r="K33" s="42">
        <v>2228.6938058572323</v>
      </c>
      <c r="L33" s="42">
        <v>1508.9539667604531</v>
      </c>
      <c r="M33" s="42">
        <v>2470.2179873974601</v>
      </c>
      <c r="N33" s="42">
        <v>2791.2884976752302</v>
      </c>
      <c r="O33" s="42">
        <v>3042.0218634979137</v>
      </c>
      <c r="P33" s="42">
        <v>3339.5842243144834</v>
      </c>
      <c r="Q33" s="42">
        <v>2347.2237046185819</v>
      </c>
      <c r="R33" s="42">
        <v>4437.2972905282422</v>
      </c>
      <c r="S33" s="42">
        <v>3733.6052616552533</v>
      </c>
      <c r="T33" s="42">
        <v>4231.7715833503244</v>
      </c>
      <c r="U33" s="42">
        <v>2955.8329541531348</v>
      </c>
      <c r="V33" s="42">
        <v>1622.1236741158773</v>
      </c>
      <c r="W33" s="42">
        <v>4773.3157257941402</v>
      </c>
      <c r="DA33" s="93" t="s">
        <v>932</v>
      </c>
    </row>
    <row r="34" spans="1:105" s="2" customFormat="1" ht="12" customHeight="1" x14ac:dyDescent="0.25">
      <c r="DA34" s="7"/>
    </row>
    <row r="35" spans="1:105" ht="12.95" customHeight="1" x14ac:dyDescent="0.25">
      <c r="A35" s="179" t="s">
        <v>105</v>
      </c>
      <c r="B35" s="180"/>
      <c r="C35" s="180"/>
      <c r="D35" s="180"/>
      <c r="E35" s="180"/>
      <c r="F35" s="180"/>
      <c r="G35" s="180"/>
      <c r="H35" s="180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DA35" s="189"/>
    </row>
    <row r="36" spans="1:105" ht="12" customHeight="1" x14ac:dyDescent="0.25">
      <c r="A36" s="132" t="s">
        <v>165</v>
      </c>
      <c r="B36" s="183"/>
      <c r="C36" s="183">
        <v>4.4156145323693607</v>
      </c>
      <c r="D36" s="183">
        <v>4.5405128136078332</v>
      </c>
      <c r="E36" s="183">
        <v>4.6689439169579146</v>
      </c>
      <c r="F36" s="183">
        <v>4.8010077703925873</v>
      </c>
      <c r="G36" s="183">
        <v>4.9368071284069401</v>
      </c>
      <c r="H36" s="183">
        <v>5.0764476519679818</v>
      </c>
      <c r="I36" s="183">
        <v>5.2200379907260128</v>
      </c>
      <c r="J36" s="183">
        <v>5.3676898675512632</v>
      </c>
      <c r="K36" s="183">
        <v>5.5195181654617045</v>
      </c>
      <c r="L36" s="183">
        <v>5.6756410170097809</v>
      </c>
      <c r="M36" s="183">
        <v>5.8361798961973932</v>
      </c>
      <c r="N36" s="183">
        <v>6.0012597129907306</v>
      </c>
      <c r="O36" s="183">
        <v>6.1710089105086467</v>
      </c>
      <c r="P36" s="183">
        <v>6.3455595649599559</v>
      </c>
      <c r="Q36" s="183">
        <v>6.5250474884074947</v>
      </c>
      <c r="R36" s="183">
        <v>6.7096123344390719</v>
      </c>
      <c r="S36" s="183">
        <v>6.8993977068271306</v>
      </c>
      <c r="T36" s="183">
        <v>7.094551271262219</v>
      </c>
      <c r="U36" s="183">
        <v>8.6767802597489663</v>
      </c>
      <c r="V36" s="183">
        <v>11.746690086126819</v>
      </c>
      <c r="W36" s="183">
        <v>8.0662615019327859</v>
      </c>
      <c r="DA36" s="192" t="s">
        <v>933</v>
      </c>
    </row>
    <row r="37" spans="1:105" ht="12" customHeight="1" x14ac:dyDescent="0.25">
      <c r="A37" s="132" t="s">
        <v>163</v>
      </c>
      <c r="B37" s="183"/>
      <c r="C37" s="183">
        <v>142.21964582248529</v>
      </c>
      <c r="D37" s="183">
        <v>148.34147362539829</v>
      </c>
      <c r="E37" s="183">
        <v>154.72681478071627</v>
      </c>
      <c r="F37" s="183">
        <v>161.38701218946971</v>
      </c>
      <c r="G37" s="183">
        <v>168.3338970065206</v>
      </c>
      <c r="H37" s="183">
        <v>175.57980965738921</v>
      </c>
      <c r="I37" s="183">
        <v>183.13762175975103</v>
      </c>
      <c r="J37" s="183">
        <v>166.12109955737969</v>
      </c>
      <c r="K37" s="183">
        <v>184.35282716136726</v>
      </c>
      <c r="L37" s="183">
        <v>185.07955152131194</v>
      </c>
      <c r="M37" s="183">
        <v>196.84739794586017</v>
      </c>
      <c r="N37" s="183">
        <v>215.54934015683421</v>
      </c>
      <c r="O37" s="183">
        <v>223.87476344611423</v>
      </c>
      <c r="P37" s="183">
        <v>240.71621968333557</v>
      </c>
      <c r="Q37" s="183">
        <v>220.79160229978629</v>
      </c>
      <c r="R37" s="183">
        <v>243.9344093618713</v>
      </c>
      <c r="S37" s="183">
        <v>234.5714369143916</v>
      </c>
      <c r="T37" s="183">
        <v>262.27627373403902</v>
      </c>
      <c r="U37" s="183">
        <v>278.46735048141272</v>
      </c>
      <c r="V37" s="183">
        <v>308.64020470221612</v>
      </c>
      <c r="W37" s="183">
        <v>335.39229547104742</v>
      </c>
      <c r="DA37" s="192" t="s">
        <v>934</v>
      </c>
    </row>
    <row r="38" spans="1:105" ht="12" customHeight="1" x14ac:dyDescent="0.25">
      <c r="A38" s="132" t="s">
        <v>167</v>
      </c>
      <c r="B38" s="183"/>
      <c r="C38" s="183">
        <v>5.1721648482352762</v>
      </c>
      <c r="D38" s="183">
        <v>5.3065291677051931</v>
      </c>
      <c r="E38" s="183">
        <v>5.4443840507739765</v>
      </c>
      <c r="F38" s="183">
        <v>5.5858201765317759</v>
      </c>
      <c r="G38" s="183">
        <v>5.7309305797620809</v>
      </c>
      <c r="H38" s="183">
        <v>5.8798107121387204</v>
      </c>
      <c r="I38" s="183">
        <v>5.8459591117812622</v>
      </c>
      <c r="J38" s="183">
        <v>7.3776647813278728</v>
      </c>
      <c r="K38" s="183">
        <v>6.3977403631693619</v>
      </c>
      <c r="L38" s="183">
        <v>7.1132988162293174</v>
      </c>
      <c r="M38" s="183">
        <v>6.9703181122632216</v>
      </c>
      <c r="N38" s="183">
        <v>7.6266395606212001</v>
      </c>
      <c r="O38" s="183">
        <v>7.468915043539063</v>
      </c>
      <c r="P38" s="183">
        <v>8.9629177668978102</v>
      </c>
      <c r="Q38" s="183">
        <v>7.0942444470298227</v>
      </c>
      <c r="R38" s="183">
        <v>9.6039255183980785</v>
      </c>
      <c r="S38" s="183">
        <v>8.9843315966214234</v>
      </c>
      <c r="T38" s="183">
        <v>9.6387891841194602</v>
      </c>
      <c r="U38" s="183">
        <v>9.1049294480949072</v>
      </c>
      <c r="V38" s="183">
        <v>11.279042183036566</v>
      </c>
      <c r="W38" s="183">
        <v>9.3718058824679815</v>
      </c>
      <c r="DA38" s="192" t="s">
        <v>935</v>
      </c>
    </row>
    <row r="39" spans="1:105" ht="12" customHeight="1" x14ac:dyDescent="0.25">
      <c r="A39" s="132" t="s">
        <v>180</v>
      </c>
      <c r="B39" s="183"/>
      <c r="C39" s="183">
        <v>19.824625677916941</v>
      </c>
      <c r="D39" s="183">
        <v>20.242215264593341</v>
      </c>
      <c r="E39" s="183">
        <v>20.668601035658469</v>
      </c>
      <c r="F39" s="183">
        <v>21.103968275569287</v>
      </c>
      <c r="G39" s="183">
        <v>21.548506171648853</v>
      </c>
      <c r="H39" s="183">
        <v>22.002407896297086</v>
      </c>
      <c r="I39" s="183">
        <v>22.465870690933116</v>
      </c>
      <c r="J39" s="183">
        <v>22.939095951705724</v>
      </c>
      <c r="K39" s="183">
        <v>23.422289317009586</v>
      </c>
      <c r="L39" s="183">
        <v>23.915660756844659</v>
      </c>
      <c r="M39" s="183">
        <v>24.922183620278247</v>
      </c>
      <c r="N39" s="183">
        <v>27.535835930934866</v>
      </c>
      <c r="O39" s="183">
        <v>31.042202066640812</v>
      </c>
      <c r="P39" s="183">
        <v>39.580360441010782</v>
      </c>
      <c r="Q39" s="183">
        <v>55.608814261726195</v>
      </c>
      <c r="R39" s="183">
        <v>67.298501844453256</v>
      </c>
      <c r="S39" s="183">
        <v>53.187187406840508</v>
      </c>
      <c r="T39" s="183">
        <v>44.682561609062532</v>
      </c>
      <c r="U39" s="183">
        <v>47.538181727416259</v>
      </c>
      <c r="V39" s="183">
        <v>42.155324946406608</v>
      </c>
      <c r="W39" s="183">
        <v>36.952220222315191</v>
      </c>
      <c r="DA39" s="192" t="s">
        <v>936</v>
      </c>
    </row>
    <row r="40" spans="1:105" ht="12" customHeight="1" x14ac:dyDescent="0.25">
      <c r="A40" s="60" t="s">
        <v>166</v>
      </c>
      <c r="B40" s="41"/>
      <c r="C40" s="41">
        <v>0.7320048957471279</v>
      </c>
      <c r="D40" s="41">
        <v>0.81437848717540717</v>
      </c>
      <c r="E40" s="41">
        <v>0.90602170043847963</v>
      </c>
      <c r="F40" s="41">
        <v>1.007977659764272</v>
      </c>
      <c r="G40" s="41">
        <v>1.1214068736898284</v>
      </c>
      <c r="H40" s="41">
        <v>1.2476004444908924</v>
      </c>
      <c r="I40" s="41">
        <v>1.3879947640880843</v>
      </c>
      <c r="J40" s="41">
        <v>1.5441878637051119</v>
      </c>
      <c r="K40" s="41">
        <v>1.7179576033781245</v>
      </c>
      <c r="L40" s="41">
        <v>1.9112819083574522</v>
      </c>
      <c r="M40" s="41">
        <v>2.1263612827414207</v>
      </c>
      <c r="N40" s="41">
        <v>2.3656438566027376</v>
      </c>
      <c r="O40" s="41">
        <v>2.6318532517048254</v>
      </c>
      <c r="P40" s="41">
        <v>2.9280195829885116</v>
      </c>
      <c r="Q40" s="41">
        <v>3.2575139487016287</v>
      </c>
      <c r="R40" s="41">
        <v>2.4098142061283951</v>
      </c>
      <c r="S40" s="41">
        <v>3.6821343346332114</v>
      </c>
      <c r="T40" s="41">
        <v>3.1086472380255401</v>
      </c>
      <c r="U40" s="41">
        <v>3.8416651628209237</v>
      </c>
      <c r="V40" s="41">
        <v>4.096781030361349</v>
      </c>
      <c r="W40" s="41">
        <v>4.149041558347129</v>
      </c>
      <c r="DA40" s="92" t="s">
        <v>937</v>
      </c>
    </row>
    <row r="41" spans="1:105" ht="12" customHeight="1" x14ac:dyDescent="0.25">
      <c r="A41" s="62" t="s">
        <v>164</v>
      </c>
      <c r="B41" s="42"/>
      <c r="C41" s="42">
        <v>459.62455883317534</v>
      </c>
      <c r="D41" s="42">
        <v>459.62455883317534</v>
      </c>
      <c r="E41" s="42">
        <v>459.62455883317534</v>
      </c>
      <c r="F41" s="42">
        <v>459.6245588331758</v>
      </c>
      <c r="G41" s="42">
        <v>459.62455883317489</v>
      </c>
      <c r="H41" s="42">
        <v>891.7062920481676</v>
      </c>
      <c r="I41" s="42">
        <v>873.61053081572209</v>
      </c>
      <c r="J41" s="42">
        <v>847.14256560461217</v>
      </c>
      <c r="K41" s="42">
        <v>1461.8677612417241</v>
      </c>
      <c r="L41" s="42">
        <v>908.08032672174886</v>
      </c>
      <c r="M41" s="42">
        <v>1477.1681817098415</v>
      </c>
      <c r="N41" s="42">
        <v>1498.7042803262902</v>
      </c>
      <c r="O41" s="42">
        <v>1459.4849584347485</v>
      </c>
      <c r="P41" s="42">
        <v>2228.6938058572323</v>
      </c>
      <c r="Q41" s="42">
        <v>1508.9539667604531</v>
      </c>
      <c r="R41" s="42">
        <v>2470.2179873974601</v>
      </c>
      <c r="S41" s="42">
        <v>2791.2884976752284</v>
      </c>
      <c r="T41" s="42">
        <v>3042.0218634979137</v>
      </c>
      <c r="U41" s="42">
        <v>3339.5842243144834</v>
      </c>
      <c r="V41" s="42">
        <v>2347.2237046185801</v>
      </c>
      <c r="W41" s="42">
        <v>4437.2972905282404</v>
      </c>
      <c r="DA41" s="93" t="s">
        <v>938</v>
      </c>
    </row>
    <row r="42" spans="1:105" s="2" customFormat="1" ht="12" customHeight="1" x14ac:dyDescent="0.25">
      <c r="DA42" s="7"/>
    </row>
    <row r="43" spans="1:105" ht="12.95" customHeight="1" x14ac:dyDescent="0.25">
      <c r="A43" s="179" t="s">
        <v>104</v>
      </c>
      <c r="B43" s="184"/>
      <c r="C43" s="184"/>
      <c r="D43" s="184"/>
      <c r="E43" s="184"/>
      <c r="F43" s="184"/>
      <c r="G43" s="184"/>
      <c r="H43" s="184"/>
      <c r="I43" s="184"/>
      <c r="J43" s="184"/>
      <c r="K43" s="184"/>
      <c r="L43" s="184"/>
      <c r="M43" s="184"/>
      <c r="N43" s="184"/>
      <c r="O43" s="184"/>
      <c r="P43" s="184"/>
      <c r="Q43" s="184"/>
      <c r="R43" s="184"/>
      <c r="S43" s="184"/>
      <c r="T43" s="184"/>
      <c r="U43" s="184"/>
      <c r="V43" s="184"/>
      <c r="W43" s="184"/>
      <c r="DA43" s="193"/>
    </row>
    <row r="44" spans="1:105" ht="12" customHeight="1" x14ac:dyDescent="0.25">
      <c r="A44" s="132" t="s">
        <v>7</v>
      </c>
      <c r="B44" s="185">
        <v>8760</v>
      </c>
      <c r="C44" s="185">
        <v>8759.9999999999964</v>
      </c>
      <c r="D44" s="185">
        <v>8759.9999999999982</v>
      </c>
      <c r="E44" s="185">
        <v>8759.9999999999982</v>
      </c>
      <c r="F44" s="185">
        <v>8759.9999999999964</v>
      </c>
      <c r="G44" s="185">
        <v>8759.9999999999982</v>
      </c>
      <c r="H44" s="185">
        <v>8759.9999999999982</v>
      </c>
      <c r="I44" s="185">
        <v>8760</v>
      </c>
      <c r="J44" s="185">
        <v>8760.0000000000055</v>
      </c>
      <c r="K44" s="185">
        <v>8759.9999999999982</v>
      </c>
      <c r="L44" s="185">
        <v>8760</v>
      </c>
      <c r="M44" s="185">
        <v>8760.0000000000018</v>
      </c>
      <c r="N44" s="185">
        <v>8759.9999999999964</v>
      </c>
      <c r="O44" s="185">
        <v>8759.9999999999982</v>
      </c>
      <c r="P44" s="185">
        <v>8759.9999999999945</v>
      </c>
      <c r="Q44" s="185">
        <v>8759.9999999999982</v>
      </c>
      <c r="R44" s="185">
        <v>8760</v>
      </c>
      <c r="S44" s="185">
        <v>8759.9999999999982</v>
      </c>
      <c r="T44" s="185">
        <v>8760</v>
      </c>
      <c r="U44" s="185">
        <v>8760</v>
      </c>
      <c r="V44" s="185">
        <v>8760</v>
      </c>
      <c r="W44" s="185">
        <v>8759.9999999999982</v>
      </c>
      <c r="DA44" s="194" t="s">
        <v>939</v>
      </c>
    </row>
    <row r="45" spans="1:105" ht="12" customHeight="1" x14ac:dyDescent="0.25">
      <c r="A45" s="132" t="s">
        <v>6</v>
      </c>
      <c r="B45" s="185">
        <v>4137.3700455926364</v>
      </c>
      <c r="C45" s="185">
        <v>4121.9570559666763</v>
      </c>
      <c r="D45" s="185">
        <v>4110.2284597332946</v>
      </c>
      <c r="E45" s="185">
        <v>4095.0680171365057</v>
      </c>
      <c r="F45" s="185">
        <v>4091.9385241654963</v>
      </c>
      <c r="G45" s="185">
        <v>4082.8224551609646</v>
      </c>
      <c r="H45" s="185">
        <v>4080.0603395967778</v>
      </c>
      <c r="I45" s="185">
        <v>4075.8847194555842</v>
      </c>
      <c r="J45" s="185">
        <v>4071.1248587287159</v>
      </c>
      <c r="K45" s="185">
        <v>4059.1298353948278</v>
      </c>
      <c r="L45" s="185">
        <v>4042.4826098726076</v>
      </c>
      <c r="M45" s="185">
        <v>4017.1610971548807</v>
      </c>
      <c r="N45" s="185">
        <v>3988.0205527884809</v>
      </c>
      <c r="O45" s="185">
        <v>3949.3906677331852</v>
      </c>
      <c r="P45" s="185">
        <v>3898.7304347712443</v>
      </c>
      <c r="Q45" s="185">
        <v>3848.9721180619081</v>
      </c>
      <c r="R45" s="185">
        <v>3865.7817749065466</v>
      </c>
      <c r="S45" s="185">
        <v>3911.7658999616938</v>
      </c>
      <c r="T45" s="185">
        <v>3877.8195767366155</v>
      </c>
      <c r="U45" s="185">
        <v>3839.6406622342301</v>
      </c>
      <c r="V45" s="185">
        <v>3811.7299392630612</v>
      </c>
      <c r="W45" s="185">
        <v>3811.0330619679335</v>
      </c>
      <c r="DA45" s="194" t="s">
        <v>940</v>
      </c>
    </row>
    <row r="46" spans="1:105" ht="12" customHeight="1" x14ac:dyDescent="0.25">
      <c r="A46" s="132" t="s">
        <v>5</v>
      </c>
      <c r="B46" s="185">
        <v>2441.7185525541759</v>
      </c>
      <c r="C46" s="185">
        <v>2456.6318904583554</v>
      </c>
      <c r="D46" s="185">
        <v>2471.4119927440665</v>
      </c>
      <c r="E46" s="185">
        <v>2483.6243878903315</v>
      </c>
      <c r="F46" s="185">
        <v>2500.6051812128871</v>
      </c>
      <c r="G46" s="185">
        <v>2514.5977647092263</v>
      </c>
      <c r="H46" s="185">
        <v>2528.7451549833595</v>
      </c>
      <c r="I46" s="185">
        <v>2544.9310299059935</v>
      </c>
      <c r="J46" s="185">
        <v>2555.381643305438</v>
      </c>
      <c r="K46" s="185">
        <v>2561.3743429136543</v>
      </c>
      <c r="L46" s="185">
        <v>2569.3020399345769</v>
      </c>
      <c r="M46" s="185">
        <v>2580.4737061782603</v>
      </c>
      <c r="N46" s="185">
        <v>2586.1573469057221</v>
      </c>
      <c r="O46" s="185">
        <v>2589.0280995376729</v>
      </c>
      <c r="P46" s="185">
        <v>2600.3320572337748</v>
      </c>
      <c r="Q46" s="185">
        <v>2607.1619601262892</v>
      </c>
      <c r="R46" s="185">
        <v>2623.5344034366099</v>
      </c>
      <c r="S46" s="185">
        <v>2703.7173723226083</v>
      </c>
      <c r="T46" s="185">
        <v>2658.3210605381228</v>
      </c>
      <c r="U46" s="185">
        <v>2615.6802770552581</v>
      </c>
      <c r="V46" s="185">
        <v>2475.6950848570732</v>
      </c>
      <c r="W46" s="185">
        <v>2474.7720521825054</v>
      </c>
      <c r="DA46" s="194" t="s">
        <v>941</v>
      </c>
    </row>
    <row r="47" spans="1:105" ht="12" customHeight="1" x14ac:dyDescent="0.25">
      <c r="A47" s="132" t="s">
        <v>179</v>
      </c>
      <c r="B47" s="185">
        <v>8759.9999999999982</v>
      </c>
      <c r="C47" s="185">
        <v>8760</v>
      </c>
      <c r="D47" s="185">
        <v>8759.9999999999982</v>
      </c>
      <c r="E47" s="185">
        <v>8760</v>
      </c>
      <c r="F47" s="185">
        <v>8759.9999999999964</v>
      </c>
      <c r="G47" s="185">
        <v>8760.0000000000018</v>
      </c>
      <c r="H47" s="185">
        <v>8759.9999999999982</v>
      </c>
      <c r="I47" s="185">
        <v>8759.9999999999964</v>
      </c>
      <c r="J47" s="185">
        <v>8759.9999999999982</v>
      </c>
      <c r="K47" s="185">
        <v>8759.9999999999982</v>
      </c>
      <c r="L47" s="185">
        <v>8760.0000000000018</v>
      </c>
      <c r="M47" s="185">
        <v>8760</v>
      </c>
      <c r="N47" s="185">
        <v>8760</v>
      </c>
      <c r="O47" s="185">
        <v>8760.0000000000036</v>
      </c>
      <c r="P47" s="185">
        <v>8759.9999999999964</v>
      </c>
      <c r="Q47" s="185">
        <v>8760</v>
      </c>
      <c r="R47" s="185">
        <v>8760</v>
      </c>
      <c r="S47" s="185">
        <v>8760</v>
      </c>
      <c r="T47" s="185">
        <v>8760</v>
      </c>
      <c r="U47" s="185">
        <v>8760</v>
      </c>
      <c r="V47" s="185">
        <v>8760</v>
      </c>
      <c r="W47" s="185">
        <v>8760</v>
      </c>
      <c r="DA47" s="194" t="s">
        <v>942</v>
      </c>
    </row>
    <row r="48" spans="1:105" ht="12" customHeight="1" x14ac:dyDescent="0.25">
      <c r="A48" s="60" t="s">
        <v>4</v>
      </c>
      <c r="B48" s="44">
        <v>859.10496170640135</v>
      </c>
      <c r="C48" s="44">
        <v>863.20880480900655</v>
      </c>
      <c r="D48" s="44">
        <v>866.97243517600009</v>
      </c>
      <c r="E48" s="44">
        <v>870.44912869402197</v>
      </c>
      <c r="F48" s="44">
        <v>873.68047269513875</v>
      </c>
      <c r="G48" s="44">
        <v>876.69956332315587</v>
      </c>
      <c r="H48" s="44">
        <v>879.5331774608652</v>
      </c>
      <c r="I48" s="44">
        <v>882.20329059427013</v>
      </c>
      <c r="J48" s="44">
        <v>884.72816385824456</v>
      </c>
      <c r="K48" s="44">
        <v>887.12313931133474</v>
      </c>
      <c r="L48" s="44">
        <v>889.40123275272754</v>
      </c>
      <c r="M48" s="44">
        <v>890.84887735255643</v>
      </c>
      <c r="N48" s="44">
        <v>892.23135908348809</v>
      </c>
      <c r="O48" s="44">
        <v>893.55438090336736</v>
      </c>
      <c r="P48" s="44">
        <v>894.82292483340461</v>
      </c>
      <c r="Q48" s="44">
        <v>896.04136885178889</v>
      </c>
      <c r="R48" s="44">
        <v>902.54993973640887</v>
      </c>
      <c r="S48" s="44">
        <v>918.10263211315657</v>
      </c>
      <c r="T48" s="44">
        <v>915.11551142696283</v>
      </c>
      <c r="U48" s="44">
        <v>908.13591925128605</v>
      </c>
      <c r="V48" s="44">
        <v>859.53457362291863</v>
      </c>
      <c r="W48" s="44">
        <v>859.21410665538804</v>
      </c>
      <c r="DA48" s="95" t="s">
        <v>943</v>
      </c>
    </row>
    <row r="49" spans="1:105" ht="12" customHeight="1" x14ac:dyDescent="0.25">
      <c r="A49" s="62" t="s">
        <v>3</v>
      </c>
      <c r="B49" s="186">
        <v>1694.3375381441183</v>
      </c>
      <c r="C49" s="186">
        <v>1721.1638711062312</v>
      </c>
      <c r="D49" s="186">
        <v>1753.668909326258</v>
      </c>
      <c r="E49" s="186">
        <v>1783.3293707798143</v>
      </c>
      <c r="F49" s="186">
        <v>1814.8449753711577</v>
      </c>
      <c r="G49" s="186">
        <v>1842.8743417318303</v>
      </c>
      <c r="H49" s="186">
        <v>1872.4643347733468</v>
      </c>
      <c r="I49" s="186">
        <v>1895.6916263223732</v>
      </c>
      <c r="J49" s="186">
        <v>1912.1611694519593</v>
      </c>
      <c r="K49" s="186">
        <v>1933.5985212723892</v>
      </c>
      <c r="L49" s="186">
        <v>1957.7697264258454</v>
      </c>
      <c r="M49" s="186">
        <v>1979.6516457658076</v>
      </c>
      <c r="N49" s="186">
        <v>1997.0694897178787</v>
      </c>
      <c r="O49" s="186">
        <v>2015.1046004083312</v>
      </c>
      <c r="P49" s="186">
        <v>2035.13727815127</v>
      </c>
      <c r="Q49" s="186">
        <v>2055.7501732700462</v>
      </c>
      <c r="R49" s="186">
        <v>2084.0713450965386</v>
      </c>
      <c r="S49" s="186">
        <v>2127.3982431920344</v>
      </c>
      <c r="T49" s="186">
        <v>2125.7123406436413</v>
      </c>
      <c r="U49" s="186">
        <v>2121.4059373786122</v>
      </c>
      <c r="V49" s="186">
        <v>2053.2862775380818</v>
      </c>
      <c r="W49" s="186">
        <v>2052.8371109453451</v>
      </c>
      <c r="DA49" s="195" t="s">
        <v>944</v>
      </c>
    </row>
    <row r="50" spans="1:105" s="2" customFormat="1" ht="12" customHeight="1" x14ac:dyDescent="0.25">
      <c r="DA50" s="7"/>
    </row>
    <row r="51" spans="1:105" ht="12.95" customHeight="1" x14ac:dyDescent="0.25">
      <c r="A51" s="179" t="s">
        <v>103</v>
      </c>
      <c r="B51" s="180"/>
      <c r="C51" s="180"/>
      <c r="D51" s="180"/>
      <c r="E51" s="180"/>
      <c r="F51" s="180"/>
      <c r="G51" s="180"/>
      <c r="H51" s="180"/>
      <c r="I51" s="180"/>
      <c r="J51" s="180"/>
      <c r="K51" s="180"/>
      <c r="L51" s="180"/>
      <c r="M51" s="180"/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DA51" s="189"/>
    </row>
    <row r="52" spans="1:105" ht="12" customHeight="1" x14ac:dyDescent="0.25">
      <c r="A52" s="132" t="s">
        <v>101</v>
      </c>
      <c r="B52" s="181">
        <v>0.64762967465426513</v>
      </c>
      <c r="C52" s="181">
        <v>0.6418978237967381</v>
      </c>
      <c r="D52" s="181">
        <v>0.63432784593245839</v>
      </c>
      <c r="E52" s="181">
        <v>0.62895723975074214</v>
      </c>
      <c r="F52" s="181">
        <v>0.62268687895559038</v>
      </c>
      <c r="G52" s="181">
        <v>0.61648742003642076</v>
      </c>
      <c r="H52" s="181">
        <v>0.60923430521502209</v>
      </c>
      <c r="I52" s="181">
        <v>0.60199591888076975</v>
      </c>
      <c r="J52" s="181">
        <v>0.59491703233659177</v>
      </c>
      <c r="K52" s="181">
        <v>0.58948718854226778</v>
      </c>
      <c r="L52" s="181">
        <v>0.5820038691069247</v>
      </c>
      <c r="M52" s="181">
        <v>0.57454562016354727</v>
      </c>
      <c r="N52" s="181">
        <v>0.56719122915172249</v>
      </c>
      <c r="O52" s="181">
        <v>0.55924634386229222</v>
      </c>
      <c r="P52" s="181">
        <v>0.5508046042326884</v>
      </c>
      <c r="Q52" s="181">
        <v>0.54191948067804463</v>
      </c>
      <c r="R52" s="181">
        <v>0.53406811424718581</v>
      </c>
      <c r="S52" s="181">
        <v>0.52604737165791104</v>
      </c>
      <c r="T52" s="181">
        <v>0.51769236947678432</v>
      </c>
      <c r="U52" s="181">
        <v>0.51100115406211688</v>
      </c>
      <c r="V52" s="181">
        <v>0.50260290570447119</v>
      </c>
      <c r="W52" s="181">
        <v>0.49695539650908055</v>
      </c>
      <c r="DA52" s="190" t="s">
        <v>945</v>
      </c>
    </row>
    <row r="53" spans="1:105" ht="12" customHeight="1" x14ac:dyDescent="0.25">
      <c r="A53" s="132" t="s">
        <v>100</v>
      </c>
      <c r="B53" s="181">
        <v>179.67451238890882</v>
      </c>
      <c r="C53" s="181">
        <v>177.99444562992156</v>
      </c>
      <c r="D53" s="181">
        <v>175.97821201718369</v>
      </c>
      <c r="E53" s="181">
        <v>173.82547674136109</v>
      </c>
      <c r="F53" s="181">
        <v>171.22988518307096</v>
      </c>
      <c r="G53" s="181">
        <v>168.20860845513062</v>
      </c>
      <c r="H53" s="181">
        <v>164.60137429113598</v>
      </c>
      <c r="I53" s="181">
        <v>160.50530811942974</v>
      </c>
      <c r="J53" s="181">
        <v>157.85798736142357</v>
      </c>
      <c r="K53" s="181">
        <v>154.91060145558566</v>
      </c>
      <c r="L53" s="181">
        <v>151.86525785851506</v>
      </c>
      <c r="M53" s="181">
        <v>148.38966637691942</v>
      </c>
      <c r="N53" s="181">
        <v>144.33261529274475</v>
      </c>
      <c r="O53" s="181">
        <v>139.8840466436186</v>
      </c>
      <c r="P53" s="181">
        <v>134.61110349432488</v>
      </c>
      <c r="Q53" s="181">
        <v>129.37948188184103</v>
      </c>
      <c r="R53" s="181">
        <v>124.01705216838035</v>
      </c>
      <c r="S53" s="181">
        <v>118.8745921141401</v>
      </c>
      <c r="T53" s="181">
        <v>113.27497148625743</v>
      </c>
      <c r="U53" s="181">
        <v>107.64228731602061</v>
      </c>
      <c r="V53" s="181">
        <v>101.75676068727934</v>
      </c>
      <c r="W53" s="181">
        <v>96.507127150719256</v>
      </c>
      <c r="DA53" s="190" t="s">
        <v>946</v>
      </c>
    </row>
    <row r="54" spans="1:105" ht="12" customHeight="1" x14ac:dyDescent="0.25">
      <c r="A54" s="132" t="s">
        <v>140</v>
      </c>
      <c r="B54" s="181">
        <v>40.824303509043794</v>
      </c>
      <c r="C54" s="181">
        <v>40.336976470999339</v>
      </c>
      <c r="D54" s="181">
        <v>39.475865575439357</v>
      </c>
      <c r="E54" s="181">
        <v>38.569232560152159</v>
      </c>
      <c r="F54" s="181">
        <v>37.570113688086003</v>
      </c>
      <c r="G54" s="181">
        <v>36.546694702334356</v>
      </c>
      <c r="H54" s="181">
        <v>35.39793978774857</v>
      </c>
      <c r="I54" s="181">
        <v>34.587139477239042</v>
      </c>
      <c r="J54" s="181">
        <v>33.732948694544618</v>
      </c>
      <c r="K54" s="181">
        <v>33.008121804679369</v>
      </c>
      <c r="L54" s="181">
        <v>31.993662107448273</v>
      </c>
      <c r="M54" s="181">
        <v>30.989556688243471</v>
      </c>
      <c r="N54" s="181">
        <v>29.856626955763986</v>
      </c>
      <c r="O54" s="181">
        <v>28.759549351601258</v>
      </c>
      <c r="P54" s="181">
        <v>27.386439407458127</v>
      </c>
      <c r="Q54" s="181">
        <v>26.291533927525983</v>
      </c>
      <c r="R54" s="181">
        <v>24.776167902845344</v>
      </c>
      <c r="S54" s="181">
        <v>23.401641280048459</v>
      </c>
      <c r="T54" s="181">
        <v>21.886877364296435</v>
      </c>
      <c r="U54" s="181">
        <v>20.454563750805406</v>
      </c>
      <c r="V54" s="181">
        <v>18.794572231318224</v>
      </c>
      <c r="W54" s="181">
        <v>17.457930795476969</v>
      </c>
      <c r="DA54" s="190" t="s">
        <v>947</v>
      </c>
    </row>
    <row r="55" spans="1:105" ht="12" customHeight="1" x14ac:dyDescent="0.25">
      <c r="A55" s="132" t="s">
        <v>181</v>
      </c>
      <c r="B55" s="181">
        <v>634.53478511594017</v>
      </c>
      <c r="C55" s="181">
        <v>628.37775548911702</v>
      </c>
      <c r="D55" s="181">
        <v>620.27710436679376</v>
      </c>
      <c r="E55" s="181">
        <v>611.03720766009758</v>
      </c>
      <c r="F55" s="181">
        <v>599.86045525053066</v>
      </c>
      <c r="G55" s="181">
        <v>586.28834448321584</v>
      </c>
      <c r="H55" s="181">
        <v>572.92173948680579</v>
      </c>
      <c r="I55" s="181">
        <v>562.3374509953627</v>
      </c>
      <c r="J55" s="181">
        <v>552.70837063091653</v>
      </c>
      <c r="K55" s="181">
        <v>542.59092553831624</v>
      </c>
      <c r="L55" s="181">
        <v>532.64379774764325</v>
      </c>
      <c r="M55" s="181">
        <v>525.40683978247341</v>
      </c>
      <c r="N55" s="181">
        <v>518.29429905522215</v>
      </c>
      <c r="O55" s="181">
        <v>510.00277223995914</v>
      </c>
      <c r="P55" s="181">
        <v>499.42280648300544</v>
      </c>
      <c r="Q55" s="181">
        <v>485.98604094762169</v>
      </c>
      <c r="R55" s="181">
        <v>471.91291234351809</v>
      </c>
      <c r="S55" s="181">
        <v>461.06620402220898</v>
      </c>
      <c r="T55" s="181">
        <v>452.16323364324876</v>
      </c>
      <c r="U55" s="181">
        <v>443.20001523104503</v>
      </c>
      <c r="V55" s="181">
        <v>435.72928133414092</v>
      </c>
      <c r="W55" s="181">
        <v>429.63673919032846</v>
      </c>
      <c r="DA55" s="190" t="s">
        <v>948</v>
      </c>
    </row>
    <row r="56" spans="1:105" ht="12" customHeight="1" x14ac:dyDescent="0.25">
      <c r="A56" s="60" t="s">
        <v>99</v>
      </c>
      <c r="B56" s="55">
        <v>45.868182396091882</v>
      </c>
      <c r="C56" s="55">
        <v>45.626332043261151</v>
      </c>
      <c r="D56" s="55">
        <v>45.266487680899587</v>
      </c>
      <c r="E56" s="55">
        <v>44.978909525060047</v>
      </c>
      <c r="F56" s="55">
        <v>44.643340928469399</v>
      </c>
      <c r="G56" s="55">
        <v>44.30242548967221</v>
      </c>
      <c r="H56" s="55">
        <v>43.969526153856343</v>
      </c>
      <c r="I56" s="55">
        <v>43.634724178289801</v>
      </c>
      <c r="J56" s="55">
        <v>43.320035164892609</v>
      </c>
      <c r="K56" s="55">
        <v>43.063529516652046</v>
      </c>
      <c r="L56" s="55">
        <v>42.685616800040776</v>
      </c>
      <c r="M56" s="55">
        <v>42.259737534482817</v>
      </c>
      <c r="N56" s="55">
        <v>41.784998311235647</v>
      </c>
      <c r="O56" s="55">
        <v>41.218484306587406</v>
      </c>
      <c r="P56" s="55">
        <v>40.534615601979112</v>
      </c>
      <c r="Q56" s="55">
        <v>39.770723460085819</v>
      </c>
      <c r="R56" s="55">
        <v>39.252870869758596</v>
      </c>
      <c r="S56" s="55">
        <v>38.543622202790402</v>
      </c>
      <c r="T56" s="55">
        <v>37.921348794160622</v>
      </c>
      <c r="U56" s="55">
        <v>37.193763316472022</v>
      </c>
      <c r="V56" s="55">
        <v>36.440772071792026</v>
      </c>
      <c r="W56" s="55">
        <v>35.712844178724346</v>
      </c>
      <c r="DA56" s="101" t="s">
        <v>949</v>
      </c>
    </row>
    <row r="57" spans="1:105" ht="12" customHeight="1" x14ac:dyDescent="0.25">
      <c r="A57" s="62" t="s">
        <v>98</v>
      </c>
      <c r="B57" s="63">
        <v>351.59759756593576</v>
      </c>
      <c r="C57" s="63">
        <v>342.39309058488863</v>
      </c>
      <c r="D57" s="63">
        <v>331.85988929587359</v>
      </c>
      <c r="E57" s="63">
        <v>321.19385324112937</v>
      </c>
      <c r="F57" s="63">
        <v>307.21217218752014</v>
      </c>
      <c r="G57" s="63">
        <v>297.42539991946313</v>
      </c>
      <c r="H57" s="63">
        <v>284.45362600890763</v>
      </c>
      <c r="I57" s="63">
        <v>272.70748158498679</v>
      </c>
      <c r="J57" s="63">
        <v>261.71768772343506</v>
      </c>
      <c r="K57" s="63">
        <v>244.84106211243994</v>
      </c>
      <c r="L57" s="63">
        <v>233.89062912207751</v>
      </c>
      <c r="M57" s="63">
        <v>216.28871643284512</v>
      </c>
      <c r="N57" s="63">
        <v>199.97808820643709</v>
      </c>
      <c r="O57" s="63">
        <v>185.36304202697971</v>
      </c>
      <c r="P57" s="63">
        <v>170.73156585497102</v>
      </c>
      <c r="Q57" s="63">
        <v>162.31840462626357</v>
      </c>
      <c r="R57" s="63">
        <v>152.04281947258605</v>
      </c>
      <c r="S57" s="63">
        <v>144.78442388749573</v>
      </c>
      <c r="T57" s="63">
        <v>139.2279300821524</v>
      </c>
      <c r="U57" s="63">
        <v>135.03638052495657</v>
      </c>
      <c r="V57" s="63">
        <v>133.07298110095348</v>
      </c>
      <c r="W57" s="63">
        <v>128.61355801372346</v>
      </c>
      <c r="DA57" s="105" t="s">
        <v>950</v>
      </c>
    </row>
    <row r="58" spans="1:105" s="2" customFormat="1" ht="12" customHeight="1" x14ac:dyDescent="0.25">
      <c r="DA58" s="7"/>
    </row>
    <row r="59" spans="1:105" ht="12.95" customHeight="1" x14ac:dyDescent="0.25">
      <c r="A59" s="179" t="s">
        <v>102</v>
      </c>
      <c r="B59" s="180"/>
      <c r="C59" s="180"/>
      <c r="D59" s="180"/>
      <c r="E59" s="180"/>
      <c r="F59" s="180"/>
      <c r="G59" s="180"/>
      <c r="H59" s="180"/>
      <c r="I59" s="180"/>
      <c r="J59" s="180"/>
      <c r="K59" s="180"/>
      <c r="L59" s="180"/>
      <c r="M59" s="180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DA59" s="189"/>
    </row>
    <row r="60" spans="1:105" ht="12" customHeight="1" x14ac:dyDescent="0.25">
      <c r="A60" s="132" t="s">
        <v>101</v>
      </c>
      <c r="B60" s="181"/>
      <c r="C60" s="181">
        <v>0.57756284171284833</v>
      </c>
      <c r="D60" s="181">
        <v>0.57111683336627295</v>
      </c>
      <c r="E60" s="181">
        <v>0.56434741739177841</v>
      </c>
      <c r="F60" s="181">
        <v>0.55880795126044125</v>
      </c>
      <c r="G60" s="181">
        <v>0.55245587507773808</v>
      </c>
      <c r="H60" s="181">
        <v>0.54555855792671448</v>
      </c>
      <c r="I60" s="181">
        <v>0.53973933946598029</v>
      </c>
      <c r="J60" s="181">
        <v>0.53326318557381513</v>
      </c>
      <c r="K60" s="181">
        <v>0.52639080049938303</v>
      </c>
      <c r="L60" s="181">
        <v>0.51841908337326748</v>
      </c>
      <c r="M60" s="181">
        <v>0.5106214646215399</v>
      </c>
      <c r="N60" s="181">
        <v>0.50046268236775326</v>
      </c>
      <c r="O60" s="181">
        <v>0.49088563330577462</v>
      </c>
      <c r="P60" s="181">
        <v>0.48057519738391724</v>
      </c>
      <c r="Q60" s="181">
        <v>0.47091148229684637</v>
      </c>
      <c r="R60" s="181">
        <v>0.46765505124000378</v>
      </c>
      <c r="S60" s="181">
        <v>0.46287182131883797</v>
      </c>
      <c r="T60" s="181">
        <v>0.4584596751948532</v>
      </c>
      <c r="U60" s="181">
        <v>0.45439067385175336</v>
      </c>
      <c r="V60" s="181">
        <v>0.45037833074725708</v>
      </c>
      <c r="W60" s="181">
        <v>0.44858737606858373</v>
      </c>
      <c r="DA60" s="190" t="s">
        <v>951</v>
      </c>
    </row>
    <row r="61" spans="1:105" ht="12" customHeight="1" x14ac:dyDescent="0.25">
      <c r="A61" s="132" t="s">
        <v>100</v>
      </c>
      <c r="B61" s="181"/>
      <c r="C61" s="181">
        <v>167.96683725766076</v>
      </c>
      <c r="D61" s="181">
        <v>166.29171400797932</v>
      </c>
      <c r="E61" s="181">
        <v>164.8315803886961</v>
      </c>
      <c r="F61" s="181">
        <v>162.01396616377906</v>
      </c>
      <c r="G61" s="181">
        <v>159.50965654694789</v>
      </c>
      <c r="H61" s="181">
        <v>155.36890239469102</v>
      </c>
      <c r="I61" s="181">
        <v>152.03303318143844</v>
      </c>
      <c r="J61" s="181">
        <v>148.52721410093957</v>
      </c>
      <c r="K61" s="181">
        <v>145.78397261082276</v>
      </c>
      <c r="L61" s="181">
        <v>142.27411145308795</v>
      </c>
      <c r="M61" s="181">
        <v>137.72680577173497</v>
      </c>
      <c r="N61" s="181">
        <v>132.16200888285167</v>
      </c>
      <c r="O61" s="181">
        <v>126.54649618427861</v>
      </c>
      <c r="P61" s="181">
        <v>118.98268778229868</v>
      </c>
      <c r="Q61" s="181">
        <v>111.62230871682394</v>
      </c>
      <c r="R61" s="181">
        <v>106.1596945167265</v>
      </c>
      <c r="S61" s="181">
        <v>101.39909192537168</v>
      </c>
      <c r="T61" s="181">
        <v>96.647250701082086</v>
      </c>
      <c r="U61" s="181">
        <v>91.906531000345666</v>
      </c>
      <c r="V61" s="181">
        <v>87.167835572847906</v>
      </c>
      <c r="W61" s="181">
        <v>85.458416211030851</v>
      </c>
      <c r="DA61" s="190" t="s">
        <v>952</v>
      </c>
    </row>
    <row r="62" spans="1:105" ht="12" customHeight="1" x14ac:dyDescent="0.25">
      <c r="A62" s="132" t="s">
        <v>140</v>
      </c>
      <c r="B62" s="181"/>
      <c r="C62" s="181">
        <v>38.007237278580433</v>
      </c>
      <c r="D62" s="181">
        <v>36.501432680024202</v>
      </c>
      <c r="E62" s="181">
        <v>35.405845293412654</v>
      </c>
      <c r="F62" s="181">
        <v>34.954145240470275</v>
      </c>
      <c r="G62" s="181">
        <v>34.433629633135276</v>
      </c>
      <c r="H62" s="181">
        <v>33.619013093998625</v>
      </c>
      <c r="I62" s="181">
        <v>32.777246212890702</v>
      </c>
      <c r="J62" s="181">
        <v>31.918086938823137</v>
      </c>
      <c r="K62" s="181">
        <v>30.619755574493571</v>
      </c>
      <c r="L62" s="181">
        <v>29.408090590547321</v>
      </c>
      <c r="M62" s="181">
        <v>28.327520526307822</v>
      </c>
      <c r="N62" s="181">
        <v>26.987110380727685</v>
      </c>
      <c r="O62" s="181">
        <v>25.819454491519171</v>
      </c>
      <c r="P62" s="181">
        <v>24.487933351626637</v>
      </c>
      <c r="Q62" s="181">
        <v>23.059869184009738</v>
      </c>
      <c r="R62" s="181">
        <v>20.930470702719681</v>
      </c>
      <c r="S62" s="181">
        <v>19.855688163040455</v>
      </c>
      <c r="T62" s="181">
        <v>18.046764094622997</v>
      </c>
      <c r="U62" s="181">
        <v>16.600327307843191</v>
      </c>
      <c r="V62" s="181">
        <v>15.40737208289201</v>
      </c>
      <c r="W62" s="181">
        <v>14.050795988963603</v>
      </c>
      <c r="DA62" s="190" t="s">
        <v>953</v>
      </c>
    </row>
    <row r="63" spans="1:105" ht="12" customHeight="1" x14ac:dyDescent="0.25">
      <c r="A63" s="132" t="s">
        <v>181</v>
      </c>
      <c r="B63" s="181"/>
      <c r="C63" s="181">
        <v>579.38557893545726</v>
      </c>
      <c r="D63" s="181">
        <v>565.08692298960716</v>
      </c>
      <c r="E63" s="181">
        <v>558.0654575040079</v>
      </c>
      <c r="F63" s="181">
        <v>550.32347393533712</v>
      </c>
      <c r="G63" s="181">
        <v>541.67995693682724</v>
      </c>
      <c r="H63" s="181">
        <v>534.78432817837768</v>
      </c>
      <c r="I63" s="181">
        <v>525.4253902381829</v>
      </c>
      <c r="J63" s="181">
        <v>515.09950864546306</v>
      </c>
      <c r="K63" s="181">
        <v>504.63481888516259</v>
      </c>
      <c r="L63" s="181">
        <v>492.45038980431514</v>
      </c>
      <c r="M63" s="181">
        <v>476.90303090027476</v>
      </c>
      <c r="N63" s="181">
        <v>468.60663868033407</v>
      </c>
      <c r="O63" s="181">
        <v>456.16414939397441</v>
      </c>
      <c r="P63" s="181">
        <v>445.18807902744635</v>
      </c>
      <c r="Q63" s="181">
        <v>441.57951415082488</v>
      </c>
      <c r="R63" s="181">
        <v>434.88812329191802</v>
      </c>
      <c r="S63" s="181">
        <v>426.53330984278296</v>
      </c>
      <c r="T63" s="181">
        <v>418.51229861225511</v>
      </c>
      <c r="U63" s="181">
        <v>410.96153197229467</v>
      </c>
      <c r="V63" s="181">
        <v>403.50421353689501</v>
      </c>
      <c r="W63" s="181">
        <v>394.00009174472143</v>
      </c>
      <c r="DA63" s="190" t="s">
        <v>954</v>
      </c>
    </row>
    <row r="64" spans="1:105" ht="12" customHeight="1" x14ac:dyDescent="0.25">
      <c r="A64" s="60" t="s">
        <v>99</v>
      </c>
      <c r="B64" s="55"/>
      <c r="C64" s="55">
        <v>43.120509072576773</v>
      </c>
      <c r="D64" s="55">
        <v>42.723990394227251</v>
      </c>
      <c r="E64" s="55">
        <v>42.440081080136963</v>
      </c>
      <c r="F64" s="55">
        <v>42.130355265807907</v>
      </c>
      <c r="G64" s="55">
        <v>41.795004189146908</v>
      </c>
      <c r="H64" s="55">
        <v>41.470848487162968</v>
      </c>
      <c r="I64" s="55">
        <v>41.119737718971145</v>
      </c>
      <c r="J64" s="55">
        <v>40.698712563845362</v>
      </c>
      <c r="K64" s="55">
        <v>40.196948840892937</v>
      </c>
      <c r="L64" s="55">
        <v>39.641702693310577</v>
      </c>
      <c r="M64" s="55">
        <v>38.707505493321761</v>
      </c>
      <c r="N64" s="55">
        <v>37.787492420238351</v>
      </c>
      <c r="O64" s="55">
        <v>36.741993603141779</v>
      </c>
      <c r="P64" s="55">
        <v>35.72001413521749</v>
      </c>
      <c r="Q64" s="55">
        <v>34.610375717212392</v>
      </c>
      <c r="R64" s="55">
        <v>34.165206876055343</v>
      </c>
      <c r="S64" s="55">
        <v>33.623698534439271</v>
      </c>
      <c r="T64" s="55">
        <v>33.121522045247815</v>
      </c>
      <c r="U64" s="55">
        <v>32.637972790457553</v>
      </c>
      <c r="V64" s="55">
        <v>32.159655996494919</v>
      </c>
      <c r="W64" s="55">
        <v>31.905397364423472</v>
      </c>
      <c r="DA64" s="101" t="s">
        <v>955</v>
      </c>
    </row>
    <row r="65" spans="1:105" ht="12" customHeight="1" x14ac:dyDescent="0.25">
      <c r="A65" s="62" t="s">
        <v>98</v>
      </c>
      <c r="B65" s="63"/>
      <c r="C65" s="63">
        <v>323.41546309401008</v>
      </c>
      <c r="D65" s="63">
        <v>309.32598236975616</v>
      </c>
      <c r="E65" s="63">
        <v>298.10241332148928</v>
      </c>
      <c r="F65" s="63">
        <v>287.38918195733368</v>
      </c>
      <c r="G65" s="63">
        <v>275.98029222519034</v>
      </c>
      <c r="H65" s="63">
        <v>264.22021697257162</v>
      </c>
      <c r="I65" s="63">
        <v>250.41443135620648</v>
      </c>
      <c r="J65" s="63">
        <v>236.2043461672036</v>
      </c>
      <c r="K65" s="63">
        <v>221.21696965379073</v>
      </c>
      <c r="L65" s="63">
        <v>204.26923236100993</v>
      </c>
      <c r="M65" s="63">
        <v>186.71333616631782</v>
      </c>
      <c r="N65" s="63">
        <v>173.49750331281405</v>
      </c>
      <c r="O65" s="63">
        <v>159.50807451282432</v>
      </c>
      <c r="P65" s="63">
        <v>151.66821230814924</v>
      </c>
      <c r="Q65" s="63">
        <v>142.14623770568843</v>
      </c>
      <c r="R65" s="63">
        <v>138.94584760574625</v>
      </c>
      <c r="S65" s="63">
        <v>135.22831284554158</v>
      </c>
      <c r="T65" s="63">
        <v>131.61631525432421</v>
      </c>
      <c r="U65" s="63">
        <v>128.17552004766821</v>
      </c>
      <c r="V65" s="63">
        <v>124.77123513838865</v>
      </c>
      <c r="W65" s="63">
        <v>122.35451755454156</v>
      </c>
      <c r="DA65" s="105" t="s">
        <v>956</v>
      </c>
    </row>
    <row r="66" spans="1:105" s="2" customFormat="1" ht="12" customHeight="1" x14ac:dyDescent="0.25">
      <c r="DA66" s="7"/>
    </row>
    <row r="67" spans="1:105" ht="12.95" customHeight="1" x14ac:dyDescent="0.25">
      <c r="A67" s="179" t="s">
        <v>97</v>
      </c>
      <c r="B67" s="187"/>
      <c r="C67" s="187"/>
      <c r="D67" s="187"/>
      <c r="E67" s="187"/>
      <c r="F67" s="187"/>
      <c r="G67" s="187"/>
      <c r="H67" s="187"/>
      <c r="I67" s="187"/>
      <c r="J67" s="187"/>
      <c r="K67" s="187"/>
      <c r="L67" s="187"/>
      <c r="M67" s="187"/>
      <c r="N67" s="187"/>
      <c r="O67" s="187"/>
      <c r="P67" s="187"/>
      <c r="Q67" s="187"/>
      <c r="R67" s="187"/>
      <c r="S67" s="187"/>
      <c r="T67" s="187"/>
      <c r="U67" s="187"/>
      <c r="V67" s="187"/>
      <c r="W67" s="187"/>
      <c r="DA67" s="196"/>
    </row>
    <row r="68" spans="1:105" ht="12" customHeight="1" x14ac:dyDescent="0.25">
      <c r="A68" s="132" t="s">
        <v>96</v>
      </c>
      <c r="B68" s="188">
        <f>1000000*B20/SER_summary!B$8</f>
        <v>523.19600975375863</v>
      </c>
      <c r="C68" s="188">
        <f>1000000*C20/SER_summary!C$8</f>
        <v>538.69156211650386</v>
      </c>
      <c r="D68" s="188">
        <f>1000000*D20/SER_summary!D$8</f>
        <v>549.13269950112726</v>
      </c>
      <c r="E68" s="188">
        <f>1000000*E20/SER_summary!E$8</f>
        <v>559.32686579755398</v>
      </c>
      <c r="F68" s="188">
        <f>1000000*F20/SER_summary!F$8</f>
        <v>568.10839838806623</v>
      </c>
      <c r="G68" s="188">
        <f>1000000*G20/SER_summary!G$8</f>
        <v>578.55806729197627</v>
      </c>
      <c r="H68" s="188">
        <f>1000000*H20/SER_summary!H$8</f>
        <v>594.06242643370967</v>
      </c>
      <c r="I68" s="188">
        <f>1000000*I20/SER_summary!I$8</f>
        <v>607.76324734293087</v>
      </c>
      <c r="J68" s="188">
        <f>1000000*J20/SER_summary!J$8</f>
        <v>624.34661859316202</v>
      </c>
      <c r="K68" s="188">
        <f>1000000*K20/SER_summary!K$8</f>
        <v>636.14959780466768</v>
      </c>
      <c r="L68" s="188">
        <f>1000000*L20/SER_summary!L$8</f>
        <v>647.39599082805012</v>
      </c>
      <c r="M68" s="188">
        <f>1000000*M20/SER_summary!M$8</f>
        <v>659.09511329266422</v>
      </c>
      <c r="N68" s="188">
        <f>1000000*N20/SER_summary!N$8</f>
        <v>671.03501845180779</v>
      </c>
      <c r="O68" s="188">
        <f>1000000*O20/SER_summary!O$8</f>
        <v>686.25302599981865</v>
      </c>
      <c r="P68" s="188">
        <f>1000000*P20/SER_summary!P$8</f>
        <v>701.3808162579694</v>
      </c>
      <c r="Q68" s="188">
        <f>1000000*Q20/SER_summary!Q$8</f>
        <v>719.90410515905671</v>
      </c>
      <c r="R68" s="188">
        <f>1000000*R20/SER_summary!R$8</f>
        <v>724.33555132540766</v>
      </c>
      <c r="S68" s="188">
        <f>1000000*S20/SER_summary!S$8</f>
        <v>728.76685667930076</v>
      </c>
      <c r="T68" s="188">
        <f>1000000*T20/SER_summary!T$8</f>
        <v>733.19876593929837</v>
      </c>
      <c r="U68" s="188">
        <f>1000000*U20/SER_summary!U$8</f>
        <v>737.63173078751151</v>
      </c>
      <c r="V68" s="188">
        <f>1000000*V20/SER_summary!V$8</f>
        <v>742.06659196621558</v>
      </c>
      <c r="W68" s="188">
        <f>1000000*W20/SER_summary!W$8</f>
        <v>746.51632132209738</v>
      </c>
      <c r="DA68" s="197" t="s">
        <v>957</v>
      </c>
    </row>
    <row r="69" spans="1:105" ht="12" customHeight="1" x14ac:dyDescent="0.25">
      <c r="A69" s="132" t="s">
        <v>95</v>
      </c>
      <c r="B69" s="188">
        <f>1000*B21/SER_summary!B$3</f>
        <v>0.11072535044310412</v>
      </c>
      <c r="C69" s="188">
        <f>1000*C21/SER_summary!C$3</f>
        <v>0.11279168204426178</v>
      </c>
      <c r="D69" s="188">
        <f>1000*D21/SER_summary!D$3</f>
        <v>0.11577797488415977</v>
      </c>
      <c r="E69" s="188">
        <f>1000*E21/SER_summary!E$3</f>
        <v>0.11819334270129887</v>
      </c>
      <c r="F69" s="188">
        <f>1000*F21/SER_summary!F$3</f>
        <v>0.12114286297270764</v>
      </c>
      <c r="G69" s="188">
        <f>1000*G21/SER_summary!G$3</f>
        <v>0.12508961909089786</v>
      </c>
      <c r="H69" s="188">
        <f>1000*H21/SER_summary!H$3</f>
        <v>0.12890432500204241</v>
      </c>
      <c r="I69" s="188">
        <f>1000*I21/SER_summary!I$3</f>
        <v>0.13345331967115445</v>
      </c>
      <c r="J69" s="188">
        <f>1000*J21/SER_summary!J$3</f>
        <v>0.13754852664452796</v>
      </c>
      <c r="K69" s="188">
        <f>1000*K21/SER_summary!K$3</f>
        <v>0.14198660145884839</v>
      </c>
      <c r="L69" s="188">
        <f>1000*L21/SER_summary!L$3</f>
        <v>0.14541503544617718</v>
      </c>
      <c r="M69" s="188">
        <f>1000*M21/SER_summary!M$3</f>
        <v>0.14923807560946667</v>
      </c>
      <c r="N69" s="188">
        <f>1000*N21/SER_summary!N$3</f>
        <v>0.15390476158807215</v>
      </c>
      <c r="O69" s="188">
        <f>1000*O21/SER_summary!O$3</f>
        <v>0.16065735987326352</v>
      </c>
      <c r="P69" s="188">
        <f>1000*P21/SER_summary!P$3</f>
        <v>0.16850912569760093</v>
      </c>
      <c r="Q69" s="188">
        <f>1000*Q21/SER_summary!Q$3</f>
        <v>0.1762247982687368</v>
      </c>
      <c r="R69" s="188">
        <f>1000*R21/SER_summary!R$3</f>
        <v>0.17979455991403498</v>
      </c>
      <c r="S69" s="188">
        <f>1000*S21/SER_summary!S$3</f>
        <v>0.18353690511500023</v>
      </c>
      <c r="T69" s="188">
        <f>1000*T21/SER_summary!T$3</f>
        <v>0.18749075991238304</v>
      </c>
      <c r="U69" s="188">
        <f>1000*U21/SER_summary!U$3</f>
        <v>0.19115201037959245</v>
      </c>
      <c r="V69" s="188">
        <f>1000*V21/SER_summary!V$3</f>
        <v>0.19440807643050448</v>
      </c>
      <c r="W69" s="188">
        <f>1000*W21/SER_summary!W$3</f>
        <v>0.19790354892195799</v>
      </c>
      <c r="DA69" s="197" t="s">
        <v>958</v>
      </c>
    </row>
    <row r="70" spans="1:105" ht="12" customHeight="1" x14ac:dyDescent="0.25">
      <c r="A70" s="132" t="s">
        <v>141</v>
      </c>
      <c r="B70" s="188">
        <f>1000000*B22/SER_summary!B$8</f>
        <v>170.2086426729397</v>
      </c>
      <c r="C70" s="188">
        <f>1000000*C22/SER_summary!C$8</f>
        <v>171.63122062848086</v>
      </c>
      <c r="D70" s="188">
        <f>1000000*D22/SER_summary!D$8</f>
        <v>173.86800262145684</v>
      </c>
      <c r="E70" s="188">
        <f>1000000*E22/SER_summary!E$8</f>
        <v>176.50933017144567</v>
      </c>
      <c r="F70" s="188">
        <f>1000000*F22/SER_summary!F$8</f>
        <v>179.37456208960586</v>
      </c>
      <c r="G70" s="188">
        <f>1000000*G22/SER_summary!G$8</f>
        <v>181.95543520096044</v>
      </c>
      <c r="H70" s="188">
        <f>1000000*H22/SER_summary!H$8</f>
        <v>185.91865098325374</v>
      </c>
      <c r="I70" s="188">
        <f>1000000*I22/SER_summary!I$8</f>
        <v>188.66305610645324</v>
      </c>
      <c r="J70" s="188">
        <f>1000000*J22/SER_summary!J$8</f>
        <v>192.70419630010124</v>
      </c>
      <c r="K70" s="188">
        <f>1000000*K22/SER_summary!K$8</f>
        <v>196.94365852832897</v>
      </c>
      <c r="L70" s="188">
        <f>1000000*L22/SER_summary!L$8</f>
        <v>203.57044732732464</v>
      </c>
      <c r="M70" s="188">
        <f>1000000*M22/SER_summary!M$8</f>
        <v>208.83970272154582</v>
      </c>
      <c r="N70" s="188">
        <f>1000000*N22/SER_summary!N$8</f>
        <v>215.63882273542879</v>
      </c>
      <c r="O70" s="188">
        <f>1000000*O22/SER_summary!O$8</f>
        <v>221.22628540978616</v>
      </c>
      <c r="P70" s="188">
        <f>1000000*P22/SER_summary!P$8</f>
        <v>229.24925159793202</v>
      </c>
      <c r="Q70" s="188">
        <f>1000000*Q22/SER_summary!Q$8</f>
        <v>237.82623802503716</v>
      </c>
      <c r="R70" s="188">
        <f>1000000*R22/SER_summary!R$8</f>
        <v>242.65957320650617</v>
      </c>
      <c r="S70" s="188">
        <f>1000000*S22/SER_summary!S$8</f>
        <v>247.56034954820899</v>
      </c>
      <c r="T70" s="188">
        <f>1000000*T22/SER_summary!T$8</f>
        <v>252.24559315110298</v>
      </c>
      <c r="U70" s="188">
        <f>1000000*U22/SER_summary!U$8</f>
        <v>256.54225181434464</v>
      </c>
      <c r="V70" s="188">
        <f>1000000*V22/SER_summary!V$8</f>
        <v>260.12781896283678</v>
      </c>
      <c r="W70" s="188">
        <f>1000000*W22/SER_summary!W$8</f>
        <v>262.58557150964867</v>
      </c>
      <c r="DA70" s="197" t="s">
        <v>959</v>
      </c>
    </row>
    <row r="71" spans="1:105" ht="12" customHeight="1" x14ac:dyDescent="0.25">
      <c r="A71" s="132" t="s">
        <v>182</v>
      </c>
      <c r="B71" s="188">
        <f>1000*B23/SER_summary!B$3</f>
        <v>2.1303977947070177E-2</v>
      </c>
      <c r="C71" s="188">
        <f>1000*C23/SER_summary!C$3</f>
        <v>2.1750150484092168E-2</v>
      </c>
      <c r="D71" s="188">
        <f>1000*D23/SER_summary!D$3</f>
        <v>2.2359899963081444E-2</v>
      </c>
      <c r="E71" s="188">
        <f>1000*E23/SER_summary!E$3</f>
        <v>2.3262036457662182E-2</v>
      </c>
      <c r="F71" s="188">
        <f>1000*F23/SER_summary!F$3</f>
        <v>2.4948433008176923E-2</v>
      </c>
      <c r="G71" s="188">
        <f>1000*G23/SER_summary!G$3</f>
        <v>2.8091027992104532E-2</v>
      </c>
      <c r="H71" s="188">
        <f>1000*H23/SER_summary!H$3</f>
        <v>3.2225145549989266E-2</v>
      </c>
      <c r="I71" s="188">
        <f>1000*I23/SER_summary!I$3</f>
        <v>3.490490290809635E-2</v>
      </c>
      <c r="J71" s="188">
        <f>1000*J23/SER_summary!J$3</f>
        <v>3.6673901899095897E-2</v>
      </c>
      <c r="K71" s="188">
        <f>1000*K23/SER_summary!K$3</f>
        <v>3.8622561132736682E-2</v>
      </c>
      <c r="L71" s="188">
        <f>1000*L23/SER_summary!L$3</f>
        <v>3.9995844415128191E-2</v>
      </c>
      <c r="M71" s="188">
        <f>1000*M23/SER_summary!M$3</f>
        <v>4.0505031658782616E-2</v>
      </c>
      <c r="N71" s="188">
        <f>1000*N23/SER_summary!N$3</f>
        <v>4.1161175454835379E-2</v>
      </c>
      <c r="O71" s="188">
        <f>1000*O23/SER_summary!O$3</f>
        <v>4.1960393804485407E-2</v>
      </c>
      <c r="P71" s="188">
        <f>1000*P23/SER_summary!P$3</f>
        <v>4.3091249722593677E-2</v>
      </c>
      <c r="Q71" s="188">
        <f>1000*Q23/SER_summary!Q$3</f>
        <v>4.4693085982153907E-2</v>
      </c>
      <c r="R71" s="188">
        <f>1000*R23/SER_summary!R$3</f>
        <v>4.5225257014056643E-2</v>
      </c>
      <c r="S71" s="188">
        <f>1000*S23/SER_summary!S$3</f>
        <v>4.580024321412958E-2</v>
      </c>
      <c r="T71" s="188">
        <f>1000*T23/SER_summary!T$3</f>
        <v>4.6427949266084838E-2</v>
      </c>
      <c r="U71" s="188">
        <f>1000*U23/SER_summary!U$3</f>
        <v>4.6983539005219455E-2</v>
      </c>
      <c r="V71" s="188">
        <f>1000*V23/SER_summary!V$3</f>
        <v>4.7441451140450626E-2</v>
      </c>
      <c r="W71" s="188">
        <f>1000*W23/SER_summary!W$3</f>
        <v>4.7957107762853869E-2</v>
      </c>
      <c r="DA71" s="197" t="s">
        <v>960</v>
      </c>
    </row>
    <row r="72" spans="1:105" ht="12" customHeight="1" x14ac:dyDescent="0.25">
      <c r="A72" s="60" t="s">
        <v>94</v>
      </c>
      <c r="B72" s="188">
        <f>1000000*B24/SER_summary!B$8</f>
        <v>132.07863737915471</v>
      </c>
      <c r="C72" s="188">
        <f>1000000*C24/SER_summary!C$8</f>
        <v>139.04836933837737</v>
      </c>
      <c r="D72" s="188">
        <f>1000000*D24/SER_summary!D$8</f>
        <v>146.62859693786973</v>
      </c>
      <c r="E72" s="188">
        <f>1000000*E24/SER_summary!E$8</f>
        <v>155.56130123854896</v>
      </c>
      <c r="F72" s="188">
        <f>1000000*F24/SER_summary!F$8</f>
        <v>165.0447601486897</v>
      </c>
      <c r="G72" s="188">
        <f>1000000*G24/SER_summary!G$8</f>
        <v>175.85420586263646</v>
      </c>
      <c r="H72" s="188">
        <f>1000000*H24/SER_summary!H$8</f>
        <v>185.14170454407542</v>
      </c>
      <c r="I72" s="188">
        <f>1000000*I24/SER_summary!I$8</f>
        <v>193.33143352836825</v>
      </c>
      <c r="J72" s="188">
        <f>1000000*J24/SER_summary!J$8</f>
        <v>200.13139485544181</v>
      </c>
      <c r="K72" s="188">
        <f>1000000*K24/SER_summary!K$8</f>
        <v>204.60802477779302</v>
      </c>
      <c r="L72" s="188">
        <f>1000000*L24/SER_summary!L$8</f>
        <v>208.667529569414</v>
      </c>
      <c r="M72" s="188">
        <f>1000000*M24/SER_summary!M$8</f>
        <v>212.03020738212928</v>
      </c>
      <c r="N72" s="188">
        <f>1000000*N24/SER_summary!N$8</f>
        <v>215.48546440174073</v>
      </c>
      <c r="O72" s="188">
        <f>1000000*O24/SER_summary!O$8</f>
        <v>219.18140204751035</v>
      </c>
      <c r="P72" s="188">
        <f>1000000*P24/SER_summary!P$8</f>
        <v>223.20807522877504</v>
      </c>
      <c r="Q72" s="188">
        <f>1000000*Q24/SER_summary!Q$8</f>
        <v>226.24607439179951</v>
      </c>
      <c r="R72" s="188">
        <f>1000000*R24/SER_summary!R$8</f>
        <v>229.94100386399546</v>
      </c>
      <c r="S72" s="188">
        <f>1000000*S24/SER_summary!S$8</f>
        <v>233.63619354158942</v>
      </c>
      <c r="T72" s="188">
        <f>1000000*T24/SER_summary!T$8</f>
        <v>237.33026726940702</v>
      </c>
      <c r="U72" s="188">
        <f>1000000*U24/SER_summary!U$8</f>
        <v>241.02239039028291</v>
      </c>
      <c r="V72" s="188">
        <f>1000000*V24/SER_summary!V$8</f>
        <v>244.71100930813975</v>
      </c>
      <c r="W72" s="188">
        <f>1000000*W24/SER_summary!W$8</f>
        <v>248.43085364710032</v>
      </c>
      <c r="DA72" s="197" t="s">
        <v>961</v>
      </c>
    </row>
    <row r="73" spans="1:105" ht="12" customHeight="1" x14ac:dyDescent="0.25">
      <c r="A73" s="62" t="s">
        <v>93</v>
      </c>
      <c r="B73" s="52">
        <f>1000*B25/SER_summary!B$3</f>
        <v>0.22444610960509428</v>
      </c>
      <c r="C73" s="52">
        <f>1000*C25/SER_summary!C$3</f>
        <v>0.26601329025418535</v>
      </c>
      <c r="D73" s="52">
        <f>1000*D25/SER_summary!D$3</f>
        <v>0.30497326547152487</v>
      </c>
      <c r="E73" s="52">
        <f>1000*E25/SER_summary!E$3</f>
        <v>0.34103531360020994</v>
      </c>
      <c r="F73" s="52">
        <f>1000*F25/SER_summary!F$3</f>
        <v>0.43610697455820624</v>
      </c>
      <c r="G73" s="52">
        <f>1000*G25/SER_summary!G$3</f>
        <v>0.47697473374426291</v>
      </c>
      <c r="H73" s="52">
        <f>1000*H25/SER_summary!H$3</f>
        <v>0.5296990791594911</v>
      </c>
      <c r="I73" s="52">
        <f>1000*I25/SER_summary!I$3</f>
        <v>0.58509549079857626</v>
      </c>
      <c r="J73" s="52">
        <f>1000*J25/SER_summary!J$3</f>
        <v>0.63798546906226772</v>
      </c>
      <c r="K73" s="52">
        <f>1000*K25/SER_summary!K$3</f>
        <v>0.70418257402064011</v>
      </c>
      <c r="L73" s="52">
        <f>1000*L25/SER_summary!L$3</f>
        <v>0.75397387643974445</v>
      </c>
      <c r="M73" s="52">
        <f>1000*M25/SER_summary!M$3</f>
        <v>0.83322939985627986</v>
      </c>
      <c r="N73" s="52">
        <f>1000*N25/SER_summary!N$3</f>
        <v>0.94427085863041127</v>
      </c>
      <c r="O73" s="52">
        <f>1000*O25/SER_summary!O$3</f>
        <v>1.0810921376893401</v>
      </c>
      <c r="P73" s="52">
        <f>1000*P25/SER_summary!P$3</f>
        <v>1.1763039753404523</v>
      </c>
      <c r="Q73" s="52">
        <f>1000*Q25/SER_summary!Q$3</f>
        <v>1.2449937838575149</v>
      </c>
      <c r="R73" s="52">
        <f>1000*R25/SER_summary!R$3</f>
        <v>1.410772745135114</v>
      </c>
      <c r="S73" s="52">
        <f>1000*S25/SER_summary!S$3</f>
        <v>1.4887366780943971</v>
      </c>
      <c r="T73" s="52">
        <f>1000*T25/SER_summary!T$3</f>
        <v>1.5869930975199551</v>
      </c>
      <c r="U73" s="52">
        <f>1000*U25/SER_summary!U$3</f>
        <v>1.5456070383459306</v>
      </c>
      <c r="V73" s="52">
        <f>1000*V25/SER_summary!V$3</f>
        <v>1.4737009490874184</v>
      </c>
      <c r="W73" s="52">
        <f>1000*W25/SER_summary!W$3</f>
        <v>1.498658449717656</v>
      </c>
      <c r="DA73" s="98" t="s">
        <v>962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  <ignoredErrors>
    <ignoredError sqref="B13:W15 B69:W71 B16:W16 B72:Q72 R72:W72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'SER_se-appl'!B4</f>
        <v>49.661467355788375</v>
      </c>
      <c r="C3" s="199">
        <f>'SER_se-appl'!C4</f>
        <v>51.282182494231698</v>
      </c>
      <c r="D3" s="199">
        <f>'SER_se-appl'!D4</f>
        <v>54.120453834606813</v>
      </c>
      <c r="E3" s="199">
        <f>'SER_se-appl'!E4</f>
        <v>55.271702537816381</v>
      </c>
      <c r="F3" s="199">
        <f>'SER_se-appl'!F4</f>
        <v>56.961023404423706</v>
      </c>
      <c r="G3" s="199">
        <f>'SER_se-appl'!G4</f>
        <v>58.446552229508569</v>
      </c>
      <c r="H3" s="199">
        <f>'SER_se-appl'!H4</f>
        <v>60.603862240631983</v>
      </c>
      <c r="I3" s="199">
        <f>'SER_se-appl'!I4</f>
        <v>62.744397093051134</v>
      </c>
      <c r="J3" s="199">
        <f>'SER_se-appl'!J4</f>
        <v>64.664204336895367</v>
      </c>
      <c r="K3" s="199">
        <f>'SER_se-appl'!K4</f>
        <v>64.878890972605845</v>
      </c>
      <c r="L3" s="199">
        <f>'SER_se-appl'!L4</f>
        <v>66.53793440114957</v>
      </c>
      <c r="M3" s="199">
        <f>'SER_se-appl'!M4</f>
        <v>67.935725806306422</v>
      </c>
      <c r="N3" s="199">
        <f>'SER_se-appl'!N4</f>
        <v>68.80320945578984</v>
      </c>
      <c r="O3" s="199">
        <f>'SER_se-appl'!O4</f>
        <v>69.763457924974077</v>
      </c>
      <c r="P3" s="199">
        <f>'SER_se-appl'!P4</f>
        <v>70.707280514401944</v>
      </c>
      <c r="Q3" s="199">
        <f>'SER_se-appl'!Q4</f>
        <v>71.642940145057253</v>
      </c>
      <c r="R3" s="199">
        <f>'SER_se-appl'!R4</f>
        <v>71.637548851247942</v>
      </c>
      <c r="S3" s="199">
        <f>'SER_se-appl'!S4</f>
        <v>71.52524130047253</v>
      </c>
      <c r="T3" s="199">
        <f>'SER_se-appl'!T4</f>
        <v>71.482801802113414</v>
      </c>
      <c r="U3" s="199">
        <f>'SER_se-appl'!U4</f>
        <v>71.632339876372669</v>
      </c>
      <c r="V3" s="199">
        <f>'SER_se-appl'!V4</f>
        <v>71.503959807264906</v>
      </c>
      <c r="W3" s="199">
        <f>'SER_se-appl'!W4</f>
        <v>71.729306591826557</v>
      </c>
      <c r="DA3" s="206" t="s">
        <v>908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'SER_se-appl'!B12</f>
        <v>65.931833943814937</v>
      </c>
      <c r="C5" s="59">
        <f>'SER_se-appl'!C12</f>
        <v>68.083536804556488</v>
      </c>
      <c r="D5" s="59">
        <f>'SER_se-appl'!D12</f>
        <v>71.85169841283988</v>
      </c>
      <c r="E5" s="59">
        <f>'SER_se-appl'!E12</f>
        <v>73.380125629543912</v>
      </c>
      <c r="F5" s="59">
        <f>'SER_se-appl'!F12</f>
        <v>75.622911209297712</v>
      </c>
      <c r="G5" s="59">
        <f>'SER_se-appl'!G12</f>
        <v>77.595137263605565</v>
      </c>
      <c r="H5" s="59">
        <f>'SER_se-appl'!H12</f>
        <v>80.459237198464621</v>
      </c>
      <c r="I5" s="59">
        <f>'SER_se-appl'!I12</f>
        <v>83.301066003674052</v>
      </c>
      <c r="J5" s="59">
        <f>'SER_se-appl'!J12</f>
        <v>85.84985119156309</v>
      </c>
      <c r="K5" s="59">
        <f>'SER_se-appl'!K12</f>
        <v>86.134874658836324</v>
      </c>
      <c r="L5" s="59">
        <f>'SER_se-appl'!L12</f>
        <v>88.337463137599258</v>
      </c>
      <c r="M5" s="59">
        <f>'SER_se-appl'!M12</f>
        <v>90.193206749696742</v>
      </c>
      <c r="N5" s="59">
        <f>'SER_se-appl'!N12</f>
        <v>91.344900224981302</v>
      </c>
      <c r="O5" s="59">
        <f>'SER_se-appl'!O12</f>
        <v>92.619750646969024</v>
      </c>
      <c r="P5" s="59">
        <f>'SER_se-appl'!P12</f>
        <v>93.872793650969754</v>
      </c>
      <c r="Q5" s="59">
        <f>'SER_se-appl'!Q12</f>
        <v>95.114999302170787</v>
      </c>
      <c r="R5" s="59">
        <f>'SER_se-appl'!R12</f>
        <v>95.107841682649948</v>
      </c>
      <c r="S5" s="59">
        <f>'SER_se-appl'!S12</f>
        <v>94.958739306449289</v>
      </c>
      <c r="T5" s="59">
        <f>'SER_se-appl'!T12</f>
        <v>94.902395543216784</v>
      </c>
      <c r="U5" s="59">
        <f>'SER_se-appl'!U12</f>
        <v>95.100926114408011</v>
      </c>
      <c r="V5" s="59">
        <f>'SER_se-appl'!V12</f>
        <v>94.930485451882518</v>
      </c>
      <c r="W5" s="59">
        <f>'SER_se-appl'!W12</f>
        <v>95.229661605358785</v>
      </c>
      <c r="DA5" s="104" t="s">
        <v>915</v>
      </c>
    </row>
    <row r="6" spans="1:105" ht="12" customHeight="1" x14ac:dyDescent="0.25">
      <c r="A6" s="201" t="str">
        <f>"Penetration factor "&amp;MID('SER_se-appl'!A68,FIND("(",'SER_se-appl'!A68),100)</f>
        <v>Penetration factor (sqm per building cell)</v>
      </c>
      <c r="B6" s="202">
        <f>'SER_se-appl'!B68</f>
        <v>523.19600975375863</v>
      </c>
      <c r="C6" s="202">
        <f>'SER_se-appl'!C68</f>
        <v>538.69156211650386</v>
      </c>
      <c r="D6" s="202">
        <f>'SER_se-appl'!D68</f>
        <v>549.13269950112726</v>
      </c>
      <c r="E6" s="202">
        <f>'SER_se-appl'!E68</f>
        <v>559.32686579755398</v>
      </c>
      <c r="F6" s="202">
        <f>'SER_se-appl'!F68</f>
        <v>568.10839838806623</v>
      </c>
      <c r="G6" s="202">
        <f>'SER_se-appl'!G68</f>
        <v>578.55806729197627</v>
      </c>
      <c r="H6" s="202">
        <f>'SER_se-appl'!H68</f>
        <v>594.06242643370967</v>
      </c>
      <c r="I6" s="202">
        <f>'SER_se-appl'!I68</f>
        <v>607.76324734293087</v>
      </c>
      <c r="J6" s="202">
        <f>'SER_se-appl'!J68</f>
        <v>624.34661859316202</v>
      </c>
      <c r="K6" s="202">
        <f>'SER_se-appl'!K68</f>
        <v>636.14959780466768</v>
      </c>
      <c r="L6" s="202">
        <f>'SER_se-appl'!L68</f>
        <v>647.39599082805012</v>
      </c>
      <c r="M6" s="202">
        <f>'SER_se-appl'!M68</f>
        <v>659.09511329266422</v>
      </c>
      <c r="N6" s="202">
        <f>'SER_se-appl'!N68</f>
        <v>671.03501845180779</v>
      </c>
      <c r="O6" s="202">
        <f>'SER_se-appl'!O68</f>
        <v>686.25302599981865</v>
      </c>
      <c r="P6" s="202">
        <f>'SER_se-appl'!P68</f>
        <v>701.3808162579694</v>
      </c>
      <c r="Q6" s="202">
        <f>'SER_se-appl'!Q68</f>
        <v>719.90410515905671</v>
      </c>
      <c r="R6" s="202">
        <f>'SER_se-appl'!R68</f>
        <v>724.33555132540766</v>
      </c>
      <c r="S6" s="202">
        <f>'SER_se-appl'!S68</f>
        <v>728.76685667930076</v>
      </c>
      <c r="T6" s="202">
        <f>'SER_se-appl'!T68</f>
        <v>733.19876593929837</v>
      </c>
      <c r="U6" s="202">
        <f>'SER_se-appl'!U68</f>
        <v>737.63173078751151</v>
      </c>
      <c r="V6" s="202">
        <f>'SER_se-appl'!V68</f>
        <v>742.06659196621558</v>
      </c>
      <c r="W6" s="202">
        <f>'SER_se-appl'!W68</f>
        <v>746.51632132209738</v>
      </c>
      <c r="DA6" s="207" t="s">
        <v>957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"&amp;MID('SER_se-appl'!A20,FIND("(",'SER_se-appl'!A20),100)</f>
        <v>Stock of appliances (serviced million m2)</v>
      </c>
      <c r="B8" s="34">
        <f>'SER_se-appl'!B20</f>
        <v>101.80483774004398</v>
      </c>
      <c r="C8" s="34">
        <f>'SER_se-appl'!C20</f>
        <v>106.0660034674236</v>
      </c>
      <c r="D8" s="34">
        <f>'SER_se-appl'!D20</f>
        <v>113.27218073994258</v>
      </c>
      <c r="E8" s="34">
        <f>'SER_se-appl'!E20</f>
        <v>116.66949832491746</v>
      </c>
      <c r="F8" s="34">
        <f>'SER_se-appl'!F20</f>
        <v>121.44612929075561</v>
      </c>
      <c r="G8" s="34">
        <f>'SER_se-appl'!G20</f>
        <v>125.86653797253706</v>
      </c>
      <c r="H8" s="34">
        <f>'SER_se-appl'!H20</f>
        <v>132.06616323102074</v>
      </c>
      <c r="I8" s="34">
        <f>'SER_se-appl'!I20</f>
        <v>138.37480187332054</v>
      </c>
      <c r="J8" s="34">
        <f>'SER_se-appl'!J20</f>
        <v>144.30558636786688</v>
      </c>
      <c r="K8" s="34">
        <f>'SER_se-appl'!K20</f>
        <v>146.11831492358249</v>
      </c>
      <c r="L8" s="34">
        <f>'SER_se-appl'!L20</f>
        <v>151.78157367433249</v>
      </c>
      <c r="M8" s="34">
        <f>'SER_se-appl'!M20</f>
        <v>156.98180193945748</v>
      </c>
      <c r="N8" s="34">
        <f>'SER_se-appl'!N20</f>
        <v>161.04780104162495</v>
      </c>
      <c r="O8" s="34">
        <f>'SER_se-appl'!O20</f>
        <v>165.6152993461063</v>
      </c>
      <c r="P8" s="34">
        <f>'SER_se-appl'!P20</f>
        <v>170.42848394802638</v>
      </c>
      <c r="Q8" s="34">
        <f>'SER_se-appl'!Q20</f>
        <v>175.51500304651123</v>
      </c>
      <c r="R8" s="34">
        <f>'SER_se-appl'!R20</f>
        <v>178.08185724907486</v>
      </c>
      <c r="S8" s="34">
        <f>'SER_se-appl'!S20</f>
        <v>180.51366554151519</v>
      </c>
      <c r="T8" s="34">
        <f>'SER_se-appl'!T20</f>
        <v>183.31812701649767</v>
      </c>
      <c r="U8" s="34">
        <f>'SER_se-appl'!U20</f>
        <v>186.10706719235242</v>
      </c>
      <c r="V8" s="34">
        <f>'SER_se-appl'!V20</f>
        <v>188.8777091704705</v>
      </c>
      <c r="W8" s="34">
        <f>'SER_se-appl'!W20</f>
        <v>191.62617465130739</v>
      </c>
      <c r="DA8" s="88" t="s">
        <v>921</v>
      </c>
    </row>
    <row r="9" spans="1:105" ht="12.95" customHeight="1" x14ac:dyDescent="0.25">
      <c r="A9" s="203" t="str">
        <f>"Number of new appliances "&amp;MID('SER_se-appl'!A28,FIND("(",'SER_se-appl'!A28),100)</f>
        <v>Number of new appliances (serviced million m2)</v>
      </c>
      <c r="B9" s="36"/>
      <c r="C9" s="36">
        <f>'SER_se-appl'!C28</f>
        <v>8.6767802597489805</v>
      </c>
      <c r="D9" s="36">
        <f>'SER_se-appl'!D28</f>
        <v>11.746690086126819</v>
      </c>
      <c r="E9" s="36">
        <f>'SER_se-appl'!E28</f>
        <v>8.0662615019327859</v>
      </c>
      <c r="F9" s="36">
        <f>'SER_se-appl'!F28</f>
        <v>9.5776387362307389</v>
      </c>
      <c r="G9" s="36">
        <f>'SER_se-appl'!G28</f>
        <v>9.3572158101883787</v>
      </c>
      <c r="H9" s="36">
        <f>'SER_se-appl'!H28</f>
        <v>11.276072910451646</v>
      </c>
      <c r="I9" s="36">
        <f>'SER_se-appl'!I28</f>
        <v>11.52867663302581</v>
      </c>
      <c r="J9" s="36">
        <f>'SER_se-appl'!J28</f>
        <v>11.298474362097608</v>
      </c>
      <c r="K9" s="36">
        <f>'SER_se-appl'!K28</f>
        <v>7.332246721177313</v>
      </c>
      <c r="L9" s="36">
        <f>'SER_se-appl'!L28</f>
        <v>11.338899767759784</v>
      </c>
      <c r="M9" s="36">
        <f>'SER_se-appl'!M28</f>
        <v>11.036408161322385</v>
      </c>
      <c r="N9" s="36">
        <f>'SER_se-appl'!N28</f>
        <v>10.067258815158198</v>
      </c>
      <c r="O9" s="36">
        <f>'SER_se-appl'!O28</f>
        <v>10.738507214989994</v>
      </c>
      <c r="P9" s="36">
        <f>'SER_se-appl'!P28</f>
        <v>11.158744166880041</v>
      </c>
      <c r="Q9" s="36">
        <f>'SER_se-appl'!Q28</f>
        <v>11.611566586892337</v>
      </c>
      <c r="R9" s="36">
        <f>'SER_se-appl'!R28</f>
        <v>9.2764665370027046</v>
      </c>
      <c r="S9" s="36">
        <f>'SER_se-appl'!S28</f>
        <v>9.3312059992674676</v>
      </c>
      <c r="T9" s="36">
        <f>'SER_se-appl'!T28</f>
        <v>9.8990127462446935</v>
      </c>
      <c r="U9" s="36">
        <f>'SER_se-appl'!U28</f>
        <v>11.465720435603714</v>
      </c>
      <c r="V9" s="36">
        <f>'SER_se-appl'!V28</f>
        <v>14.517332064244897</v>
      </c>
      <c r="W9" s="36">
        <f>'SER_se-appl'!W28</f>
        <v>10.814726982769685</v>
      </c>
      <c r="DA9" s="89" t="s">
        <v>927</v>
      </c>
    </row>
    <row r="10" spans="1:105" ht="12" customHeight="1" x14ac:dyDescent="0.25">
      <c r="A10" s="204" t="str">
        <f>"Number of replaced appliances "&amp;MID('SER_se-appl'!A36,FIND("(",'SER_se-appl'!A36),100)</f>
        <v>Number of replaced appliances (serviced million m2)</v>
      </c>
      <c r="B10" s="38"/>
      <c r="C10" s="38">
        <f>'SER_se-appl'!C36</f>
        <v>4.4156145323693607</v>
      </c>
      <c r="D10" s="38">
        <f>'SER_se-appl'!D36</f>
        <v>4.5405128136078332</v>
      </c>
      <c r="E10" s="38">
        <f>'SER_se-appl'!E36</f>
        <v>4.6689439169579146</v>
      </c>
      <c r="F10" s="38">
        <f>'SER_se-appl'!F36</f>
        <v>4.8010077703925873</v>
      </c>
      <c r="G10" s="38">
        <f>'SER_se-appl'!G36</f>
        <v>4.9368071284069401</v>
      </c>
      <c r="H10" s="38">
        <f>'SER_se-appl'!H36</f>
        <v>5.0764476519679818</v>
      </c>
      <c r="I10" s="38">
        <f>'SER_se-appl'!I36</f>
        <v>5.2200379907260128</v>
      </c>
      <c r="J10" s="38">
        <f>'SER_se-appl'!J36</f>
        <v>5.3676898675512632</v>
      </c>
      <c r="K10" s="38">
        <f>'SER_se-appl'!K36</f>
        <v>5.5195181654617045</v>
      </c>
      <c r="L10" s="38">
        <f>'SER_se-appl'!L36</f>
        <v>5.6756410170097809</v>
      </c>
      <c r="M10" s="38">
        <f>'SER_se-appl'!M36</f>
        <v>5.8361798961973932</v>
      </c>
      <c r="N10" s="38">
        <f>'SER_se-appl'!N36</f>
        <v>6.0012597129907306</v>
      </c>
      <c r="O10" s="38">
        <f>'SER_se-appl'!O36</f>
        <v>6.1710089105086467</v>
      </c>
      <c r="P10" s="38">
        <f>'SER_se-appl'!P36</f>
        <v>6.3455595649599559</v>
      </c>
      <c r="Q10" s="38">
        <f>'SER_se-appl'!Q36</f>
        <v>6.5250474884074947</v>
      </c>
      <c r="R10" s="38">
        <f>'SER_se-appl'!R36</f>
        <v>6.7096123344390719</v>
      </c>
      <c r="S10" s="38">
        <f>'SER_se-appl'!S36</f>
        <v>6.8993977068271306</v>
      </c>
      <c r="T10" s="38">
        <f>'SER_se-appl'!T36</f>
        <v>7.094551271262219</v>
      </c>
      <c r="U10" s="38">
        <f>'SER_se-appl'!U36</f>
        <v>8.6767802597489663</v>
      </c>
      <c r="V10" s="38">
        <f>'SER_se-appl'!V36</f>
        <v>11.746690086126819</v>
      </c>
      <c r="W10" s="38">
        <f>'SER_se-appl'!W36</f>
        <v>8.0662615019327859</v>
      </c>
      <c r="DA10" s="90" t="s">
        <v>933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'SER_se-appl'!B44</f>
        <v>8760</v>
      </c>
      <c r="C12" s="205">
        <f>'SER_se-appl'!C44</f>
        <v>8759.9999999999964</v>
      </c>
      <c r="D12" s="205">
        <f>'SER_se-appl'!D44</f>
        <v>8759.9999999999982</v>
      </c>
      <c r="E12" s="205">
        <f>'SER_se-appl'!E44</f>
        <v>8759.9999999999982</v>
      </c>
      <c r="F12" s="205">
        <f>'SER_se-appl'!F44</f>
        <v>8759.9999999999964</v>
      </c>
      <c r="G12" s="205">
        <f>'SER_se-appl'!G44</f>
        <v>8759.9999999999982</v>
      </c>
      <c r="H12" s="205">
        <f>'SER_se-appl'!H44</f>
        <v>8759.9999999999982</v>
      </c>
      <c r="I12" s="205">
        <f>'SER_se-appl'!I44</f>
        <v>8760</v>
      </c>
      <c r="J12" s="205">
        <f>'SER_se-appl'!J44</f>
        <v>8760.0000000000055</v>
      </c>
      <c r="K12" s="205">
        <f>'SER_se-appl'!K44</f>
        <v>8759.9999999999982</v>
      </c>
      <c r="L12" s="205">
        <f>'SER_se-appl'!L44</f>
        <v>8760</v>
      </c>
      <c r="M12" s="205">
        <f>'SER_se-appl'!M44</f>
        <v>8760.0000000000018</v>
      </c>
      <c r="N12" s="205">
        <f>'SER_se-appl'!N44</f>
        <v>8759.9999999999964</v>
      </c>
      <c r="O12" s="205">
        <f>'SER_se-appl'!O44</f>
        <v>8759.9999999999982</v>
      </c>
      <c r="P12" s="205">
        <f>'SER_se-appl'!P44</f>
        <v>8759.9999999999945</v>
      </c>
      <c r="Q12" s="205">
        <f>'SER_se-appl'!Q44</f>
        <v>8759.9999999999982</v>
      </c>
      <c r="R12" s="205">
        <f>'SER_se-appl'!R44</f>
        <v>8760</v>
      </c>
      <c r="S12" s="205">
        <f>'SER_se-appl'!S44</f>
        <v>8759.9999999999982</v>
      </c>
      <c r="T12" s="205">
        <f>'SER_se-appl'!T44</f>
        <v>8760</v>
      </c>
      <c r="U12" s="205">
        <f>'SER_se-appl'!U44</f>
        <v>8760</v>
      </c>
      <c r="V12" s="205">
        <f>'SER_se-appl'!V44</f>
        <v>8760</v>
      </c>
      <c r="W12" s="205">
        <f>'SER_se-appl'!W44</f>
        <v>8759.9999999999982</v>
      </c>
      <c r="DA12" s="209" t="s">
        <v>939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"&amp;MID('SER_se-appl'!A52,FIND("(",'SER_se-appl'!A52),100)</f>
        <v>W per appliance in average operating mode (W per serviced m2)</v>
      </c>
      <c r="B14" s="59">
        <f>'SER_se-appl'!B52</f>
        <v>0.64762967465426513</v>
      </c>
      <c r="C14" s="59">
        <f>'SER_se-appl'!C52</f>
        <v>0.6418978237967381</v>
      </c>
      <c r="D14" s="59">
        <f>'SER_se-appl'!D52</f>
        <v>0.63432784593245839</v>
      </c>
      <c r="E14" s="59">
        <f>'SER_se-appl'!E52</f>
        <v>0.62895723975074214</v>
      </c>
      <c r="F14" s="59">
        <f>'SER_se-appl'!F52</f>
        <v>0.62268687895559038</v>
      </c>
      <c r="G14" s="59">
        <f>'SER_se-appl'!G52</f>
        <v>0.61648742003642076</v>
      </c>
      <c r="H14" s="59">
        <f>'SER_se-appl'!H52</f>
        <v>0.60923430521502209</v>
      </c>
      <c r="I14" s="59">
        <f>'SER_se-appl'!I52</f>
        <v>0.60199591888076975</v>
      </c>
      <c r="J14" s="59">
        <f>'SER_se-appl'!J52</f>
        <v>0.59491703233659177</v>
      </c>
      <c r="K14" s="59">
        <f>'SER_se-appl'!K52</f>
        <v>0.58948718854226778</v>
      </c>
      <c r="L14" s="59">
        <f>'SER_se-appl'!L52</f>
        <v>0.5820038691069247</v>
      </c>
      <c r="M14" s="59">
        <f>'SER_se-appl'!M52</f>
        <v>0.57454562016354727</v>
      </c>
      <c r="N14" s="59">
        <f>'SER_se-appl'!N52</f>
        <v>0.56719122915172249</v>
      </c>
      <c r="O14" s="59">
        <f>'SER_se-appl'!O52</f>
        <v>0.55924634386229222</v>
      </c>
      <c r="P14" s="59">
        <f>'SER_se-appl'!P52</f>
        <v>0.5508046042326884</v>
      </c>
      <c r="Q14" s="59">
        <f>'SER_se-appl'!Q52</f>
        <v>0.54191948067804463</v>
      </c>
      <c r="R14" s="59">
        <f>'SER_se-appl'!R52</f>
        <v>0.53406811424718581</v>
      </c>
      <c r="S14" s="59">
        <f>'SER_se-appl'!S52</f>
        <v>0.52604737165791104</v>
      </c>
      <c r="T14" s="59">
        <f>'SER_se-appl'!T52</f>
        <v>0.51769236947678432</v>
      </c>
      <c r="U14" s="59">
        <f>'SER_se-appl'!U52</f>
        <v>0.51100115406211688</v>
      </c>
      <c r="V14" s="59">
        <f>'SER_se-appl'!V52</f>
        <v>0.50260290570447119</v>
      </c>
      <c r="W14" s="59">
        <f>'SER_se-appl'!W52</f>
        <v>0.49695539650908055</v>
      </c>
      <c r="DA14" s="104" t="s">
        <v>945</v>
      </c>
    </row>
    <row r="15" spans="1:105" ht="12" customHeight="1" x14ac:dyDescent="0.25">
      <c r="A15" s="204" t="str">
        <f>"W per new appliance in average operating mode "&amp;MID('SER_se-appl'!A52,FIND("(",'SER_se-appl'!A52),100)</f>
        <v>W per new appliance in average operating mode (W per serviced m2)</v>
      </c>
      <c r="B15" s="63"/>
      <c r="C15" s="63">
        <f>'SER_se-appl'!C60</f>
        <v>0.57756284171284833</v>
      </c>
      <c r="D15" s="63">
        <f>'SER_se-appl'!D60</f>
        <v>0.57111683336627295</v>
      </c>
      <c r="E15" s="63">
        <f>'SER_se-appl'!E60</f>
        <v>0.56434741739177841</v>
      </c>
      <c r="F15" s="63">
        <f>'SER_se-appl'!F60</f>
        <v>0.55880795126044125</v>
      </c>
      <c r="G15" s="63">
        <f>'SER_se-appl'!G60</f>
        <v>0.55245587507773808</v>
      </c>
      <c r="H15" s="63">
        <f>'SER_se-appl'!H60</f>
        <v>0.54555855792671448</v>
      </c>
      <c r="I15" s="63">
        <f>'SER_se-appl'!I60</f>
        <v>0.53973933946598029</v>
      </c>
      <c r="J15" s="63">
        <f>'SER_se-appl'!J60</f>
        <v>0.53326318557381513</v>
      </c>
      <c r="K15" s="63">
        <f>'SER_se-appl'!K60</f>
        <v>0.52639080049938303</v>
      </c>
      <c r="L15" s="63">
        <f>'SER_se-appl'!L60</f>
        <v>0.51841908337326748</v>
      </c>
      <c r="M15" s="63">
        <f>'SER_se-appl'!M60</f>
        <v>0.5106214646215399</v>
      </c>
      <c r="N15" s="63">
        <f>'SER_se-appl'!N60</f>
        <v>0.50046268236775326</v>
      </c>
      <c r="O15" s="63">
        <f>'SER_se-appl'!O60</f>
        <v>0.49088563330577462</v>
      </c>
      <c r="P15" s="63">
        <f>'SER_se-appl'!P60</f>
        <v>0.48057519738391724</v>
      </c>
      <c r="Q15" s="63">
        <f>'SER_se-appl'!Q60</f>
        <v>0.47091148229684637</v>
      </c>
      <c r="R15" s="63">
        <f>'SER_se-appl'!R60</f>
        <v>0.46765505124000378</v>
      </c>
      <c r="S15" s="63">
        <f>'SER_se-appl'!S60</f>
        <v>0.46287182131883797</v>
      </c>
      <c r="T15" s="63">
        <f>'SER_se-appl'!T60</f>
        <v>0.4584596751948532</v>
      </c>
      <c r="U15" s="63">
        <f>'SER_se-appl'!U60</f>
        <v>0.45439067385175336</v>
      </c>
      <c r="V15" s="63">
        <f>'SER_se-appl'!V60</f>
        <v>0.45037833074725708</v>
      </c>
      <c r="W15" s="63">
        <f>'SER_se-appl'!W60</f>
        <v>0.44858737606858373</v>
      </c>
      <c r="DA15" s="105" t="s">
        <v>951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'SER_se-appl'!B5</f>
        <v>72.466842340499994</v>
      </c>
      <c r="C3" s="199">
        <f>'SER_se-appl'!C5</f>
        <v>73.029633173515947</v>
      </c>
      <c r="D3" s="199">
        <f>'SER_se-appl'!D5</f>
        <v>74.236617945451002</v>
      </c>
      <c r="E3" s="199">
        <f>'SER_se-appl'!E5</f>
        <v>74.915787488121467</v>
      </c>
      <c r="F3" s="199">
        <f>'SER_se-appl'!F5</f>
        <v>75.877085702450074</v>
      </c>
      <c r="G3" s="199">
        <f>'SER_se-appl'!G5</f>
        <v>77.160340660700939</v>
      </c>
      <c r="H3" s="199">
        <f>'SER_se-appl'!H5</f>
        <v>78.243386008635554</v>
      </c>
      <c r="I3" s="199">
        <f>'SER_se-appl'!I5</f>
        <v>79.457098259545958</v>
      </c>
      <c r="J3" s="199">
        <f>'SER_se-appl'!J5</f>
        <v>81.076324262698151</v>
      </c>
      <c r="K3" s="199">
        <f>'SER_se-appl'!K5</f>
        <v>82.549530838380093</v>
      </c>
      <c r="L3" s="199">
        <f>'SER_se-appl'!L5</f>
        <v>83.207345461833512</v>
      </c>
      <c r="M3" s="199">
        <f>'SER_se-appl'!M5</f>
        <v>84.147400796788958</v>
      </c>
      <c r="N3" s="199">
        <f>'SER_se-appl'!N5</f>
        <v>84.367038660668868</v>
      </c>
      <c r="O3" s="199">
        <f>'SER_se-appl'!O5</f>
        <v>85.001265937064844</v>
      </c>
      <c r="P3" s="199">
        <f>'SER_se-appl'!P5</f>
        <v>85.02022227047469</v>
      </c>
      <c r="Q3" s="199">
        <f>'SER_se-appl'!Q5</f>
        <v>84.792697278180853</v>
      </c>
      <c r="R3" s="199">
        <f>'SER_se-appl'!R5</f>
        <v>83.834169311764711</v>
      </c>
      <c r="S3" s="199">
        <f>'SER_se-appl'!S5</f>
        <v>83.304320035475513</v>
      </c>
      <c r="T3" s="199">
        <f>'SER_se-appl'!T5</f>
        <v>80.718449200301364</v>
      </c>
      <c r="U3" s="199">
        <f>'SER_se-appl'!U5</f>
        <v>77.819318837206325</v>
      </c>
      <c r="V3" s="199">
        <f>'SER_se-appl'!V5</f>
        <v>74.707540743234063</v>
      </c>
      <c r="W3" s="199">
        <f>'SER_se-appl'!W5</f>
        <v>72.316460905569642</v>
      </c>
      <c r="DA3" s="206" t="s">
        <v>909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'SER_se-appl'!B13</f>
        <v>203.70171561468197</v>
      </c>
      <c r="C5" s="59">
        <f>'SER_se-appl'!C13</f>
        <v>206.05130579382165</v>
      </c>
      <c r="D5" s="59">
        <f>'SER_se-appl'!D13</f>
        <v>210.05447146400661</v>
      </c>
      <c r="E5" s="59">
        <f>'SER_se-appl'!E13</f>
        <v>212.76096143968138</v>
      </c>
      <c r="F5" s="59">
        <f>'SER_se-appl'!F13</f>
        <v>215.65585638886398</v>
      </c>
      <c r="G5" s="59">
        <f>'SER_se-appl'!G13</f>
        <v>219.79274674303051</v>
      </c>
      <c r="H5" s="59">
        <f>'SER_se-appl'!H13</f>
        <v>223.02870632799554</v>
      </c>
      <c r="I5" s="59">
        <f>'SER_se-appl'!I13</f>
        <v>226.72036045267481</v>
      </c>
      <c r="J5" s="59">
        <f>'SER_se-appl'!J13</f>
        <v>231.6110863447266</v>
      </c>
      <c r="K5" s="59">
        <f>'SER_se-appl'!K13</f>
        <v>236.51646598709431</v>
      </c>
      <c r="L5" s="59">
        <f>'SER_se-appl'!L13</f>
        <v>239.38295377147446</v>
      </c>
      <c r="M5" s="59">
        <f>'SER_se-appl'!M13</f>
        <v>243.61339951234834</v>
      </c>
      <c r="N5" s="59">
        <f>'SER_se-appl'!N13</f>
        <v>246.03400274291914</v>
      </c>
      <c r="O5" s="59">
        <f>'SER_se-appl'!O13</f>
        <v>250.30816295908917</v>
      </c>
      <c r="P5" s="59">
        <f>'SER_se-appl'!P13</f>
        <v>253.61722272128236</v>
      </c>
      <c r="Q5" s="59">
        <f>'SER_se-appl'!Q13</f>
        <v>256.20842113083398</v>
      </c>
      <c r="R5" s="59">
        <f>'SER_se-appl'!R13</f>
        <v>252.21066419854841</v>
      </c>
      <c r="S5" s="59">
        <f>'SER_se-appl'!S13</f>
        <v>247.67055769417783</v>
      </c>
      <c r="T5" s="59">
        <f>'SER_se-appl'!T13</f>
        <v>242.08335267354443</v>
      </c>
      <c r="U5" s="59">
        <f>'SER_se-appl'!U13</f>
        <v>235.70921283818285</v>
      </c>
      <c r="V5" s="59">
        <f>'SER_se-appl'!V13</f>
        <v>227.94078087593752</v>
      </c>
      <c r="W5" s="59">
        <f>'SER_se-appl'!W13</f>
        <v>220.68568460476178</v>
      </c>
      <c r="DA5" s="104" t="s">
        <v>916</v>
      </c>
    </row>
    <row r="6" spans="1:105" ht="12" customHeight="1" x14ac:dyDescent="0.25">
      <c r="A6" s="201" t="str">
        <f>"Penetration factor "&amp;MID('SER_se-appl'!A69,FIND("(",'SER_se-appl'!A69),100)</f>
        <v>Penetration factor (unit per capita)</v>
      </c>
      <c r="B6" s="202">
        <f>'SER_se-appl'!B69</f>
        <v>0.11072535044310412</v>
      </c>
      <c r="C6" s="202">
        <f>'SER_se-appl'!C69</f>
        <v>0.11279168204426178</v>
      </c>
      <c r="D6" s="202">
        <f>'SER_se-appl'!D69</f>
        <v>0.11577797488415977</v>
      </c>
      <c r="E6" s="202">
        <f>'SER_se-appl'!E69</f>
        <v>0.11819334270129887</v>
      </c>
      <c r="F6" s="202">
        <f>'SER_se-appl'!F69</f>
        <v>0.12114286297270764</v>
      </c>
      <c r="G6" s="202">
        <f>'SER_se-appl'!G69</f>
        <v>0.12508961909089786</v>
      </c>
      <c r="H6" s="202">
        <f>'SER_se-appl'!H69</f>
        <v>0.12890432500204241</v>
      </c>
      <c r="I6" s="202">
        <f>'SER_se-appl'!I69</f>
        <v>0.13345331967115445</v>
      </c>
      <c r="J6" s="202">
        <f>'SER_se-appl'!J69</f>
        <v>0.13754852664452796</v>
      </c>
      <c r="K6" s="202">
        <f>'SER_se-appl'!K69</f>
        <v>0.14198660145884839</v>
      </c>
      <c r="L6" s="202">
        <f>'SER_se-appl'!L69</f>
        <v>0.14541503544617718</v>
      </c>
      <c r="M6" s="202">
        <f>'SER_se-appl'!M69</f>
        <v>0.14923807560946667</v>
      </c>
      <c r="N6" s="202">
        <f>'SER_se-appl'!N69</f>
        <v>0.15390476158807215</v>
      </c>
      <c r="O6" s="202">
        <f>'SER_se-appl'!O69</f>
        <v>0.16065735987326352</v>
      </c>
      <c r="P6" s="202">
        <f>'SER_se-appl'!P69</f>
        <v>0.16850912569760093</v>
      </c>
      <c r="Q6" s="202">
        <f>'SER_se-appl'!Q69</f>
        <v>0.1762247982687368</v>
      </c>
      <c r="R6" s="202">
        <f>'SER_se-appl'!R69</f>
        <v>0.17979455991403498</v>
      </c>
      <c r="S6" s="202">
        <f>'SER_se-appl'!S69</f>
        <v>0.18353690511500023</v>
      </c>
      <c r="T6" s="202">
        <f>'SER_se-appl'!T69</f>
        <v>0.18749075991238304</v>
      </c>
      <c r="U6" s="202">
        <f>'SER_se-appl'!U69</f>
        <v>0.19115201037959245</v>
      </c>
      <c r="V6" s="202">
        <f>'SER_se-appl'!V69</f>
        <v>0.19440807643050448</v>
      </c>
      <c r="W6" s="202">
        <f>'SER_se-appl'!W69</f>
        <v>0.19790354892195799</v>
      </c>
      <c r="DA6" s="207" t="s">
        <v>958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"&amp;MID('SER_se-appl'!A21,FIND("(",'SER_se-appl'!A21),100)</f>
        <v>Stock of appliances (thousand units)</v>
      </c>
      <c r="B8" s="34">
        <f>'SER_se-appl'!B21</f>
        <v>1133.7262748417306</v>
      </c>
      <c r="C8" s="34">
        <f>'SER_se-appl'!C21</f>
        <v>1157.627728576625</v>
      </c>
      <c r="D8" s="34">
        <f>'SER_se-appl'!D21</f>
        <v>1193.639082112594</v>
      </c>
      <c r="E8" s="34">
        <f>'SER_se-appl'!E21</f>
        <v>1223.9918188531897</v>
      </c>
      <c r="F8" s="34">
        <f>'SER_se-appl'!F21</f>
        <v>1259.4522046095801</v>
      </c>
      <c r="G8" s="34">
        <f>'SER_se-appl'!G21</f>
        <v>1306.6676477598937</v>
      </c>
      <c r="H8" s="34">
        <f>'SER_se-appl'!H21</f>
        <v>1354.9626015486187</v>
      </c>
      <c r="I8" s="34">
        <f>'SER_se-appl'!I21</f>
        <v>1412.5411994722031</v>
      </c>
      <c r="J8" s="34">
        <f>'SER_se-appl'!J21</f>
        <v>1467.2117022146094</v>
      </c>
      <c r="K8" s="34">
        <f>'SER_se-appl'!K21</f>
        <v>1526.7932844151135</v>
      </c>
      <c r="L8" s="34">
        <f>'SER_se-appl'!L21</f>
        <v>1576.2851698081931</v>
      </c>
      <c r="M8" s="34">
        <f>'SER_se-appl'!M21</f>
        <v>1641.7140455963722</v>
      </c>
      <c r="N8" s="34">
        <f>'SER_se-appl'!N21</f>
        <v>1704.6320559209507</v>
      </c>
      <c r="O8" s="34">
        <f>'SER_se-appl'!O21</f>
        <v>1789.3974971770524</v>
      </c>
      <c r="P8" s="34">
        <f>'SER_se-appl'!P21</f>
        <v>1884.0735729647645</v>
      </c>
      <c r="Q8" s="34">
        <f>'SER_se-appl'!Q21</f>
        <v>1980.286343740521</v>
      </c>
      <c r="R8" s="34">
        <f>'SER_se-appl'!R21</f>
        <v>2033.6773031511595</v>
      </c>
      <c r="S8" s="34">
        <f>'SER_se-appl'!S21</f>
        <v>2083.4608412903863</v>
      </c>
      <c r="T8" s="34">
        <f>'SER_se-appl'!T21</f>
        <v>2137.1301135389303</v>
      </c>
      <c r="U8" s="34">
        <f>'SER_se-appl'!U21</f>
        <v>2189.7454867916185</v>
      </c>
      <c r="V8" s="34">
        <f>'SER_se-appl'!V21</f>
        <v>2240.0553961859018</v>
      </c>
      <c r="W8" s="34">
        <f>'SER_se-appl'!W21</f>
        <v>2286.7293962663257</v>
      </c>
      <c r="DA8" s="88" t="s">
        <v>922</v>
      </c>
    </row>
    <row r="9" spans="1:105" ht="12.95" customHeight="1" x14ac:dyDescent="0.25">
      <c r="A9" s="203" t="str">
        <f>"Number of new appliances "&amp;MID('SER_se-appl'!A29,FIND("(",'SER_se-appl'!A29),100)</f>
        <v>Number of new appliances (thousand units)</v>
      </c>
      <c r="B9" s="36"/>
      <c r="C9" s="36">
        <f>'SER_se-appl'!C29</f>
        <v>166.12109955737981</v>
      </c>
      <c r="D9" s="36">
        <f>'SER_se-appl'!D29</f>
        <v>184.35282716136737</v>
      </c>
      <c r="E9" s="36">
        <f>'SER_se-appl'!E29</f>
        <v>185.07955152131194</v>
      </c>
      <c r="F9" s="36">
        <f>'SER_se-appl'!F29</f>
        <v>196.84739794586017</v>
      </c>
      <c r="G9" s="36">
        <f>'SER_se-appl'!G29</f>
        <v>215.54934015683421</v>
      </c>
      <c r="H9" s="36">
        <f>'SER_se-appl'!H29</f>
        <v>223.87476344611423</v>
      </c>
      <c r="I9" s="36">
        <f>'SER_se-appl'!I29</f>
        <v>240.71621968333534</v>
      </c>
      <c r="J9" s="36">
        <f>'SER_se-appl'!J29</f>
        <v>220.79160229978606</v>
      </c>
      <c r="K9" s="36">
        <f>'SER_se-appl'!K29</f>
        <v>243.9344093618713</v>
      </c>
      <c r="L9" s="36">
        <f>'SER_se-appl'!L29</f>
        <v>234.5714369143916</v>
      </c>
      <c r="M9" s="36">
        <f>'SER_se-appl'!M29</f>
        <v>262.27627373403925</v>
      </c>
      <c r="N9" s="36">
        <f>'SER_se-appl'!N29</f>
        <v>278.46735048141272</v>
      </c>
      <c r="O9" s="36">
        <f>'SER_se-appl'!O29</f>
        <v>308.6402047022159</v>
      </c>
      <c r="P9" s="36">
        <f>'SER_se-appl'!P29</f>
        <v>335.39229547104742</v>
      </c>
      <c r="Q9" s="36">
        <f>'SER_se-appl'!Q29</f>
        <v>317.00437307554262</v>
      </c>
      <c r="R9" s="36">
        <f>'SER_se-appl'!R29</f>
        <v>297.32536877250982</v>
      </c>
      <c r="S9" s="36">
        <f>'SER_se-appl'!S29</f>
        <v>284.35497505361832</v>
      </c>
      <c r="T9" s="36">
        <f>'SER_se-appl'!T29</f>
        <v>315.94554598258333</v>
      </c>
      <c r="U9" s="36">
        <f>'SER_se-appl'!U29</f>
        <v>331.08272373410091</v>
      </c>
      <c r="V9" s="36">
        <f>'SER_se-appl'!V29</f>
        <v>358.95011409649919</v>
      </c>
      <c r="W9" s="36">
        <f>'SER_se-appl'!W29</f>
        <v>382.06629555147128</v>
      </c>
      <c r="DA9" s="89" t="s">
        <v>928</v>
      </c>
    </row>
    <row r="10" spans="1:105" ht="12" customHeight="1" x14ac:dyDescent="0.25">
      <c r="A10" s="204" t="str">
        <f>"Number of replaced appliances "&amp;MID('SER_se-appl'!A37,FIND("(",'SER_se-appl'!A37),100)</f>
        <v>Number of replaced appliances (thousand units)</v>
      </c>
      <c r="B10" s="38"/>
      <c r="C10" s="38">
        <f>'SER_se-appl'!C37</f>
        <v>142.21964582248529</v>
      </c>
      <c r="D10" s="38">
        <f>'SER_se-appl'!D37</f>
        <v>148.34147362539829</v>
      </c>
      <c r="E10" s="38">
        <f>'SER_se-appl'!E37</f>
        <v>154.72681478071627</v>
      </c>
      <c r="F10" s="38">
        <f>'SER_se-appl'!F37</f>
        <v>161.38701218946971</v>
      </c>
      <c r="G10" s="38">
        <f>'SER_se-appl'!G37</f>
        <v>168.3338970065206</v>
      </c>
      <c r="H10" s="38">
        <f>'SER_se-appl'!H37</f>
        <v>175.57980965738921</v>
      </c>
      <c r="I10" s="38">
        <f>'SER_se-appl'!I37</f>
        <v>183.13762175975103</v>
      </c>
      <c r="J10" s="38">
        <f>'SER_se-appl'!J37</f>
        <v>166.12109955737969</v>
      </c>
      <c r="K10" s="38">
        <f>'SER_se-appl'!K37</f>
        <v>184.35282716136726</v>
      </c>
      <c r="L10" s="38">
        <f>'SER_se-appl'!L37</f>
        <v>185.07955152131194</v>
      </c>
      <c r="M10" s="38">
        <f>'SER_se-appl'!M37</f>
        <v>196.84739794586017</v>
      </c>
      <c r="N10" s="38">
        <f>'SER_se-appl'!N37</f>
        <v>215.54934015683421</v>
      </c>
      <c r="O10" s="38">
        <f>'SER_se-appl'!O37</f>
        <v>223.87476344611423</v>
      </c>
      <c r="P10" s="38">
        <f>'SER_se-appl'!P37</f>
        <v>240.71621968333557</v>
      </c>
      <c r="Q10" s="38">
        <f>'SER_se-appl'!Q37</f>
        <v>220.79160229978629</v>
      </c>
      <c r="R10" s="38">
        <f>'SER_se-appl'!R37</f>
        <v>243.9344093618713</v>
      </c>
      <c r="S10" s="38">
        <f>'SER_se-appl'!S37</f>
        <v>234.5714369143916</v>
      </c>
      <c r="T10" s="38">
        <f>'SER_se-appl'!T37</f>
        <v>262.27627373403902</v>
      </c>
      <c r="U10" s="38">
        <f>'SER_se-appl'!U37</f>
        <v>278.46735048141272</v>
      </c>
      <c r="V10" s="38">
        <f>'SER_se-appl'!V37</f>
        <v>308.64020470221612</v>
      </c>
      <c r="W10" s="38">
        <f>'SER_se-appl'!W37</f>
        <v>335.39229547104742</v>
      </c>
      <c r="DA10" s="90" t="s">
        <v>934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'SER_se-appl'!B45</f>
        <v>4137.3700455926364</v>
      </c>
      <c r="C12" s="205">
        <f>'SER_se-appl'!C45</f>
        <v>4121.9570559666763</v>
      </c>
      <c r="D12" s="205">
        <f>'SER_se-appl'!D45</f>
        <v>4110.2284597332946</v>
      </c>
      <c r="E12" s="205">
        <f>'SER_se-appl'!E45</f>
        <v>4095.0680171365057</v>
      </c>
      <c r="F12" s="205">
        <f>'SER_se-appl'!F45</f>
        <v>4091.9385241654963</v>
      </c>
      <c r="G12" s="205">
        <f>'SER_se-appl'!G45</f>
        <v>4082.8224551609646</v>
      </c>
      <c r="H12" s="205">
        <f>'SER_se-appl'!H45</f>
        <v>4080.0603395967778</v>
      </c>
      <c r="I12" s="205">
        <f>'SER_se-appl'!I45</f>
        <v>4075.8847194555842</v>
      </c>
      <c r="J12" s="205">
        <f>'SER_se-appl'!J45</f>
        <v>4071.1248587287159</v>
      </c>
      <c r="K12" s="205">
        <f>'SER_se-appl'!K45</f>
        <v>4059.1298353948278</v>
      </c>
      <c r="L12" s="205">
        <f>'SER_se-appl'!L45</f>
        <v>4042.4826098726076</v>
      </c>
      <c r="M12" s="205">
        <f>'SER_se-appl'!M45</f>
        <v>4017.1610971548807</v>
      </c>
      <c r="N12" s="205">
        <f>'SER_se-appl'!N45</f>
        <v>3988.0205527884809</v>
      </c>
      <c r="O12" s="205">
        <f>'SER_se-appl'!O45</f>
        <v>3949.3906677331852</v>
      </c>
      <c r="P12" s="205">
        <f>'SER_se-appl'!P45</f>
        <v>3898.7304347712443</v>
      </c>
      <c r="Q12" s="205">
        <f>'SER_se-appl'!Q45</f>
        <v>3848.9721180619081</v>
      </c>
      <c r="R12" s="205">
        <f>'SER_se-appl'!R45</f>
        <v>3865.7817749065466</v>
      </c>
      <c r="S12" s="205">
        <f>'SER_se-appl'!S45</f>
        <v>3911.7658999616938</v>
      </c>
      <c r="T12" s="205">
        <f>'SER_se-appl'!T45</f>
        <v>3877.8195767366155</v>
      </c>
      <c r="U12" s="205">
        <f>'SER_se-appl'!U45</f>
        <v>3839.6406622342301</v>
      </c>
      <c r="V12" s="205">
        <f>'SER_se-appl'!V45</f>
        <v>3811.7299392630612</v>
      </c>
      <c r="W12" s="205">
        <f>'SER_se-appl'!W45</f>
        <v>3811.0330619679335</v>
      </c>
      <c r="DA12" s="209" t="s">
        <v>940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"&amp;MID('SER_se-appl'!A53,FIND("(",'SER_se-appl'!A53),100)</f>
        <v>W per appliance in average operating mode (W per appliance)</v>
      </c>
      <c r="B14" s="59">
        <f>'SER_se-appl'!B53</f>
        <v>179.67451238890882</v>
      </c>
      <c r="C14" s="59">
        <f>'SER_se-appl'!C53</f>
        <v>177.99444562992156</v>
      </c>
      <c r="D14" s="59">
        <f>'SER_se-appl'!D53</f>
        <v>175.97821201718369</v>
      </c>
      <c r="E14" s="59">
        <f>'SER_se-appl'!E53</f>
        <v>173.82547674136109</v>
      </c>
      <c r="F14" s="59">
        <f>'SER_se-appl'!F53</f>
        <v>171.22988518307096</v>
      </c>
      <c r="G14" s="59">
        <f>'SER_se-appl'!G53</f>
        <v>168.20860845513062</v>
      </c>
      <c r="H14" s="59">
        <f>'SER_se-appl'!H53</f>
        <v>164.60137429113598</v>
      </c>
      <c r="I14" s="59">
        <f>'SER_se-appl'!I53</f>
        <v>160.50530811942974</v>
      </c>
      <c r="J14" s="59">
        <f>'SER_se-appl'!J53</f>
        <v>157.85798736142357</v>
      </c>
      <c r="K14" s="59">
        <f>'SER_se-appl'!K53</f>
        <v>154.91060145558566</v>
      </c>
      <c r="L14" s="59">
        <f>'SER_se-appl'!L53</f>
        <v>151.86525785851506</v>
      </c>
      <c r="M14" s="59">
        <f>'SER_se-appl'!M53</f>
        <v>148.38966637691942</v>
      </c>
      <c r="N14" s="59">
        <f>'SER_se-appl'!N53</f>
        <v>144.33261529274475</v>
      </c>
      <c r="O14" s="59">
        <f>'SER_se-appl'!O53</f>
        <v>139.8840466436186</v>
      </c>
      <c r="P14" s="59">
        <f>'SER_se-appl'!P53</f>
        <v>134.61110349432488</v>
      </c>
      <c r="Q14" s="59">
        <f>'SER_se-appl'!Q53</f>
        <v>129.37948188184103</v>
      </c>
      <c r="R14" s="59">
        <f>'SER_se-appl'!R53</f>
        <v>124.01705216838035</v>
      </c>
      <c r="S14" s="59">
        <f>'SER_se-appl'!S53</f>
        <v>118.8745921141401</v>
      </c>
      <c r="T14" s="59">
        <f>'SER_se-appl'!T53</f>
        <v>113.27497148625743</v>
      </c>
      <c r="U14" s="59">
        <f>'SER_se-appl'!U53</f>
        <v>107.64228731602061</v>
      </c>
      <c r="V14" s="59">
        <f>'SER_se-appl'!V53</f>
        <v>101.75676068727934</v>
      </c>
      <c r="W14" s="59">
        <f>'SER_se-appl'!W53</f>
        <v>96.507127150719256</v>
      </c>
      <c r="DA14" s="104" t="s">
        <v>946</v>
      </c>
    </row>
    <row r="15" spans="1:105" ht="12" customHeight="1" x14ac:dyDescent="0.25">
      <c r="A15" s="204" t="str">
        <f>"W per new appliance in average operating mode "&amp;MID('SER_se-appl'!A53,FIND("(",'SER_se-appl'!A53),100)</f>
        <v>W per new appliance in average operating mode (W per appliance)</v>
      </c>
      <c r="B15" s="63"/>
      <c r="C15" s="63">
        <f>'SER_se-appl'!C61</f>
        <v>167.96683725766076</v>
      </c>
      <c r="D15" s="63">
        <f>'SER_se-appl'!D61</f>
        <v>166.29171400797932</v>
      </c>
      <c r="E15" s="63">
        <f>'SER_se-appl'!E61</f>
        <v>164.8315803886961</v>
      </c>
      <c r="F15" s="63">
        <f>'SER_se-appl'!F61</f>
        <v>162.01396616377906</v>
      </c>
      <c r="G15" s="63">
        <f>'SER_se-appl'!G61</f>
        <v>159.50965654694789</v>
      </c>
      <c r="H15" s="63">
        <f>'SER_se-appl'!H61</f>
        <v>155.36890239469102</v>
      </c>
      <c r="I15" s="63">
        <f>'SER_se-appl'!I61</f>
        <v>152.03303318143844</v>
      </c>
      <c r="J15" s="63">
        <f>'SER_se-appl'!J61</f>
        <v>148.52721410093957</v>
      </c>
      <c r="K15" s="63">
        <f>'SER_se-appl'!K61</f>
        <v>145.78397261082276</v>
      </c>
      <c r="L15" s="63">
        <f>'SER_se-appl'!L61</f>
        <v>142.27411145308795</v>
      </c>
      <c r="M15" s="63">
        <f>'SER_se-appl'!M61</f>
        <v>137.72680577173497</v>
      </c>
      <c r="N15" s="63">
        <f>'SER_se-appl'!N61</f>
        <v>132.16200888285167</v>
      </c>
      <c r="O15" s="63">
        <f>'SER_se-appl'!O61</f>
        <v>126.54649618427861</v>
      </c>
      <c r="P15" s="63">
        <f>'SER_se-appl'!P61</f>
        <v>118.98268778229868</v>
      </c>
      <c r="Q15" s="63">
        <f>'SER_se-appl'!Q61</f>
        <v>111.62230871682394</v>
      </c>
      <c r="R15" s="63">
        <f>'SER_se-appl'!R61</f>
        <v>106.1596945167265</v>
      </c>
      <c r="S15" s="63">
        <f>'SER_se-appl'!S61</f>
        <v>101.39909192537168</v>
      </c>
      <c r="T15" s="63">
        <f>'SER_se-appl'!T61</f>
        <v>96.647250701082086</v>
      </c>
      <c r="U15" s="63">
        <f>'SER_se-appl'!U61</f>
        <v>91.906531000345666</v>
      </c>
      <c r="V15" s="63">
        <f>'SER_se-appl'!V61</f>
        <v>87.167835572847906</v>
      </c>
      <c r="W15" s="63">
        <f>'SER_se-appl'!W61</f>
        <v>85.458416211030851</v>
      </c>
      <c r="DA15" s="105" t="s">
        <v>952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6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'SER_se-appl'!B6</f>
        <v>283.87050726256768</v>
      </c>
      <c r="C3" s="199">
        <f>'SER_se-appl'!C6</f>
        <v>287.9360454118243</v>
      </c>
      <c r="D3" s="199">
        <f>'SER_se-appl'!D6</f>
        <v>300.85879905489185</v>
      </c>
      <c r="E3" s="199">
        <f>'SER_se-appl'!E6</f>
        <v>303.25398443812344</v>
      </c>
      <c r="F3" s="199">
        <f>'SER_se-appl'!F6</f>
        <v>309.75708103660725</v>
      </c>
      <c r="G3" s="199">
        <f>'SER_se-appl'!G6</f>
        <v>312.79894662444161</v>
      </c>
      <c r="H3" s="199">
        <f>'SER_se-appl'!H6</f>
        <v>318.11618887039987</v>
      </c>
      <c r="I3" s="199">
        <f>'SER_se-appl'!I6</f>
        <v>325.10256119082658</v>
      </c>
      <c r="J3" s="199">
        <f>'SER_se-appl'!J6</f>
        <v>330.1253795613959</v>
      </c>
      <c r="K3" s="199">
        <f>'SER_se-appl'!K6</f>
        <v>328.85280681851236</v>
      </c>
      <c r="L3" s="199">
        <f>'SER_se-appl'!L6</f>
        <v>337.33637790023795</v>
      </c>
      <c r="M3" s="199">
        <f>'SER_se-appl'!M6</f>
        <v>342.01832173864329</v>
      </c>
      <c r="N3" s="199">
        <f>'SER_se-appl'!N6</f>
        <v>343.59951215760134</v>
      </c>
      <c r="O3" s="199">
        <f>'SER_se-appl'!O6</f>
        <v>341.81572203137421</v>
      </c>
      <c r="P3" s="199">
        <f>'SER_se-appl'!P6</f>
        <v>341.099349730158</v>
      </c>
      <c r="Q3" s="199">
        <f>'SER_se-appl'!Q6</f>
        <v>341.74611260796911</v>
      </c>
      <c r="R3" s="199">
        <f>'SER_se-appl'!R6</f>
        <v>333.4406076381498</v>
      </c>
      <c r="S3" s="199">
        <f>'SER_se-appl'!S6</f>
        <v>333.6033888879557</v>
      </c>
      <c r="T3" s="199">
        <f>'SER_se-appl'!T6</f>
        <v>315.51411689390608</v>
      </c>
      <c r="U3" s="199">
        <f>'SER_se-appl'!U6</f>
        <v>297.76753214134226</v>
      </c>
      <c r="V3" s="199">
        <f>'SER_se-appl'!V6</f>
        <v>264.89545787719368</v>
      </c>
      <c r="W3" s="199">
        <f>'SER_se-appl'!W6</f>
        <v>250.40018037369759</v>
      </c>
      <c r="DA3" s="206" t="s">
        <v>910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'SER_se-appl'!B14</f>
        <v>1352.0862164929681</v>
      </c>
      <c r="C5" s="59">
        <f>'SER_se-appl'!C14</f>
        <v>1363.1249440121537</v>
      </c>
      <c r="D5" s="59">
        <f>'SER_se-appl'!D14</f>
        <v>1415.7849210415882</v>
      </c>
      <c r="E5" s="59">
        <f>'SER_se-appl'!E14</f>
        <v>1420.0391396587902</v>
      </c>
      <c r="F5" s="59">
        <f>'SER_se-appl'!F14</f>
        <v>1440.6412013864608</v>
      </c>
      <c r="G5" s="59">
        <f>'SER_se-appl'!G14</f>
        <v>1446.6933043117997</v>
      </c>
      <c r="H5" s="59">
        <f>'SER_se-appl'!H14</f>
        <v>1463.054222475454</v>
      </c>
      <c r="I5" s="59">
        <f>'SER_se-appl'!I14</f>
        <v>1485.6759347183474</v>
      </c>
      <c r="J5" s="59">
        <f>'SER_se-appl'!J14</f>
        <v>1502.4597888762894</v>
      </c>
      <c r="K5" s="59">
        <f>'SER_se-appl'!K14</f>
        <v>1493.1664143042551</v>
      </c>
      <c r="L5" s="59">
        <f>'SER_se-appl'!L14</f>
        <v>1526.9602460128299</v>
      </c>
      <c r="M5" s="59">
        <f>'SER_se-appl'!M14</f>
        <v>1541.4507314284729</v>
      </c>
      <c r="N5" s="59">
        <f>'SER_se-appl'!N14</f>
        <v>1545.1737038251367</v>
      </c>
      <c r="O5" s="59">
        <f>'SER_se-appl'!O14</f>
        <v>1535.4475480334729</v>
      </c>
      <c r="P5" s="59">
        <f>'SER_se-appl'!P14</f>
        <v>1525.568792772491</v>
      </c>
      <c r="Q5" s="59">
        <f>'SER_se-appl'!Q14</f>
        <v>1524.4573794863738</v>
      </c>
      <c r="R5" s="59">
        <f>'SER_se-appl'!R14</f>
        <v>1478.1259440516351</v>
      </c>
      <c r="S5" s="59">
        <f>'SER_se-appl'!S14</f>
        <v>1434.9900076404824</v>
      </c>
      <c r="T5" s="59">
        <f>'SER_se-appl'!T14</f>
        <v>1380.3559073234469</v>
      </c>
      <c r="U5" s="59">
        <f>'SER_se-appl'!U14</f>
        <v>1323.9524834826177</v>
      </c>
      <c r="V5" s="59">
        <f>'SER_se-appl'!V14</f>
        <v>1244.3916029706136</v>
      </c>
      <c r="W5" s="59">
        <f>'SER_se-appl'!W14</f>
        <v>1176.7362958450535</v>
      </c>
      <c r="DA5" s="104" t="s">
        <v>917</v>
      </c>
    </row>
    <row r="6" spans="1:105" ht="12" customHeight="1" x14ac:dyDescent="0.25">
      <c r="A6" s="201" t="str">
        <f>"Penetration factor "&amp;MID('SER_se-appl'!A70,FIND("(",'SER_se-appl'!A70),100)</f>
        <v>Penetration factor (unit per building cell)</v>
      </c>
      <c r="B6" s="202">
        <f>'SER_se-appl'!B70</f>
        <v>170.2086426729397</v>
      </c>
      <c r="C6" s="202">
        <f>'SER_se-appl'!C70</f>
        <v>171.63122062848086</v>
      </c>
      <c r="D6" s="202">
        <f>'SER_se-appl'!D70</f>
        <v>173.86800262145684</v>
      </c>
      <c r="E6" s="202">
        <f>'SER_se-appl'!E70</f>
        <v>176.50933017144567</v>
      </c>
      <c r="F6" s="202">
        <f>'SER_se-appl'!F70</f>
        <v>179.37456208960586</v>
      </c>
      <c r="G6" s="202">
        <f>'SER_se-appl'!G70</f>
        <v>181.95543520096044</v>
      </c>
      <c r="H6" s="202">
        <f>'SER_se-appl'!H70</f>
        <v>185.91865098325374</v>
      </c>
      <c r="I6" s="202">
        <f>'SER_se-appl'!I70</f>
        <v>188.66305610645324</v>
      </c>
      <c r="J6" s="202">
        <f>'SER_se-appl'!J70</f>
        <v>192.70419630010124</v>
      </c>
      <c r="K6" s="202">
        <f>'SER_se-appl'!K70</f>
        <v>196.94365852832897</v>
      </c>
      <c r="L6" s="202">
        <f>'SER_se-appl'!L70</f>
        <v>203.57044732732464</v>
      </c>
      <c r="M6" s="202">
        <f>'SER_se-appl'!M70</f>
        <v>208.83970272154582</v>
      </c>
      <c r="N6" s="202">
        <f>'SER_se-appl'!N70</f>
        <v>215.63882273542879</v>
      </c>
      <c r="O6" s="202">
        <f>'SER_se-appl'!O70</f>
        <v>221.22628540978616</v>
      </c>
      <c r="P6" s="202">
        <f>'SER_se-appl'!P70</f>
        <v>229.24925159793202</v>
      </c>
      <c r="Q6" s="202">
        <f>'SER_se-appl'!Q70</f>
        <v>237.82623802503716</v>
      </c>
      <c r="R6" s="202">
        <f>'SER_se-appl'!R70</f>
        <v>242.65957320650617</v>
      </c>
      <c r="S6" s="202">
        <f>'SER_se-appl'!S70</f>
        <v>247.56034954820899</v>
      </c>
      <c r="T6" s="202">
        <f>'SER_se-appl'!T70</f>
        <v>252.24559315110298</v>
      </c>
      <c r="U6" s="202">
        <f>'SER_se-appl'!U70</f>
        <v>256.54225181434464</v>
      </c>
      <c r="V6" s="202">
        <f>'SER_se-appl'!V70</f>
        <v>260.12781896283678</v>
      </c>
      <c r="W6" s="202">
        <f>'SER_se-appl'!W70</f>
        <v>262.58557150964867</v>
      </c>
      <c r="DA6" s="207" t="s">
        <v>959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"&amp;MID('SER_se-appl'!A22,FIND("(",'SER_se-appl'!A22),1000)</f>
        <v>Stock of appliances (million units)</v>
      </c>
      <c r="B8" s="34">
        <f>'SER_se-appl'!B22</f>
        <v>33.119639535147023</v>
      </c>
      <c r="C8" s="34">
        <f>'SER_se-appl'!C22</f>
        <v>33.793433798693009</v>
      </c>
      <c r="D8" s="34">
        <f>'SER_se-appl'!D22</f>
        <v>35.864569412315689</v>
      </c>
      <c r="E8" s="34">
        <f>'SER_se-appl'!E22</f>
        <v>36.817925724711074</v>
      </c>
      <c r="F8" s="34">
        <f>'SER_se-appl'!F22</f>
        <v>38.345404364408616</v>
      </c>
      <c r="G8" s="34">
        <f>'SER_se-appl'!G22</f>
        <v>39.584791896909756</v>
      </c>
      <c r="H8" s="34">
        <f>'SER_se-appl'!H22</f>
        <v>41.331620745392236</v>
      </c>
      <c r="I8" s="34">
        <f>'SER_se-appl'!I22</f>
        <v>42.954576677150037</v>
      </c>
      <c r="J8" s="34">
        <f>'SER_se-appl'!J22</f>
        <v>44.539829662719974</v>
      </c>
      <c r="K8" s="34">
        <f>'SER_se-appl'!K22</f>
        <v>45.236333746580442</v>
      </c>
      <c r="L8" s="34">
        <f>'SER_se-appl'!L22</f>
        <v>47.726960448749203</v>
      </c>
      <c r="M8" s="34">
        <f>'SER_se-appl'!M22</f>
        <v>49.740973933107405</v>
      </c>
      <c r="N8" s="34">
        <f>'SER_se-appl'!N22</f>
        <v>51.753123556605665</v>
      </c>
      <c r="O8" s="34">
        <f>'SER_se-appl'!O22</f>
        <v>53.389137961161516</v>
      </c>
      <c r="P8" s="34">
        <f>'SER_se-appl'!P22</f>
        <v>55.705262377300279</v>
      </c>
      <c r="Q8" s="34">
        <f>'SER_se-appl'!Q22</f>
        <v>57.982823812738431</v>
      </c>
      <c r="R8" s="34">
        <f>'SER_se-appl'!R22</f>
        <v>59.65918336716971</v>
      </c>
      <c r="S8" s="34">
        <f>'SER_se-appl'!S22</f>
        <v>61.32005830137701</v>
      </c>
      <c r="T8" s="34">
        <f>'SER_se-appl'!T22</f>
        <v>63.067740744743702</v>
      </c>
      <c r="U8" s="34">
        <f>'SER_se-appl'!U22</f>
        <v>64.726507962336115</v>
      </c>
      <c r="V8" s="34">
        <f>'SER_se-appl'!V22</f>
        <v>66.210158318848514</v>
      </c>
      <c r="W8" s="34">
        <f>'SER_se-appl'!W22</f>
        <v>67.404110465939326</v>
      </c>
      <c r="DA8" s="88" t="s">
        <v>923</v>
      </c>
    </row>
    <row r="9" spans="1:105" ht="12.95" customHeight="1" x14ac:dyDescent="0.25">
      <c r="A9" s="203" t="str">
        <f>"Number of new appliances "&amp;MID('SER_se-appl'!A30,FIND("(",'SER_se-appl'!A30),100)</f>
        <v>Number of new appliances (million units)</v>
      </c>
      <c r="B9" s="36"/>
      <c r="C9" s="36">
        <f>'SER_se-appl'!C30</f>
        <v>5.8459591117812622</v>
      </c>
      <c r="D9" s="36">
        <f>'SER_se-appl'!D30</f>
        <v>7.3776647813278693</v>
      </c>
      <c r="E9" s="36">
        <f>'SER_se-appl'!E30</f>
        <v>6.3977403631693619</v>
      </c>
      <c r="F9" s="36">
        <f>'SER_se-appl'!F30</f>
        <v>7.1132988162293209</v>
      </c>
      <c r="G9" s="36">
        <f>'SER_se-appl'!G30</f>
        <v>6.9703181122632216</v>
      </c>
      <c r="H9" s="36">
        <f>'SER_se-appl'!H30</f>
        <v>7.6266395606212001</v>
      </c>
      <c r="I9" s="36">
        <f>'SER_se-appl'!I30</f>
        <v>7.468915043539063</v>
      </c>
      <c r="J9" s="36">
        <f>'SER_se-appl'!J30</f>
        <v>8.9629177668978102</v>
      </c>
      <c r="K9" s="36">
        <f>'SER_se-appl'!K30</f>
        <v>7.0942444470298298</v>
      </c>
      <c r="L9" s="36">
        <f>'SER_se-appl'!L30</f>
        <v>9.6039255183980785</v>
      </c>
      <c r="M9" s="36">
        <f>'SER_se-appl'!M30</f>
        <v>8.9843315966214234</v>
      </c>
      <c r="N9" s="36">
        <f>'SER_se-appl'!N30</f>
        <v>9.6387891841194602</v>
      </c>
      <c r="O9" s="36">
        <f>'SER_se-appl'!O30</f>
        <v>9.1049294480949143</v>
      </c>
      <c r="P9" s="36">
        <f>'SER_se-appl'!P30</f>
        <v>11.279042183036573</v>
      </c>
      <c r="Q9" s="36">
        <f>'SER_se-appl'!Q30</f>
        <v>9.3718058824679815</v>
      </c>
      <c r="R9" s="36">
        <f>'SER_se-appl'!R30</f>
        <v>11.280285072829358</v>
      </c>
      <c r="S9" s="36">
        <f>'SER_se-appl'!S30</f>
        <v>10.645206530828723</v>
      </c>
      <c r="T9" s="36">
        <f>'SER_se-appl'!T30</f>
        <v>11.386471627486152</v>
      </c>
      <c r="U9" s="36">
        <f>'SER_se-appl'!U30</f>
        <v>10.763696665687327</v>
      </c>
      <c r="V9" s="36">
        <f>'SER_se-appl'!V30</f>
        <v>12.762692539548972</v>
      </c>
      <c r="W9" s="36">
        <f>'SER_se-appl'!W30</f>
        <v>10.565758029558793</v>
      </c>
      <c r="DA9" s="89" t="s">
        <v>929</v>
      </c>
    </row>
    <row r="10" spans="1:105" ht="12" customHeight="1" x14ac:dyDescent="0.25">
      <c r="A10" s="204" t="str">
        <f>"Number of replaced appliances "&amp;MID('SER_se-appl'!A38,FIND("(",'SER_se-appl'!A38),100)</f>
        <v>Number of replaced appliances (million units)</v>
      </c>
      <c r="B10" s="38"/>
      <c r="C10" s="38">
        <f>'SER_se-appl'!C38</f>
        <v>5.1721648482352762</v>
      </c>
      <c r="D10" s="38">
        <f>'SER_se-appl'!D38</f>
        <v>5.3065291677051931</v>
      </c>
      <c r="E10" s="38">
        <f>'SER_se-appl'!E38</f>
        <v>5.4443840507739765</v>
      </c>
      <c r="F10" s="38">
        <f>'SER_se-appl'!F38</f>
        <v>5.5858201765317759</v>
      </c>
      <c r="G10" s="38">
        <f>'SER_se-appl'!G38</f>
        <v>5.7309305797620809</v>
      </c>
      <c r="H10" s="38">
        <f>'SER_se-appl'!H38</f>
        <v>5.8798107121387204</v>
      </c>
      <c r="I10" s="38">
        <f>'SER_se-appl'!I38</f>
        <v>5.8459591117812622</v>
      </c>
      <c r="J10" s="38">
        <f>'SER_se-appl'!J38</f>
        <v>7.3776647813278728</v>
      </c>
      <c r="K10" s="38">
        <f>'SER_se-appl'!K38</f>
        <v>6.3977403631693619</v>
      </c>
      <c r="L10" s="38">
        <f>'SER_se-appl'!L38</f>
        <v>7.1132988162293174</v>
      </c>
      <c r="M10" s="38">
        <f>'SER_se-appl'!M38</f>
        <v>6.9703181122632216</v>
      </c>
      <c r="N10" s="38">
        <f>'SER_se-appl'!N38</f>
        <v>7.6266395606212001</v>
      </c>
      <c r="O10" s="38">
        <f>'SER_se-appl'!O38</f>
        <v>7.468915043539063</v>
      </c>
      <c r="P10" s="38">
        <f>'SER_se-appl'!P38</f>
        <v>8.9629177668978102</v>
      </c>
      <c r="Q10" s="38">
        <f>'SER_se-appl'!Q38</f>
        <v>7.0942444470298227</v>
      </c>
      <c r="R10" s="38">
        <f>'SER_se-appl'!R38</f>
        <v>9.6039255183980785</v>
      </c>
      <c r="S10" s="38">
        <f>'SER_se-appl'!S38</f>
        <v>8.9843315966214234</v>
      </c>
      <c r="T10" s="38">
        <f>'SER_se-appl'!T38</f>
        <v>9.6387891841194602</v>
      </c>
      <c r="U10" s="38">
        <f>'SER_se-appl'!U38</f>
        <v>9.1049294480949072</v>
      </c>
      <c r="V10" s="38">
        <f>'SER_se-appl'!V38</f>
        <v>11.279042183036566</v>
      </c>
      <c r="W10" s="38">
        <f>'SER_se-appl'!W38</f>
        <v>9.3718058824679815</v>
      </c>
      <c r="DA10" s="90" t="s">
        <v>935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'SER_se-appl'!B46</f>
        <v>2441.7185525541759</v>
      </c>
      <c r="C12" s="205">
        <f>'SER_se-appl'!C46</f>
        <v>2456.6318904583554</v>
      </c>
      <c r="D12" s="205">
        <f>'SER_se-appl'!D46</f>
        <v>2471.4119927440665</v>
      </c>
      <c r="E12" s="205">
        <f>'SER_se-appl'!E46</f>
        <v>2483.6243878903315</v>
      </c>
      <c r="F12" s="205">
        <f>'SER_se-appl'!F46</f>
        <v>2500.6051812128871</v>
      </c>
      <c r="G12" s="205">
        <f>'SER_se-appl'!G46</f>
        <v>2514.5977647092263</v>
      </c>
      <c r="H12" s="205">
        <f>'SER_se-appl'!H46</f>
        <v>2528.7451549833595</v>
      </c>
      <c r="I12" s="205">
        <f>'SER_se-appl'!I46</f>
        <v>2544.9310299059935</v>
      </c>
      <c r="J12" s="205">
        <f>'SER_se-appl'!J46</f>
        <v>2555.381643305438</v>
      </c>
      <c r="K12" s="205">
        <f>'SER_se-appl'!K46</f>
        <v>2561.3743429136543</v>
      </c>
      <c r="L12" s="205">
        <f>'SER_se-appl'!L46</f>
        <v>2569.3020399345769</v>
      </c>
      <c r="M12" s="205">
        <f>'SER_se-appl'!M46</f>
        <v>2580.4737061782603</v>
      </c>
      <c r="N12" s="205">
        <f>'SER_se-appl'!N46</f>
        <v>2586.1573469057221</v>
      </c>
      <c r="O12" s="205">
        <f>'SER_se-appl'!O46</f>
        <v>2589.0280995376729</v>
      </c>
      <c r="P12" s="205">
        <f>'SER_se-appl'!P46</f>
        <v>2600.3320572337748</v>
      </c>
      <c r="Q12" s="205">
        <f>'SER_se-appl'!Q46</f>
        <v>2607.1619601262892</v>
      </c>
      <c r="R12" s="205">
        <f>'SER_se-appl'!R46</f>
        <v>2623.5344034366099</v>
      </c>
      <c r="S12" s="205">
        <f>'SER_se-appl'!S46</f>
        <v>2703.7173723226083</v>
      </c>
      <c r="T12" s="205">
        <f>'SER_se-appl'!T46</f>
        <v>2658.3210605381228</v>
      </c>
      <c r="U12" s="205">
        <f>'SER_se-appl'!U46</f>
        <v>2615.6802770552581</v>
      </c>
      <c r="V12" s="205">
        <f>'SER_se-appl'!V46</f>
        <v>2475.6950848570732</v>
      </c>
      <c r="W12" s="205">
        <f>'SER_se-appl'!W46</f>
        <v>2474.7720521825054</v>
      </c>
      <c r="DA12" s="209" t="s">
        <v>941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"&amp;MID('SER_se-appl'!A54,FIND("(",'SER_se-appl'!A54),100)</f>
        <v>W per appliance in average operating mode (W per appliance)</v>
      </c>
      <c r="B14" s="59">
        <f>'SER_se-appl'!B54</f>
        <v>40.824303509043794</v>
      </c>
      <c r="C14" s="59">
        <f>'SER_se-appl'!C54</f>
        <v>40.336976470999339</v>
      </c>
      <c r="D14" s="59">
        <f>'SER_se-appl'!D54</f>
        <v>39.475865575439357</v>
      </c>
      <c r="E14" s="59">
        <f>'SER_se-appl'!E54</f>
        <v>38.569232560152159</v>
      </c>
      <c r="F14" s="59">
        <f>'SER_se-appl'!F54</f>
        <v>37.570113688086003</v>
      </c>
      <c r="G14" s="59">
        <f>'SER_se-appl'!G54</f>
        <v>36.546694702334356</v>
      </c>
      <c r="H14" s="59">
        <f>'SER_se-appl'!H54</f>
        <v>35.39793978774857</v>
      </c>
      <c r="I14" s="59">
        <f>'SER_se-appl'!I54</f>
        <v>34.587139477239042</v>
      </c>
      <c r="J14" s="59">
        <f>'SER_se-appl'!J54</f>
        <v>33.732948694544618</v>
      </c>
      <c r="K14" s="59">
        <f>'SER_se-appl'!K54</f>
        <v>33.008121804679369</v>
      </c>
      <c r="L14" s="59">
        <f>'SER_se-appl'!L54</f>
        <v>31.993662107448273</v>
      </c>
      <c r="M14" s="59">
        <f>'SER_se-appl'!M54</f>
        <v>30.989556688243471</v>
      </c>
      <c r="N14" s="59">
        <f>'SER_se-appl'!N54</f>
        <v>29.856626955763986</v>
      </c>
      <c r="O14" s="59">
        <f>'SER_se-appl'!O54</f>
        <v>28.759549351601258</v>
      </c>
      <c r="P14" s="59">
        <f>'SER_se-appl'!P54</f>
        <v>27.386439407458127</v>
      </c>
      <c r="Q14" s="59">
        <f>'SER_se-appl'!Q54</f>
        <v>26.291533927525983</v>
      </c>
      <c r="R14" s="59">
        <f>'SER_se-appl'!R54</f>
        <v>24.776167902845344</v>
      </c>
      <c r="S14" s="59">
        <f>'SER_se-appl'!S54</f>
        <v>23.401641280048459</v>
      </c>
      <c r="T14" s="59">
        <f>'SER_se-appl'!T54</f>
        <v>21.886877364296435</v>
      </c>
      <c r="U14" s="59">
        <f>'SER_se-appl'!U54</f>
        <v>20.454563750805406</v>
      </c>
      <c r="V14" s="59">
        <f>'SER_se-appl'!V54</f>
        <v>18.794572231318224</v>
      </c>
      <c r="W14" s="59">
        <f>'SER_se-appl'!W54</f>
        <v>17.457930795476969</v>
      </c>
      <c r="DA14" s="104" t="s">
        <v>947</v>
      </c>
    </row>
    <row r="15" spans="1:105" ht="12" customHeight="1" x14ac:dyDescent="0.25">
      <c r="A15" s="204" t="str">
        <f>"W per new appliance in average operating mode "&amp;MID('SER_se-appl'!A54,FIND("(",'SER_se-appl'!A54),100)</f>
        <v>W per new appliance in average operating mode (W per appliance)</v>
      </c>
      <c r="B15" s="63"/>
      <c r="C15" s="63">
        <f>'SER_se-appl'!C62</f>
        <v>38.007237278580433</v>
      </c>
      <c r="D15" s="63">
        <f>'SER_se-appl'!D62</f>
        <v>36.501432680024202</v>
      </c>
      <c r="E15" s="63">
        <f>'SER_se-appl'!E62</f>
        <v>35.405845293412654</v>
      </c>
      <c r="F15" s="63">
        <f>'SER_se-appl'!F62</f>
        <v>34.954145240470275</v>
      </c>
      <c r="G15" s="63">
        <f>'SER_se-appl'!G62</f>
        <v>34.433629633135276</v>
      </c>
      <c r="H15" s="63">
        <f>'SER_se-appl'!H62</f>
        <v>33.619013093998625</v>
      </c>
      <c r="I15" s="63">
        <f>'SER_se-appl'!I62</f>
        <v>32.777246212890702</v>
      </c>
      <c r="J15" s="63">
        <f>'SER_se-appl'!J62</f>
        <v>31.918086938823137</v>
      </c>
      <c r="K15" s="63">
        <f>'SER_se-appl'!K62</f>
        <v>30.619755574493571</v>
      </c>
      <c r="L15" s="63">
        <f>'SER_se-appl'!L62</f>
        <v>29.408090590547321</v>
      </c>
      <c r="M15" s="63">
        <f>'SER_se-appl'!M62</f>
        <v>28.327520526307822</v>
      </c>
      <c r="N15" s="63">
        <f>'SER_se-appl'!N62</f>
        <v>26.987110380727685</v>
      </c>
      <c r="O15" s="63">
        <f>'SER_se-appl'!O62</f>
        <v>25.819454491519171</v>
      </c>
      <c r="P15" s="63">
        <f>'SER_se-appl'!P62</f>
        <v>24.487933351626637</v>
      </c>
      <c r="Q15" s="63">
        <f>'SER_se-appl'!Q62</f>
        <v>23.059869184009738</v>
      </c>
      <c r="R15" s="63">
        <f>'SER_se-appl'!R62</f>
        <v>20.930470702719681</v>
      </c>
      <c r="S15" s="63">
        <f>'SER_se-appl'!S62</f>
        <v>19.855688163040455</v>
      </c>
      <c r="T15" s="63">
        <f>'SER_se-appl'!T62</f>
        <v>18.046764094622997</v>
      </c>
      <c r="U15" s="63">
        <f>'SER_se-appl'!U62</f>
        <v>16.600327307843191</v>
      </c>
      <c r="V15" s="63">
        <f>'SER_se-appl'!V62</f>
        <v>15.40737208289201</v>
      </c>
      <c r="W15" s="63">
        <f>'SER_se-appl'!W62</f>
        <v>14.050795988963603</v>
      </c>
      <c r="DA15" s="105" t="s">
        <v>953</v>
      </c>
    </row>
    <row r="16" spans="1:105" ht="12.95" customHeight="1" x14ac:dyDescent="0.25">
      <c r="A16" s="204" t="s">
        <v>109</v>
      </c>
      <c r="B16" s="63">
        <v>0</v>
      </c>
      <c r="C16" s="63">
        <v>0</v>
      </c>
      <c r="D16" s="63">
        <v>0</v>
      </c>
      <c r="E16" s="63">
        <v>0</v>
      </c>
      <c r="F16" s="63">
        <v>0</v>
      </c>
      <c r="G16" s="63">
        <v>0</v>
      </c>
      <c r="H16" s="63">
        <v>0</v>
      </c>
      <c r="I16" s="63">
        <v>0</v>
      </c>
      <c r="J16" s="63">
        <v>0</v>
      </c>
      <c r="K16" s="63">
        <v>0</v>
      </c>
      <c r="L16" s="63">
        <v>0</v>
      </c>
      <c r="M16" s="63">
        <v>0</v>
      </c>
      <c r="N16" s="63">
        <v>0</v>
      </c>
      <c r="O16" s="63">
        <v>0</v>
      </c>
      <c r="P16" s="63">
        <v>0</v>
      </c>
      <c r="Q16" s="63">
        <v>0</v>
      </c>
      <c r="R16" s="63">
        <v>0</v>
      </c>
      <c r="S16" s="63">
        <v>0</v>
      </c>
      <c r="T16" s="63">
        <v>0</v>
      </c>
      <c r="U16" s="63">
        <v>0</v>
      </c>
      <c r="V16" s="63">
        <v>0</v>
      </c>
      <c r="W16" s="63">
        <v>0</v>
      </c>
      <c r="DA16" s="105" t="s">
        <v>963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'SER_se-appl'!B7</f>
        <v>104.25614892900394</v>
      </c>
      <c r="C3" s="199">
        <f>'SER_se-appl'!C7</f>
        <v>105.65725119124959</v>
      </c>
      <c r="D3" s="199">
        <f>'SER_se-appl'!D7</f>
        <v>107.70282122601579</v>
      </c>
      <c r="E3" s="199">
        <f>'SER_se-appl'!E7</f>
        <v>110.87286741530572</v>
      </c>
      <c r="F3" s="199">
        <f>'SER_se-appl'!F7</f>
        <v>117.19302248566322</v>
      </c>
      <c r="G3" s="199">
        <f>'SER_se-appl'!G7</f>
        <v>129.58273818825074</v>
      </c>
      <c r="H3" s="199">
        <f>'SER_se-appl'!H7</f>
        <v>146.17543677336977</v>
      </c>
      <c r="I3" s="199">
        <f>'SER_se-appl'!I7</f>
        <v>156.48747246246242</v>
      </c>
      <c r="J3" s="199">
        <f>'SER_se-appl'!J7</f>
        <v>162.8599854628203</v>
      </c>
      <c r="K3" s="199">
        <f>'SER_se-appl'!K7</f>
        <v>169.73478857625835</v>
      </c>
      <c r="L3" s="199">
        <f>'SER_se-appl'!L7</f>
        <v>173.94085967480652</v>
      </c>
      <c r="M3" s="199">
        <f>'SER_se-appl'!M7</f>
        <v>176.33842726269552</v>
      </c>
      <c r="N3" s="199">
        <f>'SER_se-appl'!N7</f>
        <v>177.97835425485857</v>
      </c>
      <c r="O3" s="199">
        <f>'SER_se-appl'!O7</f>
        <v>179.53233669772479</v>
      </c>
      <c r="P3" s="199">
        <f>'SER_se-appl'!P7</f>
        <v>181.24093105035266</v>
      </c>
      <c r="Q3" s="199">
        <f>'SER_se-appl'!Q7</f>
        <v>183.84401667128219</v>
      </c>
      <c r="R3" s="199">
        <f>'SER_se-appl'!R7</f>
        <v>181.83303609573545</v>
      </c>
      <c r="S3" s="199">
        <f>'SER_se-appl'!S7</f>
        <v>180.55827775574281</v>
      </c>
      <c r="T3" s="199">
        <f>'SER_se-appl'!T7</f>
        <v>180.23960760005866</v>
      </c>
      <c r="U3" s="199">
        <f>'SER_se-appl'!U7</f>
        <v>179.67375933359284</v>
      </c>
      <c r="V3" s="199">
        <f>'SER_se-appl'!V7</f>
        <v>179.40872398970302</v>
      </c>
      <c r="W3" s="199">
        <f>'SER_se-appl'!W7</f>
        <v>179.32464470907078</v>
      </c>
      <c r="DA3" s="206" t="s">
        <v>911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'SER_se-appl'!B15</f>
        <v>138.41312922880323</v>
      </c>
      <c r="C5" s="59">
        <f>'SER_se-appl'!C15</f>
        <v>140.27326841943295</v>
      </c>
      <c r="D5" s="59">
        <f>'SER_se-appl'!D15</f>
        <v>142.98901950440225</v>
      </c>
      <c r="E5" s="59">
        <f>'SER_se-appl'!E15</f>
        <v>147.19765388584537</v>
      </c>
      <c r="F5" s="59">
        <f>'SER_se-appl'!F15</f>
        <v>155.58845336852326</v>
      </c>
      <c r="G5" s="59">
        <f>'SER_se-appl'!G15</f>
        <v>172.03735674992646</v>
      </c>
      <c r="H5" s="59">
        <f>'SER_se-appl'!H15</f>
        <v>194.06624767971357</v>
      </c>
      <c r="I5" s="59">
        <f>'SER_se-appl'!I15</f>
        <v>207.75676994731035</v>
      </c>
      <c r="J5" s="59">
        <f>'SER_se-appl'!J15</f>
        <v>216.21708115668955</v>
      </c>
      <c r="K5" s="59">
        <f>'SER_se-appl'!K15</f>
        <v>225.34424556414214</v>
      </c>
      <c r="L5" s="59">
        <f>'SER_se-appl'!L15</f>
        <v>230.92833310707755</v>
      </c>
      <c r="M5" s="59">
        <f>'SER_se-appl'!M15</f>
        <v>234.1114051444234</v>
      </c>
      <c r="N5" s="59">
        <f>'SER_se-appl'!N15</f>
        <v>236.28861415342524</v>
      </c>
      <c r="O5" s="59">
        <f>'SER_se-appl'!O15</f>
        <v>238.3517209811117</v>
      </c>
      <c r="P5" s="59">
        <f>'SER_se-appl'!P15</f>
        <v>240.62009453374452</v>
      </c>
      <c r="Q5" s="59">
        <f>'SER_se-appl'!Q15</f>
        <v>244.07601756701047</v>
      </c>
      <c r="R5" s="59">
        <f>'SER_se-appl'!R15</f>
        <v>241.40618833258026</v>
      </c>
      <c r="S5" s="59">
        <f>'SER_se-appl'!S15</f>
        <v>239.71378656384579</v>
      </c>
      <c r="T5" s="59">
        <f>'SER_se-appl'!T15</f>
        <v>239.29071191651624</v>
      </c>
      <c r="U5" s="59">
        <f>'SER_se-appl'!U15</f>
        <v>238.53947728877679</v>
      </c>
      <c r="V5" s="59">
        <f>'SER_se-appl'!V15</f>
        <v>238.18760958906918</v>
      </c>
      <c r="W5" s="59">
        <f>'SER_se-appl'!W15</f>
        <v>238.07598378612934</v>
      </c>
      <c r="DA5" s="104" t="s">
        <v>918</v>
      </c>
    </row>
    <row r="6" spans="1:105" ht="12" customHeight="1" x14ac:dyDescent="0.25">
      <c r="A6" s="201" t="str">
        <f>"Penetration factor "&amp;MID('SER_se-appl'!A71,FIND("(",'SER_se-appl'!A71),100)</f>
        <v>Penetration factor (unit per capita)</v>
      </c>
      <c r="B6" s="202">
        <f>'SER_se-appl'!B71</f>
        <v>2.1303977947070177E-2</v>
      </c>
      <c r="C6" s="202">
        <f>'SER_se-appl'!C71</f>
        <v>2.1750150484092168E-2</v>
      </c>
      <c r="D6" s="202">
        <f>'SER_se-appl'!D71</f>
        <v>2.2359899963081444E-2</v>
      </c>
      <c r="E6" s="202">
        <f>'SER_se-appl'!E71</f>
        <v>2.3262036457662182E-2</v>
      </c>
      <c r="F6" s="202">
        <f>'SER_se-appl'!F71</f>
        <v>2.4948433008176923E-2</v>
      </c>
      <c r="G6" s="202">
        <f>'SER_se-appl'!G71</f>
        <v>2.8091027992104532E-2</v>
      </c>
      <c r="H6" s="202">
        <f>'SER_se-appl'!H71</f>
        <v>3.2225145549989266E-2</v>
      </c>
      <c r="I6" s="202">
        <f>'SER_se-appl'!I71</f>
        <v>3.490490290809635E-2</v>
      </c>
      <c r="J6" s="202">
        <f>'SER_se-appl'!J71</f>
        <v>3.6673901899095897E-2</v>
      </c>
      <c r="K6" s="202">
        <f>'SER_se-appl'!K71</f>
        <v>3.8622561132736682E-2</v>
      </c>
      <c r="L6" s="202">
        <f>'SER_se-appl'!L71</f>
        <v>3.9995844415128191E-2</v>
      </c>
      <c r="M6" s="202">
        <f>'SER_se-appl'!M71</f>
        <v>4.0505031658782616E-2</v>
      </c>
      <c r="N6" s="202">
        <f>'SER_se-appl'!N71</f>
        <v>4.1161175454835379E-2</v>
      </c>
      <c r="O6" s="202">
        <f>'SER_se-appl'!O71</f>
        <v>4.1960393804485407E-2</v>
      </c>
      <c r="P6" s="202">
        <f>'SER_se-appl'!P71</f>
        <v>4.3091249722593677E-2</v>
      </c>
      <c r="Q6" s="202">
        <f>'SER_se-appl'!Q71</f>
        <v>4.4693085982153907E-2</v>
      </c>
      <c r="R6" s="202">
        <f>'SER_se-appl'!R71</f>
        <v>4.5225257014056643E-2</v>
      </c>
      <c r="S6" s="202">
        <f>'SER_se-appl'!S71</f>
        <v>4.580024321412958E-2</v>
      </c>
      <c r="T6" s="202">
        <f>'SER_se-appl'!T71</f>
        <v>4.6427949266084838E-2</v>
      </c>
      <c r="U6" s="202">
        <f>'SER_se-appl'!U71</f>
        <v>4.6983539005219455E-2</v>
      </c>
      <c r="V6" s="202">
        <f>'SER_se-appl'!V71</f>
        <v>4.7441451140450626E-2</v>
      </c>
      <c r="W6" s="202">
        <f>'SER_se-appl'!W71</f>
        <v>4.7957107762853869E-2</v>
      </c>
      <c r="DA6" s="207" t="s">
        <v>960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"&amp;MID('SER_se-appl'!A23,FIND("(",'SER_se-appl'!A23),100)</f>
        <v>Stock of appliances (thousand units)</v>
      </c>
      <c r="B8" s="34">
        <f>'SER_se-appl'!B23</f>
        <v>218.13324103817703</v>
      </c>
      <c r="C8" s="34">
        <f>'SER_se-appl'!C23</f>
        <v>223.23079898053834</v>
      </c>
      <c r="D8" s="34">
        <f>'SER_se-appl'!D23</f>
        <v>230.52441964687983</v>
      </c>
      <c r="E8" s="34">
        <f>'SER_se-appl'!E23</f>
        <v>240.89802067786218</v>
      </c>
      <c r="F8" s="34">
        <f>'SER_se-appl'!F23</f>
        <v>259.37441284330373</v>
      </c>
      <c r="G8" s="34">
        <f>'SER_se-appl'!G23</f>
        <v>293.43472093338113</v>
      </c>
      <c r="H8" s="34">
        <f>'SER_se-appl'!H23</f>
        <v>338.7308148815373</v>
      </c>
      <c r="I8" s="34">
        <f>'SER_se-appl'!I23</f>
        <v>369.45213159744469</v>
      </c>
      <c r="J8" s="34">
        <f>'SER_se-appl'!J23</f>
        <v>391.19559725480144</v>
      </c>
      <c r="K8" s="34">
        <f>'SER_se-appl'!K23</f>
        <v>415.31148966520817</v>
      </c>
      <c r="L8" s="34">
        <f>'SER_se-appl'!L23</f>
        <v>433.55115385477012</v>
      </c>
      <c r="M8" s="34">
        <f>'SER_se-appl'!M23</f>
        <v>445.58119045680706</v>
      </c>
      <c r="N8" s="34">
        <f>'SER_se-appl'!N23</f>
        <v>455.89661044728115</v>
      </c>
      <c r="O8" s="34">
        <f>'SER_se-appl'!O23</f>
        <v>467.35377522411954</v>
      </c>
      <c r="P8" s="34">
        <f>'SER_se-appl'!P23</f>
        <v>481.79636854836434</v>
      </c>
      <c r="Q8" s="34">
        <f>'SER_se-appl'!Q23</f>
        <v>502.22845308702261</v>
      </c>
      <c r="R8" s="34">
        <f>'SER_se-appl'!R23</f>
        <v>511.54817344106533</v>
      </c>
      <c r="S8" s="34">
        <f>'SER_se-appl'!S23</f>
        <v>519.91185750040154</v>
      </c>
      <c r="T8" s="34">
        <f>'SER_se-appl'!T23</f>
        <v>529.21311179695272</v>
      </c>
      <c r="U8" s="34">
        <f>'SER_se-appl'!U23</f>
        <v>538.22082376153253</v>
      </c>
      <c r="V8" s="34">
        <f>'SER_se-appl'!V23</f>
        <v>546.64127427877395</v>
      </c>
      <c r="W8" s="34">
        <f>'SER_se-appl'!W23</f>
        <v>554.13320619366777</v>
      </c>
      <c r="DA8" s="88" t="s">
        <v>924</v>
      </c>
    </row>
    <row r="9" spans="1:105" ht="12.95" customHeight="1" x14ac:dyDescent="0.25">
      <c r="A9" s="203" t="str">
        <f>"Number of new appliances "&amp;MID('SER_se-appl'!A31,FIND("(",'SER_se-appl'!A31),100)</f>
        <v>Number of new appliances (thousand units)</v>
      </c>
      <c r="B9" s="36"/>
      <c r="C9" s="36">
        <f>'SER_se-appl'!C31</f>
        <v>24.922183620278247</v>
      </c>
      <c r="D9" s="36">
        <f>'SER_se-appl'!D31</f>
        <v>27.535835930934837</v>
      </c>
      <c r="E9" s="36">
        <f>'SER_se-appl'!E31</f>
        <v>31.042202066640812</v>
      </c>
      <c r="F9" s="36">
        <f>'SER_se-appl'!F31</f>
        <v>39.580360441010811</v>
      </c>
      <c r="G9" s="36">
        <f>'SER_se-appl'!G31</f>
        <v>55.608814261726252</v>
      </c>
      <c r="H9" s="36">
        <f>'SER_se-appl'!H31</f>
        <v>67.298501844453256</v>
      </c>
      <c r="I9" s="36">
        <f>'SER_se-appl'!I31</f>
        <v>53.187187406840508</v>
      </c>
      <c r="J9" s="36">
        <f>'SER_se-appl'!J31</f>
        <v>44.682561609062475</v>
      </c>
      <c r="K9" s="36">
        <f>'SER_se-appl'!K31</f>
        <v>47.538181727416315</v>
      </c>
      <c r="L9" s="36">
        <f>'SER_se-appl'!L31</f>
        <v>42.155324946406608</v>
      </c>
      <c r="M9" s="36">
        <f>'SER_se-appl'!M31</f>
        <v>36.952220222315191</v>
      </c>
      <c r="N9" s="36">
        <f>'SER_se-appl'!N31</f>
        <v>37.851255921408949</v>
      </c>
      <c r="O9" s="36">
        <f>'SER_se-appl'!O31</f>
        <v>42.499366843479208</v>
      </c>
      <c r="P9" s="36">
        <f>'SER_se-appl'!P31</f>
        <v>54.022953765255636</v>
      </c>
      <c r="Q9" s="36">
        <f>'SER_se-appl'!Q31</f>
        <v>76.040898800384525</v>
      </c>
      <c r="R9" s="36">
        <f>'SER_se-appl'!R31</f>
        <v>76.618222198495971</v>
      </c>
      <c r="S9" s="36">
        <f>'SER_se-appl'!S31</f>
        <v>61.550871466176716</v>
      </c>
      <c r="T9" s="36">
        <f>'SER_se-appl'!T31</f>
        <v>53.983815905613653</v>
      </c>
      <c r="U9" s="36">
        <f>'SER_se-appl'!U31</f>
        <v>56.545893691996127</v>
      </c>
      <c r="V9" s="36">
        <f>'SER_se-appl'!V31</f>
        <v>50.575775463648029</v>
      </c>
      <c r="W9" s="36">
        <f>'SER_se-appl'!W31</f>
        <v>44.444152137209016</v>
      </c>
      <c r="DA9" s="89" t="s">
        <v>930</v>
      </c>
    </row>
    <row r="10" spans="1:105" ht="12" customHeight="1" x14ac:dyDescent="0.25">
      <c r="A10" s="204" t="str">
        <f>"Number of replaced appliances "&amp;MID('SER_se-appl'!A39,FIND("(",'SER_se-appl'!A39),100)</f>
        <v>Number of replaced appliances (thousand units)</v>
      </c>
      <c r="B10" s="38"/>
      <c r="C10" s="38">
        <f>'SER_se-appl'!C39</f>
        <v>19.824625677916941</v>
      </c>
      <c r="D10" s="38">
        <f>'SER_se-appl'!D39</f>
        <v>20.242215264593341</v>
      </c>
      <c r="E10" s="38">
        <f>'SER_se-appl'!E39</f>
        <v>20.668601035658469</v>
      </c>
      <c r="F10" s="38">
        <f>'SER_se-appl'!F39</f>
        <v>21.103968275569287</v>
      </c>
      <c r="G10" s="38">
        <f>'SER_se-appl'!G39</f>
        <v>21.548506171648853</v>
      </c>
      <c r="H10" s="38">
        <f>'SER_se-appl'!H39</f>
        <v>22.002407896297086</v>
      </c>
      <c r="I10" s="38">
        <f>'SER_se-appl'!I39</f>
        <v>22.465870690933116</v>
      </c>
      <c r="J10" s="38">
        <f>'SER_se-appl'!J39</f>
        <v>22.939095951705724</v>
      </c>
      <c r="K10" s="38">
        <f>'SER_se-appl'!K39</f>
        <v>23.422289317009586</v>
      </c>
      <c r="L10" s="38">
        <f>'SER_se-appl'!L39</f>
        <v>23.915660756844659</v>
      </c>
      <c r="M10" s="38">
        <f>'SER_se-appl'!M39</f>
        <v>24.922183620278247</v>
      </c>
      <c r="N10" s="38">
        <f>'SER_se-appl'!N39</f>
        <v>27.535835930934866</v>
      </c>
      <c r="O10" s="38">
        <f>'SER_se-appl'!O39</f>
        <v>31.042202066640812</v>
      </c>
      <c r="P10" s="38">
        <f>'SER_se-appl'!P39</f>
        <v>39.580360441010782</v>
      </c>
      <c r="Q10" s="38">
        <f>'SER_se-appl'!Q39</f>
        <v>55.608814261726195</v>
      </c>
      <c r="R10" s="38">
        <f>'SER_se-appl'!R39</f>
        <v>67.298501844453256</v>
      </c>
      <c r="S10" s="38">
        <f>'SER_se-appl'!S39</f>
        <v>53.187187406840508</v>
      </c>
      <c r="T10" s="38">
        <f>'SER_se-appl'!T39</f>
        <v>44.682561609062532</v>
      </c>
      <c r="U10" s="38">
        <f>'SER_se-appl'!U39</f>
        <v>47.538181727416259</v>
      </c>
      <c r="V10" s="38">
        <f>'SER_se-appl'!V39</f>
        <v>42.155324946406608</v>
      </c>
      <c r="W10" s="38">
        <f>'SER_se-appl'!W39</f>
        <v>36.952220222315191</v>
      </c>
      <c r="DA10" s="90" t="s">
        <v>936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'SER_se-appl'!B47</f>
        <v>8759.9999999999982</v>
      </c>
      <c r="C12" s="205">
        <f>'SER_se-appl'!C47</f>
        <v>8760</v>
      </c>
      <c r="D12" s="205">
        <f>'SER_se-appl'!D47</f>
        <v>8759.9999999999982</v>
      </c>
      <c r="E12" s="205">
        <f>'SER_se-appl'!E47</f>
        <v>8760</v>
      </c>
      <c r="F12" s="205">
        <f>'SER_se-appl'!F47</f>
        <v>8759.9999999999964</v>
      </c>
      <c r="G12" s="205">
        <f>'SER_se-appl'!G47</f>
        <v>8760.0000000000018</v>
      </c>
      <c r="H12" s="205">
        <f>'SER_se-appl'!H47</f>
        <v>8759.9999999999982</v>
      </c>
      <c r="I12" s="205">
        <f>'SER_se-appl'!I47</f>
        <v>8759.9999999999964</v>
      </c>
      <c r="J12" s="205">
        <f>'SER_se-appl'!J47</f>
        <v>8759.9999999999982</v>
      </c>
      <c r="K12" s="205">
        <f>'SER_se-appl'!K47</f>
        <v>8759.9999999999982</v>
      </c>
      <c r="L12" s="205">
        <f>'SER_se-appl'!L47</f>
        <v>8760.0000000000018</v>
      </c>
      <c r="M12" s="205">
        <f>'SER_se-appl'!M47</f>
        <v>8760</v>
      </c>
      <c r="N12" s="205">
        <f>'SER_se-appl'!N47</f>
        <v>8760</v>
      </c>
      <c r="O12" s="205">
        <f>'SER_se-appl'!O47</f>
        <v>8760.0000000000036</v>
      </c>
      <c r="P12" s="205">
        <f>'SER_se-appl'!P47</f>
        <v>8759.9999999999964</v>
      </c>
      <c r="Q12" s="205">
        <f>'SER_se-appl'!Q47</f>
        <v>8760</v>
      </c>
      <c r="R12" s="205">
        <f>'SER_se-appl'!R47</f>
        <v>8760</v>
      </c>
      <c r="S12" s="205">
        <f>'SER_se-appl'!S47</f>
        <v>8760</v>
      </c>
      <c r="T12" s="205">
        <f>'SER_se-appl'!T47</f>
        <v>8760</v>
      </c>
      <c r="U12" s="205">
        <f>'SER_se-appl'!U47</f>
        <v>8760</v>
      </c>
      <c r="V12" s="205">
        <f>'SER_se-appl'!V47</f>
        <v>8760</v>
      </c>
      <c r="W12" s="205">
        <f>'SER_se-appl'!W47</f>
        <v>8760</v>
      </c>
      <c r="DA12" s="209" t="s">
        <v>942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"&amp;MID('SER_se-appl'!A55,FIND("(",'SER_se-appl'!A55),100)</f>
        <v>W per appliance in average operating mode (W per appliance)</v>
      </c>
      <c r="B14" s="59">
        <f>'SER_se-appl'!B55</f>
        <v>634.53478511594017</v>
      </c>
      <c r="C14" s="59">
        <f>'SER_se-appl'!C55</f>
        <v>628.37775548911702</v>
      </c>
      <c r="D14" s="59">
        <f>'SER_se-appl'!D55</f>
        <v>620.27710436679376</v>
      </c>
      <c r="E14" s="59">
        <f>'SER_se-appl'!E55</f>
        <v>611.03720766009758</v>
      </c>
      <c r="F14" s="59">
        <f>'SER_se-appl'!F55</f>
        <v>599.86045525053066</v>
      </c>
      <c r="G14" s="59">
        <f>'SER_se-appl'!G55</f>
        <v>586.28834448321584</v>
      </c>
      <c r="H14" s="59">
        <f>'SER_se-appl'!H55</f>
        <v>572.92173948680579</v>
      </c>
      <c r="I14" s="59">
        <f>'SER_se-appl'!I55</f>
        <v>562.3374509953627</v>
      </c>
      <c r="J14" s="59">
        <f>'SER_se-appl'!J55</f>
        <v>552.70837063091653</v>
      </c>
      <c r="K14" s="59">
        <f>'SER_se-appl'!K55</f>
        <v>542.59092553831624</v>
      </c>
      <c r="L14" s="59">
        <f>'SER_se-appl'!L55</f>
        <v>532.64379774764325</v>
      </c>
      <c r="M14" s="59">
        <f>'SER_se-appl'!M55</f>
        <v>525.40683978247341</v>
      </c>
      <c r="N14" s="59">
        <f>'SER_se-appl'!N55</f>
        <v>518.29429905522215</v>
      </c>
      <c r="O14" s="59">
        <f>'SER_se-appl'!O55</f>
        <v>510.00277223995914</v>
      </c>
      <c r="P14" s="59">
        <f>'SER_se-appl'!P55</f>
        <v>499.42280648300544</v>
      </c>
      <c r="Q14" s="59">
        <f>'SER_se-appl'!Q55</f>
        <v>485.98604094762169</v>
      </c>
      <c r="R14" s="59">
        <f>'SER_se-appl'!R55</f>
        <v>471.91291234351809</v>
      </c>
      <c r="S14" s="59">
        <f>'SER_se-appl'!S55</f>
        <v>461.06620402220898</v>
      </c>
      <c r="T14" s="59">
        <f>'SER_se-appl'!T55</f>
        <v>452.16323364324876</v>
      </c>
      <c r="U14" s="59">
        <f>'SER_se-appl'!U55</f>
        <v>443.20001523104503</v>
      </c>
      <c r="V14" s="59">
        <f>'SER_se-appl'!V55</f>
        <v>435.72928133414092</v>
      </c>
      <c r="W14" s="59">
        <f>'SER_se-appl'!W55</f>
        <v>429.63673919032846</v>
      </c>
      <c r="DA14" s="104" t="s">
        <v>948</v>
      </c>
    </row>
    <row r="15" spans="1:105" ht="12" customHeight="1" x14ac:dyDescent="0.25">
      <c r="A15" s="204" t="str">
        <f>"W per new appliance in average operating mode "&amp;MID('SER_se-appl'!A55,FIND("(",'SER_se-appl'!A55),100)</f>
        <v>W per new appliance in average operating mode (W per appliance)</v>
      </c>
      <c r="B15" s="63"/>
      <c r="C15" s="63">
        <f>'SER_se-appl'!C63</f>
        <v>579.38557893545726</v>
      </c>
      <c r="D15" s="63">
        <f>'SER_se-appl'!D63</f>
        <v>565.08692298960716</v>
      </c>
      <c r="E15" s="63">
        <f>'SER_se-appl'!E63</f>
        <v>558.0654575040079</v>
      </c>
      <c r="F15" s="63">
        <f>'SER_se-appl'!F63</f>
        <v>550.32347393533712</v>
      </c>
      <c r="G15" s="63">
        <f>'SER_se-appl'!G63</f>
        <v>541.67995693682724</v>
      </c>
      <c r="H15" s="63">
        <f>'SER_se-appl'!H63</f>
        <v>534.78432817837768</v>
      </c>
      <c r="I15" s="63">
        <f>'SER_se-appl'!I63</f>
        <v>525.4253902381829</v>
      </c>
      <c r="J15" s="63">
        <f>'SER_se-appl'!J63</f>
        <v>515.09950864546306</v>
      </c>
      <c r="K15" s="63">
        <f>'SER_se-appl'!K63</f>
        <v>504.63481888516259</v>
      </c>
      <c r="L15" s="63">
        <f>'SER_se-appl'!L63</f>
        <v>492.45038980431514</v>
      </c>
      <c r="M15" s="63">
        <f>'SER_se-appl'!M63</f>
        <v>476.90303090027476</v>
      </c>
      <c r="N15" s="63">
        <f>'SER_se-appl'!N63</f>
        <v>468.60663868033407</v>
      </c>
      <c r="O15" s="63">
        <f>'SER_se-appl'!O63</f>
        <v>456.16414939397441</v>
      </c>
      <c r="P15" s="63">
        <f>'SER_se-appl'!P63</f>
        <v>445.18807902744635</v>
      </c>
      <c r="Q15" s="63">
        <f>'SER_se-appl'!Q63</f>
        <v>441.57951415082488</v>
      </c>
      <c r="R15" s="63">
        <f>'SER_se-appl'!R63</f>
        <v>434.88812329191802</v>
      </c>
      <c r="S15" s="63">
        <f>'SER_se-appl'!S63</f>
        <v>426.53330984278296</v>
      </c>
      <c r="T15" s="63">
        <f>'SER_se-appl'!T63</f>
        <v>418.51229861225511</v>
      </c>
      <c r="U15" s="63">
        <f>'SER_se-appl'!U63</f>
        <v>410.96153197229467</v>
      </c>
      <c r="V15" s="63">
        <f>'SER_se-appl'!V63</f>
        <v>403.50421353689501</v>
      </c>
      <c r="W15" s="63">
        <f>'SER_se-appl'!W63</f>
        <v>394.00009174472143</v>
      </c>
      <c r="DA15" s="105" t="s">
        <v>954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'SER_se-appl'!B8</f>
        <v>87.079237213114737</v>
      </c>
      <c r="C3" s="199">
        <f>'SER_se-appl'!C8</f>
        <v>92.715775619696714</v>
      </c>
      <c r="D3" s="199">
        <f>'SER_se-appl'!D8</f>
        <v>102.06268936104981</v>
      </c>
      <c r="E3" s="199">
        <f>'SER_se-appl'!E8</f>
        <v>109.23600784565014</v>
      </c>
      <c r="F3" s="199">
        <f>'SER_se-appl'!F8</f>
        <v>118.32698842271878</v>
      </c>
      <c r="G3" s="199">
        <f>'SER_se-appl'!G8</f>
        <v>127.76581576628921</v>
      </c>
      <c r="H3" s="199">
        <f>'SER_se-appl'!H8</f>
        <v>136.86362262558572</v>
      </c>
      <c r="I3" s="199">
        <f>'SER_se-appl'!I8</f>
        <v>145.69553517504229</v>
      </c>
      <c r="J3" s="199">
        <f>'SER_se-appl'!J8</f>
        <v>152.43740271153459</v>
      </c>
      <c r="K3" s="199">
        <f>'SER_se-appl'!K8</f>
        <v>154.37674358263763</v>
      </c>
      <c r="L3" s="199">
        <f>'SER_se-appl'!L8</f>
        <v>159.69947695711048</v>
      </c>
      <c r="M3" s="199">
        <f>'SER_se-appl'!M8</f>
        <v>163.47452121166023</v>
      </c>
      <c r="N3" s="199">
        <f>'SER_se-appl'!N8</f>
        <v>165.78519793314047</v>
      </c>
      <c r="O3" s="199">
        <f>'SER_se-appl'!O8</f>
        <v>167.51479630967185</v>
      </c>
      <c r="P3" s="199">
        <f>'SER_se-appl'!P8</f>
        <v>169.15375621094884</v>
      </c>
      <c r="Q3" s="199">
        <f>'SER_se-appl'!Q8</f>
        <v>169.01781602885748</v>
      </c>
      <c r="R3" s="199">
        <f>'SER_se-appl'!R8</f>
        <v>172.21035038193457</v>
      </c>
      <c r="S3" s="199">
        <f>'SER_se-appl'!S8</f>
        <v>176.08632815252372</v>
      </c>
      <c r="T3" s="199">
        <f>'SER_se-appl'!T8</f>
        <v>177.05850480631202</v>
      </c>
      <c r="U3" s="199">
        <f>'SER_se-appl'!U8</f>
        <v>176.61269838658444</v>
      </c>
      <c r="V3" s="199">
        <f>'SER_se-appl'!V8</f>
        <v>167.75000445153367</v>
      </c>
      <c r="W3" s="199">
        <f>'SER_se-appl'!W8</f>
        <v>168.25468942873948</v>
      </c>
      <c r="DA3" s="206" t="s">
        <v>912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'SER_se-appl'!B16</f>
        <v>1178.8216503568801</v>
      </c>
      <c r="C5" s="59">
        <f>'SER_se-appl'!C16</f>
        <v>1249.1583316225024</v>
      </c>
      <c r="D5" s="59">
        <f>'SER_se-appl'!D16</f>
        <v>1369.119742576411</v>
      </c>
      <c r="E5" s="59">
        <f>'SER_se-appl'!E16</f>
        <v>1459.4934147972292</v>
      </c>
      <c r="F5" s="59">
        <f>'SER_se-appl'!F16</f>
        <v>1575.110029769899</v>
      </c>
      <c r="G5" s="59">
        <f>'SER_se-appl'!G16</f>
        <v>1694.8981150732332</v>
      </c>
      <c r="H5" s="59">
        <f>'SER_se-appl'!H16</f>
        <v>1809.737224161036</v>
      </c>
      <c r="I5" s="59">
        <f>'SER_se-appl'!I16</f>
        <v>1920.6900406643613</v>
      </c>
      <c r="J5" s="59">
        <f>'SER_se-appl'!J16</f>
        <v>2003.8324379817091</v>
      </c>
      <c r="K5" s="59">
        <f>'SER_se-appl'!K16</f>
        <v>2023.8470267609398</v>
      </c>
      <c r="L5" s="59">
        <f>'SER_se-appl'!L16</f>
        <v>2088.2643835142571</v>
      </c>
      <c r="M5" s="59">
        <f>'SER_se-appl'!M16</f>
        <v>2134.1539850638424</v>
      </c>
      <c r="N5" s="59">
        <f>'SER_se-appl'!N16</f>
        <v>2160.966247524605</v>
      </c>
      <c r="O5" s="59">
        <f>'SER_se-appl'!O16</f>
        <v>2180.2781371984229</v>
      </c>
      <c r="P5" s="59">
        <f>'SER_se-appl'!P16</f>
        <v>2198.4888072683129</v>
      </c>
      <c r="Q5" s="59">
        <f>'SER_se-appl'!Q16</f>
        <v>2193.7348751369409</v>
      </c>
      <c r="R5" s="59">
        <f>'SER_se-appl'!R16</f>
        <v>2219.0532476538883</v>
      </c>
      <c r="S5" s="59">
        <f>'SER_se-appl'!S16</f>
        <v>2230.5610775783598</v>
      </c>
      <c r="T5" s="59">
        <f>'SER_se-appl'!T16</f>
        <v>2250.197253990877</v>
      </c>
      <c r="U5" s="59">
        <f>'SER_se-appl'!U16</f>
        <v>2261.7822274108539</v>
      </c>
      <c r="V5" s="59">
        <f>'SER_se-appl'!V16</f>
        <v>2269.754599338803</v>
      </c>
      <c r="W5" s="59">
        <f>'SER_se-appl'!W16</f>
        <v>2277.4323918788623</v>
      </c>
      <c r="DA5" s="104" t="s">
        <v>919</v>
      </c>
    </row>
    <row r="6" spans="1:105" ht="12" customHeight="1" x14ac:dyDescent="0.25">
      <c r="A6" s="201" t="str">
        <f>"Penetration factor "&amp;MID('SER_se-appl'!A72,FIND("(",'SER_se-appl'!A72),100)</f>
        <v>Penetration factor (sqm per building cell)</v>
      </c>
      <c r="B6" s="202">
        <f>'SER_se-appl'!B72</f>
        <v>132.07863737915471</v>
      </c>
      <c r="C6" s="202">
        <f>'SER_se-appl'!C72</f>
        <v>139.04836933837737</v>
      </c>
      <c r="D6" s="202">
        <f>'SER_se-appl'!D72</f>
        <v>146.62859693786973</v>
      </c>
      <c r="E6" s="202">
        <f>'SER_se-appl'!E72</f>
        <v>155.56130123854896</v>
      </c>
      <c r="F6" s="202">
        <f>'SER_se-appl'!F72</f>
        <v>165.0447601486897</v>
      </c>
      <c r="G6" s="202">
        <f>'SER_se-appl'!G72</f>
        <v>175.85420586263646</v>
      </c>
      <c r="H6" s="202">
        <f>'SER_se-appl'!H72</f>
        <v>185.14170454407542</v>
      </c>
      <c r="I6" s="202">
        <f>'SER_se-appl'!I72</f>
        <v>193.33143352836825</v>
      </c>
      <c r="J6" s="202">
        <f>'SER_se-appl'!J72</f>
        <v>200.13139485544181</v>
      </c>
      <c r="K6" s="202">
        <f>'SER_se-appl'!K72</f>
        <v>204.60802477779302</v>
      </c>
      <c r="L6" s="202">
        <f>'SER_se-appl'!L72</f>
        <v>208.667529569414</v>
      </c>
      <c r="M6" s="202">
        <f>'SER_se-appl'!M72</f>
        <v>212.03020738212928</v>
      </c>
      <c r="N6" s="202">
        <f>'SER_se-appl'!N72</f>
        <v>215.48546440174073</v>
      </c>
      <c r="O6" s="202">
        <f>'SER_se-appl'!O72</f>
        <v>219.18140204751035</v>
      </c>
      <c r="P6" s="202">
        <f>'SER_se-appl'!P72</f>
        <v>223.20807522877504</v>
      </c>
      <c r="Q6" s="202">
        <f>'SER_se-appl'!Q72</f>
        <v>226.24607439179951</v>
      </c>
      <c r="R6" s="202">
        <f>'SER_se-appl'!R72</f>
        <v>229.94100386399546</v>
      </c>
      <c r="S6" s="202">
        <f>'SER_se-appl'!S72</f>
        <v>233.63619354158942</v>
      </c>
      <c r="T6" s="202">
        <f>'SER_se-appl'!T72</f>
        <v>237.33026726940702</v>
      </c>
      <c r="U6" s="202">
        <f>'SER_se-appl'!U72</f>
        <v>241.02239039028291</v>
      </c>
      <c r="V6" s="202">
        <f>'SER_se-appl'!V72</f>
        <v>244.71100930813975</v>
      </c>
      <c r="W6" s="202">
        <f>'SER_se-appl'!W72</f>
        <v>248.43085364710032</v>
      </c>
      <c r="DA6" s="207" t="s">
        <v>961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"&amp;MID('SER_se-appl'!A24,FIND("(",'SER_se-appl'!A24),100)</f>
        <v>Stock of appliances (serviced million m2)</v>
      </c>
      <c r="B8" s="34">
        <f>'SER_se-appl'!B24</f>
        <v>25.700204123573894</v>
      </c>
      <c r="C8" s="34">
        <f>'SER_se-appl'!C24</f>
        <v>27.378013433955157</v>
      </c>
      <c r="D8" s="34">
        <f>'SER_se-appl'!D24</f>
        <v>30.245769281412962</v>
      </c>
      <c r="E8" s="34">
        <f>'SER_se-appl'!E24</f>
        <v>32.448394819000022</v>
      </c>
      <c r="F8" s="34">
        <f>'SER_se-appl'!F24</f>
        <v>35.282082322056667</v>
      </c>
      <c r="G8" s="34">
        <f>'SER_se-appl'!G24</f>
        <v>38.257456478728194</v>
      </c>
      <c r="H8" s="34">
        <f>'SER_se-appl'!H24</f>
        <v>41.158897592584431</v>
      </c>
      <c r="I8" s="34">
        <f>'SER_se-appl'!I24</f>
        <v>44.017467208375052</v>
      </c>
      <c r="J8" s="34">
        <f>'SER_se-appl'!J24</f>
        <v>46.256482257097829</v>
      </c>
      <c r="K8" s="34">
        <f>'SER_se-appl'!K24</f>
        <v>46.996775449591219</v>
      </c>
      <c r="L8" s="34">
        <f>'SER_se-appl'!L24</f>
        <v>48.921968102198356</v>
      </c>
      <c r="M8" s="34">
        <f>'SER_se-appl'!M24</f>
        <v>50.500881206903607</v>
      </c>
      <c r="N8" s="34">
        <f>'SER_se-appl'!N24</f>
        <v>51.716317694418542</v>
      </c>
      <c r="O8" s="34">
        <f>'SER_se-appl'!O24</f>
        <v>52.895640727137994</v>
      </c>
      <c r="P8" s="34">
        <f>'SER_se-appl'!P24</f>
        <v>54.237317281009844</v>
      </c>
      <c r="Q8" s="34">
        <f>'SER_se-appl'!Q24</f>
        <v>55.159541599452901</v>
      </c>
      <c r="R8" s="34">
        <f>'SER_se-appl'!R24</f>
        <v>56.532253526544046</v>
      </c>
      <c r="S8" s="34">
        <f>'SER_se-appl'!S24</f>
        <v>57.871080871503459</v>
      </c>
      <c r="T8" s="34">
        <f>'SER_se-appl'!T24</f>
        <v>59.338534243733896</v>
      </c>
      <c r="U8" s="34">
        <f>'SER_se-appl'!U24</f>
        <v>60.810792609662521</v>
      </c>
      <c r="V8" s="34">
        <f>'SER_se-appl'!V24</f>
        <v>62.286128155220091</v>
      </c>
      <c r="W8" s="34">
        <f>'SER_se-appl'!W24</f>
        <v>63.770680948330217</v>
      </c>
      <c r="DA8" s="88" t="s">
        <v>925</v>
      </c>
    </row>
    <row r="9" spans="1:105" ht="12.95" customHeight="1" x14ac:dyDescent="0.25">
      <c r="A9" s="203" t="str">
        <f>"Number of new appliances "&amp;MID('SER_se-appl'!A32,FIND("(",'SER_se-appl'!A32),100)</f>
        <v>Number of new appliances (serviced million m2)</v>
      </c>
      <c r="B9" s="36"/>
      <c r="C9" s="36">
        <f>'SER_se-appl'!C32</f>
        <v>2.4098142061283916</v>
      </c>
      <c r="D9" s="36">
        <f>'SER_se-appl'!D32</f>
        <v>3.6821343346332114</v>
      </c>
      <c r="E9" s="36">
        <f>'SER_se-appl'!E32</f>
        <v>3.1086472380255401</v>
      </c>
      <c r="F9" s="36">
        <f>'SER_se-appl'!F32</f>
        <v>3.8416651628209166</v>
      </c>
      <c r="G9" s="36">
        <f>'SER_se-appl'!G32</f>
        <v>4.0967810303613561</v>
      </c>
      <c r="H9" s="36">
        <f>'SER_se-appl'!H32</f>
        <v>4.149041558347129</v>
      </c>
      <c r="I9" s="36">
        <f>'SER_se-appl'!I32</f>
        <v>4.2465643798787056</v>
      </c>
      <c r="J9" s="36">
        <f>'SER_se-appl'!J32</f>
        <v>3.783202912427889</v>
      </c>
      <c r="K9" s="36">
        <f>'SER_se-appl'!K32</f>
        <v>2.4582507958715141</v>
      </c>
      <c r="L9" s="36">
        <f>'SER_se-appl'!L32</f>
        <v>3.8364745609645894</v>
      </c>
      <c r="M9" s="36">
        <f>'SER_se-appl'!M32</f>
        <v>3.7052743874466714</v>
      </c>
      <c r="N9" s="36">
        <f>'SER_se-appl'!N32</f>
        <v>3.5810803441176731</v>
      </c>
      <c r="O9" s="36">
        <f>'SER_se-appl'!O32</f>
        <v>3.8111762844242776</v>
      </c>
      <c r="P9" s="36">
        <f>'SER_se-appl'!P32</f>
        <v>4.269696136860361</v>
      </c>
      <c r="Q9" s="36">
        <f>'SER_se-appl'!Q32</f>
        <v>4.1797382671446854</v>
      </c>
      <c r="R9" s="36">
        <f>'SER_se-appl'!R32</f>
        <v>3.782526133219541</v>
      </c>
      <c r="S9" s="36">
        <f>'SER_se-appl'!S32</f>
        <v>5.0209616795926237</v>
      </c>
      <c r="T9" s="36">
        <f>'SER_se-appl'!T32</f>
        <v>4.5761006102559776</v>
      </c>
      <c r="U9" s="36">
        <f>'SER_se-appl'!U32</f>
        <v>5.313923528749541</v>
      </c>
      <c r="V9" s="36">
        <f>'SER_se-appl'!V32</f>
        <v>5.5721165759189262</v>
      </c>
      <c r="W9" s="36">
        <f>'SER_se-appl'!W32</f>
        <v>5.6335943514572548</v>
      </c>
      <c r="DA9" s="89" t="s">
        <v>931</v>
      </c>
    </row>
    <row r="10" spans="1:105" ht="12" customHeight="1" x14ac:dyDescent="0.25">
      <c r="A10" s="204" t="str">
        <f>"Number of replaced appliances "&amp;MID('SER_se-appl'!A40,FIND("(",'SER_se-appl'!A40),100)</f>
        <v>Number of replaced appliances (serviced million m2)</v>
      </c>
      <c r="B10" s="38"/>
      <c r="C10" s="38">
        <f>'SER_se-appl'!C40</f>
        <v>0.7320048957471279</v>
      </c>
      <c r="D10" s="38">
        <f>'SER_se-appl'!D40</f>
        <v>0.81437848717540717</v>
      </c>
      <c r="E10" s="38">
        <f>'SER_se-appl'!E40</f>
        <v>0.90602170043847963</v>
      </c>
      <c r="F10" s="38">
        <f>'SER_se-appl'!F40</f>
        <v>1.007977659764272</v>
      </c>
      <c r="G10" s="38">
        <f>'SER_se-appl'!G40</f>
        <v>1.1214068736898284</v>
      </c>
      <c r="H10" s="38">
        <f>'SER_se-appl'!H40</f>
        <v>1.2476004444908924</v>
      </c>
      <c r="I10" s="38">
        <f>'SER_se-appl'!I40</f>
        <v>1.3879947640880843</v>
      </c>
      <c r="J10" s="38">
        <f>'SER_se-appl'!J40</f>
        <v>1.5441878637051119</v>
      </c>
      <c r="K10" s="38">
        <f>'SER_se-appl'!K40</f>
        <v>1.7179576033781245</v>
      </c>
      <c r="L10" s="38">
        <f>'SER_se-appl'!L40</f>
        <v>1.9112819083574522</v>
      </c>
      <c r="M10" s="38">
        <f>'SER_se-appl'!M40</f>
        <v>2.1263612827414207</v>
      </c>
      <c r="N10" s="38">
        <f>'SER_se-appl'!N40</f>
        <v>2.3656438566027376</v>
      </c>
      <c r="O10" s="38">
        <f>'SER_se-appl'!O40</f>
        <v>2.6318532517048254</v>
      </c>
      <c r="P10" s="38">
        <f>'SER_se-appl'!P40</f>
        <v>2.9280195829885116</v>
      </c>
      <c r="Q10" s="38">
        <f>'SER_se-appl'!Q40</f>
        <v>3.2575139487016287</v>
      </c>
      <c r="R10" s="38">
        <f>'SER_se-appl'!R40</f>
        <v>2.4098142061283951</v>
      </c>
      <c r="S10" s="38">
        <f>'SER_se-appl'!S40</f>
        <v>3.6821343346332114</v>
      </c>
      <c r="T10" s="38">
        <f>'SER_se-appl'!T40</f>
        <v>3.1086472380255401</v>
      </c>
      <c r="U10" s="38">
        <f>'SER_se-appl'!U40</f>
        <v>3.8416651628209237</v>
      </c>
      <c r="V10" s="38">
        <f>'SER_se-appl'!V40</f>
        <v>4.096781030361349</v>
      </c>
      <c r="W10" s="38">
        <f>'SER_se-appl'!W40</f>
        <v>4.149041558347129</v>
      </c>
      <c r="DA10" s="90" t="s">
        <v>937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'SER_se-appl'!B48</f>
        <v>859.10496170640135</v>
      </c>
      <c r="C12" s="205">
        <f>'SER_se-appl'!C48</f>
        <v>863.20880480900655</v>
      </c>
      <c r="D12" s="205">
        <f>'SER_se-appl'!D48</f>
        <v>866.97243517600009</v>
      </c>
      <c r="E12" s="205">
        <f>'SER_se-appl'!E48</f>
        <v>870.44912869402197</v>
      </c>
      <c r="F12" s="205">
        <f>'SER_se-appl'!F48</f>
        <v>873.68047269513875</v>
      </c>
      <c r="G12" s="205">
        <f>'SER_se-appl'!G48</f>
        <v>876.69956332315587</v>
      </c>
      <c r="H12" s="205">
        <f>'SER_se-appl'!H48</f>
        <v>879.5331774608652</v>
      </c>
      <c r="I12" s="205">
        <f>'SER_se-appl'!I48</f>
        <v>882.20329059427013</v>
      </c>
      <c r="J12" s="205">
        <f>'SER_se-appl'!J48</f>
        <v>884.72816385824456</v>
      </c>
      <c r="K12" s="205">
        <f>'SER_se-appl'!K48</f>
        <v>887.12313931133474</v>
      </c>
      <c r="L12" s="205">
        <f>'SER_se-appl'!L48</f>
        <v>889.40123275272754</v>
      </c>
      <c r="M12" s="205">
        <f>'SER_se-appl'!M48</f>
        <v>890.84887735255643</v>
      </c>
      <c r="N12" s="205">
        <f>'SER_se-appl'!N48</f>
        <v>892.23135908348809</v>
      </c>
      <c r="O12" s="205">
        <f>'SER_se-appl'!O48</f>
        <v>893.55438090336736</v>
      </c>
      <c r="P12" s="205">
        <f>'SER_se-appl'!P48</f>
        <v>894.82292483340461</v>
      </c>
      <c r="Q12" s="205">
        <f>'SER_se-appl'!Q48</f>
        <v>896.04136885178889</v>
      </c>
      <c r="R12" s="205">
        <f>'SER_se-appl'!R48</f>
        <v>902.54993973640887</v>
      </c>
      <c r="S12" s="205">
        <f>'SER_se-appl'!S48</f>
        <v>918.10263211315657</v>
      </c>
      <c r="T12" s="205">
        <f>'SER_se-appl'!T48</f>
        <v>915.11551142696283</v>
      </c>
      <c r="U12" s="205">
        <f>'SER_se-appl'!U48</f>
        <v>908.13591925128605</v>
      </c>
      <c r="V12" s="205">
        <f>'SER_se-appl'!V48</f>
        <v>859.53457362291863</v>
      </c>
      <c r="W12" s="205">
        <f>'SER_se-appl'!W48</f>
        <v>859.21410665538804</v>
      </c>
      <c r="DA12" s="209" t="s">
        <v>943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"&amp;MID('SER_se-appl'!A56,FIND("(",'SER_se-appl'!A56),100)</f>
        <v>W per appliance in average operating mode (W per serviced m2)</v>
      </c>
      <c r="B14" s="59">
        <f>'SER_se-appl'!B56</f>
        <v>45.868182396091882</v>
      </c>
      <c r="C14" s="59">
        <f>'SER_se-appl'!C56</f>
        <v>45.626332043261151</v>
      </c>
      <c r="D14" s="59">
        <f>'SER_se-appl'!D56</f>
        <v>45.266487680899587</v>
      </c>
      <c r="E14" s="59">
        <f>'SER_se-appl'!E56</f>
        <v>44.978909525060047</v>
      </c>
      <c r="F14" s="59">
        <f>'SER_se-appl'!F56</f>
        <v>44.643340928469399</v>
      </c>
      <c r="G14" s="59">
        <f>'SER_se-appl'!G56</f>
        <v>44.30242548967221</v>
      </c>
      <c r="H14" s="59">
        <f>'SER_se-appl'!H56</f>
        <v>43.969526153856343</v>
      </c>
      <c r="I14" s="59">
        <f>'SER_se-appl'!I56</f>
        <v>43.634724178289801</v>
      </c>
      <c r="J14" s="59">
        <f>'SER_se-appl'!J56</f>
        <v>43.320035164892609</v>
      </c>
      <c r="K14" s="59">
        <f>'SER_se-appl'!K56</f>
        <v>43.063529516652046</v>
      </c>
      <c r="L14" s="59">
        <f>'SER_se-appl'!L56</f>
        <v>42.685616800040776</v>
      </c>
      <c r="M14" s="59">
        <f>'SER_se-appl'!M56</f>
        <v>42.259737534482817</v>
      </c>
      <c r="N14" s="59">
        <f>'SER_se-appl'!N56</f>
        <v>41.784998311235647</v>
      </c>
      <c r="O14" s="59">
        <f>'SER_se-appl'!O56</f>
        <v>41.218484306587406</v>
      </c>
      <c r="P14" s="59">
        <f>'SER_se-appl'!P56</f>
        <v>40.534615601979112</v>
      </c>
      <c r="Q14" s="59">
        <f>'SER_se-appl'!Q56</f>
        <v>39.770723460085819</v>
      </c>
      <c r="R14" s="59">
        <f>'SER_se-appl'!R56</f>
        <v>39.252870869758596</v>
      </c>
      <c r="S14" s="59">
        <f>'SER_se-appl'!S56</f>
        <v>38.543622202790402</v>
      </c>
      <c r="T14" s="59">
        <f>'SER_se-appl'!T56</f>
        <v>37.921348794160622</v>
      </c>
      <c r="U14" s="59">
        <f>'SER_se-appl'!U56</f>
        <v>37.193763316472022</v>
      </c>
      <c r="V14" s="59">
        <f>'SER_se-appl'!V56</f>
        <v>36.440772071792026</v>
      </c>
      <c r="W14" s="59">
        <f>'SER_se-appl'!W56</f>
        <v>35.712844178724346</v>
      </c>
      <c r="DA14" s="104" t="s">
        <v>949</v>
      </c>
    </row>
    <row r="15" spans="1:105" ht="12" customHeight="1" x14ac:dyDescent="0.25">
      <c r="A15" s="204" t="str">
        <f>"W per new appliance in average operating mode "&amp;MID('SER_se-appl'!A56,FIND("(",'SER_se-appl'!A56),100)</f>
        <v>W per new appliance in average operating mode (W per serviced m2)</v>
      </c>
      <c r="B15" s="63"/>
      <c r="C15" s="63">
        <f>'SER_se-appl'!C64</f>
        <v>43.120509072576773</v>
      </c>
      <c r="D15" s="63">
        <f>'SER_se-appl'!D64</f>
        <v>42.723990394227251</v>
      </c>
      <c r="E15" s="63">
        <f>'SER_se-appl'!E64</f>
        <v>42.440081080136963</v>
      </c>
      <c r="F15" s="63">
        <f>'SER_se-appl'!F64</f>
        <v>42.130355265807907</v>
      </c>
      <c r="G15" s="63">
        <f>'SER_se-appl'!G64</f>
        <v>41.795004189146908</v>
      </c>
      <c r="H15" s="63">
        <f>'SER_se-appl'!H64</f>
        <v>41.470848487162968</v>
      </c>
      <c r="I15" s="63">
        <f>'SER_se-appl'!I64</f>
        <v>41.119737718971145</v>
      </c>
      <c r="J15" s="63">
        <f>'SER_se-appl'!J64</f>
        <v>40.698712563845362</v>
      </c>
      <c r="K15" s="63">
        <f>'SER_se-appl'!K64</f>
        <v>40.196948840892937</v>
      </c>
      <c r="L15" s="63">
        <f>'SER_se-appl'!L64</f>
        <v>39.641702693310577</v>
      </c>
      <c r="M15" s="63">
        <f>'SER_se-appl'!M64</f>
        <v>38.707505493321761</v>
      </c>
      <c r="N15" s="63">
        <f>'SER_se-appl'!N64</f>
        <v>37.787492420238351</v>
      </c>
      <c r="O15" s="63">
        <f>'SER_se-appl'!O64</f>
        <v>36.741993603141779</v>
      </c>
      <c r="P15" s="63">
        <f>'SER_se-appl'!P64</f>
        <v>35.72001413521749</v>
      </c>
      <c r="Q15" s="63">
        <f>'SER_se-appl'!Q64</f>
        <v>34.610375717212392</v>
      </c>
      <c r="R15" s="63">
        <f>'SER_se-appl'!R64</f>
        <v>34.165206876055343</v>
      </c>
      <c r="S15" s="63">
        <f>'SER_se-appl'!S64</f>
        <v>33.623698534439271</v>
      </c>
      <c r="T15" s="63">
        <f>'SER_se-appl'!T64</f>
        <v>33.121522045247815</v>
      </c>
      <c r="U15" s="63">
        <f>'SER_se-appl'!U64</f>
        <v>32.637972790457553</v>
      </c>
      <c r="V15" s="63">
        <f>'SER_se-appl'!V64</f>
        <v>32.159655996494919</v>
      </c>
      <c r="W15" s="63">
        <f>'SER_se-appl'!W64</f>
        <v>31.905397364423472</v>
      </c>
      <c r="DA15" s="105" t="s">
        <v>955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'SER_se-appl'!B9</f>
        <v>117.71704382264524</v>
      </c>
      <c r="C3" s="199">
        <f>'SER_se-appl'!C9</f>
        <v>138.34474944248581</v>
      </c>
      <c r="D3" s="199">
        <f>'SER_se-appl'!D9</f>
        <v>157.33723103988345</v>
      </c>
      <c r="E3" s="199">
        <f>'SER_se-appl'!E9</f>
        <v>173.94178576641033</v>
      </c>
      <c r="F3" s="199">
        <f>'SER_se-appl'!F9</f>
        <v>217.35774902370159</v>
      </c>
      <c r="G3" s="199">
        <f>'SER_se-appl'!G9</f>
        <v>234.81903852006627</v>
      </c>
      <c r="H3" s="199">
        <f>'SER_se-appl'!H9</f>
        <v>254.99657727283565</v>
      </c>
      <c r="I3" s="199">
        <f>'SER_se-appl'!I9</f>
        <v>275.28561826200792</v>
      </c>
      <c r="J3" s="199">
        <f>'SER_se-appl'!J9</f>
        <v>292.83668455675399</v>
      </c>
      <c r="K3" s="199">
        <f>'SER_se-appl'!K9</f>
        <v>308.23999987055265</v>
      </c>
      <c r="L3" s="199">
        <f>'SER_se-appl'!L9</f>
        <v>321.79292456082817</v>
      </c>
      <c r="M3" s="199">
        <f>'SER_se-appl'!M9</f>
        <v>337.4623936566735</v>
      </c>
      <c r="N3" s="199">
        <f>'SER_se-appl'!N9</f>
        <v>359.14601831375899</v>
      </c>
      <c r="O3" s="199">
        <f>'SER_se-appl'!O9</f>
        <v>386.73184637212086</v>
      </c>
      <c r="P3" s="199">
        <f>'SER_se-appl'!P9</f>
        <v>392.93599617062159</v>
      </c>
      <c r="Q3" s="199">
        <f>'SER_se-appl'!Q9</f>
        <v>401.4084770709801</v>
      </c>
      <c r="R3" s="199">
        <f>'SER_se-appl'!R9</f>
        <v>434.7717703616201</v>
      </c>
      <c r="S3" s="199">
        <f>'SER_se-appl'!S9</f>
        <v>447.58008072181121</v>
      </c>
      <c r="T3" s="199">
        <f>'SER_se-appl'!T9</f>
        <v>460.33847847515631</v>
      </c>
      <c r="U3" s="199">
        <f>'SER_se-appl'!U9</f>
        <v>436.12271873187228</v>
      </c>
      <c r="V3" s="199">
        <f>'SER_se-appl'!V9</f>
        <v>398.94543005493011</v>
      </c>
      <c r="W3" s="199">
        <f>'SER_se-appl'!W9</f>
        <v>393.12022479271678</v>
      </c>
      <c r="DA3" s="206" t="s">
        <v>913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'SER_se-appl'!B17</f>
        <v>808.01445334023776</v>
      </c>
      <c r="C5" s="59">
        <f>'SER_se-appl'!C17</f>
        <v>934.80316605879113</v>
      </c>
      <c r="D5" s="59">
        <f>'SER_se-appl'!D17</f>
        <v>1043.4307110438808</v>
      </c>
      <c r="E5" s="59">
        <f>'SER_se-appl'!E17</f>
        <v>1134.3630636099263</v>
      </c>
      <c r="F5" s="59">
        <f>'SER_se-appl'!F17</f>
        <v>1392.8851529749363</v>
      </c>
      <c r="G5" s="59">
        <f>'SER_se-appl'!G17</f>
        <v>1481.8945362395034</v>
      </c>
      <c r="H5" s="59">
        <f>'SER_se-appl'!H17</f>
        <v>1583.8006303292566</v>
      </c>
      <c r="I5" s="59">
        <f>'SER_se-appl'!I17</f>
        <v>1688.8673748051397</v>
      </c>
      <c r="J5" s="59">
        <f>'SER_se-appl'!J17</f>
        <v>1781.0688219189951</v>
      </c>
      <c r="K5" s="59">
        <f>'SER_se-appl'!K17</f>
        <v>1853.968731903848</v>
      </c>
      <c r="L5" s="59">
        <f>'SER_se-appl'!L17</f>
        <v>1911.5893264294916</v>
      </c>
      <c r="M5" s="59">
        <f>'SER_se-appl'!M17</f>
        <v>1982.5142704381649</v>
      </c>
      <c r="N5" s="59">
        <f>'SER_se-appl'!N17</f>
        <v>2091.4986756815724</v>
      </c>
      <c r="O5" s="59">
        <f>'SER_se-appl'!O17</f>
        <v>2231.9890354060899</v>
      </c>
      <c r="P5" s="59">
        <f>'SER_se-appl'!P17</f>
        <v>2245.472914542454</v>
      </c>
      <c r="Q5" s="59">
        <f>'SER_se-appl'!Q17</f>
        <v>2270.8890647493349</v>
      </c>
      <c r="R5" s="59">
        <f>'SER_se-appl'!R17</f>
        <v>2426.210456375436</v>
      </c>
      <c r="S5" s="59">
        <f>'SER_se-appl'!S17</f>
        <v>2446.8180113678845</v>
      </c>
      <c r="T5" s="59">
        <f>'SER_se-appl'!T17</f>
        <v>2518.5611440939456</v>
      </c>
      <c r="U5" s="59">
        <f>'SER_se-appl'!U17</f>
        <v>2390.9178010122841</v>
      </c>
      <c r="V5" s="59">
        <f>'SER_se-appl'!V17</f>
        <v>2259.6631567138038</v>
      </c>
      <c r="W5" s="59">
        <f>'SER_se-appl'!W17</f>
        <v>2227.1558663677242</v>
      </c>
      <c r="DA5" s="104" t="s">
        <v>920</v>
      </c>
    </row>
    <row r="6" spans="1:105" ht="12" customHeight="1" x14ac:dyDescent="0.25">
      <c r="A6" s="201" t="str">
        <f>"Penetration factor "&amp;MID('SER_se-appl'!A73,FIND("(",'SER_se-appl'!A73),100)</f>
        <v>Penetration factor (unit per capita)</v>
      </c>
      <c r="B6" s="202">
        <f>'SER_se-appl'!B73</f>
        <v>0.22444610960509428</v>
      </c>
      <c r="C6" s="202">
        <f>'SER_se-appl'!C73</f>
        <v>0.26601329025418535</v>
      </c>
      <c r="D6" s="202">
        <f>'SER_se-appl'!D73</f>
        <v>0.30497326547152487</v>
      </c>
      <c r="E6" s="202">
        <f>'SER_se-appl'!E73</f>
        <v>0.34103531360020994</v>
      </c>
      <c r="F6" s="202">
        <f>'SER_se-appl'!F73</f>
        <v>0.43610697455820624</v>
      </c>
      <c r="G6" s="202">
        <f>'SER_se-appl'!G73</f>
        <v>0.47697473374426291</v>
      </c>
      <c r="H6" s="202">
        <f>'SER_se-appl'!H73</f>
        <v>0.5296990791594911</v>
      </c>
      <c r="I6" s="202">
        <f>'SER_se-appl'!I73</f>
        <v>0.58509549079857626</v>
      </c>
      <c r="J6" s="202">
        <f>'SER_se-appl'!J73</f>
        <v>0.63798546906226772</v>
      </c>
      <c r="K6" s="202">
        <f>'SER_se-appl'!K73</f>
        <v>0.70418257402064011</v>
      </c>
      <c r="L6" s="202">
        <f>'SER_se-appl'!L73</f>
        <v>0.75397387643974445</v>
      </c>
      <c r="M6" s="202">
        <f>'SER_se-appl'!M73</f>
        <v>0.83322939985627986</v>
      </c>
      <c r="N6" s="202">
        <f>'SER_se-appl'!N73</f>
        <v>0.94427085863041127</v>
      </c>
      <c r="O6" s="202">
        <f>'SER_se-appl'!O73</f>
        <v>1.0810921376893401</v>
      </c>
      <c r="P6" s="202">
        <f>'SER_se-appl'!P73</f>
        <v>1.1763039753404523</v>
      </c>
      <c r="Q6" s="202">
        <f>'SER_se-appl'!Q73</f>
        <v>1.2449937838575149</v>
      </c>
      <c r="R6" s="202">
        <f>'SER_se-appl'!R73</f>
        <v>1.410772745135114</v>
      </c>
      <c r="S6" s="202">
        <f>'SER_se-appl'!S73</f>
        <v>1.4887366780943971</v>
      </c>
      <c r="T6" s="202">
        <f>'SER_se-appl'!T73</f>
        <v>1.5869930975199551</v>
      </c>
      <c r="U6" s="202">
        <f>'SER_se-appl'!U73</f>
        <v>1.5456070383459306</v>
      </c>
      <c r="V6" s="202">
        <f>'SER_se-appl'!V73</f>
        <v>1.4737009490874184</v>
      </c>
      <c r="W6" s="202">
        <f>'SER_se-appl'!W73</f>
        <v>1.498658449717656</v>
      </c>
      <c r="DA6" s="207" t="s">
        <v>962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"&amp;MID('SER_se-appl'!A25,FIND("(",'SER_se-appl'!A25),100)</f>
        <v>Stock of appliances (thousand units)</v>
      </c>
      <c r="B8" s="34">
        <f>'SER_se-appl'!B25</f>
        <v>2298.1227941658767</v>
      </c>
      <c r="C8" s="34">
        <f>'SER_se-appl'!C25</f>
        <v>2730.2045273808694</v>
      </c>
      <c r="D8" s="34">
        <f>'SER_se-appl'!D25</f>
        <v>3144.1904993634166</v>
      </c>
      <c r="E8" s="34">
        <f>'SER_se-appl'!E25</f>
        <v>3531.708506134853</v>
      </c>
      <c r="F8" s="34">
        <f>'SER_se-appl'!F25</f>
        <v>4533.9517085434009</v>
      </c>
      <c r="G8" s="34">
        <f>'SER_se-appl'!G25</f>
        <v>4982.4074764319757</v>
      </c>
      <c r="H8" s="34">
        <f>'SER_se-appl'!H25</f>
        <v>5567.8693660936497</v>
      </c>
      <c r="I8" s="34">
        <f>'SER_se-appl'!I25</f>
        <v>6192.9631156042178</v>
      </c>
      <c r="J8" s="34">
        <f>'SER_se-appl'!J25</f>
        <v>6805.305508434355</v>
      </c>
      <c r="K8" s="34">
        <f>'SER_se-appl'!K25</f>
        <v>7572.1315530498641</v>
      </c>
      <c r="L8" s="34">
        <f>'SER_se-appl'!L25</f>
        <v>8173.0051930885675</v>
      </c>
      <c r="M8" s="34">
        <f>'SER_se-appl'!M25</f>
        <v>9166.054998776186</v>
      </c>
      <c r="N8" s="34">
        <f>'SER_se-appl'!N25</f>
        <v>10458.639216125126</v>
      </c>
      <c r="O8" s="34">
        <f>'SER_se-appl'!O25</f>
        <v>12041.176121188291</v>
      </c>
      <c r="P8" s="34">
        <f>'SER_se-appl'!P25</f>
        <v>13152.066539645542</v>
      </c>
      <c r="Q8" s="34">
        <f>'SER_se-appl'!Q25</f>
        <v>13990.336277503671</v>
      </c>
      <c r="R8" s="34">
        <f>'SER_se-appl'!R25</f>
        <v>15957.415580634453</v>
      </c>
      <c r="S8" s="34">
        <f>'SER_se-appl'!S25</f>
        <v>16899.732344614476</v>
      </c>
      <c r="T8" s="34">
        <f>'SER_se-appl'!T25</f>
        <v>18089.482064466887</v>
      </c>
      <c r="U8" s="34">
        <f>'SER_se-appl'!U25</f>
        <v>17705.730794305538</v>
      </c>
      <c r="V8" s="34">
        <f>'SER_se-appl'!V25</f>
        <v>16980.630763802834</v>
      </c>
      <c r="W8" s="34">
        <f>'SER_se-appl'!W25</f>
        <v>17316.649199068732</v>
      </c>
      <c r="DA8" s="88" t="s">
        <v>926</v>
      </c>
    </row>
    <row r="9" spans="1:105" ht="12.95" customHeight="1" x14ac:dyDescent="0.25">
      <c r="A9" s="203" t="str">
        <f>"Number of new appliances "&amp;MID('SER_se-appl'!A33,FIND("(",'SER_se-appl'!A33),100)</f>
        <v>Number of new appliances (thousand units)</v>
      </c>
      <c r="B9" s="36"/>
      <c r="C9" s="36">
        <f>'SER_se-appl'!C33</f>
        <v>891.70629204816805</v>
      </c>
      <c r="D9" s="36">
        <f>'SER_se-appl'!D33</f>
        <v>873.61053081572254</v>
      </c>
      <c r="E9" s="36">
        <f>'SER_se-appl'!E33</f>
        <v>847.14256560461172</v>
      </c>
      <c r="F9" s="36">
        <f>'SER_se-appl'!F33</f>
        <v>1461.8677612417232</v>
      </c>
      <c r="G9" s="36">
        <f>'SER_se-appl'!G33</f>
        <v>908.08032672175023</v>
      </c>
      <c r="H9" s="36">
        <f>'SER_se-appl'!H33</f>
        <v>1477.168181709842</v>
      </c>
      <c r="I9" s="36">
        <f>'SER_se-appl'!I33</f>
        <v>1498.7042803262902</v>
      </c>
      <c r="J9" s="36">
        <f>'SER_se-appl'!J33</f>
        <v>1459.4849584347494</v>
      </c>
      <c r="K9" s="36">
        <f>'SER_se-appl'!K33</f>
        <v>2228.6938058572323</v>
      </c>
      <c r="L9" s="36">
        <f>'SER_se-appl'!L33</f>
        <v>1508.9539667604531</v>
      </c>
      <c r="M9" s="36">
        <f>'SER_se-appl'!M33</f>
        <v>2470.2179873974601</v>
      </c>
      <c r="N9" s="36">
        <f>'SER_se-appl'!N33</f>
        <v>2791.2884976752302</v>
      </c>
      <c r="O9" s="36">
        <f>'SER_se-appl'!O33</f>
        <v>3042.0218634979137</v>
      </c>
      <c r="P9" s="36">
        <f>'SER_se-appl'!P33</f>
        <v>3339.5842243144834</v>
      </c>
      <c r="Q9" s="36">
        <f>'SER_se-appl'!Q33</f>
        <v>2347.2237046185819</v>
      </c>
      <c r="R9" s="36">
        <f>'SER_se-appl'!R33</f>
        <v>4437.2972905282422</v>
      </c>
      <c r="S9" s="36">
        <f>'SER_se-appl'!S33</f>
        <v>3733.6052616552533</v>
      </c>
      <c r="T9" s="36">
        <f>'SER_se-appl'!T33</f>
        <v>4231.7715833503244</v>
      </c>
      <c r="U9" s="36">
        <f>'SER_se-appl'!U33</f>
        <v>2955.8329541531348</v>
      </c>
      <c r="V9" s="36">
        <f>'SER_se-appl'!V33</f>
        <v>1622.1236741158773</v>
      </c>
      <c r="W9" s="36">
        <f>'SER_se-appl'!W33</f>
        <v>4773.3157257941402</v>
      </c>
      <c r="DA9" s="89" t="s">
        <v>932</v>
      </c>
    </row>
    <row r="10" spans="1:105" ht="12" customHeight="1" x14ac:dyDescent="0.25">
      <c r="A10" s="204" t="str">
        <f>"Number of replaced appliances "&amp;MID('SER_se-appl'!A41,FIND("(",'SER_se-appl'!A41),100)</f>
        <v>Number of replaced appliances (thousand units)</v>
      </c>
      <c r="B10" s="38"/>
      <c r="C10" s="38">
        <f>'SER_se-appl'!C41</f>
        <v>459.62455883317534</v>
      </c>
      <c r="D10" s="38">
        <f>'SER_se-appl'!D41</f>
        <v>459.62455883317534</v>
      </c>
      <c r="E10" s="38">
        <f>'SER_se-appl'!E41</f>
        <v>459.62455883317534</v>
      </c>
      <c r="F10" s="38">
        <f>'SER_se-appl'!F41</f>
        <v>459.6245588331758</v>
      </c>
      <c r="G10" s="38">
        <f>'SER_se-appl'!G41</f>
        <v>459.62455883317489</v>
      </c>
      <c r="H10" s="38">
        <f>'SER_se-appl'!H41</f>
        <v>891.7062920481676</v>
      </c>
      <c r="I10" s="38">
        <f>'SER_se-appl'!I41</f>
        <v>873.61053081572209</v>
      </c>
      <c r="J10" s="38">
        <f>'SER_se-appl'!J41</f>
        <v>847.14256560461217</v>
      </c>
      <c r="K10" s="38">
        <f>'SER_se-appl'!K41</f>
        <v>1461.8677612417241</v>
      </c>
      <c r="L10" s="38">
        <f>'SER_se-appl'!L41</f>
        <v>908.08032672174886</v>
      </c>
      <c r="M10" s="38">
        <f>'SER_se-appl'!M41</f>
        <v>1477.1681817098415</v>
      </c>
      <c r="N10" s="38">
        <f>'SER_se-appl'!N41</f>
        <v>1498.7042803262902</v>
      </c>
      <c r="O10" s="38">
        <f>'SER_se-appl'!O41</f>
        <v>1459.4849584347485</v>
      </c>
      <c r="P10" s="38">
        <f>'SER_se-appl'!P41</f>
        <v>2228.6938058572323</v>
      </c>
      <c r="Q10" s="38">
        <f>'SER_se-appl'!Q41</f>
        <v>1508.9539667604531</v>
      </c>
      <c r="R10" s="38">
        <f>'SER_se-appl'!R41</f>
        <v>2470.2179873974601</v>
      </c>
      <c r="S10" s="38">
        <f>'SER_se-appl'!S41</f>
        <v>2791.2884976752284</v>
      </c>
      <c r="T10" s="38">
        <f>'SER_se-appl'!T41</f>
        <v>3042.0218634979137</v>
      </c>
      <c r="U10" s="38">
        <f>'SER_se-appl'!U41</f>
        <v>3339.5842243144834</v>
      </c>
      <c r="V10" s="38">
        <f>'SER_se-appl'!V41</f>
        <v>2347.2237046185801</v>
      </c>
      <c r="W10" s="38">
        <f>'SER_se-appl'!W41</f>
        <v>4437.2972905282404</v>
      </c>
      <c r="DA10" s="90" t="s">
        <v>938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'SER_se-appl'!B49</f>
        <v>1694.3375381441183</v>
      </c>
      <c r="C12" s="205">
        <f>'SER_se-appl'!C49</f>
        <v>1721.1638711062312</v>
      </c>
      <c r="D12" s="205">
        <f>'SER_se-appl'!D49</f>
        <v>1753.668909326258</v>
      </c>
      <c r="E12" s="205">
        <f>'SER_se-appl'!E49</f>
        <v>1783.3293707798143</v>
      </c>
      <c r="F12" s="205">
        <f>'SER_se-appl'!F49</f>
        <v>1814.8449753711577</v>
      </c>
      <c r="G12" s="205">
        <f>'SER_se-appl'!G49</f>
        <v>1842.8743417318303</v>
      </c>
      <c r="H12" s="205">
        <f>'SER_se-appl'!H49</f>
        <v>1872.4643347733468</v>
      </c>
      <c r="I12" s="205">
        <f>'SER_se-appl'!I49</f>
        <v>1895.6916263223732</v>
      </c>
      <c r="J12" s="205">
        <f>'SER_se-appl'!J49</f>
        <v>1912.1611694519593</v>
      </c>
      <c r="K12" s="205">
        <f>'SER_se-appl'!K49</f>
        <v>1933.5985212723892</v>
      </c>
      <c r="L12" s="205">
        <f>'SER_se-appl'!L49</f>
        <v>1957.7697264258454</v>
      </c>
      <c r="M12" s="205">
        <f>'SER_se-appl'!M49</f>
        <v>1979.6516457658076</v>
      </c>
      <c r="N12" s="205">
        <f>'SER_se-appl'!N49</f>
        <v>1997.0694897178787</v>
      </c>
      <c r="O12" s="205">
        <f>'SER_se-appl'!O49</f>
        <v>2015.1046004083312</v>
      </c>
      <c r="P12" s="205">
        <f>'SER_se-appl'!P49</f>
        <v>2035.13727815127</v>
      </c>
      <c r="Q12" s="205">
        <f>'SER_se-appl'!Q49</f>
        <v>2055.7501732700462</v>
      </c>
      <c r="R12" s="205">
        <f>'SER_se-appl'!R49</f>
        <v>2084.0713450965386</v>
      </c>
      <c r="S12" s="205">
        <f>'SER_se-appl'!S49</f>
        <v>2127.3982431920344</v>
      </c>
      <c r="T12" s="205">
        <f>'SER_se-appl'!T49</f>
        <v>2125.7123406436413</v>
      </c>
      <c r="U12" s="205">
        <f>'SER_se-appl'!U49</f>
        <v>2121.4059373786122</v>
      </c>
      <c r="V12" s="205">
        <f>'SER_se-appl'!V49</f>
        <v>2053.2862775380818</v>
      </c>
      <c r="W12" s="205">
        <f>'SER_se-appl'!W49</f>
        <v>2052.8371109453451</v>
      </c>
      <c r="DA12" s="209" t="s">
        <v>944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"&amp;MID('SER_se-appl'!A57,FIND("(",'SER_se-appl'!A57),100)</f>
        <v>W per appliance in average operating mode (W per appliance)</v>
      </c>
      <c r="B14" s="59">
        <f>'SER_se-appl'!B57</f>
        <v>351.59759756593576</v>
      </c>
      <c r="C14" s="59">
        <f>'SER_se-appl'!C57</f>
        <v>342.39309058488863</v>
      </c>
      <c r="D14" s="59">
        <f>'SER_se-appl'!D57</f>
        <v>331.85988929587359</v>
      </c>
      <c r="E14" s="59">
        <f>'SER_se-appl'!E57</f>
        <v>321.19385324112937</v>
      </c>
      <c r="F14" s="59">
        <f>'SER_se-appl'!F57</f>
        <v>307.21217218752014</v>
      </c>
      <c r="G14" s="59">
        <f>'SER_se-appl'!G57</f>
        <v>297.42539991946313</v>
      </c>
      <c r="H14" s="59">
        <f>'SER_se-appl'!H57</f>
        <v>284.45362600890763</v>
      </c>
      <c r="I14" s="59">
        <f>'SER_se-appl'!I57</f>
        <v>272.70748158498679</v>
      </c>
      <c r="J14" s="59">
        <f>'SER_se-appl'!J57</f>
        <v>261.71768772343506</v>
      </c>
      <c r="K14" s="59">
        <f>'SER_se-appl'!K57</f>
        <v>244.84106211243994</v>
      </c>
      <c r="L14" s="59">
        <f>'SER_se-appl'!L57</f>
        <v>233.89062912207751</v>
      </c>
      <c r="M14" s="59">
        <f>'SER_se-appl'!M57</f>
        <v>216.28871643284512</v>
      </c>
      <c r="N14" s="59">
        <f>'SER_se-appl'!N57</f>
        <v>199.97808820643709</v>
      </c>
      <c r="O14" s="59">
        <f>'SER_se-appl'!O57</f>
        <v>185.36304202697971</v>
      </c>
      <c r="P14" s="59">
        <f>'SER_se-appl'!P57</f>
        <v>170.73156585497102</v>
      </c>
      <c r="Q14" s="59">
        <f>'SER_se-appl'!Q57</f>
        <v>162.31840462626357</v>
      </c>
      <c r="R14" s="59">
        <f>'SER_se-appl'!R57</f>
        <v>152.04281947258605</v>
      </c>
      <c r="S14" s="59">
        <f>'SER_se-appl'!S57</f>
        <v>144.78442388749573</v>
      </c>
      <c r="T14" s="59">
        <f>'SER_se-appl'!T57</f>
        <v>139.2279300821524</v>
      </c>
      <c r="U14" s="59">
        <f>'SER_se-appl'!U57</f>
        <v>135.03638052495657</v>
      </c>
      <c r="V14" s="59">
        <f>'SER_se-appl'!V57</f>
        <v>133.07298110095348</v>
      </c>
      <c r="W14" s="59">
        <f>'SER_se-appl'!W57</f>
        <v>128.61355801372346</v>
      </c>
      <c r="DA14" s="104" t="s">
        <v>950</v>
      </c>
    </row>
    <row r="15" spans="1:105" ht="12" customHeight="1" x14ac:dyDescent="0.25">
      <c r="A15" s="204" t="str">
        <f>"W per new appliance in average operating mode "&amp;MID('SER_se-appl'!A57,FIND("(",'SER_se-appl'!A57),100)</f>
        <v>W per new appliance in average operating mode (W per appliance)</v>
      </c>
      <c r="B15" s="63"/>
      <c r="C15" s="63">
        <f>'SER_se-appl'!C65</f>
        <v>323.41546309401008</v>
      </c>
      <c r="D15" s="63">
        <f>'SER_se-appl'!D65</f>
        <v>309.32598236975616</v>
      </c>
      <c r="E15" s="63">
        <f>'SER_se-appl'!E65</f>
        <v>298.10241332148928</v>
      </c>
      <c r="F15" s="63">
        <f>'SER_se-appl'!F65</f>
        <v>287.38918195733368</v>
      </c>
      <c r="G15" s="63">
        <f>'SER_se-appl'!G65</f>
        <v>275.98029222519034</v>
      </c>
      <c r="H15" s="63">
        <f>'SER_se-appl'!H65</f>
        <v>264.22021697257162</v>
      </c>
      <c r="I15" s="63">
        <f>'SER_se-appl'!I65</f>
        <v>250.41443135620648</v>
      </c>
      <c r="J15" s="63">
        <f>'SER_se-appl'!J65</f>
        <v>236.2043461672036</v>
      </c>
      <c r="K15" s="63">
        <f>'SER_se-appl'!K65</f>
        <v>221.21696965379073</v>
      </c>
      <c r="L15" s="63">
        <f>'SER_se-appl'!L65</f>
        <v>204.26923236100993</v>
      </c>
      <c r="M15" s="63">
        <f>'SER_se-appl'!M65</f>
        <v>186.71333616631782</v>
      </c>
      <c r="N15" s="63">
        <f>'SER_se-appl'!N65</f>
        <v>173.49750331281405</v>
      </c>
      <c r="O15" s="63">
        <f>'SER_se-appl'!O65</f>
        <v>159.50807451282432</v>
      </c>
      <c r="P15" s="63">
        <f>'SER_se-appl'!P65</f>
        <v>151.66821230814924</v>
      </c>
      <c r="Q15" s="63">
        <f>'SER_se-appl'!Q65</f>
        <v>142.14623770568843</v>
      </c>
      <c r="R15" s="63">
        <f>'SER_se-appl'!R65</f>
        <v>138.94584760574625</v>
      </c>
      <c r="S15" s="63">
        <f>'SER_se-appl'!S65</f>
        <v>135.22831284554158</v>
      </c>
      <c r="T15" s="63">
        <f>'SER_se-appl'!T65</f>
        <v>131.61631525432421</v>
      </c>
      <c r="U15" s="63">
        <f>'SER_se-appl'!U65</f>
        <v>128.17552004766821</v>
      </c>
      <c r="V15" s="63">
        <f>'SER_se-appl'!V65</f>
        <v>124.77123513838865</v>
      </c>
      <c r="W15" s="63">
        <f>'SER_se-appl'!W65</f>
        <v>122.35451755454156</v>
      </c>
      <c r="DA15" s="105" t="s">
        <v>956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2" tint="-0.499984740745262"/>
    <pageSetUpPr fitToPage="1"/>
  </sheetPr>
  <dimension ref="A1:DA34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7" customWidth="1"/>
    <col min="106" max="16384" width="9.140625" style="1"/>
  </cols>
  <sheetData>
    <row r="1" spans="1:105" ht="12.75" x14ac:dyDescent="0.25">
      <c r="A1" s="28" t="s">
        <v>971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123" t="s">
        <v>156</v>
      </c>
    </row>
    <row r="2" spans="1:105" x14ac:dyDescent="0.25">
      <c r="A2" s="6"/>
    </row>
    <row r="3" spans="1:105" x14ac:dyDescent="0.25">
      <c r="A3" s="219" t="s">
        <v>147</v>
      </c>
      <c r="B3" s="220">
        <v>3854.2172679160381</v>
      </c>
      <c r="C3" s="220">
        <v>3674.1802508426149</v>
      </c>
      <c r="D3" s="220">
        <v>3480.9681754848889</v>
      </c>
      <c r="E3" s="220">
        <v>3504.4732031524281</v>
      </c>
      <c r="F3" s="220">
        <v>3606.4093883999099</v>
      </c>
      <c r="G3" s="220">
        <v>3034.180074041305</v>
      </c>
      <c r="H3" s="220">
        <v>3358.4171040198539</v>
      </c>
      <c r="I3" s="220">
        <v>3406.800866864764</v>
      </c>
      <c r="J3" s="220">
        <v>2754.587130748343</v>
      </c>
      <c r="K3" s="220">
        <v>2442.987488389881</v>
      </c>
      <c r="L3" s="220">
        <v>2980.7001169364789</v>
      </c>
      <c r="M3" s="220">
        <v>2572.3757839390159</v>
      </c>
      <c r="N3" s="220">
        <v>3127.0341424988078</v>
      </c>
      <c r="O3" s="220">
        <v>2738.5289181777248</v>
      </c>
      <c r="P3" s="220">
        <v>2603.3016001620422</v>
      </c>
      <c r="Q3" s="220">
        <v>2860.3</v>
      </c>
      <c r="R3" s="220">
        <v>2652.0139331796099</v>
      </c>
      <c r="S3" s="220">
        <v>2853.1770512029611</v>
      </c>
      <c r="T3" s="220">
        <v>2634.963148696907</v>
      </c>
      <c r="U3" s="220">
        <v>2992.014329427569</v>
      </c>
      <c r="V3" s="220">
        <v>2870.509668660331</v>
      </c>
      <c r="W3" s="220">
        <v>2905.9440372371728</v>
      </c>
      <c r="DA3" s="211" t="s">
        <v>972</v>
      </c>
    </row>
    <row r="5" spans="1:105" x14ac:dyDescent="0.25">
      <c r="A5" s="219" t="s">
        <v>120</v>
      </c>
      <c r="B5" s="220">
        <v>6270.2981534891314</v>
      </c>
      <c r="C5" s="220">
        <v>6214.2318362960787</v>
      </c>
      <c r="D5" s="220">
        <v>4972.5402374731812</v>
      </c>
      <c r="E5" s="220">
        <v>6093.0182603639041</v>
      </c>
      <c r="F5" s="220">
        <v>7726.5433126770513</v>
      </c>
      <c r="G5" s="220">
        <v>6521.4386990889334</v>
      </c>
      <c r="H5" s="220">
        <v>5906.1665259945103</v>
      </c>
      <c r="I5" s="220">
        <v>5547.1069290109408</v>
      </c>
      <c r="J5" s="220">
        <v>5740.0317727556921</v>
      </c>
      <c r="K5" s="220">
        <v>5052.0131996677446</v>
      </c>
      <c r="L5" s="220">
        <v>5962.3389794759087</v>
      </c>
      <c r="M5" s="220">
        <v>5843.0464732668243</v>
      </c>
      <c r="N5" s="220">
        <v>5882.4758927810217</v>
      </c>
      <c r="O5" s="220">
        <v>6390.8268706819899</v>
      </c>
      <c r="P5" s="220">
        <v>5670.5906183409052</v>
      </c>
      <c r="Q5" s="220">
        <v>5711.5494962570201</v>
      </c>
      <c r="R5" s="220">
        <v>6002.6618605516032</v>
      </c>
      <c r="S5" s="220">
        <v>6648.5971862515889</v>
      </c>
      <c r="T5" s="220">
        <v>5919.4701535760578</v>
      </c>
      <c r="U5" s="220">
        <v>6610.6388308182968</v>
      </c>
      <c r="V5" s="220">
        <v>6020.7489532258242</v>
      </c>
      <c r="W5" s="220">
        <v>6289.6729209621944</v>
      </c>
      <c r="DA5" s="211" t="s">
        <v>973</v>
      </c>
    </row>
    <row r="6" spans="1:105" x14ac:dyDescent="0.25">
      <c r="A6" s="221" t="s">
        <v>119</v>
      </c>
      <c r="B6" s="222">
        <v>7837.8726918614129</v>
      </c>
      <c r="C6" s="222">
        <v>7445.9790572683423</v>
      </c>
      <c r="D6" s="222">
        <v>7054.0854226752717</v>
      </c>
      <c r="E6" s="222">
        <v>7054.0854226752717</v>
      </c>
      <c r="F6" s="222">
        <v>8229.7663264544844</v>
      </c>
      <c r="G6" s="222">
        <v>7837.8726918614138</v>
      </c>
      <c r="H6" s="222">
        <v>7837.8726918614138</v>
      </c>
      <c r="I6" s="222">
        <v>7445.9790572683432</v>
      </c>
      <c r="J6" s="222">
        <v>7054.0854226752726</v>
      </c>
      <c r="K6" s="222">
        <v>7054.0854226752726</v>
      </c>
      <c r="L6" s="222">
        <v>6662.191788082202</v>
      </c>
      <c r="M6" s="222">
        <v>6270.2981534891314</v>
      </c>
      <c r="N6" s="222">
        <v>6270.2981534891314</v>
      </c>
      <c r="O6" s="222">
        <v>7054.0854226752726</v>
      </c>
      <c r="P6" s="222">
        <v>6662.191788082202</v>
      </c>
      <c r="Q6" s="222">
        <v>6662.191788082202</v>
      </c>
      <c r="R6" s="222">
        <v>6662.191788082202</v>
      </c>
      <c r="S6" s="222">
        <v>7054.0854226752726</v>
      </c>
      <c r="T6" s="222">
        <v>7054.0854226752726</v>
      </c>
      <c r="U6" s="222">
        <v>7054.0854226752726</v>
      </c>
      <c r="V6" s="222">
        <v>6662.191788082202</v>
      </c>
      <c r="W6" s="222">
        <v>6662.191788082202</v>
      </c>
      <c r="DA6" s="212" t="s">
        <v>974</v>
      </c>
    </row>
    <row r="7" spans="1:105" x14ac:dyDescent="0.25">
      <c r="A7" s="225" t="s">
        <v>118</v>
      </c>
      <c r="B7" s="226"/>
      <c r="C7" s="226">
        <v>0</v>
      </c>
      <c r="D7" s="226">
        <v>0</v>
      </c>
      <c r="E7" s="226">
        <v>0</v>
      </c>
      <c r="F7" s="226">
        <v>1567.5745383722831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1175.680903779212</v>
      </c>
      <c r="P7" s="226">
        <v>0</v>
      </c>
      <c r="Q7" s="226">
        <v>0</v>
      </c>
      <c r="R7" s="226">
        <v>391.89363459307071</v>
      </c>
      <c r="S7" s="226">
        <v>783.78726918614132</v>
      </c>
      <c r="T7" s="226">
        <v>0</v>
      </c>
      <c r="U7" s="226">
        <v>391.89363459307071</v>
      </c>
      <c r="V7" s="226">
        <v>0</v>
      </c>
      <c r="W7" s="226">
        <v>0</v>
      </c>
      <c r="DA7" s="213" t="s">
        <v>975</v>
      </c>
    </row>
    <row r="8" spans="1:105" x14ac:dyDescent="0.25">
      <c r="A8" s="227" t="s">
        <v>117</v>
      </c>
      <c r="B8" s="228"/>
      <c r="C8" s="228">
        <f t="shared" ref="C8" si="0">IF(B6=0,0,B6+C7-C6)</f>
        <v>391.8936345930706</v>
      </c>
      <c r="D8" s="228">
        <f t="shared" ref="D8" si="1">IF(C6=0,0,C6+D7-D6)</f>
        <v>391.8936345930706</v>
      </c>
      <c r="E8" s="228">
        <f t="shared" ref="E8" si="2">IF(D6=0,0,D6+E7-E6)</f>
        <v>0</v>
      </c>
      <c r="F8" s="228">
        <f t="shared" ref="F8" si="3">IF(E6=0,0,E6+F7-F6)</f>
        <v>391.8936345930706</v>
      </c>
      <c r="G8" s="228">
        <f t="shared" ref="G8" si="4">IF(F6=0,0,F6+G7-G6)</f>
        <v>391.8936345930706</v>
      </c>
      <c r="H8" s="228">
        <f t="shared" ref="H8" si="5">IF(G6=0,0,G6+H7-H6)</f>
        <v>0</v>
      </c>
      <c r="I8" s="228">
        <f t="shared" ref="I8" si="6">IF(H6=0,0,H6+I7-I6)</f>
        <v>391.8936345930706</v>
      </c>
      <c r="J8" s="228">
        <f t="shared" ref="J8" si="7">IF(I6=0,0,I6+J7-J6)</f>
        <v>391.8936345930706</v>
      </c>
      <c r="K8" s="228">
        <f t="shared" ref="K8" si="8">IF(J6=0,0,J6+K7-K6)</f>
        <v>0</v>
      </c>
      <c r="L8" s="228">
        <f t="shared" ref="L8" si="9">IF(K6=0,0,K6+L7-L6)</f>
        <v>391.8936345930706</v>
      </c>
      <c r="M8" s="228">
        <f t="shared" ref="M8" si="10">IF(L6=0,0,L6+M7-M6)</f>
        <v>391.8936345930706</v>
      </c>
      <c r="N8" s="228">
        <f t="shared" ref="N8" si="11">IF(M6=0,0,M6+N7-N6)</f>
        <v>0</v>
      </c>
      <c r="O8" s="228">
        <f t="shared" ref="O8" si="12">IF(N6=0,0,N6+O7-O6)</f>
        <v>391.8936345930706</v>
      </c>
      <c r="P8" s="228">
        <f t="shared" ref="P8" si="13">IF(O6=0,0,O6+P7-P6)</f>
        <v>391.8936345930706</v>
      </c>
      <c r="Q8" s="228">
        <f t="shared" ref="Q8" si="14">IF(P6=0,0,P6+Q7-Q6)</f>
        <v>0</v>
      </c>
      <c r="R8" s="228">
        <f t="shared" ref="R8" si="15">IF(Q6=0,0,Q6+R7-R6)</f>
        <v>391.8936345930706</v>
      </c>
      <c r="S8" s="228">
        <f t="shared" ref="S8" si="16">IF(R6=0,0,R6+S7-S6)</f>
        <v>391.8936345930706</v>
      </c>
      <c r="T8" s="228">
        <f t="shared" ref="T8" si="17">IF(S6=0,0,S6+T7-T6)</f>
        <v>0</v>
      </c>
      <c r="U8" s="228">
        <f t="shared" ref="U8" si="18">IF(T6=0,0,T6+U7-U6)</f>
        <v>391.8936345930706</v>
      </c>
      <c r="V8" s="228">
        <f t="shared" ref="V8" si="19">IF(U6=0,0,U6+V7-V6)</f>
        <v>391.8936345930706</v>
      </c>
      <c r="W8" s="228">
        <f t="shared" ref="W8" si="20">IF(V6=0,0,V6+W7-W6)</f>
        <v>0</v>
      </c>
      <c r="DA8" s="214" t="s">
        <v>976</v>
      </c>
    </row>
    <row r="9" spans="1:105" x14ac:dyDescent="0.25">
      <c r="A9" s="223" t="s">
        <v>116</v>
      </c>
      <c r="B9" s="224">
        <f>B6-B5</f>
        <v>1567.5745383722815</v>
      </c>
      <c r="C9" s="224">
        <f t="shared" ref="C9:W9" si="21">C6-C5</f>
        <v>1231.7472209722637</v>
      </c>
      <c r="D9" s="224">
        <f t="shared" si="21"/>
        <v>2081.5451852020906</v>
      </c>
      <c r="E9" s="224">
        <f t="shared" si="21"/>
        <v>961.06716231136761</v>
      </c>
      <c r="F9" s="224">
        <f t="shared" si="21"/>
        <v>503.22301377743315</v>
      </c>
      <c r="G9" s="224">
        <f t="shared" si="21"/>
        <v>1316.4339927724805</v>
      </c>
      <c r="H9" s="224">
        <f t="shared" si="21"/>
        <v>1931.7061658669036</v>
      </c>
      <c r="I9" s="224">
        <f t="shared" si="21"/>
        <v>1898.8721282574024</v>
      </c>
      <c r="J9" s="224">
        <f t="shared" si="21"/>
        <v>1314.0536499195805</v>
      </c>
      <c r="K9" s="224">
        <f t="shared" si="21"/>
        <v>2002.072223007528</v>
      </c>
      <c r="L9" s="224">
        <f t="shared" si="21"/>
        <v>699.85280860629337</v>
      </c>
      <c r="M9" s="224">
        <f t="shared" si="21"/>
        <v>427.25168022230719</v>
      </c>
      <c r="N9" s="224">
        <f t="shared" si="21"/>
        <v>387.82226070810975</v>
      </c>
      <c r="O9" s="224">
        <f t="shared" si="21"/>
        <v>663.25855199328271</v>
      </c>
      <c r="P9" s="224">
        <f t="shared" si="21"/>
        <v>991.60116974129687</v>
      </c>
      <c r="Q9" s="224">
        <f t="shared" si="21"/>
        <v>950.64229182518193</v>
      </c>
      <c r="R9" s="224">
        <f t="shared" si="21"/>
        <v>659.5299275305988</v>
      </c>
      <c r="S9" s="224">
        <f t="shared" si="21"/>
        <v>405.4882364236837</v>
      </c>
      <c r="T9" s="224">
        <f t="shared" si="21"/>
        <v>1134.6152690992149</v>
      </c>
      <c r="U9" s="224">
        <f t="shared" si="21"/>
        <v>443.44659185697583</v>
      </c>
      <c r="V9" s="224">
        <f t="shared" si="21"/>
        <v>641.44283485637789</v>
      </c>
      <c r="W9" s="224">
        <f t="shared" si="21"/>
        <v>372.5188671200076</v>
      </c>
      <c r="DA9" s="215" t="s">
        <v>977</v>
      </c>
    </row>
    <row r="10" spans="1:105" x14ac:dyDescent="0.25"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6"/>
      <c r="N10" s="216"/>
      <c r="O10" s="216"/>
      <c r="P10" s="216"/>
      <c r="Q10" s="216"/>
      <c r="R10" s="216"/>
      <c r="S10" s="216"/>
      <c r="T10" s="216"/>
      <c r="U10" s="216"/>
      <c r="V10" s="216"/>
      <c r="W10" s="216"/>
    </row>
    <row r="11" spans="1:105" x14ac:dyDescent="0.25">
      <c r="A11" s="219" t="s">
        <v>115</v>
      </c>
      <c r="B11" s="231"/>
      <c r="C11" s="231"/>
      <c r="D11" s="231"/>
      <c r="E11" s="231"/>
      <c r="F11" s="231"/>
      <c r="G11" s="231"/>
      <c r="H11" s="231"/>
      <c r="I11" s="231"/>
      <c r="J11" s="231"/>
      <c r="K11" s="231"/>
      <c r="L11" s="231"/>
      <c r="M11" s="231"/>
      <c r="N11" s="231"/>
      <c r="O11" s="231"/>
      <c r="P11" s="231"/>
      <c r="Q11" s="231"/>
      <c r="R11" s="231"/>
      <c r="S11" s="231"/>
      <c r="T11" s="231"/>
      <c r="U11" s="231"/>
      <c r="V11" s="231"/>
      <c r="W11" s="231"/>
      <c r="DA11" s="211"/>
    </row>
    <row r="12" spans="1:105" x14ac:dyDescent="0.25">
      <c r="A12" s="229" t="s">
        <v>114</v>
      </c>
      <c r="B12" s="230">
        <f>SUM(B13,B14,B18,B19,B26,B27)</f>
        <v>792.93490971625101</v>
      </c>
      <c r="C12" s="230">
        <f t="shared" ref="C12:W12" si="22">SUM(C13,C14,C18,C19,C26,C27)</f>
        <v>760.29905417024929</v>
      </c>
      <c r="D12" s="230">
        <f t="shared" si="22"/>
        <v>635.54316423043861</v>
      </c>
      <c r="E12" s="230">
        <f t="shared" si="22"/>
        <v>825.19501289767834</v>
      </c>
      <c r="F12" s="230">
        <f t="shared" si="22"/>
        <v>1041.8751504729148</v>
      </c>
      <c r="G12" s="230">
        <f t="shared" si="22"/>
        <v>1007.0833190025794</v>
      </c>
      <c r="H12" s="230">
        <f t="shared" si="22"/>
        <v>867.79423903697352</v>
      </c>
      <c r="I12" s="230">
        <f t="shared" si="22"/>
        <v>761.27669819432492</v>
      </c>
      <c r="J12" s="230">
        <f t="shared" si="22"/>
        <v>799.74273430782455</v>
      </c>
      <c r="K12" s="230">
        <f t="shared" si="22"/>
        <v>789.93396388650024</v>
      </c>
      <c r="L12" s="230">
        <f t="shared" si="22"/>
        <v>862.06990541702498</v>
      </c>
      <c r="M12" s="230">
        <f t="shared" si="22"/>
        <v>775.95812553740313</v>
      </c>
      <c r="N12" s="230">
        <f t="shared" si="22"/>
        <v>794.38727429062749</v>
      </c>
      <c r="O12" s="230">
        <f t="shared" si="22"/>
        <v>849.66173688736035</v>
      </c>
      <c r="P12" s="230">
        <f t="shared" si="22"/>
        <v>738.08065348237301</v>
      </c>
      <c r="Q12" s="230">
        <f t="shared" si="22"/>
        <v>759.16870163370584</v>
      </c>
      <c r="R12" s="230">
        <f t="shared" si="22"/>
        <v>812.67282889079956</v>
      </c>
      <c r="S12" s="230">
        <f t="shared" si="22"/>
        <v>830.42381771281134</v>
      </c>
      <c r="T12" s="230">
        <f t="shared" si="22"/>
        <v>836.30189165950117</v>
      </c>
      <c r="U12" s="230">
        <f t="shared" si="22"/>
        <v>938.78993981083386</v>
      </c>
      <c r="V12" s="230">
        <f t="shared" si="22"/>
        <v>894.8398968185727</v>
      </c>
      <c r="W12" s="230">
        <f t="shared" si="22"/>
        <v>896.53086844368011</v>
      </c>
      <c r="DA12" s="211" t="s">
        <v>978</v>
      </c>
    </row>
    <row r="13" spans="1:105" x14ac:dyDescent="0.25">
      <c r="A13" s="58" t="s">
        <v>29</v>
      </c>
      <c r="B13" s="59">
        <v>0</v>
      </c>
      <c r="C13" s="59">
        <v>0</v>
      </c>
      <c r="D13" s="59">
        <v>17.28099742046432</v>
      </c>
      <c r="E13" s="59">
        <v>16.806792777300089</v>
      </c>
      <c r="F13" s="59">
        <v>16.84230438521066</v>
      </c>
      <c r="G13" s="59">
        <v>16.84230438521066</v>
      </c>
      <c r="H13" s="59">
        <v>16.84230438521066</v>
      </c>
      <c r="I13" s="59">
        <v>24.661908856405841</v>
      </c>
      <c r="J13" s="59">
        <v>31.879965606190879</v>
      </c>
      <c r="K13" s="59">
        <v>21.05279449699054</v>
      </c>
      <c r="L13" s="59">
        <v>12.030180567497849</v>
      </c>
      <c r="M13" s="59">
        <v>5.4135855546001714</v>
      </c>
      <c r="N13" s="59">
        <v>6.3798796216680991</v>
      </c>
      <c r="O13" s="59">
        <v>8.1470335339638851</v>
      </c>
      <c r="P13" s="59">
        <v>8.4393809114359417</v>
      </c>
      <c r="Q13" s="59">
        <v>13.590455717970761</v>
      </c>
      <c r="R13" s="59">
        <v>15.538005159071371</v>
      </c>
      <c r="S13" s="59">
        <v>15.79767841788478</v>
      </c>
      <c r="T13" s="59">
        <v>15.218056749785038</v>
      </c>
      <c r="U13" s="59">
        <v>12.421754084264837</v>
      </c>
      <c r="V13" s="59">
        <v>9.7050730868443686</v>
      </c>
      <c r="W13" s="59">
        <v>9.858813413585553</v>
      </c>
      <c r="DA13" s="9" t="s">
        <v>979</v>
      </c>
    </row>
    <row r="14" spans="1:105" x14ac:dyDescent="0.25">
      <c r="A14" s="60" t="s">
        <v>28</v>
      </c>
      <c r="B14" s="55">
        <f>SUM(B15:B17)</f>
        <v>770.83688736027511</v>
      </c>
      <c r="C14" s="55">
        <f t="shared" ref="C14:W14" si="23">SUM(C15:C17)</f>
        <v>737.59914015477204</v>
      </c>
      <c r="D14" s="55">
        <f t="shared" si="23"/>
        <v>594.27248495270851</v>
      </c>
      <c r="E14" s="55">
        <f t="shared" si="23"/>
        <v>784.31255374032662</v>
      </c>
      <c r="F14" s="55">
        <f t="shared" si="23"/>
        <v>775.82407566638005</v>
      </c>
      <c r="G14" s="55">
        <f t="shared" si="23"/>
        <v>746.17850386930343</v>
      </c>
      <c r="H14" s="55">
        <f t="shared" si="23"/>
        <v>633.08495270851245</v>
      </c>
      <c r="I14" s="55">
        <f t="shared" si="23"/>
        <v>526.97050730868443</v>
      </c>
      <c r="J14" s="55">
        <f t="shared" si="23"/>
        <v>544.84092863284604</v>
      </c>
      <c r="K14" s="55">
        <f t="shared" si="23"/>
        <v>476.85296646603604</v>
      </c>
      <c r="L14" s="55">
        <f t="shared" si="23"/>
        <v>484.52519346517624</v>
      </c>
      <c r="M14" s="55">
        <f t="shared" si="23"/>
        <v>423.84445399828036</v>
      </c>
      <c r="N14" s="55">
        <f t="shared" si="23"/>
        <v>407.77867583834899</v>
      </c>
      <c r="O14" s="55">
        <f t="shared" si="23"/>
        <v>436.75743766122093</v>
      </c>
      <c r="P14" s="55">
        <f t="shared" si="23"/>
        <v>364.91969045571796</v>
      </c>
      <c r="Q14" s="55">
        <f t="shared" si="23"/>
        <v>334.22046431642298</v>
      </c>
      <c r="R14" s="55">
        <f t="shared" si="23"/>
        <v>361.8792777300086</v>
      </c>
      <c r="S14" s="55">
        <f t="shared" si="23"/>
        <v>359.67024935511597</v>
      </c>
      <c r="T14" s="55">
        <f t="shared" si="23"/>
        <v>344.92545141874461</v>
      </c>
      <c r="U14" s="55">
        <f t="shared" si="23"/>
        <v>417.73860705073082</v>
      </c>
      <c r="V14" s="55">
        <f t="shared" si="23"/>
        <v>362.15279449699057</v>
      </c>
      <c r="W14" s="55">
        <f t="shared" si="23"/>
        <v>326.66337059329322</v>
      </c>
      <c r="DA14" s="10"/>
    </row>
    <row r="15" spans="1:105" x14ac:dyDescent="0.25">
      <c r="A15" s="61" t="s">
        <v>52</v>
      </c>
      <c r="B15" s="55">
        <v>0</v>
      </c>
      <c r="C15" s="55">
        <v>1.098710232158211</v>
      </c>
      <c r="D15" s="55">
        <v>0</v>
      </c>
      <c r="E15" s="55">
        <v>0</v>
      </c>
      <c r="F15" s="55">
        <v>0</v>
      </c>
      <c r="G15" s="55">
        <v>0</v>
      </c>
      <c r="H15" s="55">
        <v>0</v>
      </c>
      <c r="I15" s="55">
        <v>0</v>
      </c>
      <c r="J15" s="55">
        <v>0</v>
      </c>
      <c r="K15" s="55">
        <v>0</v>
      </c>
      <c r="L15" s="55">
        <v>0</v>
      </c>
      <c r="M15" s="55">
        <v>0</v>
      </c>
      <c r="N15" s="55">
        <v>1.098710232158211</v>
      </c>
      <c r="O15" s="55">
        <v>1.098710232158211</v>
      </c>
      <c r="P15" s="55">
        <v>1.098710232158211</v>
      </c>
      <c r="Q15" s="55">
        <v>1.098710232158211</v>
      </c>
      <c r="R15" s="55">
        <v>1.098710232158211</v>
      </c>
      <c r="S15" s="55">
        <v>0.98882201203783315</v>
      </c>
      <c r="T15" s="55">
        <v>1.20859845227859</v>
      </c>
      <c r="U15" s="55">
        <v>2.3072226999140151</v>
      </c>
      <c r="V15" s="55">
        <v>2.3724849527085121</v>
      </c>
      <c r="W15" s="55">
        <v>3.1632846087704212</v>
      </c>
      <c r="DA15" s="10" t="s">
        <v>980</v>
      </c>
    </row>
    <row r="16" spans="1:105" x14ac:dyDescent="0.25">
      <c r="A16" s="61" t="s">
        <v>172</v>
      </c>
      <c r="B16" s="55">
        <v>482.28718830610489</v>
      </c>
      <c r="C16" s="55">
        <v>490.42708512467749</v>
      </c>
      <c r="D16" s="55">
        <v>431.41298366294058</v>
      </c>
      <c r="E16" s="55">
        <v>498.56689595872729</v>
      </c>
      <c r="F16" s="55">
        <v>514.8466895958727</v>
      </c>
      <c r="G16" s="55">
        <v>517.89914015477211</v>
      </c>
      <c r="H16" s="55">
        <v>451.76268271711092</v>
      </c>
      <c r="I16" s="55">
        <v>372.39896818572652</v>
      </c>
      <c r="J16" s="55">
        <v>476.18228718830608</v>
      </c>
      <c r="K16" s="55">
        <v>403.73748925193462</v>
      </c>
      <c r="L16" s="55">
        <v>459.39380911435939</v>
      </c>
      <c r="M16" s="55">
        <v>398.03955288048155</v>
      </c>
      <c r="N16" s="55">
        <v>391.52760103181413</v>
      </c>
      <c r="O16" s="55">
        <v>421.84866723989677</v>
      </c>
      <c r="P16" s="55">
        <v>350.11607910576095</v>
      </c>
      <c r="Q16" s="55">
        <v>316.33568357695606</v>
      </c>
      <c r="R16" s="55">
        <v>344.51994840928631</v>
      </c>
      <c r="S16" s="55">
        <v>342.68839208942381</v>
      </c>
      <c r="T16" s="55">
        <v>328.54539982803095</v>
      </c>
      <c r="U16" s="55">
        <v>400.68503869303521</v>
      </c>
      <c r="V16" s="55">
        <v>346.72785898538262</v>
      </c>
      <c r="W16" s="55">
        <v>310.98693035253655</v>
      </c>
      <c r="DA16" s="10" t="s">
        <v>981</v>
      </c>
    </row>
    <row r="17" spans="1:105" x14ac:dyDescent="0.25">
      <c r="A17" s="61" t="s">
        <v>113</v>
      </c>
      <c r="B17" s="55">
        <v>288.54969905417028</v>
      </c>
      <c r="C17" s="55">
        <v>246.07334479793633</v>
      </c>
      <c r="D17" s="55">
        <v>162.85950128976788</v>
      </c>
      <c r="E17" s="55">
        <v>285.74565778159939</v>
      </c>
      <c r="F17" s="55">
        <v>260.97738607050735</v>
      </c>
      <c r="G17" s="55">
        <v>228.27936371453131</v>
      </c>
      <c r="H17" s="55">
        <v>181.3222699914015</v>
      </c>
      <c r="I17" s="55">
        <v>154.57153912295789</v>
      </c>
      <c r="J17" s="55">
        <v>68.658641444539981</v>
      </c>
      <c r="K17" s="55">
        <v>73.115477214101446</v>
      </c>
      <c r="L17" s="55">
        <v>25.131384350816845</v>
      </c>
      <c r="M17" s="55">
        <v>25.804901117798792</v>
      </c>
      <c r="N17" s="55">
        <v>15.152364574376609</v>
      </c>
      <c r="O17" s="55">
        <v>13.810060189165949</v>
      </c>
      <c r="P17" s="55">
        <v>13.704901117798794</v>
      </c>
      <c r="Q17" s="55">
        <v>16.786070507308683</v>
      </c>
      <c r="R17" s="55">
        <v>16.260619088564056</v>
      </c>
      <c r="S17" s="55">
        <v>15.993035253654341</v>
      </c>
      <c r="T17" s="55">
        <v>15.17145313843508</v>
      </c>
      <c r="U17" s="55">
        <v>14.7463456577816</v>
      </c>
      <c r="V17" s="55">
        <v>13.052450558899398</v>
      </c>
      <c r="W17" s="55">
        <v>12.513155631986244</v>
      </c>
      <c r="DA17" s="10" t="s">
        <v>982</v>
      </c>
    </row>
    <row r="18" spans="1:105" x14ac:dyDescent="0.25">
      <c r="A18" s="60" t="s">
        <v>153</v>
      </c>
      <c r="B18" s="55">
        <v>0</v>
      </c>
      <c r="C18" s="55">
        <v>0</v>
      </c>
      <c r="D18" s="55">
        <v>0</v>
      </c>
      <c r="E18" s="55">
        <v>0</v>
      </c>
      <c r="F18" s="55">
        <v>159.64918314703351</v>
      </c>
      <c r="G18" s="55">
        <v>153.55382631126389</v>
      </c>
      <c r="H18" s="55">
        <v>138.42433361994841</v>
      </c>
      <c r="I18" s="55">
        <v>105.5720550300946</v>
      </c>
      <c r="J18" s="55">
        <v>93.705588993981081</v>
      </c>
      <c r="K18" s="55">
        <v>126.56844368013761</v>
      </c>
      <c r="L18" s="55">
        <v>185.373086844368</v>
      </c>
      <c r="M18" s="55">
        <v>184.64170249355109</v>
      </c>
      <c r="N18" s="55">
        <v>204.93680137575231</v>
      </c>
      <c r="O18" s="55">
        <v>226.9360275150473</v>
      </c>
      <c r="P18" s="55">
        <v>190.2882201203783</v>
      </c>
      <c r="Q18" s="55">
        <v>221.8785898538263</v>
      </c>
      <c r="R18" s="55">
        <v>239.6846947549441</v>
      </c>
      <c r="S18" s="55">
        <v>272.04101461736877</v>
      </c>
      <c r="T18" s="55">
        <v>284.78314703353391</v>
      </c>
      <c r="U18" s="55">
        <v>312.79363714531382</v>
      </c>
      <c r="V18" s="55">
        <v>322.85253654342222</v>
      </c>
      <c r="W18" s="55">
        <v>384.00171969045567</v>
      </c>
      <c r="DA18" s="10" t="s">
        <v>983</v>
      </c>
    </row>
    <row r="19" spans="1:105" x14ac:dyDescent="0.25">
      <c r="A19" s="60" t="s">
        <v>51</v>
      </c>
      <c r="B19" s="55">
        <f>SUM(B20:B25)</f>
        <v>0</v>
      </c>
      <c r="C19" s="55">
        <f t="shared" ref="C19:W19" si="24">SUM(C20:C25)</f>
        <v>0</v>
      </c>
      <c r="D19" s="55">
        <f t="shared" si="24"/>
        <v>0</v>
      </c>
      <c r="E19" s="55">
        <f t="shared" si="24"/>
        <v>0</v>
      </c>
      <c r="F19" s="55">
        <f t="shared" si="24"/>
        <v>1.1703353396388649</v>
      </c>
      <c r="G19" s="55">
        <f t="shared" si="24"/>
        <v>1.5524505588993975</v>
      </c>
      <c r="H19" s="55">
        <f t="shared" si="24"/>
        <v>3.3865004299226134</v>
      </c>
      <c r="I19" s="55">
        <f t="shared" si="24"/>
        <v>15.022871883061045</v>
      </c>
      <c r="J19" s="55">
        <f t="shared" si="24"/>
        <v>19.01771281169389</v>
      </c>
      <c r="K19" s="55">
        <f t="shared" si="24"/>
        <v>35.253396388650039</v>
      </c>
      <c r="L19" s="55">
        <f t="shared" si="24"/>
        <v>36.180395528804823</v>
      </c>
      <c r="M19" s="55">
        <f t="shared" si="24"/>
        <v>27.362166809974198</v>
      </c>
      <c r="N19" s="55">
        <f t="shared" si="24"/>
        <v>34.869131556319857</v>
      </c>
      <c r="O19" s="55">
        <f t="shared" si="24"/>
        <v>47.076526225279459</v>
      </c>
      <c r="P19" s="55">
        <f t="shared" si="24"/>
        <v>46.634565778159931</v>
      </c>
      <c r="Q19" s="55">
        <f t="shared" si="24"/>
        <v>49.751504729148756</v>
      </c>
      <c r="R19" s="55">
        <f t="shared" si="24"/>
        <v>47.793035253654345</v>
      </c>
      <c r="S19" s="55">
        <f t="shared" si="24"/>
        <v>44.153052450558896</v>
      </c>
      <c r="T19" s="55">
        <f t="shared" si="24"/>
        <v>42.376010318142733</v>
      </c>
      <c r="U19" s="55">
        <f t="shared" si="24"/>
        <v>39.6030094582975</v>
      </c>
      <c r="V19" s="55">
        <f t="shared" si="24"/>
        <v>42.110920034393814</v>
      </c>
      <c r="W19" s="55">
        <f t="shared" si="24"/>
        <v>35.275150472914866</v>
      </c>
      <c r="DA19" s="10"/>
    </row>
    <row r="20" spans="1:105" x14ac:dyDescent="0.25">
      <c r="A20" s="61" t="s">
        <v>171</v>
      </c>
      <c r="B20" s="55">
        <v>0</v>
      </c>
      <c r="C20" s="55">
        <v>0</v>
      </c>
      <c r="D20" s="55">
        <v>0</v>
      </c>
      <c r="E20" s="55">
        <v>0</v>
      </c>
      <c r="F20" s="55">
        <v>0</v>
      </c>
      <c r="G20" s="55">
        <v>0</v>
      </c>
      <c r="H20" s="55">
        <v>0</v>
      </c>
      <c r="I20" s="55">
        <v>11.27351676698194</v>
      </c>
      <c r="J20" s="55">
        <v>14.688993981083399</v>
      </c>
      <c r="K20" s="55">
        <v>17.12527944969905</v>
      </c>
      <c r="L20" s="55">
        <v>13.738435081685299</v>
      </c>
      <c r="M20" s="55">
        <v>8.615133276010317</v>
      </c>
      <c r="N20" s="55">
        <v>10.72656921754084</v>
      </c>
      <c r="O20" s="55">
        <v>12.00679277730009</v>
      </c>
      <c r="P20" s="55">
        <v>10.227343078245919</v>
      </c>
      <c r="Q20" s="55">
        <v>11.283061049011179</v>
      </c>
      <c r="R20" s="55">
        <v>10.518744625967329</v>
      </c>
      <c r="S20" s="55">
        <v>10.045829750644881</v>
      </c>
      <c r="T20" s="55">
        <v>8.6104041272570928</v>
      </c>
      <c r="U20" s="55">
        <v>8.2473774720550299</v>
      </c>
      <c r="V20" s="55">
        <v>8.2831470335339628</v>
      </c>
      <c r="W20" s="55">
        <v>6.6112639724849531</v>
      </c>
      <c r="DA20" s="10" t="s">
        <v>984</v>
      </c>
    </row>
    <row r="21" spans="1:105" x14ac:dyDescent="0.25">
      <c r="A21" s="61" t="s">
        <v>50</v>
      </c>
      <c r="B21" s="55">
        <v>0</v>
      </c>
      <c r="C21" s="55">
        <v>0</v>
      </c>
      <c r="D21" s="55">
        <v>0</v>
      </c>
      <c r="E21" s="55">
        <v>0</v>
      </c>
      <c r="F21" s="55">
        <v>1.1703353396388649</v>
      </c>
      <c r="G21" s="55">
        <v>1.5047291487532239</v>
      </c>
      <c r="H21" s="55">
        <v>2.6750644883920889</v>
      </c>
      <c r="I21" s="55">
        <v>0.62098022355975924</v>
      </c>
      <c r="J21" s="55">
        <v>1.098710232158211</v>
      </c>
      <c r="K21" s="55">
        <v>12.56328460877042</v>
      </c>
      <c r="L21" s="55">
        <v>22.44196044711952</v>
      </c>
      <c r="M21" s="55">
        <v>18.747033533963879</v>
      </c>
      <c r="N21" s="55">
        <v>24.142562338779019</v>
      </c>
      <c r="O21" s="55">
        <v>35.055374032674123</v>
      </c>
      <c r="P21" s="55">
        <v>36.388134135855537</v>
      </c>
      <c r="Q21" s="55">
        <v>38.430266552020633</v>
      </c>
      <c r="R21" s="55">
        <v>37.195442820292349</v>
      </c>
      <c r="S21" s="55">
        <v>34.030782459157351</v>
      </c>
      <c r="T21" s="55">
        <v>33.684436801375753</v>
      </c>
      <c r="U21" s="55">
        <v>31.27446259673258</v>
      </c>
      <c r="V21" s="55">
        <v>33.748925193465183</v>
      </c>
      <c r="W21" s="55">
        <v>28.58744625967325</v>
      </c>
      <c r="DA21" s="10" t="s">
        <v>985</v>
      </c>
    </row>
    <row r="22" spans="1:105" x14ac:dyDescent="0.25">
      <c r="A22" s="61" t="s">
        <v>49</v>
      </c>
      <c r="B22" s="55">
        <v>0</v>
      </c>
      <c r="C22" s="55">
        <v>0</v>
      </c>
      <c r="D22" s="55">
        <v>0</v>
      </c>
      <c r="E22" s="55">
        <v>0</v>
      </c>
      <c r="F22" s="55">
        <v>0</v>
      </c>
      <c r="G22" s="55">
        <v>4.772141014617369E-2</v>
      </c>
      <c r="H22" s="55">
        <v>0.71143594153052436</v>
      </c>
      <c r="I22" s="55">
        <v>3.128374892519346</v>
      </c>
      <c r="J22" s="55">
        <v>3.2300085984522782</v>
      </c>
      <c r="K22" s="55">
        <v>5.5648323301805656</v>
      </c>
      <c r="L22" s="55">
        <v>0</v>
      </c>
      <c r="M22" s="55">
        <v>0</v>
      </c>
      <c r="N22" s="55">
        <v>0</v>
      </c>
      <c r="O22" s="55">
        <v>0</v>
      </c>
      <c r="P22" s="55">
        <v>0</v>
      </c>
      <c r="Q22" s="55">
        <v>0</v>
      </c>
      <c r="R22" s="55">
        <v>0</v>
      </c>
      <c r="S22" s="55">
        <v>0</v>
      </c>
      <c r="T22" s="55">
        <v>0</v>
      </c>
      <c r="U22" s="55">
        <v>0</v>
      </c>
      <c r="V22" s="55">
        <v>0</v>
      </c>
      <c r="W22" s="55">
        <v>0</v>
      </c>
      <c r="DA22" s="10" t="s">
        <v>986</v>
      </c>
    </row>
    <row r="23" spans="1:105" x14ac:dyDescent="0.25">
      <c r="A23" s="61" t="s">
        <v>26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1.4359415305245061E-2</v>
      </c>
      <c r="P23" s="55">
        <v>1.9088564058469471E-2</v>
      </c>
      <c r="Q23" s="55">
        <v>3.8177128116938949E-2</v>
      </c>
      <c r="R23" s="55">
        <v>7.8847807394668956E-2</v>
      </c>
      <c r="S23" s="55">
        <v>7.6440240756663794E-2</v>
      </c>
      <c r="T23" s="55">
        <v>8.116938950988821E-2</v>
      </c>
      <c r="U23" s="55">
        <v>8.116938950988821E-2</v>
      </c>
      <c r="V23" s="55">
        <v>7.8847807394668956E-2</v>
      </c>
      <c r="W23" s="55">
        <v>7.6440240756663794E-2</v>
      </c>
      <c r="DA23" s="10" t="s">
        <v>987</v>
      </c>
    </row>
    <row r="24" spans="1:105" x14ac:dyDescent="0.25">
      <c r="A24" s="61" t="s">
        <v>25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" t="s">
        <v>988</v>
      </c>
    </row>
    <row r="25" spans="1:105" x14ac:dyDescent="0.25">
      <c r="A25" s="61" t="s">
        <v>157</v>
      </c>
      <c r="B25" s="55">
        <v>0</v>
      </c>
      <c r="C25" s="55">
        <v>0</v>
      </c>
      <c r="D25" s="55">
        <v>0</v>
      </c>
      <c r="E25" s="55">
        <v>0</v>
      </c>
      <c r="F25" s="55">
        <v>0</v>
      </c>
      <c r="G25" s="55">
        <v>0</v>
      </c>
      <c r="H25" s="55">
        <v>0</v>
      </c>
      <c r="I25" s="55">
        <v>0</v>
      </c>
      <c r="J25" s="55">
        <v>0</v>
      </c>
      <c r="K25" s="55">
        <v>0</v>
      </c>
      <c r="L25" s="55">
        <v>0</v>
      </c>
      <c r="M25" s="55">
        <v>0</v>
      </c>
      <c r="N25" s="55">
        <v>0</v>
      </c>
      <c r="O25" s="55">
        <v>0</v>
      </c>
      <c r="P25" s="55">
        <v>0</v>
      </c>
      <c r="Q25" s="55">
        <v>0</v>
      </c>
      <c r="R25" s="55">
        <v>0</v>
      </c>
      <c r="S25" s="55">
        <v>0</v>
      </c>
      <c r="T25" s="55">
        <v>0</v>
      </c>
      <c r="U25" s="55">
        <v>0</v>
      </c>
      <c r="V25" s="55">
        <v>0</v>
      </c>
      <c r="W25" s="55">
        <v>0</v>
      </c>
      <c r="DA25" s="10" t="s">
        <v>989</v>
      </c>
    </row>
    <row r="26" spans="1:105" x14ac:dyDescent="0.25">
      <c r="A26" s="60" t="s">
        <v>169</v>
      </c>
      <c r="B26" s="55">
        <v>0</v>
      </c>
      <c r="C26" s="55">
        <v>0</v>
      </c>
      <c r="D26" s="55">
        <v>0</v>
      </c>
      <c r="E26" s="55">
        <v>0</v>
      </c>
      <c r="F26" s="55">
        <v>4.184608770421324</v>
      </c>
      <c r="G26" s="55">
        <v>1.320808254514187</v>
      </c>
      <c r="H26" s="55">
        <v>4.9297506448839208</v>
      </c>
      <c r="I26" s="55">
        <v>5.3262252794496989</v>
      </c>
      <c r="J26" s="55">
        <v>3.2220120378331898</v>
      </c>
      <c r="K26" s="55">
        <v>1.5047291487532239</v>
      </c>
      <c r="L26" s="55">
        <v>5.0444539982803089</v>
      </c>
      <c r="M26" s="55">
        <v>4.8509888220120381</v>
      </c>
      <c r="N26" s="55">
        <v>2.142476354256234</v>
      </c>
      <c r="O26" s="55">
        <v>3.0834909716251069</v>
      </c>
      <c r="P26" s="55">
        <v>2.2355975924333622</v>
      </c>
      <c r="Q26" s="55">
        <v>4.4998280309544274</v>
      </c>
      <c r="R26" s="55">
        <v>4.7769561478933786</v>
      </c>
      <c r="S26" s="55">
        <v>4.3852106620808264</v>
      </c>
      <c r="T26" s="55">
        <v>4.8891659501289766</v>
      </c>
      <c r="U26" s="55">
        <v>5.7514187446259664</v>
      </c>
      <c r="V26" s="55">
        <v>0.90765262252794487</v>
      </c>
      <c r="W26" s="55">
        <v>1.084350816852967</v>
      </c>
      <c r="DA26" s="10" t="s">
        <v>990</v>
      </c>
    </row>
    <row r="27" spans="1:105" x14ac:dyDescent="0.25">
      <c r="A27" s="62" t="s">
        <v>24</v>
      </c>
      <c r="B27" s="63">
        <v>22.098022355975921</v>
      </c>
      <c r="C27" s="63">
        <v>22.699914015477209</v>
      </c>
      <c r="D27" s="63">
        <v>23.98968185726569</v>
      </c>
      <c r="E27" s="63">
        <v>24.07566638005159</v>
      </c>
      <c r="F27" s="63">
        <v>84.204643164230433</v>
      </c>
      <c r="G27" s="63">
        <v>87.635425623387789</v>
      </c>
      <c r="H27" s="63">
        <v>71.126397248495266</v>
      </c>
      <c r="I27" s="63">
        <v>83.723129836629411</v>
      </c>
      <c r="J27" s="63">
        <v>107.07652622527939</v>
      </c>
      <c r="K27" s="63">
        <v>128.70163370593289</v>
      </c>
      <c r="L27" s="63">
        <v>138.91659501289769</v>
      </c>
      <c r="M27" s="63">
        <v>129.8452278589854</v>
      </c>
      <c r="N27" s="63">
        <v>138.28030954428201</v>
      </c>
      <c r="O27" s="63">
        <v>127.6612209802236</v>
      </c>
      <c r="P27" s="63">
        <v>125.5631986242476</v>
      </c>
      <c r="Q27" s="63">
        <v>135.2278589853826</v>
      </c>
      <c r="R27" s="63">
        <v>143.00085984522781</v>
      </c>
      <c r="S27" s="63">
        <v>134.3766122098022</v>
      </c>
      <c r="T27" s="63">
        <v>144.11006018916589</v>
      </c>
      <c r="U27" s="63">
        <v>150.48151332760099</v>
      </c>
      <c r="V27" s="63">
        <v>157.11092003439381</v>
      </c>
      <c r="W27" s="63">
        <v>139.64746345657781</v>
      </c>
      <c r="DA27" s="11" t="s">
        <v>991</v>
      </c>
    </row>
    <row r="29" spans="1:105" x14ac:dyDescent="0.25">
      <c r="A29" s="219" t="s">
        <v>84</v>
      </c>
      <c r="B29" s="220">
        <v>2419.8330672000002</v>
      </c>
      <c r="C29" s="220">
        <v>2308.3143454800002</v>
      </c>
      <c r="D29" s="220">
        <v>1930.3838223600003</v>
      </c>
      <c r="E29" s="220">
        <v>2536.1777255999996</v>
      </c>
      <c r="F29" s="220">
        <v>2881.3135813200001</v>
      </c>
      <c r="G29" s="220">
        <v>2771.2156503599995</v>
      </c>
      <c r="H29" s="220">
        <v>2378.8012208400005</v>
      </c>
      <c r="I29" s="220">
        <v>2000.9021525999999</v>
      </c>
      <c r="J29" s="220">
        <v>2046.0619317600001</v>
      </c>
      <c r="K29" s="220">
        <v>1867.5411621599999</v>
      </c>
      <c r="L29" s="220">
        <v>1986.4223654399998</v>
      </c>
      <c r="M29" s="220">
        <v>1769.6260844399999</v>
      </c>
      <c r="N29" s="220">
        <v>1769.9230819199995</v>
      </c>
      <c r="O29" s="220">
        <v>1918.92743376</v>
      </c>
      <c r="P29" s="220">
        <v>1611.2023942799997</v>
      </c>
      <c r="Q29" s="220">
        <v>1610.8759167599997</v>
      </c>
      <c r="R29" s="220">
        <v>1746.6262881600001</v>
      </c>
      <c r="S29" s="220">
        <v>1816.7943551999997</v>
      </c>
      <c r="T29" s="220">
        <v>1798.4831432400001</v>
      </c>
      <c r="U29" s="220">
        <v>2078.3356678799996</v>
      </c>
      <c r="V29" s="220">
        <v>1918.5214065600001</v>
      </c>
      <c r="W29" s="220">
        <v>1953.9025572</v>
      </c>
      <c r="DA29" s="8"/>
    </row>
    <row r="31" spans="1:105" x14ac:dyDescent="0.25">
      <c r="A31" s="33" t="s">
        <v>154</v>
      </c>
      <c r="B31" s="59">
        <f t="shared" ref="B31:W31" si="25">IF(B$12=0,"",B$12/B$3*1000)</f>
        <v>205.73176201480416</v>
      </c>
      <c r="C31" s="59">
        <f t="shared" si="25"/>
        <v>206.93025444135105</v>
      </c>
      <c r="D31" s="59">
        <f t="shared" si="25"/>
        <v>182.57655117513659</v>
      </c>
      <c r="E31" s="59">
        <f t="shared" si="25"/>
        <v>235.46906055819716</v>
      </c>
      <c r="F31" s="59">
        <f t="shared" si="25"/>
        <v>288.89541875753974</v>
      </c>
      <c r="G31" s="59">
        <f t="shared" si="25"/>
        <v>331.91283787623667</v>
      </c>
      <c r="H31" s="59">
        <f t="shared" si="25"/>
        <v>258.39382428057195</v>
      </c>
      <c r="I31" s="59">
        <f t="shared" si="25"/>
        <v>223.45793838397086</v>
      </c>
      <c r="J31" s="59">
        <f t="shared" si="25"/>
        <v>290.33125341384908</v>
      </c>
      <c r="K31" s="59">
        <f t="shared" si="25"/>
        <v>323.34752741903242</v>
      </c>
      <c r="L31" s="59">
        <f t="shared" si="25"/>
        <v>289.2172548720024</v>
      </c>
      <c r="M31" s="59">
        <f t="shared" si="25"/>
        <v>301.6503772046857</v>
      </c>
      <c r="N31" s="59">
        <f t="shared" si="25"/>
        <v>254.03856756608161</v>
      </c>
      <c r="O31" s="59">
        <f t="shared" si="25"/>
        <v>310.2621013959361</v>
      </c>
      <c r="P31" s="59">
        <f t="shared" si="25"/>
        <v>283.51715123458274</v>
      </c>
      <c r="Q31" s="59">
        <f t="shared" si="25"/>
        <v>265.41576115571996</v>
      </c>
      <c r="R31" s="59">
        <f t="shared" si="25"/>
        <v>306.43610831880221</v>
      </c>
      <c r="S31" s="59">
        <f t="shared" si="25"/>
        <v>291.05232616485779</v>
      </c>
      <c r="T31" s="59">
        <f t="shared" si="25"/>
        <v>317.3865608227141</v>
      </c>
      <c r="U31" s="59">
        <f t="shared" si="25"/>
        <v>313.76518841420216</v>
      </c>
      <c r="V31" s="59">
        <f t="shared" si="25"/>
        <v>311.73554528948694</v>
      </c>
      <c r="W31" s="59">
        <f t="shared" si="25"/>
        <v>308.51621949886447</v>
      </c>
      <c r="DA31" s="212"/>
    </row>
    <row r="32" spans="1:105" x14ac:dyDescent="0.25">
      <c r="A32" s="35" t="s">
        <v>112</v>
      </c>
      <c r="B32" s="55">
        <f t="shared" ref="B32:W32" si="26">IF(B$12=0,"",B$12/B$5*1000)</f>
        <v>126.45888445910971</v>
      </c>
      <c r="C32" s="55">
        <f t="shared" si="26"/>
        <v>122.34803499436494</v>
      </c>
      <c r="D32" s="55">
        <f t="shared" si="26"/>
        <v>127.8105623843866</v>
      </c>
      <c r="E32" s="55">
        <f t="shared" si="26"/>
        <v>135.43288032890186</v>
      </c>
      <c r="F32" s="55">
        <f t="shared" si="26"/>
        <v>134.84363036747561</v>
      </c>
      <c r="G32" s="55">
        <f t="shared" si="26"/>
        <v>154.42655608236757</v>
      </c>
      <c r="H32" s="55">
        <f t="shared" si="26"/>
        <v>146.93020171673029</v>
      </c>
      <c r="I32" s="55">
        <f t="shared" si="26"/>
        <v>137.2385115226293</v>
      </c>
      <c r="J32" s="55">
        <f t="shared" si="26"/>
        <v>139.32723127138399</v>
      </c>
      <c r="K32" s="55">
        <f t="shared" si="26"/>
        <v>156.36023356757102</v>
      </c>
      <c r="L32" s="55">
        <f t="shared" si="26"/>
        <v>144.5858594059342</v>
      </c>
      <c r="M32" s="55">
        <f t="shared" si="26"/>
        <v>132.8002659379103</v>
      </c>
      <c r="N32" s="55">
        <f t="shared" si="26"/>
        <v>135.04301399101357</v>
      </c>
      <c r="O32" s="55">
        <f t="shared" si="26"/>
        <v>132.95020410976798</v>
      </c>
      <c r="P32" s="55">
        <f t="shared" si="26"/>
        <v>130.15939664117735</v>
      </c>
      <c r="Q32" s="55">
        <f t="shared" si="26"/>
        <v>132.91816907674806</v>
      </c>
      <c r="R32" s="55">
        <f t="shared" si="26"/>
        <v>135.38540863538174</v>
      </c>
      <c r="S32" s="55">
        <f t="shared" si="26"/>
        <v>124.90211009173738</v>
      </c>
      <c r="T32" s="55">
        <f t="shared" si="26"/>
        <v>141.27985612939972</v>
      </c>
      <c r="U32" s="55">
        <f t="shared" si="26"/>
        <v>142.01198459584063</v>
      </c>
      <c r="V32" s="55">
        <f t="shared" si="26"/>
        <v>148.62601044661253</v>
      </c>
      <c r="W32" s="55">
        <f t="shared" si="26"/>
        <v>142.5401415478579</v>
      </c>
      <c r="DA32" s="217"/>
    </row>
    <row r="33" spans="1:105" x14ac:dyDescent="0.25">
      <c r="A33" s="35" t="s">
        <v>111</v>
      </c>
      <c r="B33" s="55">
        <f>IF(AGR_ued!B$5=0,"",AGR_ued!B$5/B$5*1000)</f>
        <v>42.157645687262473</v>
      </c>
      <c r="C33" s="55">
        <f>IF(AGR_ued!C$5=0,"",AGR_ued!C$5/C$5*1000)</f>
        <v>41.1952114682583</v>
      </c>
      <c r="D33" s="55">
        <f>IF(AGR_ued!D$5=0,"",AGR_ued!D$5/D$5*1000)</f>
        <v>43.506667768302975</v>
      </c>
      <c r="E33" s="55">
        <f>IF(AGR_ued!E$5=0,"",AGR_ued!E$5/E$5*1000)</f>
        <v>45.115415133696963</v>
      </c>
      <c r="F33" s="55">
        <f>IF(AGR_ued!F$5=0,"",AGR_ued!F$5/F$5*1000)</f>
        <v>48.061057748919382</v>
      </c>
      <c r="G33" s="55">
        <f>IF(AGR_ued!G$5=0,"",AGR_ued!G$5/G$5*1000)</f>
        <v>55.314429722360785</v>
      </c>
      <c r="H33" s="55">
        <f>IF(AGR_ued!H$5=0,"",AGR_ued!H$5/H$5*1000)</f>
        <v>52.810466294956498</v>
      </c>
      <c r="I33" s="55">
        <f>IF(AGR_ued!I$5=0,"",AGR_ued!I$5/I$5*1000)</f>
        <v>49.598701404776591</v>
      </c>
      <c r="J33" s="55">
        <f>IF(AGR_ued!J$5=0,"",AGR_ued!J$5/J$5*1000)</f>
        <v>51.48450973525248</v>
      </c>
      <c r="K33" s="55">
        <f>IF(AGR_ued!K$5=0,"",AGR_ued!K$5/K$5*1000)</f>
        <v>59.078835882762533</v>
      </c>
      <c r="L33" s="55">
        <f>IF(AGR_ued!L$5=0,"",AGR_ued!L$5/L$5*1000)</f>
        <v>55.599231216795168</v>
      </c>
      <c r="M33" s="55">
        <f>IF(AGR_ued!M$5=0,"",AGR_ued!M$5/M$5*1000)</f>
        <v>51.422464146344296</v>
      </c>
      <c r="N33" s="55">
        <f>IF(AGR_ued!N$5=0,"",AGR_ued!N$5/N$5*1000)</f>
        <v>52.59803180739501</v>
      </c>
      <c r="O33" s="55">
        <f>IF(AGR_ued!O$5=0,"",AGR_ued!O$5/O$5*1000)</f>
        <v>51.300006033280958</v>
      </c>
      <c r="P33" s="55">
        <f>IF(AGR_ued!P$5=0,"",AGR_ued!P$5/P$5*1000)</f>
        <v>50.694591313219171</v>
      </c>
      <c r="Q33" s="55">
        <f>IF(AGR_ued!Q$5=0,"",AGR_ued!Q$5/Q$5*1000)</f>
        <v>52.232034243806147</v>
      </c>
      <c r="R33" s="55">
        <f>IF(AGR_ued!R$5=0,"",AGR_ued!R$5/R$5*1000)</f>
        <v>53.138293810220112</v>
      </c>
      <c r="S33" s="55">
        <f>IF(AGR_ued!S$5=0,"",AGR_ued!S$5/S$5*1000)</f>
        <v>48.834085337475464</v>
      </c>
      <c r="T33" s="55">
        <f>IF(AGR_ued!T$5=0,"",AGR_ued!T$5/T$5*1000)</f>
        <v>55.656573300193109</v>
      </c>
      <c r="U33" s="55">
        <f>IF(AGR_ued!U$5=0,"",AGR_ued!U$5/U$5*1000)</f>
        <v>55.549792698476828</v>
      </c>
      <c r="V33" s="55">
        <f>IF(AGR_ued!V$5=0,"",AGR_ued!V$5/V$5*1000)</f>
        <v>58.717047288171777</v>
      </c>
      <c r="W33" s="55">
        <f>IF(AGR_ued!W$5=0,"",AGR_ued!W$5/W$5*1000)</f>
        <v>56.236267943413978</v>
      </c>
      <c r="DA33" s="217"/>
    </row>
    <row r="34" spans="1:105" x14ac:dyDescent="0.25">
      <c r="A34" s="37" t="s">
        <v>110</v>
      </c>
      <c r="B34" s="218">
        <f t="shared" ref="B34:W34" si="27">IF(B$12=0,"",B$29/B$12)</f>
        <v>3.0517423782816286</v>
      </c>
      <c r="C34" s="218">
        <f t="shared" si="27"/>
        <v>3.0360610510020614</v>
      </c>
      <c r="D34" s="218">
        <f t="shared" si="27"/>
        <v>3.0373764222567763</v>
      </c>
      <c r="E34" s="218">
        <f t="shared" si="27"/>
        <v>3.0734283241656937</v>
      </c>
      <c r="F34" s="218">
        <f t="shared" si="27"/>
        <v>2.7655075370711653</v>
      </c>
      <c r="G34" s="218">
        <f t="shared" si="27"/>
        <v>2.7517243092702857</v>
      </c>
      <c r="H34" s="218">
        <f t="shared" si="27"/>
        <v>2.741204209283358</v>
      </c>
      <c r="I34" s="218">
        <f t="shared" si="27"/>
        <v>2.6283507131453612</v>
      </c>
      <c r="J34" s="218">
        <f t="shared" si="27"/>
        <v>2.5584001504319533</v>
      </c>
      <c r="K34" s="218">
        <f t="shared" si="27"/>
        <v>2.3641737759592436</v>
      </c>
      <c r="L34" s="218">
        <f t="shared" si="27"/>
        <v>2.3042474316268713</v>
      </c>
      <c r="M34" s="218">
        <f t="shared" si="27"/>
        <v>2.2805690490249262</v>
      </c>
      <c r="N34" s="218">
        <f t="shared" si="27"/>
        <v>2.2280355428660492</v>
      </c>
      <c r="O34" s="218">
        <f t="shared" si="27"/>
        <v>2.2584604560277994</v>
      </c>
      <c r="P34" s="218">
        <f t="shared" si="27"/>
        <v>2.1829625077938433</v>
      </c>
      <c r="Q34" s="218">
        <f t="shared" si="27"/>
        <v>2.1218945318655105</v>
      </c>
      <c r="R34" s="218">
        <f t="shared" si="27"/>
        <v>2.1492367236442917</v>
      </c>
      <c r="S34" s="218">
        <f t="shared" si="27"/>
        <v>2.1877917232719697</v>
      </c>
      <c r="T34" s="218">
        <f t="shared" si="27"/>
        <v>2.1505190424371889</v>
      </c>
      <c r="U34" s="218">
        <f t="shared" si="27"/>
        <v>2.2138452701131248</v>
      </c>
      <c r="V34" s="218">
        <f t="shared" si="27"/>
        <v>2.1439828659639848</v>
      </c>
      <c r="W34" s="218">
        <f t="shared" si="27"/>
        <v>2.1794035498095554</v>
      </c>
      <c r="DA34" s="215"/>
    </row>
  </sheetData>
  <pageMargins left="0.39370078740157483" right="0.39370078740157483" top="0.39370078740157483" bottom="0.39370078740157483" header="0.31496062992125984" footer="0.31496062992125984"/>
  <pageSetup paperSize="9" scale="88" orientation="landscape" horizontalDpi="1200" verticalDpi="1200" r:id="rId1"/>
  <headerFooter alignWithMargins="0"/>
  <ignoredErrors>
    <ignoredError sqref="B14:W14 B19:W19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992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179" t="s">
        <v>130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 t="shared" ref="B5" si="0">SUM(B6:B9,B16:B17,B25:B27)</f>
        <v>792.93490971625079</v>
      </c>
      <c r="C5" s="80">
        <f t="shared" ref="C5:W5" si="1">SUM(C6:C9,C16:C17,C25:C27)</f>
        <v>760.29905417024929</v>
      </c>
      <c r="D5" s="80">
        <f t="shared" si="1"/>
        <v>635.54316423043838</v>
      </c>
      <c r="E5" s="80">
        <f t="shared" si="1"/>
        <v>825.19501289767823</v>
      </c>
      <c r="F5" s="80">
        <f t="shared" si="1"/>
        <v>1041.8751504729144</v>
      </c>
      <c r="G5" s="80">
        <f t="shared" si="1"/>
        <v>1007.0833190025794</v>
      </c>
      <c r="H5" s="80">
        <f t="shared" si="1"/>
        <v>867.79423903697329</v>
      </c>
      <c r="I5" s="80">
        <f t="shared" si="1"/>
        <v>761.27669819432504</v>
      </c>
      <c r="J5" s="80">
        <f t="shared" si="1"/>
        <v>799.74273430782455</v>
      </c>
      <c r="K5" s="80">
        <f t="shared" si="1"/>
        <v>789.93396388649978</v>
      </c>
      <c r="L5" s="80">
        <f t="shared" si="1"/>
        <v>862.06990541702464</v>
      </c>
      <c r="M5" s="80">
        <f t="shared" si="1"/>
        <v>775.95812553740291</v>
      </c>
      <c r="N5" s="80">
        <f t="shared" si="1"/>
        <v>794.38727429062749</v>
      </c>
      <c r="O5" s="80">
        <f t="shared" si="1"/>
        <v>849.66173688735978</v>
      </c>
      <c r="P5" s="80">
        <f t="shared" si="1"/>
        <v>738.08065348237324</v>
      </c>
      <c r="Q5" s="80">
        <f t="shared" si="1"/>
        <v>759.16870163370572</v>
      </c>
      <c r="R5" s="80">
        <f t="shared" si="1"/>
        <v>812.67282889079956</v>
      </c>
      <c r="S5" s="80">
        <f t="shared" si="1"/>
        <v>830.42381771281146</v>
      </c>
      <c r="T5" s="80">
        <f t="shared" si="1"/>
        <v>836.30189165950082</v>
      </c>
      <c r="U5" s="80">
        <f t="shared" si="1"/>
        <v>938.78993981083386</v>
      </c>
      <c r="V5" s="80">
        <f t="shared" si="1"/>
        <v>894.8398968185727</v>
      </c>
      <c r="W5" s="80">
        <f t="shared" si="1"/>
        <v>896.53086844367965</v>
      </c>
      <c r="DA5" s="103"/>
    </row>
    <row r="6" spans="1:105" x14ac:dyDescent="0.25">
      <c r="A6" s="239" t="s">
        <v>125</v>
      </c>
      <c r="B6" s="240">
        <v>4.3674167560465396</v>
      </c>
      <c r="C6" s="240">
        <v>4.4837608308399197</v>
      </c>
      <c r="D6" s="240">
        <v>4.7111401376644082</v>
      </c>
      <c r="E6" s="240">
        <v>4.7523923644158756</v>
      </c>
      <c r="F6" s="240">
        <v>15.631438435088871</v>
      </c>
      <c r="G6" s="240">
        <v>16.137186129368349</v>
      </c>
      <c r="H6" s="240">
        <v>13.24406531887549</v>
      </c>
      <c r="I6" s="240">
        <v>14.75203550556793</v>
      </c>
      <c r="J6" s="240">
        <v>18.35867830859015</v>
      </c>
      <c r="K6" s="240">
        <v>20.907257943188309</v>
      </c>
      <c r="L6" s="240">
        <v>23.111816807518242</v>
      </c>
      <c r="M6" s="240">
        <v>21.41295205667781</v>
      </c>
      <c r="N6" s="240">
        <v>22.574071496167189</v>
      </c>
      <c r="O6" s="240">
        <v>21.76323794676998</v>
      </c>
      <c r="P6" s="240">
        <v>20.649805446112211</v>
      </c>
      <c r="Q6" s="240">
        <v>21.940274879043042</v>
      </c>
      <c r="R6" s="240">
        <v>23.29915453089022</v>
      </c>
      <c r="S6" s="240">
        <v>22.484062907843409</v>
      </c>
      <c r="T6" s="240">
        <v>23.707332608046642</v>
      </c>
      <c r="U6" s="240">
        <v>25.291832938774601</v>
      </c>
      <c r="V6" s="240">
        <v>25.73956556955422</v>
      </c>
      <c r="W6" s="240">
        <v>23.766898240570871</v>
      </c>
      <c r="DA6" s="268" t="s">
        <v>993</v>
      </c>
    </row>
    <row r="7" spans="1:105" x14ac:dyDescent="0.25">
      <c r="A7" s="241" t="s">
        <v>124</v>
      </c>
      <c r="B7" s="242">
        <v>2.8388208914302488</v>
      </c>
      <c r="C7" s="242">
        <v>2.9144445400459462</v>
      </c>
      <c r="D7" s="242">
        <v>3.0622410894818639</v>
      </c>
      <c r="E7" s="242">
        <v>3.089055036870318</v>
      </c>
      <c r="F7" s="242">
        <v>10.160434982807759</v>
      </c>
      <c r="G7" s="242">
        <v>10.489170984089419</v>
      </c>
      <c r="H7" s="242">
        <v>8.6086424572690632</v>
      </c>
      <c r="I7" s="242">
        <v>9.5888230786191482</v>
      </c>
      <c r="J7" s="242">
        <v>11.9331409005836</v>
      </c>
      <c r="K7" s="242">
        <v>13.589717663072401</v>
      </c>
      <c r="L7" s="242">
        <v>15.02268092488686</v>
      </c>
      <c r="M7" s="242">
        <v>13.918418836840569</v>
      </c>
      <c r="N7" s="242">
        <v>14.67314647250868</v>
      </c>
      <c r="O7" s="242">
        <v>14.146104665400481</v>
      </c>
      <c r="P7" s="242">
        <v>13.422373539972931</v>
      </c>
      <c r="Q7" s="242">
        <v>14.261178671377969</v>
      </c>
      <c r="R7" s="242">
        <v>15.14445044507864</v>
      </c>
      <c r="S7" s="242">
        <v>14.614640890098221</v>
      </c>
      <c r="T7" s="242">
        <v>15.40976619523031</v>
      </c>
      <c r="U7" s="242">
        <v>16.439691410203491</v>
      </c>
      <c r="V7" s="242">
        <v>16.730717620210228</v>
      </c>
      <c r="W7" s="242">
        <v>15.448483856371061</v>
      </c>
      <c r="DA7" s="269" t="s">
        <v>994</v>
      </c>
    </row>
    <row r="8" spans="1:105" x14ac:dyDescent="0.25">
      <c r="A8" s="241" t="s">
        <v>123</v>
      </c>
      <c r="B8" s="242">
        <v>3.9306750804418851</v>
      </c>
      <c r="C8" s="242">
        <v>4.035384747755927</v>
      </c>
      <c r="D8" s="242">
        <v>4.2400261238979668</v>
      </c>
      <c r="E8" s="242">
        <v>4.2771531279742883</v>
      </c>
      <c r="F8" s="242">
        <v>14.06829459157998</v>
      </c>
      <c r="G8" s="242">
        <v>14.523467516431509</v>
      </c>
      <c r="H8" s="242">
        <v>11.91965878698794</v>
      </c>
      <c r="I8" s="242">
        <v>13.276831955011129</v>
      </c>
      <c r="J8" s="242">
        <v>16.522810477731131</v>
      </c>
      <c r="K8" s="242">
        <v>18.81653214886947</v>
      </c>
      <c r="L8" s="242">
        <v>20.800635126766419</v>
      </c>
      <c r="M8" s="242">
        <v>19.271656851010029</v>
      </c>
      <c r="N8" s="242">
        <v>20.316664346550471</v>
      </c>
      <c r="O8" s="242">
        <v>19.58691415209298</v>
      </c>
      <c r="P8" s="242">
        <v>18.58482490150098</v>
      </c>
      <c r="Q8" s="242">
        <v>19.746247391138741</v>
      </c>
      <c r="R8" s="242">
        <v>20.969239077801191</v>
      </c>
      <c r="S8" s="242">
        <v>20.23565661705906</v>
      </c>
      <c r="T8" s="242">
        <v>21.336599347241972</v>
      </c>
      <c r="U8" s="242">
        <v>22.762649644897142</v>
      </c>
      <c r="V8" s="242">
        <v>23.165609012598789</v>
      </c>
      <c r="W8" s="242">
        <v>21.39020841651379</v>
      </c>
      <c r="DA8" s="269" t="s">
        <v>995</v>
      </c>
    </row>
    <row r="9" spans="1:105" x14ac:dyDescent="0.25">
      <c r="A9" s="243" t="s">
        <v>122</v>
      </c>
      <c r="B9" s="244">
        <f t="shared" ref="B9" si="2">SUM(B10:B15)</f>
        <v>143.5126141489462</v>
      </c>
      <c r="C9" s="244">
        <f t="shared" ref="C9:W9" si="3">SUM(C10:C15)</f>
        <v>141.77386161689975</v>
      </c>
      <c r="D9" s="244">
        <f t="shared" si="3"/>
        <v>120.72524833349287</v>
      </c>
      <c r="E9" s="244">
        <f t="shared" si="3"/>
        <v>148.61591468031807</v>
      </c>
      <c r="F9" s="244">
        <f t="shared" si="3"/>
        <v>199.53758659375941</v>
      </c>
      <c r="G9" s="244">
        <f t="shared" si="3"/>
        <v>193.12432760977595</v>
      </c>
      <c r="H9" s="244">
        <f t="shared" si="3"/>
        <v>170.17391224926456</v>
      </c>
      <c r="I9" s="244">
        <f t="shared" si="3"/>
        <v>143.57816341013208</v>
      </c>
      <c r="J9" s="244">
        <f t="shared" si="3"/>
        <v>154.58581156550119</v>
      </c>
      <c r="K9" s="244">
        <f t="shared" si="3"/>
        <v>153.72112074319244</v>
      </c>
      <c r="L9" s="244">
        <f t="shared" si="3"/>
        <v>175.4979058843752</v>
      </c>
      <c r="M9" s="244">
        <f t="shared" si="3"/>
        <v>159.09377976210456</v>
      </c>
      <c r="N9" s="244">
        <f t="shared" si="3"/>
        <v>163.29116302676522</v>
      </c>
      <c r="O9" s="244">
        <f t="shared" si="3"/>
        <v>176.50346386035184</v>
      </c>
      <c r="P9" s="244">
        <f t="shared" si="3"/>
        <v>152.59930766608446</v>
      </c>
      <c r="Q9" s="244">
        <f t="shared" si="3"/>
        <v>159.50908885986004</v>
      </c>
      <c r="R9" s="244">
        <f t="shared" si="3"/>
        <v>170.61077158074534</v>
      </c>
      <c r="S9" s="244">
        <f t="shared" si="3"/>
        <v>176.03431496684615</v>
      </c>
      <c r="T9" s="244">
        <f t="shared" si="3"/>
        <v>178.27698358406954</v>
      </c>
      <c r="U9" s="244">
        <f t="shared" si="3"/>
        <v>199.27789202058406</v>
      </c>
      <c r="V9" s="244">
        <f t="shared" si="3"/>
        <v>190.5723874284385</v>
      </c>
      <c r="W9" s="244">
        <f t="shared" si="3"/>
        <v>196.48305022667788</v>
      </c>
      <c r="DA9" s="270"/>
    </row>
    <row r="10" spans="1:105" x14ac:dyDescent="0.25">
      <c r="A10" s="254" t="s">
        <v>173</v>
      </c>
      <c r="B10" s="255">
        <v>143.25167557256421</v>
      </c>
      <c r="C10" s="255">
        <v>141.49275175500969</v>
      </c>
      <c r="D10" s="255">
        <v>120.29126716364669</v>
      </c>
      <c r="E10" s="255">
        <v>148.30221012169929</v>
      </c>
      <c r="F10" s="255">
        <v>110.9834773171046</v>
      </c>
      <c r="G10" s="255">
        <v>111.5786539768331</v>
      </c>
      <c r="H10" s="255">
        <v>95.373989739403669</v>
      </c>
      <c r="I10" s="255">
        <v>78.634232531829383</v>
      </c>
      <c r="J10" s="255">
        <v>98.259059840312531</v>
      </c>
      <c r="K10" s="255">
        <v>74.18839637204276</v>
      </c>
      <c r="L10" s="255">
        <v>75.251581833055482</v>
      </c>
      <c r="M10" s="255">
        <v>62.371125929956101</v>
      </c>
      <c r="N10" s="255">
        <v>58.829276355773217</v>
      </c>
      <c r="O10" s="255">
        <v>64.431714609265853</v>
      </c>
      <c r="P10" s="255">
        <v>51.286350732994663</v>
      </c>
      <c r="Q10" s="255">
        <v>41.458220828915913</v>
      </c>
      <c r="R10" s="255">
        <v>45.771594983914078</v>
      </c>
      <c r="S10" s="255">
        <v>44.619973623685567</v>
      </c>
      <c r="T10" s="255">
        <v>40.343110589579368</v>
      </c>
      <c r="U10" s="255">
        <v>53.026082109169977</v>
      </c>
      <c r="V10" s="255">
        <v>41.684544149514267</v>
      </c>
      <c r="W10" s="255">
        <v>33.338007638765639</v>
      </c>
      <c r="DA10" s="271" t="s">
        <v>996</v>
      </c>
    </row>
    <row r="11" spans="1:105" x14ac:dyDescent="0.25">
      <c r="A11" s="254" t="s">
        <v>176</v>
      </c>
      <c r="B11" s="256">
        <v>0</v>
      </c>
      <c r="C11" s="256">
        <v>0</v>
      </c>
      <c r="D11" s="256">
        <v>0</v>
      </c>
      <c r="E11" s="256">
        <v>0</v>
      </c>
      <c r="F11" s="256">
        <v>78.322049516500257</v>
      </c>
      <c r="G11" s="256">
        <v>73.275370401208008</v>
      </c>
      <c r="H11" s="256">
        <v>64.964101210015698</v>
      </c>
      <c r="I11" s="256">
        <v>49.654753289479643</v>
      </c>
      <c r="J11" s="256">
        <v>37.821605004597409</v>
      </c>
      <c r="K11" s="256">
        <v>53.86265123157186</v>
      </c>
      <c r="L11" s="256">
        <v>71.844359077305398</v>
      </c>
      <c r="M11" s="256">
        <v>69.091197434081352</v>
      </c>
      <c r="N11" s="256">
        <v>76.909458252630813</v>
      </c>
      <c r="O11" s="256">
        <v>90.138286667848334</v>
      </c>
      <c r="P11" s="256">
        <v>76.756724212418703</v>
      </c>
      <c r="Q11" s="256">
        <v>88.011647544185578</v>
      </c>
      <c r="R11" s="256">
        <v>93.530498359280827</v>
      </c>
      <c r="S11" s="256">
        <v>105.0465980305017</v>
      </c>
      <c r="T11" s="256">
        <v>107.44392513755091</v>
      </c>
      <c r="U11" s="256">
        <v>116.4505705823655</v>
      </c>
      <c r="V11" s="256">
        <v>119.5406669479911</v>
      </c>
      <c r="W11" s="256">
        <v>141.22155545193499</v>
      </c>
      <c r="DA11" s="272" t="s">
        <v>997</v>
      </c>
    </row>
    <row r="12" spans="1:105" x14ac:dyDescent="0.25">
      <c r="A12" s="254" t="s">
        <v>158</v>
      </c>
      <c r="B12" s="256">
        <v>0</v>
      </c>
      <c r="C12" s="256">
        <v>0</v>
      </c>
      <c r="D12" s="256">
        <v>0</v>
      </c>
      <c r="E12" s="256">
        <v>0</v>
      </c>
      <c r="F12" s="256">
        <v>0</v>
      </c>
      <c r="G12" s="256">
        <v>0</v>
      </c>
      <c r="H12" s="256">
        <v>0</v>
      </c>
      <c r="I12" s="256">
        <v>0</v>
      </c>
      <c r="J12" s="256">
        <v>0</v>
      </c>
      <c r="K12" s="256">
        <v>0</v>
      </c>
      <c r="L12" s="256">
        <v>0</v>
      </c>
      <c r="M12" s="256">
        <v>0</v>
      </c>
      <c r="N12" s="256">
        <v>0</v>
      </c>
      <c r="O12" s="256">
        <v>4.9403647811361757E-3</v>
      </c>
      <c r="P12" s="256">
        <v>6.4637339516710329E-3</v>
      </c>
      <c r="Q12" s="256">
        <v>1.2907866410963101E-2</v>
      </c>
      <c r="R12" s="256">
        <v>2.6634899797231059E-2</v>
      </c>
      <c r="S12" s="256">
        <v>2.6234979246102751E-2</v>
      </c>
      <c r="T12" s="256">
        <v>2.7384758300807471E-2</v>
      </c>
      <c r="U12" s="256">
        <v>2.747195026023988E-2</v>
      </c>
      <c r="V12" s="256">
        <v>2.6431522286635881E-2</v>
      </c>
      <c r="W12" s="256">
        <v>2.6164064860785239E-2</v>
      </c>
      <c r="DA12" s="272" t="s">
        <v>998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999</v>
      </c>
    </row>
    <row r="14" spans="1:105" x14ac:dyDescent="0.25">
      <c r="A14" s="254" t="s">
        <v>169</v>
      </c>
      <c r="B14" s="255">
        <v>0</v>
      </c>
      <c r="C14" s="255">
        <v>0</v>
      </c>
      <c r="D14" s="255">
        <v>0</v>
      </c>
      <c r="E14" s="255">
        <v>0</v>
      </c>
      <c r="F14" s="255">
        <v>4.1846087704188548</v>
      </c>
      <c r="G14" s="255">
        <v>1.3208082545136379</v>
      </c>
      <c r="H14" s="255">
        <v>4.9297506448805892</v>
      </c>
      <c r="I14" s="255">
        <v>5.3262252794484333</v>
      </c>
      <c r="J14" s="255">
        <v>3.2220120378327359</v>
      </c>
      <c r="K14" s="255">
        <v>1.504729148753351</v>
      </c>
      <c r="L14" s="255">
        <v>5.0444539982799252</v>
      </c>
      <c r="M14" s="255">
        <v>4.850988822011745</v>
      </c>
      <c r="N14" s="255">
        <v>2.1424763542561349</v>
      </c>
      <c r="O14" s="255">
        <v>3.083490971624574</v>
      </c>
      <c r="P14" s="255">
        <v>2.2355975924331859</v>
      </c>
      <c r="Q14" s="255">
        <v>4.4998280309543537</v>
      </c>
      <c r="R14" s="255">
        <v>4.7769561478934621</v>
      </c>
      <c r="S14" s="255">
        <v>4.3852106620800901</v>
      </c>
      <c r="T14" s="255">
        <v>4.8891659501291542</v>
      </c>
      <c r="U14" s="255">
        <v>5.7514187446253704</v>
      </c>
      <c r="V14" s="255">
        <v>0.9076526225279784</v>
      </c>
      <c r="W14" s="255">
        <v>1.0843508168527789</v>
      </c>
      <c r="DA14" s="271" t="s">
        <v>1000</v>
      </c>
    </row>
    <row r="15" spans="1:105" x14ac:dyDescent="0.25">
      <c r="A15" s="254" t="s">
        <v>24</v>
      </c>
      <c r="B15" s="256">
        <v>0.26093857638197537</v>
      </c>
      <c r="C15" s="256">
        <v>0.2811098618900606</v>
      </c>
      <c r="D15" s="256">
        <v>0.43398116984617702</v>
      </c>
      <c r="E15" s="256">
        <v>0.31370455861879259</v>
      </c>
      <c r="F15" s="256">
        <v>6.0474509897356921</v>
      </c>
      <c r="G15" s="256">
        <v>6.9494949772211649</v>
      </c>
      <c r="H15" s="256">
        <v>4.9060706549645854</v>
      </c>
      <c r="I15" s="256">
        <v>9.9629523093745895</v>
      </c>
      <c r="J15" s="256">
        <v>15.28313468275851</v>
      </c>
      <c r="K15" s="256">
        <v>24.165343990824478</v>
      </c>
      <c r="L15" s="256">
        <v>23.357510975734421</v>
      </c>
      <c r="M15" s="256">
        <v>22.780467576055369</v>
      </c>
      <c r="N15" s="256">
        <v>25.40995206410506</v>
      </c>
      <c r="O15" s="256">
        <v>18.84503124683194</v>
      </c>
      <c r="P15" s="256">
        <v>22.31417139428623</v>
      </c>
      <c r="Q15" s="256">
        <v>25.526484589393249</v>
      </c>
      <c r="R15" s="256">
        <v>26.505087189859729</v>
      </c>
      <c r="S15" s="256">
        <v>21.956297671332681</v>
      </c>
      <c r="T15" s="256">
        <v>25.573397148509311</v>
      </c>
      <c r="U15" s="256">
        <v>24.02234863416296</v>
      </c>
      <c r="V15" s="256">
        <v>28.413092186118519</v>
      </c>
      <c r="W15" s="256">
        <v>20.812972254263691</v>
      </c>
      <c r="DA15" s="272" t="s">
        <v>1001</v>
      </c>
    </row>
    <row r="16" spans="1:105" x14ac:dyDescent="0.25">
      <c r="A16" s="257" t="s">
        <v>175</v>
      </c>
      <c r="B16" s="258">
        <v>194.69299469724999</v>
      </c>
      <c r="C16" s="258">
        <v>192.36121588132821</v>
      </c>
      <c r="D16" s="258">
        <v>164.39719574465121</v>
      </c>
      <c r="E16" s="258">
        <v>201.82467507211601</v>
      </c>
      <c r="F16" s="258">
        <v>240.70888662032729</v>
      </c>
      <c r="G16" s="258">
        <v>236.40688934635011</v>
      </c>
      <c r="H16" s="258">
        <v>205.78279470417019</v>
      </c>
      <c r="I16" s="258">
        <v>173.93493995929711</v>
      </c>
      <c r="J16" s="258">
        <v>195.53980745182719</v>
      </c>
      <c r="K16" s="258">
        <v>182.58270671484851</v>
      </c>
      <c r="L16" s="258">
        <v>202.76092086073101</v>
      </c>
      <c r="M16" s="258">
        <v>179.86971148558189</v>
      </c>
      <c r="N16" s="258">
        <v>181.43657667098961</v>
      </c>
      <c r="O16" s="258">
        <v>196.76471315062849</v>
      </c>
      <c r="P16" s="258">
        <v>166.6375128479992</v>
      </c>
      <c r="Q16" s="258">
        <v>162.4920135846194</v>
      </c>
      <c r="R16" s="258">
        <v>175.33024547364869</v>
      </c>
      <c r="S16" s="258">
        <v>178.3993119639741</v>
      </c>
      <c r="T16" s="258">
        <v>175.28460034218159</v>
      </c>
      <c r="U16" s="258">
        <v>204.68145251500019</v>
      </c>
      <c r="V16" s="258">
        <v>186.53461901341299</v>
      </c>
      <c r="W16" s="258">
        <v>179.160336205004</v>
      </c>
      <c r="DA16" s="273" t="s">
        <v>1002</v>
      </c>
    </row>
    <row r="17" spans="1:105" x14ac:dyDescent="0.25">
      <c r="A17" s="257" t="s">
        <v>121</v>
      </c>
      <c r="B17" s="258">
        <f t="shared" ref="B17" si="4">SUM(B18:B24)</f>
        <v>395.4803356408276</v>
      </c>
      <c r="C17" s="258">
        <f t="shared" ref="C17:W17" si="5">SUM(C18:C24)</f>
        <v>366.7813618007105</v>
      </c>
      <c r="D17" s="258">
        <f t="shared" si="5"/>
        <v>295.27472826058323</v>
      </c>
      <c r="E17" s="258">
        <f t="shared" si="5"/>
        <v>412.21016805667546</v>
      </c>
      <c r="F17" s="258">
        <f t="shared" si="5"/>
        <v>477.21726651757115</v>
      </c>
      <c r="G17" s="258">
        <f t="shared" si="5"/>
        <v>451.43861746165737</v>
      </c>
      <c r="H17" s="258">
        <f t="shared" si="5"/>
        <v>386.07432654949116</v>
      </c>
      <c r="I17" s="258">
        <f t="shared" si="5"/>
        <v>336.58036905788362</v>
      </c>
      <c r="J17" s="258">
        <f t="shared" si="5"/>
        <v>320.24912017065429</v>
      </c>
      <c r="K17" s="258">
        <f t="shared" si="5"/>
        <v>314.00905802315367</v>
      </c>
      <c r="L17" s="258">
        <f t="shared" si="5"/>
        <v>329.28979393714042</v>
      </c>
      <c r="M17" s="258">
        <f t="shared" si="5"/>
        <v>295.36640995962415</v>
      </c>
      <c r="N17" s="258">
        <f t="shared" si="5"/>
        <v>301.92462686213332</v>
      </c>
      <c r="O17" s="258">
        <f t="shared" si="5"/>
        <v>329.76739072758619</v>
      </c>
      <c r="P17" s="258">
        <f t="shared" si="5"/>
        <v>283.57401893274408</v>
      </c>
      <c r="Q17" s="258">
        <f t="shared" si="5"/>
        <v>296.24203021993679</v>
      </c>
      <c r="R17" s="258">
        <f t="shared" si="5"/>
        <v>316.54487136010647</v>
      </c>
      <c r="S17" s="258">
        <f t="shared" si="5"/>
        <v>329.28896171805326</v>
      </c>
      <c r="T17" s="258">
        <f t="shared" si="5"/>
        <v>330.5212479635739</v>
      </c>
      <c r="U17" s="258">
        <f t="shared" si="5"/>
        <v>369.04018372163875</v>
      </c>
      <c r="V17" s="258">
        <f t="shared" si="5"/>
        <v>353.19088095726613</v>
      </c>
      <c r="W17" s="258">
        <f t="shared" si="5"/>
        <v>367.62583913434173</v>
      </c>
      <c r="DA17" s="273"/>
    </row>
    <row r="18" spans="1:105" x14ac:dyDescent="0.25">
      <c r="A18" s="61" t="s">
        <v>29</v>
      </c>
      <c r="B18" s="55">
        <v>0</v>
      </c>
      <c r="C18" s="55">
        <v>0</v>
      </c>
      <c r="D18" s="55">
        <v>17.28099742043792</v>
      </c>
      <c r="E18" s="55">
        <v>16.806792777286081</v>
      </c>
      <c r="F18" s="55">
        <v>16.84230438519171</v>
      </c>
      <c r="G18" s="55">
        <v>16.842304385196559</v>
      </c>
      <c r="H18" s="55">
        <v>16.84230438519069</v>
      </c>
      <c r="I18" s="55">
        <v>24.661908856379519</v>
      </c>
      <c r="J18" s="55">
        <v>31.879965606166699</v>
      </c>
      <c r="K18" s="55">
        <v>21.052794496956849</v>
      </c>
      <c r="L18" s="55">
        <v>12.030180567489371</v>
      </c>
      <c r="M18" s="55">
        <v>5.4135855545956009</v>
      </c>
      <c r="N18" s="55">
        <v>6.3798796216605522</v>
      </c>
      <c r="O18" s="55">
        <v>8.1470335339579734</v>
      </c>
      <c r="P18" s="55">
        <v>8.4393809114263156</v>
      </c>
      <c r="Q18" s="55">
        <v>13.59045571799015</v>
      </c>
      <c r="R18" s="55">
        <v>15.538005159095849</v>
      </c>
      <c r="S18" s="55">
        <v>15.797678417865701</v>
      </c>
      <c r="T18" s="55">
        <v>15.218056749795419</v>
      </c>
      <c r="U18" s="55">
        <v>12.42175408425712</v>
      </c>
      <c r="V18" s="55">
        <v>9.7050730868516712</v>
      </c>
      <c r="W18" s="55">
        <v>9.8588134135781349</v>
      </c>
      <c r="DA18" s="101" t="s">
        <v>1003</v>
      </c>
    </row>
    <row r="19" spans="1:105" x14ac:dyDescent="0.25">
      <c r="A19" s="61" t="s">
        <v>27</v>
      </c>
      <c r="B19" s="55">
        <v>0</v>
      </c>
      <c r="C19" s="55">
        <v>1.098710232157275</v>
      </c>
      <c r="D19" s="55">
        <v>0</v>
      </c>
      <c r="E19" s="55">
        <v>0</v>
      </c>
      <c r="F19" s="55">
        <v>0</v>
      </c>
      <c r="G19" s="55">
        <v>0</v>
      </c>
      <c r="H19" s="55">
        <v>0</v>
      </c>
      <c r="I19" s="55">
        <v>0</v>
      </c>
      <c r="J19" s="55">
        <v>0</v>
      </c>
      <c r="K19" s="55">
        <v>0</v>
      </c>
      <c r="L19" s="55">
        <v>0</v>
      </c>
      <c r="M19" s="55">
        <v>0</v>
      </c>
      <c r="N19" s="55">
        <v>1.098710232156912</v>
      </c>
      <c r="O19" s="55">
        <v>1.098710232157414</v>
      </c>
      <c r="P19" s="55">
        <v>1.098710232156958</v>
      </c>
      <c r="Q19" s="55">
        <v>1.098710232159779</v>
      </c>
      <c r="R19" s="55">
        <v>1.098710232159942</v>
      </c>
      <c r="S19" s="55">
        <v>0.98882201203663855</v>
      </c>
      <c r="T19" s="55">
        <v>1.2085984522794151</v>
      </c>
      <c r="U19" s="55">
        <v>2.3072226999125811</v>
      </c>
      <c r="V19" s="55">
        <v>2.3724849527102978</v>
      </c>
      <c r="W19" s="55">
        <v>3.1632846087680409</v>
      </c>
      <c r="DA19" s="101" t="s">
        <v>1004</v>
      </c>
    </row>
    <row r="20" spans="1:105" x14ac:dyDescent="0.25">
      <c r="A20" s="61" t="s">
        <v>173</v>
      </c>
      <c r="B20" s="55">
        <v>106.9306365869034</v>
      </c>
      <c r="C20" s="55">
        <v>119.60930677082661</v>
      </c>
      <c r="D20" s="55">
        <v>115.1342295506262</v>
      </c>
      <c r="E20" s="55">
        <v>109.65771749802811</v>
      </c>
      <c r="F20" s="55">
        <v>116.9001070921327</v>
      </c>
      <c r="G20" s="55">
        <v>124.53376430341039</v>
      </c>
      <c r="H20" s="55">
        <v>111.7744552749233</v>
      </c>
      <c r="I20" s="55">
        <v>89.535122347638705</v>
      </c>
      <c r="J20" s="55">
        <v>148.03882491743411</v>
      </c>
      <c r="K20" s="55">
        <v>117.44642980533651</v>
      </c>
      <c r="L20" s="55">
        <v>142.41910572309541</v>
      </c>
      <c r="M20" s="55">
        <v>121.2352514179324</v>
      </c>
      <c r="N20" s="55">
        <v>116.397197754712</v>
      </c>
      <c r="O20" s="55">
        <v>122.84226006476671</v>
      </c>
      <c r="P20" s="55">
        <v>100.17142871939851</v>
      </c>
      <c r="Q20" s="55">
        <v>81.161254589815272</v>
      </c>
      <c r="R20" s="55">
        <v>89.726940130433377</v>
      </c>
      <c r="S20" s="55">
        <v>85.388191976608724</v>
      </c>
      <c r="T20" s="55">
        <v>79.23529216707486</v>
      </c>
      <c r="U20" s="55">
        <v>103.6462572088697</v>
      </c>
      <c r="V20" s="55">
        <v>82.664514251067445</v>
      </c>
      <c r="W20" s="55">
        <v>64.061434833677751</v>
      </c>
      <c r="DA20" s="101" t="s">
        <v>1005</v>
      </c>
    </row>
    <row r="21" spans="1:105" x14ac:dyDescent="0.25">
      <c r="A21" s="61" t="s">
        <v>129</v>
      </c>
      <c r="B21" s="55">
        <v>288.5496990539242</v>
      </c>
      <c r="C21" s="55">
        <v>246.07334479772661</v>
      </c>
      <c r="D21" s="55">
        <v>162.8595012895191</v>
      </c>
      <c r="E21" s="55">
        <v>285.74565778136127</v>
      </c>
      <c r="F21" s="55">
        <v>260.9773860702137</v>
      </c>
      <c r="G21" s="55">
        <v>228.27936371434021</v>
      </c>
      <c r="H21" s="55">
        <v>181.32226999118649</v>
      </c>
      <c r="I21" s="55">
        <v>154.5715391227929</v>
      </c>
      <c r="J21" s="55">
        <v>68.658641444487913</v>
      </c>
      <c r="K21" s="55">
        <v>73.115477213984434</v>
      </c>
      <c r="L21" s="55">
        <v>25.131384350799131</v>
      </c>
      <c r="M21" s="55">
        <v>25.804901117777</v>
      </c>
      <c r="N21" s="55">
        <v>15.152364574358691</v>
      </c>
      <c r="O21" s="55">
        <v>13.810060189155919</v>
      </c>
      <c r="P21" s="55">
        <v>13.704901117783161</v>
      </c>
      <c r="Q21" s="55">
        <v>16.786070507332639</v>
      </c>
      <c r="R21" s="55">
        <v>16.260619088589671</v>
      </c>
      <c r="S21" s="55">
        <v>15.99303525363502</v>
      </c>
      <c r="T21" s="55">
        <v>15.171453138445431</v>
      </c>
      <c r="U21" s="55">
        <v>14.746345657772441</v>
      </c>
      <c r="V21" s="55">
        <v>13.05245055890922</v>
      </c>
      <c r="W21" s="55">
        <v>12.513155631976829</v>
      </c>
      <c r="DA21" s="101" t="s">
        <v>1006</v>
      </c>
    </row>
    <row r="22" spans="1:105" x14ac:dyDescent="0.25">
      <c r="A22" s="61" t="s">
        <v>176</v>
      </c>
      <c r="B22" s="55">
        <v>0</v>
      </c>
      <c r="C22" s="55">
        <v>0</v>
      </c>
      <c r="D22" s="55">
        <v>0</v>
      </c>
      <c r="E22" s="55">
        <v>0</v>
      </c>
      <c r="F22" s="55">
        <v>82.49746897003304</v>
      </c>
      <c r="G22" s="55">
        <v>81.783185058710217</v>
      </c>
      <c r="H22" s="55">
        <v>76.13529689819066</v>
      </c>
      <c r="I22" s="55">
        <v>56.538281964102573</v>
      </c>
      <c r="J22" s="55">
        <v>56.982694221493333</v>
      </c>
      <c r="K22" s="55">
        <v>85.269077057204242</v>
      </c>
      <c r="L22" s="55">
        <v>135.97068821408089</v>
      </c>
      <c r="M22" s="55">
        <v>134.29753859331609</v>
      </c>
      <c r="N22" s="55">
        <v>152.16990546171701</v>
      </c>
      <c r="O22" s="55">
        <v>171.85311487973269</v>
      </c>
      <c r="P22" s="55">
        <v>149.91963004363811</v>
      </c>
      <c r="Q22" s="55">
        <v>172.29720886190569</v>
      </c>
      <c r="R22" s="55">
        <v>183.3496392162462</v>
      </c>
      <c r="S22" s="55">
        <v>201.025199045764</v>
      </c>
      <c r="T22" s="55">
        <v>211.0236586975067</v>
      </c>
      <c r="U22" s="55">
        <v>227.61752915952741</v>
      </c>
      <c r="V22" s="55">
        <v>237.06079478907921</v>
      </c>
      <c r="W22" s="55">
        <v>271.36761049796519</v>
      </c>
      <c r="DA22" s="101" t="s">
        <v>1007</v>
      </c>
    </row>
    <row r="23" spans="1:105" x14ac:dyDescent="0.25">
      <c r="A23" s="61" t="s">
        <v>171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11.273516766969911</v>
      </c>
      <c r="J23" s="55">
        <v>14.68899398107226</v>
      </c>
      <c r="K23" s="55">
        <v>17.125279449671648</v>
      </c>
      <c r="L23" s="55">
        <v>13.73843508167562</v>
      </c>
      <c r="M23" s="55">
        <v>8.6151332760030446</v>
      </c>
      <c r="N23" s="55">
        <v>10.72656921752815</v>
      </c>
      <c r="O23" s="55">
        <v>12.00679277729137</v>
      </c>
      <c r="P23" s="55">
        <v>10.227343078234259</v>
      </c>
      <c r="Q23" s="55">
        <v>11.28306104902728</v>
      </c>
      <c r="R23" s="55">
        <v>10.518744625983899</v>
      </c>
      <c r="S23" s="55">
        <v>10.045829750632739</v>
      </c>
      <c r="T23" s="55">
        <v>8.6104041272629708</v>
      </c>
      <c r="U23" s="55">
        <v>8.2473774720499069</v>
      </c>
      <c r="V23" s="55">
        <v>8.2831470335401978</v>
      </c>
      <c r="W23" s="55">
        <v>6.6112639724799784</v>
      </c>
      <c r="DA23" s="101" t="s">
        <v>1008</v>
      </c>
    </row>
    <row r="24" spans="1:105" x14ac:dyDescent="0.25">
      <c r="A24" s="61" t="s">
        <v>158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9.4190505241011965E-3</v>
      </c>
      <c r="P24" s="55">
        <v>1.262483010678353E-2</v>
      </c>
      <c r="Q24" s="55">
        <v>2.5269261706011702E-2</v>
      </c>
      <c r="R24" s="55">
        <v>5.2212907597520619E-2</v>
      </c>
      <c r="S24" s="55">
        <v>5.0205261510495987E-2</v>
      </c>
      <c r="T24" s="55">
        <v>5.3784631209118451E-2</v>
      </c>
      <c r="U24" s="55">
        <v>5.3697439249612122E-2</v>
      </c>
      <c r="V24" s="55">
        <v>5.2416285108073522E-2</v>
      </c>
      <c r="W24" s="55">
        <v>5.0276175895836182E-2</v>
      </c>
      <c r="DA24" s="101" t="s">
        <v>1009</v>
      </c>
    </row>
    <row r="25" spans="1:105" x14ac:dyDescent="0.25">
      <c r="A25" s="257" t="s">
        <v>174</v>
      </c>
      <c r="B25" s="258">
        <v>37.411881448994357</v>
      </c>
      <c r="C25" s="258">
        <v>36.963810717111087</v>
      </c>
      <c r="D25" s="258">
        <v>31.590291203389061</v>
      </c>
      <c r="E25" s="258">
        <v>38.782293266489368</v>
      </c>
      <c r="F25" s="258">
        <v>46.254218565812153</v>
      </c>
      <c r="G25" s="258">
        <v>45.427553937954293</v>
      </c>
      <c r="H25" s="258">
        <v>39.54287893966994</v>
      </c>
      <c r="I25" s="258">
        <v>33.423048239172637</v>
      </c>
      <c r="J25" s="258">
        <v>37.574603576891157</v>
      </c>
      <c r="K25" s="258">
        <v>35.08478868936367</v>
      </c>
      <c r="L25" s="258">
        <v>38.96220069718688</v>
      </c>
      <c r="M25" s="258">
        <v>34.563464046703338</v>
      </c>
      <c r="N25" s="258">
        <v>34.864550249903317</v>
      </c>
      <c r="O25" s="258">
        <v>37.809979414943342</v>
      </c>
      <c r="P25" s="258">
        <v>32.020786804984503</v>
      </c>
      <c r="Q25" s="258">
        <v>31.22419457407436</v>
      </c>
      <c r="R25" s="258">
        <v>33.691167821848047</v>
      </c>
      <c r="S25" s="258">
        <v>34.280914524720849</v>
      </c>
      <c r="T25" s="258">
        <v>33.682396729442672</v>
      </c>
      <c r="U25" s="258">
        <v>39.331246859737753</v>
      </c>
      <c r="V25" s="258">
        <v>35.844181571683983</v>
      </c>
      <c r="W25" s="258">
        <v>34.42715167480165</v>
      </c>
      <c r="DA25" s="273" t="s">
        <v>1010</v>
      </c>
    </row>
    <row r="26" spans="1:105" x14ac:dyDescent="0.25">
      <c r="A26" s="257" t="s">
        <v>177</v>
      </c>
      <c r="B26" s="258">
        <v>4.3674167560465396</v>
      </c>
      <c r="C26" s="258">
        <v>4.4837608308399197</v>
      </c>
      <c r="D26" s="258">
        <v>4.7111401376644082</v>
      </c>
      <c r="E26" s="258">
        <v>4.7523923644158756</v>
      </c>
      <c r="F26" s="258">
        <v>15.631438435088871</v>
      </c>
      <c r="G26" s="258">
        <v>16.137186129368349</v>
      </c>
      <c r="H26" s="258">
        <v>13.24406531887549</v>
      </c>
      <c r="I26" s="258">
        <v>14.75203550556793</v>
      </c>
      <c r="J26" s="258">
        <v>18.35867830859015</v>
      </c>
      <c r="K26" s="258">
        <v>20.907257943188309</v>
      </c>
      <c r="L26" s="258">
        <v>23.111816807518242</v>
      </c>
      <c r="M26" s="258">
        <v>21.41295205667781</v>
      </c>
      <c r="N26" s="258">
        <v>22.574071496167189</v>
      </c>
      <c r="O26" s="258">
        <v>21.76323794676998</v>
      </c>
      <c r="P26" s="258">
        <v>20.649805446112211</v>
      </c>
      <c r="Q26" s="258">
        <v>21.940274879043042</v>
      </c>
      <c r="R26" s="258">
        <v>23.29915453089022</v>
      </c>
      <c r="S26" s="258">
        <v>22.484062907843409</v>
      </c>
      <c r="T26" s="258">
        <v>23.707332608046642</v>
      </c>
      <c r="U26" s="258">
        <v>25.291832938774601</v>
      </c>
      <c r="V26" s="258">
        <v>25.73956556955422</v>
      </c>
      <c r="W26" s="258">
        <v>23.766898240570871</v>
      </c>
      <c r="DA26" s="273" t="s">
        <v>1011</v>
      </c>
    </row>
    <row r="27" spans="1:105" x14ac:dyDescent="0.25">
      <c r="A27" s="129" t="s">
        <v>33</v>
      </c>
      <c r="B27" s="259">
        <v>6.3327542962674821</v>
      </c>
      <c r="C27" s="259">
        <v>6.5014532047178797</v>
      </c>
      <c r="D27" s="259">
        <v>6.8311531996133903</v>
      </c>
      <c r="E27" s="259">
        <v>6.8909689284030211</v>
      </c>
      <c r="F27" s="259">
        <v>22.66558573087886</v>
      </c>
      <c r="G27" s="259">
        <v>23.3989198875841</v>
      </c>
      <c r="H27" s="259">
        <v>19.203894712369461</v>
      </c>
      <c r="I27" s="259">
        <v>21.390451483073491</v>
      </c>
      <c r="J27" s="259">
        <v>26.620083547455721</v>
      </c>
      <c r="K27" s="259">
        <v>30.315524017623041</v>
      </c>
      <c r="L27" s="259">
        <v>33.512134370901457</v>
      </c>
      <c r="M27" s="259">
        <v>31.048780482182831</v>
      </c>
      <c r="N27" s="259">
        <v>32.732403669442427</v>
      </c>
      <c r="O27" s="259">
        <v>31.55669502281647</v>
      </c>
      <c r="P27" s="259">
        <v>29.942217896862701</v>
      </c>
      <c r="Q27" s="259">
        <v>31.813398574612421</v>
      </c>
      <c r="R27" s="259">
        <v>33.783774069790823</v>
      </c>
      <c r="S27" s="259">
        <v>32.601891216372948</v>
      </c>
      <c r="T27" s="259">
        <v>34.375632281667627</v>
      </c>
      <c r="U27" s="259">
        <v>36.673157761223173</v>
      </c>
      <c r="V27" s="259">
        <v>37.322370075853613</v>
      </c>
      <c r="W27" s="259">
        <v>34.462002448827768</v>
      </c>
      <c r="DA27" s="274" t="s">
        <v>1012</v>
      </c>
    </row>
    <row r="29" spans="1:105" ht="12.75" x14ac:dyDescent="0.25">
      <c r="A29" s="179" t="s">
        <v>127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6">SUM(B32:B40)</f>
        <v>1</v>
      </c>
      <c r="C31" s="236">
        <f t="shared" si="6"/>
        <v>0.99999999999999967</v>
      </c>
      <c r="D31" s="236">
        <f t="shared" si="6"/>
        <v>1</v>
      </c>
      <c r="E31" s="236">
        <f t="shared" si="6"/>
        <v>1</v>
      </c>
      <c r="F31" s="236">
        <f t="shared" si="6"/>
        <v>1</v>
      </c>
      <c r="G31" s="236">
        <f t="shared" si="6"/>
        <v>0.99999999999999989</v>
      </c>
      <c r="H31" s="236">
        <f t="shared" si="6"/>
        <v>1</v>
      </c>
      <c r="I31" s="236">
        <f t="shared" si="6"/>
        <v>1</v>
      </c>
      <c r="J31" s="236">
        <f t="shared" si="6"/>
        <v>1</v>
      </c>
      <c r="K31" s="236">
        <f t="shared" si="6"/>
        <v>1</v>
      </c>
      <c r="L31" s="236">
        <f t="shared" si="6"/>
        <v>1</v>
      </c>
      <c r="M31" s="236">
        <f t="shared" si="6"/>
        <v>1</v>
      </c>
      <c r="N31" s="236">
        <f t="shared" si="6"/>
        <v>0.99999999999999989</v>
      </c>
      <c r="O31" s="236">
        <f t="shared" si="6"/>
        <v>0.99999999999999989</v>
      </c>
      <c r="P31" s="236">
        <f t="shared" si="6"/>
        <v>1.0000000000000002</v>
      </c>
      <c r="Q31" s="236">
        <f t="shared" si="6"/>
        <v>1.0000000000000002</v>
      </c>
      <c r="R31" s="236">
        <f t="shared" ref="R31:W31" si="7">SUM(R32:R40)</f>
        <v>1</v>
      </c>
      <c r="S31" s="236">
        <f t="shared" si="7"/>
        <v>0.99999999999999989</v>
      </c>
      <c r="T31" s="236">
        <f t="shared" si="7"/>
        <v>1.0000000000000002</v>
      </c>
      <c r="U31" s="236">
        <f t="shared" si="7"/>
        <v>1</v>
      </c>
      <c r="V31" s="236">
        <f t="shared" si="7"/>
        <v>1</v>
      </c>
      <c r="W31" s="236">
        <f t="shared" si="7"/>
        <v>1</v>
      </c>
      <c r="DA31" s="275"/>
    </row>
    <row r="32" spans="1:105" x14ac:dyDescent="0.25">
      <c r="A32" s="239" t="s">
        <v>125</v>
      </c>
      <c r="B32" s="245">
        <f t="shared" ref="B32:W32" si="8">IF(B$6=0,0,B$6/B$5)</f>
        <v>5.5079133262141344E-3</v>
      </c>
      <c r="C32" s="245">
        <f t="shared" si="8"/>
        <v>5.8973647359502005E-3</v>
      </c>
      <c r="D32" s="245">
        <f t="shared" si="8"/>
        <v>7.4127776094783391E-3</v>
      </c>
      <c r="E32" s="245">
        <f t="shared" si="8"/>
        <v>5.7591142580077108E-3</v>
      </c>
      <c r="F32" s="245">
        <f t="shared" si="8"/>
        <v>1.5003178094797301E-2</v>
      </c>
      <c r="G32" s="245">
        <f t="shared" si="8"/>
        <v>1.6023685255109481E-2</v>
      </c>
      <c r="H32" s="245">
        <f t="shared" si="8"/>
        <v>1.526175759540991E-2</v>
      </c>
      <c r="I32" s="245">
        <f t="shared" si="8"/>
        <v>1.9378020554889356E-2</v>
      </c>
      <c r="J32" s="245">
        <f t="shared" si="8"/>
        <v>2.2955730037959698E-2</v>
      </c>
      <c r="K32" s="245">
        <f t="shared" si="8"/>
        <v>2.6467095857385277E-2</v>
      </c>
      <c r="L32" s="245">
        <f t="shared" si="8"/>
        <v>2.6809678266564642E-2</v>
      </c>
      <c r="M32" s="245">
        <f t="shared" si="8"/>
        <v>2.7595499488903358E-2</v>
      </c>
      <c r="N32" s="245">
        <f t="shared" si="8"/>
        <v>2.8416960123543521E-2</v>
      </c>
      <c r="O32" s="245">
        <f t="shared" si="8"/>
        <v>2.5614002610612023E-2</v>
      </c>
      <c r="P32" s="245">
        <f t="shared" si="8"/>
        <v>2.7977708599572944E-2</v>
      </c>
      <c r="Q32" s="245">
        <f t="shared" si="8"/>
        <v>2.8900394381154416E-2</v>
      </c>
      <c r="R32" s="245">
        <f t="shared" si="8"/>
        <v>2.8669784078656547E-2</v>
      </c>
      <c r="S32" s="245">
        <f t="shared" si="8"/>
        <v>2.7075407073185797E-2</v>
      </c>
      <c r="T32" s="245">
        <f t="shared" si="8"/>
        <v>2.8347816553425959E-2</v>
      </c>
      <c r="U32" s="245">
        <f t="shared" si="8"/>
        <v>2.6940886204927701E-2</v>
      </c>
      <c r="V32" s="245">
        <f t="shared" si="8"/>
        <v>2.8764436700985489E-2</v>
      </c>
      <c r="W32" s="245">
        <f t="shared" si="8"/>
        <v>2.6509849328254238E-2</v>
      </c>
      <c r="DA32" s="276"/>
    </row>
    <row r="33" spans="1:105" x14ac:dyDescent="0.25">
      <c r="A33" s="241" t="s">
        <v>124</v>
      </c>
      <c r="B33" s="246">
        <f t="shared" ref="B33:W33" si="9">IF(B$7=0,0,B$7/B$5)</f>
        <v>3.5801436620391852E-3</v>
      </c>
      <c r="C33" s="246">
        <f t="shared" si="9"/>
        <v>3.8332870783676287E-3</v>
      </c>
      <c r="D33" s="246">
        <f t="shared" si="9"/>
        <v>4.8183054461609183E-3</v>
      </c>
      <c r="E33" s="246">
        <f t="shared" si="9"/>
        <v>3.7434242677050109E-3</v>
      </c>
      <c r="F33" s="246">
        <f t="shared" si="9"/>
        <v>9.7520657616182397E-3</v>
      </c>
      <c r="G33" s="246">
        <f t="shared" si="9"/>
        <v>1.0415395415821154E-2</v>
      </c>
      <c r="H33" s="246">
        <f t="shared" si="9"/>
        <v>9.920142437016435E-3</v>
      </c>
      <c r="I33" s="246">
        <f t="shared" si="9"/>
        <v>1.2595713360678072E-2</v>
      </c>
      <c r="J33" s="246">
        <f t="shared" si="9"/>
        <v>1.4921224524673808E-2</v>
      </c>
      <c r="K33" s="246">
        <f t="shared" si="9"/>
        <v>1.7203612307300428E-2</v>
      </c>
      <c r="L33" s="246">
        <f t="shared" si="9"/>
        <v>1.7426290873267022E-2</v>
      </c>
      <c r="M33" s="246">
        <f t="shared" si="9"/>
        <v>1.7937074667787174E-2</v>
      </c>
      <c r="N33" s="246">
        <f t="shared" si="9"/>
        <v>1.8471024080303298E-2</v>
      </c>
      <c r="O33" s="246">
        <f t="shared" si="9"/>
        <v>1.664910169689781E-2</v>
      </c>
      <c r="P33" s="246">
        <f t="shared" si="9"/>
        <v>1.8185510589722405E-2</v>
      </c>
      <c r="Q33" s="246">
        <f t="shared" si="9"/>
        <v>1.878525634775036E-2</v>
      </c>
      <c r="R33" s="246">
        <f t="shared" si="9"/>
        <v>1.863535965112675E-2</v>
      </c>
      <c r="S33" s="246">
        <f t="shared" si="9"/>
        <v>1.7599014597570774E-2</v>
      </c>
      <c r="T33" s="246">
        <f t="shared" si="9"/>
        <v>1.8426080759726866E-2</v>
      </c>
      <c r="U33" s="246">
        <f t="shared" si="9"/>
        <v>1.7511576033203007E-2</v>
      </c>
      <c r="V33" s="246">
        <f t="shared" si="9"/>
        <v>1.8696883855640552E-2</v>
      </c>
      <c r="W33" s="246">
        <f t="shared" si="9"/>
        <v>1.723140206336525E-2</v>
      </c>
      <c r="DA33" s="277"/>
    </row>
    <row r="34" spans="1:105" x14ac:dyDescent="0.25">
      <c r="A34" s="241" t="s">
        <v>123</v>
      </c>
      <c r="B34" s="246">
        <f t="shared" ref="B34:W34" si="10">IF(B$8=0,0,B$8/B$5)</f>
        <v>4.9571219935927203E-3</v>
      </c>
      <c r="C34" s="246">
        <f t="shared" si="10"/>
        <v>5.3076282623551801E-3</v>
      </c>
      <c r="D34" s="246">
        <f t="shared" si="10"/>
        <v>6.6714998485305037E-3</v>
      </c>
      <c r="E34" s="246">
        <f t="shared" si="10"/>
        <v>5.1832028322069401E-3</v>
      </c>
      <c r="F34" s="246">
        <f t="shared" si="10"/>
        <v>1.3502860285317567E-2</v>
      </c>
      <c r="G34" s="246">
        <f t="shared" si="10"/>
        <v>1.4421316729598527E-2</v>
      </c>
      <c r="H34" s="246">
        <f t="shared" si="10"/>
        <v>1.3735581835868918E-2</v>
      </c>
      <c r="I34" s="246">
        <f t="shared" si="10"/>
        <v>1.744021849940041E-2</v>
      </c>
      <c r="J34" s="246">
        <f t="shared" si="10"/>
        <v>2.0660157034163722E-2</v>
      </c>
      <c r="K34" s="246">
        <f t="shared" si="10"/>
        <v>2.3820386271646739E-2</v>
      </c>
      <c r="L34" s="246">
        <f t="shared" si="10"/>
        <v>2.412871043990818E-2</v>
      </c>
      <c r="M34" s="246">
        <f t="shared" si="10"/>
        <v>2.4835949540013023E-2</v>
      </c>
      <c r="N34" s="246">
        <f t="shared" si="10"/>
        <v>2.5575264111189169E-2</v>
      </c>
      <c r="O34" s="246">
        <f t="shared" si="10"/>
        <v>2.3052602349550821E-2</v>
      </c>
      <c r="P34" s="246">
        <f t="shared" si="10"/>
        <v>2.5179937739615636E-2</v>
      </c>
      <c r="Q34" s="246">
        <f t="shared" si="10"/>
        <v>2.601035494303898E-2</v>
      </c>
      <c r="R34" s="246">
        <f t="shared" si="10"/>
        <v>2.5802805670790883E-2</v>
      </c>
      <c r="S34" s="246">
        <f t="shared" si="10"/>
        <v>2.436786636586721E-2</v>
      </c>
      <c r="T34" s="246">
        <f t="shared" si="10"/>
        <v>2.5513034898083358E-2</v>
      </c>
      <c r="U34" s="246">
        <f t="shared" si="10"/>
        <v>2.4246797584434931E-2</v>
      </c>
      <c r="V34" s="246">
        <f t="shared" si="10"/>
        <v>2.588799303088693E-2</v>
      </c>
      <c r="W34" s="246">
        <f t="shared" si="10"/>
        <v>2.3858864395428822E-2</v>
      </c>
      <c r="DA34" s="277"/>
    </row>
    <row r="35" spans="1:105" x14ac:dyDescent="0.25">
      <c r="A35" s="243" t="s">
        <v>122</v>
      </c>
      <c r="B35" s="247">
        <f t="shared" ref="B35:W35" si="11">IF(B$9=0,0,B$9/B$5)</f>
        <v>0.18098914852960848</v>
      </c>
      <c r="C35" s="247">
        <f t="shared" si="11"/>
        <v>0.18647117978020417</v>
      </c>
      <c r="D35" s="247">
        <f t="shared" si="11"/>
        <v>0.18995601735355888</v>
      </c>
      <c r="E35" s="247">
        <f t="shared" si="11"/>
        <v>0.1800979312253139</v>
      </c>
      <c r="F35" s="247">
        <f t="shared" si="11"/>
        <v>0.19151775191412129</v>
      </c>
      <c r="G35" s="247">
        <f t="shared" si="11"/>
        <v>0.19176598794332855</v>
      </c>
      <c r="H35" s="247">
        <f t="shared" si="11"/>
        <v>0.19609938000753899</v>
      </c>
      <c r="I35" s="247">
        <f t="shared" si="11"/>
        <v>0.18860181028880255</v>
      </c>
      <c r="J35" s="247">
        <f t="shared" si="11"/>
        <v>0.19329442448676304</v>
      </c>
      <c r="K35" s="247">
        <f t="shared" si="11"/>
        <v>0.19459996375757757</v>
      </c>
      <c r="L35" s="247">
        <f t="shared" si="11"/>
        <v>0.20357734886880019</v>
      </c>
      <c r="M35" s="247">
        <f t="shared" si="11"/>
        <v>0.205028821177588</v>
      </c>
      <c r="N35" s="247">
        <f t="shared" si="11"/>
        <v>0.20555611640755583</v>
      </c>
      <c r="O35" s="247">
        <f t="shared" si="11"/>
        <v>0.20773380299194411</v>
      </c>
      <c r="P35" s="247">
        <f t="shared" si="11"/>
        <v>0.2067515344645581</v>
      </c>
      <c r="Q35" s="247">
        <f t="shared" si="11"/>
        <v>0.21011020148301926</v>
      </c>
      <c r="R35" s="247">
        <f t="shared" si="11"/>
        <v>0.20993783170234506</v>
      </c>
      <c r="S35" s="247">
        <f t="shared" si="11"/>
        <v>0.21198129342157759</v>
      </c>
      <c r="T35" s="247">
        <f t="shared" si="11"/>
        <v>0.21317300051816071</v>
      </c>
      <c r="U35" s="247">
        <f t="shared" si="11"/>
        <v>0.21227101353550779</v>
      </c>
      <c r="V35" s="247">
        <f t="shared" si="11"/>
        <v>0.21296813888828733</v>
      </c>
      <c r="W35" s="247">
        <f t="shared" si="11"/>
        <v>0.21915926951601777</v>
      </c>
      <c r="DA35" s="278"/>
    </row>
    <row r="36" spans="1:105" x14ac:dyDescent="0.25">
      <c r="A36" s="128" t="s">
        <v>175</v>
      </c>
      <c r="B36" s="260">
        <f t="shared" ref="B36:W36" si="12">IF(B$16=0,0,B$16/B$5)</f>
        <v>0.24553464894983656</v>
      </c>
      <c r="C36" s="260">
        <f t="shared" si="12"/>
        <v>0.25300730656736276</v>
      </c>
      <c r="D36" s="260">
        <f t="shared" si="12"/>
        <v>0.25867195966731105</v>
      </c>
      <c r="E36" s="260">
        <f t="shared" si="12"/>
        <v>0.2445781565782944</v>
      </c>
      <c r="F36" s="260">
        <f t="shared" si="12"/>
        <v>0.23103429092350256</v>
      </c>
      <c r="G36" s="260">
        <f t="shared" si="12"/>
        <v>0.23474412184732513</v>
      </c>
      <c r="H36" s="260">
        <f t="shared" si="12"/>
        <v>0.23713316526799688</v>
      </c>
      <c r="I36" s="260">
        <f t="shared" si="12"/>
        <v>0.22847795075279989</v>
      </c>
      <c r="J36" s="260">
        <f t="shared" si="12"/>
        <v>0.24450338723122808</v>
      </c>
      <c r="K36" s="260">
        <f t="shared" si="12"/>
        <v>0.23113667099023807</v>
      </c>
      <c r="L36" s="260">
        <f t="shared" si="12"/>
        <v>0.23520241176108078</v>
      </c>
      <c r="M36" s="260">
        <f t="shared" si="12"/>
        <v>0.23180337387537514</v>
      </c>
      <c r="N36" s="260">
        <f t="shared" si="12"/>
        <v>0.22839814098609393</v>
      </c>
      <c r="O36" s="260">
        <f t="shared" si="12"/>
        <v>0.23158005663695519</v>
      </c>
      <c r="P36" s="260">
        <f t="shared" si="12"/>
        <v>0.22577141408839113</v>
      </c>
      <c r="Q36" s="260">
        <f t="shared" si="12"/>
        <v>0.2140394002478527</v>
      </c>
      <c r="R36" s="260">
        <f t="shared" si="12"/>
        <v>0.21574517965975723</v>
      </c>
      <c r="S36" s="260">
        <f t="shared" si="12"/>
        <v>0.21482923316834657</v>
      </c>
      <c r="T36" s="260">
        <f t="shared" si="12"/>
        <v>0.20959488683489488</v>
      </c>
      <c r="U36" s="260">
        <f t="shared" si="12"/>
        <v>0.21802689167743264</v>
      </c>
      <c r="V36" s="260">
        <f t="shared" si="12"/>
        <v>0.20845585861403829</v>
      </c>
      <c r="W36" s="260">
        <f t="shared" si="12"/>
        <v>0.19983733133028081</v>
      </c>
      <c r="DA36" s="279"/>
    </row>
    <row r="37" spans="1:105" x14ac:dyDescent="0.25">
      <c r="A37" s="128" t="s">
        <v>121</v>
      </c>
      <c r="B37" s="260">
        <f t="shared" ref="B37:W37" si="13">IF(B$17=0,0,B$17/B$5)</f>
        <v>0.4987551068754798</v>
      </c>
      <c r="C37" s="260">
        <f t="shared" si="13"/>
        <v>0.48241722752239452</v>
      </c>
      <c r="D37" s="260">
        <f t="shared" si="13"/>
        <v>0.46460216218063366</v>
      </c>
      <c r="E37" s="260">
        <f t="shared" si="13"/>
        <v>0.49953060987268511</v>
      </c>
      <c r="F37" s="260">
        <f t="shared" si="13"/>
        <v>0.45803690231114441</v>
      </c>
      <c r="G37" s="260">
        <f t="shared" si="13"/>
        <v>0.44826342462782975</v>
      </c>
      <c r="H37" s="260">
        <f t="shared" si="13"/>
        <v>0.44489155283853188</v>
      </c>
      <c r="I37" s="260">
        <f t="shared" si="13"/>
        <v>0.44212619387434271</v>
      </c>
      <c r="J37" s="260">
        <f t="shared" si="13"/>
        <v>0.40044017461168829</v>
      </c>
      <c r="K37" s="260">
        <f t="shared" si="13"/>
        <v>0.39751304840498225</v>
      </c>
      <c r="L37" s="260">
        <f t="shared" si="13"/>
        <v>0.38197574450513627</v>
      </c>
      <c r="M37" s="260">
        <f t="shared" si="13"/>
        <v>0.38064735742674666</v>
      </c>
      <c r="N37" s="260">
        <f t="shared" si="13"/>
        <v>0.38007233579080957</v>
      </c>
      <c r="O37" s="260">
        <f t="shared" si="13"/>
        <v>0.38811608951069393</v>
      </c>
      <c r="P37" s="260">
        <f t="shared" si="13"/>
        <v>0.38420464971517693</v>
      </c>
      <c r="Q37" s="260">
        <f t="shared" si="13"/>
        <v>0.39021897186018578</v>
      </c>
      <c r="R37" s="260">
        <f t="shared" si="13"/>
        <v>0.38951083401195047</v>
      </c>
      <c r="S37" s="260">
        <f t="shared" si="13"/>
        <v>0.39653121056305307</v>
      </c>
      <c r="T37" s="260">
        <f t="shared" si="13"/>
        <v>0.39521762566829777</v>
      </c>
      <c r="U37" s="260">
        <f t="shared" si="13"/>
        <v>0.39310197955039905</v>
      </c>
      <c r="V37" s="260">
        <f t="shared" si="13"/>
        <v>0.39469728854621577</v>
      </c>
      <c r="W37" s="260">
        <f t="shared" si="13"/>
        <v>0.41005374390791105</v>
      </c>
      <c r="DA37" s="279"/>
    </row>
    <row r="38" spans="1:105" x14ac:dyDescent="0.25">
      <c r="A38" s="128" t="s">
        <v>174</v>
      </c>
      <c r="B38" s="260">
        <f t="shared" ref="B38:W38" si="14">IF(B$25=0,0,B$25/B$5)</f>
        <v>4.718152901400454E-2</v>
      </c>
      <c r="C38" s="260">
        <f t="shared" si="14"/>
        <v>4.8617462450287356E-2</v>
      </c>
      <c r="D38" s="260">
        <f t="shared" si="14"/>
        <v>4.9705972751104749E-2</v>
      </c>
      <c r="E38" s="260">
        <f t="shared" si="14"/>
        <v>4.6997731033668111E-2</v>
      </c>
      <c r="F38" s="260">
        <f t="shared" si="14"/>
        <v>4.4395164377245243E-2</v>
      </c>
      <c r="G38" s="260">
        <f t="shared" si="14"/>
        <v>4.5108039305969225E-2</v>
      </c>
      <c r="H38" s="260">
        <f t="shared" si="14"/>
        <v>4.5567113908882698E-2</v>
      </c>
      <c r="I38" s="260">
        <f t="shared" si="14"/>
        <v>4.3903942309608174E-2</v>
      </c>
      <c r="J38" s="260">
        <f t="shared" si="14"/>
        <v>4.6983363480522129E-2</v>
      </c>
      <c r="K38" s="260">
        <f t="shared" si="14"/>
        <v>4.4414837560275817E-2</v>
      </c>
      <c r="L38" s="260">
        <f t="shared" si="14"/>
        <v>4.5196103532159602E-2</v>
      </c>
      <c r="M38" s="260">
        <f t="shared" si="14"/>
        <v>4.4542950075773517E-2</v>
      </c>
      <c r="N38" s="260">
        <f t="shared" si="14"/>
        <v>4.3888606197822956E-2</v>
      </c>
      <c r="O38" s="260">
        <f t="shared" si="14"/>
        <v>4.4500037807346661E-2</v>
      </c>
      <c r="P38" s="260">
        <f t="shared" si="14"/>
        <v>4.338385873400924E-2</v>
      </c>
      <c r="Q38" s="260">
        <f t="shared" si="14"/>
        <v>4.1129454503170293E-2</v>
      </c>
      <c r="R38" s="260">
        <f t="shared" si="14"/>
        <v>4.1457234232664612E-2</v>
      </c>
      <c r="S38" s="260">
        <f t="shared" si="14"/>
        <v>4.1281227481093689E-2</v>
      </c>
      <c r="T38" s="260">
        <f t="shared" si="14"/>
        <v>4.0275404211516971E-2</v>
      </c>
      <c r="U38" s="260">
        <f t="shared" si="14"/>
        <v>4.1895684212021909E-2</v>
      </c>
      <c r="V38" s="260">
        <f t="shared" si="14"/>
        <v>4.0056530446531187E-2</v>
      </c>
      <c r="W38" s="260">
        <f t="shared" si="14"/>
        <v>3.8400408604519091E-2</v>
      </c>
      <c r="DA38" s="279"/>
    </row>
    <row r="39" spans="1:105" x14ac:dyDescent="0.25">
      <c r="A39" s="128" t="s">
        <v>177</v>
      </c>
      <c r="B39" s="260">
        <f t="shared" ref="B39:W39" si="15">IF(B$26=0,0,B$26/B$5)</f>
        <v>5.5079133262141344E-3</v>
      </c>
      <c r="C39" s="260">
        <f t="shared" si="15"/>
        <v>5.8973647359502005E-3</v>
      </c>
      <c r="D39" s="260">
        <f t="shared" si="15"/>
        <v>7.4127776094783391E-3</v>
      </c>
      <c r="E39" s="260">
        <f t="shared" si="15"/>
        <v>5.7591142580077108E-3</v>
      </c>
      <c r="F39" s="260">
        <f t="shared" si="15"/>
        <v>1.5003178094797301E-2</v>
      </c>
      <c r="G39" s="260">
        <f t="shared" si="15"/>
        <v>1.6023685255109481E-2</v>
      </c>
      <c r="H39" s="260">
        <f t="shared" si="15"/>
        <v>1.526175759540991E-2</v>
      </c>
      <c r="I39" s="260">
        <f t="shared" si="15"/>
        <v>1.9378020554889356E-2</v>
      </c>
      <c r="J39" s="260">
        <f t="shared" si="15"/>
        <v>2.2955730037959698E-2</v>
      </c>
      <c r="K39" s="260">
        <f t="shared" si="15"/>
        <v>2.6467095857385277E-2</v>
      </c>
      <c r="L39" s="260">
        <f t="shared" si="15"/>
        <v>2.6809678266564642E-2</v>
      </c>
      <c r="M39" s="260">
        <f t="shared" si="15"/>
        <v>2.7595499488903358E-2</v>
      </c>
      <c r="N39" s="260">
        <f t="shared" si="15"/>
        <v>2.8416960123543521E-2</v>
      </c>
      <c r="O39" s="260">
        <f t="shared" si="15"/>
        <v>2.5614002610612023E-2</v>
      </c>
      <c r="P39" s="260">
        <f t="shared" si="15"/>
        <v>2.7977708599572944E-2</v>
      </c>
      <c r="Q39" s="260">
        <f t="shared" si="15"/>
        <v>2.8900394381154416E-2</v>
      </c>
      <c r="R39" s="260">
        <f t="shared" si="15"/>
        <v>2.8669784078656547E-2</v>
      </c>
      <c r="S39" s="260">
        <f t="shared" si="15"/>
        <v>2.7075407073185797E-2</v>
      </c>
      <c r="T39" s="260">
        <f t="shared" si="15"/>
        <v>2.8347816553425959E-2</v>
      </c>
      <c r="U39" s="260">
        <f t="shared" si="15"/>
        <v>2.6940886204927701E-2</v>
      </c>
      <c r="V39" s="260">
        <f t="shared" si="15"/>
        <v>2.8764436700985489E-2</v>
      </c>
      <c r="W39" s="260">
        <f t="shared" si="15"/>
        <v>2.6509849328254238E-2</v>
      </c>
      <c r="DA39" s="279"/>
    </row>
    <row r="40" spans="1:105" x14ac:dyDescent="0.25">
      <c r="A40" s="261" t="s">
        <v>33</v>
      </c>
      <c r="B40" s="262">
        <f t="shared" ref="B40:W40" si="16">IF(B$27=0,0,B$27/B$5)</f>
        <v>7.9864743230104954E-3</v>
      </c>
      <c r="C40" s="262">
        <f t="shared" si="16"/>
        <v>8.5511788671277858E-3</v>
      </c>
      <c r="D40" s="262">
        <f t="shared" si="16"/>
        <v>1.0748527533743588E-2</v>
      </c>
      <c r="E40" s="262">
        <f t="shared" si="16"/>
        <v>8.3507156741111834E-3</v>
      </c>
      <c r="F40" s="262">
        <f t="shared" si="16"/>
        <v>2.1754608237456084E-2</v>
      </c>
      <c r="G40" s="262">
        <f t="shared" si="16"/>
        <v>2.323434361990874E-2</v>
      </c>
      <c r="H40" s="262">
        <f t="shared" si="16"/>
        <v>2.2129548513344369E-2</v>
      </c>
      <c r="I40" s="262">
        <f t="shared" si="16"/>
        <v>2.8098129804589554E-2</v>
      </c>
      <c r="J40" s="262">
        <f t="shared" si="16"/>
        <v>3.3285808555041568E-2</v>
      </c>
      <c r="K40" s="262">
        <f t="shared" si="16"/>
        <v>3.8377288993208643E-2</v>
      </c>
      <c r="L40" s="262">
        <f t="shared" si="16"/>
        <v>3.8874033486518737E-2</v>
      </c>
      <c r="M40" s="262">
        <f t="shared" si="16"/>
        <v>4.001347425890988E-2</v>
      </c>
      <c r="N40" s="262">
        <f t="shared" si="16"/>
        <v>4.1204592179138105E-2</v>
      </c>
      <c r="O40" s="262">
        <f t="shared" si="16"/>
        <v>3.7140303785387435E-2</v>
      </c>
      <c r="P40" s="262">
        <f t="shared" si="16"/>
        <v>4.056767746938076E-2</v>
      </c>
      <c r="Q40" s="262">
        <f t="shared" si="16"/>
        <v>4.1905571852673913E-2</v>
      </c>
      <c r="R40" s="262">
        <f t="shared" si="16"/>
        <v>4.1571186914051997E-2</v>
      </c>
      <c r="S40" s="262">
        <f t="shared" si="16"/>
        <v>3.9259340256119414E-2</v>
      </c>
      <c r="T40" s="262">
        <f t="shared" si="16"/>
        <v>4.1104334002467637E-2</v>
      </c>
      <c r="U40" s="262">
        <f t="shared" si="16"/>
        <v>3.906428499714517E-2</v>
      </c>
      <c r="V40" s="262">
        <f t="shared" si="16"/>
        <v>4.1708433216428954E-2</v>
      </c>
      <c r="W40" s="262">
        <f t="shared" si="16"/>
        <v>3.8439281525968656E-2</v>
      </c>
      <c r="DA40" s="280"/>
    </row>
    <row r="42" spans="1:105" ht="12.75" x14ac:dyDescent="0.25">
      <c r="A42" s="179" t="s">
        <v>23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7">
        <f t="shared" ref="B44:W44" si="17">SUM(B$45:B$53)</f>
        <v>126.45888445910968</v>
      </c>
      <c r="C44" s="237">
        <f t="shared" si="17"/>
        <v>122.34803499436492</v>
      </c>
      <c r="D44" s="237">
        <f t="shared" si="17"/>
        <v>127.81056238438657</v>
      </c>
      <c r="E44" s="237">
        <f t="shared" si="17"/>
        <v>135.43288032890183</v>
      </c>
      <c r="F44" s="237">
        <f t="shared" si="17"/>
        <v>134.84363036747555</v>
      </c>
      <c r="G44" s="237">
        <f t="shared" si="17"/>
        <v>154.42655608236757</v>
      </c>
      <c r="H44" s="237">
        <f t="shared" si="17"/>
        <v>146.93020171673027</v>
      </c>
      <c r="I44" s="237">
        <f t="shared" si="17"/>
        <v>137.23851152262935</v>
      </c>
      <c r="J44" s="237">
        <f t="shared" si="17"/>
        <v>139.32723127138399</v>
      </c>
      <c r="K44" s="237">
        <f t="shared" si="17"/>
        <v>156.36023356757093</v>
      </c>
      <c r="L44" s="237">
        <f t="shared" si="17"/>
        <v>144.58585940593412</v>
      </c>
      <c r="M44" s="237">
        <f t="shared" si="17"/>
        <v>132.80026593791027</v>
      </c>
      <c r="N44" s="237">
        <f t="shared" si="17"/>
        <v>135.04301399101354</v>
      </c>
      <c r="O44" s="237">
        <f t="shared" si="17"/>
        <v>132.95020410976787</v>
      </c>
      <c r="P44" s="237">
        <f t="shared" si="17"/>
        <v>130.15939664117741</v>
      </c>
      <c r="Q44" s="237">
        <f t="shared" si="17"/>
        <v>132.91816907674806</v>
      </c>
      <c r="R44" s="237">
        <f t="shared" si="17"/>
        <v>135.38540863538174</v>
      </c>
      <c r="S44" s="237">
        <f t="shared" si="17"/>
        <v>124.90211009173738</v>
      </c>
      <c r="T44" s="237">
        <f t="shared" si="17"/>
        <v>141.27985612939972</v>
      </c>
      <c r="U44" s="237">
        <f t="shared" si="17"/>
        <v>142.0119845958406</v>
      </c>
      <c r="V44" s="237">
        <f t="shared" si="17"/>
        <v>148.62601044661253</v>
      </c>
      <c r="W44" s="237">
        <f t="shared" si="17"/>
        <v>142.54014154785781</v>
      </c>
      <c r="DA44" s="281"/>
    </row>
    <row r="45" spans="1:105" x14ac:dyDescent="0.25">
      <c r="A45" s="239" t="s">
        <v>125</v>
      </c>
      <c r="B45" s="248">
        <f>IF(B$6=0,0,B$6/AGR!B$5*1000)</f>
        <v>0.69652457493050368</v>
      </c>
      <c r="C45" s="248">
        <f>IF(C$6=0,0,C$6/AGR!C$5*1000)</f>
        <v>0.72153098708856889</v>
      </c>
      <c r="D45" s="248">
        <f>IF(D$6=0,0,D$6/AGR!D$5*1000)</f>
        <v>0.94743127509781511</v>
      </c>
      <c r="E45" s="248">
        <f>IF(E$6=0,0,E$6/AGR!E$5*1000)</f>
        <v>0.77997343210523062</v>
      </c>
      <c r="F45" s="248">
        <f>IF(F$6=0,0,F$6/AGR!F$5*1000)</f>
        <v>2.0230830013522532</v>
      </c>
      <c r="G45" s="248">
        <f>IF(G$6=0,0,G$6/AGR!G$5*1000)</f>
        <v>2.4744825296943707</v>
      </c>
      <c r="H45" s="248">
        <f>IF(H$6=0,0,H$6/AGR!H$5*1000)</f>
        <v>2.2424131220454182</v>
      </c>
      <c r="I45" s="248">
        <f>IF(I$6=0,0,I$6/AGR!I$5*1000)</f>
        <v>2.6594106972079308</v>
      </c>
      <c r="J45" s="248">
        <f>IF(J$6=0,0,J$6/AGR!J$5*1000)</f>
        <v>3.1983583080022675</v>
      </c>
      <c r="K45" s="248">
        <f>IF(K$6=0,0,K$6/AGR!K$5*1000)</f>
        <v>4.1384012901160503</v>
      </c>
      <c r="L45" s="248">
        <f>IF(L$6=0,0,L$6/AGR!L$5*1000)</f>
        <v>3.8763003725678438</v>
      </c>
      <c r="M45" s="248">
        <f>IF(M$6=0,0,M$6/AGR!M$5*1000)</f>
        <v>3.6646896708158327</v>
      </c>
      <c r="N45" s="248">
        <f>IF(N$6=0,0,N$6/AGR!N$5*1000)</f>
        <v>3.8375119435457621</v>
      </c>
      <c r="O45" s="248">
        <f>IF(O$6=0,0,O$6/AGR!O$5*1000)</f>
        <v>3.405386875148996</v>
      </c>
      <c r="P45" s="248">
        <f>IF(P$6=0,0,P$6/AGR!P$5*1000)</f>
        <v>3.6415616707230942</v>
      </c>
      <c r="Q45" s="248">
        <f>IF(Q$6=0,0,Q$6/AGR!Q$5*1000)</f>
        <v>3.841387506738982</v>
      </c>
      <c r="R45" s="248">
        <f>IF(R$6=0,0,R$6/AGR!R$5*1000)</f>
        <v>3.8814704329770775</v>
      </c>
      <c r="S45" s="248">
        <f>IF(S$6=0,0,S$6/AGR!S$5*1000)</f>
        <v>3.3817754750336579</v>
      </c>
      <c r="T45" s="248">
        <f>IF(T$6=0,0,T$6/AGR!T$5*1000)</f>
        <v>4.0049754442506345</v>
      </c>
      <c r="U45" s="248">
        <f>IF(U$6=0,0,U$6/AGR!U$5*1000)</f>
        <v>3.8259287167324878</v>
      </c>
      <c r="V45" s="248">
        <f>IF(V$6=0,0,V$6/AGR!V$5*1000)</f>
        <v>4.275143469611594</v>
      </c>
      <c r="W45" s="248">
        <f>IF(W$6=0,0,W$6/AGR!W$5*1000)</f>
        <v>3.7787176756617433</v>
      </c>
      <c r="DA45" s="282"/>
    </row>
    <row r="46" spans="1:105" x14ac:dyDescent="0.25">
      <c r="A46" s="241" t="s">
        <v>124</v>
      </c>
      <c r="B46" s="249">
        <f>IF(B$7=0,0,B$7/AGR!B$5*1000)</f>
        <v>0.45274097370482708</v>
      </c>
      <c r="C46" s="249">
        <f>IF(C$7=0,0,C$7/AGR!C$5*1000)</f>
        <v>0.4689951416075695</v>
      </c>
      <c r="D46" s="249">
        <f>IF(D$7=0,0,D$7/AGR!D$5*1000)</f>
        <v>0.61583032881357946</v>
      </c>
      <c r="E46" s="249">
        <f>IF(E$7=0,0,E$7/AGR!E$5*1000)</f>
        <v>0.50698273086839962</v>
      </c>
      <c r="F46" s="249">
        <f>IF(F$7=0,0,F$7/AGR!F$5*1000)</f>
        <v>1.3150039508789637</v>
      </c>
      <c r="G46" s="249">
        <f>IF(G$7=0,0,G$7/AGR!G$5*1000)</f>
        <v>1.6084136443013397</v>
      </c>
      <c r="H46" s="249">
        <f>IF(H$7=0,0,H$7/AGR!H$5*1000)</f>
        <v>1.4575685293295209</v>
      </c>
      <c r="I46" s="249">
        <f>IF(I$7=0,0,I$7/AGR!I$5*1000)</f>
        <v>1.7286169531851538</v>
      </c>
      <c r="J46" s="249">
        <f>IF(J$7=0,0,J$7/AGR!J$5*1000)</f>
        <v>2.0789329002014743</v>
      </c>
      <c r="K46" s="249">
        <f>IF(K$7=0,0,K$7/AGR!K$5*1000)</f>
        <v>2.6899608385754323</v>
      </c>
      <c r="L46" s="249">
        <f>IF(L$7=0,0,L$7/AGR!L$5*1000)</f>
        <v>2.5195952421690988</v>
      </c>
      <c r="M46" s="249">
        <f>IF(M$7=0,0,M$7/AGR!M$5*1000)</f>
        <v>2.3820482860302898</v>
      </c>
      <c r="N46" s="249">
        <f>IF(N$7=0,0,N$7/AGR!N$5*1000)</f>
        <v>2.4943827633047464</v>
      </c>
      <c r="O46" s="249">
        <f>IF(O$7=0,0,O$7/AGR!O$5*1000)</f>
        <v>2.2135014688468466</v>
      </c>
      <c r="P46" s="249">
        <f>IF(P$7=0,0,P$7/AGR!P$5*1000)</f>
        <v>2.3670150859700101</v>
      </c>
      <c r="Q46" s="249">
        <f>IF(Q$7=0,0,Q$7/AGR!Q$5*1000)</f>
        <v>2.4969018793803368</v>
      </c>
      <c r="R46" s="249">
        <f>IF(R$7=0,0,R$7/AGR!R$5*1000)</f>
        <v>2.5229557814350998</v>
      </c>
      <c r="S46" s="249">
        <f>IF(S$7=0,0,S$7/AGR!S$5*1000)</f>
        <v>2.1981540587718782</v>
      </c>
      <c r="T46" s="249">
        <f>IF(T$7=0,0,T$7/AGR!T$5*1000)</f>
        <v>2.6032340387629112</v>
      </c>
      <c r="U46" s="249">
        <f>IF(U$7=0,0,U$7/AGR!U$5*1000)</f>
        <v>2.4868536658761169</v>
      </c>
      <c r="V46" s="249">
        <f>IF(V$7=0,0,V$7/AGR!V$5*1000)</f>
        <v>2.7788432552475331</v>
      </c>
      <c r="W46" s="249">
        <f>IF(W$7=0,0,W$7/AGR!W$5*1000)</f>
        <v>2.456166489180132</v>
      </c>
      <c r="DA46" s="283"/>
    </row>
    <row r="47" spans="1:105" x14ac:dyDescent="0.25">
      <c r="A47" s="241" t="s">
        <v>123</v>
      </c>
      <c r="B47" s="249">
        <f>IF(B$8=0,0,B$8/AGR!B$5*1000)</f>
        <v>0.62687211743745319</v>
      </c>
      <c r="C47" s="249">
        <f>IF(C$8=0,0,C$8/AGR!C$5*1000)</f>
        <v>0.649377888379712</v>
      </c>
      <c r="D47" s="249">
        <f>IF(D$8=0,0,D$8/AGR!D$5*1000)</f>
        <v>0.85268814758803346</v>
      </c>
      <c r="E47" s="249">
        <f>IF(E$8=0,0,E$8/AGR!E$5*1000)</f>
        <v>0.70197608889470753</v>
      </c>
      <c r="F47" s="249">
        <f>IF(F$8=0,0,F$8/AGR!F$5*1000)</f>
        <v>1.8207747012170274</v>
      </c>
      <c r="G47" s="249">
        <f>IF(G$8=0,0,G$8/AGR!G$5*1000)</f>
        <v>2.2270342767249325</v>
      </c>
      <c r="H47" s="249">
        <f>IF(H$8=0,0,H$8/AGR!H$5*1000)</f>
        <v>2.0181718098408759</v>
      </c>
      <c r="I47" s="249">
        <f>IF(I$8=0,0,I$8/AGR!I$5*1000)</f>
        <v>2.3934696274871365</v>
      </c>
      <c r="J47" s="249">
        <f>IF(J$8=0,0,J$8/AGR!J$5*1000)</f>
        <v>2.8785224772020399</v>
      </c>
      <c r="K47" s="249">
        <f>IF(K$8=0,0,K$8/AGR!K$5*1000)</f>
        <v>3.7245611611044436</v>
      </c>
      <c r="L47" s="249">
        <f>IF(L$8=0,0,L$8/AGR!L$5*1000)</f>
        <v>3.4886703353110593</v>
      </c>
      <c r="M47" s="249">
        <f>IF(M$8=0,0,M$8/AGR!M$5*1000)</f>
        <v>3.2982207037342492</v>
      </c>
      <c r="N47" s="249">
        <f>IF(N$8=0,0,N$8/AGR!N$5*1000)</f>
        <v>3.4537607491911859</v>
      </c>
      <c r="O47" s="249">
        <f>IF(O$8=0,0,O$8/AGR!O$5*1000)</f>
        <v>3.0648481876340963</v>
      </c>
      <c r="P47" s="249">
        <f>IF(P$8=0,0,P$8/AGR!P$5*1000)</f>
        <v>3.2774055036507832</v>
      </c>
      <c r="Q47" s="249">
        <f>IF(Q$8=0,0,Q$8/AGR!Q$5*1000)</f>
        <v>3.4572487560650842</v>
      </c>
      <c r="R47" s="249">
        <f>IF(R$8=0,0,R$8/AGR!R$5*1000)</f>
        <v>3.4933233896793685</v>
      </c>
      <c r="S47" s="249">
        <f>IF(S$8=0,0,S$8/AGR!S$5*1000)</f>
        <v>3.0435979275302913</v>
      </c>
      <c r="T47" s="249">
        <f>IF(T$8=0,0,T$8/AGR!T$5*1000)</f>
        <v>3.6044778998255698</v>
      </c>
      <c r="U47" s="249">
        <f>IF(U$8=0,0,U$8/AGR!U$5*1000)</f>
        <v>3.4433358450592393</v>
      </c>
      <c r="V47" s="249">
        <f>IF(V$8=0,0,V$8/AGR!V$5*1000)</f>
        <v>3.8476291226504329</v>
      </c>
      <c r="W47" s="249">
        <f>IF(W$8=0,0,W$8/AGR!W$5*1000)</f>
        <v>3.4008459080955702</v>
      </c>
      <c r="DA47" s="283"/>
    </row>
    <row r="48" spans="1:105" x14ac:dyDescent="0.25">
      <c r="A48" s="243" t="s">
        <v>122</v>
      </c>
      <c r="B48" s="250">
        <f>IF(B$9=0,0,B$9/AGR!B$5*1000)</f>
        <v>22.887685822258398</v>
      </c>
      <c r="C48" s="250">
        <f>IF(C$9=0,0,C$9/AGR!C$5*1000)</f>
        <v>22.814382429188935</v>
      </c>
      <c r="D48" s="250">
        <f>IF(D$9=0,0,D$9/AGR!D$5*1000)</f>
        <v>24.278385406256653</v>
      </c>
      <c r="E48" s="250">
        <f>IF(E$9=0,0,E$9/AGR!E$5*1000)</f>
        <v>24.391181567120729</v>
      </c>
      <c r="F48" s="250">
        <f>IF(F$9=0,0,F$9/AGR!F$5*1000)</f>
        <v>25.824948947917655</v>
      </c>
      <c r="G48" s="250">
        <f>IF(G$9=0,0,G$9/AGR!G$5*1000)</f>
        <v>29.613761091821051</v>
      </c>
      <c r="H48" s="250">
        <f>IF(H$9=0,0,H$9/AGR!H$5*1000)</f>
        <v>28.812921461033444</v>
      </c>
      <c r="I48" s="250">
        <f>IF(I$9=0,0,I$9/AGR!I$5*1000)</f>
        <v>25.883431714508578</v>
      </c>
      <c r="J48" s="250">
        <f>IF(J$9=0,0,J$9/AGR!J$5*1000)</f>
        <v>26.9311769839363</v>
      </c>
      <c r="K48" s="250">
        <f>IF(K$9=0,0,K$9/AGR!K$5*1000)</f>
        <v>30.427695785375661</v>
      </c>
      <c r="L48" s="250">
        <f>IF(L$9=0,0,L$9/AGR!L$5*1000)</f>
        <v>29.43440594177715</v>
      </c>
      <c r="M48" s="250">
        <f>IF(M$9=0,0,M$9/AGR!M$5*1000)</f>
        <v>27.227881977319932</v>
      </c>
      <c r="N48" s="250">
        <f>IF(N$9=0,0,N$9/AGR!N$5*1000)</f>
        <v>27.758917503963975</v>
      </c>
      <c r="O48" s="250">
        <f>IF(O$9=0,0,O$9/AGR!O$5*1000)</f>
        <v>27.618251508277282</v>
      </c>
      <c r="P48" s="250">
        <f>IF(P$9=0,0,P$9/AGR!P$5*1000)</f>
        <v>26.910654980544475</v>
      </c>
      <c r="Q48" s="250">
        <f>IF(Q$9=0,0,Q$9/AGR!Q$5*1000)</f>
        <v>27.92746328546955</v>
      </c>
      <c r="R48" s="250">
        <f>IF(R$9=0,0,R$9/AGR!R$5*1000)</f>
        <v>28.422519133047981</v>
      </c>
      <c r="S48" s="250">
        <f>IF(S$9=0,0,S$9/AGR!S$5*1000)</f>
        <v>26.476910848330775</v>
      </c>
      <c r="T48" s="250">
        <f>IF(T$9=0,0,T$9/AGR!T$5*1000)</f>
        <v>30.117050843878186</v>
      </c>
      <c r="U48" s="250">
        <f>IF(U$9=0,0,U$9/AGR!U$5*1000)</f>
        <v>30.145027904348012</v>
      </c>
      <c r="V48" s="250">
        <f>IF(V$9=0,0,V$9/AGR!V$5*1000)</f>
        <v>31.652604835206219</v>
      </c>
      <c r="W48" s="250">
        <f>IF(W$9=0,0,W$9/AGR!W$5*1000)</f>
        <v>31.238993298338301</v>
      </c>
      <c r="DA48" s="284"/>
    </row>
    <row r="49" spans="1:105" x14ac:dyDescent="0.25">
      <c r="A49" s="128" t="s">
        <v>175</v>
      </c>
      <c r="B49" s="263">
        <f>IF(B$16=0,0,B$16/AGR!B$5*1000)</f>
        <v>31.050037802255435</v>
      </c>
      <c r="C49" s="263">
        <f>IF(C$16=0,0,C$16/AGR!C$5*1000)</f>
        <v>30.954946797733715</v>
      </c>
      <c r="D49" s="263">
        <f>IF(D$16=0,0,D$16/AGR!D$5*1000)</f>
        <v>33.061008638150383</v>
      </c>
      <c r="E49" s="263">
        <f>IF(E$16=0,0,E$16/AGR!E$5*1000)</f>
        <v>33.123924210931555</v>
      </c>
      <c r="F49" s="263">
        <f>IF(F$16=0,0,F$16/AGR!F$5*1000)</f>
        <v>31.153502527500589</v>
      </c>
      <c r="G49" s="263">
        <f>IF(G$16=0,0,G$16/AGR!G$5*1000)</f>
        <v>36.25072629746208</v>
      </c>
      <c r="H49" s="263">
        <f>IF(H$16=0,0,H$16/AGR!H$5*1000)</f>
        <v>34.842023806553513</v>
      </c>
      <c r="I49" s="263">
        <f>IF(I$16=0,0,I$16/AGR!I$5*1000)</f>
        <v>31.355973877054868</v>
      </c>
      <c r="J49" s="263">
        <f>IF(J$16=0,0,J$16/AGR!J$5*1000)</f>
        <v>34.065979979402073</v>
      </c>
      <c r="K49" s="263">
        <f>IF(K$16=0,0,K$16/AGR!K$5*1000)</f>
        <v>36.140583862064418</v>
      </c>
      <c r="L49" s="263">
        <f>IF(L$16=0,0,L$16/AGR!L$5*1000)</f>
        <v>34.006942838824259</v>
      </c>
      <c r="M49" s="263">
        <f>IF(M$16=0,0,M$16/AGR!M$5*1000)</f>
        <v>30.783549695954658</v>
      </c>
      <c r="N49" s="263">
        <f>IF(N$16=0,0,N$16/AGR!N$5*1000)</f>
        <v>30.84357334870657</v>
      </c>
      <c r="O49" s="263">
        <f>IF(O$16=0,0,O$16/AGR!O$5*1000)</f>
        <v>30.788615797634801</v>
      </c>
      <c r="P49" s="263">
        <f>IF(P$16=0,0,P$16/AGR!P$5*1000)</f>
        <v>29.386271036570406</v>
      </c>
      <c r="Q49" s="263">
        <f>IF(Q$16=0,0,Q$16/AGR!Q$5*1000)</f>
        <v>28.449725191229831</v>
      </c>
      <c r="R49" s="263">
        <f>IF(R$16=0,0,R$16/AGR!R$5*1000)</f>
        <v>29.208749309350075</v>
      </c>
      <c r="S49" s="263">
        <f>IF(S$16=0,0,S$16/AGR!S$5*1000)</f>
        <v>26.832624532116348</v>
      </c>
      <c r="T49" s="263">
        <f>IF(T$16=0,0,T$16/AGR!T$5*1000)</f>
        <v>29.611535457491755</v>
      </c>
      <c r="U49" s="263">
        <f>IF(U$16=0,0,U$16/AGR!U$5*1000)</f>
        <v>30.962431582374577</v>
      </c>
      <c r="V49" s="263">
        <f>IF(V$16=0,0,V$16/AGR!V$5*1000)</f>
        <v>30.981962620027634</v>
      </c>
      <c r="W49" s="263">
        <f>IF(W$16=0,0,W$16/AGR!W$5*1000)</f>
        <v>28.484841494364389</v>
      </c>
      <c r="DA49" s="285"/>
    </row>
    <row r="50" spans="1:105" x14ac:dyDescent="0.25">
      <c r="A50" s="128" t="s">
        <v>121</v>
      </c>
      <c r="B50" s="263">
        <f>IF(B$17=0,0,B$17/AGR!B$5*1000)</f>
        <v>63.07201443375719</v>
      </c>
      <c r="C50" s="263">
        <f>IF(C$17=0,0,C$17/AGR!C$5*1000)</f>
        <v>59.022799834794434</v>
      </c>
      <c r="D50" s="263">
        <f>IF(D$17=0,0,D$17/AGR!D$5*1000)</f>
        <v>59.381063633308763</v>
      </c>
      <c r="E50" s="263">
        <f>IF(E$17=0,0,E$17/AGR!E$5*1000)</f>
        <v>67.652869307510699</v>
      </c>
      <c r="F50" s="263">
        <f>IF(F$17=0,0,F$17/AGR!F$5*1000)</f>
        <v>61.763358749907461</v>
      </c>
      <c r="G50" s="263">
        <f>IF(G$17=0,0,G$17/AGR!G$5*1000)</f>
        <v>69.223776882963705</v>
      </c>
      <c r="H50" s="263">
        <f>IF(H$17=0,0,H$17/AGR!H$5*1000)</f>
        <v>65.368005600634845</v>
      </c>
      <c r="I50" s="263">
        <f>IF(I$17=0,0,I$17/AGR!I$5*1000)</f>
        <v>60.676740752480228</v>
      </c>
      <c r="J50" s="263">
        <f>IF(J$17=0,0,J$17/AGR!J$5*1000)</f>
        <v>55.792220818476082</v>
      </c>
      <c r="K50" s="263">
        <f>IF(K$17=0,0,K$17/AGR!K$5*1000)</f>
        <v>62.155233094760142</v>
      </c>
      <c r="L50" s="263">
        <f>IF(L$17=0,0,L$17/AGR!L$5*1000)</f>
        <v>55.22829129149666</v>
      </c>
      <c r="M50" s="263">
        <f>IF(M$17=0,0,M$17/AGR!M$5*1000)</f>
        <v>50.550070294834732</v>
      </c>
      <c r="N50" s="263">
        <f>IF(N$17=0,0,N$17/AGR!N$5*1000)</f>
        <v>51.326113759795504</v>
      </c>
      <c r="O50" s="263">
        <f>IF(O$17=0,0,O$17/AGR!O$5*1000)</f>
        <v>51.600113318731701</v>
      </c>
      <c r="P50" s="263">
        <f>IF(P$17=0,0,P$17/AGR!P$5*1000)</f>
        <v>50.007845393662336</v>
      </c>
      <c r="Q50" s="263">
        <f>IF(Q$17=0,0,Q$17/AGR!Q$5*1000)</f>
        <v>51.867191278666965</v>
      </c>
      <c r="R50" s="263">
        <f>IF(R$17=0,0,R$17/AGR!R$5*1000)</f>
        <v>52.734083430616259</v>
      </c>
      <c r="S50" s="263">
        <f>IF(S$17=0,0,S$17/AGR!S$5*1000)</f>
        <v>49.527584916556357</v>
      </c>
      <c r="T50" s="263">
        <f>IF(T$17=0,0,T$17/AGR!T$5*1000)</f>
        <v>55.836289294220045</v>
      </c>
      <c r="U50" s="263">
        <f>IF(U$17=0,0,U$17/AGR!U$5*1000)</f>
        <v>55.825192264505723</v>
      </c>
      <c r="V50" s="263">
        <f>IF(V$17=0,0,V$17/AGR!V$5*1000)</f>
        <v>58.662283330719497</v>
      </c>
      <c r="W50" s="263">
        <f>IF(W$17=0,0,W$17/AGR!W$5*1000)</f>
        <v>58.449118698862691</v>
      </c>
      <c r="DA50" s="285"/>
    </row>
    <row r="51" spans="1:105" x14ac:dyDescent="0.25">
      <c r="A51" s="128" t="s">
        <v>174</v>
      </c>
      <c r="B51" s="263">
        <f>IF(B$25=0,0,B$25/AGR!B$5*1000)</f>
        <v>5.9665235261861307</v>
      </c>
      <c r="C51" s="263">
        <f>IF(C$25=0,0,C$25/AGR!C$5*1000)</f>
        <v>5.9482509972049806</v>
      </c>
      <c r="D51" s="263">
        <f>IF(D$25=0,0,D$25/AGR!D$5*1000)</f>
        <v>6.3529483311816923</v>
      </c>
      <c r="E51" s="263">
        <f>IF(E$25=0,0,E$25/AGR!E$5*1000)</f>
        <v>6.3650380828126893</v>
      </c>
      <c r="F51" s="263">
        <f>IF(F$25=0,0,F$25/AGR!F$5*1000)</f>
        <v>5.9864051353885745</v>
      </c>
      <c r="G51" s="263">
        <f>IF(G$25=0,0,G$25/AGR!G$5*1000)</f>
        <v>6.9658791616488971</v>
      </c>
      <c r="H51" s="263">
        <f>IF(H$25=0,0,H$25/AGR!H$5*1000)</f>
        <v>6.6951852382813586</v>
      </c>
      <c r="I51" s="263">
        <f>IF(I$25=0,0,I$25/AGR!I$5*1000)</f>
        <v>6.0253116925460146</v>
      </c>
      <c r="J51" s="263">
        <f>IF(J$25=0,0,J$25/AGR!J$5*1000)</f>
        <v>6.5460619495582035</v>
      </c>
      <c r="K51" s="263">
        <f>IF(K$25=0,0,K$25/AGR!K$5*1000)</f>
        <v>6.944714374790447</v>
      </c>
      <c r="L51" s="263">
        <f>IF(L$25=0,0,L$25/AGR!L$5*1000)</f>
        <v>6.5347174709968714</v>
      </c>
      <c r="M51" s="263">
        <f>IF(M$25=0,0,M$25/AGR!M$5*1000)</f>
        <v>5.9153156157217834</v>
      </c>
      <c r="N51" s="263">
        <f>IF(N$25=0,0,N$25/AGR!N$5*1000)</f>
        <v>5.9268496608186894</v>
      </c>
      <c r="O51" s="263">
        <f>IF(O$25=0,0,O$25/AGR!O$5*1000)</f>
        <v>5.916289109379127</v>
      </c>
      <c r="P51" s="263">
        <f>IF(P$25=0,0,P$25/AGR!P$5*1000)</f>
        <v>5.6468168767847171</v>
      </c>
      <c r="Q51" s="263">
        <f>IF(Q$25=0,0,Q$25/AGR!Q$5*1000)</f>
        <v>5.4668517876868048</v>
      </c>
      <c r="R51" s="263">
        <f>IF(R$25=0,0,R$25/AGR!R$5*1000)</f>
        <v>5.6127045974820344</v>
      </c>
      <c r="S51" s="263">
        <f>IF(S$25=0,0,S$25/AGR!S$5*1000)</f>
        <v>5.1561124195656189</v>
      </c>
      <c r="T51" s="263">
        <f>IF(T$25=0,0,T$25/AGR!T$5*1000)</f>
        <v>5.6901033125565359</v>
      </c>
      <c r="U51" s="263">
        <f>IF(U$25=0,0,U$25/AGR!U$5*1000)</f>
        <v>5.9496892609498593</v>
      </c>
      <c r="V51" s="263">
        <f>IF(V$25=0,0,V$25/AGR!V$5*1000)</f>
        <v>5.9534423126011964</v>
      </c>
      <c r="W51" s="263">
        <f>IF(W$25=0,0,W$25/AGR!W$5*1000)</f>
        <v>5.4735996779837288</v>
      </c>
      <c r="DA51" s="285"/>
    </row>
    <row r="52" spans="1:105" x14ac:dyDescent="0.25">
      <c r="A52" s="128" t="s">
        <v>177</v>
      </c>
      <c r="B52" s="263">
        <f>IF(B$26=0,0,B$26/AGR!B$5*1000)</f>
        <v>0.69652457493050368</v>
      </c>
      <c r="C52" s="263">
        <f>IF(C$26=0,0,C$26/AGR!C$5*1000)</f>
        <v>0.72153098708856889</v>
      </c>
      <c r="D52" s="263">
        <f>IF(D$26=0,0,D$26/AGR!D$5*1000)</f>
        <v>0.94743127509781511</v>
      </c>
      <c r="E52" s="263">
        <f>IF(E$26=0,0,E$26/AGR!E$5*1000)</f>
        <v>0.77997343210523062</v>
      </c>
      <c r="F52" s="263">
        <f>IF(F$26=0,0,F$26/AGR!F$5*1000)</f>
        <v>2.0230830013522532</v>
      </c>
      <c r="G52" s="263">
        <f>IF(G$26=0,0,G$26/AGR!G$5*1000)</f>
        <v>2.4744825296943707</v>
      </c>
      <c r="H52" s="263">
        <f>IF(H$26=0,0,H$26/AGR!H$5*1000)</f>
        <v>2.2424131220454182</v>
      </c>
      <c r="I52" s="263">
        <f>IF(I$26=0,0,I$26/AGR!I$5*1000)</f>
        <v>2.6594106972079308</v>
      </c>
      <c r="J52" s="263">
        <f>IF(J$26=0,0,J$26/AGR!J$5*1000)</f>
        <v>3.1983583080022675</v>
      </c>
      <c r="K52" s="263">
        <f>IF(K$26=0,0,K$26/AGR!K$5*1000)</f>
        <v>4.1384012901160503</v>
      </c>
      <c r="L52" s="263">
        <f>IF(L$26=0,0,L$26/AGR!L$5*1000)</f>
        <v>3.8763003725678438</v>
      </c>
      <c r="M52" s="263">
        <f>IF(M$26=0,0,M$26/AGR!M$5*1000)</f>
        <v>3.6646896708158327</v>
      </c>
      <c r="N52" s="263">
        <f>IF(N$26=0,0,N$26/AGR!N$5*1000)</f>
        <v>3.8375119435457621</v>
      </c>
      <c r="O52" s="263">
        <f>IF(O$26=0,0,O$26/AGR!O$5*1000)</f>
        <v>3.405386875148996</v>
      </c>
      <c r="P52" s="263">
        <f>IF(P$26=0,0,P$26/AGR!P$5*1000)</f>
        <v>3.6415616707230942</v>
      </c>
      <c r="Q52" s="263">
        <f>IF(Q$26=0,0,Q$26/AGR!Q$5*1000)</f>
        <v>3.841387506738982</v>
      </c>
      <c r="R52" s="263">
        <f>IF(R$26=0,0,R$26/AGR!R$5*1000)</f>
        <v>3.8814704329770775</v>
      </c>
      <c r="S52" s="263">
        <f>IF(S$26=0,0,S$26/AGR!S$5*1000)</f>
        <v>3.3817754750336579</v>
      </c>
      <c r="T52" s="263">
        <f>IF(T$26=0,0,T$26/AGR!T$5*1000)</f>
        <v>4.0049754442506345</v>
      </c>
      <c r="U52" s="263">
        <f>IF(U$26=0,0,U$26/AGR!U$5*1000)</f>
        <v>3.8259287167324878</v>
      </c>
      <c r="V52" s="263">
        <f>IF(V$26=0,0,V$26/AGR!V$5*1000)</f>
        <v>4.275143469611594</v>
      </c>
      <c r="W52" s="263">
        <f>IF(W$26=0,0,W$26/AGR!W$5*1000)</f>
        <v>3.7787176756617433</v>
      </c>
      <c r="DA52" s="285"/>
    </row>
    <row r="53" spans="1:105" x14ac:dyDescent="0.25">
      <c r="A53" s="261" t="s">
        <v>33</v>
      </c>
      <c r="B53" s="264">
        <f>IF(B$27=0,0,B$27/AGR!B$5*1000)</f>
        <v>1.0099606336492304</v>
      </c>
      <c r="C53" s="264">
        <f>IF(C$27=0,0,C$27/AGR!C$5*1000)</f>
        <v>1.0462199312784244</v>
      </c>
      <c r="D53" s="264">
        <f>IF(D$27=0,0,D$27/AGR!D$5*1000)</f>
        <v>1.3737753488918314</v>
      </c>
      <c r="E53" s="264">
        <f>IF(E$27=0,0,E$27/AGR!E$5*1000)</f>
        <v>1.1309614765525844</v>
      </c>
      <c r="F53" s="264">
        <f>IF(F$27=0,0,F$27/AGR!F$5*1000)</f>
        <v>2.933470351960767</v>
      </c>
      <c r="G53" s="264">
        <f>IF(G$27=0,0,G$27/AGR!G$5*1000)</f>
        <v>3.5879996680568365</v>
      </c>
      <c r="H53" s="264">
        <f>IF(H$27=0,0,H$27/AGR!H$5*1000)</f>
        <v>3.2514990269658561</v>
      </c>
      <c r="I53" s="264">
        <f>IF(I$27=0,0,I$27/AGR!I$5*1000)</f>
        <v>3.8561455109514982</v>
      </c>
      <c r="J53" s="264">
        <f>IF(J$27=0,0,J$27/AGR!J$5*1000)</f>
        <v>4.6376195466032879</v>
      </c>
      <c r="K53" s="264">
        <f>IF(K$27=0,0,K$27/AGR!K$5*1000)</f>
        <v>6.000681870668271</v>
      </c>
      <c r="L53" s="264">
        <f>IF(L$27=0,0,L$27/AGR!L$5*1000)</f>
        <v>5.6206355402233745</v>
      </c>
      <c r="M53" s="264">
        <f>IF(M$27=0,0,M$27/AGR!M$5*1000)</f>
        <v>5.3138000226829583</v>
      </c>
      <c r="N53" s="264">
        <f>IF(N$27=0,0,N$27/AGR!N$5*1000)</f>
        <v>5.5643923181413548</v>
      </c>
      <c r="O53" s="264">
        <f>IF(O$27=0,0,O$27/AGR!O$5*1000)</f>
        <v>4.9378109689660441</v>
      </c>
      <c r="P53" s="264">
        <f>IF(P$27=0,0,P$27/AGR!P$5*1000)</f>
        <v>5.2802644225484858</v>
      </c>
      <c r="Q53" s="264">
        <f>IF(Q$27=0,0,Q$27/AGR!Q$5*1000)</f>
        <v>5.5700118847715254</v>
      </c>
      <c r="R53" s="264">
        <f>IF(R$27=0,0,R$27/AGR!R$5*1000)</f>
        <v>5.6281321278167624</v>
      </c>
      <c r="S53" s="264">
        <f>IF(S$27=0,0,S$27/AGR!S$5*1000)</f>
        <v>4.9035744387988043</v>
      </c>
      <c r="T53" s="264">
        <f>IF(T$27=0,0,T$27/AGR!T$5*1000)</f>
        <v>5.8072143941634184</v>
      </c>
      <c r="U53" s="264">
        <f>IF(U$27=0,0,U$27/AGR!U$5*1000)</f>
        <v>5.5475966392621077</v>
      </c>
      <c r="V53" s="264">
        <f>IF(V$27=0,0,V$27/AGR!V$5*1000)</f>
        <v>6.1989580309368097</v>
      </c>
      <c r="W53" s="264">
        <f>IF(W$27=0,0,W$27/AGR!W$5*1000)</f>
        <v>5.4791406297095291</v>
      </c>
      <c r="DA53" s="286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1013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179" t="s">
        <v>133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 t="shared" ref="B5" si="0">SUM(B6:B9,B16:B17,B25:B27)</f>
        <v>264.34100790829092</v>
      </c>
      <c r="C5" s="80">
        <f t="shared" ref="C5:W5" si="1">SUM(C6:C9,C16:C17,C25:C27)</f>
        <v>255.99659460900006</v>
      </c>
      <c r="D5" s="80">
        <f t="shared" si="1"/>
        <v>216.33865607626407</v>
      </c>
      <c r="E5" s="80">
        <f t="shared" si="1"/>
        <v>274.88904823351362</v>
      </c>
      <c r="F5" s="80">
        <f t="shared" si="1"/>
        <v>371.34584435009862</v>
      </c>
      <c r="G5" s="80">
        <f t="shared" si="1"/>
        <v>360.72966260943878</v>
      </c>
      <c r="H5" s="80">
        <f t="shared" si="1"/>
        <v>311.9074082534334</v>
      </c>
      <c r="I5" s="80">
        <f t="shared" si="1"/>
        <v>275.1293002323809</v>
      </c>
      <c r="J5" s="80">
        <f t="shared" si="1"/>
        <v>295.52272168509899</v>
      </c>
      <c r="K5" s="80">
        <f t="shared" si="1"/>
        <v>298.46705870072071</v>
      </c>
      <c r="L5" s="80">
        <f t="shared" si="1"/>
        <v>331.50146351279159</v>
      </c>
      <c r="M5" s="80">
        <f t="shared" si="1"/>
        <v>300.46384777698677</v>
      </c>
      <c r="N5" s="80">
        <f t="shared" si="1"/>
        <v>309.40665411473054</v>
      </c>
      <c r="O5" s="80">
        <f t="shared" si="1"/>
        <v>327.84945702364013</v>
      </c>
      <c r="P5" s="80">
        <f t="shared" si="1"/>
        <v>287.46827390136696</v>
      </c>
      <c r="Q5" s="80">
        <f t="shared" si="1"/>
        <v>298.3258488736904</v>
      </c>
      <c r="R5" s="80">
        <f t="shared" si="1"/>
        <v>318.9712095893936</v>
      </c>
      <c r="S5" s="80">
        <f t="shared" si="1"/>
        <v>324.67816236790935</v>
      </c>
      <c r="T5" s="80">
        <f t="shared" si="1"/>
        <v>329.45742450081121</v>
      </c>
      <c r="U5" s="80">
        <f t="shared" si="1"/>
        <v>367.21961665645762</v>
      </c>
      <c r="V5" s="80">
        <f t="shared" si="1"/>
        <v>353.52060099677146</v>
      </c>
      <c r="W5" s="80">
        <f t="shared" si="1"/>
        <v>353.70773165966523</v>
      </c>
      <c r="DA5" s="103"/>
    </row>
    <row r="6" spans="1:105" x14ac:dyDescent="0.25">
      <c r="A6" s="239" t="s">
        <v>125</v>
      </c>
      <c r="B6" s="240">
        <v>1.976857032336943</v>
      </c>
      <c r="C6" s="240">
        <v>2.0295187349572861</v>
      </c>
      <c r="D6" s="240">
        <v>2.1324391583589639</v>
      </c>
      <c r="E6" s="240">
        <v>2.1511114672107099</v>
      </c>
      <c r="F6" s="240">
        <v>7.0753767551873459</v>
      </c>
      <c r="G6" s="240">
        <v>7.3042971769997127</v>
      </c>
      <c r="H6" s="240">
        <v>5.9947619210145806</v>
      </c>
      <c r="I6" s="240">
        <v>6.6773259250085317</v>
      </c>
      <c r="J6" s="240">
        <v>8.3098280622068934</v>
      </c>
      <c r="K6" s="240">
        <v>9.4634110277324286</v>
      </c>
      <c r="L6" s="240">
        <v>10.46127725795141</v>
      </c>
      <c r="M6" s="240">
        <v>9.692307196864693</v>
      </c>
      <c r="N6" s="240">
        <v>10.217873511588349</v>
      </c>
      <c r="O6" s="240">
        <v>9.8508597609630044</v>
      </c>
      <c r="P6" s="240">
        <v>9.3468783477144335</v>
      </c>
      <c r="Q6" s="240">
        <v>9.9309933328422701</v>
      </c>
      <c r="R6" s="240">
        <v>10.54607335517688</v>
      </c>
      <c r="S6" s="240">
        <v>10.177132240320329</v>
      </c>
      <c r="T6" s="240">
        <v>10.73083009980294</v>
      </c>
      <c r="U6" s="240">
        <v>11.448034524410041</v>
      </c>
      <c r="V6" s="240">
        <v>11.650695147199929</v>
      </c>
      <c r="W6" s="240">
        <v>10.757791744665001</v>
      </c>
      <c r="DA6" s="268" t="s">
        <v>1014</v>
      </c>
    </row>
    <row r="7" spans="1:105" x14ac:dyDescent="0.25">
      <c r="A7" s="241" t="s">
        <v>124</v>
      </c>
      <c r="B7" s="242">
        <v>1.2741992996160281</v>
      </c>
      <c r="C7" s="242">
        <v>1.308142828914201</v>
      </c>
      <c r="D7" s="242">
        <v>1.3744810259964531</v>
      </c>
      <c r="E7" s="242">
        <v>1.386516414733181</v>
      </c>
      <c r="F7" s="242">
        <v>4.5604917090648849</v>
      </c>
      <c r="G7" s="242">
        <v>4.7080442312603354</v>
      </c>
      <c r="H7" s="242">
        <v>3.863972617226513</v>
      </c>
      <c r="I7" s="242">
        <v>4.3039248047673908</v>
      </c>
      <c r="J7" s="242">
        <v>5.3561673523130739</v>
      </c>
      <c r="K7" s="242">
        <v>6.0997186474636296</v>
      </c>
      <c r="L7" s="242">
        <v>6.7429014527231654</v>
      </c>
      <c r="M7" s="242">
        <v>6.2472555373966037</v>
      </c>
      <c r="N7" s="242">
        <v>6.586013585737108</v>
      </c>
      <c r="O7" s="242">
        <v>6.3494518838301994</v>
      </c>
      <c r="P7" s="242">
        <v>6.0246065595218026</v>
      </c>
      <c r="Q7" s="242">
        <v>6.4011026301887197</v>
      </c>
      <c r="R7" s="242">
        <v>6.7975574677649506</v>
      </c>
      <c r="S7" s="242">
        <v>6.5597534675464608</v>
      </c>
      <c r="T7" s="242">
        <v>6.9166439321632156</v>
      </c>
      <c r="U7" s="242">
        <v>7.3789238849201304</v>
      </c>
      <c r="V7" s="242">
        <v>7.5095504397971684</v>
      </c>
      <c r="W7" s="242">
        <v>6.9340222799333224</v>
      </c>
      <c r="DA7" s="269" t="s">
        <v>1015</v>
      </c>
    </row>
    <row r="8" spans="1:105" x14ac:dyDescent="0.25">
      <c r="A8" s="241" t="s">
        <v>123</v>
      </c>
      <c r="B8" s="242">
        <v>2.5321299187428821</v>
      </c>
      <c r="C8" s="242">
        <v>2.5995835942468091</v>
      </c>
      <c r="D8" s="242">
        <v>2.7314129977302741</v>
      </c>
      <c r="E8" s="242">
        <v>2.755330110157785</v>
      </c>
      <c r="F8" s="242">
        <v>9.0627561200056359</v>
      </c>
      <c r="G8" s="242">
        <v>9.3559772480894896</v>
      </c>
      <c r="H8" s="242">
        <v>7.6786109301981753</v>
      </c>
      <c r="I8" s="242">
        <v>8.5528980980096261</v>
      </c>
      <c r="J8" s="242">
        <v>10.643948404831759</v>
      </c>
      <c r="K8" s="242">
        <v>12.121557505023629</v>
      </c>
      <c r="L8" s="242">
        <v>13.399711106983251</v>
      </c>
      <c r="M8" s="242">
        <v>12.414747568171631</v>
      </c>
      <c r="N8" s="242">
        <v>13.0879384808306</v>
      </c>
      <c r="O8" s="242">
        <v>12.617835441841549</v>
      </c>
      <c r="P8" s="242">
        <v>11.97229234282015</v>
      </c>
      <c r="Q8" s="242">
        <v>12.72047746983452</v>
      </c>
      <c r="R8" s="242">
        <v>13.50832530177072</v>
      </c>
      <c r="S8" s="242">
        <v>13.03575352753459</v>
      </c>
      <c r="T8" s="242">
        <v>13.744977762269659</v>
      </c>
      <c r="U8" s="242">
        <v>14.66363538479666</v>
      </c>
      <c r="V8" s="242">
        <v>14.92322068506023</v>
      </c>
      <c r="W8" s="242">
        <v>13.77951257510489</v>
      </c>
      <c r="DA8" s="269" t="s">
        <v>1016</v>
      </c>
    </row>
    <row r="9" spans="1:105" x14ac:dyDescent="0.25">
      <c r="A9" s="243" t="s">
        <v>122</v>
      </c>
      <c r="B9" s="244">
        <f t="shared" ref="B9" si="2">SUM(B10:B15)</f>
        <v>83.315075200356034</v>
      </c>
      <c r="C9" s="244">
        <f t="shared" ref="C9:W9" si="3">SUM(C10:C15)</f>
        <v>82.310832174797241</v>
      </c>
      <c r="D9" s="244">
        <f t="shared" si="3"/>
        <v>70.13362999859568</v>
      </c>
      <c r="E9" s="244">
        <f t="shared" si="3"/>
        <v>86.287400679619424</v>
      </c>
      <c r="F9" s="244">
        <f t="shared" si="3"/>
        <v>122.41168536757195</v>
      </c>
      <c r="G9" s="244">
        <f t="shared" si="3"/>
        <v>118.3387456002046</v>
      </c>
      <c r="H9" s="244">
        <f t="shared" si="3"/>
        <v>104.33597261065576</v>
      </c>
      <c r="I9" s="244">
        <f t="shared" si="3"/>
        <v>89.088778592540976</v>
      </c>
      <c r="J9" s="244">
        <f t="shared" si="3"/>
        <v>95.733159315553593</v>
      </c>
      <c r="K9" s="244">
        <f t="shared" si="3"/>
        <v>98.080792715410198</v>
      </c>
      <c r="L9" s="244">
        <f t="shared" si="3"/>
        <v>111.96346706036391</v>
      </c>
      <c r="M9" s="244">
        <f t="shared" si="3"/>
        <v>102.12836159775642</v>
      </c>
      <c r="N9" s="244">
        <f t="shared" si="3"/>
        <v>105.42345575946102</v>
      </c>
      <c r="O9" s="244">
        <f t="shared" si="3"/>
        <v>112.5489961487196</v>
      </c>
      <c r="P9" s="244">
        <f t="shared" si="3"/>
        <v>98.532873935402634</v>
      </c>
      <c r="Q9" s="244">
        <f t="shared" si="3"/>
        <v>104.15299277118493</v>
      </c>
      <c r="R9" s="244">
        <f t="shared" si="3"/>
        <v>111.18551020175917</v>
      </c>
      <c r="S9" s="244">
        <f t="shared" si="3"/>
        <v>114.02212930530479</v>
      </c>
      <c r="T9" s="244">
        <f t="shared" si="3"/>
        <v>116.31871380783106</v>
      </c>
      <c r="U9" s="244">
        <f t="shared" si="3"/>
        <v>128.79971873831235</v>
      </c>
      <c r="V9" s="244">
        <f t="shared" si="3"/>
        <v>124.52667671030842</v>
      </c>
      <c r="W9" s="244">
        <f t="shared" si="3"/>
        <v>127.66038819032208</v>
      </c>
      <c r="DA9" s="270"/>
    </row>
    <row r="10" spans="1:105" x14ac:dyDescent="0.25">
      <c r="A10" s="254" t="s">
        <v>173</v>
      </c>
      <c r="B10" s="255">
        <v>83.105814639185041</v>
      </c>
      <c r="C10" s="255">
        <v>82.085395183971855</v>
      </c>
      <c r="D10" s="255">
        <v>69.785597352756781</v>
      </c>
      <c r="E10" s="255">
        <v>86.035824263097666</v>
      </c>
      <c r="F10" s="255">
        <v>64.385789953677588</v>
      </c>
      <c r="G10" s="255">
        <v>64.731074858466798</v>
      </c>
      <c r="H10" s="255">
        <v>55.330124977612783</v>
      </c>
      <c r="I10" s="255">
        <v>45.618747054546652</v>
      </c>
      <c r="J10" s="255">
        <v>57.003865267692177</v>
      </c>
      <c r="K10" s="255">
        <v>43.03954625752521</v>
      </c>
      <c r="L10" s="255">
        <v>43.656341094282588</v>
      </c>
      <c r="M10" s="255">
        <v>36.183892507048142</v>
      </c>
      <c r="N10" s="255">
        <v>34.129129147279862</v>
      </c>
      <c r="O10" s="255">
        <v>37.379319367822099</v>
      </c>
      <c r="P10" s="255">
        <v>29.753187461863</v>
      </c>
      <c r="Q10" s="255">
        <v>24.051510753415279</v>
      </c>
      <c r="R10" s="255">
        <v>26.55386523940625</v>
      </c>
      <c r="S10" s="255">
        <v>25.885765331219162</v>
      </c>
      <c r="T10" s="255">
        <v>23.404592352760229</v>
      </c>
      <c r="U10" s="255">
        <v>30.76247264259489</v>
      </c>
      <c r="V10" s="255">
        <v>24.18280962901304</v>
      </c>
      <c r="W10" s="255">
        <v>19.340662314721421</v>
      </c>
      <c r="DA10" s="271" t="s">
        <v>1017</v>
      </c>
    </row>
    <row r="11" spans="1:105" x14ac:dyDescent="0.25">
      <c r="A11" s="254" t="s">
        <v>176</v>
      </c>
      <c r="B11" s="256">
        <v>0</v>
      </c>
      <c r="C11" s="256">
        <v>0</v>
      </c>
      <c r="D11" s="256">
        <v>0</v>
      </c>
      <c r="E11" s="256">
        <v>0</v>
      </c>
      <c r="F11" s="256">
        <v>50.409326758063607</v>
      </c>
      <c r="G11" s="256">
        <v>47.161203169159478</v>
      </c>
      <c r="H11" s="256">
        <v>41.811937068241427</v>
      </c>
      <c r="I11" s="256">
        <v>31.95859530122598</v>
      </c>
      <c r="J11" s="256">
        <v>24.34259135148789</v>
      </c>
      <c r="K11" s="256">
        <v>34.666865879395957</v>
      </c>
      <c r="L11" s="256">
        <v>46.240181338571411</v>
      </c>
      <c r="M11" s="256">
        <v>44.468202365245247</v>
      </c>
      <c r="N11" s="256">
        <v>49.50016037343039</v>
      </c>
      <c r="O11" s="256">
        <v>58.014446431133322</v>
      </c>
      <c r="P11" s="256">
        <v>49.401858296458947</v>
      </c>
      <c r="Q11" s="256">
        <v>56.645707396047001</v>
      </c>
      <c r="R11" s="256">
        <v>60.197728260982792</v>
      </c>
      <c r="S11" s="256">
        <v>67.609674639923014</v>
      </c>
      <c r="T11" s="256">
        <v>69.152632800890771</v>
      </c>
      <c r="U11" s="256">
        <v>74.949454207179883</v>
      </c>
      <c r="V11" s="256">
        <v>76.938289769710835</v>
      </c>
      <c r="W11" s="256">
        <v>90.892457207198646</v>
      </c>
      <c r="DA11" s="272" t="s">
        <v>1018</v>
      </c>
    </row>
    <row r="12" spans="1:105" x14ac:dyDescent="0.25">
      <c r="A12" s="254" t="s">
        <v>158</v>
      </c>
      <c r="B12" s="256">
        <v>0</v>
      </c>
      <c r="C12" s="256">
        <v>0</v>
      </c>
      <c r="D12" s="256">
        <v>0</v>
      </c>
      <c r="E12" s="256">
        <v>0</v>
      </c>
      <c r="F12" s="256">
        <v>0</v>
      </c>
      <c r="G12" s="256">
        <v>0</v>
      </c>
      <c r="H12" s="256">
        <v>0</v>
      </c>
      <c r="I12" s="256">
        <v>0</v>
      </c>
      <c r="J12" s="256">
        <v>0</v>
      </c>
      <c r="K12" s="256">
        <v>0</v>
      </c>
      <c r="L12" s="256">
        <v>0</v>
      </c>
      <c r="M12" s="256">
        <v>0</v>
      </c>
      <c r="N12" s="256">
        <v>0</v>
      </c>
      <c r="O12" s="256">
        <v>3.6407034640445761E-3</v>
      </c>
      <c r="P12" s="256">
        <v>4.7633200443752046E-3</v>
      </c>
      <c r="Q12" s="256">
        <v>9.5121951592024891E-3</v>
      </c>
      <c r="R12" s="256">
        <v>1.962805911144852E-2</v>
      </c>
      <c r="S12" s="256">
        <v>1.9333345623611581E-2</v>
      </c>
      <c r="T12" s="256">
        <v>2.0180652406165941E-2</v>
      </c>
      <c r="U12" s="256">
        <v>2.0244906784699781E-2</v>
      </c>
      <c r="V12" s="256">
        <v>1.947818410421023E-2</v>
      </c>
      <c r="W12" s="256">
        <v>1.928108667923932E-2</v>
      </c>
      <c r="DA12" s="272" t="s">
        <v>1019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1020</v>
      </c>
    </row>
    <row r="14" spans="1:105" x14ac:dyDescent="0.25">
      <c r="A14" s="254" t="s">
        <v>169</v>
      </c>
      <c r="B14" s="255">
        <v>0</v>
      </c>
      <c r="C14" s="255">
        <v>0</v>
      </c>
      <c r="D14" s="255">
        <v>0</v>
      </c>
      <c r="E14" s="255">
        <v>0</v>
      </c>
      <c r="F14" s="255">
        <v>2.7667951753712581</v>
      </c>
      <c r="G14" s="255">
        <v>0.87329690938182525</v>
      </c>
      <c r="H14" s="255">
        <v>3.259470848615011</v>
      </c>
      <c r="I14" s="255">
        <v>3.5216134206599459</v>
      </c>
      <c r="J14" s="255">
        <v>2.1303418910464651</v>
      </c>
      <c r="K14" s="255">
        <v>0.99490240962109144</v>
      </c>
      <c r="L14" s="255">
        <v>3.3353108380132119</v>
      </c>
      <c r="M14" s="255">
        <v>3.2073948139191431</v>
      </c>
      <c r="N14" s="255">
        <v>1.4165704766014571</v>
      </c>
      <c r="O14" s="255">
        <v>2.038754017795017</v>
      </c>
      <c r="P14" s="255">
        <v>1.47814072286538</v>
      </c>
      <c r="Q14" s="255">
        <v>2.975213017296876</v>
      </c>
      <c r="R14" s="255">
        <v>3.1584456153660381</v>
      </c>
      <c r="S14" s="255">
        <v>2.8994298794664499</v>
      </c>
      <c r="T14" s="255">
        <v>3.232636909340695</v>
      </c>
      <c r="U14" s="255">
        <v>3.8027444158361532</v>
      </c>
      <c r="V14" s="255">
        <v>0.6001251334834139</v>
      </c>
      <c r="W14" s="255">
        <v>0.71695510215590619</v>
      </c>
      <c r="DA14" s="271" t="s">
        <v>1021</v>
      </c>
    </row>
    <row r="15" spans="1:105" x14ac:dyDescent="0.25">
      <c r="A15" s="254" t="s">
        <v>24</v>
      </c>
      <c r="B15" s="256">
        <v>0.20926056117099129</v>
      </c>
      <c r="C15" s="256">
        <v>0.2254369908253909</v>
      </c>
      <c r="D15" s="256">
        <v>0.34803264583889809</v>
      </c>
      <c r="E15" s="256">
        <v>0.25157641652175899</v>
      </c>
      <c r="F15" s="256">
        <v>4.8497734804594934</v>
      </c>
      <c r="G15" s="256">
        <v>5.5731706631965086</v>
      </c>
      <c r="H15" s="256">
        <v>3.9344397161865521</v>
      </c>
      <c r="I15" s="256">
        <v>7.9898228161083971</v>
      </c>
      <c r="J15" s="256">
        <v>12.25636080532707</v>
      </c>
      <c r="K15" s="256">
        <v>19.379478168867951</v>
      </c>
      <c r="L15" s="256">
        <v>18.731633789496701</v>
      </c>
      <c r="M15" s="256">
        <v>18.26887191154389</v>
      </c>
      <c r="N15" s="256">
        <v>20.377595762149308</v>
      </c>
      <c r="O15" s="256">
        <v>15.11283562850511</v>
      </c>
      <c r="P15" s="256">
        <v>17.894924134170939</v>
      </c>
      <c r="Q15" s="256">
        <v>20.471049409266559</v>
      </c>
      <c r="R15" s="256">
        <v>21.255843026892631</v>
      </c>
      <c r="S15" s="256">
        <v>17.607926109072551</v>
      </c>
      <c r="T15" s="256">
        <v>20.50867109243319</v>
      </c>
      <c r="U15" s="256">
        <v>19.264802565916732</v>
      </c>
      <c r="V15" s="256">
        <v>22.785973993996919</v>
      </c>
      <c r="W15" s="256">
        <v>16.691032479566871</v>
      </c>
      <c r="DA15" s="272" t="s">
        <v>1022</v>
      </c>
    </row>
    <row r="16" spans="1:105" x14ac:dyDescent="0.25">
      <c r="A16" s="257" t="s">
        <v>175</v>
      </c>
      <c r="B16" s="258">
        <v>63.06072641678643</v>
      </c>
      <c r="C16" s="258">
        <v>62.305467265300493</v>
      </c>
      <c r="D16" s="258">
        <v>53.247969197151441</v>
      </c>
      <c r="E16" s="258">
        <v>65.370665434935091</v>
      </c>
      <c r="F16" s="258">
        <v>77.965194735730933</v>
      </c>
      <c r="G16" s="258">
        <v>76.571785211356953</v>
      </c>
      <c r="H16" s="258">
        <v>66.652693582018742</v>
      </c>
      <c r="I16" s="258">
        <v>56.337228158360297</v>
      </c>
      <c r="J16" s="258">
        <v>63.335007612808297</v>
      </c>
      <c r="K16" s="258">
        <v>59.138224949929572</v>
      </c>
      <c r="L16" s="258">
        <v>65.673913836997684</v>
      </c>
      <c r="M16" s="258">
        <v>58.25949045725374</v>
      </c>
      <c r="N16" s="258">
        <v>58.7669953982642</v>
      </c>
      <c r="O16" s="258">
        <v>63.731752463739276</v>
      </c>
      <c r="P16" s="258">
        <v>53.973604057104971</v>
      </c>
      <c r="Q16" s="258">
        <v>52.63088396943315</v>
      </c>
      <c r="R16" s="258">
        <v>56.789165216728463</v>
      </c>
      <c r="S16" s="258">
        <v>57.783230578978838</v>
      </c>
      <c r="T16" s="258">
        <v>56.774380837084088</v>
      </c>
      <c r="U16" s="258">
        <v>66.295970739522474</v>
      </c>
      <c r="V16" s="258">
        <v>60.418242552362763</v>
      </c>
      <c r="W16" s="258">
        <v>58.02972502288403</v>
      </c>
      <c r="DA16" s="273" t="s">
        <v>1023</v>
      </c>
    </row>
    <row r="17" spans="1:105" x14ac:dyDescent="0.25">
      <c r="A17" s="257" t="s">
        <v>121</v>
      </c>
      <c r="B17" s="258">
        <f t="shared" ref="B17" si="4">SUM(B18:B24)</f>
        <v>98.751728339462858</v>
      </c>
      <c r="C17" s="258">
        <f t="shared" ref="C17:W17" si="5">SUM(C18:C24)</f>
        <v>91.982540131322537</v>
      </c>
      <c r="D17" s="258">
        <f t="shared" si="5"/>
        <v>74.218942504149794</v>
      </c>
      <c r="E17" s="258">
        <f t="shared" si="5"/>
        <v>102.76087341691246</v>
      </c>
      <c r="F17" s="258">
        <f t="shared" si="5"/>
        <v>122.0739819278882</v>
      </c>
      <c r="G17" s="258">
        <f t="shared" si="5"/>
        <v>115.86891159150582</v>
      </c>
      <c r="H17" s="258">
        <f t="shared" si="5"/>
        <v>99.411399412514101</v>
      </c>
      <c r="I17" s="258">
        <f t="shared" si="5"/>
        <v>85.878277315348953</v>
      </c>
      <c r="J17" s="258">
        <f t="shared" si="5"/>
        <v>82.826422880155732</v>
      </c>
      <c r="K17" s="258">
        <f t="shared" si="5"/>
        <v>81.922337589565075</v>
      </c>
      <c r="L17" s="258">
        <f t="shared" si="5"/>
        <v>88.242463193878507</v>
      </c>
      <c r="M17" s="258">
        <f t="shared" si="5"/>
        <v>79.62595667385942</v>
      </c>
      <c r="N17" s="258">
        <f t="shared" si="5"/>
        <v>81.844926415710901</v>
      </c>
      <c r="O17" s="258">
        <f t="shared" si="5"/>
        <v>89.521907600089847</v>
      </c>
      <c r="P17" s="258">
        <f t="shared" si="5"/>
        <v>76.963373352251921</v>
      </c>
      <c r="Q17" s="258">
        <f t="shared" si="5"/>
        <v>80.553363084349357</v>
      </c>
      <c r="R17" s="258">
        <f t="shared" si="5"/>
        <v>86.109704430431805</v>
      </c>
      <c r="S17" s="258">
        <f t="shared" si="5"/>
        <v>89.855011985798697</v>
      </c>
      <c r="T17" s="258">
        <f t="shared" si="5"/>
        <v>90.476559340793742</v>
      </c>
      <c r="U17" s="258">
        <f t="shared" si="5"/>
        <v>101.0621430028619</v>
      </c>
      <c r="V17" s="258">
        <f t="shared" si="5"/>
        <v>97.204397225674313</v>
      </c>
      <c r="W17" s="258">
        <f t="shared" si="5"/>
        <v>101.81463254069337</v>
      </c>
      <c r="DA17" s="273"/>
    </row>
    <row r="18" spans="1:105" x14ac:dyDescent="0.25">
      <c r="A18" s="61" t="s">
        <v>29</v>
      </c>
      <c r="B18" s="55">
        <v>0</v>
      </c>
      <c r="C18" s="55">
        <v>0</v>
      </c>
      <c r="D18" s="55">
        <v>4.0916911449505804</v>
      </c>
      <c r="E18" s="55">
        <v>3.9794118075910312</v>
      </c>
      <c r="F18" s="55">
        <v>3.9878200335791072</v>
      </c>
      <c r="G18" s="55">
        <v>3.9878200335802569</v>
      </c>
      <c r="H18" s="55">
        <v>3.9878200335788661</v>
      </c>
      <c r="I18" s="55">
        <v>5.8392991810694452</v>
      </c>
      <c r="J18" s="55">
        <v>7.5483474592623221</v>
      </c>
      <c r="K18" s="55">
        <v>4.9847546830708156</v>
      </c>
      <c r="L18" s="55">
        <v>2.848434155885974</v>
      </c>
      <c r="M18" s="55">
        <v>1.281796388093545</v>
      </c>
      <c r="N18" s="55">
        <v>1.510589714163479</v>
      </c>
      <c r="O18" s="55">
        <v>1.9290058413576521</v>
      </c>
      <c r="P18" s="55">
        <v>1.9982261037379949</v>
      </c>
      <c r="Q18" s="55">
        <v>3.217866768001294</v>
      </c>
      <c r="R18" s="55">
        <v>3.6789958688656421</v>
      </c>
      <c r="S18" s="55">
        <v>3.7404797489704098</v>
      </c>
      <c r="T18" s="55">
        <v>3.6032403993562658</v>
      </c>
      <c r="U18" s="55">
        <v>2.941148589675592</v>
      </c>
      <c r="V18" s="55">
        <v>2.2979091220512928</v>
      </c>
      <c r="W18" s="55">
        <v>2.33431083650005</v>
      </c>
      <c r="DA18" s="101" t="s">
        <v>1024</v>
      </c>
    </row>
    <row r="19" spans="1:105" x14ac:dyDescent="0.25">
      <c r="A19" s="61" t="s">
        <v>27</v>
      </c>
      <c r="B19" s="55">
        <v>0</v>
      </c>
      <c r="C19" s="55">
        <v>0.30193886034530287</v>
      </c>
      <c r="D19" s="55">
        <v>0</v>
      </c>
      <c r="E19" s="55">
        <v>0</v>
      </c>
      <c r="F19" s="55">
        <v>0</v>
      </c>
      <c r="G19" s="55">
        <v>0</v>
      </c>
      <c r="H19" s="55">
        <v>0</v>
      </c>
      <c r="I19" s="55">
        <v>0</v>
      </c>
      <c r="J19" s="55">
        <v>0</v>
      </c>
      <c r="K19" s="55">
        <v>0</v>
      </c>
      <c r="L19" s="55">
        <v>0</v>
      </c>
      <c r="M19" s="55">
        <v>0</v>
      </c>
      <c r="N19" s="55">
        <v>0.30193886034520301</v>
      </c>
      <c r="O19" s="55">
        <v>0.30193886034534101</v>
      </c>
      <c r="P19" s="55">
        <v>0.30193886034521572</v>
      </c>
      <c r="Q19" s="55">
        <v>0.30193886034599088</v>
      </c>
      <c r="R19" s="55">
        <v>0.30193886034603579</v>
      </c>
      <c r="S19" s="55">
        <v>0.27174024839331262</v>
      </c>
      <c r="T19" s="55">
        <v>0.33213747229770629</v>
      </c>
      <c r="U19" s="55">
        <v>0.63405270305582873</v>
      </c>
      <c r="V19" s="55">
        <v>0.6519875594506942</v>
      </c>
      <c r="W19" s="55">
        <v>0.8693088694040112</v>
      </c>
      <c r="DA19" s="101" t="s">
        <v>1025</v>
      </c>
    </row>
    <row r="20" spans="1:105" x14ac:dyDescent="0.25">
      <c r="A20" s="61" t="s">
        <v>173</v>
      </c>
      <c r="B20" s="55">
        <v>28.090464072944108</v>
      </c>
      <c r="C20" s="55">
        <v>31.421125337686099</v>
      </c>
      <c r="D20" s="55">
        <v>30.24553151453021</v>
      </c>
      <c r="E20" s="55">
        <v>28.806862766556119</v>
      </c>
      <c r="F20" s="55">
        <v>30.70942400802149</v>
      </c>
      <c r="G20" s="55">
        <v>32.714770468895622</v>
      </c>
      <c r="H20" s="55">
        <v>29.362925541188481</v>
      </c>
      <c r="I20" s="55">
        <v>23.520697321660201</v>
      </c>
      <c r="J20" s="55">
        <v>38.889502816757421</v>
      </c>
      <c r="K20" s="55">
        <v>30.85294189061646</v>
      </c>
      <c r="L20" s="55">
        <v>37.413213839460333</v>
      </c>
      <c r="M20" s="55">
        <v>31.84825774007296</v>
      </c>
      <c r="N20" s="55">
        <v>30.577310732297331</v>
      </c>
      <c r="O20" s="55">
        <v>32.270415693113129</v>
      </c>
      <c r="P20" s="55">
        <v>26.314833703350249</v>
      </c>
      <c r="Q20" s="55">
        <v>21.32089903268664</v>
      </c>
      <c r="R20" s="55">
        <v>23.571087469031731</v>
      </c>
      <c r="S20" s="55">
        <v>22.431307018575769</v>
      </c>
      <c r="T20" s="55">
        <v>20.81495256150987</v>
      </c>
      <c r="U20" s="55">
        <v>27.227664188220761</v>
      </c>
      <c r="V20" s="55">
        <v>21.715802335000671</v>
      </c>
      <c r="W20" s="55">
        <v>16.828810629909551</v>
      </c>
      <c r="DA20" s="101" t="s">
        <v>1026</v>
      </c>
    </row>
    <row r="21" spans="1:105" x14ac:dyDescent="0.25">
      <c r="A21" s="61" t="s">
        <v>129</v>
      </c>
      <c r="B21" s="55">
        <v>70.661264266518756</v>
      </c>
      <c r="C21" s="55">
        <v>60.259475933291142</v>
      </c>
      <c r="D21" s="55">
        <v>39.881719844669007</v>
      </c>
      <c r="E21" s="55">
        <v>69.974598842765303</v>
      </c>
      <c r="F21" s="55">
        <v>63.909240263135409</v>
      </c>
      <c r="G21" s="55">
        <v>55.902010984240441</v>
      </c>
      <c r="H21" s="55">
        <v>44.402960319351763</v>
      </c>
      <c r="I21" s="55">
        <v>37.8521288008589</v>
      </c>
      <c r="J21" s="55">
        <v>16.813416971828019</v>
      </c>
      <c r="K21" s="55">
        <v>17.90482566548954</v>
      </c>
      <c r="L21" s="55">
        <v>6.1542791304849249</v>
      </c>
      <c r="M21" s="55">
        <v>6.3192127499459527</v>
      </c>
      <c r="N21" s="55">
        <v>3.710574784731647</v>
      </c>
      <c r="O21" s="55">
        <v>3.381865639652295</v>
      </c>
      <c r="P21" s="55">
        <v>3.356113843838072</v>
      </c>
      <c r="Q21" s="55">
        <v>4.1106435667894576</v>
      </c>
      <c r="R21" s="55">
        <v>3.9819688127323598</v>
      </c>
      <c r="S21" s="55">
        <v>3.9164417574723029</v>
      </c>
      <c r="T21" s="55">
        <v>3.715249272613022</v>
      </c>
      <c r="U21" s="55">
        <v>3.6111471642691311</v>
      </c>
      <c r="V21" s="55">
        <v>3.1963390060455241</v>
      </c>
      <c r="W21" s="55">
        <v>3.0642741954617461</v>
      </c>
      <c r="DA21" s="101" t="s">
        <v>1027</v>
      </c>
    </row>
    <row r="22" spans="1:105" x14ac:dyDescent="0.25">
      <c r="A22" s="61" t="s">
        <v>176</v>
      </c>
      <c r="B22" s="55">
        <v>0</v>
      </c>
      <c r="C22" s="55">
        <v>0</v>
      </c>
      <c r="D22" s="55">
        <v>0</v>
      </c>
      <c r="E22" s="55">
        <v>0</v>
      </c>
      <c r="F22" s="55">
        <v>23.467497623152202</v>
      </c>
      <c r="G22" s="55">
        <v>23.264310104789502</v>
      </c>
      <c r="H22" s="55">
        <v>21.657693518394989</v>
      </c>
      <c r="I22" s="55">
        <v>16.083063082718891</v>
      </c>
      <c r="J22" s="55">
        <v>16.209482035011909</v>
      </c>
      <c r="K22" s="55">
        <v>24.255918249991382</v>
      </c>
      <c r="L22" s="55">
        <v>38.678663022272758</v>
      </c>
      <c r="M22" s="55">
        <v>38.202713453895832</v>
      </c>
      <c r="N22" s="55">
        <v>43.286744906505078</v>
      </c>
      <c r="O22" s="55">
        <v>48.885894504671292</v>
      </c>
      <c r="P22" s="55">
        <v>42.646624261780971</v>
      </c>
      <c r="Q22" s="55">
        <v>49.012222919363481</v>
      </c>
      <c r="R22" s="55">
        <v>52.156233109115547</v>
      </c>
      <c r="S22" s="55">
        <v>57.184280193054192</v>
      </c>
      <c r="T22" s="55">
        <v>60.02847445794356</v>
      </c>
      <c r="U22" s="55">
        <v>64.748820675690183</v>
      </c>
      <c r="V22" s="55">
        <v>67.435082648124762</v>
      </c>
      <c r="W22" s="55">
        <v>77.194110726897122</v>
      </c>
      <c r="DA22" s="101" t="s">
        <v>1028</v>
      </c>
    </row>
    <row r="23" spans="1:105" x14ac:dyDescent="0.25">
      <c r="A23" s="61" t="s">
        <v>171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2.583088929041506</v>
      </c>
      <c r="J23" s="55">
        <v>3.3656735972960599</v>
      </c>
      <c r="K23" s="55">
        <v>3.9238971003968799</v>
      </c>
      <c r="L23" s="55">
        <v>3.147873045774523</v>
      </c>
      <c r="M23" s="55">
        <v>1.973976341851122</v>
      </c>
      <c r="N23" s="55">
        <v>2.4577674176681632</v>
      </c>
      <c r="O23" s="55">
        <v>2.751103682853079</v>
      </c>
      <c r="P23" s="55">
        <v>2.3433802623417601</v>
      </c>
      <c r="Q23" s="55">
        <v>2.585275800257262</v>
      </c>
      <c r="R23" s="55">
        <v>2.4101487896306928</v>
      </c>
      <c r="S23" s="55">
        <v>2.3017903062798979</v>
      </c>
      <c r="T23" s="55">
        <v>1.972892757020692</v>
      </c>
      <c r="U23" s="55">
        <v>1.889712844894667</v>
      </c>
      <c r="V23" s="55">
        <v>1.8979086865465771</v>
      </c>
      <c r="W23" s="55">
        <v>1.514831895608568</v>
      </c>
      <c r="DA23" s="101" t="s">
        <v>1029</v>
      </c>
    </row>
    <row r="24" spans="1:105" x14ac:dyDescent="0.25">
      <c r="A24" s="61" t="s">
        <v>158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1.6833780970366831E-3</v>
      </c>
      <c r="P24" s="55">
        <v>2.256316857648097E-3</v>
      </c>
      <c r="Q24" s="55">
        <v>4.5161369052372719E-3</v>
      </c>
      <c r="R24" s="55">
        <v>9.331520709796131E-3</v>
      </c>
      <c r="S24" s="55">
        <v>8.9727130528193481E-3</v>
      </c>
      <c r="T24" s="55">
        <v>9.61242005263214E-3</v>
      </c>
      <c r="U24" s="55">
        <v>9.5968370557583983E-3</v>
      </c>
      <c r="V24" s="55">
        <v>9.3678684548070077E-3</v>
      </c>
      <c r="W24" s="55">
        <v>8.9853869123279126E-3</v>
      </c>
      <c r="DA24" s="101" t="s">
        <v>1030</v>
      </c>
    </row>
    <row r="25" spans="1:105" x14ac:dyDescent="0.25">
      <c r="A25" s="257" t="s">
        <v>174</v>
      </c>
      <c r="B25" s="258">
        <v>8.4823508782256276</v>
      </c>
      <c r="C25" s="258">
        <v>8.3807603401694521</v>
      </c>
      <c r="D25" s="258">
        <v>7.16242872462308</v>
      </c>
      <c r="E25" s="258">
        <v>8.793062701139629</v>
      </c>
      <c r="F25" s="258">
        <v>10.487163336285599</v>
      </c>
      <c r="G25" s="258">
        <v>10.299734659605219</v>
      </c>
      <c r="H25" s="258">
        <v>8.965509375912319</v>
      </c>
      <c r="I25" s="258">
        <v>7.5779675227251717</v>
      </c>
      <c r="J25" s="258">
        <v>8.5192446705454277</v>
      </c>
      <c r="K25" s="258">
        <v>7.9547319360915001</v>
      </c>
      <c r="L25" s="258">
        <v>8.8338528964912548</v>
      </c>
      <c r="M25" s="258">
        <v>7.8365326269618754</v>
      </c>
      <c r="N25" s="258">
        <v>7.9047975396371957</v>
      </c>
      <c r="O25" s="258">
        <v>8.5726111511737013</v>
      </c>
      <c r="P25" s="258">
        <v>7.2600344745301983</v>
      </c>
      <c r="Q25" s="258">
        <v>7.0794240762357292</v>
      </c>
      <c r="R25" s="258">
        <v>7.6387579531844594</v>
      </c>
      <c r="S25" s="258">
        <v>7.7724705137212471</v>
      </c>
      <c r="T25" s="258">
        <v>7.6367692939541261</v>
      </c>
      <c r="U25" s="258">
        <v>8.9175262890012554</v>
      </c>
      <c r="V25" s="258">
        <v>8.1269081708272477</v>
      </c>
      <c r="W25" s="258">
        <v>7.8056266868505837</v>
      </c>
      <c r="DA25" s="273" t="s">
        <v>1031</v>
      </c>
    </row>
    <row r="26" spans="1:105" x14ac:dyDescent="0.25">
      <c r="A26" s="257" t="s">
        <v>177</v>
      </c>
      <c r="B26" s="258">
        <v>1.9603066147938899</v>
      </c>
      <c r="C26" s="258">
        <v>2.0125274290987729</v>
      </c>
      <c r="D26" s="258">
        <v>2.1145861938406978</v>
      </c>
      <c r="E26" s="258">
        <v>2.1331021765125882</v>
      </c>
      <c r="F26" s="258">
        <v>7.0161410908690582</v>
      </c>
      <c r="G26" s="258">
        <v>7.2431449711697473</v>
      </c>
      <c r="H26" s="258">
        <v>5.9445732572715624</v>
      </c>
      <c r="I26" s="258">
        <v>6.6214227765652192</v>
      </c>
      <c r="J26" s="258">
        <v>8.2402574650970379</v>
      </c>
      <c r="K26" s="258">
        <v>9.3841825345594305</v>
      </c>
      <c r="L26" s="258">
        <v>10.37369454265102</v>
      </c>
      <c r="M26" s="258">
        <v>9.611162365225546</v>
      </c>
      <c r="N26" s="258">
        <v>10.1323285934417</v>
      </c>
      <c r="O26" s="258">
        <v>9.7683875135849245</v>
      </c>
      <c r="P26" s="258">
        <v>9.2686254761873936</v>
      </c>
      <c r="Q26" s="258">
        <v>9.8478502002903401</v>
      </c>
      <c r="R26" s="258">
        <v>10.457780719638389</v>
      </c>
      <c r="S26" s="258">
        <v>10.09192841160994</v>
      </c>
      <c r="T26" s="258">
        <v>10.640990664866489</v>
      </c>
      <c r="U26" s="258">
        <v>11.352190592184821</v>
      </c>
      <c r="V26" s="258">
        <v>11.55315452276488</v>
      </c>
      <c r="W26" s="258">
        <v>10.66772658451281</v>
      </c>
      <c r="DA26" s="273" t="s">
        <v>1032</v>
      </c>
    </row>
    <row r="27" spans="1:105" x14ac:dyDescent="0.25">
      <c r="A27" s="129" t="s">
        <v>33</v>
      </c>
      <c r="B27" s="259">
        <v>2.9876342079702529</v>
      </c>
      <c r="C27" s="259">
        <v>3.0672221101932582</v>
      </c>
      <c r="D27" s="259">
        <v>3.222766275817686</v>
      </c>
      <c r="E27" s="259">
        <v>3.2509858322928058</v>
      </c>
      <c r="F27" s="259">
        <v>10.69305330749499</v>
      </c>
      <c r="G27" s="259">
        <v>11.039021919246901</v>
      </c>
      <c r="H27" s="259">
        <v>9.0599145466215774</v>
      </c>
      <c r="I27" s="259">
        <v>10.091477039054711</v>
      </c>
      <c r="J27" s="259">
        <v>12.558685921587131</v>
      </c>
      <c r="K27" s="259">
        <v>14.30210179494525</v>
      </c>
      <c r="L27" s="259">
        <v>15.81018216475139</v>
      </c>
      <c r="M27" s="259">
        <v>14.64803375349689</v>
      </c>
      <c r="N27" s="259">
        <v>15.442324830059491</v>
      </c>
      <c r="O27" s="259">
        <v>14.887655059698041</v>
      </c>
      <c r="P27" s="259">
        <v>14.1259853558335</v>
      </c>
      <c r="Q27" s="259">
        <v>15.008761339331389</v>
      </c>
      <c r="R27" s="259">
        <v>15.93833494293874</v>
      </c>
      <c r="S27" s="259">
        <v>15.38075233709441</v>
      </c>
      <c r="T27" s="259">
        <v>16.21755876204594</v>
      </c>
      <c r="U27" s="259">
        <v>17.301473500448012</v>
      </c>
      <c r="V27" s="259">
        <v>17.60775554277652</v>
      </c>
      <c r="W27" s="259">
        <v>16.258306034699132</v>
      </c>
      <c r="DA27" s="274" t="s">
        <v>1033</v>
      </c>
    </row>
    <row r="29" spans="1:105" ht="12.75" x14ac:dyDescent="0.25">
      <c r="A29" s="179" t="s">
        <v>132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6">SUM(B32:B40)</f>
        <v>1.0000000000000002</v>
      </c>
      <c r="C31" s="236">
        <f t="shared" si="6"/>
        <v>1</v>
      </c>
      <c r="D31" s="236">
        <f t="shared" si="6"/>
        <v>1</v>
      </c>
      <c r="E31" s="236">
        <f t="shared" si="6"/>
        <v>1.0000000000000002</v>
      </c>
      <c r="F31" s="236">
        <f t="shared" si="6"/>
        <v>1</v>
      </c>
      <c r="G31" s="236">
        <f t="shared" si="6"/>
        <v>1</v>
      </c>
      <c r="H31" s="236">
        <f t="shared" si="6"/>
        <v>0.99999999999999967</v>
      </c>
      <c r="I31" s="236">
        <f t="shared" si="6"/>
        <v>0.99999999999999989</v>
      </c>
      <c r="J31" s="236">
        <f t="shared" si="6"/>
        <v>0.99999999999999978</v>
      </c>
      <c r="K31" s="236">
        <f t="shared" si="6"/>
        <v>0.99999999999999989</v>
      </c>
      <c r="L31" s="236">
        <f t="shared" si="6"/>
        <v>1</v>
      </c>
      <c r="M31" s="236">
        <f t="shared" si="6"/>
        <v>1.0000000000000002</v>
      </c>
      <c r="N31" s="236">
        <f t="shared" si="6"/>
        <v>1</v>
      </c>
      <c r="O31" s="236">
        <f t="shared" si="6"/>
        <v>1</v>
      </c>
      <c r="P31" s="236">
        <f t="shared" si="6"/>
        <v>1.0000000000000002</v>
      </c>
      <c r="Q31" s="236">
        <f t="shared" si="6"/>
        <v>1</v>
      </c>
      <c r="R31" s="236">
        <f t="shared" ref="R31:W31" si="7">SUM(R32:R40)</f>
        <v>1</v>
      </c>
      <c r="S31" s="236">
        <f t="shared" si="7"/>
        <v>0.99999999999999989</v>
      </c>
      <c r="T31" s="236">
        <f t="shared" si="7"/>
        <v>1</v>
      </c>
      <c r="U31" s="236">
        <f t="shared" si="7"/>
        <v>1</v>
      </c>
      <c r="V31" s="236">
        <f t="shared" si="7"/>
        <v>1</v>
      </c>
      <c r="W31" s="236">
        <f t="shared" si="7"/>
        <v>1</v>
      </c>
      <c r="DA31" s="275"/>
    </row>
    <row r="32" spans="1:105" x14ac:dyDescent="0.25">
      <c r="A32" s="239" t="s">
        <v>125</v>
      </c>
      <c r="B32" s="245">
        <f t="shared" ref="B32:W32" si="8">IF(B$6=0,0,B$6/B$5)</f>
        <v>7.4784349502926284E-3</v>
      </c>
      <c r="C32" s="245">
        <f t="shared" si="8"/>
        <v>7.9279130179723666E-3</v>
      </c>
      <c r="D32" s="245">
        <f t="shared" si="8"/>
        <v>9.8569492712723191E-3</v>
      </c>
      <c r="E32" s="245">
        <f t="shared" si="8"/>
        <v>7.8253807528315088E-3</v>
      </c>
      <c r="F32" s="245">
        <f t="shared" si="8"/>
        <v>1.9053334951331245E-2</v>
      </c>
      <c r="G32" s="245">
        <f t="shared" si="8"/>
        <v>2.0248673547282024E-2</v>
      </c>
      <c r="H32" s="245">
        <f t="shared" si="8"/>
        <v>1.92196843113892E-2</v>
      </c>
      <c r="I32" s="245">
        <f t="shared" si="8"/>
        <v>2.4269773954895751E-2</v>
      </c>
      <c r="J32" s="245">
        <f t="shared" si="8"/>
        <v>2.8119083415391731E-2</v>
      </c>
      <c r="K32" s="245">
        <f t="shared" si="8"/>
        <v>3.1706718553559346E-2</v>
      </c>
      <c r="L32" s="245">
        <f t="shared" si="8"/>
        <v>3.1557258140272867E-2</v>
      </c>
      <c r="M32" s="245">
        <f t="shared" si="8"/>
        <v>3.22578149370523E-2</v>
      </c>
      <c r="N32" s="245">
        <f t="shared" si="8"/>
        <v>3.3024091032636545E-2</v>
      </c>
      <c r="O32" s="245">
        <f t="shared" si="8"/>
        <v>3.0046899727678034E-2</v>
      </c>
      <c r="P32" s="245">
        <f t="shared" si="8"/>
        <v>3.2514469234686517E-2</v>
      </c>
      <c r="Q32" s="245">
        <f t="shared" si="8"/>
        <v>3.3289080950698983E-2</v>
      </c>
      <c r="R32" s="245">
        <f t="shared" si="8"/>
        <v>3.3062775065977483E-2</v>
      </c>
      <c r="S32" s="245">
        <f t="shared" si="8"/>
        <v>3.1345293339402676E-2</v>
      </c>
      <c r="T32" s="245">
        <f t="shared" si="8"/>
        <v>3.2571219531816978E-2</v>
      </c>
      <c r="U32" s="245">
        <f t="shared" si="8"/>
        <v>3.1174899175171078E-2</v>
      </c>
      <c r="V32" s="245">
        <f t="shared" si="8"/>
        <v>3.2956198632696741E-2</v>
      </c>
      <c r="W32" s="245">
        <f t="shared" si="8"/>
        <v>3.0414352816624496E-2</v>
      </c>
      <c r="DA32" s="276"/>
    </row>
    <row r="33" spans="1:105" x14ac:dyDescent="0.25">
      <c r="A33" s="241" t="s">
        <v>124</v>
      </c>
      <c r="B33" s="246">
        <f t="shared" ref="B33:W33" si="9">IF(B$7=0,0,B$7/B$5)</f>
        <v>4.8202861512054614E-3</v>
      </c>
      <c r="C33" s="246">
        <f t="shared" si="9"/>
        <v>5.110000900254986E-3</v>
      </c>
      <c r="D33" s="246">
        <f t="shared" si="9"/>
        <v>6.3533769272927287E-3</v>
      </c>
      <c r="E33" s="246">
        <f t="shared" si="9"/>
        <v>5.0439128937408905E-3</v>
      </c>
      <c r="F33" s="246">
        <f t="shared" si="9"/>
        <v>1.228098221227253E-2</v>
      </c>
      <c r="G33" s="246">
        <f t="shared" si="9"/>
        <v>1.3051447439069419E-2</v>
      </c>
      <c r="H33" s="246">
        <f t="shared" si="9"/>
        <v>1.2388204047038626E-2</v>
      </c>
      <c r="I33" s="246">
        <f t="shared" si="9"/>
        <v>1.5643280454434302E-2</v>
      </c>
      <c r="J33" s="246">
        <f t="shared" si="9"/>
        <v>1.8124384215777698E-2</v>
      </c>
      <c r="K33" s="246">
        <f t="shared" si="9"/>
        <v>2.0436823661601957E-2</v>
      </c>
      <c r="L33" s="246">
        <f t="shared" si="9"/>
        <v>2.0340487735020146E-2</v>
      </c>
      <c r="M33" s="246">
        <f t="shared" si="9"/>
        <v>2.0792037323683291E-2</v>
      </c>
      <c r="N33" s="246">
        <f t="shared" si="9"/>
        <v>2.1285946821605718E-2</v>
      </c>
      <c r="O33" s="246">
        <f t="shared" si="9"/>
        <v>1.9366973919899954E-2</v>
      </c>
      <c r="P33" s="246">
        <f t="shared" si="9"/>
        <v>2.0957465941402985E-2</v>
      </c>
      <c r="Q33" s="246">
        <f t="shared" si="9"/>
        <v>2.1456748231357292E-2</v>
      </c>
      <c r="R33" s="246">
        <f t="shared" si="9"/>
        <v>2.1310880930336423E-2</v>
      </c>
      <c r="S33" s="246">
        <f t="shared" si="9"/>
        <v>2.0203864096388687E-2</v>
      </c>
      <c r="T33" s="246">
        <f t="shared" si="9"/>
        <v>2.0994044807589957E-2</v>
      </c>
      <c r="U33" s="246">
        <f t="shared" si="9"/>
        <v>2.0094035150151804E-2</v>
      </c>
      <c r="V33" s="246">
        <f t="shared" si="9"/>
        <v>2.1242186222312259E-2</v>
      </c>
      <c r="W33" s="246">
        <f t="shared" si="9"/>
        <v>1.9603818800899675E-2</v>
      </c>
      <c r="DA33" s="277"/>
    </row>
    <row r="34" spans="1:105" x14ac:dyDescent="0.25">
      <c r="A34" s="241" t="s">
        <v>123</v>
      </c>
      <c r="B34" s="246">
        <f t="shared" ref="B34:W34" si="10">IF(B$8=0,0,B$8/B$5)</f>
        <v>9.5790280092348211E-3</v>
      </c>
      <c r="C34" s="246">
        <f t="shared" si="10"/>
        <v>1.0154758496757815E-2</v>
      </c>
      <c r="D34" s="246">
        <f t="shared" si="10"/>
        <v>1.2625635414723996E-2</v>
      </c>
      <c r="E34" s="246">
        <f t="shared" si="10"/>
        <v>1.0023426280035639E-2</v>
      </c>
      <c r="F34" s="246">
        <f t="shared" si="10"/>
        <v>2.4405163698187026E-2</v>
      </c>
      <c r="G34" s="246">
        <f t="shared" si="10"/>
        <v>2.5936257030848016E-2</v>
      </c>
      <c r="H34" s="246">
        <f t="shared" si="10"/>
        <v>2.4618238384255021E-2</v>
      </c>
      <c r="I34" s="246">
        <f t="shared" si="10"/>
        <v>3.1086831140069923E-2</v>
      </c>
      <c r="J34" s="246">
        <f t="shared" si="10"/>
        <v>3.6017360506626836E-2</v>
      </c>
      <c r="K34" s="246">
        <f t="shared" si="10"/>
        <v>4.0612714708922616E-2</v>
      </c>
      <c r="L34" s="246">
        <f t="shared" si="10"/>
        <v>4.0421272850477773E-2</v>
      </c>
      <c r="M34" s="246">
        <f t="shared" si="10"/>
        <v>4.1318606747611869E-2</v>
      </c>
      <c r="N34" s="246">
        <f t="shared" si="10"/>
        <v>4.2300119621789013E-2</v>
      </c>
      <c r="O34" s="246">
        <f t="shared" si="10"/>
        <v>3.8486674818350303E-2</v>
      </c>
      <c r="P34" s="246">
        <f t="shared" si="10"/>
        <v>4.1647351828911584E-2</v>
      </c>
      <c r="Q34" s="246">
        <f t="shared" si="10"/>
        <v>4.2639541688592679E-2</v>
      </c>
      <c r="R34" s="246">
        <f t="shared" si="10"/>
        <v>4.2349669486345699E-2</v>
      </c>
      <c r="S34" s="246">
        <f t="shared" si="10"/>
        <v>4.0149769952076773E-2</v>
      </c>
      <c r="T34" s="246">
        <f t="shared" si="10"/>
        <v>4.1720042530824238E-2</v>
      </c>
      <c r="U34" s="246">
        <f t="shared" si="10"/>
        <v>3.9931514330060494E-2</v>
      </c>
      <c r="V34" s="246">
        <f t="shared" si="10"/>
        <v>4.2213157148362386E-2</v>
      </c>
      <c r="W34" s="246">
        <f t="shared" si="10"/>
        <v>3.8957340599960158E-2</v>
      </c>
      <c r="DA34" s="277"/>
    </row>
    <row r="35" spans="1:105" x14ac:dyDescent="0.25">
      <c r="A35" s="243" t="s">
        <v>122</v>
      </c>
      <c r="B35" s="247">
        <f t="shared" ref="B35:W35" si="11">IF(B$9=0,0,B$9/B$5)</f>
        <v>0.31518028874755949</v>
      </c>
      <c r="C35" s="247">
        <f t="shared" si="11"/>
        <v>0.32153096528692432</v>
      </c>
      <c r="D35" s="247">
        <f t="shared" si="11"/>
        <v>0.324184458157455</v>
      </c>
      <c r="E35" s="247">
        <f t="shared" si="11"/>
        <v>0.31389901210731297</v>
      </c>
      <c r="F35" s="247">
        <f t="shared" si="11"/>
        <v>0.32964334253371708</v>
      </c>
      <c r="G35" s="247">
        <f t="shared" si="11"/>
        <v>0.32805382497288477</v>
      </c>
      <c r="H35" s="247">
        <f t="shared" si="11"/>
        <v>0.33450944046150993</v>
      </c>
      <c r="I35" s="247">
        <f t="shared" si="11"/>
        <v>0.32380694646951241</v>
      </c>
      <c r="J35" s="247">
        <f t="shared" si="11"/>
        <v>0.32394517338522705</v>
      </c>
      <c r="K35" s="247">
        <f t="shared" si="11"/>
        <v>0.32861513475682386</v>
      </c>
      <c r="L35" s="247">
        <f t="shared" si="11"/>
        <v>0.3377465241749788</v>
      </c>
      <c r="M35" s="247">
        <f t="shared" si="11"/>
        <v>0.33990232886040633</v>
      </c>
      <c r="N35" s="247">
        <f t="shared" si="11"/>
        <v>0.34072782326255058</v>
      </c>
      <c r="O35" s="247">
        <f t="shared" si="11"/>
        <v>0.34329474622434425</v>
      </c>
      <c r="P35" s="247">
        <f t="shared" si="11"/>
        <v>0.34276086400132694</v>
      </c>
      <c r="Q35" s="247">
        <f t="shared" si="11"/>
        <v>0.34912493558438767</v>
      </c>
      <c r="R35" s="247">
        <f t="shared" si="11"/>
        <v>0.34857537877755945</v>
      </c>
      <c r="S35" s="247">
        <f t="shared" si="11"/>
        <v>0.35118508886994532</v>
      </c>
      <c r="T35" s="247">
        <f t="shared" si="11"/>
        <v>0.35306144332329242</v>
      </c>
      <c r="U35" s="247">
        <f t="shared" si="11"/>
        <v>0.35074302378243438</v>
      </c>
      <c r="V35" s="247">
        <f t="shared" si="11"/>
        <v>0.35224729862757181</v>
      </c>
      <c r="W35" s="247">
        <f t="shared" si="11"/>
        <v>0.36092054756992392</v>
      </c>
      <c r="DA35" s="278"/>
    </row>
    <row r="36" spans="1:105" x14ac:dyDescent="0.25">
      <c r="A36" s="128" t="s">
        <v>175</v>
      </c>
      <c r="B36" s="260">
        <f t="shared" ref="B36:W36" si="12">IF(B$16=0,0,B$16/B$5)</f>
        <v>0.23855824306557985</v>
      </c>
      <c r="C36" s="260">
        <f t="shared" si="12"/>
        <v>0.24338396907374338</v>
      </c>
      <c r="D36" s="260">
        <f t="shared" si="12"/>
        <v>0.24613247656664916</v>
      </c>
      <c r="E36" s="260">
        <f t="shared" si="12"/>
        <v>0.23780745669941644</v>
      </c>
      <c r="F36" s="260">
        <f t="shared" si="12"/>
        <v>0.20995305568096423</v>
      </c>
      <c r="G36" s="260">
        <f t="shared" si="12"/>
        <v>0.21226916760172579</v>
      </c>
      <c r="H36" s="260">
        <f t="shared" si="12"/>
        <v>0.21369384573213338</v>
      </c>
      <c r="I36" s="260">
        <f t="shared" si="12"/>
        <v>0.20476637025128369</v>
      </c>
      <c r="J36" s="260">
        <f t="shared" si="12"/>
        <v>0.21431518785312342</v>
      </c>
      <c r="K36" s="260">
        <f t="shared" si="12"/>
        <v>0.19813987247828488</v>
      </c>
      <c r="L36" s="260">
        <f t="shared" si="12"/>
        <v>0.19811047933567733</v>
      </c>
      <c r="M36" s="260">
        <f t="shared" si="12"/>
        <v>0.19389850355805757</v>
      </c>
      <c r="N36" s="260">
        <f t="shared" si="12"/>
        <v>0.18993449111948613</v>
      </c>
      <c r="O36" s="260">
        <f t="shared" si="12"/>
        <v>0.1943933445622385</v>
      </c>
      <c r="P36" s="260">
        <f t="shared" si="12"/>
        <v>0.18775499405413976</v>
      </c>
      <c r="Q36" s="260">
        <f t="shared" si="12"/>
        <v>0.17642079681709644</v>
      </c>
      <c r="R36" s="260">
        <f t="shared" si="12"/>
        <v>0.1780385298404587</v>
      </c>
      <c r="S36" s="260">
        <f t="shared" si="12"/>
        <v>0.17797079470192922</v>
      </c>
      <c r="T36" s="260">
        <f t="shared" si="12"/>
        <v>0.17232691272053666</v>
      </c>
      <c r="U36" s="260">
        <f t="shared" si="12"/>
        <v>0.18053493803830167</v>
      </c>
      <c r="V36" s="260">
        <f t="shared" si="12"/>
        <v>0.17090444625294846</v>
      </c>
      <c r="W36" s="260">
        <f t="shared" si="12"/>
        <v>0.1640612286041849</v>
      </c>
      <c r="DA36" s="279"/>
    </row>
    <row r="37" spans="1:105" x14ac:dyDescent="0.25">
      <c r="A37" s="128" t="s">
        <v>121</v>
      </c>
      <c r="B37" s="260">
        <f t="shared" ref="B37:W37" si="13">IF(B$17=0,0,B$17/B$5)</f>
        <v>0.37357702885707111</v>
      </c>
      <c r="C37" s="260">
        <f t="shared" si="13"/>
        <v>0.35931157706145794</v>
      </c>
      <c r="D37" s="260">
        <f t="shared" si="13"/>
        <v>0.34306833485175209</v>
      </c>
      <c r="E37" s="260">
        <f t="shared" si="13"/>
        <v>0.37382672782809023</v>
      </c>
      <c r="F37" s="260">
        <f t="shared" si="13"/>
        <v>0.32873393841671461</v>
      </c>
      <c r="G37" s="260">
        <f t="shared" si="13"/>
        <v>0.321207052265499</v>
      </c>
      <c r="H37" s="260">
        <f t="shared" si="13"/>
        <v>0.31872086645578995</v>
      </c>
      <c r="I37" s="260">
        <f t="shared" si="13"/>
        <v>0.31213788296198941</v>
      </c>
      <c r="J37" s="260">
        <f t="shared" si="13"/>
        <v>0.28027091253041897</v>
      </c>
      <c r="K37" s="260">
        <f t="shared" si="13"/>
        <v>0.27447698230480555</v>
      </c>
      <c r="L37" s="260">
        <f t="shared" si="13"/>
        <v>0.26619026733338541</v>
      </c>
      <c r="M37" s="260">
        <f t="shared" si="13"/>
        <v>0.26501010774833778</v>
      </c>
      <c r="N37" s="260">
        <f t="shared" si="13"/>
        <v>0.26452219216126532</v>
      </c>
      <c r="O37" s="260">
        <f t="shared" si="13"/>
        <v>0.27305797121889003</v>
      </c>
      <c r="P37" s="260">
        <f t="shared" si="13"/>
        <v>0.26772823417257785</v>
      </c>
      <c r="Q37" s="260">
        <f t="shared" si="13"/>
        <v>0.27001804700622917</v>
      </c>
      <c r="R37" s="260">
        <f t="shared" si="13"/>
        <v>0.26996074204088644</v>
      </c>
      <c r="S37" s="260">
        <f t="shared" si="13"/>
        <v>0.27675101808657954</v>
      </c>
      <c r="T37" s="260">
        <f t="shared" si="13"/>
        <v>0.27462291820523521</v>
      </c>
      <c r="U37" s="260">
        <f t="shared" si="13"/>
        <v>0.27520899869956528</v>
      </c>
      <c r="V37" s="260">
        <f t="shared" si="13"/>
        <v>0.27496105446641861</v>
      </c>
      <c r="W37" s="260">
        <f t="shared" si="13"/>
        <v>0.2878496097977824</v>
      </c>
      <c r="DA37" s="279"/>
    </row>
    <row r="38" spans="1:105" x14ac:dyDescent="0.25">
      <c r="A38" s="128" t="s">
        <v>174</v>
      </c>
      <c r="B38" s="260">
        <f t="shared" ref="B38:W38" si="14">IF(B$25=0,0,B$25/B$5)</f>
        <v>3.208866813872651E-2</v>
      </c>
      <c r="C38" s="260">
        <f t="shared" si="14"/>
        <v>3.2737780566846689E-2</v>
      </c>
      <c r="D38" s="260">
        <f t="shared" si="14"/>
        <v>3.3107484600894299E-2</v>
      </c>
      <c r="E38" s="260">
        <f t="shared" si="14"/>
        <v>3.1987679238752613E-2</v>
      </c>
      <c r="F38" s="260">
        <f t="shared" si="14"/>
        <v>2.8240960538118955E-2</v>
      </c>
      <c r="G38" s="260">
        <f t="shared" si="14"/>
        <v>2.8552502683309191E-2</v>
      </c>
      <c r="H38" s="260">
        <f t="shared" si="14"/>
        <v>2.8744137326252906E-2</v>
      </c>
      <c r="I38" s="260">
        <f t="shared" si="14"/>
        <v>2.7543295157311985E-2</v>
      </c>
      <c r="J38" s="260">
        <f t="shared" si="14"/>
        <v>2.8827714572902806E-2</v>
      </c>
      <c r="K38" s="260">
        <f t="shared" si="14"/>
        <v>2.6651959417966723E-2</v>
      </c>
      <c r="L38" s="260">
        <f t="shared" si="14"/>
        <v>2.6648005721852219E-2</v>
      </c>
      <c r="M38" s="260">
        <f t="shared" si="14"/>
        <v>2.6081449348869364E-2</v>
      </c>
      <c r="N38" s="260">
        <f t="shared" si="14"/>
        <v>2.5548246731326055E-2</v>
      </c>
      <c r="O38" s="260">
        <f t="shared" si="14"/>
        <v>2.6148010824845011E-2</v>
      </c>
      <c r="P38" s="260">
        <f t="shared" si="14"/>
        <v>2.5255080764220901E-2</v>
      </c>
      <c r="Q38" s="260">
        <f t="shared" si="14"/>
        <v>2.3730508445592727E-2</v>
      </c>
      <c r="R38" s="260">
        <f t="shared" si="14"/>
        <v>2.3948111063119795E-2</v>
      </c>
      <c r="S38" s="260">
        <f t="shared" si="14"/>
        <v>2.3938999953171673E-2</v>
      </c>
      <c r="T38" s="260">
        <f t="shared" si="14"/>
        <v>2.3179836683071386E-2</v>
      </c>
      <c r="U38" s="260">
        <f t="shared" si="14"/>
        <v>2.4283905010836625E-2</v>
      </c>
      <c r="V38" s="260">
        <f t="shared" si="14"/>
        <v>2.298849953273718E-2</v>
      </c>
      <c r="W38" s="260">
        <f t="shared" si="14"/>
        <v>2.2068012622243428E-2</v>
      </c>
      <c r="DA38" s="279"/>
    </row>
    <row r="39" spans="1:105" x14ac:dyDescent="0.25">
      <c r="A39" s="128" t="s">
        <v>177</v>
      </c>
      <c r="B39" s="260">
        <f t="shared" ref="B39:W39" si="15">IF(B$26=0,0,B$26/B$5)</f>
        <v>7.4158248480084045E-3</v>
      </c>
      <c r="C39" s="260">
        <f t="shared" si="15"/>
        <v>7.8615398465461412E-3</v>
      </c>
      <c r="D39" s="260">
        <f t="shared" si="15"/>
        <v>9.7744260419888179E-3</v>
      </c>
      <c r="E39" s="260">
        <f t="shared" si="15"/>
        <v>7.7598659903706088E-3</v>
      </c>
      <c r="F39" s="260">
        <f t="shared" si="15"/>
        <v>1.8893818788111597E-2</v>
      </c>
      <c r="G39" s="260">
        <f t="shared" si="15"/>
        <v>2.0079149906260647E-2</v>
      </c>
      <c r="H39" s="260">
        <f t="shared" si="15"/>
        <v>1.9058775456982514E-2</v>
      </c>
      <c r="I39" s="260">
        <f t="shared" si="15"/>
        <v>2.4066585314514319E-2</v>
      </c>
      <c r="J39" s="260">
        <f t="shared" si="15"/>
        <v>2.7883668024273386E-2</v>
      </c>
      <c r="K39" s="260">
        <f t="shared" si="15"/>
        <v>3.144126717169532E-2</v>
      </c>
      <c r="L39" s="260">
        <f t="shared" si="15"/>
        <v>3.1293058053877131E-2</v>
      </c>
      <c r="M39" s="260">
        <f t="shared" si="15"/>
        <v>3.1987749728743534E-2</v>
      </c>
      <c r="N39" s="260">
        <f t="shared" si="15"/>
        <v>3.2747610494778014E-2</v>
      </c>
      <c r="O39" s="260">
        <f t="shared" si="15"/>
        <v>2.9795344492153784E-2</v>
      </c>
      <c r="P39" s="260">
        <f t="shared" si="15"/>
        <v>3.224225529446615E-2</v>
      </c>
      <c r="Q39" s="260">
        <f t="shared" si="15"/>
        <v>3.301038189439584E-2</v>
      </c>
      <c r="R39" s="260">
        <f t="shared" si="15"/>
        <v>3.2785970662056046E-2</v>
      </c>
      <c r="S39" s="260">
        <f t="shared" si="15"/>
        <v>3.1082867840597984E-2</v>
      </c>
      <c r="T39" s="260">
        <f t="shared" si="15"/>
        <v>3.2298530473215327E-2</v>
      </c>
      <c r="U39" s="260">
        <f t="shared" si="15"/>
        <v>3.0913900231002787E-2</v>
      </c>
      <c r="V39" s="260">
        <f t="shared" si="15"/>
        <v>3.2680286495865025E-2</v>
      </c>
      <c r="W39" s="260">
        <f t="shared" si="15"/>
        <v>3.0159721232153363E-2</v>
      </c>
      <c r="DA39" s="279"/>
    </row>
    <row r="40" spans="1:105" x14ac:dyDescent="0.25">
      <c r="A40" s="261" t="s">
        <v>33</v>
      </c>
      <c r="B40" s="262">
        <f t="shared" ref="B40:W40" si="16">IF(B$27=0,0,B$27/B$5)</f>
        <v>1.1302197232321846E-2</v>
      </c>
      <c r="C40" s="262">
        <f t="shared" si="16"/>
        <v>1.1981495749496286E-2</v>
      </c>
      <c r="D40" s="262">
        <f t="shared" si="16"/>
        <v>1.4896858167971566E-2</v>
      </c>
      <c r="E40" s="262">
        <f t="shared" si="16"/>
        <v>1.182653820944932E-2</v>
      </c>
      <c r="F40" s="262">
        <f t="shared" si="16"/>
        <v>2.8795403180582678E-2</v>
      </c>
      <c r="G40" s="262">
        <f t="shared" si="16"/>
        <v>3.0601924553121173E-2</v>
      </c>
      <c r="H40" s="262">
        <f t="shared" si="16"/>
        <v>2.9046807824648226E-2</v>
      </c>
      <c r="I40" s="262">
        <f t="shared" si="16"/>
        <v>3.6679034295988115E-2</v>
      </c>
      <c r="J40" s="262">
        <f t="shared" si="16"/>
        <v>4.2496515496257936E-2</v>
      </c>
      <c r="K40" s="262">
        <f t="shared" si="16"/>
        <v>4.7918526946339739E-2</v>
      </c>
      <c r="L40" s="262">
        <f t="shared" si="16"/>
        <v>4.7692646654458361E-2</v>
      </c>
      <c r="M40" s="262">
        <f t="shared" si="16"/>
        <v>4.8751401747238146E-2</v>
      </c>
      <c r="N40" s="262">
        <f t="shared" si="16"/>
        <v>4.9909478754562753E-2</v>
      </c>
      <c r="O40" s="262">
        <f t="shared" si="16"/>
        <v>4.5410034211600177E-2</v>
      </c>
      <c r="P40" s="262">
        <f t="shared" si="16"/>
        <v>4.9139284708267519E-2</v>
      </c>
      <c r="Q40" s="262">
        <f t="shared" si="16"/>
        <v>5.0309959381649227E-2</v>
      </c>
      <c r="R40" s="262">
        <f t="shared" si="16"/>
        <v>4.9967942133259918E-2</v>
      </c>
      <c r="S40" s="262">
        <f t="shared" si="16"/>
        <v>4.7372303159907925E-2</v>
      </c>
      <c r="T40" s="262">
        <f t="shared" si="16"/>
        <v>4.9225051724417906E-2</v>
      </c>
      <c r="U40" s="262">
        <f t="shared" si="16"/>
        <v>4.7114785582475942E-2</v>
      </c>
      <c r="V40" s="262">
        <f t="shared" si="16"/>
        <v>4.9806872621087572E-2</v>
      </c>
      <c r="W40" s="262">
        <f t="shared" si="16"/>
        <v>4.5965367956227611E-2</v>
      </c>
      <c r="DA40" s="280"/>
    </row>
    <row r="42" spans="1:105" ht="12.75" x14ac:dyDescent="0.25">
      <c r="A42" s="179" t="s">
        <v>131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8">
        <f>IF(B$5=0,0,B$5/AGR_fec!B$5)</f>
        <v>0.33337037462871261</v>
      </c>
      <c r="C44" s="238">
        <f>IF(C$5=0,0,C$5/AGR_fec!C$5)</f>
        <v>0.33670513359822785</v>
      </c>
      <c r="D44" s="238">
        <f>IF(D$5=0,0,D$5/AGR_fec!D$5)</f>
        <v>0.34039962704692539</v>
      </c>
      <c r="E44" s="238">
        <f>IF(E$5=0,0,E$5/AGR_fec!E$5)</f>
        <v>0.33312010365675715</v>
      </c>
      <c r="F44" s="238">
        <f>IF(F$5=0,0,F$5/AGR_fec!F$5)</f>
        <v>0.35642067495471236</v>
      </c>
      <c r="G44" s="238">
        <f>IF(G$5=0,0,G$5/AGR_fec!G$5)</f>
        <v>0.35819247107251001</v>
      </c>
      <c r="H44" s="238">
        <f>IF(H$5=0,0,H$5/AGR_fec!H$5)</f>
        <v>0.35942553455940179</v>
      </c>
      <c r="I44" s="238">
        <f>IF(I$5=0,0,I$5/AGR_fec!I$5)</f>
        <v>0.36140512494991778</v>
      </c>
      <c r="J44" s="238">
        <f>IF(J$5=0,0,J$5/AGR_fec!J$5)</f>
        <v>0.36952223384795513</v>
      </c>
      <c r="K44" s="238">
        <f>IF(K$5=0,0,K$5/AGR_fec!K$5)</f>
        <v>0.37783798690241582</v>
      </c>
      <c r="L44" s="238">
        <f>IF(L$5=0,0,L$5/AGR_fec!L$5)</f>
        <v>0.38454127841573171</v>
      </c>
      <c r="M44" s="238">
        <f>IF(M$5=0,0,M$5/AGR_fec!M$5)</f>
        <v>0.38721657508115592</v>
      </c>
      <c r="N44" s="238">
        <f>IF(N$5=0,0,N$5/AGR_fec!N$5)</f>
        <v>0.38949094997905742</v>
      </c>
      <c r="O44" s="238">
        <f>IF(O$5=0,0,O$5/AGR_fec!O$5)</f>
        <v>0.38585879861399874</v>
      </c>
      <c r="P44" s="238">
        <f>IF(P$5=0,0,P$5/AGR_fec!P$5)</f>
        <v>0.38948084134850208</v>
      </c>
      <c r="Q44" s="238">
        <f>IF(Q$5=0,0,Q$5/AGR_fec!Q$5)</f>
        <v>0.39296384088504061</v>
      </c>
      <c r="R44" s="238">
        <f>IF(R$5=0,0,R$5/AGR_fec!R$5)</f>
        <v>0.39249646136779404</v>
      </c>
      <c r="S44" s="238">
        <f>IF(S$5=0,0,S$5/AGR_fec!S$5)</f>
        <v>0.39097886578223601</v>
      </c>
      <c r="T44" s="238">
        <f>IF(T$5=0,0,T$5/AGR_fec!T$5)</f>
        <v>0.39394556892255522</v>
      </c>
      <c r="U44" s="238">
        <f>IF(U$5=0,0,U$5/AGR_fec!U$5)</f>
        <v>0.39116270965840599</v>
      </c>
      <c r="V44" s="238">
        <f>IF(V$5=0,0,V$5/AGR_fec!V$5)</f>
        <v>0.39506575673888084</v>
      </c>
      <c r="W44" s="238">
        <f>IF(W$5=0,0,W$5/AGR_fec!W$5)</f>
        <v>0.39452933982482863</v>
      </c>
      <c r="DA44" s="287"/>
    </row>
    <row r="45" spans="1:105" x14ac:dyDescent="0.25">
      <c r="A45" s="239" t="s">
        <v>125</v>
      </c>
      <c r="B45" s="251">
        <f>IF(B$6=0,0,B$6/AGR_fec!B$6)</f>
        <v>0.45263759855297797</v>
      </c>
      <c r="C45" s="251">
        <f>IF(C$6=0,0,C$6/AGR_fec!C$6)</f>
        <v>0.45263759855297786</v>
      </c>
      <c r="D45" s="251">
        <f>IF(D$6=0,0,D$6/AGR_fec!D$6)</f>
        <v>0.45263759855297803</v>
      </c>
      <c r="E45" s="251">
        <f>IF(E$6=0,0,E$6/AGR_fec!E$6)</f>
        <v>0.45263759855297775</v>
      </c>
      <c r="F45" s="251">
        <f>IF(F$6=0,0,F$6/AGR_fec!F$6)</f>
        <v>0.45263759855297792</v>
      </c>
      <c r="G45" s="251">
        <f>IF(G$6=0,0,G$6/AGR_fec!G$6)</f>
        <v>0.4526375985529778</v>
      </c>
      <c r="H45" s="251">
        <f>IF(H$6=0,0,H$6/AGR_fec!H$6)</f>
        <v>0.45263759855297786</v>
      </c>
      <c r="I45" s="251">
        <f>IF(I$6=0,0,I$6/AGR_fec!I$6)</f>
        <v>0.4526375985529778</v>
      </c>
      <c r="J45" s="251">
        <f>IF(J$6=0,0,J$6/AGR_fec!J$6)</f>
        <v>0.45263759855297797</v>
      </c>
      <c r="K45" s="251">
        <f>IF(K$6=0,0,K$6/AGR_fec!K$6)</f>
        <v>0.45263759855297792</v>
      </c>
      <c r="L45" s="251">
        <f>IF(L$6=0,0,L$6/AGR_fec!L$6)</f>
        <v>0.45263759855297797</v>
      </c>
      <c r="M45" s="251">
        <f>IF(M$6=0,0,M$6/AGR_fec!M$6)</f>
        <v>0.45263759855297792</v>
      </c>
      <c r="N45" s="251">
        <f>IF(N$6=0,0,N$6/AGR_fec!N$6)</f>
        <v>0.45263759855297808</v>
      </c>
      <c r="O45" s="251">
        <f>IF(O$6=0,0,O$6/AGR_fec!O$6)</f>
        <v>0.45263759855297786</v>
      </c>
      <c r="P45" s="251">
        <f>IF(P$6=0,0,P$6/AGR_fec!P$6)</f>
        <v>0.4526375985529778</v>
      </c>
      <c r="Q45" s="251">
        <f>IF(Q$6=0,0,Q$6/AGR_fec!Q$6)</f>
        <v>0.45263759855297792</v>
      </c>
      <c r="R45" s="251">
        <f>IF(R$6=0,0,R$6/AGR_fec!R$6)</f>
        <v>0.45263759855297775</v>
      </c>
      <c r="S45" s="251">
        <f>IF(S$6=0,0,S$6/AGR_fec!S$6)</f>
        <v>0.45263759855297803</v>
      </c>
      <c r="T45" s="251">
        <f>IF(T$6=0,0,T$6/AGR_fec!T$6)</f>
        <v>0.45263759855297797</v>
      </c>
      <c r="U45" s="251">
        <f>IF(U$6=0,0,U$6/AGR_fec!U$6)</f>
        <v>0.45263759855297786</v>
      </c>
      <c r="V45" s="251">
        <f>IF(V$6=0,0,V$6/AGR_fec!V$6)</f>
        <v>0.45263759855297769</v>
      </c>
      <c r="W45" s="251">
        <f>IF(W$6=0,0,W$6/AGR_fec!W$6)</f>
        <v>0.45263759855297814</v>
      </c>
      <c r="DA45" s="288"/>
    </row>
    <row r="46" spans="1:105" x14ac:dyDescent="0.25">
      <c r="A46" s="241" t="s">
        <v>124</v>
      </c>
      <c r="B46" s="252">
        <f>IF(B$7=0,0,B$7/AGR_fec!B$7)</f>
        <v>0.44884807754604894</v>
      </c>
      <c r="C46" s="252">
        <f>IF(C$7=0,0,C$7/AGR_fec!C$7)</f>
        <v>0.44884807754604866</v>
      </c>
      <c r="D46" s="252">
        <f>IF(D$7=0,0,D$7/AGR_fec!D$7)</f>
        <v>0.44884807754604894</v>
      </c>
      <c r="E46" s="252">
        <f>IF(E$7=0,0,E$7/AGR_fec!E$7)</f>
        <v>0.44884807754604877</v>
      </c>
      <c r="F46" s="252">
        <f>IF(F$7=0,0,F$7/AGR_fec!F$7)</f>
        <v>0.44884807754604888</v>
      </c>
      <c r="G46" s="252">
        <f>IF(G$7=0,0,G$7/AGR_fec!G$7)</f>
        <v>0.44884807754604905</v>
      </c>
      <c r="H46" s="252">
        <f>IF(H$7=0,0,H$7/AGR_fec!H$7)</f>
        <v>0.44884807754604883</v>
      </c>
      <c r="I46" s="252">
        <f>IF(I$7=0,0,I$7/AGR_fec!I$7)</f>
        <v>0.44884807754604888</v>
      </c>
      <c r="J46" s="252">
        <f>IF(J$7=0,0,J$7/AGR_fec!J$7)</f>
        <v>0.44884807754604877</v>
      </c>
      <c r="K46" s="252">
        <f>IF(K$7=0,0,K$7/AGR_fec!K$7)</f>
        <v>0.44884807754604877</v>
      </c>
      <c r="L46" s="252">
        <f>IF(L$7=0,0,L$7/AGR_fec!L$7)</f>
        <v>0.44884807754604883</v>
      </c>
      <c r="M46" s="252">
        <f>IF(M$7=0,0,M$7/AGR_fec!M$7)</f>
        <v>0.44884807754604888</v>
      </c>
      <c r="N46" s="252">
        <f>IF(N$7=0,0,N$7/AGR_fec!N$7)</f>
        <v>0.44884807754604877</v>
      </c>
      <c r="O46" s="252">
        <f>IF(O$7=0,0,O$7/AGR_fec!O$7)</f>
        <v>0.44884807754604894</v>
      </c>
      <c r="P46" s="252">
        <f>IF(P$7=0,0,P$7/AGR_fec!P$7)</f>
        <v>0.44884807754604872</v>
      </c>
      <c r="Q46" s="252">
        <f>IF(Q$7=0,0,Q$7/AGR_fec!Q$7)</f>
        <v>0.44884807754604905</v>
      </c>
      <c r="R46" s="252">
        <f>IF(R$7=0,0,R$7/AGR_fec!R$7)</f>
        <v>0.44884807754604883</v>
      </c>
      <c r="S46" s="252">
        <f>IF(S$7=0,0,S$7/AGR_fec!S$7)</f>
        <v>0.44884807754604872</v>
      </c>
      <c r="T46" s="252">
        <f>IF(T$7=0,0,T$7/AGR_fec!T$7)</f>
        <v>0.44884807754604883</v>
      </c>
      <c r="U46" s="252">
        <f>IF(U$7=0,0,U$7/AGR_fec!U$7)</f>
        <v>0.44884807754604888</v>
      </c>
      <c r="V46" s="252">
        <f>IF(V$7=0,0,V$7/AGR_fec!V$7)</f>
        <v>0.44884807754604894</v>
      </c>
      <c r="W46" s="252">
        <f>IF(W$7=0,0,W$7/AGR_fec!W$7)</f>
        <v>0.44884807754604888</v>
      </c>
      <c r="DA46" s="289"/>
    </row>
    <row r="47" spans="1:105" x14ac:dyDescent="0.25">
      <c r="A47" s="241" t="s">
        <v>123</v>
      </c>
      <c r="B47" s="252">
        <f>IF(B$8=0,0,B$8/AGR_fec!B$8)</f>
        <v>0.64419720961983484</v>
      </c>
      <c r="C47" s="252">
        <f>IF(C$8=0,0,C$8/AGR_fec!C$8)</f>
        <v>0.64419720961983484</v>
      </c>
      <c r="D47" s="252">
        <f>IF(D$8=0,0,D$8/AGR_fec!D$8)</f>
        <v>0.64419720961983473</v>
      </c>
      <c r="E47" s="252">
        <f>IF(E$8=0,0,E$8/AGR_fec!E$8)</f>
        <v>0.64419720961983484</v>
      </c>
      <c r="F47" s="252">
        <f>IF(F$8=0,0,F$8/AGR_fec!F$8)</f>
        <v>0.64419720961983473</v>
      </c>
      <c r="G47" s="252">
        <f>IF(G$8=0,0,G$8/AGR_fec!G$8)</f>
        <v>0.64419720961983473</v>
      </c>
      <c r="H47" s="252">
        <f>IF(H$8=0,0,H$8/AGR_fec!H$8)</f>
        <v>0.64419720961983473</v>
      </c>
      <c r="I47" s="252">
        <f>IF(I$8=0,0,I$8/AGR_fec!I$8)</f>
        <v>0.64419720961983484</v>
      </c>
      <c r="J47" s="252">
        <f>IF(J$8=0,0,J$8/AGR_fec!J$8)</f>
        <v>0.64419720961983451</v>
      </c>
      <c r="K47" s="252">
        <f>IF(K$8=0,0,K$8/AGR_fec!K$8)</f>
        <v>0.64419720961983495</v>
      </c>
      <c r="L47" s="252">
        <f>IF(L$8=0,0,L$8/AGR_fec!L$8)</f>
        <v>0.64419720961983507</v>
      </c>
      <c r="M47" s="252">
        <f>IF(M$8=0,0,M$8/AGR_fec!M$8)</f>
        <v>0.64419720961983473</v>
      </c>
      <c r="N47" s="252">
        <f>IF(N$8=0,0,N$8/AGR_fec!N$8)</f>
        <v>0.64419720961983484</v>
      </c>
      <c r="O47" s="252">
        <f>IF(O$8=0,0,O$8/AGR_fec!O$8)</f>
        <v>0.64419720961983473</v>
      </c>
      <c r="P47" s="252">
        <f>IF(P$8=0,0,P$8/AGR_fec!P$8)</f>
        <v>0.64419720961983473</v>
      </c>
      <c r="Q47" s="252">
        <f>IF(Q$8=0,0,Q$8/AGR_fec!Q$8)</f>
        <v>0.64419720961983484</v>
      </c>
      <c r="R47" s="252">
        <f>IF(R$8=0,0,R$8/AGR_fec!R$8)</f>
        <v>0.64419720961983451</v>
      </c>
      <c r="S47" s="252">
        <f>IF(S$8=0,0,S$8/AGR_fec!S$8)</f>
        <v>0.64419720961983462</v>
      </c>
      <c r="T47" s="252">
        <f>IF(T$8=0,0,T$8/AGR_fec!T$8)</f>
        <v>0.6441972096198344</v>
      </c>
      <c r="U47" s="252">
        <f>IF(U$8=0,0,U$8/AGR_fec!U$8)</f>
        <v>0.64419720961983473</v>
      </c>
      <c r="V47" s="252">
        <f>IF(V$8=0,0,V$8/AGR_fec!V$8)</f>
        <v>0.64419720961983451</v>
      </c>
      <c r="W47" s="252">
        <f>IF(W$8=0,0,W$8/AGR_fec!W$8)</f>
        <v>0.64419720961983484</v>
      </c>
      <c r="DA47" s="289"/>
    </row>
    <row r="48" spans="1:105" x14ac:dyDescent="0.25">
      <c r="A48" s="243" t="s">
        <v>122</v>
      </c>
      <c r="B48" s="253">
        <f>IF(B$9=0,0,B$9/AGR_fec!B$9)</f>
        <v>0.58054182689395184</v>
      </c>
      <c r="C48" s="253">
        <f>IF(C$9=0,0,C$9/AGR_fec!C$9)</f>
        <v>0.58057833253647939</v>
      </c>
      <c r="D48" s="253">
        <f>IF(D$9=0,0,D$9/AGR_fec!D$9)</f>
        <v>0.58093589341690732</v>
      </c>
      <c r="E48" s="253">
        <f>IF(E$9=0,0,E$9/AGR_fec!E$9)</f>
        <v>0.58060673290090703</v>
      </c>
      <c r="F48" s="253">
        <f>IF(F$9=0,0,F$9/AGR_fec!F$9)</f>
        <v>0.61347682638254586</v>
      </c>
      <c r="G48" s="253">
        <f>IF(G$9=0,0,G$9/AGR_fec!G$9)</f>
        <v>0.61275939217413389</v>
      </c>
      <c r="H48" s="253">
        <f>IF(H$9=0,0,H$9/AGR_fec!H$9)</f>
        <v>0.61311379183566173</v>
      </c>
      <c r="I48" s="253">
        <f>IF(I$9=0,0,I$9/AGR_fec!I$9)</f>
        <v>0.62048974911357668</v>
      </c>
      <c r="J48" s="253">
        <f>IF(J$9=0,0,J$9/AGR_fec!J$9)</f>
        <v>0.61928813741738187</v>
      </c>
      <c r="K48" s="253">
        <f>IF(K$9=0,0,K$9/AGR_fec!K$9)</f>
        <v>0.63804370044416114</v>
      </c>
      <c r="L48" s="253">
        <f>IF(L$9=0,0,L$9/AGR_fec!L$9)</f>
        <v>0.63797608578947818</v>
      </c>
      <c r="M48" s="253">
        <f>IF(M$9=0,0,M$9/AGR_fec!M$9)</f>
        <v>0.64193811819965918</v>
      </c>
      <c r="N48" s="253">
        <f>IF(N$9=0,0,N$9/AGR_fec!N$9)</f>
        <v>0.64561641796978908</v>
      </c>
      <c r="O48" s="253">
        <f>IF(O$9=0,0,O$9/AGR_fec!O$9)</f>
        <v>0.63765885205384687</v>
      </c>
      <c r="P48" s="253">
        <f>IF(P$9=0,0,P$9/AGR_fec!P$9)</f>
        <v>0.64569672983714188</v>
      </c>
      <c r="Q48" s="253">
        <f>IF(Q$9=0,0,Q$9/AGR_fec!Q$9)</f>
        <v>0.65295961199233388</v>
      </c>
      <c r="R48" s="253">
        <f>IF(R$9=0,0,R$9/AGR_fec!R$9)</f>
        <v>0.65169103434444153</v>
      </c>
      <c r="S48" s="253">
        <f>IF(S$9=0,0,S$9/AGR_fec!S$9)</f>
        <v>0.6477267192295969</v>
      </c>
      <c r="T48" s="253">
        <f>IF(T$9=0,0,T$9/AGR_fec!T$9)</f>
        <v>0.65246063439804047</v>
      </c>
      <c r="U48" s="253">
        <f>IF(U$9=0,0,U$9/AGR_fec!U$9)</f>
        <v>0.64633220189326479</v>
      </c>
      <c r="V48" s="253">
        <f>IF(V$9=0,0,V$9/AGR_fec!V$9)</f>
        <v>0.65343504581464729</v>
      </c>
      <c r="W48" s="253">
        <f>IF(W$9=0,0,W$9/AGR_fec!W$9)</f>
        <v>0.64972723114305941</v>
      </c>
      <c r="DA48" s="290"/>
    </row>
    <row r="49" spans="1:105" x14ac:dyDescent="0.25">
      <c r="A49" s="128" t="s">
        <v>175</v>
      </c>
      <c r="B49" s="265">
        <f>IF(B$16=0,0,B$16/AGR_fec!B$16)</f>
        <v>0.32389828157323608</v>
      </c>
      <c r="C49" s="265">
        <f>IF(C$16=0,0,C$16/AGR_fec!C$16)</f>
        <v>0.32389828157323608</v>
      </c>
      <c r="D49" s="265">
        <f>IF(D$16=0,0,D$16/AGR_fec!D$16)</f>
        <v>0.32389828157323602</v>
      </c>
      <c r="E49" s="265">
        <f>IF(E$16=0,0,E$16/AGR_fec!E$16)</f>
        <v>0.32389828157323597</v>
      </c>
      <c r="F49" s="265">
        <f>IF(F$16=0,0,F$16/AGR_fec!F$16)</f>
        <v>0.32389828157323608</v>
      </c>
      <c r="G49" s="265">
        <f>IF(G$16=0,0,G$16/AGR_fec!G$16)</f>
        <v>0.32389828157323597</v>
      </c>
      <c r="H49" s="265">
        <f>IF(H$16=0,0,H$16/AGR_fec!H$16)</f>
        <v>0.32389828157323602</v>
      </c>
      <c r="I49" s="265">
        <f>IF(I$16=0,0,I$16/AGR_fec!I$16)</f>
        <v>0.32389828157323591</v>
      </c>
      <c r="J49" s="265">
        <f>IF(J$16=0,0,J$16/AGR_fec!J$16)</f>
        <v>0.32389828157323614</v>
      </c>
      <c r="K49" s="265">
        <f>IF(K$16=0,0,K$16/AGR_fec!K$16)</f>
        <v>0.32389828157323602</v>
      </c>
      <c r="L49" s="265">
        <f>IF(L$16=0,0,L$16/AGR_fec!L$16)</f>
        <v>0.32389828157323608</v>
      </c>
      <c r="M49" s="265">
        <f>IF(M$16=0,0,M$16/AGR_fec!M$16)</f>
        <v>0.32389828157323608</v>
      </c>
      <c r="N49" s="265">
        <f>IF(N$16=0,0,N$16/AGR_fec!N$16)</f>
        <v>0.32389828157323591</v>
      </c>
      <c r="O49" s="265">
        <f>IF(O$16=0,0,O$16/AGR_fec!O$16)</f>
        <v>0.32389828157323597</v>
      </c>
      <c r="P49" s="265">
        <f>IF(P$16=0,0,P$16/AGR_fec!P$16)</f>
        <v>0.32389828157323597</v>
      </c>
      <c r="Q49" s="265">
        <f>IF(Q$16=0,0,Q$16/AGR_fec!Q$16)</f>
        <v>0.32389828157323602</v>
      </c>
      <c r="R49" s="265">
        <f>IF(R$16=0,0,R$16/AGR_fec!R$16)</f>
        <v>0.32389828157323608</v>
      </c>
      <c r="S49" s="265">
        <f>IF(S$16=0,0,S$16/AGR_fec!S$16)</f>
        <v>0.32389828157323591</v>
      </c>
      <c r="T49" s="265">
        <f>IF(T$16=0,0,T$16/AGR_fec!T$16)</f>
        <v>0.32389828157323608</v>
      </c>
      <c r="U49" s="265">
        <f>IF(U$16=0,0,U$16/AGR_fec!U$16)</f>
        <v>0.32389828157323602</v>
      </c>
      <c r="V49" s="265">
        <f>IF(V$16=0,0,V$16/AGR_fec!V$16)</f>
        <v>0.32389828157323608</v>
      </c>
      <c r="W49" s="265">
        <f>IF(W$16=0,0,W$16/AGR_fec!W$16)</f>
        <v>0.32389828157323608</v>
      </c>
      <c r="DA49" s="291"/>
    </row>
    <row r="50" spans="1:105" x14ac:dyDescent="0.25">
      <c r="A50" s="128" t="s">
        <v>121</v>
      </c>
      <c r="B50" s="265">
        <f>IF(B$17=0,0,B$17/AGR_fec!B$17)</f>
        <v>0.24970072956838105</v>
      </c>
      <c r="C50" s="265">
        <f>IF(C$17=0,0,C$17/AGR_fec!C$17)</f>
        <v>0.25078302692300097</v>
      </c>
      <c r="D50" s="265">
        <f>IF(D$17=0,0,D$17/AGR_fec!D$17)</f>
        <v>0.25135555264536813</v>
      </c>
      <c r="E50" s="265">
        <f>IF(E$17=0,0,E$17/AGR_fec!E$17)</f>
        <v>0.24929242745604396</v>
      </c>
      <c r="F50" s="265">
        <f>IF(F$17=0,0,F$17/AGR_fec!F$17)</f>
        <v>0.25580378266424991</v>
      </c>
      <c r="G50" s="265">
        <f>IF(G$17=0,0,G$17/AGR_fec!G$17)</f>
        <v>0.25666592779105141</v>
      </c>
      <c r="H50" s="265">
        <f>IF(H$17=0,0,H$17/AGR_fec!H$17)</f>
        <v>0.25749290376543721</v>
      </c>
      <c r="I50" s="265">
        <f>IF(I$17=0,0,I$17/AGR_fec!I$17)</f>
        <v>0.25514939435038764</v>
      </c>
      <c r="J50" s="265">
        <f>IF(J$17=0,0,J$17/AGR_fec!J$17)</f>
        <v>0.25863122695237756</v>
      </c>
      <c r="K50" s="265">
        <f>IF(K$17=0,0,K$17/AGR_fec!K$17)</f>
        <v>0.26089163830275391</v>
      </c>
      <c r="L50" s="265">
        <f>IF(L$17=0,0,L$17/AGR_fec!L$17)</f>
        <v>0.26797812995905818</v>
      </c>
      <c r="M50" s="265">
        <f>IF(M$17=0,0,M$17/AGR_fec!M$17)</f>
        <v>0.26958365605873763</v>
      </c>
      <c r="N50" s="265">
        <f>IF(N$17=0,0,N$17/AGR_fec!N$17)</f>
        <v>0.27107734558229141</v>
      </c>
      <c r="O50" s="265">
        <f>IF(O$17=0,0,O$17/AGR_fec!O$17)</f>
        <v>0.27146986062682588</v>
      </c>
      <c r="P50" s="265">
        <f>IF(P$17=0,0,P$17/AGR_fec!P$17)</f>
        <v>0.27140488272483632</v>
      </c>
      <c r="Q50" s="265">
        <f>IF(Q$17=0,0,Q$17/AGR_fec!Q$17)</f>
        <v>0.27191740154003374</v>
      </c>
      <c r="R50" s="265">
        <f>IF(R$17=0,0,R$17/AGR_fec!R$17)</f>
        <v>0.272030009712184</v>
      </c>
      <c r="S50" s="265">
        <f>IF(S$17=0,0,S$17/AGR_fec!S$17)</f>
        <v>0.27287587022954979</v>
      </c>
      <c r="T50" s="265">
        <f>IF(T$17=0,0,T$17/AGR_fec!T$17)</f>
        <v>0.27373901042139653</v>
      </c>
      <c r="U50" s="265">
        <f>IF(U$17=0,0,U$17/AGR_fec!U$17)</f>
        <v>0.27385132422081032</v>
      </c>
      <c r="V50" s="265">
        <f>IF(V$17=0,0,V$17/AGR_fec!V$17)</f>
        <v>0.27521774334098797</v>
      </c>
      <c r="W50" s="265">
        <f>IF(W$17=0,0,W$17/AGR_fec!W$17)</f>
        <v>0.27695178549048394</v>
      </c>
      <c r="DA50" s="291"/>
    </row>
    <row r="51" spans="1:105" x14ac:dyDescent="0.25">
      <c r="A51" s="128" t="s">
        <v>174</v>
      </c>
      <c r="B51" s="265">
        <f>IF(B$25=0,0,B$25/AGR_fec!B$25)</f>
        <v>0.22672879710126514</v>
      </c>
      <c r="C51" s="265">
        <f>IF(C$25=0,0,C$25/AGR_fec!C$25)</f>
        <v>0.2267287971012652</v>
      </c>
      <c r="D51" s="265">
        <f>IF(D$25=0,0,D$25/AGR_fec!D$25)</f>
        <v>0.22672879710126517</v>
      </c>
      <c r="E51" s="265">
        <f>IF(E$25=0,0,E$25/AGR_fec!E$25)</f>
        <v>0.22672879710126514</v>
      </c>
      <c r="F51" s="265">
        <f>IF(F$25=0,0,F$25/AGR_fec!F$25)</f>
        <v>0.22672879710126523</v>
      </c>
      <c r="G51" s="265">
        <f>IF(G$25=0,0,G$25/AGR_fec!G$25)</f>
        <v>0.22672879710126517</v>
      </c>
      <c r="H51" s="265">
        <f>IF(H$25=0,0,H$25/AGR_fec!H$25)</f>
        <v>0.2267287971012652</v>
      </c>
      <c r="I51" s="265">
        <f>IF(I$25=0,0,I$25/AGR_fec!I$25)</f>
        <v>0.2267287971012652</v>
      </c>
      <c r="J51" s="265">
        <f>IF(J$25=0,0,J$25/AGR_fec!J$25)</f>
        <v>0.22672879710126517</v>
      </c>
      <c r="K51" s="265">
        <f>IF(K$25=0,0,K$25/AGR_fec!K$25)</f>
        <v>0.2267287971012652</v>
      </c>
      <c r="L51" s="265">
        <f>IF(L$25=0,0,L$25/AGR_fec!L$25)</f>
        <v>0.22672879710126512</v>
      </c>
      <c r="M51" s="265">
        <f>IF(M$25=0,0,M$25/AGR_fec!M$25)</f>
        <v>0.2267287971012652</v>
      </c>
      <c r="N51" s="265">
        <f>IF(N$25=0,0,N$25/AGR_fec!N$25)</f>
        <v>0.22672879710126526</v>
      </c>
      <c r="O51" s="265">
        <f>IF(O$25=0,0,O$25/AGR_fec!O$25)</f>
        <v>0.22672879710126514</v>
      </c>
      <c r="P51" s="265">
        <f>IF(P$25=0,0,P$25/AGR_fec!P$25)</f>
        <v>0.22672879710126512</v>
      </c>
      <c r="Q51" s="265">
        <f>IF(Q$25=0,0,Q$25/AGR_fec!Q$25)</f>
        <v>0.22672879710126512</v>
      </c>
      <c r="R51" s="265">
        <f>IF(R$25=0,0,R$25/AGR_fec!R$25)</f>
        <v>0.22672879710126514</v>
      </c>
      <c r="S51" s="265">
        <f>IF(S$25=0,0,S$25/AGR_fec!S$25)</f>
        <v>0.22672879710126514</v>
      </c>
      <c r="T51" s="265">
        <f>IF(T$25=0,0,T$25/AGR_fec!T$25)</f>
        <v>0.2267287971012652</v>
      </c>
      <c r="U51" s="265">
        <f>IF(U$25=0,0,U$25/AGR_fec!U$25)</f>
        <v>0.2267287971012652</v>
      </c>
      <c r="V51" s="265">
        <f>IF(V$25=0,0,V$25/AGR_fec!V$25)</f>
        <v>0.22672879710126523</v>
      </c>
      <c r="W51" s="265">
        <f>IF(W$25=0,0,W$25/AGR_fec!W$25)</f>
        <v>0.22672879710126514</v>
      </c>
      <c r="DA51" s="291"/>
    </row>
    <row r="52" spans="1:105" x14ac:dyDescent="0.25">
      <c r="A52" s="128" t="s">
        <v>177</v>
      </c>
      <c r="B52" s="265">
        <f>IF(B$26=0,0,B$26/AGR_fec!B$26)</f>
        <v>0.44884807754604877</v>
      </c>
      <c r="C52" s="265">
        <f>IF(C$26=0,0,C$26/AGR_fec!C$26)</f>
        <v>0.44884807754604888</v>
      </c>
      <c r="D52" s="265">
        <f>IF(D$26=0,0,D$26/AGR_fec!D$26)</f>
        <v>0.44884807754604888</v>
      </c>
      <c r="E52" s="265">
        <f>IF(E$26=0,0,E$26/AGR_fec!E$26)</f>
        <v>0.448848077546049</v>
      </c>
      <c r="F52" s="265">
        <f>IF(F$26=0,0,F$26/AGR_fec!F$26)</f>
        <v>0.44884807754604888</v>
      </c>
      <c r="G52" s="265">
        <f>IF(G$26=0,0,G$26/AGR_fec!G$26)</f>
        <v>0.44884807754604877</v>
      </c>
      <c r="H52" s="265">
        <f>IF(H$26=0,0,H$26/AGR_fec!H$26)</f>
        <v>0.44884807754604883</v>
      </c>
      <c r="I52" s="265">
        <f>IF(I$26=0,0,I$26/AGR_fec!I$26)</f>
        <v>0.44884807754604877</v>
      </c>
      <c r="J52" s="265">
        <f>IF(J$26=0,0,J$26/AGR_fec!J$26)</f>
        <v>0.44884807754604894</v>
      </c>
      <c r="K52" s="265">
        <f>IF(K$26=0,0,K$26/AGR_fec!K$26)</f>
        <v>0.44884807754604877</v>
      </c>
      <c r="L52" s="265">
        <f>IF(L$26=0,0,L$26/AGR_fec!L$26)</f>
        <v>0.44884807754604872</v>
      </c>
      <c r="M52" s="265">
        <f>IF(M$26=0,0,M$26/AGR_fec!M$26)</f>
        <v>0.44884807754604877</v>
      </c>
      <c r="N52" s="265">
        <f>IF(N$26=0,0,N$26/AGR_fec!N$26)</f>
        <v>0.44884807754604883</v>
      </c>
      <c r="O52" s="265">
        <f>IF(O$26=0,0,O$26/AGR_fec!O$26)</f>
        <v>0.44884807754604883</v>
      </c>
      <c r="P52" s="265">
        <f>IF(P$26=0,0,P$26/AGR_fec!P$26)</f>
        <v>0.44884807754604877</v>
      </c>
      <c r="Q52" s="265">
        <f>IF(Q$26=0,0,Q$26/AGR_fec!Q$26)</f>
        <v>0.44884807754604894</v>
      </c>
      <c r="R52" s="265">
        <f>IF(R$26=0,0,R$26/AGR_fec!R$26)</f>
        <v>0.44884807754604888</v>
      </c>
      <c r="S52" s="265">
        <f>IF(S$26=0,0,S$26/AGR_fec!S$26)</f>
        <v>0.44884807754604888</v>
      </c>
      <c r="T52" s="265">
        <f>IF(T$26=0,0,T$26/AGR_fec!T$26)</f>
        <v>0.44884807754604877</v>
      </c>
      <c r="U52" s="265">
        <f>IF(U$26=0,0,U$26/AGR_fec!U$26)</f>
        <v>0.44884807754604911</v>
      </c>
      <c r="V52" s="265">
        <f>IF(V$26=0,0,V$26/AGR_fec!V$26)</f>
        <v>0.44884807754604877</v>
      </c>
      <c r="W52" s="265">
        <f>IF(W$26=0,0,W$26/AGR_fec!W$26)</f>
        <v>0.448848077546049</v>
      </c>
      <c r="DA52" s="291"/>
    </row>
    <row r="53" spans="1:105" x14ac:dyDescent="0.25">
      <c r="A53" s="261" t="s">
        <v>33</v>
      </c>
      <c r="B53" s="266">
        <f>IF(B$27=0,0,B$27/AGR_fec!B$27)</f>
        <v>0.471774849962387</v>
      </c>
      <c r="C53" s="266">
        <f>IF(C$27=0,0,C$27/AGR_fec!C$27)</f>
        <v>0.47177484996238706</v>
      </c>
      <c r="D53" s="266">
        <f>IF(D$27=0,0,D$27/AGR_fec!D$27)</f>
        <v>0.47177484996238683</v>
      </c>
      <c r="E53" s="266">
        <f>IF(E$27=0,0,E$27/AGR_fec!E$27)</f>
        <v>0.47177484996238694</v>
      </c>
      <c r="F53" s="266">
        <f>IF(F$27=0,0,F$27/AGR_fec!F$27)</f>
        <v>0.47177484996238683</v>
      </c>
      <c r="G53" s="266">
        <f>IF(G$27=0,0,G$27/AGR_fec!G$27)</f>
        <v>0.47177484996238694</v>
      </c>
      <c r="H53" s="266">
        <f>IF(H$27=0,0,H$27/AGR_fec!H$27)</f>
        <v>0.47177484996238689</v>
      </c>
      <c r="I53" s="266">
        <f>IF(I$27=0,0,I$27/AGR_fec!I$27)</f>
        <v>0.47177484996238683</v>
      </c>
      <c r="J53" s="266">
        <f>IF(J$27=0,0,J$27/AGR_fec!J$27)</f>
        <v>0.47177484996238706</v>
      </c>
      <c r="K53" s="266">
        <f>IF(K$27=0,0,K$27/AGR_fec!K$27)</f>
        <v>0.471774849962387</v>
      </c>
      <c r="L53" s="266">
        <f>IF(L$27=0,0,L$27/AGR_fec!L$27)</f>
        <v>0.47177484996238711</v>
      </c>
      <c r="M53" s="266">
        <f>IF(M$27=0,0,M$27/AGR_fec!M$27)</f>
        <v>0.47177484996238683</v>
      </c>
      <c r="N53" s="266">
        <f>IF(N$27=0,0,N$27/AGR_fec!N$27)</f>
        <v>0.47177484996238711</v>
      </c>
      <c r="O53" s="266">
        <f>IF(O$27=0,0,O$27/AGR_fec!O$27)</f>
        <v>0.47177484996238689</v>
      </c>
      <c r="P53" s="266">
        <f>IF(P$27=0,0,P$27/AGR_fec!P$27)</f>
        <v>0.471774849962387</v>
      </c>
      <c r="Q53" s="266">
        <f>IF(Q$27=0,0,Q$27/AGR_fec!Q$27)</f>
        <v>0.47177484996238694</v>
      </c>
      <c r="R53" s="266">
        <f>IF(R$27=0,0,R$27/AGR_fec!R$27)</f>
        <v>0.47177484996238683</v>
      </c>
      <c r="S53" s="266">
        <f>IF(S$27=0,0,S$27/AGR_fec!S$27)</f>
        <v>0.471774849962387</v>
      </c>
      <c r="T53" s="266">
        <f>IF(T$27=0,0,T$27/AGR_fec!T$27)</f>
        <v>0.47177484996238722</v>
      </c>
      <c r="U53" s="266">
        <f>IF(U$27=0,0,U$27/AGR_fec!U$27)</f>
        <v>0.471774849962387</v>
      </c>
      <c r="V53" s="266">
        <f>IF(V$27=0,0,V$27/AGR_fec!V$27)</f>
        <v>0.471774849962387</v>
      </c>
      <c r="W53" s="266">
        <f>IF(W$27=0,0,W$27/AGR_fec!W$27)</f>
        <v>0.47177484996238694</v>
      </c>
      <c r="DA53" s="292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1034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233" t="s">
        <v>136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>SUM(B6:B9,B16:B17,B25:B27)</f>
        <v>2419.8330671979938</v>
      </c>
      <c r="C5" s="80">
        <f t="shared" ref="C5:W5" si="0">SUM(C6:C9,C16:C17,C25:C27)</f>
        <v>2308.3143454780829</v>
      </c>
      <c r="D5" s="80">
        <f t="shared" si="0"/>
        <v>1930.3838223571495</v>
      </c>
      <c r="E5" s="80">
        <f t="shared" si="0"/>
        <v>2536.1777255979514</v>
      </c>
      <c r="F5" s="80">
        <f t="shared" si="0"/>
        <v>2881.3135813171139</v>
      </c>
      <c r="G5" s="80">
        <f t="shared" si="0"/>
        <v>2771.2156503579477</v>
      </c>
      <c r="H5" s="80">
        <f t="shared" si="0"/>
        <v>2378.8012208374485</v>
      </c>
      <c r="I5" s="80">
        <f t="shared" si="0"/>
        <v>2000.9021525982459</v>
      </c>
      <c r="J5" s="80">
        <f t="shared" si="0"/>
        <v>2046.0619317587191</v>
      </c>
      <c r="K5" s="80">
        <f t="shared" si="0"/>
        <v>1867.5411621576068</v>
      </c>
      <c r="L5" s="80">
        <f t="shared" si="0"/>
        <v>1986.4223654387974</v>
      </c>
      <c r="M5" s="80">
        <f t="shared" si="0"/>
        <v>1769.6260844387089</v>
      </c>
      <c r="N5" s="80">
        <f t="shared" si="0"/>
        <v>1769.9230819181737</v>
      </c>
      <c r="O5" s="80">
        <f t="shared" si="0"/>
        <v>1918.9274337587515</v>
      </c>
      <c r="P5" s="80">
        <f t="shared" si="0"/>
        <v>1611.2023942783701</v>
      </c>
      <c r="Q5" s="80">
        <f t="shared" si="0"/>
        <v>1610.8759167620981</v>
      </c>
      <c r="R5" s="80">
        <f t="shared" si="0"/>
        <v>1746.6262881625021</v>
      </c>
      <c r="S5" s="80">
        <f t="shared" si="0"/>
        <v>1816.794355197969</v>
      </c>
      <c r="T5" s="80">
        <f t="shared" si="0"/>
        <v>1798.483143241154</v>
      </c>
      <c r="U5" s="80">
        <f t="shared" si="0"/>
        <v>2078.3356678788105</v>
      </c>
      <c r="V5" s="80">
        <f t="shared" si="0"/>
        <v>1918.5214065613711</v>
      </c>
      <c r="W5" s="80">
        <f t="shared" si="0"/>
        <v>1953.9025571985426</v>
      </c>
      <c r="DA5" s="103"/>
    </row>
    <row r="6" spans="1:105" x14ac:dyDescent="0.25">
      <c r="A6" s="239" t="s">
        <v>125</v>
      </c>
      <c r="B6" s="240">
        <v>0</v>
      </c>
      <c r="C6" s="240">
        <v>0</v>
      </c>
      <c r="D6" s="240">
        <v>0</v>
      </c>
      <c r="E6" s="240">
        <v>0</v>
      </c>
      <c r="F6" s="240">
        <v>0</v>
      </c>
      <c r="G6" s="240">
        <v>0</v>
      </c>
      <c r="H6" s="240">
        <v>0</v>
      </c>
      <c r="I6" s="240">
        <v>0</v>
      </c>
      <c r="J6" s="240">
        <v>0</v>
      </c>
      <c r="K6" s="240">
        <v>0</v>
      </c>
      <c r="L6" s="240">
        <v>0</v>
      </c>
      <c r="M6" s="240">
        <v>0</v>
      </c>
      <c r="N6" s="240">
        <v>0</v>
      </c>
      <c r="O6" s="240">
        <v>0</v>
      </c>
      <c r="P6" s="240">
        <v>0</v>
      </c>
      <c r="Q6" s="240">
        <v>0</v>
      </c>
      <c r="R6" s="240">
        <v>0</v>
      </c>
      <c r="S6" s="240">
        <v>0</v>
      </c>
      <c r="T6" s="240">
        <v>0</v>
      </c>
      <c r="U6" s="240">
        <v>0</v>
      </c>
      <c r="V6" s="240">
        <v>0</v>
      </c>
      <c r="W6" s="240">
        <v>0</v>
      </c>
      <c r="DA6" s="268" t="s">
        <v>1035</v>
      </c>
    </row>
    <row r="7" spans="1:105" x14ac:dyDescent="0.25">
      <c r="A7" s="241" t="s">
        <v>124</v>
      </c>
      <c r="B7" s="242">
        <v>0</v>
      </c>
      <c r="C7" s="242">
        <v>0</v>
      </c>
      <c r="D7" s="242">
        <v>0</v>
      </c>
      <c r="E7" s="242">
        <v>0</v>
      </c>
      <c r="F7" s="242">
        <v>0</v>
      </c>
      <c r="G7" s="242">
        <v>0</v>
      </c>
      <c r="H7" s="242">
        <v>0</v>
      </c>
      <c r="I7" s="242">
        <v>0</v>
      </c>
      <c r="J7" s="242">
        <v>0</v>
      </c>
      <c r="K7" s="242">
        <v>0</v>
      </c>
      <c r="L7" s="242">
        <v>0</v>
      </c>
      <c r="M7" s="242">
        <v>0</v>
      </c>
      <c r="N7" s="242">
        <v>0</v>
      </c>
      <c r="O7" s="242">
        <v>0</v>
      </c>
      <c r="P7" s="242">
        <v>0</v>
      </c>
      <c r="Q7" s="242">
        <v>0</v>
      </c>
      <c r="R7" s="242">
        <v>0</v>
      </c>
      <c r="S7" s="242">
        <v>0</v>
      </c>
      <c r="T7" s="242">
        <v>0</v>
      </c>
      <c r="U7" s="242">
        <v>0</v>
      </c>
      <c r="V7" s="242">
        <v>0</v>
      </c>
      <c r="W7" s="242">
        <v>0</v>
      </c>
      <c r="DA7" s="269" t="s">
        <v>1036</v>
      </c>
    </row>
    <row r="8" spans="1:105" x14ac:dyDescent="0.25">
      <c r="A8" s="241" t="s">
        <v>123</v>
      </c>
      <c r="B8" s="242">
        <v>0</v>
      </c>
      <c r="C8" s="242">
        <v>0</v>
      </c>
      <c r="D8" s="242">
        <v>0</v>
      </c>
      <c r="E8" s="242">
        <v>0</v>
      </c>
      <c r="F8" s="242">
        <v>0</v>
      </c>
      <c r="G8" s="242">
        <v>0</v>
      </c>
      <c r="H8" s="242">
        <v>0</v>
      </c>
      <c r="I8" s="242">
        <v>0</v>
      </c>
      <c r="J8" s="242">
        <v>0</v>
      </c>
      <c r="K8" s="242">
        <v>0</v>
      </c>
      <c r="L8" s="242">
        <v>0</v>
      </c>
      <c r="M8" s="242">
        <v>0</v>
      </c>
      <c r="N8" s="242">
        <v>0</v>
      </c>
      <c r="O8" s="242">
        <v>0</v>
      </c>
      <c r="P8" s="242">
        <v>0</v>
      </c>
      <c r="Q8" s="242">
        <v>0</v>
      </c>
      <c r="R8" s="242">
        <v>0</v>
      </c>
      <c r="S8" s="242">
        <v>0</v>
      </c>
      <c r="T8" s="242">
        <v>0</v>
      </c>
      <c r="U8" s="242">
        <v>0</v>
      </c>
      <c r="V8" s="242">
        <v>0</v>
      </c>
      <c r="W8" s="242">
        <v>0</v>
      </c>
      <c r="DA8" s="269" t="s">
        <v>1037</v>
      </c>
    </row>
    <row r="9" spans="1:105" x14ac:dyDescent="0.25">
      <c r="A9" s="243" t="s">
        <v>122</v>
      </c>
      <c r="B9" s="244">
        <f>SUM(B10:B15)</f>
        <v>444.4266914278241</v>
      </c>
      <c r="C9" s="244">
        <f t="shared" ref="C9:W9" si="1">SUM(C10:C15)</f>
        <v>438.96977310847529</v>
      </c>
      <c r="D9" s="244">
        <f t="shared" si="1"/>
        <v>373.1938887243204</v>
      </c>
      <c r="E9" s="244">
        <f t="shared" si="1"/>
        <v>460.09556476311042</v>
      </c>
      <c r="F9" s="244">
        <f t="shared" si="1"/>
        <v>526.94089545410611</v>
      </c>
      <c r="G9" s="244">
        <f t="shared" si="1"/>
        <v>516.57043938868276</v>
      </c>
      <c r="H9" s="244">
        <f t="shared" si="1"/>
        <v>445.11930558753261</v>
      </c>
      <c r="I9" s="244">
        <f t="shared" si="1"/>
        <v>357.87083557016081</v>
      </c>
      <c r="J9" s="244">
        <f t="shared" si="1"/>
        <v>390.59256652853139</v>
      </c>
      <c r="K9" s="244">
        <f t="shared" si="1"/>
        <v>342.12273203662949</v>
      </c>
      <c r="L9" s="244">
        <f t="shared" si="1"/>
        <v>383.98650878410592</v>
      </c>
      <c r="M9" s="244">
        <f t="shared" si="1"/>
        <v>340.8244014587292</v>
      </c>
      <c r="N9" s="244">
        <f t="shared" si="1"/>
        <v>344.11954912700509</v>
      </c>
      <c r="O9" s="244">
        <f t="shared" si="1"/>
        <v>383.28210847051912</v>
      </c>
      <c r="P9" s="244">
        <f t="shared" si="1"/>
        <v>310.45643055158064</v>
      </c>
      <c r="Q9" s="244">
        <f t="shared" si="1"/>
        <v>304.82310730819711</v>
      </c>
      <c r="R9" s="244">
        <f t="shared" si="1"/>
        <v>332.17476708801649</v>
      </c>
      <c r="S9" s="244">
        <f t="shared" si="1"/>
        <v>357.72959747039874</v>
      </c>
      <c r="T9" s="244">
        <f t="shared" si="1"/>
        <v>350.83234993974861</v>
      </c>
      <c r="U9" s="244">
        <f t="shared" si="1"/>
        <v>413.16583294100622</v>
      </c>
      <c r="V9" s="244">
        <f t="shared" si="1"/>
        <v>383.526594460198</v>
      </c>
      <c r="W9" s="244">
        <f t="shared" si="1"/>
        <v>412.14608123634002</v>
      </c>
      <c r="DA9" s="270"/>
    </row>
    <row r="10" spans="1:105" x14ac:dyDescent="0.25">
      <c r="A10" s="254" t="s">
        <v>173</v>
      </c>
      <c r="B10" s="255">
        <v>444.4266914278241</v>
      </c>
      <c r="C10" s="255">
        <v>438.96977310847529</v>
      </c>
      <c r="D10" s="255">
        <v>373.1938887243204</v>
      </c>
      <c r="E10" s="255">
        <v>460.09556476311042</v>
      </c>
      <c r="F10" s="255">
        <v>344.31722651795877</v>
      </c>
      <c r="G10" s="255">
        <v>346.13181973132032</v>
      </c>
      <c r="H10" s="255">
        <v>295.42482374112268</v>
      </c>
      <c r="I10" s="255">
        <v>241.92401437694201</v>
      </c>
      <c r="J10" s="255">
        <v>302.78691012044999</v>
      </c>
      <c r="K10" s="255">
        <v>227.03419666864639</v>
      </c>
      <c r="L10" s="255">
        <v>233.46192220860979</v>
      </c>
      <c r="M10" s="255">
        <v>193.50135366226331</v>
      </c>
      <c r="N10" s="255">
        <v>182.51305295654629</v>
      </c>
      <c r="O10" s="255">
        <v>199.89416272002109</v>
      </c>
      <c r="P10" s="255">
        <v>159.11173869743641</v>
      </c>
      <c r="Q10" s="255">
        <v>128.6207637141803</v>
      </c>
      <c r="R10" s="255">
        <v>142.0026567840807</v>
      </c>
      <c r="S10" s="255">
        <v>138.42984502562621</v>
      </c>
      <c r="T10" s="255">
        <v>125.1612247435901</v>
      </c>
      <c r="U10" s="255">
        <v>164.50911402583259</v>
      </c>
      <c r="V10" s="255">
        <v>129.32291343888309</v>
      </c>
      <c r="W10" s="255">
        <v>103.42846165305011</v>
      </c>
      <c r="DA10" s="271" t="s">
        <v>1038</v>
      </c>
    </row>
    <row r="11" spans="1:105" x14ac:dyDescent="0.25">
      <c r="A11" s="254" t="s">
        <v>176</v>
      </c>
      <c r="B11" s="256">
        <v>0</v>
      </c>
      <c r="C11" s="256">
        <v>0</v>
      </c>
      <c r="D11" s="256">
        <v>0</v>
      </c>
      <c r="E11" s="256">
        <v>0</v>
      </c>
      <c r="F11" s="256">
        <v>182.6236689361474</v>
      </c>
      <c r="G11" s="256">
        <v>170.43861965736241</v>
      </c>
      <c r="H11" s="256">
        <v>149.6944818464099</v>
      </c>
      <c r="I11" s="256">
        <v>115.9468211932188</v>
      </c>
      <c r="J11" s="256">
        <v>87.805656408081418</v>
      </c>
      <c r="K11" s="256">
        <v>115.0885353679831</v>
      </c>
      <c r="L11" s="256">
        <v>150.5245865754961</v>
      </c>
      <c r="M11" s="256">
        <v>147.32304779646589</v>
      </c>
      <c r="N11" s="256">
        <v>161.6064961704588</v>
      </c>
      <c r="O11" s="256">
        <v>183.38794575049801</v>
      </c>
      <c r="P11" s="256">
        <v>151.3446918541442</v>
      </c>
      <c r="Q11" s="256">
        <v>176.20234359401681</v>
      </c>
      <c r="R11" s="256">
        <v>190.1721103039358</v>
      </c>
      <c r="S11" s="256">
        <v>219.29975244477251</v>
      </c>
      <c r="T11" s="256">
        <v>225.6711251961585</v>
      </c>
      <c r="U11" s="256">
        <v>248.6567189151736</v>
      </c>
      <c r="V11" s="256">
        <v>254.20368102131491</v>
      </c>
      <c r="W11" s="256">
        <v>308.71761958328989</v>
      </c>
      <c r="DA11" s="272" t="s">
        <v>1039</v>
      </c>
    </row>
    <row r="12" spans="1:105" x14ac:dyDescent="0.25">
      <c r="A12" s="254" t="s">
        <v>158</v>
      </c>
      <c r="B12" s="256">
        <v>0</v>
      </c>
      <c r="C12" s="256">
        <v>0</v>
      </c>
      <c r="D12" s="256">
        <v>0</v>
      </c>
      <c r="E12" s="256">
        <v>0</v>
      </c>
      <c r="F12" s="256">
        <v>0</v>
      </c>
      <c r="G12" s="256">
        <v>0</v>
      </c>
      <c r="H12" s="256">
        <v>0</v>
      </c>
      <c r="I12" s="256">
        <v>0</v>
      </c>
      <c r="J12" s="256">
        <v>0</v>
      </c>
      <c r="K12" s="256">
        <v>0</v>
      </c>
      <c r="L12" s="256">
        <v>0</v>
      </c>
      <c r="M12" s="256">
        <v>0</v>
      </c>
      <c r="N12" s="256">
        <v>0</v>
      </c>
      <c r="O12" s="256">
        <v>0</v>
      </c>
      <c r="P12" s="256">
        <v>0</v>
      </c>
      <c r="Q12" s="256">
        <v>0</v>
      </c>
      <c r="R12" s="256">
        <v>0</v>
      </c>
      <c r="S12" s="256">
        <v>0</v>
      </c>
      <c r="T12" s="256">
        <v>0</v>
      </c>
      <c r="U12" s="256">
        <v>0</v>
      </c>
      <c r="V12" s="256">
        <v>0</v>
      </c>
      <c r="W12" s="256">
        <v>0</v>
      </c>
      <c r="DA12" s="272" t="s">
        <v>1040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1041</v>
      </c>
    </row>
    <row r="14" spans="1:105" x14ac:dyDescent="0.25">
      <c r="A14" s="254" t="s">
        <v>169</v>
      </c>
      <c r="B14" s="255">
        <v>0</v>
      </c>
      <c r="C14" s="255">
        <v>0</v>
      </c>
      <c r="D14" s="255">
        <v>0</v>
      </c>
      <c r="E14" s="255">
        <v>0</v>
      </c>
      <c r="F14" s="255">
        <v>0</v>
      </c>
      <c r="G14" s="255">
        <v>0</v>
      </c>
      <c r="H14" s="255">
        <v>0</v>
      </c>
      <c r="I14" s="255">
        <v>0</v>
      </c>
      <c r="J14" s="255">
        <v>0</v>
      </c>
      <c r="K14" s="255">
        <v>0</v>
      </c>
      <c r="L14" s="255">
        <v>0</v>
      </c>
      <c r="M14" s="255">
        <v>0</v>
      </c>
      <c r="N14" s="255">
        <v>0</v>
      </c>
      <c r="O14" s="255">
        <v>0</v>
      </c>
      <c r="P14" s="255">
        <v>0</v>
      </c>
      <c r="Q14" s="255">
        <v>0</v>
      </c>
      <c r="R14" s="255">
        <v>0</v>
      </c>
      <c r="S14" s="255">
        <v>0</v>
      </c>
      <c r="T14" s="255">
        <v>0</v>
      </c>
      <c r="U14" s="255">
        <v>0</v>
      </c>
      <c r="V14" s="255">
        <v>0</v>
      </c>
      <c r="W14" s="255">
        <v>0</v>
      </c>
      <c r="DA14" s="271" t="s">
        <v>1042</v>
      </c>
    </row>
    <row r="15" spans="1:105" x14ac:dyDescent="0.25">
      <c r="A15" s="254" t="s">
        <v>24</v>
      </c>
      <c r="B15" s="256">
        <v>0</v>
      </c>
      <c r="C15" s="256">
        <v>0</v>
      </c>
      <c r="D15" s="256">
        <v>0</v>
      </c>
      <c r="E15" s="256">
        <v>0</v>
      </c>
      <c r="F15" s="256">
        <v>0</v>
      </c>
      <c r="G15" s="256">
        <v>0</v>
      </c>
      <c r="H15" s="256">
        <v>0</v>
      </c>
      <c r="I15" s="256">
        <v>0</v>
      </c>
      <c r="J15" s="256">
        <v>0</v>
      </c>
      <c r="K15" s="256">
        <v>0</v>
      </c>
      <c r="L15" s="256">
        <v>0</v>
      </c>
      <c r="M15" s="256">
        <v>0</v>
      </c>
      <c r="N15" s="256">
        <v>0</v>
      </c>
      <c r="O15" s="256">
        <v>0</v>
      </c>
      <c r="P15" s="256">
        <v>0</v>
      </c>
      <c r="Q15" s="256">
        <v>0</v>
      </c>
      <c r="R15" s="256">
        <v>0</v>
      </c>
      <c r="S15" s="256">
        <v>0</v>
      </c>
      <c r="T15" s="256">
        <v>0</v>
      </c>
      <c r="U15" s="256">
        <v>0</v>
      </c>
      <c r="V15" s="256">
        <v>0</v>
      </c>
      <c r="W15" s="256">
        <v>0</v>
      </c>
      <c r="DA15" s="272" t="s">
        <v>1043</v>
      </c>
    </row>
    <row r="16" spans="1:105" x14ac:dyDescent="0.25">
      <c r="A16" s="257" t="s">
        <v>175</v>
      </c>
      <c r="B16" s="258">
        <v>604.01920697704873</v>
      </c>
      <c r="C16" s="258">
        <v>596.78505254109143</v>
      </c>
      <c r="D16" s="258">
        <v>510.02895074548599</v>
      </c>
      <c r="E16" s="258">
        <v>626.14466624762395</v>
      </c>
      <c r="F16" s="258">
        <v>746.77977517797206</v>
      </c>
      <c r="G16" s="258">
        <v>733.36560255927509</v>
      </c>
      <c r="H16" s="258">
        <v>637.42060094732949</v>
      </c>
      <c r="I16" s="258">
        <v>535.12366765114507</v>
      </c>
      <c r="J16" s="258">
        <v>602.55913500605106</v>
      </c>
      <c r="K16" s="258">
        <v>558.7466527341428</v>
      </c>
      <c r="L16" s="258">
        <v>629.04929278364409</v>
      </c>
      <c r="M16" s="258">
        <v>558.03117446344527</v>
      </c>
      <c r="N16" s="258">
        <v>562.89224647171943</v>
      </c>
      <c r="O16" s="258">
        <v>610.44654525511714</v>
      </c>
      <c r="P16" s="258">
        <v>516.97935264487421</v>
      </c>
      <c r="Q16" s="258">
        <v>504.11827779477858</v>
      </c>
      <c r="R16" s="258">
        <v>543.94784976606263</v>
      </c>
      <c r="S16" s="258">
        <v>553.469379344098</v>
      </c>
      <c r="T16" s="258">
        <v>543.80623945207071</v>
      </c>
      <c r="U16" s="258">
        <v>635.00758629384381</v>
      </c>
      <c r="V16" s="258">
        <v>578.70850887805011</v>
      </c>
      <c r="W16" s="258">
        <v>555.83039525672518</v>
      </c>
      <c r="DA16" s="273" t="s">
        <v>1044</v>
      </c>
    </row>
    <row r="17" spans="1:105" x14ac:dyDescent="0.25">
      <c r="A17" s="257" t="s">
        <v>121</v>
      </c>
      <c r="B17" s="258">
        <f>SUM(B18:B24)</f>
        <v>1255.3198444423897</v>
      </c>
      <c r="C17" s="258">
        <f t="shared" ref="C17:W17" si="2">SUM(C18:C24)</f>
        <v>1157.8822985401093</v>
      </c>
      <c r="D17" s="258">
        <f t="shared" si="2"/>
        <v>949.15466956047442</v>
      </c>
      <c r="E17" s="258">
        <f t="shared" si="2"/>
        <v>1329.6185788501471</v>
      </c>
      <c r="F17" s="258">
        <f t="shared" si="2"/>
        <v>1464.0929534271515</v>
      </c>
      <c r="G17" s="258">
        <f t="shared" si="2"/>
        <v>1380.3572962108162</v>
      </c>
      <c r="H17" s="258">
        <f t="shared" si="2"/>
        <v>1173.7756337424266</v>
      </c>
      <c r="I17" s="258">
        <f t="shared" si="2"/>
        <v>1005.079177064174</v>
      </c>
      <c r="J17" s="258">
        <f t="shared" si="2"/>
        <v>937.12347087047112</v>
      </c>
      <c r="K17" s="258">
        <f t="shared" si="2"/>
        <v>859.30395162290415</v>
      </c>
      <c r="L17" s="258">
        <f t="shared" si="2"/>
        <v>852.50949993872177</v>
      </c>
      <c r="M17" s="258">
        <f t="shared" si="2"/>
        <v>763.54016786491798</v>
      </c>
      <c r="N17" s="258">
        <f t="shared" si="2"/>
        <v>754.74685017060438</v>
      </c>
      <c r="O17" s="258">
        <f t="shared" si="2"/>
        <v>807.89638906858204</v>
      </c>
      <c r="P17" s="258">
        <f t="shared" si="2"/>
        <v>684.42472010733945</v>
      </c>
      <c r="Q17" s="258">
        <f t="shared" si="2"/>
        <v>705.06400339765605</v>
      </c>
      <c r="R17" s="258">
        <f t="shared" si="2"/>
        <v>765.97955886396664</v>
      </c>
      <c r="S17" s="258">
        <f t="shared" si="2"/>
        <v>799.24162468078521</v>
      </c>
      <c r="T17" s="258">
        <f t="shared" si="2"/>
        <v>799.34765300685331</v>
      </c>
      <c r="U17" s="258">
        <f t="shared" si="2"/>
        <v>908.14024895886905</v>
      </c>
      <c r="V17" s="258">
        <f t="shared" si="2"/>
        <v>845.08264044451732</v>
      </c>
      <c r="W17" s="258">
        <f t="shared" si="2"/>
        <v>879.11863811912144</v>
      </c>
      <c r="DA17" s="273"/>
    </row>
    <row r="18" spans="1:105" x14ac:dyDescent="0.25">
      <c r="A18" s="61" t="s">
        <v>29</v>
      </c>
      <c r="B18" s="55">
        <v>0</v>
      </c>
      <c r="C18" s="55">
        <v>0</v>
      </c>
      <c r="D18" s="55">
        <v>71.09797727989141</v>
      </c>
      <c r="E18" s="55">
        <v>69.146990879942379</v>
      </c>
      <c r="F18" s="55">
        <v>69.293093759922016</v>
      </c>
      <c r="G18" s="55">
        <v>69.293093759941996</v>
      </c>
      <c r="H18" s="55">
        <v>69.293093759917824</v>
      </c>
      <c r="I18" s="55">
        <v>101.4647356798917</v>
      </c>
      <c r="J18" s="55">
        <v>131.1614726399005</v>
      </c>
      <c r="K18" s="55">
        <v>86.616013439861376</v>
      </c>
      <c r="L18" s="55">
        <v>49.494915359965113</v>
      </c>
      <c r="M18" s="55">
        <v>22.27272959998119</v>
      </c>
      <c r="N18" s="55">
        <v>26.248284479968952</v>
      </c>
      <c r="O18" s="55">
        <v>33.518759999975671</v>
      </c>
      <c r="P18" s="55">
        <v>34.721543999960403</v>
      </c>
      <c r="Q18" s="55">
        <v>55.721431920079482</v>
      </c>
      <c r="R18" s="55">
        <v>63.73409592010043</v>
      </c>
      <c r="S18" s="55">
        <v>64.802451119921713</v>
      </c>
      <c r="T18" s="55">
        <v>62.332665120042542</v>
      </c>
      <c r="U18" s="55">
        <v>50.883243839968387</v>
      </c>
      <c r="V18" s="55">
        <v>39.782424000029927</v>
      </c>
      <c r="W18" s="55">
        <v>40.479708719969537</v>
      </c>
      <c r="DA18" s="101" t="s">
        <v>1045</v>
      </c>
    </row>
    <row r="19" spans="1:105" x14ac:dyDescent="0.25">
      <c r="A19" s="61" t="s">
        <v>27</v>
      </c>
      <c r="B19" s="55">
        <v>0</v>
      </c>
      <c r="C19" s="55">
        <v>2.9026504799975261</v>
      </c>
      <c r="D19" s="55">
        <v>0</v>
      </c>
      <c r="E19" s="55">
        <v>0</v>
      </c>
      <c r="F19" s="55">
        <v>0</v>
      </c>
      <c r="G19" s="55">
        <v>0</v>
      </c>
      <c r="H19" s="55">
        <v>0</v>
      </c>
      <c r="I19" s="55">
        <v>0</v>
      </c>
      <c r="J19" s="55">
        <v>0</v>
      </c>
      <c r="K19" s="55">
        <v>0</v>
      </c>
      <c r="L19" s="55">
        <v>0</v>
      </c>
      <c r="M19" s="55">
        <v>0</v>
      </c>
      <c r="N19" s="55">
        <v>2.902650479996566</v>
      </c>
      <c r="O19" s="55">
        <v>2.9026504799978921</v>
      </c>
      <c r="P19" s="55">
        <v>2.9026504799966881</v>
      </c>
      <c r="Q19" s="55">
        <v>2.9026504800041399</v>
      </c>
      <c r="R19" s="55">
        <v>2.902650480004572</v>
      </c>
      <c r="S19" s="55">
        <v>2.612339999996844</v>
      </c>
      <c r="T19" s="55">
        <v>3.1929609600021789</v>
      </c>
      <c r="U19" s="55">
        <v>6.0953842799962104</v>
      </c>
      <c r="V19" s="55">
        <v>6.2677987200047189</v>
      </c>
      <c r="W19" s="55">
        <v>8.3569892399937125</v>
      </c>
      <c r="DA19" s="101" t="s">
        <v>1046</v>
      </c>
    </row>
    <row r="20" spans="1:105" x14ac:dyDescent="0.25">
      <c r="A20" s="61" t="s">
        <v>173</v>
      </c>
      <c r="B20" s="55">
        <v>331.74361724317708</v>
      </c>
      <c r="C20" s="55">
        <v>371.07816198077978</v>
      </c>
      <c r="D20" s="55">
        <v>357.19459828137832</v>
      </c>
      <c r="E20" s="55">
        <v>340.20416433097131</v>
      </c>
      <c r="F20" s="55">
        <v>362.67308996464601</v>
      </c>
      <c r="G20" s="55">
        <v>386.32029442908163</v>
      </c>
      <c r="H20" s="55">
        <v>346.22593474991879</v>
      </c>
      <c r="I20" s="55">
        <v>275.46140565819911</v>
      </c>
      <c r="J20" s="55">
        <v>456.1840755189296</v>
      </c>
      <c r="K20" s="55">
        <v>359.41410175167738</v>
      </c>
      <c r="L20" s="55">
        <v>441.84371107451858</v>
      </c>
      <c r="M20" s="55">
        <v>376.12252322171997</v>
      </c>
      <c r="N20" s="55">
        <v>361.11285458153628</v>
      </c>
      <c r="O20" s="55">
        <v>381.10813705942149</v>
      </c>
      <c r="P20" s="55">
        <v>310.77372368192181</v>
      </c>
      <c r="Q20" s="55">
        <v>251.7962020710292</v>
      </c>
      <c r="R20" s="55">
        <v>278.37054592713088</v>
      </c>
      <c r="S20" s="55">
        <v>264.90993208624002</v>
      </c>
      <c r="T20" s="55">
        <v>245.82106004262579</v>
      </c>
      <c r="U20" s="55">
        <v>321.55409691443299</v>
      </c>
      <c r="V20" s="55">
        <v>256.45994310537958</v>
      </c>
      <c r="W20" s="55">
        <v>198.7453997829767</v>
      </c>
      <c r="DA20" s="101" t="s">
        <v>1047</v>
      </c>
    </row>
    <row r="21" spans="1:105" x14ac:dyDescent="0.25">
      <c r="A21" s="61" t="s">
        <v>129</v>
      </c>
      <c r="B21" s="55">
        <v>923.57622719921255</v>
      </c>
      <c r="C21" s="55">
        <v>783.9014860793319</v>
      </c>
      <c r="D21" s="55">
        <v>520.86209399920472</v>
      </c>
      <c r="E21" s="55">
        <v>920.26742363923347</v>
      </c>
      <c r="F21" s="55">
        <v>839.76726743905522</v>
      </c>
      <c r="G21" s="55">
        <v>734.51609891938506</v>
      </c>
      <c r="H21" s="55">
        <v>582.82073207930887</v>
      </c>
      <c r="I21" s="55">
        <v>496.13276303947049</v>
      </c>
      <c r="J21" s="55">
        <v>217.4883789598351</v>
      </c>
      <c r="K21" s="55">
        <v>231.07906943963019</v>
      </c>
      <c r="L21" s="55">
        <v>76.292117639946227</v>
      </c>
      <c r="M21" s="55">
        <v>78.782492159933469</v>
      </c>
      <c r="N21" s="55">
        <v>44.735063399947087</v>
      </c>
      <c r="O21" s="55">
        <v>40.728625919970433</v>
      </c>
      <c r="P21" s="55">
        <v>40.423511879953899</v>
      </c>
      <c r="Q21" s="55">
        <v>49.698784440070909</v>
      </c>
      <c r="R21" s="55">
        <v>48.174212160075889</v>
      </c>
      <c r="S21" s="55">
        <v>47.248133399942922</v>
      </c>
      <c r="T21" s="55">
        <v>44.774917200030551</v>
      </c>
      <c r="U21" s="55">
        <v>43.576174439972931</v>
      </c>
      <c r="V21" s="55">
        <v>38.461796640028957</v>
      </c>
      <c r="W21" s="55">
        <v>36.882803159972262</v>
      </c>
      <c r="DA21" s="101" t="s">
        <v>1048</v>
      </c>
    </row>
    <row r="22" spans="1:105" x14ac:dyDescent="0.25">
      <c r="A22" s="61" t="s">
        <v>176</v>
      </c>
      <c r="B22" s="55">
        <v>0</v>
      </c>
      <c r="C22" s="55">
        <v>0</v>
      </c>
      <c r="D22" s="55">
        <v>0</v>
      </c>
      <c r="E22" s="55">
        <v>0</v>
      </c>
      <c r="F22" s="55">
        <v>192.3595022635283</v>
      </c>
      <c r="G22" s="55">
        <v>190.22780910240741</v>
      </c>
      <c r="H22" s="55">
        <v>175.43587315328111</v>
      </c>
      <c r="I22" s="55">
        <v>132.0202726866128</v>
      </c>
      <c r="J22" s="55">
        <v>132.28954375180589</v>
      </c>
      <c r="K22" s="55">
        <v>182.19476699173509</v>
      </c>
      <c r="L22" s="55">
        <v>284.8787558642918</v>
      </c>
      <c r="M22" s="55">
        <v>286.36242288328327</v>
      </c>
      <c r="N22" s="55">
        <v>319.74799722915549</v>
      </c>
      <c r="O22" s="55">
        <v>349.6382156092165</v>
      </c>
      <c r="P22" s="55">
        <v>295.60329006550671</v>
      </c>
      <c r="Q22" s="55">
        <v>344.94493448647239</v>
      </c>
      <c r="R22" s="55">
        <v>372.79805437665487</v>
      </c>
      <c r="S22" s="55">
        <v>419.66876807468373</v>
      </c>
      <c r="T22" s="55">
        <v>443.22604968415231</v>
      </c>
      <c r="U22" s="55">
        <v>486.03134948449861</v>
      </c>
      <c r="V22" s="55">
        <v>504.11067797907413</v>
      </c>
      <c r="W22" s="55">
        <v>593.22362281621031</v>
      </c>
      <c r="DA22" s="101" t="s">
        <v>1049</v>
      </c>
    </row>
    <row r="23" spans="1:105" x14ac:dyDescent="0.25">
      <c r="A23" s="61" t="s">
        <v>171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1.4301143999989241</v>
      </c>
      <c r="DA23" s="101" t="s">
        <v>1050</v>
      </c>
    </row>
    <row r="24" spans="1:105" x14ac:dyDescent="0.25">
      <c r="A24" s="61" t="s">
        <v>158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1" t="s">
        <v>1051</v>
      </c>
    </row>
    <row r="25" spans="1:105" x14ac:dyDescent="0.25">
      <c r="A25" s="257" t="s">
        <v>174</v>
      </c>
      <c r="B25" s="258">
        <v>116.0673243507313</v>
      </c>
      <c r="C25" s="258">
        <v>114.677221288407</v>
      </c>
      <c r="D25" s="258">
        <v>98.006313326868877</v>
      </c>
      <c r="E25" s="258">
        <v>120.31891573707</v>
      </c>
      <c r="F25" s="258">
        <v>143.4999572578846</v>
      </c>
      <c r="G25" s="258">
        <v>140.92231219917349</v>
      </c>
      <c r="H25" s="258">
        <v>122.48568056015969</v>
      </c>
      <c r="I25" s="258">
        <v>102.8284723127661</v>
      </c>
      <c r="J25" s="258">
        <v>115.7867593536655</v>
      </c>
      <c r="K25" s="258">
        <v>107.3678257639304</v>
      </c>
      <c r="L25" s="258">
        <v>120.8770639323257</v>
      </c>
      <c r="M25" s="258">
        <v>107.2303406516165</v>
      </c>
      <c r="N25" s="258">
        <v>108.1644361488448</v>
      </c>
      <c r="O25" s="258">
        <v>117.3023909645332</v>
      </c>
      <c r="P25" s="258">
        <v>99.341890974575833</v>
      </c>
      <c r="Q25" s="258">
        <v>96.870528261466276</v>
      </c>
      <c r="R25" s="258">
        <v>104.52411244445641</v>
      </c>
      <c r="S25" s="258">
        <v>106.353753702687</v>
      </c>
      <c r="T25" s="258">
        <v>104.49690084248149</v>
      </c>
      <c r="U25" s="258">
        <v>122.0219996850914</v>
      </c>
      <c r="V25" s="258">
        <v>111.2036627786059</v>
      </c>
      <c r="W25" s="258">
        <v>106.8074425863561</v>
      </c>
      <c r="DA25" s="273" t="s">
        <v>1052</v>
      </c>
    </row>
    <row r="26" spans="1:105" x14ac:dyDescent="0.25">
      <c r="A26" s="257" t="s">
        <v>177</v>
      </c>
      <c r="B26" s="258">
        <v>0</v>
      </c>
      <c r="C26" s="258">
        <v>0</v>
      </c>
      <c r="D26" s="258">
        <v>0</v>
      </c>
      <c r="E26" s="258">
        <v>0</v>
      </c>
      <c r="F26" s="258">
        <v>0</v>
      </c>
      <c r="G26" s="258">
        <v>0</v>
      </c>
      <c r="H26" s="258">
        <v>0</v>
      </c>
      <c r="I26" s="258">
        <v>0</v>
      </c>
      <c r="J26" s="258">
        <v>0</v>
      </c>
      <c r="K26" s="258">
        <v>0</v>
      </c>
      <c r="L26" s="258">
        <v>0</v>
      </c>
      <c r="M26" s="258">
        <v>0</v>
      </c>
      <c r="N26" s="258">
        <v>0</v>
      </c>
      <c r="O26" s="258">
        <v>0</v>
      </c>
      <c r="P26" s="258">
        <v>0</v>
      </c>
      <c r="Q26" s="258">
        <v>0</v>
      </c>
      <c r="R26" s="258">
        <v>0</v>
      </c>
      <c r="S26" s="258">
        <v>0</v>
      </c>
      <c r="T26" s="258">
        <v>0</v>
      </c>
      <c r="U26" s="258">
        <v>0</v>
      </c>
      <c r="V26" s="258">
        <v>0</v>
      </c>
      <c r="W26" s="258">
        <v>0</v>
      </c>
      <c r="DA26" s="273" t="s">
        <v>1053</v>
      </c>
    </row>
    <row r="27" spans="1:105" x14ac:dyDescent="0.25">
      <c r="A27" s="129" t="s">
        <v>33</v>
      </c>
      <c r="B27" s="259">
        <v>0</v>
      </c>
      <c r="C27" s="259">
        <v>0</v>
      </c>
      <c r="D27" s="259">
        <v>0</v>
      </c>
      <c r="E27" s="259">
        <v>0</v>
      </c>
      <c r="F27" s="259">
        <v>0</v>
      </c>
      <c r="G27" s="259">
        <v>0</v>
      </c>
      <c r="H27" s="259">
        <v>0</v>
      </c>
      <c r="I27" s="259">
        <v>0</v>
      </c>
      <c r="J27" s="259">
        <v>0</v>
      </c>
      <c r="K27" s="259">
        <v>0</v>
      </c>
      <c r="L27" s="259">
        <v>0</v>
      </c>
      <c r="M27" s="259">
        <v>0</v>
      </c>
      <c r="N27" s="259">
        <v>0</v>
      </c>
      <c r="O27" s="259">
        <v>0</v>
      </c>
      <c r="P27" s="259">
        <v>0</v>
      </c>
      <c r="Q27" s="259">
        <v>0</v>
      </c>
      <c r="R27" s="259">
        <v>0</v>
      </c>
      <c r="S27" s="259">
        <v>0</v>
      </c>
      <c r="T27" s="259">
        <v>0</v>
      </c>
      <c r="U27" s="259">
        <v>0</v>
      </c>
      <c r="V27" s="259">
        <v>0</v>
      </c>
      <c r="W27" s="259">
        <v>0</v>
      </c>
      <c r="DA27" s="274" t="s">
        <v>1054</v>
      </c>
    </row>
    <row r="29" spans="1:105" ht="12.75" x14ac:dyDescent="0.25">
      <c r="A29" s="233" t="s">
        <v>135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3">SUM(B32:B40)</f>
        <v>1</v>
      </c>
      <c r="C31" s="236">
        <f t="shared" si="3"/>
        <v>1</v>
      </c>
      <c r="D31" s="236">
        <f t="shared" si="3"/>
        <v>1</v>
      </c>
      <c r="E31" s="236">
        <f t="shared" si="3"/>
        <v>1</v>
      </c>
      <c r="F31" s="236">
        <f t="shared" si="3"/>
        <v>1.0000000000000002</v>
      </c>
      <c r="G31" s="236">
        <f t="shared" si="3"/>
        <v>1</v>
      </c>
      <c r="H31" s="236">
        <f t="shared" si="3"/>
        <v>1</v>
      </c>
      <c r="I31" s="236">
        <f t="shared" si="3"/>
        <v>1</v>
      </c>
      <c r="J31" s="236">
        <f t="shared" si="3"/>
        <v>1</v>
      </c>
      <c r="K31" s="236">
        <f t="shared" si="3"/>
        <v>1</v>
      </c>
      <c r="L31" s="236">
        <f t="shared" si="3"/>
        <v>1</v>
      </c>
      <c r="M31" s="236">
        <f t="shared" si="3"/>
        <v>1</v>
      </c>
      <c r="N31" s="236">
        <f t="shared" si="3"/>
        <v>0.99999999999999989</v>
      </c>
      <c r="O31" s="236">
        <f t="shared" si="3"/>
        <v>1</v>
      </c>
      <c r="P31" s="236">
        <f t="shared" si="3"/>
        <v>1</v>
      </c>
      <c r="Q31" s="236">
        <f t="shared" si="3"/>
        <v>1</v>
      </c>
      <c r="R31" s="236">
        <f t="shared" ref="R31:W31" si="4">SUM(R32:R40)</f>
        <v>1</v>
      </c>
      <c r="S31" s="236">
        <f t="shared" si="4"/>
        <v>1</v>
      </c>
      <c r="T31" s="236">
        <f t="shared" si="4"/>
        <v>1</v>
      </c>
      <c r="U31" s="236">
        <f t="shared" si="4"/>
        <v>1</v>
      </c>
      <c r="V31" s="236">
        <f t="shared" si="4"/>
        <v>1</v>
      </c>
      <c r="W31" s="236">
        <f t="shared" si="4"/>
        <v>1</v>
      </c>
      <c r="DA31" s="275"/>
    </row>
    <row r="32" spans="1:105" x14ac:dyDescent="0.25">
      <c r="A32" s="239" t="s">
        <v>125</v>
      </c>
      <c r="B32" s="245">
        <f t="shared" ref="B32:W32" si="5">IF(B$6=0,0,B$6/B$5)</f>
        <v>0</v>
      </c>
      <c r="C32" s="245">
        <f t="shared" si="5"/>
        <v>0</v>
      </c>
      <c r="D32" s="245">
        <f t="shared" si="5"/>
        <v>0</v>
      </c>
      <c r="E32" s="245">
        <f t="shared" si="5"/>
        <v>0</v>
      </c>
      <c r="F32" s="245">
        <f t="shared" si="5"/>
        <v>0</v>
      </c>
      <c r="G32" s="245">
        <f t="shared" si="5"/>
        <v>0</v>
      </c>
      <c r="H32" s="245">
        <f t="shared" si="5"/>
        <v>0</v>
      </c>
      <c r="I32" s="245">
        <f t="shared" si="5"/>
        <v>0</v>
      </c>
      <c r="J32" s="245">
        <f t="shared" si="5"/>
        <v>0</v>
      </c>
      <c r="K32" s="245">
        <f t="shared" si="5"/>
        <v>0</v>
      </c>
      <c r="L32" s="245">
        <f t="shared" si="5"/>
        <v>0</v>
      </c>
      <c r="M32" s="245">
        <f t="shared" si="5"/>
        <v>0</v>
      </c>
      <c r="N32" s="245">
        <f t="shared" si="5"/>
        <v>0</v>
      </c>
      <c r="O32" s="245">
        <f t="shared" si="5"/>
        <v>0</v>
      </c>
      <c r="P32" s="245">
        <f t="shared" si="5"/>
        <v>0</v>
      </c>
      <c r="Q32" s="245">
        <f t="shared" si="5"/>
        <v>0</v>
      </c>
      <c r="R32" s="245">
        <f t="shared" si="5"/>
        <v>0</v>
      </c>
      <c r="S32" s="245">
        <f t="shared" si="5"/>
        <v>0</v>
      </c>
      <c r="T32" s="245">
        <f t="shared" si="5"/>
        <v>0</v>
      </c>
      <c r="U32" s="245">
        <f t="shared" si="5"/>
        <v>0</v>
      </c>
      <c r="V32" s="245">
        <f t="shared" si="5"/>
        <v>0</v>
      </c>
      <c r="W32" s="245">
        <f t="shared" si="5"/>
        <v>0</v>
      </c>
      <c r="DA32" s="276"/>
    </row>
    <row r="33" spans="1:105" x14ac:dyDescent="0.25">
      <c r="A33" s="241" t="s">
        <v>124</v>
      </c>
      <c r="B33" s="246">
        <f t="shared" ref="B33:W33" si="6">IF(B$7=0,0,B$7/B$5)</f>
        <v>0</v>
      </c>
      <c r="C33" s="246">
        <f t="shared" si="6"/>
        <v>0</v>
      </c>
      <c r="D33" s="246">
        <f t="shared" si="6"/>
        <v>0</v>
      </c>
      <c r="E33" s="246">
        <f t="shared" si="6"/>
        <v>0</v>
      </c>
      <c r="F33" s="246">
        <f t="shared" si="6"/>
        <v>0</v>
      </c>
      <c r="G33" s="246">
        <f t="shared" si="6"/>
        <v>0</v>
      </c>
      <c r="H33" s="246">
        <f t="shared" si="6"/>
        <v>0</v>
      </c>
      <c r="I33" s="246">
        <f t="shared" si="6"/>
        <v>0</v>
      </c>
      <c r="J33" s="246">
        <f t="shared" si="6"/>
        <v>0</v>
      </c>
      <c r="K33" s="246">
        <f t="shared" si="6"/>
        <v>0</v>
      </c>
      <c r="L33" s="246">
        <f t="shared" si="6"/>
        <v>0</v>
      </c>
      <c r="M33" s="246">
        <f t="shared" si="6"/>
        <v>0</v>
      </c>
      <c r="N33" s="246">
        <f t="shared" si="6"/>
        <v>0</v>
      </c>
      <c r="O33" s="246">
        <f t="shared" si="6"/>
        <v>0</v>
      </c>
      <c r="P33" s="246">
        <f t="shared" si="6"/>
        <v>0</v>
      </c>
      <c r="Q33" s="246">
        <f t="shared" si="6"/>
        <v>0</v>
      </c>
      <c r="R33" s="246">
        <f t="shared" si="6"/>
        <v>0</v>
      </c>
      <c r="S33" s="246">
        <f t="shared" si="6"/>
        <v>0</v>
      </c>
      <c r="T33" s="246">
        <f t="shared" si="6"/>
        <v>0</v>
      </c>
      <c r="U33" s="246">
        <f t="shared" si="6"/>
        <v>0</v>
      </c>
      <c r="V33" s="246">
        <f t="shared" si="6"/>
        <v>0</v>
      </c>
      <c r="W33" s="246">
        <f t="shared" si="6"/>
        <v>0</v>
      </c>
      <c r="DA33" s="277"/>
    </row>
    <row r="34" spans="1:105" x14ac:dyDescent="0.25">
      <c r="A34" s="241" t="s">
        <v>123</v>
      </c>
      <c r="B34" s="246">
        <f t="shared" ref="B34:W34" si="7">IF(B$8=0,0,B$8/B$5)</f>
        <v>0</v>
      </c>
      <c r="C34" s="246">
        <f t="shared" si="7"/>
        <v>0</v>
      </c>
      <c r="D34" s="246">
        <f t="shared" si="7"/>
        <v>0</v>
      </c>
      <c r="E34" s="246">
        <f t="shared" si="7"/>
        <v>0</v>
      </c>
      <c r="F34" s="246">
        <f t="shared" si="7"/>
        <v>0</v>
      </c>
      <c r="G34" s="246">
        <f t="shared" si="7"/>
        <v>0</v>
      </c>
      <c r="H34" s="246">
        <f t="shared" si="7"/>
        <v>0</v>
      </c>
      <c r="I34" s="246">
        <f t="shared" si="7"/>
        <v>0</v>
      </c>
      <c r="J34" s="246">
        <f t="shared" si="7"/>
        <v>0</v>
      </c>
      <c r="K34" s="246">
        <f t="shared" si="7"/>
        <v>0</v>
      </c>
      <c r="L34" s="246">
        <f t="shared" si="7"/>
        <v>0</v>
      </c>
      <c r="M34" s="246">
        <f t="shared" si="7"/>
        <v>0</v>
      </c>
      <c r="N34" s="246">
        <f t="shared" si="7"/>
        <v>0</v>
      </c>
      <c r="O34" s="246">
        <f t="shared" si="7"/>
        <v>0</v>
      </c>
      <c r="P34" s="246">
        <f t="shared" si="7"/>
        <v>0</v>
      </c>
      <c r="Q34" s="246">
        <f t="shared" si="7"/>
        <v>0</v>
      </c>
      <c r="R34" s="246">
        <f t="shared" si="7"/>
        <v>0</v>
      </c>
      <c r="S34" s="246">
        <f t="shared" si="7"/>
        <v>0</v>
      </c>
      <c r="T34" s="246">
        <f t="shared" si="7"/>
        <v>0</v>
      </c>
      <c r="U34" s="246">
        <f t="shared" si="7"/>
        <v>0</v>
      </c>
      <c r="V34" s="246">
        <f t="shared" si="7"/>
        <v>0</v>
      </c>
      <c r="W34" s="246">
        <f t="shared" si="7"/>
        <v>0</v>
      </c>
      <c r="DA34" s="277"/>
    </row>
    <row r="35" spans="1:105" x14ac:dyDescent="0.25">
      <c r="A35" s="243" t="s">
        <v>122</v>
      </c>
      <c r="B35" s="247">
        <f t="shared" ref="B35:W35" si="8">IF(B$9=0,0,B$9/B$5)</f>
        <v>0.18366006211430144</v>
      </c>
      <c r="C35" s="247">
        <f t="shared" si="8"/>
        <v>0.19016897502214272</v>
      </c>
      <c r="D35" s="247">
        <f t="shared" si="8"/>
        <v>0.19332626206358355</v>
      </c>
      <c r="E35" s="247">
        <f t="shared" si="8"/>
        <v>0.18141298226828101</v>
      </c>
      <c r="F35" s="247">
        <f t="shared" si="8"/>
        <v>0.18288217529354422</v>
      </c>
      <c r="G35" s="247">
        <f t="shared" si="8"/>
        <v>0.18640571668320338</v>
      </c>
      <c r="H35" s="247">
        <f t="shared" si="8"/>
        <v>0.1871191681290755</v>
      </c>
      <c r="I35" s="247">
        <f t="shared" si="8"/>
        <v>0.17885474065058712</v>
      </c>
      <c r="J35" s="247">
        <f t="shared" si="8"/>
        <v>0.1908996792647388</v>
      </c>
      <c r="K35" s="247">
        <f t="shared" si="8"/>
        <v>0.18319421224502941</v>
      </c>
      <c r="L35" s="247">
        <f t="shared" si="8"/>
        <v>0.19330557059011161</v>
      </c>
      <c r="M35" s="247">
        <f t="shared" si="8"/>
        <v>0.19259684543293343</v>
      </c>
      <c r="N35" s="247">
        <f t="shared" si="8"/>
        <v>0.19442627345933119</v>
      </c>
      <c r="O35" s="247">
        <f t="shared" si="8"/>
        <v>0.19973767727097155</v>
      </c>
      <c r="P35" s="247">
        <f t="shared" si="8"/>
        <v>0.19268617751193745</v>
      </c>
      <c r="Q35" s="247">
        <f t="shared" si="8"/>
        <v>0.18922817340326212</v>
      </c>
      <c r="R35" s="247">
        <f t="shared" si="8"/>
        <v>0.19018078986860623</v>
      </c>
      <c r="S35" s="247">
        <f t="shared" si="8"/>
        <v>0.19690153508398497</v>
      </c>
      <c r="T35" s="247">
        <f t="shared" si="8"/>
        <v>0.19507124726645625</v>
      </c>
      <c r="U35" s="247">
        <f t="shared" si="8"/>
        <v>0.19879648861663007</v>
      </c>
      <c r="V35" s="247">
        <f t="shared" si="8"/>
        <v>0.19990738344046174</v>
      </c>
      <c r="W35" s="247">
        <f t="shared" si="8"/>
        <v>0.21093481848310028</v>
      </c>
      <c r="DA35" s="278"/>
    </row>
    <row r="36" spans="1:105" x14ac:dyDescent="0.25">
      <c r="A36" s="128" t="s">
        <v>175</v>
      </c>
      <c r="B36" s="260">
        <f t="shared" ref="B36:W36" si="9">IF(B$16=0,0,B$16/B$5)</f>
        <v>0.24961193198192919</v>
      </c>
      <c r="C36" s="260">
        <f t="shared" si="9"/>
        <v>0.25853716748335209</v>
      </c>
      <c r="D36" s="260">
        <f t="shared" si="9"/>
        <v>0.26421116093000652</v>
      </c>
      <c r="E36" s="260">
        <f t="shared" si="9"/>
        <v>0.2468851689405949</v>
      </c>
      <c r="F36" s="260">
        <f t="shared" si="9"/>
        <v>0.25918031970563998</v>
      </c>
      <c r="G36" s="260">
        <f t="shared" si="9"/>
        <v>0.26463678583243744</v>
      </c>
      <c r="H36" s="260">
        <f t="shared" si="9"/>
        <v>0.26795874971130534</v>
      </c>
      <c r="I36" s="260">
        <f t="shared" si="9"/>
        <v>0.26744119743999828</v>
      </c>
      <c r="J36" s="260">
        <f t="shared" si="9"/>
        <v>0.29449701675848761</v>
      </c>
      <c r="K36" s="260">
        <f t="shared" si="9"/>
        <v>0.29918840026455529</v>
      </c>
      <c r="L36" s="260">
        <f t="shared" si="9"/>
        <v>0.31667449165308209</v>
      </c>
      <c r="M36" s="260">
        <f t="shared" si="9"/>
        <v>0.31533846577563418</v>
      </c>
      <c r="N36" s="260">
        <f t="shared" si="9"/>
        <v>0.31803203891870757</v>
      </c>
      <c r="O36" s="260">
        <f t="shared" si="9"/>
        <v>0.3181186190346908</v>
      </c>
      <c r="P36" s="260">
        <f t="shared" si="9"/>
        <v>0.32086555635762964</v>
      </c>
      <c r="Q36" s="260">
        <f t="shared" si="9"/>
        <v>0.31294668481236548</v>
      </c>
      <c r="R36" s="260">
        <f t="shared" si="9"/>
        <v>0.31142772409449443</v>
      </c>
      <c r="S36" s="260">
        <f t="shared" si="9"/>
        <v>0.30464063131888619</v>
      </c>
      <c r="T36" s="260">
        <f t="shared" si="9"/>
        <v>0.30236938360848076</v>
      </c>
      <c r="U36" s="260">
        <f t="shared" si="9"/>
        <v>0.30553658685073948</v>
      </c>
      <c r="V36" s="260">
        <f t="shared" si="9"/>
        <v>0.30164297719006866</v>
      </c>
      <c r="W36" s="260">
        <f t="shared" si="9"/>
        <v>0.28447191146198259</v>
      </c>
      <c r="DA36" s="279"/>
    </row>
    <row r="37" spans="1:105" x14ac:dyDescent="0.25">
      <c r="A37" s="128" t="s">
        <v>121</v>
      </c>
      <c r="B37" s="260">
        <f t="shared" ref="B37:W37" si="10">IF(B$17=0,0,B$17/B$5)</f>
        <v>0.51876299297619188</v>
      </c>
      <c r="C37" s="260">
        <f t="shared" si="10"/>
        <v>0.50161378618486918</v>
      </c>
      <c r="D37" s="260">
        <f t="shared" si="10"/>
        <v>0.49169220057049712</v>
      </c>
      <c r="E37" s="260">
        <f t="shared" si="10"/>
        <v>0.52426080610603287</v>
      </c>
      <c r="F37" s="260">
        <f t="shared" si="10"/>
        <v>0.50813384663181349</v>
      </c>
      <c r="G37" s="260">
        <f t="shared" si="10"/>
        <v>0.49810533367640319</v>
      </c>
      <c r="H37" s="260">
        <f t="shared" si="10"/>
        <v>0.49343157530800458</v>
      </c>
      <c r="I37" s="260">
        <f t="shared" si="10"/>
        <v>0.50231300703987014</v>
      </c>
      <c r="J37" s="260">
        <f t="shared" si="10"/>
        <v>0.45801324794941789</v>
      </c>
      <c r="K37" s="260">
        <f t="shared" si="10"/>
        <v>0.46012584302566778</v>
      </c>
      <c r="L37" s="260">
        <f t="shared" si="10"/>
        <v>0.42916829510747267</v>
      </c>
      <c r="M37" s="260">
        <f t="shared" si="10"/>
        <v>0.4314697746485231</v>
      </c>
      <c r="N37" s="260">
        <f t="shared" si="10"/>
        <v>0.42642918095211185</v>
      </c>
      <c r="O37" s="260">
        <f t="shared" si="10"/>
        <v>0.42101455993366721</v>
      </c>
      <c r="P37" s="260">
        <f t="shared" si="10"/>
        <v>0.42479127547093892</v>
      </c>
      <c r="Q37" s="260">
        <f t="shared" si="10"/>
        <v>0.43768982828600034</v>
      </c>
      <c r="R37" s="260">
        <f t="shared" si="10"/>
        <v>0.4385480534990675</v>
      </c>
      <c r="S37" s="260">
        <f t="shared" si="10"/>
        <v>0.43991859749789619</v>
      </c>
      <c r="T37" s="260">
        <f t="shared" si="10"/>
        <v>0.44445657220133911</v>
      </c>
      <c r="U37" s="260">
        <f t="shared" si="10"/>
        <v>0.43695552311130498</v>
      </c>
      <c r="V37" s="260">
        <f t="shared" si="10"/>
        <v>0.44048642749271516</v>
      </c>
      <c r="W37" s="260">
        <f t="shared" si="10"/>
        <v>0.44992962155675775</v>
      </c>
      <c r="DA37" s="279"/>
    </row>
    <row r="38" spans="1:105" x14ac:dyDescent="0.25">
      <c r="A38" s="128" t="s">
        <v>174</v>
      </c>
      <c r="B38" s="260">
        <f t="shared" ref="B38:W38" si="11">IF(B$25=0,0,B$25/B$5)</f>
        <v>4.7965012927577502E-2</v>
      </c>
      <c r="C38" s="260">
        <f t="shared" si="11"/>
        <v>4.9680071309636038E-2</v>
      </c>
      <c r="D38" s="260">
        <f t="shared" si="11"/>
        <v>5.0770376435912888E-2</v>
      </c>
      <c r="E38" s="260">
        <f t="shared" si="11"/>
        <v>4.744104268509123E-2</v>
      </c>
      <c r="F38" s="260">
        <f t="shared" si="11"/>
        <v>4.9803658369002489E-2</v>
      </c>
      <c r="G38" s="260">
        <f t="shared" si="11"/>
        <v>5.085216380795593E-2</v>
      </c>
      <c r="H38" s="260">
        <f t="shared" si="11"/>
        <v>5.1490506851614548E-2</v>
      </c>
      <c r="I38" s="260">
        <f t="shared" si="11"/>
        <v>5.139105486954447E-2</v>
      </c>
      <c r="J38" s="260">
        <f t="shared" si="11"/>
        <v>5.659005602735568E-2</v>
      </c>
      <c r="K38" s="260">
        <f t="shared" si="11"/>
        <v>5.7491544464747565E-2</v>
      </c>
      <c r="L38" s="260">
        <f t="shared" si="11"/>
        <v>6.0851642649333619E-2</v>
      </c>
      <c r="M38" s="260">
        <f t="shared" si="11"/>
        <v>6.0594914142909399E-2</v>
      </c>
      <c r="N38" s="260">
        <f t="shared" si="11"/>
        <v>6.1112506669849402E-2</v>
      </c>
      <c r="O38" s="260">
        <f t="shared" si="11"/>
        <v>6.1129143760670482E-2</v>
      </c>
      <c r="P38" s="260">
        <f t="shared" si="11"/>
        <v>6.1656990659493996E-2</v>
      </c>
      <c r="Q38" s="260">
        <f t="shared" si="11"/>
        <v>6.0135313498372069E-2</v>
      </c>
      <c r="R38" s="260">
        <f t="shared" si="11"/>
        <v>5.9843432537831885E-2</v>
      </c>
      <c r="S38" s="260">
        <f t="shared" si="11"/>
        <v>5.8539236099232624E-2</v>
      </c>
      <c r="T38" s="260">
        <f t="shared" si="11"/>
        <v>5.8102796923723943E-2</v>
      </c>
      <c r="U38" s="260">
        <f t="shared" si="11"/>
        <v>5.8711401421325464E-2</v>
      </c>
      <c r="V38" s="260">
        <f t="shared" si="11"/>
        <v>5.7963211876754545E-2</v>
      </c>
      <c r="W38" s="260">
        <f t="shared" si="11"/>
        <v>5.4663648498159495E-2</v>
      </c>
      <c r="DA38" s="279"/>
    </row>
    <row r="39" spans="1:105" x14ac:dyDescent="0.25">
      <c r="A39" s="128" t="s">
        <v>177</v>
      </c>
      <c r="B39" s="260">
        <f t="shared" ref="B39:W39" si="12">IF(B$26=0,0,B$26/B$5)</f>
        <v>0</v>
      </c>
      <c r="C39" s="260">
        <f t="shared" si="12"/>
        <v>0</v>
      </c>
      <c r="D39" s="260">
        <f t="shared" si="12"/>
        <v>0</v>
      </c>
      <c r="E39" s="260">
        <f t="shared" si="12"/>
        <v>0</v>
      </c>
      <c r="F39" s="260">
        <f t="shared" si="12"/>
        <v>0</v>
      </c>
      <c r="G39" s="260">
        <f t="shared" si="12"/>
        <v>0</v>
      </c>
      <c r="H39" s="260">
        <f t="shared" si="12"/>
        <v>0</v>
      </c>
      <c r="I39" s="260">
        <f t="shared" si="12"/>
        <v>0</v>
      </c>
      <c r="J39" s="260">
        <f t="shared" si="12"/>
        <v>0</v>
      </c>
      <c r="K39" s="260">
        <f t="shared" si="12"/>
        <v>0</v>
      </c>
      <c r="L39" s="260">
        <f t="shared" si="12"/>
        <v>0</v>
      </c>
      <c r="M39" s="260">
        <f t="shared" si="12"/>
        <v>0</v>
      </c>
      <c r="N39" s="260">
        <f t="shared" si="12"/>
        <v>0</v>
      </c>
      <c r="O39" s="260">
        <f t="shared" si="12"/>
        <v>0</v>
      </c>
      <c r="P39" s="260">
        <f t="shared" si="12"/>
        <v>0</v>
      </c>
      <c r="Q39" s="260">
        <f t="shared" si="12"/>
        <v>0</v>
      </c>
      <c r="R39" s="260">
        <f t="shared" si="12"/>
        <v>0</v>
      </c>
      <c r="S39" s="260">
        <f t="shared" si="12"/>
        <v>0</v>
      </c>
      <c r="T39" s="260">
        <f t="shared" si="12"/>
        <v>0</v>
      </c>
      <c r="U39" s="260">
        <f t="shared" si="12"/>
        <v>0</v>
      </c>
      <c r="V39" s="260">
        <f t="shared" si="12"/>
        <v>0</v>
      </c>
      <c r="W39" s="260">
        <f t="shared" si="12"/>
        <v>0</v>
      </c>
      <c r="DA39" s="279"/>
    </row>
    <row r="40" spans="1:105" x14ac:dyDescent="0.25">
      <c r="A40" s="261" t="s">
        <v>33</v>
      </c>
      <c r="B40" s="262">
        <f t="shared" ref="B40:W40" si="13">IF(B$27=0,0,B$27/B$5)</f>
        <v>0</v>
      </c>
      <c r="C40" s="262">
        <f t="shared" si="13"/>
        <v>0</v>
      </c>
      <c r="D40" s="262">
        <f t="shared" si="13"/>
        <v>0</v>
      </c>
      <c r="E40" s="262">
        <f t="shared" si="13"/>
        <v>0</v>
      </c>
      <c r="F40" s="262">
        <f t="shared" si="13"/>
        <v>0</v>
      </c>
      <c r="G40" s="262">
        <f t="shared" si="13"/>
        <v>0</v>
      </c>
      <c r="H40" s="262">
        <f t="shared" si="13"/>
        <v>0</v>
      </c>
      <c r="I40" s="262">
        <f t="shared" si="13"/>
        <v>0</v>
      </c>
      <c r="J40" s="262">
        <f t="shared" si="13"/>
        <v>0</v>
      </c>
      <c r="K40" s="262">
        <f t="shared" si="13"/>
        <v>0</v>
      </c>
      <c r="L40" s="262">
        <f t="shared" si="13"/>
        <v>0</v>
      </c>
      <c r="M40" s="262">
        <f t="shared" si="13"/>
        <v>0</v>
      </c>
      <c r="N40" s="262">
        <f t="shared" si="13"/>
        <v>0</v>
      </c>
      <c r="O40" s="262">
        <f t="shared" si="13"/>
        <v>0</v>
      </c>
      <c r="P40" s="262">
        <f t="shared" si="13"/>
        <v>0</v>
      </c>
      <c r="Q40" s="262">
        <f t="shared" si="13"/>
        <v>0</v>
      </c>
      <c r="R40" s="262">
        <f t="shared" si="13"/>
        <v>0</v>
      </c>
      <c r="S40" s="262">
        <f t="shared" si="13"/>
        <v>0</v>
      </c>
      <c r="T40" s="262">
        <f t="shared" si="13"/>
        <v>0</v>
      </c>
      <c r="U40" s="262">
        <f t="shared" si="13"/>
        <v>0</v>
      </c>
      <c r="V40" s="262">
        <f t="shared" si="13"/>
        <v>0</v>
      </c>
      <c r="W40" s="262">
        <f t="shared" si="13"/>
        <v>0</v>
      </c>
      <c r="DA40" s="280"/>
    </row>
    <row r="42" spans="1:105" ht="12.75" x14ac:dyDescent="0.25">
      <c r="A42" s="233" t="s">
        <v>134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8">
        <f>IF(B$5=0,0,B$5/AGR_fec!B$5)</f>
        <v>3.0517423782790991</v>
      </c>
      <c r="C44" s="238">
        <f>IF(C$5=0,0,C$5/AGR_fec!C$5)</f>
        <v>3.0360610509995394</v>
      </c>
      <c r="D44" s="238">
        <f>IF(D$5=0,0,D$5/AGR_fec!D$5)</f>
        <v>3.0373764222522914</v>
      </c>
      <c r="E44" s="238">
        <f>IF(E$5=0,0,E$5/AGR_fec!E$5)</f>
        <v>3.0734283241632121</v>
      </c>
      <c r="F44" s="238">
        <f>IF(F$5=0,0,F$5/AGR_fec!F$5)</f>
        <v>2.7655075370683959</v>
      </c>
      <c r="G44" s="238">
        <f>IF(G$5=0,0,G$5/AGR_fec!G$5)</f>
        <v>2.7517243092682482</v>
      </c>
      <c r="H44" s="238">
        <f>IF(H$5=0,0,H$5/AGR_fec!H$5)</f>
        <v>2.7412042092804181</v>
      </c>
      <c r="I44" s="238">
        <f>IF(I$5=0,0,I$5/AGR_fec!I$5)</f>
        <v>2.6283507131430568</v>
      </c>
      <c r="J44" s="238">
        <f>IF(J$5=0,0,J$5/AGR_fec!J$5)</f>
        <v>2.5584001504303515</v>
      </c>
      <c r="K44" s="238">
        <f>IF(K$5=0,0,K$5/AGR_fec!K$5)</f>
        <v>2.3641737759562154</v>
      </c>
      <c r="L44" s="238">
        <f>IF(L$5=0,0,L$5/AGR_fec!L$5)</f>
        <v>2.3042474316254777</v>
      </c>
      <c r="M44" s="238">
        <f>IF(M$5=0,0,M$5/AGR_fec!M$5)</f>
        <v>2.2805690490232631</v>
      </c>
      <c r="N44" s="238">
        <f>IF(N$5=0,0,N$5/AGR_fec!N$5)</f>
        <v>2.2280355428637511</v>
      </c>
      <c r="O44" s="238">
        <f>IF(O$5=0,0,O$5/AGR_fec!O$5)</f>
        <v>2.2584604560263317</v>
      </c>
      <c r="P44" s="238">
        <f>IF(P$5=0,0,P$5/AGR_fec!P$5)</f>
        <v>2.1829625077916348</v>
      </c>
      <c r="Q44" s="238">
        <f>IF(Q$5=0,0,Q$5/AGR_fec!Q$5)</f>
        <v>2.1218945318682749</v>
      </c>
      <c r="R44" s="238">
        <f>IF(R$5=0,0,R$5/AGR_fec!R$5)</f>
        <v>2.1492367236473702</v>
      </c>
      <c r="S44" s="238">
        <f>IF(S$5=0,0,S$5/AGR_fec!S$5)</f>
        <v>2.1877917232695241</v>
      </c>
      <c r="T44" s="238">
        <f>IF(T$5=0,0,T$5/AGR_fec!T$5)</f>
        <v>2.1505190424385696</v>
      </c>
      <c r="U44" s="238">
        <f>IF(U$5=0,0,U$5/AGR_fec!U$5)</f>
        <v>2.2138452701118583</v>
      </c>
      <c r="V44" s="238">
        <f>IF(V$5=0,0,V$5/AGR_fec!V$5)</f>
        <v>2.1439828659655173</v>
      </c>
      <c r="W44" s="238">
        <f>IF(W$5=0,0,W$5/AGR_fec!W$5)</f>
        <v>2.1794035498079309</v>
      </c>
      <c r="DA44" s="287"/>
    </row>
    <row r="45" spans="1:105" x14ac:dyDescent="0.25">
      <c r="A45" s="239" t="s">
        <v>125</v>
      </c>
      <c r="B45" s="251">
        <f>IF(B$6=0,0,B$6/AGR_fec!B$6)</f>
        <v>0</v>
      </c>
      <c r="C45" s="251">
        <f>IF(C$6=0,0,C$6/AGR_fec!C$6)</f>
        <v>0</v>
      </c>
      <c r="D45" s="251">
        <f>IF(D$6=0,0,D$6/AGR_fec!D$6)</f>
        <v>0</v>
      </c>
      <c r="E45" s="251">
        <f>IF(E$6=0,0,E$6/AGR_fec!E$6)</f>
        <v>0</v>
      </c>
      <c r="F45" s="251">
        <f>IF(F$6=0,0,F$6/AGR_fec!F$6)</f>
        <v>0</v>
      </c>
      <c r="G45" s="251">
        <f>IF(G$6=0,0,G$6/AGR_fec!G$6)</f>
        <v>0</v>
      </c>
      <c r="H45" s="251">
        <f>IF(H$6=0,0,H$6/AGR_fec!H$6)</f>
        <v>0</v>
      </c>
      <c r="I45" s="251">
        <f>IF(I$6=0,0,I$6/AGR_fec!I$6)</f>
        <v>0</v>
      </c>
      <c r="J45" s="251">
        <f>IF(J$6=0,0,J$6/AGR_fec!J$6)</f>
        <v>0</v>
      </c>
      <c r="K45" s="251">
        <f>IF(K$6=0,0,K$6/AGR_fec!K$6)</f>
        <v>0</v>
      </c>
      <c r="L45" s="251">
        <f>IF(L$6=0,0,L$6/AGR_fec!L$6)</f>
        <v>0</v>
      </c>
      <c r="M45" s="251">
        <f>IF(M$6=0,0,M$6/AGR_fec!M$6)</f>
        <v>0</v>
      </c>
      <c r="N45" s="251">
        <f>IF(N$6=0,0,N$6/AGR_fec!N$6)</f>
        <v>0</v>
      </c>
      <c r="O45" s="251">
        <f>IF(O$6=0,0,O$6/AGR_fec!O$6)</f>
        <v>0</v>
      </c>
      <c r="P45" s="251">
        <f>IF(P$6=0,0,P$6/AGR_fec!P$6)</f>
        <v>0</v>
      </c>
      <c r="Q45" s="251">
        <f>IF(Q$6=0,0,Q$6/AGR_fec!Q$6)</f>
        <v>0</v>
      </c>
      <c r="R45" s="251">
        <f>IF(R$6=0,0,R$6/AGR_fec!R$6)</f>
        <v>0</v>
      </c>
      <c r="S45" s="251">
        <f>IF(S$6=0,0,S$6/AGR_fec!S$6)</f>
        <v>0</v>
      </c>
      <c r="T45" s="251">
        <f>IF(T$6=0,0,T$6/AGR_fec!T$6)</f>
        <v>0</v>
      </c>
      <c r="U45" s="251">
        <f>IF(U$6=0,0,U$6/AGR_fec!U$6)</f>
        <v>0</v>
      </c>
      <c r="V45" s="251">
        <f>IF(V$6=0,0,V$6/AGR_fec!V$6)</f>
        <v>0</v>
      </c>
      <c r="W45" s="251">
        <f>IF(W$6=0,0,W$6/AGR_fec!W$6)</f>
        <v>0</v>
      </c>
      <c r="DA45" s="288"/>
    </row>
    <row r="46" spans="1:105" x14ac:dyDescent="0.25">
      <c r="A46" s="241" t="s">
        <v>124</v>
      </c>
      <c r="B46" s="252">
        <f>IF(B$7=0,0,B$7/AGR_fec!B$7)</f>
        <v>0</v>
      </c>
      <c r="C46" s="252">
        <f>IF(C$7=0,0,C$7/AGR_fec!C$7)</f>
        <v>0</v>
      </c>
      <c r="D46" s="252">
        <f>IF(D$7=0,0,D$7/AGR_fec!D$7)</f>
        <v>0</v>
      </c>
      <c r="E46" s="252">
        <f>IF(E$7=0,0,E$7/AGR_fec!E$7)</f>
        <v>0</v>
      </c>
      <c r="F46" s="252">
        <f>IF(F$7=0,0,F$7/AGR_fec!F$7)</f>
        <v>0</v>
      </c>
      <c r="G46" s="252">
        <f>IF(G$7=0,0,G$7/AGR_fec!G$7)</f>
        <v>0</v>
      </c>
      <c r="H46" s="252">
        <f>IF(H$7=0,0,H$7/AGR_fec!H$7)</f>
        <v>0</v>
      </c>
      <c r="I46" s="252">
        <f>IF(I$7=0,0,I$7/AGR_fec!I$7)</f>
        <v>0</v>
      </c>
      <c r="J46" s="252">
        <f>IF(J$7=0,0,J$7/AGR_fec!J$7)</f>
        <v>0</v>
      </c>
      <c r="K46" s="252">
        <f>IF(K$7=0,0,K$7/AGR_fec!K$7)</f>
        <v>0</v>
      </c>
      <c r="L46" s="252">
        <f>IF(L$7=0,0,L$7/AGR_fec!L$7)</f>
        <v>0</v>
      </c>
      <c r="M46" s="252">
        <f>IF(M$7=0,0,M$7/AGR_fec!M$7)</f>
        <v>0</v>
      </c>
      <c r="N46" s="252">
        <f>IF(N$7=0,0,N$7/AGR_fec!N$7)</f>
        <v>0</v>
      </c>
      <c r="O46" s="252">
        <f>IF(O$7=0,0,O$7/AGR_fec!O$7)</f>
        <v>0</v>
      </c>
      <c r="P46" s="252">
        <f>IF(P$7=0,0,P$7/AGR_fec!P$7)</f>
        <v>0</v>
      </c>
      <c r="Q46" s="252">
        <f>IF(Q$7=0,0,Q$7/AGR_fec!Q$7)</f>
        <v>0</v>
      </c>
      <c r="R46" s="252">
        <f>IF(R$7=0,0,R$7/AGR_fec!R$7)</f>
        <v>0</v>
      </c>
      <c r="S46" s="252">
        <f>IF(S$7=0,0,S$7/AGR_fec!S$7)</f>
        <v>0</v>
      </c>
      <c r="T46" s="252">
        <f>IF(T$7=0,0,T$7/AGR_fec!T$7)</f>
        <v>0</v>
      </c>
      <c r="U46" s="252">
        <f>IF(U$7=0,0,U$7/AGR_fec!U$7)</f>
        <v>0</v>
      </c>
      <c r="V46" s="252">
        <f>IF(V$7=0,0,V$7/AGR_fec!V$7)</f>
        <v>0</v>
      </c>
      <c r="W46" s="252">
        <f>IF(W$7=0,0,W$7/AGR_fec!W$7)</f>
        <v>0</v>
      </c>
      <c r="DA46" s="289"/>
    </row>
    <row r="47" spans="1:105" x14ac:dyDescent="0.25">
      <c r="A47" s="241" t="s">
        <v>123</v>
      </c>
      <c r="B47" s="252">
        <f>IF(B$8=0,0,B$8/AGR_fec!B$8)</f>
        <v>0</v>
      </c>
      <c r="C47" s="252">
        <f>IF(C$8=0,0,C$8/AGR_fec!C$8)</f>
        <v>0</v>
      </c>
      <c r="D47" s="252">
        <f>IF(D$8=0,0,D$8/AGR_fec!D$8)</f>
        <v>0</v>
      </c>
      <c r="E47" s="252">
        <f>IF(E$8=0,0,E$8/AGR_fec!E$8)</f>
        <v>0</v>
      </c>
      <c r="F47" s="252">
        <f>IF(F$8=0,0,F$8/AGR_fec!F$8)</f>
        <v>0</v>
      </c>
      <c r="G47" s="252">
        <f>IF(G$8=0,0,G$8/AGR_fec!G$8)</f>
        <v>0</v>
      </c>
      <c r="H47" s="252">
        <f>IF(H$8=0,0,H$8/AGR_fec!H$8)</f>
        <v>0</v>
      </c>
      <c r="I47" s="252">
        <f>IF(I$8=0,0,I$8/AGR_fec!I$8)</f>
        <v>0</v>
      </c>
      <c r="J47" s="252">
        <f>IF(J$8=0,0,J$8/AGR_fec!J$8)</f>
        <v>0</v>
      </c>
      <c r="K47" s="252">
        <f>IF(K$8=0,0,K$8/AGR_fec!K$8)</f>
        <v>0</v>
      </c>
      <c r="L47" s="252">
        <f>IF(L$8=0,0,L$8/AGR_fec!L$8)</f>
        <v>0</v>
      </c>
      <c r="M47" s="252">
        <f>IF(M$8=0,0,M$8/AGR_fec!M$8)</f>
        <v>0</v>
      </c>
      <c r="N47" s="252">
        <f>IF(N$8=0,0,N$8/AGR_fec!N$8)</f>
        <v>0</v>
      </c>
      <c r="O47" s="252">
        <f>IF(O$8=0,0,O$8/AGR_fec!O$8)</f>
        <v>0</v>
      </c>
      <c r="P47" s="252">
        <f>IF(P$8=0,0,P$8/AGR_fec!P$8)</f>
        <v>0</v>
      </c>
      <c r="Q47" s="252">
        <f>IF(Q$8=0,0,Q$8/AGR_fec!Q$8)</f>
        <v>0</v>
      </c>
      <c r="R47" s="252">
        <f>IF(R$8=0,0,R$8/AGR_fec!R$8)</f>
        <v>0</v>
      </c>
      <c r="S47" s="252">
        <f>IF(S$8=0,0,S$8/AGR_fec!S$8)</f>
        <v>0</v>
      </c>
      <c r="T47" s="252">
        <f>IF(T$8=0,0,T$8/AGR_fec!T$8)</f>
        <v>0</v>
      </c>
      <c r="U47" s="252">
        <f>IF(U$8=0,0,U$8/AGR_fec!U$8)</f>
        <v>0</v>
      </c>
      <c r="V47" s="252">
        <f>IF(V$8=0,0,V$8/AGR_fec!V$8)</f>
        <v>0</v>
      </c>
      <c r="W47" s="252">
        <f>IF(W$8=0,0,W$8/AGR_fec!W$8)</f>
        <v>0</v>
      </c>
      <c r="DA47" s="289"/>
    </row>
    <row r="48" spans="1:105" x14ac:dyDescent="0.25">
      <c r="A48" s="243" t="s">
        <v>122</v>
      </c>
      <c r="B48" s="253">
        <f>IF(B$9=0,0,B$9/AGR_fec!B$9)</f>
        <v>3.0967778969350443</v>
      </c>
      <c r="C48" s="253">
        <f>IF(C$9=0,0,C$9/AGR_fec!C$9)</f>
        <v>3.0962673097997153</v>
      </c>
      <c r="D48" s="253">
        <f>IF(D$9=0,0,D$9/AGR_fec!D$9)</f>
        <v>3.0912662750827824</v>
      </c>
      <c r="E48" s="253">
        <f>IF(E$9=0,0,E$9/AGR_fec!E$9)</f>
        <v>3.0958700873510359</v>
      </c>
      <c r="F48" s="253">
        <f>IF(F$9=0,0,F$9/AGR_fec!F$9)</f>
        <v>2.6408102074869251</v>
      </c>
      <c r="G48" s="253">
        <f>IF(G$9=0,0,G$9/AGR_fec!G$9)</f>
        <v>2.6748077043533174</v>
      </c>
      <c r="H48" s="253">
        <f>IF(H$9=0,0,H$9/AGR_fec!H$9)</f>
        <v>2.6156729883223111</v>
      </c>
      <c r="I48" s="253">
        <f>IF(I$9=0,0,I$9/AGR_fec!I$9)</f>
        <v>2.4925157633330364</v>
      </c>
      <c r="J48" s="253">
        <f>IF(J$9=0,0,J$9/AGR_fec!J$9)</f>
        <v>2.5267038583487933</v>
      </c>
      <c r="K48" s="253">
        <f>IF(K$9=0,0,K$9/AGR_fec!K$9)</f>
        <v>2.2256065424359095</v>
      </c>
      <c r="L48" s="253">
        <f>IF(L$9=0,0,L$9/AGR_fec!L$9)</f>
        <v>2.1879834226460289</v>
      </c>
      <c r="M48" s="253">
        <f>IF(M$9=0,0,M$9/AGR_fec!M$9)</f>
        <v>2.1422861532887665</v>
      </c>
      <c r="N48" s="253">
        <f>IF(N$9=0,0,N$9/AGR_fec!N$9)</f>
        <v>2.1073984822473224</v>
      </c>
      <c r="O48" s="253">
        <f>IF(O$9=0,0,O$9/AGR_fec!O$9)</f>
        <v>2.1715274028489828</v>
      </c>
      <c r="P48" s="253">
        <f>IF(P$9=0,0,P$9/AGR_fec!P$9)</f>
        <v>2.0344550398021255</v>
      </c>
      <c r="Q48" s="253">
        <f>IF(Q$9=0,0,Q$9/AGR_fec!Q$9)</f>
        <v>1.911007764429058</v>
      </c>
      <c r="R48" s="253">
        <f>IF(R$9=0,0,R$9/AGR_fec!R$9)</f>
        <v>1.9469741799438931</v>
      </c>
      <c r="S48" s="253">
        <f>IF(S$9=0,0,S$9/AGR_fec!S$9)</f>
        <v>2.0321583183243144</v>
      </c>
      <c r="T48" s="253">
        <f>IF(T$9=0,0,T$9/AGR_fec!T$9)</f>
        <v>1.9679060240230486</v>
      </c>
      <c r="U48" s="253">
        <f>IF(U$9=0,0,U$9/AGR_fec!U$9)</f>
        <v>2.0733149510550271</v>
      </c>
      <c r="V48" s="253">
        <f>IF(V$9=0,0,V$9/AGR_fec!V$9)</f>
        <v>2.0124982408808587</v>
      </c>
      <c r="W48" s="253">
        <f>IF(W$9=0,0,W$9/AGR_fec!W$9)</f>
        <v>2.0976164649360682</v>
      </c>
      <c r="DA48" s="290"/>
    </row>
    <row r="49" spans="1:105" x14ac:dyDescent="0.25">
      <c r="A49" s="128" t="s">
        <v>175</v>
      </c>
      <c r="B49" s="265">
        <f>IF(B$16=0,0,B$16/AGR_fec!B$16)</f>
        <v>3.1024188000000001</v>
      </c>
      <c r="C49" s="265">
        <f>IF(C$16=0,0,C$16/AGR_fec!C$16)</f>
        <v>3.102418800000001</v>
      </c>
      <c r="D49" s="265">
        <f>IF(D$16=0,0,D$16/AGR_fec!D$16)</f>
        <v>3.1024188000000006</v>
      </c>
      <c r="E49" s="265">
        <f>IF(E$16=0,0,E$16/AGR_fec!E$16)</f>
        <v>3.1024187999999993</v>
      </c>
      <c r="F49" s="265">
        <f>IF(F$16=0,0,F$16/AGR_fec!F$16)</f>
        <v>3.102418800000001</v>
      </c>
      <c r="G49" s="265">
        <f>IF(G$16=0,0,G$16/AGR_fec!G$16)</f>
        <v>3.1021329563913471</v>
      </c>
      <c r="H49" s="265">
        <f>IF(H$16=0,0,H$16/AGR_fec!H$16)</f>
        <v>3.0975407922886578</v>
      </c>
      <c r="I49" s="265">
        <f>IF(I$16=0,0,I$16/AGR_fec!I$16)</f>
        <v>3.0765737336981891</v>
      </c>
      <c r="J49" s="265">
        <f>IF(J$16=0,0,J$16/AGR_fec!J$16)</f>
        <v>3.0815164587624766</v>
      </c>
      <c r="K49" s="265">
        <f>IF(K$16=0,0,K$16/AGR_fec!K$16)</f>
        <v>3.060238632603768</v>
      </c>
      <c r="L49" s="265">
        <f>IF(L$16=0,0,L$16/AGR_fec!L$16)</f>
        <v>3.1024188000000001</v>
      </c>
      <c r="M49" s="265">
        <f>IF(M$16=0,0,M$16/AGR_fec!M$16)</f>
        <v>3.1024188000000006</v>
      </c>
      <c r="N49" s="265">
        <f>IF(N$16=0,0,N$16/AGR_fec!N$16)</f>
        <v>3.1024187999999993</v>
      </c>
      <c r="O49" s="265">
        <f>IF(O$16=0,0,O$16/AGR_fec!O$16)</f>
        <v>3.1024188000000001</v>
      </c>
      <c r="P49" s="265">
        <f>IF(P$16=0,0,P$16/AGR_fec!P$16)</f>
        <v>3.1024187999999997</v>
      </c>
      <c r="Q49" s="265">
        <f>IF(Q$16=0,0,Q$16/AGR_fec!Q$16)</f>
        <v>3.1024187999999997</v>
      </c>
      <c r="R49" s="265">
        <f>IF(R$16=0,0,R$16/AGR_fec!R$16)</f>
        <v>3.1024188000000001</v>
      </c>
      <c r="S49" s="265">
        <f>IF(S$16=0,0,S$16/AGR_fec!S$16)</f>
        <v>3.1024187999999993</v>
      </c>
      <c r="T49" s="265">
        <f>IF(T$16=0,0,T$16/AGR_fec!T$16)</f>
        <v>3.1024188000000006</v>
      </c>
      <c r="U49" s="265">
        <f>IF(U$16=0,0,U$16/AGR_fec!U$16)</f>
        <v>3.1024187999999997</v>
      </c>
      <c r="V49" s="265">
        <f>IF(V$16=0,0,V$16/AGR_fec!V$16)</f>
        <v>3.102418800000001</v>
      </c>
      <c r="W49" s="265">
        <f>IF(W$16=0,0,W$16/AGR_fec!W$16)</f>
        <v>3.1024188000000006</v>
      </c>
      <c r="DA49" s="291"/>
    </row>
    <row r="50" spans="1:105" x14ac:dyDescent="0.25">
      <c r="A50" s="128" t="s">
        <v>121</v>
      </c>
      <c r="B50" s="265">
        <f>IF(B$17=0,0,B$17/AGR_fec!B$17)</f>
        <v>3.1741650122964953</v>
      </c>
      <c r="C50" s="265">
        <f>IF(C$17=0,0,C$17/AGR_fec!C$17)</f>
        <v>3.1568733287195796</v>
      </c>
      <c r="D50" s="265">
        <f>IF(D$17=0,0,D$17/AGR_fec!D$17)</f>
        <v>3.2144798681275386</v>
      </c>
      <c r="E50" s="265">
        <f>IF(E$17=0,0,E$17/AGR_fec!E$17)</f>
        <v>3.225584136166519</v>
      </c>
      <c r="F50" s="265">
        <f>IF(F$17=0,0,F$17/AGR_fec!F$17)</f>
        <v>3.067979840945767</v>
      </c>
      <c r="G50" s="265">
        <f>IF(G$17=0,0,G$17/AGR_fec!G$17)</f>
        <v>3.0576854589274385</v>
      </c>
      <c r="H50" s="265">
        <f>IF(H$17=0,0,H$17/AGR_fec!H$17)</f>
        <v>3.0402840930474548</v>
      </c>
      <c r="I50" s="265">
        <f>IF(I$17=0,0,I$17/AGR_fec!I$17)</f>
        <v>2.9861491324567564</v>
      </c>
      <c r="J50" s="265">
        <f>IF(J$17=0,0,J$17/AGR_fec!J$17)</f>
        <v>2.9262327726961339</v>
      </c>
      <c r="K50" s="265">
        <f>IF(K$17=0,0,K$17/AGR_fec!K$17)</f>
        <v>2.736557846555951</v>
      </c>
      <c r="L50" s="265">
        <f>IF(L$17=0,0,L$17/AGR_fec!L$17)</f>
        <v>2.5889338680853893</v>
      </c>
      <c r="M50" s="265">
        <f>IF(M$17=0,0,M$17/AGR_fec!M$17)</f>
        <v>2.5850609348886082</v>
      </c>
      <c r="N50" s="265">
        <f>IF(N$17=0,0,N$17/AGR_fec!N$17)</f>
        <v>2.4997856518515844</v>
      </c>
      <c r="O50" s="265">
        <f>IF(O$17=0,0,O$17/AGR_fec!O$17)</f>
        <v>2.4498977515213687</v>
      </c>
      <c r="P50" s="265">
        <f>IF(P$17=0,0,P$17/AGR_fec!P$17)</f>
        <v>2.4135663862409977</v>
      </c>
      <c r="Q50" s="265">
        <f>IF(Q$17=0,0,Q$17/AGR_fec!Q$17)</f>
        <v>2.3800269086537131</v>
      </c>
      <c r="R50" s="265">
        <f>IF(R$17=0,0,R$17/AGR_fec!R$17)</f>
        <v>2.4198135182944607</v>
      </c>
      <c r="S50" s="265">
        <f>IF(S$17=0,0,S$17/AGR_fec!S$17)</f>
        <v>2.4271740556099144</v>
      </c>
      <c r="T50" s="265">
        <f>IF(T$17=0,0,T$17/AGR_fec!T$17)</f>
        <v>2.4184455853650531</v>
      </c>
      <c r="U50" s="265">
        <f>IF(U$17=0,0,U$17/AGR_fec!U$17)</f>
        <v>2.4608167051094498</v>
      </c>
      <c r="V50" s="265">
        <f>IF(V$17=0,0,V$17/AGR_fec!V$17)</f>
        <v>2.3927079831564706</v>
      </c>
      <c r="W50" s="265">
        <f>IF(W$17=0,0,W$17/AGR_fec!W$17)</f>
        <v>2.3913407180224473</v>
      </c>
      <c r="DA50" s="291"/>
    </row>
    <row r="51" spans="1:105" x14ac:dyDescent="0.25">
      <c r="A51" s="128" t="s">
        <v>174</v>
      </c>
      <c r="B51" s="265">
        <f>IF(B$25=0,0,B$25/AGR_fec!B$25)</f>
        <v>3.1024187999999988</v>
      </c>
      <c r="C51" s="265">
        <f>IF(C$25=0,0,C$25/AGR_fec!C$25)</f>
        <v>3.1024188000000019</v>
      </c>
      <c r="D51" s="265">
        <f>IF(D$25=0,0,D$25/AGR_fec!D$25)</f>
        <v>3.102418800000001</v>
      </c>
      <c r="E51" s="265">
        <f>IF(E$25=0,0,E$25/AGR_fec!E$25)</f>
        <v>3.1024187999999993</v>
      </c>
      <c r="F51" s="265">
        <f>IF(F$25=0,0,F$25/AGR_fec!F$25)</f>
        <v>3.1024187999999988</v>
      </c>
      <c r="G51" s="265">
        <f>IF(G$25=0,0,G$25/AGR_fec!G$25)</f>
        <v>3.1021329563913462</v>
      </c>
      <c r="H51" s="265">
        <f>IF(H$25=0,0,H$25/AGR_fec!H$25)</f>
        <v>3.0975407922886573</v>
      </c>
      <c r="I51" s="265">
        <f>IF(I$25=0,0,I$25/AGR_fec!I$25)</f>
        <v>3.0765737336981904</v>
      </c>
      <c r="J51" s="265">
        <f>IF(J$25=0,0,J$25/AGR_fec!J$25)</f>
        <v>3.0815164587624762</v>
      </c>
      <c r="K51" s="265">
        <f>IF(K$25=0,0,K$25/AGR_fec!K$25)</f>
        <v>3.0602386326037672</v>
      </c>
      <c r="L51" s="265">
        <f>IF(L$25=0,0,L$25/AGR_fec!L$25)</f>
        <v>3.1024188000000001</v>
      </c>
      <c r="M51" s="265">
        <f>IF(M$25=0,0,M$25/AGR_fec!M$25)</f>
        <v>3.1024187999999997</v>
      </c>
      <c r="N51" s="265">
        <f>IF(N$25=0,0,N$25/AGR_fec!N$25)</f>
        <v>3.1024188000000015</v>
      </c>
      <c r="O51" s="265">
        <f>IF(O$25=0,0,O$25/AGR_fec!O$25)</f>
        <v>3.1024187999999993</v>
      </c>
      <c r="P51" s="265">
        <f>IF(P$25=0,0,P$25/AGR_fec!P$25)</f>
        <v>3.1024187999999993</v>
      </c>
      <c r="Q51" s="265">
        <f>IF(Q$25=0,0,Q$25/AGR_fec!Q$25)</f>
        <v>3.1024187999999997</v>
      </c>
      <c r="R51" s="265">
        <f>IF(R$25=0,0,R$25/AGR_fec!R$25)</f>
        <v>3.1024187999999993</v>
      </c>
      <c r="S51" s="265">
        <f>IF(S$25=0,0,S$25/AGR_fec!S$25)</f>
        <v>3.1024187999999993</v>
      </c>
      <c r="T51" s="265">
        <f>IF(T$25=0,0,T$25/AGR_fec!T$25)</f>
        <v>3.102418800000001</v>
      </c>
      <c r="U51" s="265">
        <f>IF(U$25=0,0,U$25/AGR_fec!U$25)</f>
        <v>3.102418800000001</v>
      </c>
      <c r="V51" s="265">
        <f>IF(V$25=0,0,V$25/AGR_fec!V$25)</f>
        <v>3.1024187999999993</v>
      </c>
      <c r="W51" s="265">
        <f>IF(W$25=0,0,W$25/AGR_fec!W$25)</f>
        <v>3.1024187999999993</v>
      </c>
      <c r="DA51" s="291"/>
    </row>
    <row r="52" spans="1:105" x14ac:dyDescent="0.25">
      <c r="A52" s="128" t="s">
        <v>177</v>
      </c>
      <c r="B52" s="265">
        <f>IF(B$26=0,0,B$26/AGR_fec!B$26)</f>
        <v>0</v>
      </c>
      <c r="C52" s="265">
        <f>IF(C$26=0,0,C$26/AGR_fec!C$26)</f>
        <v>0</v>
      </c>
      <c r="D52" s="265">
        <f>IF(D$26=0,0,D$26/AGR_fec!D$26)</f>
        <v>0</v>
      </c>
      <c r="E52" s="265">
        <f>IF(E$26=0,0,E$26/AGR_fec!E$26)</f>
        <v>0</v>
      </c>
      <c r="F52" s="265">
        <f>IF(F$26=0,0,F$26/AGR_fec!F$26)</f>
        <v>0</v>
      </c>
      <c r="G52" s="265">
        <f>IF(G$26=0,0,G$26/AGR_fec!G$26)</f>
        <v>0</v>
      </c>
      <c r="H52" s="265">
        <f>IF(H$26=0,0,H$26/AGR_fec!H$26)</f>
        <v>0</v>
      </c>
      <c r="I52" s="265">
        <f>IF(I$26=0,0,I$26/AGR_fec!I$26)</f>
        <v>0</v>
      </c>
      <c r="J52" s="265">
        <f>IF(J$26=0,0,J$26/AGR_fec!J$26)</f>
        <v>0</v>
      </c>
      <c r="K52" s="265">
        <f>IF(K$26=0,0,K$26/AGR_fec!K$26)</f>
        <v>0</v>
      </c>
      <c r="L52" s="265">
        <f>IF(L$26=0,0,L$26/AGR_fec!L$26)</f>
        <v>0</v>
      </c>
      <c r="M52" s="265">
        <f>IF(M$26=0,0,M$26/AGR_fec!M$26)</f>
        <v>0</v>
      </c>
      <c r="N52" s="265">
        <f>IF(N$26=0,0,N$26/AGR_fec!N$26)</f>
        <v>0</v>
      </c>
      <c r="O52" s="265">
        <f>IF(O$26=0,0,O$26/AGR_fec!O$26)</f>
        <v>0</v>
      </c>
      <c r="P52" s="265">
        <f>IF(P$26=0,0,P$26/AGR_fec!P$26)</f>
        <v>0</v>
      </c>
      <c r="Q52" s="265">
        <f>IF(Q$26=0,0,Q$26/AGR_fec!Q$26)</f>
        <v>0</v>
      </c>
      <c r="R52" s="265">
        <f>IF(R$26=0,0,R$26/AGR_fec!R$26)</f>
        <v>0</v>
      </c>
      <c r="S52" s="265">
        <f>IF(S$26=0,0,S$26/AGR_fec!S$26)</f>
        <v>0</v>
      </c>
      <c r="T52" s="265">
        <f>IF(T$26=0,0,T$26/AGR_fec!T$26)</f>
        <v>0</v>
      </c>
      <c r="U52" s="265">
        <f>IF(U$26=0,0,U$26/AGR_fec!U$26)</f>
        <v>0</v>
      </c>
      <c r="V52" s="265">
        <f>IF(V$26=0,0,V$26/AGR_fec!V$26)</f>
        <v>0</v>
      </c>
      <c r="W52" s="265">
        <f>IF(W$26=0,0,W$26/AGR_fec!W$26)</f>
        <v>0</v>
      </c>
      <c r="DA52" s="291"/>
    </row>
    <row r="53" spans="1:105" x14ac:dyDescent="0.25">
      <c r="A53" s="261" t="s">
        <v>33</v>
      </c>
      <c r="B53" s="266">
        <f>IF(B$27=0,0,B$27/AGR_fec!B$27)</f>
        <v>0</v>
      </c>
      <c r="C53" s="266">
        <f>IF(C$27=0,0,C$27/AGR_fec!C$27)</f>
        <v>0</v>
      </c>
      <c r="D53" s="266">
        <f>IF(D$27=0,0,D$27/AGR_fec!D$27)</f>
        <v>0</v>
      </c>
      <c r="E53" s="266">
        <f>IF(E$27=0,0,E$27/AGR_fec!E$27)</f>
        <v>0</v>
      </c>
      <c r="F53" s="266">
        <f>IF(F$27=0,0,F$27/AGR_fec!F$27)</f>
        <v>0</v>
      </c>
      <c r="G53" s="266">
        <f>IF(G$27=0,0,G$27/AGR_fec!G$27)</f>
        <v>0</v>
      </c>
      <c r="H53" s="266">
        <f>IF(H$27=0,0,H$27/AGR_fec!H$27)</f>
        <v>0</v>
      </c>
      <c r="I53" s="266">
        <f>IF(I$27=0,0,I$27/AGR_fec!I$27)</f>
        <v>0</v>
      </c>
      <c r="J53" s="266">
        <f>IF(J$27=0,0,J$27/AGR_fec!J$27)</f>
        <v>0</v>
      </c>
      <c r="K53" s="266">
        <f>IF(K$27=0,0,K$27/AGR_fec!K$27)</f>
        <v>0</v>
      </c>
      <c r="L53" s="266">
        <f>IF(L$27=0,0,L$27/AGR_fec!L$27)</f>
        <v>0</v>
      </c>
      <c r="M53" s="266">
        <f>IF(M$27=0,0,M$27/AGR_fec!M$27)</f>
        <v>0</v>
      </c>
      <c r="N53" s="266">
        <f>IF(N$27=0,0,N$27/AGR_fec!N$27)</f>
        <v>0</v>
      </c>
      <c r="O53" s="266">
        <f>IF(O$27=0,0,O$27/AGR_fec!O$27)</f>
        <v>0</v>
      </c>
      <c r="P53" s="266">
        <f>IF(P$27=0,0,P$27/AGR_fec!P$27)</f>
        <v>0</v>
      </c>
      <c r="Q53" s="266">
        <f>IF(Q$27=0,0,Q$27/AGR_fec!Q$27)</f>
        <v>0</v>
      </c>
      <c r="R53" s="266">
        <f>IF(R$27=0,0,R$27/AGR_fec!R$27)</f>
        <v>0</v>
      </c>
      <c r="S53" s="266">
        <f>IF(S$27=0,0,S$27/AGR_fec!S$27)</f>
        <v>0</v>
      </c>
      <c r="T53" s="266">
        <f>IF(T$27=0,0,T$27/AGR_fec!T$27)</f>
        <v>0</v>
      </c>
      <c r="U53" s="266">
        <f>IF(U$27=0,0,U$27/AGR_fec!U$27)</f>
        <v>0</v>
      </c>
      <c r="V53" s="266">
        <f>IF(V$27=0,0,V$27/AGR_fec!V$27)</f>
        <v>0</v>
      </c>
      <c r="W53" s="266">
        <f>IF(W$27=0,0,W$27/AGR_fec!W$27)</f>
        <v>0</v>
      </c>
      <c r="DA53" s="292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36</vt:i4>
      </vt:variant>
      <vt:variant>
        <vt:lpstr>Named Ranges</vt:lpstr>
      </vt:variant>
      <vt:variant>
        <vt:i4>35</vt:i4>
      </vt:variant>
    </vt:vector>
  </HeadingPairs>
  <TitlesOfParts>
    <vt:vector size="71" baseType="lpstr">
      <vt:lpstr>cover</vt:lpstr>
      <vt:lpstr>index</vt:lpstr>
      <vt:lpstr>SER_summary</vt:lpstr>
      <vt:lpstr>SER_hh_num</vt:lpstr>
      <vt:lpstr>SER_hh_fec</vt:lpstr>
      <vt:lpstr>SER_hh_tes</vt:lpstr>
      <vt:lpstr>SER_hh_eff</vt:lpstr>
      <vt:lpstr>SER_hh_emi</vt:lpstr>
      <vt:lpstr>SER_hh_fech</vt:lpstr>
      <vt:lpstr>SER_hh_tesh</vt:lpstr>
      <vt:lpstr>SER_hh_emih</vt:lpstr>
      <vt:lpstr>SER_hh_fecs</vt:lpstr>
      <vt:lpstr>SER_hh_tess</vt:lpstr>
      <vt:lpstr>SER_hh_emis</vt:lpstr>
      <vt:lpstr>SER_hh_num_in</vt:lpstr>
      <vt:lpstr>SER_hh_fec_in</vt:lpstr>
      <vt:lpstr>SER_hh_tes_in</vt:lpstr>
      <vt:lpstr>SER_hh_eff_in</vt:lpstr>
      <vt:lpstr>SER_hh_emi_in</vt:lpstr>
      <vt:lpstr>SER_hh_fech_in</vt:lpstr>
      <vt:lpstr>SER_hh_tesh_in</vt:lpstr>
      <vt:lpstr>SER_hh_emih_in</vt:lpstr>
      <vt:lpstr>SER_hh_fecs_in</vt:lpstr>
      <vt:lpstr>SER_hh_tess_in</vt:lpstr>
      <vt:lpstr>SER_hh_emis_in</vt:lpstr>
      <vt:lpstr>SER_se-appl</vt:lpstr>
      <vt:lpstr>SER_VE</vt:lpstr>
      <vt:lpstr>SER_SL</vt:lpstr>
      <vt:lpstr>SER_BL</vt:lpstr>
      <vt:lpstr>SER_CR</vt:lpstr>
      <vt:lpstr>SER_BT</vt:lpstr>
      <vt:lpstr>SER_IT</vt:lpstr>
      <vt:lpstr>AGR</vt:lpstr>
      <vt:lpstr>AGR_fec</vt:lpstr>
      <vt:lpstr>AGR_ued</vt:lpstr>
      <vt:lpstr>AGR_emi</vt:lpstr>
      <vt:lpstr>AGR!Print_Area</vt:lpstr>
      <vt:lpstr>AGR!Print_Titles</vt:lpstr>
      <vt:lpstr>AGR_emi!Print_Titles</vt:lpstr>
      <vt:lpstr>AGR_fec!Print_Titles</vt:lpstr>
      <vt:lpstr>AGR_ued!Print_Titles</vt:lpstr>
      <vt:lpstr>SER_BL!Print_Titles</vt:lpstr>
      <vt:lpstr>SER_BT!Print_Titles</vt:lpstr>
      <vt:lpstr>SER_CR!Print_Titles</vt:lpstr>
      <vt:lpstr>SER_hh_eff!Print_Titles</vt:lpstr>
      <vt:lpstr>SER_hh_eff_in!Print_Titles</vt:lpstr>
      <vt:lpstr>SER_hh_emi!Print_Titles</vt:lpstr>
      <vt:lpstr>SER_hh_emi_in!Print_Titles</vt:lpstr>
      <vt:lpstr>SER_hh_emih!Print_Titles</vt:lpstr>
      <vt:lpstr>SER_hh_emih_in!Print_Titles</vt:lpstr>
      <vt:lpstr>SER_hh_emis!Print_Titles</vt:lpstr>
      <vt:lpstr>SER_hh_emis_in!Print_Titles</vt:lpstr>
      <vt:lpstr>SER_hh_fec!Print_Titles</vt:lpstr>
      <vt:lpstr>SER_hh_fec_in!Print_Titles</vt:lpstr>
      <vt:lpstr>SER_hh_fech!Print_Titles</vt:lpstr>
      <vt:lpstr>SER_hh_fech_in!Print_Titles</vt:lpstr>
      <vt:lpstr>SER_hh_fecs!Print_Titles</vt:lpstr>
      <vt:lpstr>SER_hh_fecs_in!Print_Titles</vt:lpstr>
      <vt:lpstr>SER_hh_num!Print_Titles</vt:lpstr>
      <vt:lpstr>SER_hh_num_in!Print_Titles</vt:lpstr>
      <vt:lpstr>SER_hh_tes!Print_Titles</vt:lpstr>
      <vt:lpstr>SER_hh_tes_in!Print_Titles</vt:lpstr>
      <vt:lpstr>SER_hh_tesh!Print_Titles</vt:lpstr>
      <vt:lpstr>SER_hh_tesh_in!Print_Titles</vt:lpstr>
      <vt:lpstr>SER_hh_tess!Print_Titles</vt:lpstr>
      <vt:lpstr>SER_hh_tess_in!Print_Titles</vt:lpstr>
      <vt:lpstr>SER_IT!Print_Titles</vt:lpstr>
      <vt:lpstr>'SER_se-appl'!Print_Titles</vt:lpstr>
      <vt:lpstr>SER_SL!Print_Titles</vt:lpstr>
      <vt:lpstr>SER_summary!Print_Titles</vt:lpstr>
      <vt:lpstr>SER_VE!Print_Titles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2024-05-20T16:46:20Z</dcterms:created>
  <dcterms:modified xsi:type="dcterms:W3CDTF">2024-05-20T16:46:20Z</dcterms:modified>
</cp:coreProperties>
</file>