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HU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U5" i="39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K31" i="6" s="1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K9" i="29" s="1"/>
  <c r="J17" i="29"/>
  <c r="J9" i="29" s="1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O8" i="29" s="1"/>
  <c r="N16" i="29"/>
  <c r="N8" i="29" s="1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N6" i="29" s="1"/>
  <c r="M14" i="29"/>
  <c r="L14" i="29"/>
  <c r="L6" i="29" s="1"/>
  <c r="K14" i="29"/>
  <c r="K6" i="29" s="1"/>
  <c r="J14" i="29"/>
  <c r="J6" i="29" s="1"/>
  <c r="I14" i="29"/>
  <c r="I6" i="29" s="1"/>
  <c r="H14" i="29"/>
  <c r="G14" i="29"/>
  <c r="G6" i="29" s="1"/>
  <c r="F14" i="29"/>
  <c r="F6" i="29" s="1"/>
  <c r="E14" i="29"/>
  <c r="D14" i="29"/>
  <c r="D6" i="29" s="1"/>
  <c r="W13" i="29"/>
  <c r="W5" i="31" s="1"/>
  <c r="V13" i="29"/>
  <c r="V5" i="31" s="1"/>
  <c r="U13" i="29"/>
  <c r="U11" i="29" s="1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M13" i="29"/>
  <c r="L13" i="29"/>
  <c r="K13" i="29"/>
  <c r="K5" i="29" s="1"/>
  <c r="J13" i="29"/>
  <c r="J5" i="29" s="1"/>
  <c r="I13" i="29"/>
  <c r="H13" i="29"/>
  <c r="H5" i="29" s="1"/>
  <c r="G13" i="29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O4" i="29" s="1"/>
  <c r="N12" i="29"/>
  <c r="N4" i="29" s="1"/>
  <c r="M12" i="29"/>
  <c r="L12" i="29"/>
  <c r="L11" i="29" s="1"/>
  <c r="K12" i="29"/>
  <c r="J12" i="29"/>
  <c r="I12" i="29"/>
  <c r="H12" i="29"/>
  <c r="G12" i="29"/>
  <c r="F12" i="29"/>
  <c r="F4" i="29" s="1"/>
  <c r="E12" i="29"/>
  <c r="D12" i="29"/>
  <c r="D11" i="29" s="1"/>
  <c r="T9" i="29"/>
  <c r="S9" i="29"/>
  <c r="R9" i="29"/>
  <c r="Q9" i="29"/>
  <c r="L9" i="29"/>
  <c r="I9" i="29"/>
  <c r="D9" i="29"/>
  <c r="W8" i="29"/>
  <c r="V8" i="29"/>
  <c r="U8" i="29"/>
  <c r="P8" i="29"/>
  <c r="M8" i="29"/>
  <c r="H8" i="29"/>
  <c r="G8" i="29"/>
  <c r="F8" i="29"/>
  <c r="E8" i="29"/>
  <c r="T7" i="29"/>
  <c r="Q7" i="29"/>
  <c r="L7" i="29"/>
  <c r="K7" i="29"/>
  <c r="J7" i="29"/>
  <c r="I7" i="29"/>
  <c r="D7" i="29"/>
  <c r="U6" i="29"/>
  <c r="P6" i="29"/>
  <c r="O6" i="29"/>
  <c r="M6" i="29"/>
  <c r="H6" i="29"/>
  <c r="E6" i="29"/>
  <c r="T5" i="29"/>
  <c r="Q5" i="29"/>
  <c r="L5" i="29"/>
  <c r="I5" i="29"/>
  <c r="D5" i="29"/>
  <c r="W4" i="29"/>
  <c r="U4" i="29"/>
  <c r="P4" i="29"/>
  <c r="M4" i="29"/>
  <c r="H4" i="29"/>
  <c r="G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S5" i="29" l="1"/>
  <c r="V6" i="29"/>
  <c r="W6" i="29"/>
  <c r="R7" i="29"/>
  <c r="V11" i="29"/>
  <c r="J11" i="29"/>
  <c r="N11" i="29"/>
  <c r="S7" i="29"/>
  <c r="W11" i="29"/>
  <c r="K11" i="29"/>
  <c r="V4" i="29"/>
  <c r="R5" i="29"/>
  <c r="G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3" i="31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V3" i="32" l="1"/>
  <c r="U19" i="25"/>
  <c r="U19" i="23"/>
  <c r="W3" i="29"/>
  <c r="U15" i="24"/>
  <c r="U27" i="24"/>
  <c r="W3" i="8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T3" i="14" l="1"/>
  <c r="V3" i="23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L90" i="6" l="1"/>
  <c r="W90" i="6"/>
  <c r="T56" i="6"/>
  <c r="S91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G16" i="12" s="1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O29" i="12" s="1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D16" i="14" s="1"/>
  <c r="D16" i="17" s="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J4" i="12" s="1"/>
  <c r="F4" i="8"/>
  <c r="B4" i="8"/>
  <c r="O29" i="9"/>
  <c r="O29" i="13" s="1"/>
  <c r="K29" i="9"/>
  <c r="K29" i="13" s="1"/>
  <c r="G29" i="9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E4" i="13" l="1"/>
  <c r="P29" i="12"/>
  <c r="O29" i="23"/>
  <c r="P16" i="25"/>
  <c r="G29" i="12"/>
  <c r="G29" i="13"/>
  <c r="C17" i="16"/>
  <c r="O4" i="13"/>
  <c r="F4" i="12"/>
  <c r="P19" i="24"/>
  <c r="P19" i="27" s="1"/>
  <c r="C4" i="12"/>
  <c r="O16" i="14"/>
  <c r="F4" i="24"/>
  <c r="N4" i="12"/>
  <c r="J19" i="23"/>
  <c r="J19" i="26" s="1"/>
  <c r="P29" i="13"/>
  <c r="J19" i="24"/>
  <c r="N19" i="23"/>
  <c r="G19" i="23"/>
  <c r="P4" i="12"/>
  <c r="M29" i="24"/>
  <c r="G19" i="24"/>
  <c r="K29" i="12"/>
  <c r="E19" i="24"/>
  <c r="I4" i="23"/>
  <c r="K4" i="24"/>
  <c r="K4" i="27" s="1"/>
  <c r="G16" i="13"/>
  <c r="N29" i="23"/>
  <c r="C19" i="13"/>
  <c r="K19" i="24"/>
  <c r="O19" i="23"/>
  <c r="O19" i="26" s="1"/>
  <c r="Q29" i="24"/>
  <c r="G29" i="24"/>
  <c r="G29" i="27" s="1"/>
  <c r="C19" i="12"/>
  <c r="C19" i="15" s="1"/>
  <c r="P16" i="23"/>
  <c r="M4" i="14"/>
  <c r="O16" i="13"/>
  <c r="O16" i="23"/>
  <c r="F19" i="12"/>
  <c r="F19" i="15" s="1"/>
  <c r="M16" i="24"/>
  <c r="J4" i="23"/>
  <c r="J4" i="26" s="1"/>
  <c r="P19" i="12"/>
  <c r="P19" i="15" s="1"/>
  <c r="H4" i="24"/>
  <c r="M4" i="12"/>
  <c r="O19" i="24"/>
  <c r="P16" i="24"/>
  <c r="L19" i="13"/>
  <c r="L19" i="16" s="1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N16" i="14"/>
  <c r="N16" i="17" s="1"/>
  <c r="D4" i="13"/>
  <c r="N16" i="12"/>
  <c r="N16" i="15" s="1"/>
  <c r="E16" i="12"/>
  <c r="E16" i="15" s="1"/>
  <c r="I16" i="14"/>
  <c r="Q4" i="23"/>
  <c r="J29" i="24"/>
  <c r="P16" i="13"/>
  <c r="C29" i="12"/>
  <c r="C29" i="15" s="1"/>
  <c r="G16" i="24"/>
  <c r="I4" i="12"/>
  <c r="L16" i="13"/>
  <c r="L16" i="16" s="1"/>
  <c r="B29" i="13"/>
  <c r="L4" i="24"/>
  <c r="Q29" i="23"/>
  <c r="G16" i="25"/>
  <c r="Q4" i="24"/>
  <c r="Q4" i="27" s="1"/>
  <c r="D4" i="23"/>
  <c r="C29" i="13"/>
  <c r="B29" i="12"/>
  <c r="B29" i="15" s="1"/>
  <c r="H19" i="24"/>
  <c r="H19" i="27" s="1"/>
  <c r="Q4" i="12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B4" i="13"/>
  <c r="M4" i="23"/>
  <c r="B4" i="12"/>
  <c r="B4" i="15" s="1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I19" i="24"/>
  <c r="K16" i="23"/>
  <c r="K16" i="26" s="1"/>
  <c r="E29" i="13"/>
  <c r="L16" i="24"/>
  <c r="L16" i="27" s="1"/>
  <c r="M4" i="13"/>
  <c r="M4" i="16" s="1"/>
  <c r="D27" i="13"/>
  <c r="D27" i="12"/>
  <c r="M27" i="12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3"/>
  <c r="Q19" i="13"/>
  <c r="Q19" i="16" s="1"/>
  <c r="I29" i="12"/>
  <c r="I29" i="15" s="1"/>
  <c r="D19" i="13"/>
  <c r="D19" i="16" s="1"/>
  <c r="E4" i="12"/>
  <c r="M19" i="12"/>
  <c r="M19" i="15" s="1"/>
  <c r="N27" i="12"/>
  <c r="N27" i="15" s="1"/>
  <c r="N27" i="13"/>
  <c r="E29" i="23"/>
  <c r="E29" i="26" s="1"/>
  <c r="N19" i="13"/>
  <c r="N19" i="16" s="1"/>
  <c r="M16" i="12"/>
  <c r="E29" i="12"/>
  <c r="E29" i="15" s="1"/>
  <c r="P27" i="13"/>
  <c r="P27" i="16" s="1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6" s="1"/>
  <c r="I27" i="12"/>
  <c r="E27" i="12"/>
  <c r="E27" i="13"/>
  <c r="E27" i="16" s="1"/>
  <c r="E19" i="23"/>
  <c r="D15" i="23"/>
  <c r="D15" i="24"/>
  <c r="E19" i="13"/>
  <c r="E19" i="16" s="1"/>
  <c r="C16" i="23"/>
  <c r="C16" i="26" s="1"/>
  <c r="F16" i="23"/>
  <c r="F3" i="19"/>
  <c r="F3" i="23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I19" i="23"/>
  <c r="Q19" i="23"/>
  <c r="Q19" i="26" s="1"/>
  <c r="G15" i="23"/>
  <c r="G15" i="24"/>
  <c r="G15" i="27" s="1"/>
  <c r="H27" i="23"/>
  <c r="H27" i="26" s="1"/>
  <c r="H27" i="24"/>
  <c r="H27" i="27" s="1"/>
  <c r="Q29" i="13"/>
  <c r="I16" i="12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L16" i="12"/>
  <c r="P15" i="23"/>
  <c r="P15" i="26" s="1"/>
  <c r="P15" i="24"/>
  <c r="M29" i="12"/>
  <c r="M29" i="15" s="1"/>
  <c r="H16" i="12"/>
  <c r="H16" i="15" s="1"/>
  <c r="J15" i="24"/>
  <c r="J15" i="23"/>
  <c r="L27" i="23"/>
  <c r="L27" i="26" s="1"/>
  <c r="L27" i="24"/>
  <c r="L27" i="27" s="1"/>
  <c r="O19" i="12"/>
  <c r="G27" i="24"/>
  <c r="G27" i="27" s="1"/>
  <c r="G27" i="23"/>
  <c r="G27" i="26" s="1"/>
  <c r="L4" i="13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E29" i="24"/>
  <c r="E29" i="27" s="1"/>
  <c r="K27" i="23"/>
  <c r="K27" i="24"/>
  <c r="K27" i="27" s="1"/>
  <c r="B27" i="12"/>
  <c r="B27" i="15" s="1"/>
  <c r="B27" i="13"/>
  <c r="B27" i="16" s="1"/>
  <c r="Q19" i="24"/>
  <c r="K15" i="23"/>
  <c r="K15" i="24"/>
  <c r="P27" i="23"/>
  <c r="P27" i="26" s="1"/>
  <c r="P27" i="24"/>
  <c r="P27" i="27" s="1"/>
  <c r="P16" i="12"/>
  <c r="F4" i="13"/>
  <c r="L29" i="13"/>
  <c r="L15" i="23"/>
  <c r="L15" i="26" s="1"/>
  <c r="L15" i="24"/>
  <c r="J27" i="12"/>
  <c r="J27" i="15" s="1"/>
  <c r="J27" i="13"/>
  <c r="J27" i="16" s="1"/>
  <c r="E16" i="24"/>
  <c r="D16" i="12"/>
  <c r="M15" i="23"/>
  <c r="M15" i="24"/>
  <c r="D19" i="23"/>
  <c r="D19" i="26" s="1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N4" i="26" s="1"/>
  <c r="H19" i="12"/>
  <c r="L4" i="12"/>
  <c r="L4" i="15" s="1"/>
  <c r="I16" i="24"/>
  <c r="I16" i="27" s="1"/>
  <c r="H16" i="13"/>
  <c r="H16" i="16" s="1"/>
  <c r="L29" i="12"/>
  <c r="L29" i="15" s="1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H19" i="26" s="1"/>
  <c r="O27" i="24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2"/>
  <c r="L27" i="15" s="1"/>
  <c r="K4" i="13"/>
  <c r="K4" i="16" s="1"/>
  <c r="I29" i="13"/>
  <c r="I29" i="16" s="1"/>
  <c r="J16" i="24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2"/>
  <c r="O27" i="13"/>
  <c r="O27" i="16" s="1"/>
  <c r="O27" i="12"/>
  <c r="O27" i="15" s="1"/>
  <c r="B19" i="12"/>
  <c r="I27" i="23"/>
  <c r="I27" i="24"/>
  <c r="I27" i="27" s="1"/>
  <c r="D27" i="23"/>
  <c r="D27" i="26" s="1"/>
  <c r="D27" i="24"/>
  <c r="L29" i="24"/>
  <c r="L19" i="23"/>
  <c r="L19" i="26" s="1"/>
  <c r="C15" i="24"/>
  <c r="C15" i="27" s="1"/>
  <c r="C15" i="23"/>
  <c r="F27" i="13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15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15" i="27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O27" i="27"/>
  <c r="H16" i="25"/>
  <c r="H16" i="28" s="1"/>
  <c r="K29" i="14"/>
  <c r="K29" i="17" s="1"/>
  <c r="L16" i="14"/>
  <c r="L16" i="17" s="1"/>
  <c r="I16" i="25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M15" i="27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P15" i="27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16" i="28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5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G4" i="16"/>
  <c r="J16" i="14"/>
  <c r="J16" i="17" s="1"/>
  <c r="J16" i="21"/>
  <c r="J16" i="27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I16" i="15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29" i="15"/>
  <c r="G16" i="21"/>
  <c r="G16" i="27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3" i="13" s="1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P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N29" i="16"/>
  <c r="N29" i="10"/>
  <c r="N31" i="16"/>
  <c r="F33" i="16"/>
  <c r="E4" i="15"/>
  <c r="E3" i="8"/>
  <c r="M6" i="15"/>
  <c r="G18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3" i="8"/>
  <c r="B16" i="15"/>
  <c r="B1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7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Q3" i="12" l="1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4" i="4"/>
  <c r="B16" i="4"/>
  <c r="B37" i="4"/>
  <c r="B28" i="4"/>
  <c r="B25" i="4"/>
  <c r="B12" i="4"/>
  <c r="B14" i="4"/>
  <c r="B10" i="4"/>
  <c r="B13" i="4"/>
  <c r="B24" i="4"/>
  <c r="B21" i="4"/>
  <c r="B42" i="4"/>
  <c r="B7" i="4"/>
  <c r="B33" i="4"/>
  <c r="B45" i="4"/>
  <c r="B23" i="4"/>
  <c r="B17" i="4"/>
  <c r="B44" i="4"/>
  <c r="B9" i="4"/>
  <c r="B30" i="4"/>
  <c r="B36" i="4"/>
  <c r="B4" i="4"/>
  <c r="B20" i="4"/>
  <c r="B22" i="4"/>
  <c r="B39" i="4"/>
  <c r="B15" i="4"/>
  <c r="B43" i="4"/>
  <c r="B29" i="4"/>
  <c r="B11" i="4"/>
  <c r="B8" i="4"/>
  <c r="B27" i="4"/>
  <c r="B26" i="4"/>
  <c r="B35" i="4"/>
  <c r="B38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<sst xmlns="http://schemas.openxmlformats.org/spreadsheetml/2006/main" count="2099" uniqueCount="1055">
  <si>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</si>
  <si>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</si>
  <si>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</si>
  <si>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</si>
  <si>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</si>
  <si>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</si>
  <si>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</si>
  <si>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</si>
  <si>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</si>
  <si>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</si>
  <si>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</si>
  <si>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</si>
  <si>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</si>
  <si>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</si>
  <si>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</si>
  <si>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</si>
  <si>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</si>
  <si>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</si>
  <si>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</si>
  <si>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</si>
  <si>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</si>
  <si>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</si>
  <si>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</si>
  <si>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</si>
  <si>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</si>
  <si>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</si>
  <si>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</si>
  <si>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</si>
  <si>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</si>
  <si>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</si>
  <si>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</si>
  <si>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</si>
  <si>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</si>
  <si>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</si>
  <si>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</si>
  <si>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</si>
  <si>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</si>
  <si>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</si>
  <si>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</si>
  <si>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</si>
  <si>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</si>
  <si>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</si>
  <si>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</si>
  <si>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</si>
  <si>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</si>
  <si>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</si>
  <si>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</si>
  <si>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</si>
  <si>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</si>
  <si>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</si>
  <si>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</si>
  <si>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</si>
  <si>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</si>
  <si>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</si>
  <si>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</si>
  <si>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</si>
  <si>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</si>
  <si>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</si>
  <si>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</si>
  <si>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</si>
  <si>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</si>
  <si>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</si>
  <si>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</si>
  <si>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</si>
  <si>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</si>
  <si>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</si>
  <si>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</si>
  <si>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</si>
  <si>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</si>
  <si>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</si>
  <si>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</si>
  <si>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</si>
  <si>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</si>
  <si>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</si>
  <si>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</si>
  <si>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</si>
  <si>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</si>
  <si>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</si>
  <si>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</si>
  <si>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</si>
  <si>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</si>
  <si>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</si>
  <si>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</si>
  <si>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</si>
  <si>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</si>
  <si>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</si>
  <si>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</si>
  <si>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</si>
  <si>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</si>
  <si>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</si>
  <si>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</si>
  <si>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</si>
  <si>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</si>
  <si>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</si>
  <si>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</si>
  <si>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</si>
  <si>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</si>
  <si>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</si>
  <si>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</si>
  <si>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</si>
  <si>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</si>
  <si>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</si>
  <si>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</si>
  <si>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</si>
  <si>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</si>
  <si>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</si>
  <si>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</si>
  <si>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</si>
  <si>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</si>
  <si>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</si>
  <si>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</si>
  <si>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</si>
  <si>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</si>
  <si>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</si>
  <si>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</si>
  <si>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</si>
  <si>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</si>
  <si>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</si>
  <si>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</si>
  <si>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</si>
  <si>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</si>
  <si>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</si>
  <si>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</si>
  <si>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</si>
  <si>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</si>
  <si>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</si>
  <si>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</si>
  <si>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</si>
  <si>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</si>
  <si>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</si>
  <si>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</si>
  <si>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</si>
  <si>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</si>
  <si>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</si>
  <si>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</si>
  <si>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</si>
  <si>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</si>
  <si>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</si>
  <si>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</si>
  <si>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</si>
  <si>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</si>
  <si>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</si>
  <si>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</si>
  <si>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</si>
  <si>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</si>
  <si>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</si>
  <si>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</si>
  <si>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</si>
  <si>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</si>
  <si>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</si>
  <si>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</si>
  <si>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</si>
  <si>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</si>
  <si>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</si>
  <si>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</si>
  <si>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</si>
  <si>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</si>
  <si>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</si>
  <si>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</si>
  <si>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</si>
  <si>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</si>
  <si>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</si>
  <si>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</si>
  <si>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</si>
  <si>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</si>
  <si>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</si>
  <si>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</si>
  <si>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</si>
  <si>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</si>
  <si>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</si>
  <si>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</si>
  <si>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</si>
  <si>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</si>
  <si>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</si>
  <si>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</si>
  <si>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</si>
  <si>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</si>
  <si>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</si>
  <si>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</si>
  <si>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</si>
  <si>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</si>
  <si>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</si>
  <si>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</si>
  <si>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</si>
  <si>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HU</t>
  </si>
  <si>
    <t>Hungary</t>
  </si>
  <si>
    <t>HU - Services sector summary</t>
  </si>
  <si>
    <t>Macro.number.HU.Population</t>
  </si>
  <si>
    <t>Macro.Meuro2015.HU.GDP</t>
  </si>
  <si>
    <t>Macro.Meuro2015.HU.VA</t>
  </si>
  <si>
    <t>Macro.number.HU.Employees</t>
  </si>
  <si>
    <t>NUM.number.HU.Ser.Bld</t>
  </si>
  <si>
    <t>SurfaceArea.ksqm.HU.Ser.Bld</t>
  </si>
  <si>
    <t>NUM.number.HU.Ser.BldNew</t>
  </si>
  <si>
    <t>SurfaceArea.ksqm.HU.Ser.BldNew</t>
  </si>
  <si>
    <t>HDD.Celsius.HU.Actual</t>
  </si>
  <si>
    <t>HDD.Celsius.HU.Mean</t>
  </si>
  <si>
    <t>HDD.ratio.HU.Relative</t>
  </si>
  <si>
    <t>FEC.ktoe.HU.ES.Ser</t>
  </si>
  <si>
    <t>FEC.ktoe.HU.ES.Ser.Solids</t>
  </si>
  <si>
    <t>FEC.ktoe.HU.ES.Ser.LPG</t>
  </si>
  <si>
    <t>FEC.ktoe.HU.ES.Ser.Oil</t>
  </si>
  <si>
    <t>FEC.ktoe.HU.ES.Ser.NG</t>
  </si>
  <si>
    <t>FEC.ktoe.HU.ES.Ser.Biomass_Waste</t>
  </si>
  <si>
    <t>FEC.ktoe.HU.ES.Ser.Biogas</t>
  </si>
  <si>
    <t>FEC.ktoe.HU.ES.Ser.LiqBio</t>
  </si>
  <si>
    <t>FEC.ktoe.HU.ES.Ser.Solar</t>
  </si>
  <si>
    <t>FEC.ktoe.HU.ES.Ser.Geo</t>
  </si>
  <si>
    <t>FEC.ktoe.HU.ES.Ser.Ambient</t>
  </si>
  <si>
    <t>FEC.ktoe.HU.ES.Ser.Steam_Distr</t>
  </si>
  <si>
    <t>FEC.ktoe.HU.ES.Ser.Elec</t>
  </si>
  <si>
    <t>FEC.ktoe.HU.Ser</t>
  </si>
  <si>
    <t>FEC.ktoe.HU.Ser.Bld.Thermal</t>
  </si>
  <si>
    <t>FEC.ktoe.HU.Ser.Bld.Thermal.SH</t>
  </si>
  <si>
    <t>FEC.ktoe.HU.Ser.Bld.Thermal.SC</t>
  </si>
  <si>
    <t>FEC.ktoe.HU.Ser.Bld.Thermal.HW</t>
  </si>
  <si>
    <t>FEC.ktoe.HU.Ser.Bld.Thermal.CA</t>
  </si>
  <si>
    <t>FEC.ktoe.HU.Ser.SEU</t>
  </si>
  <si>
    <t>EMI.ktCO2.HU.ES.Ser</t>
  </si>
  <si>
    <t>EMI.ktCO2.HU.ES.Ser.Solids</t>
  </si>
  <si>
    <t>EMI.ktCO2.HU.ES.Ser.LPG</t>
  </si>
  <si>
    <t>EMI.ktCO2.HU.ES.Ser.Oil</t>
  </si>
  <si>
    <t>EMI.ktCO2.HU.ES.Ser.NG</t>
  </si>
  <si>
    <t>EMI.ktCO2.HU.ES.Ser.Biomass_Waste</t>
  </si>
  <si>
    <t>EMI.ktCO2.HU.ES.Ser.Biogas</t>
  </si>
  <si>
    <t>EMI.ktCO2.HU.ES.Ser.LiqBio</t>
  </si>
  <si>
    <t>EMI.ktCO2.HU.ES.Ser.Solar</t>
  </si>
  <si>
    <t>EMI.ktCO2.HU.ES.Ser.Geo</t>
  </si>
  <si>
    <t>EMI.ktCO2.HU.ES.Ser.Ambient</t>
  </si>
  <si>
    <t>EMI.ktCO2.HU.ES.Ser.Steam_Distr</t>
  </si>
  <si>
    <t>EMI.ktCO2.HU.ES.Ser.Elec</t>
  </si>
  <si>
    <t>EMI.ktCO2.HU.Ser</t>
  </si>
  <si>
    <t>EMI.ktCO2.HU.Ser.Bld.Thermal</t>
  </si>
  <si>
    <t>EMI.ktCO2.HU.Ser.Bld.Thermal.SH</t>
  </si>
  <si>
    <t>EMI.ktCO2.HU.Ser.Bld.Thermal.SC</t>
  </si>
  <si>
    <t>EMI.ktCO2.HU.Ser.Bld.Thermal.HW</t>
  </si>
  <si>
    <t>EMI.ktCO2.HU.Ser.Bld.Thermal.CA</t>
  </si>
  <si>
    <t>EMI.ktCO2.HU.Ser.SEU</t>
  </si>
  <si>
    <t>Eff.ratio.HU.Ser.Bld.Thermal</t>
  </si>
  <si>
    <t>Eff.ratio.HU.Ser.Bld.Thermal.SH</t>
  </si>
  <si>
    <t>Eff.ratio.HU.Ser.Bld.Thermal.SC</t>
  </si>
  <si>
    <t>Eff.ratio.HU.Ser.Bld.Thermal.HW</t>
  </si>
  <si>
    <t>Eff.ratio.HU.Ser.Bld.Thermal.CA</t>
  </si>
  <si>
    <t>HU - Number of buildings</t>
  </si>
  <si>
    <t>NUM.number.HU.Ser.Bld.Thermal</t>
  </si>
  <si>
    <t>NUM.number.HU.Ser.Bld.Thermal.SH</t>
  </si>
  <si>
    <t>NUM.number.HU.Ser.Bld.Thermal.SH.Solids</t>
  </si>
  <si>
    <t>NUM.number.HU.Ser.Bld.Thermal.SH.LPG</t>
  </si>
  <si>
    <t>NUM.number.HU.Ser.Bld.Thermal.SH.Oil</t>
  </si>
  <si>
    <t>NUM.number.HU.Ser.Bld.Thermal.SH.GasHP</t>
  </si>
  <si>
    <t>NUM.number.HU.Ser.Bld.Thermal.SH.GasTH</t>
  </si>
  <si>
    <t>NUM.number.HU.Ser.Bld.Thermal.SH.Biomass</t>
  </si>
  <si>
    <t>NUM.number.HU.Ser.Bld.Thermal.SH.Geo</t>
  </si>
  <si>
    <t>NUM.number.HU.Ser.Bld.Thermal.SH.DistrHeat</t>
  </si>
  <si>
    <t>NUM.number.HU.Ser.Bld.Thermal.SH.AdvElc</t>
  </si>
  <si>
    <t>NUM.number.HU.Ser.Bld.Thermal.SH.ConvElc</t>
  </si>
  <si>
    <t>NUM.number.HU.Ser.Bld.Thermal.SC</t>
  </si>
  <si>
    <t>NUM.number.HU.Ser.Bld.Thermal.SC.GasHP</t>
  </si>
  <si>
    <t>NUM.number.HU.Ser.Bld.Thermal.SC.AC</t>
  </si>
  <si>
    <t>NUM.number.HU.Ser.Bld.Thermal.HW</t>
  </si>
  <si>
    <t>NUM.number.HU.Ser.Bld.Thermal.HW.Solids</t>
  </si>
  <si>
    <t>NUM.number.HU.Ser.Bld.Thermal.HW.LPG</t>
  </si>
  <si>
    <t>NUM.number.HU.Ser.Bld.Thermal.HW.Oil</t>
  </si>
  <si>
    <t>NUM.number.HU.Ser.Bld.Thermal.HW.Gas</t>
  </si>
  <si>
    <t>NUM.number.HU.Ser.Bld.Thermal.HW.Biomass</t>
  </si>
  <si>
    <t>NUM.number.HU.Ser.Bld.Thermal.HW.DistrHeat</t>
  </si>
  <si>
    <t>NUM.number.HU.Ser.Bld.Thermal.HW.Elc</t>
  </si>
  <si>
    <t>NUM.number.HU.Ser.Bld.Thermal.HW.Solar</t>
  </si>
  <si>
    <t>NUM.number.HU.Ser.Bld.Thermal.CA</t>
  </si>
  <si>
    <t>NUM.number.HU.Ser.Bld.Thermal.CA.LPG</t>
  </si>
  <si>
    <t>NUM.number.HU.Ser.Bld.Thermal.CA.Gas</t>
  </si>
  <si>
    <t>NUM.number.HU.Ser.Bld.Thermal.CA.Biomass</t>
  </si>
  <si>
    <t>NUM.number.HU.Ser.Bld.Thermal.CA.Elc</t>
  </si>
  <si>
    <t>HU - Final energy consumption</t>
  </si>
  <si>
    <t>FEC.ktoe.HU.Ser.Bld.Thermal.SH.Solids.Solids</t>
  </si>
  <si>
    <t>FEC.ktoe.HU.Ser.Bld.Thermal.SH.LPG.LPG</t>
  </si>
  <si>
    <t>FEC.ktoe.HU.Ser.Bld.Thermal.SH.Oil.Oil_LiqBio</t>
  </si>
  <si>
    <t>FEC.ktoe.HU.Ser.Bld.Thermal.SH.GasHP.NG_Biogas</t>
  </si>
  <si>
    <t>FEC.ktoe.HU.Ser.Bld.Thermal.SH.GasTH.NG_Biogas</t>
  </si>
  <si>
    <t>FEC.ktoe.HU.Ser.Bld.Thermal.SH.Biomass.Biomass_Waste</t>
  </si>
  <si>
    <t>FEC.ktoe.HU.Ser.Bld.Thermal.SH.Geo.Geo</t>
  </si>
  <si>
    <t>FEC.ktoe.HU.Ser.Bld.Thermal.SH.DistrHeat.Steam_Distr</t>
  </si>
  <si>
    <t>FEC.ktoe.HU.Ser.Bld.Thermal.SH.AdvElc.Elec</t>
  </si>
  <si>
    <t>FEC.ktoe.HU.Ser.Bld.Thermal.SH.ConvElc.Elec</t>
  </si>
  <si>
    <t>FEC.ktoe.HU.Ser.Bld.Thermal.SH.TotalCirculation.Elec</t>
  </si>
  <si>
    <t>FEC.ktoe.HU.Ser.Bld.Thermal.SC.GasHP.NG_Biogas</t>
  </si>
  <si>
    <t>FEC.ktoe.HU.Ser.Bld.Thermal.SC.AC.Elec</t>
  </si>
  <si>
    <t>FEC.ktoe.HU.Ser.Bld.Thermal.HW.Solids.Solids</t>
  </si>
  <si>
    <t>FEC.ktoe.HU.Ser.Bld.Thermal.HW.LPG.LPG</t>
  </si>
  <si>
    <t>FEC.ktoe.HU.Ser.Bld.Thermal.HW.Oil.Oil_LiqBio</t>
  </si>
  <si>
    <t>FEC.ktoe.HU.Ser.Bld.Thermal.HW.Gas.NG_Biogas</t>
  </si>
  <si>
    <t>FEC.ktoe.HU.Ser.Bld.Thermal.HW.Biomass.Biomass_Waste</t>
  </si>
  <si>
    <t>FEC.ktoe.HU.Ser.Bld.Thermal.HW.DistrHeat.Steam_Distr</t>
  </si>
  <si>
    <t>FEC.ktoe.HU.Ser.Bld.Thermal.HW.Elc.Elec</t>
  </si>
  <si>
    <t>FEC.ktoe.HU.Ser.Bld.Thermal.HW.TotalSolar.Solar</t>
  </si>
  <si>
    <t>FEC.ktoe.HU.Ser.Bld.Thermal.CA.LPG</t>
  </si>
  <si>
    <t>FEC.ktoe.HU.Ser.Bld.Thermal.CA.Gas.NG_Biogas</t>
  </si>
  <si>
    <t>FEC.ktoe.HU.Ser.Bld.Thermal.CA.Biomass.Biomass_Waste</t>
  </si>
  <si>
    <t>FEC.ktoe.HU.Ser.Bld.Thermal.CA.Elc.Elec</t>
  </si>
  <si>
    <t>HU - Thermal energy service</t>
  </si>
  <si>
    <t>TES.ktoe.HU.Ser.Bld.Thermal</t>
  </si>
  <si>
    <t>TES.ktoe.HU.Ser.Bld.Thermal.SH</t>
  </si>
  <si>
    <t>TES.ktoe.HU.Ser.Bld.Thermal.SH.Solids.Solids</t>
  </si>
  <si>
    <t>TES.ktoe.HU.Ser.Bld.Thermal.SH.LPG.LPG</t>
  </si>
  <si>
    <t>TES.ktoe.HU.Ser.Bld.Thermal.SH.Oil.Oil_LiqBio</t>
  </si>
  <si>
    <t>TES.ktoe.HU.Ser.Bld.Thermal.SH.GasHP.NG_Biogas</t>
  </si>
  <si>
    <t>TES.ktoe.HU.Ser.Bld.Thermal.SH.GasTH.NG_Biogas</t>
  </si>
  <si>
    <t>TES.ktoe.HU.Ser.Bld.Thermal.SH.Biomass.Biomass_Waste</t>
  </si>
  <si>
    <t>TES.ktoe.HU.Ser.Bld.Thermal.SH.Geo.Geo</t>
  </si>
  <si>
    <t>TES.ktoe.HU.Ser.Bld.Thermal.SH.DistrHeat.Steam_Distr</t>
  </si>
  <si>
    <t>TES.ktoe.HU.Ser.Bld.Thermal.SH.AdvElc.Elec</t>
  </si>
  <si>
    <t>TES.ktoe.HU.Ser.Bld.Thermal.SH.ConvElc.Elec</t>
  </si>
  <si>
    <t>TES.ktoe.HU.Ser.Bld.Thermal.SH.TotalCirculation.Elec</t>
  </si>
  <si>
    <t>TES.ktoe.HU.Ser.Bld.Thermal.SC</t>
  </si>
  <si>
    <t>TES.ktoe.HU.Ser.Bld.Thermal.SC.GasHP.NG_Biogas</t>
  </si>
  <si>
    <t>TES.ktoe.HU.Ser.Bld.Thermal.SC.AC.Elec</t>
  </si>
  <si>
    <t>TES.ktoe.HU.Ser.Bld.Thermal.HW</t>
  </si>
  <si>
    <t>TES.ktoe.HU.Ser.Bld.Thermal.HW.Solids.Solids</t>
  </si>
  <si>
    <t>TES.ktoe.HU.Ser.Bld.Thermal.HW.LPG.LPG</t>
  </si>
  <si>
    <t>TES.ktoe.HU.Ser.Bld.Thermal.HW.Oil.Oil_LiqBio</t>
  </si>
  <si>
    <t>TES.ktoe.HU.Ser.Bld.Thermal.HW.Gas.NG_Biogas</t>
  </si>
  <si>
    <t>TES.ktoe.HU.Ser.Bld.Thermal.HW.Biomass.Biomass_Waste</t>
  </si>
  <si>
    <t>TES.ktoe.HU.Ser.Bld.Thermal.HW.DistrHeat.Steam_Distr</t>
  </si>
  <si>
    <t>TES.ktoe.HU.Ser.Bld.Thermal.HW.Elc.Elec</t>
  </si>
  <si>
    <t>TES.ktoe.HU.Ser.Bld.Thermal.HW.TotalSolar.Solar</t>
  </si>
  <si>
    <t>TES.ktoe.HU.Ser.Bld.Thermal.CA</t>
  </si>
  <si>
    <t>TES.ktoe.HU.Ser.Bld.Thermal.CA.LPG</t>
  </si>
  <si>
    <t>TES.ktoe.HU.Ser.Bld.Thermal.CA.Gas.NG_Biogas</t>
  </si>
  <si>
    <t>TES.ktoe.HU.Ser.Bld.Thermal.CA.Biomass.Biomass_Waste</t>
  </si>
  <si>
    <t>TES.ktoe.HU.Ser.Bld.Thermal.CA.Elc.Elec</t>
  </si>
  <si>
    <t>HU - System efficiency indicator of total stock</t>
  </si>
  <si>
    <t>Eff.ratio.HU.Ser.Bld.Thermal.SH.Solids.Solids</t>
  </si>
  <si>
    <t>Eff.ratio.HU.Ser.Bld.Thermal.SH.LPG.LPG</t>
  </si>
  <si>
    <t>Eff.ratio.HU.Ser.Bld.Thermal.SH.Oil.Oil_LiqBio</t>
  </si>
  <si>
    <t>Eff.ratio.HU.Ser.Bld.Thermal.SH.GasHP.NG_Biogas</t>
  </si>
  <si>
    <t>Eff.ratio.HU.Ser.Bld.Thermal.SH.GasTH.NG_Biogas</t>
  </si>
  <si>
    <t>Eff.ratio.HU.Ser.Bld.Thermal.SH.Biomass.Biomass_Waste</t>
  </si>
  <si>
    <t>Eff.ratio.HU.Ser.Bld.Thermal.SH.Geo.Geo</t>
  </si>
  <si>
    <t>Eff.ratio.HU.Ser.Bld.Thermal.SH.DistrHeat.Steam_Distr</t>
  </si>
  <si>
    <t>Eff.ratio.HU.Ser.Bld.Thermal.SH.AdvElc.Elec</t>
  </si>
  <si>
    <t>Eff.ratio.HU.Ser.Bld.Thermal.SH.ConvElc.Elec</t>
  </si>
  <si>
    <t>Eff.ratio.HU.Ser.Bld.Thermal.SH.TotalCirculation.Elec</t>
  </si>
  <si>
    <t>Eff.ratio.HU.Ser.Bld.Thermal.SC.GasHP.NG_Biogas</t>
  </si>
  <si>
    <t>Eff.ratio.HU.Ser.Bld.Thermal.SC.AC.Elec</t>
  </si>
  <si>
    <t>Eff.ratio.HU.Ser.Bld.Thermal.HW.Solids.Solids</t>
  </si>
  <si>
    <t>Eff.ratio.HU.Ser.Bld.Thermal.HW.LPG.LPG</t>
  </si>
  <si>
    <t>Eff.ratio.HU.Ser.Bld.Thermal.HW.Oil.Oil_LiqBio</t>
  </si>
  <si>
    <t>Eff.ratio.HU.Ser.Bld.Thermal.HW.Gas.NG_Biogas</t>
  </si>
  <si>
    <t>Eff.ratio.HU.Ser.Bld.Thermal.HW.Biomass.Biomass_Waste</t>
  </si>
  <si>
    <t>Eff.ratio.HU.Ser.Bld.Thermal.HW.DistrHeat.Steam_Distr</t>
  </si>
  <si>
    <t>Eff.ratio.HU.Ser.Bld.Thermal.HW.Elc.Elec</t>
  </si>
  <si>
    <t>Eff.ratio.HU.Ser.Bld.Thermal.HW.TotalSolar.Solar</t>
  </si>
  <si>
    <t>Eff.ratio.HU.Ser.Bld.Thermal.CA.LPG</t>
  </si>
  <si>
    <t>Eff.ratio.HU.Ser.Bld.Thermal.CA.Gas.NG_Biogas</t>
  </si>
  <si>
    <t>Eff.ratio.HU.Ser.Bld.Thermal.CA.Biomass.Biomass_Waste</t>
  </si>
  <si>
    <t>Eff.ratio.HU.Ser.Bld.Thermal.CA.Elc.Elec</t>
  </si>
  <si>
    <t>HU - CO2 emissions</t>
  </si>
  <si>
    <t>EMI.ktCO2.HU.Ser.Bld.Thermal.SH.Solids.Solids</t>
  </si>
  <si>
    <t>EMI.ktCO2.HU.Ser.Bld.Thermal.SH.LPG.LPG</t>
  </si>
  <si>
    <t>EMI.ktCO2.HU.Ser.Bld.Thermal.SH.Oil.Oil_LiqBio</t>
  </si>
  <si>
    <t>EMI.ktCO2.HU.Ser.Bld.Thermal.SH.GasHP.NG_Biogas</t>
  </si>
  <si>
    <t>EMI.ktCO2.HU.Ser.Bld.Thermal.SH.GasTH.NG_Biogas</t>
  </si>
  <si>
    <t>EMI.ktCO2.HU.Ser.Bld.Thermal.SH.Biomass.Biomass_Waste</t>
  </si>
  <si>
    <t>EMI.ktCO2.HU.Ser.Bld.Thermal.SH.Geo.Geo</t>
  </si>
  <si>
    <t>EMI.ktCO2.HU.Ser.Bld.Thermal.SH.DistrHeat.Steam_Distr</t>
  </si>
  <si>
    <t>EMI.ktCO2.HU.Ser.Bld.Thermal.SH.AdvElc.Elec</t>
  </si>
  <si>
    <t>EMI.ktCO2.HU.Ser.Bld.Thermal.SH.ConvElc.Elec</t>
  </si>
  <si>
    <t>EMI.ktCO2.HU.Ser.Bld.Thermal.SH.TotalCirculation.Elec</t>
  </si>
  <si>
    <t>EMI.ktCO2.HU.Ser.Bld.Thermal.SC.GasHP.NG_Biogas</t>
  </si>
  <si>
    <t>EMI.ktCO2.HU.Ser.Bld.Thermal.SC.AC.Elec</t>
  </si>
  <si>
    <t>EMI.ktCO2.HU.Ser.Bld.Thermal.HW.Solids.Solids</t>
  </si>
  <si>
    <t>EMI.ktCO2.HU.Ser.Bld.Thermal.HW.LPG.LPG</t>
  </si>
  <si>
    <t>EMI.ktCO2.HU.Ser.Bld.Thermal.HW.Oil.Oil_LiqBio</t>
  </si>
  <si>
    <t>EMI.ktCO2.HU.Ser.Bld.Thermal.HW.Gas.NG_Biogas</t>
  </si>
  <si>
    <t>EMI.ktCO2.HU.Ser.Bld.Thermal.HW.Biomass.Biomass_Waste</t>
  </si>
  <si>
    <t>EMI.ktCO2.HU.Ser.Bld.Thermal.HW.DistrHeat.Steam_Distr</t>
  </si>
  <si>
    <t>EMI.ktCO2.HU.Ser.Bld.Thermal.HW.Elc.Elec</t>
  </si>
  <si>
    <t>EMI.ktCO2.HU.Ser.Bld.Thermal.HW.TotalSolar.Solar</t>
  </si>
  <si>
    <t>EMI.ktCO2.HU.Ser.Bld.Thermal.CA.LPG</t>
  </si>
  <si>
    <t>EMI.ktCO2.HU.Ser.Bld.Thermal.CA.Gas.NG_Biogas</t>
  </si>
  <si>
    <t>EMI.ktCO2.HU.Ser.Bld.Thermal.CA.Biomass.Biomass_Waste</t>
  </si>
  <si>
    <t>EMI.ktCO2.HU.Ser.Bld.Thermal.CA.Elc.Elec</t>
  </si>
  <si>
    <t>HU - Final energy consumption per building</t>
  </si>
  <si>
    <t>FEC_per_building.kWh.HU.Ser.Bld.Thermal</t>
  </si>
  <si>
    <t>FEC_per_building.kWh.HU.Ser.Bld.Thermal.SH</t>
  </si>
  <si>
    <t>FEC_per_building.kWh.HU.Ser.Bld.Thermal.SH.Solids.Solids</t>
  </si>
  <si>
    <t>FEC_per_building.kWh.HU.Ser.Bld.Thermal.SH.LPG.LPG</t>
  </si>
  <si>
    <t>FEC_per_building.kWh.HU.Ser.Bld.Thermal.SH.Oil.Oil_LiqBio</t>
  </si>
  <si>
    <t>FEC_per_building.kWh.HU.Ser.Bld.Thermal.SH.GasHP.NG_Biogas</t>
  </si>
  <si>
    <t>FEC_per_building.kWh.HU.Ser.Bld.Thermal.SH.GasTH.NG_Biogas</t>
  </si>
  <si>
    <t>FEC_per_building.kWh.HU.Ser.Bld.Thermal.SH.Biomass.Biomass_Waste</t>
  </si>
  <si>
    <t>FEC_per_building.kWh.HU.Ser.Bld.Thermal.SH.Geo.Geo</t>
  </si>
  <si>
    <t>FEC_per_building.kWh.HU.Ser.Bld.Thermal.SH.DistrHeat.Steam_Distr</t>
  </si>
  <si>
    <t>FEC_per_building.kWh.HU.Ser.Bld.Thermal.SH.AdvElc.Elec</t>
  </si>
  <si>
    <t>FEC_per_building.kWh.HU.Ser.Bld.Thermal.SH.ConvElc.Elec</t>
  </si>
  <si>
    <t>FEC_per_building.kWh.HU.Ser.Bld.Thermal.SH.TotalCirculation.Elec</t>
  </si>
  <si>
    <t>FEC_per_building.kWh.HU.Ser.Bld.Thermal.SC</t>
  </si>
  <si>
    <t>FEC_per_building.kWh.HU.Ser.Bld.Thermal.SC.GasHP.NG_Biogas</t>
  </si>
  <si>
    <t>FEC_per_building.kWh.HU.Ser.Bld.Thermal.SC.AC.Elec</t>
  </si>
  <si>
    <t>FEC_per_building.kWh.HU.Ser.Bld.Thermal.HW</t>
  </si>
  <si>
    <t>FEC_per_building.kWh.HU.Ser.Bld.Thermal.HW.Solids.Solids</t>
  </si>
  <si>
    <t>FEC_per_building.kWh.HU.Ser.Bld.Thermal.HW.LPG.LPG</t>
  </si>
  <si>
    <t>FEC_per_building.kWh.HU.Ser.Bld.Thermal.HW.Oil.Oil_LiqBio</t>
  </si>
  <si>
    <t>FEC_per_building.kWh.HU.Ser.Bld.Thermal.HW.Gas.NG_Biogas</t>
  </si>
  <si>
    <t>FEC_per_building.kWh.HU.Ser.Bld.Thermal.HW.Biomass.Biomass_Waste</t>
  </si>
  <si>
    <t>FEC_per_building.kWh.HU.Ser.Bld.Thermal.HW.DistrHeat.Steam_Distr</t>
  </si>
  <si>
    <t>FEC_per_building.kWh.HU.Ser.Bld.Thermal.HW.Elc.Elec</t>
  </si>
  <si>
    <t>FEC_per_building.kWh.HU.Ser.Bld.Thermal.HW.TotalSolar.Solar</t>
  </si>
  <si>
    <t>FEC_per_building.kWh.HU.Ser.Bld.Thermal.CA</t>
  </si>
  <si>
    <t>FEC_per_building.kWh.HU.Ser.Bld.Thermal.CA.LPG</t>
  </si>
  <si>
    <t>FEC_per_building.kWh.HU.Ser.Bld.Thermal.CA.Gas.NG_Biogas</t>
  </si>
  <si>
    <t>FEC_per_building.kWh.HU.Ser.Bld.Thermal.CA.Biomass.Biomass_Waste</t>
  </si>
  <si>
    <t>FEC_per_building.kWh.HU.Ser.Bld.Thermal.CA.Elc.Elec</t>
  </si>
  <si>
    <t>HU - Thermal energy service per building</t>
  </si>
  <si>
    <t>TES_per_building.kWh.HU.Ser.Bld.Thermal</t>
  </si>
  <si>
    <t>TES_per_building.kWh.HU.Ser.Bld.Thermal.SH</t>
  </si>
  <si>
    <t>TES_per_building.kWh.HU.Ser.Bld.Thermal.SH.Solids.Solids</t>
  </si>
  <si>
    <t>TES_per_building.kWh.HU.Ser.Bld.Thermal.SH.LPG.LPG</t>
  </si>
  <si>
    <t>TES_per_building.kWh.HU.Ser.Bld.Thermal.SH.Oil.Oil_LiqBio</t>
  </si>
  <si>
    <t>TES_per_building.kWh.HU.Ser.Bld.Thermal.SH.GasHP.NG_Biogas</t>
  </si>
  <si>
    <t>TES_per_building.kWh.HU.Ser.Bld.Thermal.SH.GasTH.NG_Biogas</t>
  </si>
  <si>
    <t>TES_per_building.kWh.HU.Ser.Bld.Thermal.SH.Biomass.Biomass_Waste</t>
  </si>
  <si>
    <t>TES_per_building.kWh.HU.Ser.Bld.Thermal.SH.Geo.Geo</t>
  </si>
  <si>
    <t>TES_per_building.kWh.HU.Ser.Bld.Thermal.SH.DistrHeat.Steam_Distr</t>
  </si>
  <si>
    <t>TES_per_building.kWh.HU.Ser.Bld.Thermal.SH.AdvElc.Elec</t>
  </si>
  <si>
    <t>TES_per_building.kWh.HU.Ser.Bld.Thermal.SH.ConvElc.Elec</t>
  </si>
  <si>
    <t>TES_per_building.kWh.HU.Ser.Bld.Thermal.SH.TotalCirculation.Elec</t>
  </si>
  <si>
    <t>TES_per_building.kWh.HU.Ser.Bld.Thermal.SC</t>
  </si>
  <si>
    <t>TES_per_building.kWh.HU.Ser.Bld.Thermal.SC.GasHP.NG_Biogas</t>
  </si>
  <si>
    <t>TES_per_building.kWh.HU.Ser.Bld.Thermal.SC.AC.Elec</t>
  </si>
  <si>
    <t>TES_per_building.kWh.HU.Ser.Bld.Thermal.HW</t>
  </si>
  <si>
    <t>TES_per_building.kWh.HU.Ser.Bld.Thermal.HW.Solids.Solids</t>
  </si>
  <si>
    <t>TES_per_building.kWh.HU.Ser.Bld.Thermal.HW.LPG.LPG</t>
  </si>
  <si>
    <t>TES_per_building.kWh.HU.Ser.Bld.Thermal.HW.Oil.Oil_LiqBio</t>
  </si>
  <si>
    <t>TES_per_building.kWh.HU.Ser.Bld.Thermal.HW.Gas.NG_Biogas</t>
  </si>
  <si>
    <t>TES_per_building.kWh.HU.Ser.Bld.Thermal.HW.Biomass.Biomass_Waste</t>
  </si>
  <si>
    <t>TES_per_building.kWh.HU.Ser.Bld.Thermal.HW.DistrHeat.Steam_Distr</t>
  </si>
  <si>
    <t>TES_per_building.kWh.HU.Ser.Bld.Thermal.HW.Elc.Elec</t>
  </si>
  <si>
    <t>TES_per_building.kWh.HU.Ser.Bld.Thermal.HW.TotalSolar.Solar</t>
  </si>
  <si>
    <t>TES_per_building.kWh.HU.Ser.Bld.Thermal.CA</t>
  </si>
  <si>
    <t>TES_per_building.kWh.HU.Ser.Bld.Thermal.CA.LPG</t>
  </si>
  <si>
    <t>TES_per_building.kWh.HU.Ser.Bld.Thermal.CA.Gas.NG_Biogas</t>
  </si>
  <si>
    <t>TES_per_building.kWh.HU.Ser.Bld.Thermal.CA.Biomass.Biomass_Waste</t>
  </si>
  <si>
    <t>TES_per_building.kWh.HU.Ser.Bld.Thermal.CA.Elc.Elec</t>
  </si>
  <si>
    <t>HU - CO2 emissions per building</t>
  </si>
  <si>
    <t>EMI_per_building.kgCO2.HU.Ser.Bld.Thermal</t>
  </si>
  <si>
    <t>EMI_per_building.kgCO2.HU.Ser.Bld.Thermal.SH</t>
  </si>
  <si>
    <t>EMI_per_building.kgCO2.HU.Ser.Bld.Thermal.SH.Solids.Solids</t>
  </si>
  <si>
    <t>EMI_per_building.kgCO2.HU.Ser.Bld.Thermal.SH.LPG.LPG</t>
  </si>
  <si>
    <t>EMI_per_building.kgCO2.HU.Ser.Bld.Thermal.SH.Oil.Oil_LiqBio</t>
  </si>
  <si>
    <t>EMI_per_building.kgCO2.HU.Ser.Bld.Thermal.SH.GasHP.NG_Biogas</t>
  </si>
  <si>
    <t>EMI_per_building.kgCO2.HU.Ser.Bld.Thermal.SH.GasTH.NG_Biogas</t>
  </si>
  <si>
    <t>EMI_per_building.kgCO2.HU.Ser.Bld.Thermal.SH.Biomass.Biomass_Waste</t>
  </si>
  <si>
    <t>EMI_per_building.kgCO2.HU.Ser.Bld.Thermal.SH.Geo.Geo</t>
  </si>
  <si>
    <t>EMI_per_building.kgCO2.HU.Ser.Bld.Thermal.SH.DistrHeat.Steam_Distr</t>
  </si>
  <si>
    <t>EMI_per_building.kgCO2.HU.Ser.Bld.Thermal.SH.AdvElc.Elec</t>
  </si>
  <si>
    <t>EMI_per_building.kgCO2.HU.Ser.Bld.Thermal.SH.ConvElc.Elec</t>
  </si>
  <si>
    <t>EMI_per_building.kgCO2.HU.Ser.Bld.Thermal.SH.TotalCirculation.Elec</t>
  </si>
  <si>
    <t>EMI_per_building.kgCO2.HU.Ser.Bld.Thermal.SC</t>
  </si>
  <si>
    <t>EMI_per_building.kgCO2.HU.Ser.Bld.Thermal.SC.GasHP.NG_Biogas</t>
  </si>
  <si>
    <t>EMI_per_building.kgCO2.HU.Ser.Bld.Thermal.SC.AC.Elec</t>
  </si>
  <si>
    <t>EMI_per_building.kgCO2.HU.Ser.Bld.Thermal.HW</t>
  </si>
  <si>
    <t>EMI_per_building.kgCO2.HU.Ser.Bld.Thermal.HW.Solids.Solids</t>
  </si>
  <si>
    <t>EMI_per_building.kgCO2.HU.Ser.Bld.Thermal.HW.LPG.LPG</t>
  </si>
  <si>
    <t>EMI_per_building.kgCO2.HU.Ser.Bld.Thermal.HW.Oil.Oil_LiqBio</t>
  </si>
  <si>
    <t>EMI_per_building.kgCO2.HU.Ser.Bld.Thermal.HW.Gas.NG_Biogas</t>
  </si>
  <si>
    <t>EMI_per_building.kgCO2.HU.Ser.Bld.Thermal.HW.Biomass.Biomass_Waste</t>
  </si>
  <si>
    <t>EMI_per_building.kgCO2.HU.Ser.Bld.Thermal.HW.DistrHeat.Steam_Distr</t>
  </si>
  <si>
    <t>EMI_per_building.kgCO2.HU.Ser.Bld.Thermal.HW.Elc.Elec</t>
  </si>
  <si>
    <t>EMI_per_building.kgCO2.HU.Ser.Bld.Thermal.HW.TotalSolar.Solar</t>
  </si>
  <si>
    <t>EMI_per_building.kgCO2.HU.Ser.Bld.Thermal.CA</t>
  </si>
  <si>
    <t>EMI_per_building.kgCO2.HU.Ser.Bld.Thermal.CA.LPG</t>
  </si>
  <si>
    <t>EMI_per_building.kgCO2.HU.Ser.Bld.Thermal.CA.Gas.NG_Biogas</t>
  </si>
  <si>
    <t>EMI_per_building.kgCO2.HU.Ser.Bld.Thermal.CA.Biomass.Biomass_Waste</t>
  </si>
  <si>
    <t>EMI_per_building.kgCO2.HU.Ser.Bld.Thermal.CA.Elc.Elec</t>
  </si>
  <si>
    <t>HU - Final energy consumption per useful surface area</t>
  </si>
  <si>
    <t>FEC_per_sqm.kWh.HU.Ser.Bld.Thermal</t>
  </si>
  <si>
    <t>FEC_per_sqm.kWh.HU.Ser.Bld.Thermal.SH</t>
  </si>
  <si>
    <t>FEC_per_sqm.kWh.HU.Ser.Bld.Thermal.SH.Solids.Solids</t>
  </si>
  <si>
    <t>FEC_per_sqm.kWh.HU.Ser.Bld.Thermal.SH.LPG.LPG</t>
  </si>
  <si>
    <t>FEC_per_sqm.kWh.HU.Ser.Bld.Thermal.SH.Oil.Oil_LiqBio</t>
  </si>
  <si>
    <t>FEC_per_sqm.kWh.HU.Ser.Bld.Thermal.SH.GasHP.NG_Biogas</t>
  </si>
  <si>
    <t>FEC_per_sqm.kWh.HU.Ser.Bld.Thermal.SH.GasTH.NG_Biogas</t>
  </si>
  <si>
    <t>FEC_per_sqm.kWh.HU.Ser.Bld.Thermal.SH.Biomass.Biomass_Waste</t>
  </si>
  <si>
    <t>FEC_per_sqm.kWh.HU.Ser.Bld.Thermal.SH.Geo.Geo</t>
  </si>
  <si>
    <t>FEC_per_sqm.kWh.HU.Ser.Bld.Thermal.SH.DistrHeat.Steam_Distr</t>
  </si>
  <si>
    <t>FEC_per_sqm.kWh.HU.Ser.Bld.Thermal.SH.AdvElc.Elec</t>
  </si>
  <si>
    <t>FEC_per_sqm.kWh.HU.Ser.Bld.Thermal.SH.ConvElc.Elec</t>
  </si>
  <si>
    <t>FEC_per_sqm.kWh.HU.Ser.Bld.Thermal.SH.TotalCirculation.Elec</t>
  </si>
  <si>
    <t>FEC_per_sqm.kWh.HU.Ser.Bld.Thermal.SC</t>
  </si>
  <si>
    <t>FEC_per_sqm.kWh.HU.Ser.Bld.Thermal.SC.GasHP.NG_Biogas</t>
  </si>
  <si>
    <t>FEC_per_sqm.kWh.HU.Ser.Bld.Thermal.SC.AC.Elec</t>
  </si>
  <si>
    <t>FEC_per_sqm.kWh.HU.Ser.Bld.Thermal.HW</t>
  </si>
  <si>
    <t>FEC_per_sqm.kWh.HU.Ser.Bld.Thermal.HW.Solids.Solids</t>
  </si>
  <si>
    <t>FEC_per_sqm.kWh.HU.Ser.Bld.Thermal.HW.LPG.LPG</t>
  </si>
  <si>
    <t>FEC_per_sqm.kWh.HU.Ser.Bld.Thermal.HW.Oil.Oil_LiqBio</t>
  </si>
  <si>
    <t>FEC_per_sqm.kWh.HU.Ser.Bld.Thermal.HW.Gas.NG_Biogas</t>
  </si>
  <si>
    <t>FEC_per_sqm.kWh.HU.Ser.Bld.Thermal.HW.Biomass.Biomass_Waste</t>
  </si>
  <si>
    <t>FEC_per_sqm.kWh.HU.Ser.Bld.Thermal.HW.DistrHeat.Steam_Distr</t>
  </si>
  <si>
    <t>FEC_per_sqm.kWh.HU.Ser.Bld.Thermal.HW.Elc.Elec</t>
  </si>
  <si>
    <t>FEC_per_sqm.kWh.HU.Ser.Bld.Thermal.HW.TotalSolar.Solar</t>
  </si>
  <si>
    <t>FEC_per_sqm.kWh.HU.Ser.Bld.Thermal.CA</t>
  </si>
  <si>
    <t>FEC_per_sqm.kWh.HU.Ser.Bld.Thermal.CA.LPG</t>
  </si>
  <si>
    <t>FEC_per_sqm.kWh.HU.Ser.Bld.Thermal.CA.Gas.NG_Biogas</t>
  </si>
  <si>
    <t>FEC_per_sqm.kWh.HU.Ser.Bld.Thermal.CA.Biomass.Biomass_Waste</t>
  </si>
  <si>
    <t>FEC_per_sqm.kWh.HU.Ser.Bld.Thermal.CA.Elc.Elec</t>
  </si>
  <si>
    <t>HU - Thermal energy service per useful surface area</t>
  </si>
  <si>
    <t>TES_per_sqm.kWh.HU.Ser.Bld.Thermal</t>
  </si>
  <si>
    <t>TES_per_sqm.kWh.HU.Ser.Bld.Thermal.SH</t>
  </si>
  <si>
    <t>TES_per_sqm.kWh.HU.Ser.Bld.Thermal.SH.Solids.Solids</t>
  </si>
  <si>
    <t>TES_per_sqm.kWh.HU.Ser.Bld.Thermal.SH.LPG.LPG</t>
  </si>
  <si>
    <t>TES_per_sqm.kWh.HU.Ser.Bld.Thermal.SH.Oil.Oil_LiqBio</t>
  </si>
  <si>
    <t>TES_per_sqm.kWh.HU.Ser.Bld.Thermal.SH.GasHP.NG_Biogas</t>
  </si>
  <si>
    <t>TES_per_sqm.kWh.HU.Ser.Bld.Thermal.SH.GasTH.NG_Biogas</t>
  </si>
  <si>
    <t>TES_per_sqm.kWh.HU.Ser.Bld.Thermal.SH.Biomass.Biomass_Waste</t>
  </si>
  <si>
    <t>TES_per_sqm.kWh.HU.Ser.Bld.Thermal.SH.Geo.Geo</t>
  </si>
  <si>
    <t>TES_per_sqm.kWh.HU.Ser.Bld.Thermal.SH.DistrHeat.Steam_Distr</t>
  </si>
  <si>
    <t>TES_per_sqm.kWh.HU.Ser.Bld.Thermal.SH.AdvElc.Elec</t>
  </si>
  <si>
    <t>TES_per_sqm.kWh.HU.Ser.Bld.Thermal.SH.ConvElc.Elec</t>
  </si>
  <si>
    <t>TES_per_sqm.kWh.HU.Ser.Bld.Thermal.SH.TotalCirculation.Elec</t>
  </si>
  <si>
    <t>TES_per_sqm.kWh.HU.Ser.Bld.Thermal.SC</t>
  </si>
  <si>
    <t>TES_per_sqm.kWh.HU.Ser.Bld.Thermal.SC.GasHP.NG_Biogas</t>
  </si>
  <si>
    <t>TES_per_sqm.kWh.HU.Ser.Bld.Thermal.SC.AC.Elec</t>
  </si>
  <si>
    <t>TES_per_sqm.kWh.HU.Ser.Bld.Thermal.HW</t>
  </si>
  <si>
    <t>TES_per_sqm.kWh.HU.Ser.Bld.Thermal.HW.Solids.Solids</t>
  </si>
  <si>
    <t>TES_per_sqm.kWh.HU.Ser.Bld.Thermal.HW.LPG.LPG</t>
  </si>
  <si>
    <t>TES_per_sqm.kWh.HU.Ser.Bld.Thermal.HW.Oil.Oil_LiqBio</t>
  </si>
  <si>
    <t>TES_per_sqm.kWh.HU.Ser.Bld.Thermal.HW.Gas.NG_Biogas</t>
  </si>
  <si>
    <t>TES_per_sqm.kWh.HU.Ser.Bld.Thermal.HW.Biomass.Biomass_Waste</t>
  </si>
  <si>
    <t>TES_per_sqm.kWh.HU.Ser.Bld.Thermal.HW.DistrHeat.Steam_Distr</t>
  </si>
  <si>
    <t>TES_per_sqm.kWh.HU.Ser.Bld.Thermal.HW.Elc.Elec</t>
  </si>
  <si>
    <t>TES_per_sqm.kWh.HU.Ser.Bld.Thermal.HW.TotalSolar.Solar</t>
  </si>
  <si>
    <t>TES_per_sqm.kWh.HU.Ser.Bld.Thermal.CA</t>
  </si>
  <si>
    <t>TES_per_sqm.kWh.HU.Ser.Bld.Thermal.CA.LPG</t>
  </si>
  <si>
    <t>TES_per_sqm.kWh.HU.Ser.Bld.Thermal.CA.Gas.NG_Biogas</t>
  </si>
  <si>
    <t>TES_per_sqm.kWh.HU.Ser.Bld.Thermal.CA.Biomass.Biomass_Waste</t>
  </si>
  <si>
    <t>TES_per_sqm.kWh.HU.Ser.Bld.Thermal.CA.Elc.Elec</t>
  </si>
  <si>
    <t>HU - CO2 emissions per useful surface area</t>
  </si>
  <si>
    <t>EMI_per_sqm.kgCO2.HU.Ser.Bld.Thermal</t>
  </si>
  <si>
    <t>EMI_per_sqm.kgCO2.HU.Ser.Bld.Thermal.SH</t>
  </si>
  <si>
    <t>EMI_per_sqm.kgCO2.HU.Ser.Bld.Thermal.SH.Solids.Solids</t>
  </si>
  <si>
    <t>EMI_per_sqm.kgCO2.HU.Ser.Bld.Thermal.SH.LPG.LPG</t>
  </si>
  <si>
    <t>EMI_per_sqm.kgCO2.HU.Ser.Bld.Thermal.SH.Oil.Oil_LiqBio</t>
  </si>
  <si>
    <t>EMI_per_sqm.kgCO2.HU.Ser.Bld.Thermal.SH.GasHP.NG_Biogas</t>
  </si>
  <si>
    <t>EMI_per_sqm.kgCO2.HU.Ser.Bld.Thermal.SH.GasTH.NG_Biogas</t>
  </si>
  <si>
    <t>EMI_per_sqm.kgCO2.HU.Ser.Bld.Thermal.SH.Biomass.Biomass_Waste</t>
  </si>
  <si>
    <t>EMI_per_sqm.kgCO2.HU.Ser.Bld.Thermal.SH.Geo.Geo</t>
  </si>
  <si>
    <t>EMI_per_sqm.kgCO2.HU.Ser.Bld.Thermal.SH.DistrHeat.Steam_Distr</t>
  </si>
  <si>
    <t>EMI_per_sqm.kgCO2.HU.Ser.Bld.Thermal.SH.AdvElc.Elec</t>
  </si>
  <si>
    <t>EMI_per_sqm.kgCO2.HU.Ser.Bld.Thermal.SH.ConvElc.Elec</t>
  </si>
  <si>
    <t>EMI_per_sqm.kgCO2.HU.Ser.Bld.Thermal.SH.TotalCirculation.Elec</t>
  </si>
  <si>
    <t>EMI_per_sqm.kgCO2.HU.Ser.Bld.Thermal.SC</t>
  </si>
  <si>
    <t>EMI_per_sqm.kgCO2.HU.Ser.Bld.Thermal.SC.GasHP.NG_Biogas</t>
  </si>
  <si>
    <t>EMI_per_sqm.kgCO2.HU.Ser.Bld.Thermal.SC.AC.Elec</t>
  </si>
  <si>
    <t>EMI_per_sqm.kgCO2.HU.Ser.Bld.Thermal.HW</t>
  </si>
  <si>
    <t>EMI_per_sqm.kgCO2.HU.Ser.Bld.Thermal.HW.Solids.Solids</t>
  </si>
  <si>
    <t>EMI_per_sqm.kgCO2.HU.Ser.Bld.Thermal.HW.LPG.LPG</t>
  </si>
  <si>
    <t>EMI_per_sqm.kgCO2.HU.Ser.Bld.Thermal.HW.Oil.Oil_LiqBio</t>
  </si>
  <si>
    <t>EMI_per_sqm.kgCO2.HU.Ser.Bld.Thermal.HW.Gas.NG_Biogas</t>
  </si>
  <si>
    <t>EMI_per_sqm.kgCO2.HU.Ser.Bld.Thermal.HW.Biomass.Biomass_Waste</t>
  </si>
  <si>
    <t>EMI_per_sqm.kgCO2.HU.Ser.Bld.Thermal.HW.DistrHeat.Steam_Distr</t>
  </si>
  <si>
    <t>EMI_per_sqm.kgCO2.HU.Ser.Bld.Thermal.HW.Elc.Elec</t>
  </si>
  <si>
    <t>EMI_per_sqm.kgCO2.HU.Ser.Bld.Thermal.HW.TotalSolar.Solar</t>
  </si>
  <si>
    <t>EMI_per_sqm.kgCO2.HU.Ser.Bld.Thermal.CA</t>
  </si>
  <si>
    <t>EMI_per_sqm.kgCO2.HU.Ser.Bld.Thermal.CA.LPG</t>
  </si>
  <si>
    <t>EMI_per_sqm.kgCO2.HU.Ser.Bld.Thermal.CA.Gas.NG_Biogas</t>
  </si>
  <si>
    <t>EMI_per_sqm.kgCO2.HU.Ser.Bld.Thermal.CA.Biomass.Biomass_Waste</t>
  </si>
  <si>
    <t>EMI_per_sqm.kgCO2.HU.Ser.Bld.Thermal.CA.Elc.Elec</t>
  </si>
  <si>
    <t>HU - Number of new and renovated buildings</t>
  </si>
  <si>
    <t>NUM.number.HU.Ser.BldNew.Thermal</t>
  </si>
  <si>
    <t>NUM.number.HU.Ser.BldNew.Thermal.SH</t>
  </si>
  <si>
    <t>NUM.number.HU.Ser.BldNew.Thermal.SH.Solids</t>
  </si>
  <si>
    <t>NUM.number.HU.Ser.BldNew.Thermal.SH.LPG</t>
  </si>
  <si>
    <t>NUM.number.HU.Ser.BldNew.Thermal.SH.Oil</t>
  </si>
  <si>
    <t>NUM.number.HU.Ser.BldNew.Thermal.SH.GasHP</t>
  </si>
  <si>
    <t>NUM.number.HU.Ser.BldNew.Thermal.SH.GasTH</t>
  </si>
  <si>
    <t>NUM.number.HU.Ser.BldNew.Thermal.SH.Biomass</t>
  </si>
  <si>
    <t>NUM.number.HU.Ser.BldNew.Thermal.SH.Geo</t>
  </si>
  <si>
    <t>NUM.number.HU.Ser.BldNew.Thermal.SH.DistrHeat</t>
  </si>
  <si>
    <t>NUM.number.HU.Ser.BldNew.Thermal.SH.AdvElc</t>
  </si>
  <si>
    <t>NUM.number.HU.Ser.BldNew.Thermal.SH.ConvElc</t>
  </si>
  <si>
    <t>NUM.number.HU.Ser.BldNew.Thermal.SC</t>
  </si>
  <si>
    <t>NUM.number.HU.Ser.BldNew.Thermal.SC.GasHP</t>
  </si>
  <si>
    <t>NUM.number.HU.Ser.BldNew.Thermal.SC.AC</t>
  </si>
  <si>
    <t>NUM.number.HU.Ser.BldNew.Thermal.HW</t>
  </si>
  <si>
    <t>NUM.number.HU.Ser.BldNew.Thermal.HW.Solids</t>
  </si>
  <si>
    <t>NUM.number.HU.Ser.BldNew.Thermal.HW.LPG</t>
  </si>
  <si>
    <t>NUM.number.HU.Ser.BldNew.Thermal.HW.Oil</t>
  </si>
  <si>
    <t>NUM.number.HU.Ser.BldNew.Thermal.HW.Gas</t>
  </si>
  <si>
    <t>NUM.number.HU.Ser.BldNew.Thermal.HW.Biomass</t>
  </si>
  <si>
    <t>NUM.number.HU.Ser.BldNew.Thermal.HW.DistrHeat</t>
  </si>
  <si>
    <t>NUM.number.HU.Ser.BldNew.Thermal.HW.Elc</t>
  </si>
  <si>
    <t>NUM.number.HU.Ser.BldNew.Thermal.HW.Solar</t>
  </si>
  <si>
    <t>NUM.number.HU.Ser.BldNew.Thermal.CA</t>
  </si>
  <si>
    <t>NUM.number.HU.Ser.BldNew.Thermal.CA.LPG</t>
  </si>
  <si>
    <t>NUM.number.HU.Ser.BldNew.Thermal.CA.Gas</t>
  </si>
  <si>
    <t>NUM.number.HU.Ser.BldNew.Thermal.CA.Biomass</t>
  </si>
  <si>
    <t>NUM.number.HU.Ser.BldNew.Thermal.CA.Elc</t>
  </si>
  <si>
    <t>HU - Final energy consumption in new and renovated buildings</t>
  </si>
  <si>
    <t>FEC.ktoe.HU.Ser.BldNew.Thermal</t>
  </si>
  <si>
    <t>FEC.ktoe.HU.Ser.BldNew.Thermal.SH</t>
  </si>
  <si>
    <t>FEC.ktoe.HU.Ser.BldNew.Thermal.SH.Solids.Solids</t>
  </si>
  <si>
    <t>FEC.ktoe.HU.Ser.BldNew.Thermal.SH.LPG.LPG</t>
  </si>
  <si>
    <t>FEC.ktoe.HU.Ser.BldNew.Thermal.SH.Oil.Oil_LiqBio</t>
  </si>
  <si>
    <t>FEC.ktoe.HU.Ser.BldNew.Thermal.SH.GasHP.NG_Biogas</t>
  </si>
  <si>
    <t>FEC.ktoe.HU.Ser.BldNew.Thermal.SH.GasTH.NG_Biogas</t>
  </si>
  <si>
    <t>FEC.ktoe.HU.Ser.BldNew.Thermal.SH.Biomass.Biomass_Waste</t>
  </si>
  <si>
    <t>FEC.ktoe.HU.Ser.BldNew.Thermal.SH.Geo.Geo</t>
  </si>
  <si>
    <t>FEC.ktoe.HU.Ser.BldNew.Thermal.SH.DistrHeat.Steam_Distr</t>
  </si>
  <si>
    <t>FEC.ktoe.HU.Ser.BldNew.Thermal.SH.AdvElc.Elec</t>
  </si>
  <si>
    <t>FEC.ktoe.HU.Ser.BldNew.Thermal.SH.ConvElc.Elec</t>
  </si>
  <si>
    <t>FEC.ktoe.HU.Ser.BldNew.Thermal.SH.TotalCirculation.Elec</t>
  </si>
  <si>
    <t>FEC.ktoe.HU.Ser.BldNew.Thermal.SC</t>
  </si>
  <si>
    <t>FEC.ktoe.HU.Ser.BldNew.Thermal.SC.GasHP.NG_Biogas</t>
  </si>
  <si>
    <t>FEC.ktoe.HU.Ser.BldNew.Thermal.SC.AC.Elec</t>
  </si>
  <si>
    <t>FEC.ktoe.HU.Ser.BldNew.Thermal.HW</t>
  </si>
  <si>
    <t>FEC.ktoe.HU.Ser.BldNew.Thermal.HW.Solids.Solids</t>
  </si>
  <si>
    <t>FEC.ktoe.HU.Ser.BldNew.Thermal.HW.LPG.LPG</t>
  </si>
  <si>
    <t>FEC.ktoe.HU.Ser.BldNew.Thermal.HW.Oil.Oil_LiqBio</t>
  </si>
  <si>
    <t>FEC.ktoe.HU.Ser.BldNew.Thermal.HW.Gas.NG_Biogas</t>
  </si>
  <si>
    <t>FEC.ktoe.HU.Ser.BldNew.Thermal.HW.Biomass.Biomass_Waste</t>
  </si>
  <si>
    <t>FEC.ktoe.HU.Ser.BldNew.Thermal.HW.DistrHeat.Steam_Distr</t>
  </si>
  <si>
    <t>FEC.ktoe.HU.Ser.BldNew.Thermal.HW.Elc.Elec</t>
  </si>
  <si>
    <t>FEC.ktoe.HU.Ser.BldNew.Thermal.HW.TotalSolar.Solar</t>
  </si>
  <si>
    <t>FEC.ktoe.HU.Ser.BldNew.Thermal.CA</t>
  </si>
  <si>
    <t>FEC.ktoe.HU.Ser.BldNew.Thermal.CA.LPG</t>
  </si>
  <si>
    <t>FEC.ktoe.HU.Ser.BldNew.Thermal.CA.Gas.NG_Biogas</t>
  </si>
  <si>
    <t>FEC.ktoe.HU.Ser.BldNew.Thermal.CA.Biomass.Biomass_Waste</t>
  </si>
  <si>
    <t>FEC.ktoe.HU.Ser.BldNew.Thermal.CA.Elc.Elec</t>
  </si>
  <si>
    <t>HU - Thermal energy service in new and renovated buildings</t>
  </si>
  <si>
    <t>TES.ktoe.HU.Ser.BldNew.Thermal</t>
  </si>
  <si>
    <t>TES.ktoe.HU.Ser.BldNew.Thermal.SH</t>
  </si>
  <si>
    <t>TES.ktoe.HU.Ser.BldNew.Thermal.SH.Solids.Solids</t>
  </si>
  <si>
    <t>TES.ktoe.HU.Ser.BldNew.Thermal.SH.LPG.LPG</t>
  </si>
  <si>
    <t>TES.ktoe.HU.Ser.BldNew.Thermal.SH.Oil.Oil_LiqBio</t>
  </si>
  <si>
    <t>TES.ktoe.HU.Ser.BldNew.Thermal.SH.GasHP.NG_Biogas</t>
  </si>
  <si>
    <t>TES.ktoe.HU.Ser.BldNew.Thermal.SH.GasTH.NG_Biogas</t>
  </si>
  <si>
    <t>TES.ktoe.HU.Ser.BldNew.Thermal.SH.Biomass.Biomass_Waste</t>
  </si>
  <si>
    <t>TES.ktoe.HU.Ser.BldNew.Thermal.SH.Geo.Geo</t>
  </si>
  <si>
    <t>TES.ktoe.HU.Ser.BldNew.Thermal.SH.DistrHeat.Steam_Distr</t>
  </si>
  <si>
    <t>TES.ktoe.HU.Ser.BldNew.Thermal.SH.AdvElc.Elec</t>
  </si>
  <si>
    <t>TES.ktoe.HU.Ser.BldNew.Thermal.SH.ConvElc.Elec</t>
  </si>
  <si>
    <t>TES.ktoe.HU.Ser.BldNew.Thermal.SH.TotalCirculation.Elec</t>
  </si>
  <si>
    <t>TES.ktoe.HU.Ser.BldNew.Thermal.SC</t>
  </si>
  <si>
    <t>TES.ktoe.HU.Ser.BldNew.Thermal.SC.GasHP.NG_Biogas</t>
  </si>
  <si>
    <t>TES.ktoe.HU.Ser.BldNew.Thermal.SC.AC.Elec</t>
  </si>
  <si>
    <t>TES.ktoe.HU.Ser.BldNew.Thermal.HW</t>
  </si>
  <si>
    <t>TES.ktoe.HU.Ser.BldNew.Thermal.HW.Solids.Solids</t>
  </si>
  <si>
    <t>TES.ktoe.HU.Ser.BldNew.Thermal.HW.LPG.LPG</t>
  </si>
  <si>
    <t>TES.ktoe.HU.Ser.BldNew.Thermal.HW.Oil.Oil_LiqBio</t>
  </si>
  <si>
    <t>TES.ktoe.HU.Ser.BldNew.Thermal.HW.Gas.NG_Biogas</t>
  </si>
  <si>
    <t>TES.ktoe.HU.Ser.BldNew.Thermal.HW.Biomass.Biomass_Waste</t>
  </si>
  <si>
    <t>TES.ktoe.HU.Ser.BldNew.Thermal.HW.DistrHeat.Steam_Distr</t>
  </si>
  <si>
    <t>TES.ktoe.HU.Ser.BldNew.Thermal.HW.Elc.Elec</t>
  </si>
  <si>
    <t>TES.ktoe.HU.Ser.BldNew.Thermal.HW.TotalSolar.Solar</t>
  </si>
  <si>
    <t>TES.ktoe.HU.Ser.BldNew.Thermal.CA</t>
  </si>
  <si>
    <t>TES.ktoe.HU.Ser.BldNew.Thermal.CA.LPG</t>
  </si>
  <si>
    <t>TES.ktoe.HU.Ser.BldNew.Thermal.CA.Gas.NG_Biogas</t>
  </si>
  <si>
    <t>TES.ktoe.HU.Ser.BldNew.Thermal.CA.Biomass.Biomass_Waste</t>
  </si>
  <si>
    <t>TES.ktoe.HU.Ser.BldNew.Thermal.CA.Elc.Elec</t>
  </si>
  <si>
    <t>HU - System efficiency indicator of new and renovated buildings</t>
  </si>
  <si>
    <t>Eff.ratio.HU.Ser.BldNew.Thermal</t>
  </si>
  <si>
    <t>Eff.ratio.HU.Ser.BldNew.Thermal.SH</t>
  </si>
  <si>
    <t>Eff.ratio.HU.Ser.BldNew.Thermal.SH.Solids.Solids</t>
  </si>
  <si>
    <t>Eff.ratio.HU.Ser.BldNew.Thermal.SH.LPG.LPG</t>
  </si>
  <si>
    <t>Eff.ratio.HU.Ser.BldNew.Thermal.SH.Oil.Oil_LiqBio</t>
  </si>
  <si>
    <t>Eff.ratio.HU.Ser.BldNew.Thermal.SH.GasHP.NG_Biogas</t>
  </si>
  <si>
    <t>Eff.ratio.HU.Ser.BldNew.Thermal.SH.GasTH.NG_Biogas</t>
  </si>
  <si>
    <t>Eff.ratio.HU.Ser.BldNew.Thermal.SH.Biomass.Biomass_Waste</t>
  </si>
  <si>
    <t>Eff.ratio.HU.Ser.BldNew.Thermal.SH.Geo.Geo</t>
  </si>
  <si>
    <t>Eff.ratio.HU.Ser.BldNew.Thermal.SH.DistrHeat.Steam_Distr</t>
  </si>
  <si>
    <t>Eff.ratio.HU.Ser.BldNew.Thermal.SH.AdvElc.Elec</t>
  </si>
  <si>
    <t>Eff.ratio.HU.Ser.BldNew.Thermal.SH.ConvElc.Elec</t>
  </si>
  <si>
    <t>Eff.ratio.HU.Ser.BldNew.Thermal.SH.TotalCirculation.Elec</t>
  </si>
  <si>
    <t>Eff.ratio.HU.Ser.BldNew.Thermal.SC</t>
  </si>
  <si>
    <t>Eff.ratio.HU.Ser.BldNew.Thermal.SC.GasHP.NG_Biogas</t>
  </si>
  <si>
    <t>Eff.ratio.HU.Ser.BldNew.Thermal.SC.AC.Elec</t>
  </si>
  <si>
    <t>Eff.ratio.HU.Ser.BldNew.Thermal.HW</t>
  </si>
  <si>
    <t>Eff.ratio.HU.Ser.BldNew.Thermal.HW.Solids.Solids</t>
  </si>
  <si>
    <t>Eff.ratio.HU.Ser.BldNew.Thermal.HW.LPG.LPG</t>
  </si>
  <si>
    <t>Eff.ratio.HU.Ser.BldNew.Thermal.HW.Oil.Oil_LiqBio</t>
  </si>
  <si>
    <t>Eff.ratio.HU.Ser.BldNew.Thermal.HW.Gas.NG_Biogas</t>
  </si>
  <si>
    <t>Eff.ratio.HU.Ser.BldNew.Thermal.HW.Biomass.Biomass_Waste</t>
  </si>
  <si>
    <t>Eff.ratio.HU.Ser.BldNew.Thermal.HW.DistrHeat.Steam_Distr</t>
  </si>
  <si>
    <t>Eff.ratio.HU.Ser.BldNew.Thermal.HW.Elc.Elec</t>
  </si>
  <si>
    <t>Eff.ratio.HU.Ser.BldNew.Thermal.HW.TotalSolar.Solar</t>
  </si>
  <si>
    <t>Eff.ratio.HU.Ser.BldNew.Thermal.CA</t>
  </si>
  <si>
    <t>Eff.ratio.HU.Ser.BldNew.Thermal.CA.LPG</t>
  </si>
  <si>
    <t>Eff.ratio.HU.Ser.BldNew.Thermal.CA.Gas.NG_Biogas</t>
  </si>
  <si>
    <t>Eff.ratio.HU.Ser.BldNew.Thermal.CA.Biomass.Biomass_Waste</t>
  </si>
  <si>
    <t>Eff.ratio.HU.Ser.BldNew.Thermal.CA.Elc.Elec</t>
  </si>
  <si>
    <t>HU - CO2 emissions in new and renovated buildings</t>
  </si>
  <si>
    <t>EMI.ktCO2.HU.Ser.BldNew.Thermal</t>
  </si>
  <si>
    <t>EMI.ktCO2.HU.Ser.BldNew.Thermal.SH</t>
  </si>
  <si>
    <t>EMI.ktCO2.HU.Ser.BldNew.Thermal.SH.Solids.Solids</t>
  </si>
  <si>
    <t>EMI.ktCO2.HU.Ser.BldNew.Thermal.SH.LPG.LPG</t>
  </si>
  <si>
    <t>EMI.ktCO2.HU.Ser.BldNew.Thermal.SH.Oil.Oil_LiqBio</t>
  </si>
  <si>
    <t>EMI.ktCO2.HU.Ser.BldNew.Thermal.SH.GasHP.NG_Biogas</t>
  </si>
  <si>
    <t>EMI.ktCO2.HU.Ser.BldNew.Thermal.SH.GasTH.NG_Biogas</t>
  </si>
  <si>
    <t>EMI.ktCO2.HU.Ser.BldNew.Thermal.SH.Biomass.Biomass_Waste</t>
  </si>
  <si>
    <t>EMI.ktCO2.HU.Ser.BldNew.Thermal.SH.Geo.Geo</t>
  </si>
  <si>
    <t>EMI.ktCO2.HU.Ser.BldNew.Thermal.SH.DistrHeat.Steam_Distr</t>
  </si>
  <si>
    <t>EMI.ktCO2.HU.Ser.BldNew.Thermal.SH.AdvElc.Elec</t>
  </si>
  <si>
    <t>EMI.ktCO2.HU.Ser.BldNew.Thermal.SH.ConvElc.Elec</t>
  </si>
  <si>
    <t>EMI.ktCO2.HU.Ser.BldNew.Thermal.SH.TotalCirculation.Elec</t>
  </si>
  <si>
    <t>EMI.ktCO2.HU.Ser.BldNew.Thermal.SC</t>
  </si>
  <si>
    <t>EMI.ktCO2.HU.Ser.BldNew.Thermal.SC.GasHP.NG_Biogas</t>
  </si>
  <si>
    <t>EMI.ktCO2.HU.Ser.BldNew.Thermal.SC.AC.Elec</t>
  </si>
  <si>
    <t>EMI.ktCO2.HU.Ser.BldNew.Thermal.HW</t>
  </si>
  <si>
    <t>EMI.ktCO2.HU.Ser.BldNew.Thermal.HW.Solids.Solids</t>
  </si>
  <si>
    <t>EMI.ktCO2.HU.Ser.BldNew.Thermal.HW.LPG.LPG</t>
  </si>
  <si>
    <t>EMI.ktCO2.HU.Ser.BldNew.Thermal.HW.Oil.Oil_LiqBio</t>
  </si>
  <si>
    <t>EMI.ktCO2.HU.Ser.BldNew.Thermal.HW.Gas.NG_Biogas</t>
  </si>
  <si>
    <t>EMI.ktCO2.HU.Ser.BldNew.Thermal.HW.Biomass.Biomass_Waste</t>
  </si>
  <si>
    <t>EMI.ktCO2.HU.Ser.BldNew.Thermal.HW.DistrHeat.Steam_Distr</t>
  </si>
  <si>
    <t>EMI.ktCO2.HU.Ser.BldNew.Thermal.HW.Elc.Elec</t>
  </si>
  <si>
    <t>EMI.ktCO2.HU.Ser.BldNew.Thermal.HW.TotalSolar.Solar</t>
  </si>
  <si>
    <t>EMI.ktCO2.HU.Ser.BldNew.Thermal.CA</t>
  </si>
  <si>
    <t>EMI.ktCO2.HU.Ser.BldNew.Thermal.CA.LPG</t>
  </si>
  <si>
    <t>EMI.ktCO2.HU.Ser.BldNew.Thermal.CA.Gas.NG_Biogas</t>
  </si>
  <si>
    <t>EMI.ktCO2.HU.Ser.BldNew.Thermal.CA.Biomass.Biomass_Waste</t>
  </si>
  <si>
    <t>EMI.ktCO2.HU.Ser.BldNew.Thermal.CA.Elc.Elec</t>
  </si>
  <si>
    <t>HU - Final energy consumption of new and renovated buildings (per building)</t>
  </si>
  <si>
    <t>FEC_per_building.kWh.HU.Ser.BldNew.Thermal</t>
  </si>
  <si>
    <t>FEC_per_building.kWh.HU.Ser.BldNew.Thermal.SH</t>
  </si>
  <si>
    <t>FEC_per_building.kWh.HU.Ser.BldNew.Thermal.SH.Solids.Solids</t>
  </si>
  <si>
    <t>FEC_per_building.kWh.HU.Ser.BldNew.Thermal.SH.LPG.LPG</t>
  </si>
  <si>
    <t>FEC_per_building.kWh.HU.Ser.BldNew.Thermal.SH.Oil.Oil_LiqBio</t>
  </si>
  <si>
    <t>FEC_per_building.kWh.HU.Ser.BldNew.Thermal.SH.GasHP.NG_Biogas</t>
  </si>
  <si>
    <t>FEC_per_building.kWh.HU.Ser.BldNew.Thermal.SH.GasTH.NG_Biogas</t>
  </si>
  <si>
    <t>FEC_per_building.kWh.HU.Ser.BldNew.Thermal.SH.Biomass.Biomass_Waste</t>
  </si>
  <si>
    <t>FEC_per_building.kWh.HU.Ser.BldNew.Thermal.SH.Geo.Geo</t>
  </si>
  <si>
    <t>FEC_per_building.kWh.HU.Ser.BldNew.Thermal.SH.DistrHeat.Steam_Distr</t>
  </si>
  <si>
    <t>FEC_per_building.kWh.HU.Ser.BldNew.Thermal.SH.AdvElc.Elec</t>
  </si>
  <si>
    <t>FEC_per_building.kWh.HU.Ser.BldNew.Thermal.SH.ConvElc.Elec</t>
  </si>
  <si>
    <t>FEC_per_building.kWh.HU.Ser.BldNew.Thermal.SH.TotalCirculation.Elec</t>
  </si>
  <si>
    <t>FEC_per_building.kWh.HU.Ser.BldNew.Thermal.SC</t>
  </si>
  <si>
    <t>FEC_per_building.kWh.HU.Ser.BldNew.Thermal.SC.GasHP.NG_Biogas</t>
  </si>
  <si>
    <t>FEC_per_building.kWh.HU.Ser.BldNew.Thermal.SC.AC.Elec</t>
  </si>
  <si>
    <t>FEC_per_building.kWh.HU.Ser.BldNew.Thermal.HW</t>
  </si>
  <si>
    <t>FEC_per_building.kWh.HU.Ser.BldNew.Thermal.HW.Solids.Solids</t>
  </si>
  <si>
    <t>FEC_per_building.kWh.HU.Ser.BldNew.Thermal.HW.LPG.LPG</t>
  </si>
  <si>
    <t>FEC_per_building.kWh.HU.Ser.BldNew.Thermal.HW.Oil.Oil_LiqBio</t>
  </si>
  <si>
    <t>FEC_per_building.kWh.HU.Ser.BldNew.Thermal.HW.Gas.NG_Biogas</t>
  </si>
  <si>
    <t>FEC_per_building.kWh.HU.Ser.BldNew.Thermal.HW.Biomass.Biomass_Waste</t>
  </si>
  <si>
    <t>FEC_per_building.kWh.HU.Ser.BldNew.Thermal.HW.DistrHeat.Steam_Distr</t>
  </si>
  <si>
    <t>FEC_per_building.kWh.HU.Ser.BldNew.Thermal.HW.Elc.Elec</t>
  </si>
  <si>
    <t>FEC_per_building.kWh.HU.Ser.BldNew.Thermal.HW.TotalSolar.Solar</t>
  </si>
  <si>
    <t>FEC_per_building.kWh.HU.Ser.BldNew.Thermal.CA</t>
  </si>
  <si>
    <t>FEC_per_building.kWh.HU.Ser.BldNew.Thermal.CA.LPG</t>
  </si>
  <si>
    <t>FEC_per_building.kWh.HU.Ser.BldNew.Thermal.CA.Gas.NG_Biogas</t>
  </si>
  <si>
    <t>FEC_per_building.kWh.HU.Ser.BldNew.Thermal.CA.Biomass.Biomass_Waste</t>
  </si>
  <si>
    <t>FEC_per_building.kWh.HU.Ser.BldNew.Thermal.CA.Elc.Elec</t>
  </si>
  <si>
    <t>HU - Thermal energy service of new and renovated buildings (per building)</t>
  </si>
  <si>
    <t>TES_per_building.kWh.HU.Ser.BldNew.Thermal</t>
  </si>
  <si>
    <t>TES_per_building.kWh.HU.Ser.BldNew.Thermal.SH</t>
  </si>
  <si>
    <t>TES_per_building.kWh.HU.Ser.BldNew.Thermal.SH.Solids.Solids</t>
  </si>
  <si>
    <t>TES_per_building.kWh.HU.Ser.BldNew.Thermal.SH.LPG.LPG</t>
  </si>
  <si>
    <t>TES_per_building.kWh.HU.Ser.BldNew.Thermal.SH.Oil.Oil_LiqBio</t>
  </si>
  <si>
    <t>TES_per_building.kWh.HU.Ser.BldNew.Thermal.SH.GasHP.NG_Biogas</t>
  </si>
  <si>
    <t>TES_per_building.kWh.HU.Ser.BldNew.Thermal.SH.GasTH.NG_Biogas</t>
  </si>
  <si>
    <t>TES_per_building.kWh.HU.Ser.BldNew.Thermal.SH.Biomass.Biomass_Waste</t>
  </si>
  <si>
    <t>TES_per_building.kWh.HU.Ser.BldNew.Thermal.SH.Geo.Geo</t>
  </si>
  <si>
    <t>TES_per_building.kWh.HU.Ser.BldNew.Thermal.SH.DistrHeat.Steam_Distr</t>
  </si>
  <si>
    <t>TES_per_building.kWh.HU.Ser.BldNew.Thermal.SH.AdvElc.Elec</t>
  </si>
  <si>
    <t>TES_per_building.kWh.HU.Ser.BldNew.Thermal.SH.ConvElc.Elec</t>
  </si>
  <si>
    <t>TES_per_building.kWh.HU.Ser.BldNew.Thermal.SH.TotalCirculation.Elec</t>
  </si>
  <si>
    <t>TES_per_building.kWh.HU.Ser.BldNew.Thermal.SC</t>
  </si>
  <si>
    <t>TES_per_building.kWh.HU.Ser.BldNew.Thermal.SC.GasHP.NG_Biogas</t>
  </si>
  <si>
    <t>TES_per_building.kWh.HU.Ser.BldNew.Thermal.SC.AC.Elec</t>
  </si>
  <si>
    <t>TES_per_building.kWh.HU.Ser.BldNew.Thermal.HW</t>
  </si>
  <si>
    <t>TES_per_building.kWh.HU.Ser.BldNew.Thermal.HW.Solids.Solids</t>
  </si>
  <si>
    <t>TES_per_building.kWh.HU.Ser.BldNew.Thermal.HW.LPG.LPG</t>
  </si>
  <si>
    <t>TES_per_building.kWh.HU.Ser.BldNew.Thermal.HW.Oil.Oil_LiqBio</t>
  </si>
  <si>
    <t>TES_per_building.kWh.HU.Ser.BldNew.Thermal.HW.Gas.NG_Biogas</t>
  </si>
  <si>
    <t>TES_per_building.kWh.HU.Ser.BldNew.Thermal.HW.Biomass.Biomass_Waste</t>
  </si>
  <si>
    <t>TES_per_building.kWh.HU.Ser.BldNew.Thermal.HW.DistrHeat.Steam_Distr</t>
  </si>
  <si>
    <t>TES_per_building.kWh.HU.Ser.BldNew.Thermal.HW.Elc.Elec</t>
  </si>
  <si>
    <t>TES_per_building.kWh.HU.Ser.BldNew.Thermal.HW.TotalSolar.Solar</t>
  </si>
  <si>
    <t>TES_per_building.kWh.HU.Ser.BldNew.Thermal.CA</t>
  </si>
  <si>
    <t>TES_per_building.kWh.HU.Ser.BldNew.Thermal.CA.LPG</t>
  </si>
  <si>
    <t>TES_per_building.kWh.HU.Ser.BldNew.Thermal.CA.Gas.NG_Biogas</t>
  </si>
  <si>
    <t>TES_per_building.kWh.HU.Ser.BldNew.Thermal.CA.Biomass.Biomass_Waste</t>
  </si>
  <si>
    <t>TES_per_building.kWh.HU.Ser.BldNew.Thermal.CA.Elc.Elec</t>
  </si>
  <si>
    <t>HU - CO2 emissions in new and renovated buildings (per building)</t>
  </si>
  <si>
    <t>EMI_per_building.kgCO2.HU.Ser.BldNew.Thermal</t>
  </si>
  <si>
    <t>EMI_per_building.kgCO2.HU.Ser.BldNew.Thermal.SH</t>
  </si>
  <si>
    <t>EMI_per_building.kgCO2.HU.Ser.BldNew.Thermal.SH.Solids.Solids</t>
  </si>
  <si>
    <t>EMI_per_building.kgCO2.HU.Ser.BldNew.Thermal.SH.LPG.LPG</t>
  </si>
  <si>
    <t>EMI_per_building.kgCO2.HU.Ser.BldNew.Thermal.SH.Oil.Oil_LiqBio</t>
  </si>
  <si>
    <t>EMI_per_building.kgCO2.HU.Ser.BldNew.Thermal.SH.GasHP.NG_Biogas</t>
  </si>
  <si>
    <t>EMI_per_building.kgCO2.HU.Ser.BldNew.Thermal.SH.GasTH.NG_Biogas</t>
  </si>
  <si>
    <t>EMI_per_building.kgCO2.HU.Ser.BldNew.Thermal.SH.Biomass.Biomass_Waste</t>
  </si>
  <si>
    <t>EMI_per_building.kgCO2.HU.Ser.BldNew.Thermal.SH.Geo.Geo</t>
  </si>
  <si>
    <t>EMI_per_building.kgCO2.HU.Ser.BldNew.Thermal.SH.DistrHeat.Steam_Distr</t>
  </si>
  <si>
    <t>EMI_per_building.kgCO2.HU.Ser.BldNew.Thermal.SH.AdvElc.Elec</t>
  </si>
  <si>
    <t>EMI_per_building.kgCO2.HU.Ser.BldNew.Thermal.SH.ConvElc.Elec</t>
  </si>
  <si>
    <t>EMI_per_building.kgCO2.HU.Ser.BldNew.Thermal.SH.TotalCirculation.Elec</t>
  </si>
  <si>
    <t>EMI_per_building.kgCO2.HU.Ser.BldNew.Thermal.SC</t>
  </si>
  <si>
    <t>EMI_per_building.kgCO2.HU.Ser.BldNew.Thermal.SC.GasHP.NG_Biogas</t>
  </si>
  <si>
    <t>EMI_per_building.kgCO2.HU.Ser.BldNew.Thermal.SC.AC.Elec</t>
  </si>
  <si>
    <t>EMI_per_building.kgCO2.HU.Ser.BldNew.Thermal.HW</t>
  </si>
  <si>
    <t>EMI_per_building.kgCO2.HU.Ser.BldNew.Thermal.HW.Solids.Solids</t>
  </si>
  <si>
    <t>EMI_per_building.kgCO2.HU.Ser.BldNew.Thermal.HW.LPG.LPG</t>
  </si>
  <si>
    <t>EMI_per_building.kgCO2.HU.Ser.BldNew.Thermal.HW.Oil.Oil_LiqBio</t>
  </si>
  <si>
    <t>EMI_per_building.kgCO2.HU.Ser.BldNew.Thermal.HW.Gas.NG_Biogas</t>
  </si>
  <si>
    <t>EMI_per_building.kgCO2.HU.Ser.BldNew.Thermal.HW.Biomass.Biomass_Waste</t>
  </si>
  <si>
    <t>EMI_per_building.kgCO2.HU.Ser.BldNew.Thermal.HW.DistrHeat.Steam_Distr</t>
  </si>
  <si>
    <t>EMI_per_building.kgCO2.HU.Ser.BldNew.Thermal.HW.Elc.Elec</t>
  </si>
  <si>
    <t>EMI_per_building.kgCO2.HU.Ser.BldNew.Thermal.HW.TotalSolar.Solar</t>
  </si>
  <si>
    <t>EMI_per_building.kgCO2.HU.Ser.BldNew.Thermal.CA</t>
  </si>
  <si>
    <t>EMI_per_building.kgCO2.HU.Ser.BldNew.Thermal.CA.LPG</t>
  </si>
  <si>
    <t>EMI_per_building.kgCO2.HU.Ser.BldNew.Thermal.CA.Gas.NG_Biogas</t>
  </si>
  <si>
    <t>EMI_per_building.kgCO2.HU.Ser.BldNew.Thermal.CA.Biomass.Biomass_Waste</t>
  </si>
  <si>
    <t>EMI_per_building.kgCO2.HU.Ser.BldNew.Thermal.CA.Elc.Elec</t>
  </si>
  <si>
    <t>HU - Final energy consumption in new and renovated buildings per surface area</t>
  </si>
  <si>
    <t>FEC_per_sqm.kWh.HU.Ser.BldNew.Thermal</t>
  </si>
  <si>
    <t>FEC_per_sqm.kWh.HU.Ser.BldNew.Thermal.SH</t>
  </si>
  <si>
    <t>FEC_per_sqm.kWh.HU.Ser.BldNew.Thermal.SH.Solids.Solids</t>
  </si>
  <si>
    <t>FEC_per_sqm.kWh.HU.Ser.BldNew.Thermal.SH.LPG.LPG</t>
  </si>
  <si>
    <t>FEC_per_sqm.kWh.HU.Ser.BldNew.Thermal.SH.Oil.Oil_LiqBio</t>
  </si>
  <si>
    <t>FEC_per_sqm.kWh.HU.Ser.BldNew.Thermal.SH.GasHP.NG_Biogas</t>
  </si>
  <si>
    <t>FEC_per_sqm.kWh.HU.Ser.BldNew.Thermal.SH.GasTH.NG_Biogas</t>
  </si>
  <si>
    <t>FEC_per_sqm.kWh.HU.Ser.BldNew.Thermal.SH.Biomass.Biomass_Waste</t>
  </si>
  <si>
    <t>FEC_per_sqm.kWh.HU.Ser.BldNew.Thermal.SH.Geo.Geo</t>
  </si>
  <si>
    <t>FEC_per_sqm.kWh.HU.Ser.BldNew.Thermal.SH.DistrHeat.Steam_Distr</t>
  </si>
  <si>
    <t>FEC_per_sqm.kWh.HU.Ser.BldNew.Thermal.SH.AdvElc.Elec</t>
  </si>
  <si>
    <t>FEC_per_sqm.kWh.HU.Ser.BldNew.Thermal.SH.ConvElc.Elec</t>
  </si>
  <si>
    <t>FEC_per_sqm.kWh.HU.Ser.BldNew.Thermal.SH.TotalCirculation.Elec</t>
  </si>
  <si>
    <t>FEC_per_sqm.kWh.HU.Ser.BldNew.Thermal.SC</t>
  </si>
  <si>
    <t>FEC_per_sqm.kWh.HU.Ser.BldNew.Thermal.SC.GasHP.NG_Biogas</t>
  </si>
  <si>
    <t>FEC_per_sqm.kWh.HU.Ser.BldNew.Thermal.SC.AC.Elec</t>
  </si>
  <si>
    <t>FEC_per_sqm.kWh.HU.Ser.BldNew.Thermal.HW</t>
  </si>
  <si>
    <t>FEC_per_sqm.kWh.HU.Ser.BldNew.Thermal.HW.Solids.Solids</t>
  </si>
  <si>
    <t>FEC_per_sqm.kWh.HU.Ser.BldNew.Thermal.HW.LPG.LPG</t>
  </si>
  <si>
    <t>FEC_per_sqm.kWh.HU.Ser.BldNew.Thermal.HW.Oil.Oil_LiqBio</t>
  </si>
  <si>
    <t>FEC_per_sqm.kWh.HU.Ser.BldNew.Thermal.HW.Gas.NG_Biogas</t>
  </si>
  <si>
    <t>FEC_per_sqm.kWh.HU.Ser.BldNew.Thermal.HW.Biomass.Biomass_Waste</t>
  </si>
  <si>
    <t>FEC_per_sqm.kWh.HU.Ser.BldNew.Thermal.HW.DistrHeat.Steam_Distr</t>
  </si>
  <si>
    <t>FEC_per_sqm.kWh.HU.Ser.BldNew.Thermal.HW.Elc.Elec</t>
  </si>
  <si>
    <t>FEC_per_sqm.kWh.HU.Ser.BldNew.Thermal.HW.TotalSolar.Solar</t>
  </si>
  <si>
    <t>FEC_per_sqm.kWh.HU.Ser.BldNew.Thermal.CA</t>
  </si>
  <si>
    <t>FEC_per_sqm.kWh.HU.Ser.BldNew.Thermal.CA.LPG</t>
  </si>
  <si>
    <t>FEC_per_sqm.kWh.HU.Ser.BldNew.Thermal.CA.Gas.NG_Biogas</t>
  </si>
  <si>
    <t>FEC_per_sqm.kWh.HU.Ser.BldNew.Thermal.CA.Biomass.Biomass_Waste</t>
  </si>
  <si>
    <t>FEC_per_sqm.kWh.HU.Ser.BldNew.Thermal.CA.Elc.Elec</t>
  </si>
  <si>
    <t>HU - Thermal energy service in new and renovated buildings per surface area</t>
  </si>
  <si>
    <t>TES_per_sqm.kWh.HU.Ser.BldNew.Thermal</t>
  </si>
  <si>
    <t>TES_per_sqm.kWh.HU.Ser.BldNew.Thermal.SH</t>
  </si>
  <si>
    <t>TES_per_sqm.kWh.HU.Ser.BldNew.Thermal.SH.Solids.Solids</t>
  </si>
  <si>
    <t>TES_per_sqm.kWh.HU.Ser.BldNew.Thermal.SH.LPG.LPG</t>
  </si>
  <si>
    <t>TES_per_sqm.kWh.HU.Ser.BldNew.Thermal.SH.Oil.Oil_LiqBio</t>
  </si>
  <si>
    <t>TES_per_sqm.kWh.HU.Ser.BldNew.Thermal.SH.GasHP.NG_Biogas</t>
  </si>
  <si>
    <t>TES_per_sqm.kWh.HU.Ser.BldNew.Thermal.SH.GasTH.NG_Biogas</t>
  </si>
  <si>
    <t>TES_per_sqm.kWh.HU.Ser.BldNew.Thermal.SH.Biomass.Biomass_Waste</t>
  </si>
  <si>
    <t>TES_per_sqm.kWh.HU.Ser.BldNew.Thermal.SH.Geo.Geo</t>
  </si>
  <si>
    <t>TES_per_sqm.kWh.HU.Ser.BldNew.Thermal.SH.DistrHeat.Steam_Distr</t>
  </si>
  <si>
    <t>TES_per_sqm.kWh.HU.Ser.BldNew.Thermal.SH.AdvElc.Elec</t>
  </si>
  <si>
    <t>TES_per_sqm.kWh.HU.Ser.BldNew.Thermal.SH.ConvElc.Elec</t>
  </si>
  <si>
    <t>TES_per_sqm.kWh.HU.Ser.BldNew.Thermal.SH.TotalCirculation.Elec</t>
  </si>
  <si>
    <t>TES_per_sqm.kWh.HU.Ser.BldNew.Thermal.SC</t>
  </si>
  <si>
    <t>TES_per_sqm.kWh.HU.Ser.BldNew.Thermal.SC.GasHP.NG_Biogas</t>
  </si>
  <si>
    <t>TES_per_sqm.kWh.HU.Ser.BldNew.Thermal.SC.AC.Elec</t>
  </si>
  <si>
    <t>TES_per_sqm.kWh.HU.Ser.BldNew.Thermal.HW</t>
  </si>
  <si>
    <t>TES_per_sqm.kWh.HU.Ser.BldNew.Thermal.HW.Solids.Solids</t>
  </si>
  <si>
    <t>TES_per_sqm.kWh.HU.Ser.BldNew.Thermal.HW.LPG.LPG</t>
  </si>
  <si>
    <t>TES_per_sqm.kWh.HU.Ser.BldNew.Thermal.HW.Oil.Oil_LiqBio</t>
  </si>
  <si>
    <t>TES_per_sqm.kWh.HU.Ser.BldNew.Thermal.HW.Gas.NG_Biogas</t>
  </si>
  <si>
    <t>TES_per_sqm.kWh.HU.Ser.BldNew.Thermal.HW.Biomass.Biomass_Waste</t>
  </si>
  <si>
    <t>TES_per_sqm.kWh.HU.Ser.BldNew.Thermal.HW.DistrHeat.Steam_Distr</t>
  </si>
  <si>
    <t>TES_per_sqm.kWh.HU.Ser.BldNew.Thermal.HW.Elc.Elec</t>
  </si>
  <si>
    <t>TES_per_sqm.kWh.HU.Ser.BldNew.Thermal.HW.TotalSolar.Solar</t>
  </si>
  <si>
    <t>TES_per_sqm.kWh.HU.Ser.BldNew.Thermal.CA</t>
  </si>
  <si>
    <t>TES_per_sqm.kWh.HU.Ser.BldNew.Thermal.CA.LPG</t>
  </si>
  <si>
    <t>TES_per_sqm.kWh.HU.Ser.BldNew.Thermal.CA.Gas.NG_Biogas</t>
  </si>
  <si>
    <t>TES_per_sqm.kWh.HU.Ser.BldNew.Thermal.CA.Biomass.Biomass_Waste</t>
  </si>
  <si>
    <t>TES_per_sqm.kWh.HU.Ser.BldNew.Thermal.CA.Elc.Elec</t>
  </si>
  <si>
    <t>HU - CO2 emissions in new and renovated buildings per surface area</t>
  </si>
  <si>
    <t>EMI_per_sqm.kgCO2.HU.Ser.BldNew.Thermal</t>
  </si>
  <si>
    <t>EMI_per_sqm.kgCO2.HU.Ser.BldNew.Thermal.SH</t>
  </si>
  <si>
    <t>EMI_per_sqm.kgCO2.HU.Ser.BldNew.Thermal.SH.Solids.Solids</t>
  </si>
  <si>
    <t>EMI_per_sqm.kgCO2.HU.Ser.BldNew.Thermal.SH.LPG.LPG</t>
  </si>
  <si>
    <t>EMI_per_sqm.kgCO2.HU.Ser.BldNew.Thermal.SH.Oil.Oil_LiqBio</t>
  </si>
  <si>
    <t>EMI_per_sqm.kgCO2.HU.Ser.BldNew.Thermal.SH.GasHP.NG_Biogas</t>
  </si>
  <si>
    <t>EMI_per_sqm.kgCO2.HU.Ser.BldNew.Thermal.SH.GasTH.NG_Biogas</t>
  </si>
  <si>
    <t>EMI_per_sqm.kgCO2.HU.Ser.BldNew.Thermal.SH.Biomass.Biomass_Waste</t>
  </si>
  <si>
    <t>EMI_per_sqm.kgCO2.HU.Ser.BldNew.Thermal.SH.Geo.Geo</t>
  </si>
  <si>
    <t>EMI_per_sqm.kgCO2.HU.Ser.BldNew.Thermal.SH.DistrHeat.Steam_Distr</t>
  </si>
  <si>
    <t>EMI_per_sqm.kgCO2.HU.Ser.BldNew.Thermal.SH.AdvElc.Elec</t>
  </si>
  <si>
    <t>EMI_per_sqm.kgCO2.HU.Ser.BldNew.Thermal.SH.ConvElc.Elec</t>
  </si>
  <si>
    <t>EMI_per_sqm.kgCO2.HU.Ser.BldNew.Thermal.SH.TotalCirculation.Elec</t>
  </si>
  <si>
    <t>EMI_per_sqm.kgCO2.HU.Ser.BldNew.Thermal.SC</t>
  </si>
  <si>
    <t>EMI_per_sqm.kgCO2.HU.Ser.BldNew.Thermal.SC.GasHP.NG_Biogas</t>
  </si>
  <si>
    <t>EMI_per_sqm.kgCO2.HU.Ser.BldNew.Thermal.SC.AC.Elec</t>
  </si>
  <si>
    <t>EMI_per_sqm.kgCO2.HU.Ser.BldNew.Thermal.HW</t>
  </si>
  <si>
    <t>EMI_per_sqm.kgCO2.HU.Ser.BldNew.Thermal.HW.Solids.Solids</t>
  </si>
  <si>
    <t>EMI_per_sqm.kgCO2.HU.Ser.BldNew.Thermal.HW.LPG.LPG</t>
  </si>
  <si>
    <t>EMI_per_sqm.kgCO2.HU.Ser.BldNew.Thermal.HW.Oil.Oil_LiqBio</t>
  </si>
  <si>
    <t>EMI_per_sqm.kgCO2.HU.Ser.BldNew.Thermal.HW.Gas.NG_Biogas</t>
  </si>
  <si>
    <t>EMI_per_sqm.kgCO2.HU.Ser.BldNew.Thermal.HW.Biomass.Biomass_Waste</t>
  </si>
  <si>
    <t>EMI_per_sqm.kgCO2.HU.Ser.BldNew.Thermal.HW.DistrHeat.Steam_Distr</t>
  </si>
  <si>
    <t>EMI_per_sqm.kgCO2.HU.Ser.BldNew.Thermal.HW.Elc.Elec</t>
  </si>
  <si>
    <t>EMI_per_sqm.kgCO2.HU.Ser.BldNew.Thermal.HW.TotalSolar.Solar</t>
  </si>
  <si>
    <t>EMI_per_sqm.kgCO2.HU.Ser.BldNew.Thermal.CA</t>
  </si>
  <si>
    <t>EMI_per_sqm.kgCO2.HU.Ser.BldNew.Thermal.CA.LPG</t>
  </si>
  <si>
    <t>EMI_per_sqm.kgCO2.HU.Ser.BldNew.Thermal.CA.Gas.NG_Biogas</t>
  </si>
  <si>
    <t>EMI_per_sqm.kgCO2.HU.Ser.BldNew.Thermal.CA.Biomass.Biomass_Waste</t>
  </si>
  <si>
    <t>EMI_per_sqm.kgCO2.HU.Ser.BldNew.Thermal.CA.Elc.Elec</t>
  </si>
  <si>
    <t>FEC.ktoe.HU.Ser.SEU.VE</t>
  </si>
  <si>
    <t>FEC.ktoe.HU.Ser.SEU.SL</t>
  </si>
  <si>
    <t>FEC.ktoe.HU.Ser.SEU.BL</t>
  </si>
  <si>
    <t>FEC.ktoe.HU.Ser.SEU.CR</t>
  </si>
  <si>
    <t>FEC.ktoe.HU.Ser.SEU.BT</t>
  </si>
  <si>
    <t>FEC.ktoe.HU.Ser.SEU.IT</t>
  </si>
  <si>
    <t>Size.MW.HU.Ser.SEU</t>
  </si>
  <si>
    <t>Size.MW.HU.Ser.SEU.VE</t>
  </si>
  <si>
    <t>Size.MW.HU.Ser.SEU.SL</t>
  </si>
  <si>
    <t>Size.MW.HU.Ser.SEU.BL</t>
  </si>
  <si>
    <t>Size.MW.HU.Ser.SEU.CR</t>
  </si>
  <si>
    <t>Size.MW.HU.Ser.SEU.BT</t>
  </si>
  <si>
    <t>Size.MW.HU.Ser.SEU.IT</t>
  </si>
  <si>
    <t>NUM.Msqm.HU.Ser.SEU.VE</t>
  </si>
  <si>
    <t>NUM.k.HU.Ser.SEU.SL</t>
  </si>
  <si>
    <t>NUM.M.HU.Ser.SEU.BL</t>
  </si>
  <si>
    <t>NUM.k.HU.Ser.SEU.CR</t>
  </si>
  <si>
    <t>NUM.Msqm.HU.Ser.SEU.BT</t>
  </si>
  <si>
    <t>NUM.k.HU.Ser.SEU.IT</t>
  </si>
  <si>
    <t>NUM.Msqm.HU.Ser.SEUnew.VE</t>
  </si>
  <si>
    <t>NUM.k.HU.Ser.SEUnew.SL</t>
  </si>
  <si>
    <t>NUM.M.HU.Ser.SEUnew.BL</t>
  </si>
  <si>
    <t>NUM.k.HU.Ser.SEUnew.CR</t>
  </si>
  <si>
    <t>NUM.Msqm.HU.Ser.SEUnew.BT</t>
  </si>
  <si>
    <t>NUM.k.HU.Ser.SEUnew.IT</t>
  </si>
  <si>
    <t>NUM.Msqm.HU.Ser.SEUrepl.VE</t>
  </si>
  <si>
    <t>NUM.k.HU.Ser.SEUrepl.SL</t>
  </si>
  <si>
    <t>NUM.M.HU.Ser.SEUrepl.BL</t>
  </si>
  <si>
    <t>NUM.k.HU.Ser.SEUrepl.CR</t>
  </si>
  <si>
    <t>NUM.Msqm.HU.Ser.SEUrepl.BT</t>
  </si>
  <si>
    <t>NUM.k.HU.Ser.SEUrepl.IT</t>
  </si>
  <si>
    <t>Op.hours.HU.Ser.SEU.VE</t>
  </si>
  <si>
    <t>Op.hours.HU.Ser.SEU.SL</t>
  </si>
  <si>
    <t>Op.hours.HU.Ser.SEU.BL</t>
  </si>
  <si>
    <t>Op.hours.HU.Ser.SEU.CR</t>
  </si>
  <si>
    <t>Op.hours.HU.Ser.SEU.BT</t>
  </si>
  <si>
    <t>Op.hours.HU.Ser.SEU.IT</t>
  </si>
  <si>
    <t>Size_per_appl.W.HU.Ser.SEU.VE</t>
  </si>
  <si>
    <t>Size_per_appl.W.HU.Ser.SEU.SL</t>
  </si>
  <si>
    <t>Size_per_appl.W.HU.Ser.SEU.BL</t>
  </si>
  <si>
    <t>Size_per_appl.W.HU.Ser.SEU.CR</t>
  </si>
  <si>
    <t>Size_per_appl.W.HU.Ser.SEU.BT</t>
  </si>
  <si>
    <t>Size_per_appl.W.HU.Ser.SEU.IT</t>
  </si>
  <si>
    <t>Size_per_appl.W.HU.Ser.SEUnew.VE</t>
  </si>
  <si>
    <t>Size_per_appl.W.HU.Ser.SEUnew.SL</t>
  </si>
  <si>
    <t>Size_per_appl.W.HU.Ser.SEUnew.BL</t>
  </si>
  <si>
    <t>Size_per_appl.W.HU.Ser.SEUnew.CR</t>
  </si>
  <si>
    <t>Size_per_appl.W.HU.Ser.SEUnew.BT</t>
  </si>
  <si>
    <t>Size_per_appl.W.HU.Ser.SEUnew.IT</t>
  </si>
  <si>
    <t>NUM.sqm_per_building.HU.Ser.SEU.VE</t>
  </si>
  <si>
    <t>NUM.number_per_capita.HU.Ser.SEU.SL</t>
  </si>
  <si>
    <t>NUM.number_per_building.HU.Ser.SEU.BL</t>
  </si>
  <si>
    <t>NUM.number_per_capita.HU.Ser.SEU.CR</t>
  </si>
  <si>
    <t>NUM.sqm_per_building.HU.Ser.SEU.BT</t>
  </si>
  <si>
    <t>NUM.number_per_capita.HU.Ser.SEU.IT</t>
  </si>
  <si>
    <t>Lumens_per_sqm.lumen.HU.Ser.SEU.BL</t>
  </si>
  <si>
    <t>HU - Services / specific electric uses</t>
  </si>
  <si>
    <t>HU - Ventilation and others</t>
  </si>
  <si>
    <t>HU - Street lighting</t>
  </si>
  <si>
    <t>HU - Building lighting</t>
  </si>
  <si>
    <t>HU - Commercial refrigeration</t>
  </si>
  <si>
    <t>HU - Miscellaneous building technologies</t>
  </si>
  <si>
    <t>HU - ICT and multimedia</t>
  </si>
  <si>
    <t>HU - Agriculture, forestry and fishing</t>
  </si>
  <si>
    <t>VA.Meuro2015.HU.AGR.AGR</t>
  </si>
  <si>
    <t>OUTPUT.index.HU.AGR.AGR</t>
  </si>
  <si>
    <t>CAP.index.HU.AGR.AGR</t>
  </si>
  <si>
    <t>NEWCAP.index.HU.AGR.AGR</t>
  </si>
  <si>
    <t>CAPOUT.index.HU.AGR.AGR</t>
  </si>
  <si>
    <t>CAPIDLE.index.HU.AGR.AGR</t>
  </si>
  <si>
    <t>FEC.ktoe.HU.ES.AGR</t>
  </si>
  <si>
    <t>FEC.ktoe.HU.ES.AGR.Solids</t>
  </si>
  <si>
    <t>FEC.ktoe.HU.ES.AGR.LPG</t>
  </si>
  <si>
    <t>FEC.ktoe.HU.ES.AGR.Diesel</t>
  </si>
  <si>
    <t>FEC.ktoe.HU.ES.AGR.RFO</t>
  </si>
  <si>
    <t>FEC.ktoe.HU.ES.AGR.NG</t>
  </si>
  <si>
    <t>FEC.ktoe.HU.ES.AGR.Biomass_Waste</t>
  </si>
  <si>
    <t>FEC.ktoe.HU.ES.AGR.Biogas</t>
  </si>
  <si>
    <t>FEC.ktoe.HU.ES.AGR.LiqBio</t>
  </si>
  <si>
    <t>FEC.ktoe.HU.ES.AGR.Solar</t>
  </si>
  <si>
    <t>FEC.ktoe.HU.ES.AGR.Geo</t>
  </si>
  <si>
    <t>FEC.ktoe.HU.ES.AGR.Ambient</t>
  </si>
  <si>
    <t>FEC.ktoe.HU.ES.AGR.Steam_Distr</t>
  </si>
  <si>
    <t>FEC.ktoe.HU.ES.AGR.Elec</t>
  </si>
  <si>
    <t>HU - Agriculture, forestry and fishing / final energy consumption</t>
  </si>
  <si>
    <t>FEC.ktoe.HU.AGR.AGR.LIGHT.GENERIC.ELEC</t>
  </si>
  <si>
    <t>FEC.ktoe.HU.AGR.AGR.FANS.GENERIC.ELEC</t>
  </si>
  <si>
    <t>FEC.ktoe.HU.AGR.AGR.MOTOR.GENERIC.ELEC</t>
  </si>
  <si>
    <t>FEC.ktoe.HU.AGR.AGR.LOW_ENTH.THERM.DIESEL_LIQBIO</t>
  </si>
  <si>
    <t>FEC.ktoe.HU.AGR.AGR.LOW_ENTH.THERM.NG_BIOGAS</t>
  </si>
  <si>
    <t>FEC.ktoe.HU.AGR.AGR.LOW_ENTH.THERM.SOLAR_GEO</t>
  </si>
  <si>
    <t>FEC.ktoe.HU.AGR.AGR.LOW_ENTH.HP.AMBIENT</t>
  </si>
  <si>
    <t>FEC.ktoe.HU.AGR.AGR.LOW_ENTH.THERM.STEAM_DISTR</t>
  </si>
  <si>
    <t>FEC.ktoe.HU.AGR.AGR.LOW_ENTH.THERM.ELEC</t>
  </si>
  <si>
    <t>FEC.ktoe.HU.AGR.AGR.FARM_DRIVES.MECH.DIESEL_LIQBIO</t>
  </si>
  <si>
    <t>FEC.ktoe.HU.AGR.AGR.HEAT_USE.THERM.SOLIDS</t>
  </si>
  <si>
    <t>FEC.ktoe.HU.AGR.AGR.HEAT_USE.THERM.LPG</t>
  </si>
  <si>
    <t>FEC.ktoe.HU.AGR.AGR.HEAT_USE.THERM.DIESEL_LIQBIO</t>
  </si>
  <si>
    <t>FEC.ktoe.HU.AGR.AGR.HEAT_USE.THERM.RFO</t>
  </si>
  <si>
    <t>FEC.ktoe.HU.AGR.AGR.HEAT_USE.THERM.NG_BIOGAS</t>
  </si>
  <si>
    <t>FEC.ktoe.HU.AGR.AGR.HEAT_USE.THERM.BIOMASS_WASTE</t>
  </si>
  <si>
    <t>FEC.ktoe.HU.AGR.AGR.HEAT_USE.THERM.SOLAR_GEO</t>
  </si>
  <si>
    <t>FEC.ktoe.HU.AGR.AGR.FARM_PUMP.MECH.DIESEL_LIQBIO</t>
  </si>
  <si>
    <t>FEC.ktoe.HU.AGR.AGR.FARM_PUMP_ELEC.MECH.ELEC</t>
  </si>
  <si>
    <t>FEC.ktoe.HU.AGR.AGR.GENERIC.MECH.ELEC</t>
  </si>
  <si>
    <t>HU - Agriculture, forestry and fishing / useful energy demand</t>
  </si>
  <si>
    <t>UED.ktoe.HU.AGR.AGR.LIGHT.GENERIC.ELEC</t>
  </si>
  <si>
    <t>UED.ktoe.HU.AGR.AGR.FANS.GENERIC.ELEC</t>
  </si>
  <si>
    <t>UED.ktoe.HU.AGR.AGR.MOTOR.GENERIC.ELEC</t>
  </si>
  <si>
    <t>UED.ktoe.HU.AGR.AGR.LOW_ENTH.THERM.DIESEL_LIQBIO</t>
  </si>
  <si>
    <t>UED.ktoe.HU.AGR.AGR.LOW_ENTH.THERM.NG_BIOGAS</t>
  </si>
  <si>
    <t>UED.ktoe.HU.AGR.AGR.LOW_ENTH.THERM.SOLAR_GEO</t>
  </si>
  <si>
    <t>UED.ktoe.HU.AGR.AGR.LOW_ENTH.HP.AMBIENT</t>
  </si>
  <si>
    <t>UED.ktoe.HU.AGR.AGR.LOW_ENTH.THERM.STEAM_DISTR</t>
  </si>
  <si>
    <t>UED.ktoe.HU.AGR.AGR.LOW_ENTH.THERM.ELEC</t>
  </si>
  <si>
    <t>UED.ktoe.HU.AGR.AGR.FARM_DRIVES.MECH.DIESEL_LIQBIO</t>
  </si>
  <si>
    <t>UED.ktoe.HU.AGR.AGR.HEAT_USE.THERM.SOLIDS</t>
  </si>
  <si>
    <t>UED.ktoe.HU.AGR.AGR.HEAT_USE.THERM.LPG</t>
  </si>
  <si>
    <t>UED.ktoe.HU.AGR.AGR.HEAT_USE.THERM.DIESEL_LIQBIO</t>
  </si>
  <si>
    <t>UED.ktoe.HU.AGR.AGR.HEAT_USE.THERM.RFO</t>
  </si>
  <si>
    <t>UED.ktoe.HU.AGR.AGR.HEAT_USE.THERM.NG_BIOGAS</t>
  </si>
  <si>
    <t>UED.ktoe.HU.AGR.AGR.HEAT_USE.THERM.BIOMASS_WASTE</t>
  </si>
  <si>
    <t>UED.ktoe.HU.AGR.AGR.HEAT_USE.THERM.SOLAR_GEO</t>
  </si>
  <si>
    <t>UED.ktoe.HU.AGR.AGR.FARM_PUMP.MECH.DIESEL_LIQBIO</t>
  </si>
  <si>
    <t>UED.ktoe.HU.AGR.AGR.FARM_PUMP_ELEC.MECH.ELEC</t>
  </si>
  <si>
    <t>UED.ktoe.HU.AGR.AGR.GENERIC.MECH.ELEC</t>
  </si>
  <si>
    <t>HU - Agriculture, forestry and fishing / CO2 emissions</t>
  </si>
  <si>
    <t>FUEL_EMI.ktCO2.HU.AGR.AGR.LIGHT.GENERIC.ELEC</t>
  </si>
  <si>
    <t>FUEL_EMI.ktCO2.HU.AGR.AGR.FANS.GENERIC.ELEC</t>
  </si>
  <si>
    <t>FUEL_EMI.ktCO2.HU.AGR.AGR.MOTOR.GENERIC.ELEC</t>
  </si>
  <si>
    <t>FUEL_EMI.ktCO2.HU.AGR.AGR.LOW_ENTH.THERM.DIESEL_LIQBIO</t>
  </si>
  <si>
    <t>FUEL_EMI.ktCO2.HU.AGR.AGR.LOW_ENTH.THERM.NG_BIOGAS</t>
  </si>
  <si>
    <t>FUEL_EMI.ktCO2.HU.AGR.AGR.LOW_ENTH.THERM.SOLAR_GEO</t>
  </si>
  <si>
    <t>FUEL_EMI.ktCO2.HU.AGR.AGR.LOW_ENTH.HP.AMBIENT</t>
  </si>
  <si>
    <t>FUEL_EMI.ktCO2.HU.AGR.AGR.LOW_ENTH.THERM.STEAM_DISTR</t>
  </si>
  <si>
    <t>FUEL_EMI.ktCO2.HU.AGR.AGR.LOW_ENTH.THERM.ELEC</t>
  </si>
  <si>
    <t>FUEL_EMI.ktCO2.HU.AGR.AGR.FARM_DRIVES.MECH.DIESEL_LIQBIO</t>
  </si>
  <si>
    <t>FUEL_EMI.ktCO2.HU.AGR.AGR.HEAT_USE.THERM.SOLIDS</t>
  </si>
  <si>
    <t>FUEL_EMI.ktCO2.HU.AGR.AGR.HEAT_USE.THERM.LPG</t>
  </si>
  <si>
    <t>FUEL_EMI.ktCO2.HU.AGR.AGR.HEAT_USE.THERM.DIESEL_LIQBIO</t>
  </si>
  <si>
    <t>FUEL_EMI.ktCO2.HU.AGR.AGR.HEAT_USE.THERM.RFO</t>
  </si>
  <si>
    <t>FUEL_EMI.ktCO2.HU.AGR.AGR.HEAT_USE.THERM.NG_BIOGAS</t>
  </si>
  <si>
    <t>FUEL_EMI.ktCO2.HU.AGR.AGR.HEAT_USE.THERM.BIOMASS_WASTE</t>
  </si>
  <si>
    <t>FUEL_EMI.ktCO2.HU.AGR.AGR.HEAT_USE.THERM.SOLAR_GEO</t>
  </si>
  <si>
    <t>FUEL_EMI.ktCO2.HU.AGR.AGR.FARM_PUMP.MECH.DIESEL_LIQBIO</t>
  </si>
  <si>
    <t>FUEL_EMI.ktCO2.HU.AGR.AGR.FARM_PUMP_ELEC.MECH.ELEC</t>
  </si>
  <si>
    <t>FUEL_EMI.ktCO2.HU.AGR.AGR.GENERIC.MECH.ELEC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</si>
</sst>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45432.785729166666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10221644</v>
      </c>
      <c r="C3" s="34">
        <v>10200298</v>
      </c>
      <c r="D3" s="34">
        <v>10174853</v>
      </c>
      <c r="E3" s="34">
        <v>10142362</v>
      </c>
      <c r="F3" s="34">
        <v>10116742</v>
      </c>
      <c r="G3" s="34">
        <v>10097549</v>
      </c>
      <c r="H3" s="34">
        <v>10076581</v>
      </c>
      <c r="I3" s="34">
        <v>10066158</v>
      </c>
      <c r="J3" s="34">
        <v>10045401</v>
      </c>
      <c r="K3" s="34">
        <v>10030975</v>
      </c>
      <c r="L3" s="34">
        <v>10014324</v>
      </c>
      <c r="M3" s="34">
        <v>9985722</v>
      </c>
      <c r="N3" s="34">
        <v>9931925</v>
      </c>
      <c r="O3" s="34">
        <v>9908798</v>
      </c>
      <c r="P3" s="34">
        <v>9877365</v>
      </c>
      <c r="Q3" s="34">
        <v>9855571</v>
      </c>
      <c r="R3" s="34">
        <v>9830485</v>
      </c>
      <c r="S3" s="34">
        <v>9797561</v>
      </c>
      <c r="T3" s="34">
        <v>9778371</v>
      </c>
      <c r="U3" s="34">
        <v>9772756</v>
      </c>
      <c r="V3" s="34">
        <v>9769526</v>
      </c>
      <c r="W3" s="34">
        <v>9730772</v>
      </c>
      <c r="DA3" s="88" t="s">
        <v>187</v>
      </c>
    </row>
    <row r="4" spans="1:105" ht="12" customHeight="1" x14ac:dyDescent="0.25">
      <c r="A4" s="35" t="s">
        <v>178</v>
      </c>
      <c r="B4" s="36">
        <v>82509.66183574879</v>
      </c>
      <c r="C4" s="36">
        <v>85871.335155322158</v>
      </c>
      <c r="D4" s="36">
        <v>89943.594178919288</v>
      </c>
      <c r="E4" s="36">
        <v>93607.26740217676</v>
      </c>
      <c r="F4" s="36">
        <v>98291.911273596517</v>
      </c>
      <c r="G4" s="36">
        <v>102513.47670976963</v>
      </c>
      <c r="H4" s="36">
        <v>106559.0589432775</v>
      </c>
      <c r="I4" s="36">
        <v>106854.4003338724</v>
      </c>
      <c r="J4" s="36">
        <v>107926.64461887874</v>
      </c>
      <c r="K4" s="36">
        <v>100806.18866477</v>
      </c>
      <c r="L4" s="36">
        <v>101890.93137254902</v>
      </c>
      <c r="M4" s="36">
        <v>103792.96680519005</v>
      </c>
      <c r="N4" s="36">
        <v>102495.32242068564</v>
      </c>
      <c r="O4" s="36">
        <v>104343.2601241019</v>
      </c>
      <c r="P4" s="36">
        <v>108758.72515505701</v>
      </c>
      <c r="Q4" s="36">
        <v>112791</v>
      </c>
      <c r="R4" s="36">
        <v>115273.56919049696</v>
      </c>
      <c r="S4" s="36">
        <v>120197.4829674489</v>
      </c>
      <c r="T4" s="36">
        <v>126643.27202323329</v>
      </c>
      <c r="U4" s="36">
        <v>132803.97629447051</v>
      </c>
      <c r="V4" s="36">
        <v>126780.32811005665</v>
      </c>
      <c r="W4" s="36">
        <v>135764.11974780652</v>
      </c>
      <c r="DA4" s="89" t="s">
        <v>188</v>
      </c>
    </row>
    <row r="5" spans="1:105" ht="12" customHeight="1" x14ac:dyDescent="0.25">
      <c r="A5" s="35" t="s">
        <v>147</v>
      </c>
      <c r="B5" s="36">
        <v>42932.005537725759</v>
      </c>
      <c r="C5" s="36">
        <v>45068.02580146135</v>
      </c>
      <c r="D5" s="36">
        <v>48228.293765147042</v>
      </c>
      <c r="E5" s="36">
        <v>50706.314314701202</v>
      </c>
      <c r="F5" s="36">
        <v>52243.897971333055</v>
      </c>
      <c r="G5" s="36">
        <v>54957.76308034837</v>
      </c>
      <c r="H5" s="36">
        <v>57521.198228473506</v>
      </c>
      <c r="I5" s="36">
        <v>57900.535701627363</v>
      </c>
      <c r="J5" s="36">
        <v>59280.938075394894</v>
      </c>
      <c r="K5" s="36">
        <v>56174.075543398823</v>
      </c>
      <c r="L5" s="36">
        <v>56770.374089881989</v>
      </c>
      <c r="M5" s="36">
        <v>57066.411277047846</v>
      </c>
      <c r="N5" s="36">
        <v>56236.158616419867</v>
      </c>
      <c r="O5" s="36">
        <v>57638.822561142893</v>
      </c>
      <c r="P5" s="36">
        <v>59515.862322390982</v>
      </c>
      <c r="Q5" s="36">
        <v>60999.3</v>
      </c>
      <c r="R5" s="36">
        <v>63542.672949155225</v>
      </c>
      <c r="S5" s="36">
        <v>66749.567474048439</v>
      </c>
      <c r="T5" s="36">
        <v>70756.39558148841</v>
      </c>
      <c r="U5" s="36">
        <v>74753.591479897659</v>
      </c>
      <c r="V5" s="36">
        <v>71455.480705865135</v>
      </c>
      <c r="W5" s="36">
        <v>77055.201250900398</v>
      </c>
      <c r="DA5" s="89" t="s">
        <v>189</v>
      </c>
    </row>
    <row r="6" spans="1:105" ht="12" customHeight="1" x14ac:dyDescent="0.25">
      <c r="A6" s="37" t="s">
        <v>70</v>
      </c>
      <c r="B6" s="38">
        <v>2505260</v>
      </c>
      <c r="C6" s="38">
        <v>2531370</v>
      </c>
      <c r="D6" s="38">
        <v>2534210</v>
      </c>
      <c r="E6" s="38">
        <v>2624270.0000000005</v>
      </c>
      <c r="F6" s="38">
        <v>2648939.9999999995</v>
      </c>
      <c r="G6" s="38">
        <v>2642410</v>
      </c>
      <c r="H6" s="38">
        <v>2679559.9999999995</v>
      </c>
      <c r="I6" s="38">
        <v>2671710</v>
      </c>
      <c r="J6" s="38">
        <v>2650609.9999999995</v>
      </c>
      <c r="K6" s="38">
        <v>2702470</v>
      </c>
      <c r="L6" s="38">
        <v>2711210</v>
      </c>
      <c r="M6" s="38">
        <v>2713059.9999999995</v>
      </c>
      <c r="N6" s="38">
        <v>2697240.0000000005</v>
      </c>
      <c r="O6" s="38">
        <v>2802210</v>
      </c>
      <c r="P6" s="38">
        <v>2964170</v>
      </c>
      <c r="Q6" s="38">
        <v>3066340</v>
      </c>
      <c r="R6" s="38">
        <v>3160830</v>
      </c>
      <c r="S6" s="38">
        <v>3181050</v>
      </c>
      <c r="T6" s="38">
        <v>3232040</v>
      </c>
      <c r="U6" s="38">
        <v>3264109.9999999995</v>
      </c>
      <c r="V6" s="38">
        <v>3220020.0000000005</v>
      </c>
      <c r="W6" s="38">
        <v>3253690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85230.47231047487</v>
      </c>
      <c r="C8" s="34">
        <v>86888.991472691094</v>
      </c>
      <c r="D8" s="34">
        <v>88832.836913722262</v>
      </c>
      <c r="E8" s="34">
        <v>92121.525460934354</v>
      </c>
      <c r="F8" s="34">
        <v>93559.566968281579</v>
      </c>
      <c r="G8" s="34">
        <v>95764.682085151464</v>
      </c>
      <c r="H8" s="34">
        <v>97083.360362271807</v>
      </c>
      <c r="I8" s="34">
        <v>98978.452642142351</v>
      </c>
      <c r="J8" s="34">
        <v>98407.680869784337</v>
      </c>
      <c r="K8" s="34">
        <v>97986.965298542884</v>
      </c>
      <c r="L8" s="34">
        <v>98010.318290147014</v>
      </c>
      <c r="M8" s="34">
        <v>98443.703252591411</v>
      </c>
      <c r="N8" s="34">
        <v>99157.793381041702</v>
      </c>
      <c r="O8" s="34">
        <v>100201.4295448233</v>
      </c>
      <c r="P8" s="34">
        <v>103348.32141025264</v>
      </c>
      <c r="Q8" s="34">
        <v>103421.65534673652</v>
      </c>
      <c r="R8" s="34">
        <v>104414.35119549742</v>
      </c>
      <c r="S8" s="34">
        <v>105872.30463898774</v>
      </c>
      <c r="T8" s="34">
        <v>107325.96291711487</v>
      </c>
      <c r="U8" s="34">
        <v>108570.22029721954</v>
      </c>
      <c r="V8" s="34">
        <v>109724.74222222222</v>
      </c>
      <c r="W8" s="34">
        <v>110826.27731476593</v>
      </c>
      <c r="DA8" s="88" t="s">
        <v>191</v>
      </c>
    </row>
    <row r="9" spans="1:105" ht="12" customHeight="1" x14ac:dyDescent="0.25">
      <c r="A9" s="39" t="s">
        <v>68</v>
      </c>
      <c r="B9" s="40">
        <v>76707.425079427383</v>
      </c>
      <c r="C9" s="40">
        <v>78200.092325421982</v>
      </c>
      <c r="D9" s="40">
        <v>79949.553222350034</v>
      </c>
      <c r="E9" s="40">
        <v>82909.372914840918</v>
      </c>
      <c r="F9" s="40">
        <v>84203.610271453421</v>
      </c>
      <c r="G9" s="40">
        <v>86188.21387663632</v>
      </c>
      <c r="H9" s="40">
        <v>87375.02432604463</v>
      </c>
      <c r="I9" s="40">
        <v>89080.607377928114</v>
      </c>
      <c r="J9" s="40">
        <v>88566.912782805914</v>
      </c>
      <c r="K9" s="40">
        <v>88188.268768688591</v>
      </c>
      <c r="L9" s="40">
        <v>88209.286461132317</v>
      </c>
      <c r="M9" s="40">
        <v>88599.33292733226</v>
      </c>
      <c r="N9" s="40">
        <v>89242.014042937531</v>
      </c>
      <c r="O9" s="40">
        <v>90181.286590340969</v>
      </c>
      <c r="P9" s="40">
        <v>93013.489269227372</v>
      </c>
      <c r="Q9" s="40">
        <v>93079.489812062864</v>
      </c>
      <c r="R9" s="40">
        <v>93972.91607594768</v>
      </c>
      <c r="S9" s="40">
        <v>95285.074175088972</v>
      </c>
      <c r="T9" s="40">
        <v>96593.366625403374</v>
      </c>
      <c r="U9" s="40">
        <v>97713.198267497588</v>
      </c>
      <c r="V9" s="40">
        <v>98752.267999999996</v>
      </c>
      <c r="W9" s="40">
        <v>99743.649583289342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1999.3299083498996</v>
      </c>
      <c r="D10" s="41">
        <v>2291.2383689571166</v>
      </c>
      <c r="E10" s="41">
        <v>3644.126363995279</v>
      </c>
      <c r="F10" s="41">
        <v>1806.6436877149649</v>
      </c>
      <c r="G10" s="41">
        <v>2579.2024487312115</v>
      </c>
      <c r="H10" s="41">
        <v>1701.9075281375992</v>
      </c>
      <c r="I10" s="41">
        <v>2283.4410056151041</v>
      </c>
      <c r="J10" s="41">
        <v>396.02793783558553</v>
      </c>
      <c r="K10" s="41">
        <v>393.46820047192068</v>
      </c>
      <c r="L10" s="41">
        <v>415.35848501111218</v>
      </c>
      <c r="M10" s="41">
        <v>825.39045585135932</v>
      </c>
      <c r="N10" s="41">
        <v>1107.9240056884578</v>
      </c>
      <c r="O10" s="41">
        <v>1440.3954551496643</v>
      </c>
      <c r="P10" s="41">
        <v>3547.6736012260235</v>
      </c>
      <c r="Q10" s="41">
        <v>486.54868233263142</v>
      </c>
      <c r="R10" s="41">
        <v>1523.0633120775042</v>
      </c>
      <c r="S10" s="41">
        <v>1993.4116547492713</v>
      </c>
      <c r="T10" s="41">
        <v>1996.5931737116362</v>
      </c>
      <c r="U10" s="41">
        <v>1794.6469335257723</v>
      </c>
      <c r="V10" s="41">
        <v>1711.2922855012703</v>
      </c>
      <c r="W10" s="41">
        <v>1664.2260782986955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1799.3969175149098</v>
      </c>
      <c r="D11" s="42">
        <v>2062.114532061405</v>
      </c>
      <c r="E11" s="42">
        <v>3279.7137275957512</v>
      </c>
      <c r="F11" s="42">
        <v>1625.9793189434686</v>
      </c>
      <c r="G11" s="42">
        <v>2321.2822038580903</v>
      </c>
      <c r="H11" s="42">
        <v>1531.7167753238396</v>
      </c>
      <c r="I11" s="42">
        <v>2055.0969050535937</v>
      </c>
      <c r="J11" s="42">
        <v>356.42514405202701</v>
      </c>
      <c r="K11" s="42">
        <v>354.12138042472861</v>
      </c>
      <c r="L11" s="42">
        <v>373.82263651000102</v>
      </c>
      <c r="M11" s="42">
        <v>742.85141026622341</v>
      </c>
      <c r="N11" s="42">
        <v>997.131605119612</v>
      </c>
      <c r="O11" s="42">
        <v>1296.3559096346978</v>
      </c>
      <c r="P11" s="42">
        <v>3192.9062411034215</v>
      </c>
      <c r="Q11" s="42">
        <v>437.89381409936829</v>
      </c>
      <c r="R11" s="42">
        <v>1370.7569808697538</v>
      </c>
      <c r="S11" s="42">
        <v>1794.0704892743443</v>
      </c>
      <c r="T11" s="42">
        <v>1796.9338563404726</v>
      </c>
      <c r="U11" s="42">
        <v>1615.1822401731952</v>
      </c>
      <c r="V11" s="42">
        <v>1540.1630569511433</v>
      </c>
      <c r="W11" s="42">
        <v>1497.8034704688259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2502.9499999999998</v>
      </c>
      <c r="C13" s="43">
        <v>2856.12</v>
      </c>
      <c r="D13" s="43">
        <v>2650.18</v>
      </c>
      <c r="E13" s="43">
        <v>3110.57</v>
      </c>
      <c r="F13" s="43">
        <v>2892.42</v>
      </c>
      <c r="G13" s="43">
        <v>3042.39</v>
      </c>
      <c r="H13" s="43">
        <v>2825.8</v>
      </c>
      <c r="I13" s="43">
        <v>2572.6</v>
      </c>
      <c r="J13" s="43">
        <v>2553.4299999999998</v>
      </c>
      <c r="K13" s="43">
        <v>2618.66</v>
      </c>
      <c r="L13" s="43">
        <v>2950.73</v>
      </c>
      <c r="M13" s="43">
        <v>2815.26</v>
      </c>
      <c r="N13" s="43">
        <v>2768.77</v>
      </c>
      <c r="O13" s="43">
        <v>2688.69</v>
      </c>
      <c r="P13" s="43">
        <v>2277.6799999999998</v>
      </c>
      <c r="Q13" s="43">
        <v>2598.04</v>
      </c>
      <c r="R13" s="43">
        <v>2707.02</v>
      </c>
      <c r="S13" s="43">
        <v>2742.93</v>
      </c>
      <c r="T13" s="43">
        <v>2468.6999999999998</v>
      </c>
      <c r="U13" s="43">
        <v>2381.2199999999998</v>
      </c>
      <c r="V13" s="43">
        <v>2546.56</v>
      </c>
      <c r="W13" s="43">
        <v>2803.43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2693.8438095238093</v>
      </c>
      <c r="C14" s="44">
        <f t="shared" ref="C14:W14" si="0">AVERAGE($B$13:$V$13)</f>
        <v>2693.8438095238093</v>
      </c>
      <c r="D14" s="44">
        <f t="shared" si="0"/>
        <v>2693.8438095238093</v>
      </c>
      <c r="E14" s="44">
        <f t="shared" si="0"/>
        <v>2693.8438095238093</v>
      </c>
      <c r="F14" s="44">
        <f t="shared" si="0"/>
        <v>2693.8438095238093</v>
      </c>
      <c r="G14" s="44">
        <f t="shared" si="0"/>
        <v>2693.8438095238093</v>
      </c>
      <c r="H14" s="44">
        <f t="shared" si="0"/>
        <v>2693.8438095238093</v>
      </c>
      <c r="I14" s="44">
        <f t="shared" si="0"/>
        <v>2693.8438095238093</v>
      </c>
      <c r="J14" s="44">
        <f t="shared" si="0"/>
        <v>2693.8438095238093</v>
      </c>
      <c r="K14" s="44">
        <f t="shared" si="0"/>
        <v>2693.8438095238093</v>
      </c>
      <c r="L14" s="44">
        <f t="shared" si="0"/>
        <v>2693.8438095238093</v>
      </c>
      <c r="M14" s="44">
        <f t="shared" si="0"/>
        <v>2693.8438095238093</v>
      </c>
      <c r="N14" s="44">
        <f t="shared" si="0"/>
        <v>2693.8438095238093</v>
      </c>
      <c r="O14" s="44">
        <f t="shared" si="0"/>
        <v>2693.8438095238093</v>
      </c>
      <c r="P14" s="44">
        <f t="shared" si="0"/>
        <v>2693.8438095238093</v>
      </c>
      <c r="Q14" s="44">
        <f t="shared" si="0"/>
        <v>2693.8438095238093</v>
      </c>
      <c r="R14" s="44">
        <f t="shared" si="0"/>
        <v>2693.8438095238093</v>
      </c>
      <c r="S14" s="44">
        <f t="shared" si="0"/>
        <v>2693.8438095238093</v>
      </c>
      <c r="T14" s="44">
        <f t="shared" si="0"/>
        <v>2693.8438095238093</v>
      </c>
      <c r="U14" s="44">
        <f t="shared" si="0"/>
        <v>2693.8438095238093</v>
      </c>
      <c r="V14" s="44">
        <f t="shared" si="0"/>
        <v>2693.8438095238093</v>
      </c>
      <c r="W14" s="44">
        <f t="shared" si="0"/>
        <v>2693.8438095238093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0.92913701646364055</v>
      </c>
      <c r="C15" s="46">
        <f t="shared" ref="C15:W15" si="1">C13/C14</f>
        <v>1.0602396434056347</v>
      </c>
      <c r="D15" s="46">
        <f t="shared" si="1"/>
        <v>0.98379126162792341</v>
      </c>
      <c r="E15" s="46">
        <f t="shared" si="1"/>
        <v>1.1546957507346558</v>
      </c>
      <c r="F15" s="46">
        <f t="shared" si="1"/>
        <v>1.0737148121855264</v>
      </c>
      <c r="G15" s="46">
        <f t="shared" si="1"/>
        <v>1.12938619130179</v>
      </c>
      <c r="H15" s="46">
        <f t="shared" si="1"/>
        <v>1.0489843509151024</v>
      </c>
      <c r="I15" s="46">
        <f t="shared" si="1"/>
        <v>0.9549922645495762</v>
      </c>
      <c r="J15" s="46">
        <f t="shared" si="1"/>
        <v>0.94787603905341844</v>
      </c>
      <c r="K15" s="46">
        <f t="shared" si="1"/>
        <v>0.9720905090124361</v>
      </c>
      <c r="L15" s="46">
        <f t="shared" si="1"/>
        <v>1.0953604620906363</v>
      </c>
      <c r="M15" s="46">
        <f t="shared" si="1"/>
        <v>1.0450717261509135</v>
      </c>
      <c r="N15" s="46">
        <f t="shared" si="1"/>
        <v>1.0278138584766112</v>
      </c>
      <c r="O15" s="46">
        <f t="shared" si="1"/>
        <v>0.99808681947127431</v>
      </c>
      <c r="P15" s="46">
        <f t="shared" si="1"/>
        <v>0.84551301450644434</v>
      </c>
      <c r="Q15" s="46">
        <f t="shared" si="1"/>
        <v>0.96443601919862432</v>
      </c>
      <c r="R15" s="46">
        <f t="shared" si="1"/>
        <v>1.0048912228799634</v>
      </c>
      <c r="S15" s="46">
        <f t="shared" si="1"/>
        <v>1.0182216171192446</v>
      </c>
      <c r="T15" s="46">
        <f t="shared" si="1"/>
        <v>0.91642284206388036</v>
      </c>
      <c r="U15" s="46">
        <f t="shared" si="1"/>
        <v>0.88394879895465361</v>
      </c>
      <c r="V15" s="46">
        <f t="shared" si="1"/>
        <v>0.94532577983805055</v>
      </c>
      <c r="W15" s="46">
        <f t="shared" si="1"/>
        <v>1.0406802317523978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8072.0539509836963</v>
      </c>
      <c r="C19" s="34">
        <f t="shared" si="2"/>
        <v>8418.5123959439388</v>
      </c>
      <c r="D19" s="34">
        <f t="shared" ref="D19:W19" si="3">D4*1000000/D3</f>
        <v>8839.7929856008031</v>
      </c>
      <c r="E19" s="34">
        <f t="shared" si="3"/>
        <v>9229.3360661132738</v>
      </c>
      <c r="F19" s="34">
        <f t="shared" si="3"/>
        <v>9715.7673165527503</v>
      </c>
      <c r="G19" s="34">
        <f t="shared" si="3"/>
        <v>10152.312874121199</v>
      </c>
      <c r="H19" s="34">
        <f t="shared" si="3"/>
        <v>10574.922083519945</v>
      </c>
      <c r="I19" s="34">
        <f t="shared" si="3"/>
        <v>10615.211914403928</v>
      </c>
      <c r="J19" s="34">
        <f t="shared" si="3"/>
        <v>10743.886144403667</v>
      </c>
      <c r="K19" s="34">
        <f t="shared" si="3"/>
        <v>10049.490569438165</v>
      </c>
      <c r="L19" s="34">
        <f t="shared" si="3"/>
        <v>10174.519156015826</v>
      </c>
      <c r="M19" s="34">
        <f t="shared" si="3"/>
        <v>10394.137429941475</v>
      </c>
      <c r="N19" s="34">
        <f t="shared" si="3"/>
        <v>10319.78417282507</v>
      </c>
      <c r="O19" s="34">
        <f t="shared" si="3"/>
        <v>10530.365047718391</v>
      </c>
      <c r="P19" s="34">
        <f t="shared" si="3"/>
        <v>11010.904745856513</v>
      </c>
      <c r="Q19" s="34">
        <f t="shared" si="3"/>
        <v>11444.39018297367</v>
      </c>
      <c r="R19" s="34">
        <f t="shared" si="3"/>
        <v>11726.13245333236</v>
      </c>
      <c r="S19" s="34">
        <f t="shared" si="3"/>
        <v>12268.102537707997</v>
      </c>
      <c r="T19" s="34">
        <f t="shared" si="3"/>
        <v>12951.367055231723</v>
      </c>
      <c r="U19" s="34">
        <f t="shared" si="3"/>
        <v>13589.20414000621</v>
      </c>
      <c r="V19" s="34">
        <f t="shared" si="3"/>
        <v>12977.121726279929</v>
      </c>
      <c r="W19" s="34">
        <f t="shared" si="3"/>
        <v>13952.039956111039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17136.746500453351</v>
      </c>
      <c r="C20" s="36">
        <f t="shared" si="4"/>
        <v>17803.808136092848</v>
      </c>
      <c r="D20" s="36">
        <f t="shared" ref="D20:W20" si="5">D5*1000000/D6</f>
        <v>19030.898688406658</v>
      </c>
      <c r="E20" s="36">
        <f t="shared" si="5"/>
        <v>19322.064541644417</v>
      </c>
      <c r="F20" s="36">
        <f t="shared" si="5"/>
        <v>19722.567506751027</v>
      </c>
      <c r="G20" s="36">
        <f t="shared" si="5"/>
        <v>20798.348129301801</v>
      </c>
      <c r="H20" s="36">
        <f t="shared" si="5"/>
        <v>21466.658044034659</v>
      </c>
      <c r="I20" s="36">
        <f t="shared" si="5"/>
        <v>21671.714258518838</v>
      </c>
      <c r="J20" s="36">
        <f t="shared" si="5"/>
        <v>22365.017137713545</v>
      </c>
      <c r="K20" s="36">
        <f t="shared" si="5"/>
        <v>20786.197642674601</v>
      </c>
      <c r="L20" s="36">
        <f t="shared" si="5"/>
        <v>20939.128319046475</v>
      </c>
      <c r="M20" s="36">
        <f t="shared" si="5"/>
        <v>21033.965808735469</v>
      </c>
      <c r="N20" s="36">
        <f t="shared" si="5"/>
        <v>20849.519737368519</v>
      </c>
      <c r="O20" s="36">
        <f t="shared" si="5"/>
        <v>20569.058907484767</v>
      </c>
      <c r="P20" s="36">
        <f t="shared" si="5"/>
        <v>20078.424085795006</v>
      </c>
      <c r="Q20" s="36">
        <f t="shared" si="5"/>
        <v>19893.195144700196</v>
      </c>
      <c r="R20" s="36">
        <f t="shared" si="5"/>
        <v>20103.16054617149</v>
      </c>
      <c r="S20" s="36">
        <f t="shared" si="5"/>
        <v>20983.501508636593</v>
      </c>
      <c r="T20" s="36">
        <f t="shared" si="5"/>
        <v>21892.178185136447</v>
      </c>
      <c r="U20" s="36">
        <f t="shared" si="5"/>
        <v>22901.676561113956</v>
      </c>
      <c r="V20" s="36">
        <f t="shared" si="5"/>
        <v>22191.005244024916</v>
      </c>
      <c r="W20" s="36">
        <f t="shared" si="5"/>
        <v>23682.40405536495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4200.1076869558128</v>
      </c>
      <c r="C21" s="36">
        <f t="shared" si="6"/>
        <v>4418.3048182966177</v>
      </c>
      <c r="D21" s="36">
        <f t="shared" ref="D21:W21" si="7">D5*1000000/D3</f>
        <v>4739.9499300036123</v>
      </c>
      <c r="E21" s="36">
        <f t="shared" si="7"/>
        <v>4999.458145420288</v>
      </c>
      <c r="F21" s="36">
        <f t="shared" si="7"/>
        <v>5164.1030255919395</v>
      </c>
      <c r="G21" s="36">
        <f t="shared" si="7"/>
        <v>5442.6834750045155</v>
      </c>
      <c r="H21" s="36">
        <f t="shared" si="7"/>
        <v>5708.4042919392505</v>
      </c>
      <c r="I21" s="36">
        <f t="shared" si="7"/>
        <v>5751.9994919240653</v>
      </c>
      <c r="J21" s="36">
        <f t="shared" si="7"/>
        <v>5901.3013094643893</v>
      </c>
      <c r="K21" s="36">
        <f t="shared" si="7"/>
        <v>5600.0613642640747</v>
      </c>
      <c r="L21" s="36">
        <f t="shared" si="7"/>
        <v>5668.9172519165531</v>
      </c>
      <c r="M21" s="36">
        <f t="shared" si="7"/>
        <v>5714.8007201730479</v>
      </c>
      <c r="N21" s="36">
        <f t="shared" si="7"/>
        <v>5662.1610228047302</v>
      </c>
      <c r="O21" s="36">
        <f t="shared" si="7"/>
        <v>5816.9338562702451</v>
      </c>
      <c r="P21" s="36">
        <f t="shared" si="7"/>
        <v>6025.4797025715852</v>
      </c>
      <c r="Q21" s="36">
        <f t="shared" si="7"/>
        <v>6189.321755177858</v>
      </c>
      <c r="R21" s="36">
        <f t="shared" si="7"/>
        <v>6463.83906278838</v>
      </c>
      <c r="S21" s="36">
        <f t="shared" si="7"/>
        <v>6812.8759263706997</v>
      </c>
      <c r="T21" s="36">
        <f t="shared" si="7"/>
        <v>7236.0105360584503</v>
      </c>
      <c r="U21" s="36">
        <f t="shared" si="7"/>
        <v>7649.1822245329422</v>
      </c>
      <c r="V21" s="36">
        <f t="shared" si="7"/>
        <v>7314.1195085478175</v>
      </c>
      <c r="W21" s="36">
        <f t="shared" si="7"/>
        <v>7918.7140805375348</v>
      </c>
      <c r="DA21" s="89"/>
    </row>
    <row r="22" spans="1:105" ht="12" customHeight="1" x14ac:dyDescent="0.25">
      <c r="A22" s="51" t="s">
        <v>152</v>
      </c>
      <c r="B22" s="52">
        <v>0.28869282677276947</v>
      </c>
      <c r="C22" s="52">
        <v>0.29597404466432659</v>
      </c>
      <c r="D22" s="52">
        <v>0.31147174364600255</v>
      </c>
      <c r="E22" s="52">
        <v>0.32487891648705031</v>
      </c>
      <c r="F22" s="52">
        <v>0.32789606887071299</v>
      </c>
      <c r="G22" s="52">
        <v>0.33873114344680233</v>
      </c>
      <c r="H22" s="52">
        <v>0.34523134494994678</v>
      </c>
      <c r="I22" s="52">
        <v>0.33759507269816452</v>
      </c>
      <c r="J22" s="52">
        <v>0.34186231955247903</v>
      </c>
      <c r="K22" s="52">
        <v>0.33186297696636996</v>
      </c>
      <c r="L22" s="52">
        <v>0.331465907950656</v>
      </c>
      <c r="M22" s="52">
        <v>0.32792406685838299</v>
      </c>
      <c r="N22" s="52">
        <v>0.32589292467976544</v>
      </c>
      <c r="O22" s="52">
        <v>0.3335323998324608</v>
      </c>
      <c r="P22" s="52">
        <v>0.34102284296975383</v>
      </c>
      <c r="Q22" s="52">
        <v>0.34526754942801513</v>
      </c>
      <c r="R22" s="52">
        <v>0.35482070369080776</v>
      </c>
      <c r="S22" s="52">
        <v>0.36437282788573572</v>
      </c>
      <c r="T22" s="52">
        <v>0.37899854384734666</v>
      </c>
      <c r="U22" s="52">
        <v>0.39313893693800539</v>
      </c>
      <c r="V22" s="52">
        <v>0.39823970216102134</v>
      </c>
      <c r="W22" s="52">
        <v>0.40921929753400654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29.393947165679407</v>
      </c>
      <c r="C23" s="53">
        <f t="shared" si="8"/>
        <v>29.133379926450186</v>
      </c>
      <c r="D23" s="53">
        <f t="shared" ref="D23:W23" si="9">D6/D8</f>
        <v>28.527851727411548</v>
      </c>
      <c r="E23" s="53">
        <f t="shared" si="9"/>
        <v>28.487044551958331</v>
      </c>
      <c r="F23" s="53">
        <f t="shared" si="9"/>
        <v>28.31287153026306</v>
      </c>
      <c r="G23" s="53">
        <f t="shared" si="9"/>
        <v>27.592740271934886</v>
      </c>
      <c r="H23" s="53">
        <f t="shared" si="9"/>
        <v>27.600610341474344</v>
      </c>
      <c r="I23" s="53">
        <f t="shared" si="9"/>
        <v>26.992844691759284</v>
      </c>
      <c r="J23" s="53">
        <f t="shared" si="9"/>
        <v>26.934991014648109</v>
      </c>
      <c r="K23" s="53">
        <f t="shared" si="9"/>
        <v>27.579892812949346</v>
      </c>
      <c r="L23" s="53">
        <f t="shared" si="9"/>
        <v>27.662495615755574</v>
      </c>
      <c r="M23" s="53">
        <f t="shared" si="9"/>
        <v>27.559507722283715</v>
      </c>
      <c r="N23" s="53">
        <f t="shared" si="9"/>
        <v>27.201492772586189</v>
      </c>
      <c r="O23" s="53">
        <f t="shared" si="9"/>
        <v>27.965768679442661</v>
      </c>
      <c r="P23" s="53">
        <f t="shared" si="9"/>
        <v>28.681356015773087</v>
      </c>
      <c r="Q23" s="53">
        <f t="shared" si="9"/>
        <v>29.648916271158473</v>
      </c>
      <c r="R23" s="53">
        <f t="shared" si="9"/>
        <v>30.27198813007902</v>
      </c>
      <c r="S23" s="53">
        <f t="shared" si="9"/>
        <v>30.046101394004889</v>
      </c>
      <c r="T23" s="53">
        <f t="shared" si="9"/>
        <v>30.114241812076941</v>
      </c>
      <c r="U23" s="53">
        <f t="shared" si="9"/>
        <v>30.064505635746535</v>
      </c>
      <c r="V23" s="53">
        <f t="shared" si="9"/>
        <v>29.34634372144243</v>
      </c>
      <c r="W23" s="53">
        <f t="shared" si="9"/>
        <v>29.3584705616246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7.5044117247115407</v>
      </c>
      <c r="C24" s="54">
        <f t="shared" si="10"/>
        <v>7.6664517375298242</v>
      </c>
      <c r="D24" s="54">
        <f t="shared" ref="D24:W24" si="11">D9*1000/D3</f>
        <v>7.8575634677326569</v>
      </c>
      <c r="E24" s="54">
        <f t="shared" si="11"/>
        <v>8.1745625836310047</v>
      </c>
      <c r="F24" s="54">
        <f t="shared" si="11"/>
        <v>8.3231943911837849</v>
      </c>
      <c r="G24" s="54">
        <f t="shared" si="11"/>
        <v>8.5355578741570177</v>
      </c>
      <c r="H24" s="54">
        <f t="shared" si="11"/>
        <v>8.6710982947534117</v>
      </c>
      <c r="I24" s="54">
        <f t="shared" si="11"/>
        <v>8.8495141222627449</v>
      </c>
      <c r="J24" s="54">
        <f t="shared" si="11"/>
        <v>8.8166627477395796</v>
      </c>
      <c r="K24" s="54">
        <f t="shared" si="11"/>
        <v>8.7915949116300851</v>
      </c>
      <c r="L24" s="54">
        <f t="shared" si="11"/>
        <v>8.8083116205479595</v>
      </c>
      <c r="M24" s="54">
        <f t="shared" si="11"/>
        <v>8.8726015932881221</v>
      </c>
      <c r="N24" s="54">
        <f t="shared" si="11"/>
        <v>8.9853693058432818</v>
      </c>
      <c r="O24" s="54">
        <f t="shared" si="11"/>
        <v>9.1011328104923503</v>
      </c>
      <c r="P24" s="54">
        <f t="shared" si="11"/>
        <v>9.4168322492109358</v>
      </c>
      <c r="Q24" s="54">
        <f t="shared" si="11"/>
        <v>9.4443528246169457</v>
      </c>
      <c r="R24" s="54">
        <f t="shared" si="11"/>
        <v>9.5593367037280146</v>
      </c>
      <c r="S24" s="54">
        <f t="shared" si="11"/>
        <v>9.7253871831049548</v>
      </c>
      <c r="T24" s="54">
        <f t="shared" si="11"/>
        <v>9.8782677222416062</v>
      </c>
      <c r="U24" s="54">
        <f t="shared" si="11"/>
        <v>9.9985304316916928</v>
      </c>
      <c r="V24" s="54">
        <f t="shared" si="11"/>
        <v>10.108194399605466</v>
      </c>
      <c r="W24" s="54">
        <f t="shared" si="11"/>
        <v>10.250332613207805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30.618548605504969</v>
      </c>
      <c r="C25" s="54">
        <f t="shared" si="12"/>
        <v>30.892399106184392</v>
      </c>
      <c r="D25" s="54">
        <f t="shared" ref="D25:W25" si="13">D9*1000/D6</f>
        <v>31.548116857857096</v>
      </c>
      <c r="E25" s="54">
        <f t="shared" si="13"/>
        <v>31.593308963956037</v>
      </c>
      <c r="F25" s="54">
        <f t="shared" si="13"/>
        <v>31.787662337181455</v>
      </c>
      <c r="G25" s="54">
        <f t="shared" si="13"/>
        <v>32.617275092296929</v>
      </c>
      <c r="H25" s="54">
        <f t="shared" si="13"/>
        <v>32.607974565243786</v>
      </c>
      <c r="I25" s="54">
        <f t="shared" si="13"/>
        <v>33.342169388866346</v>
      </c>
      <c r="J25" s="54">
        <f t="shared" si="13"/>
        <v>33.413785046765057</v>
      </c>
      <c r="K25" s="54">
        <f t="shared" si="13"/>
        <v>32.632469100004286</v>
      </c>
      <c r="L25" s="54">
        <f t="shared" si="13"/>
        <v>32.53502549088131</v>
      </c>
      <c r="M25" s="54">
        <f t="shared" si="13"/>
        <v>32.656606535547411</v>
      </c>
      <c r="N25" s="54">
        <f t="shared" si="13"/>
        <v>33.086419466913405</v>
      </c>
      <c r="O25" s="54">
        <f t="shared" si="13"/>
        <v>32.18220140187244</v>
      </c>
      <c r="P25" s="54">
        <f t="shared" si="13"/>
        <v>31.379269498452306</v>
      </c>
      <c r="Q25" s="54">
        <f t="shared" si="13"/>
        <v>30.355241040479157</v>
      </c>
      <c r="R25" s="54">
        <f t="shared" si="13"/>
        <v>29.730455632206631</v>
      </c>
      <c r="S25" s="54">
        <f t="shared" si="13"/>
        <v>29.953969341911939</v>
      </c>
      <c r="T25" s="54">
        <f t="shared" si="13"/>
        <v>29.886191577271127</v>
      </c>
      <c r="U25" s="54">
        <f t="shared" si="13"/>
        <v>29.935632765898699</v>
      </c>
      <c r="V25" s="54">
        <f t="shared" si="13"/>
        <v>30.66821572536816</v>
      </c>
      <c r="W25" s="54">
        <f t="shared" si="13"/>
        <v>30.65554788049548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899.99999999999989</v>
      </c>
      <c r="C26" s="55">
        <f t="shared" si="14"/>
        <v>900</v>
      </c>
      <c r="D26" s="55">
        <f t="shared" ref="D26:W26" si="15">D9*1000/D8</f>
        <v>900</v>
      </c>
      <c r="E26" s="55">
        <f t="shared" si="15"/>
        <v>900</v>
      </c>
      <c r="F26" s="55">
        <f t="shared" si="15"/>
        <v>900</v>
      </c>
      <c r="G26" s="55">
        <f t="shared" si="15"/>
        <v>900.00000000000011</v>
      </c>
      <c r="H26" s="55">
        <f t="shared" si="15"/>
        <v>900.00000000000011</v>
      </c>
      <c r="I26" s="55">
        <f t="shared" si="15"/>
        <v>899.99999999999989</v>
      </c>
      <c r="J26" s="55">
        <f t="shared" si="15"/>
        <v>900.00000000000011</v>
      </c>
      <c r="K26" s="55">
        <f t="shared" si="15"/>
        <v>899.99999999999989</v>
      </c>
      <c r="L26" s="55">
        <f t="shared" si="15"/>
        <v>900</v>
      </c>
      <c r="M26" s="55">
        <f t="shared" si="15"/>
        <v>899.99999999999977</v>
      </c>
      <c r="N26" s="55">
        <f t="shared" si="15"/>
        <v>900</v>
      </c>
      <c r="O26" s="55">
        <f t="shared" si="15"/>
        <v>900</v>
      </c>
      <c r="P26" s="55">
        <f t="shared" si="15"/>
        <v>900</v>
      </c>
      <c r="Q26" s="55">
        <f t="shared" si="15"/>
        <v>900</v>
      </c>
      <c r="R26" s="55">
        <f t="shared" si="15"/>
        <v>900</v>
      </c>
      <c r="S26" s="55">
        <f t="shared" si="15"/>
        <v>900</v>
      </c>
      <c r="T26" s="55">
        <f t="shared" si="15"/>
        <v>899.99999999999989</v>
      </c>
      <c r="U26" s="55">
        <f t="shared" si="15"/>
        <v>900</v>
      </c>
      <c r="V26" s="55">
        <f t="shared" si="15"/>
        <v>900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900.00000000000011</v>
      </c>
      <c r="D27" s="57">
        <f t="shared" ref="D27:W27" si="17">IF(SUM(D11)=0,"",D11*1000/D10)</f>
        <v>900</v>
      </c>
      <c r="E27" s="57">
        <f t="shared" si="17"/>
        <v>900</v>
      </c>
      <c r="F27" s="57">
        <f t="shared" si="17"/>
        <v>900.00000000000011</v>
      </c>
      <c r="G27" s="57">
        <f t="shared" si="17"/>
        <v>899.99999999999989</v>
      </c>
      <c r="H27" s="57">
        <f t="shared" si="17"/>
        <v>900.00000000000023</v>
      </c>
      <c r="I27" s="57">
        <f t="shared" si="17"/>
        <v>900</v>
      </c>
      <c r="J27" s="57">
        <f t="shared" si="17"/>
        <v>900.00000000000011</v>
      </c>
      <c r="K27" s="57">
        <f t="shared" si="17"/>
        <v>900</v>
      </c>
      <c r="L27" s="57">
        <f t="shared" si="17"/>
        <v>900.00000000000011</v>
      </c>
      <c r="M27" s="57">
        <f t="shared" si="17"/>
        <v>900</v>
      </c>
      <c r="N27" s="57">
        <f t="shared" si="17"/>
        <v>900</v>
      </c>
      <c r="O27" s="57">
        <f t="shared" si="17"/>
        <v>899.99999999999989</v>
      </c>
      <c r="P27" s="57">
        <f t="shared" si="17"/>
        <v>900.00000000000011</v>
      </c>
      <c r="Q27" s="57">
        <f t="shared" si="17"/>
        <v>900</v>
      </c>
      <c r="R27" s="57">
        <f t="shared" si="17"/>
        <v>900</v>
      </c>
      <c r="S27" s="57">
        <f t="shared" si="17"/>
        <v>900</v>
      </c>
      <c r="T27" s="57">
        <f t="shared" si="17"/>
        <v>900</v>
      </c>
      <c r="U27" s="57">
        <f t="shared" si="17"/>
        <v>900.00000000000011</v>
      </c>
      <c r="V27" s="57">
        <f t="shared" si="17"/>
        <v>900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3037.1447780198091</v>
      </c>
      <c r="C31" s="80">
        <f t="shared" ref="C31:W31" si="18">SUM(C32:C33,C36:C37,C44:C45)</f>
        <v>3203.29723672418</v>
      </c>
      <c r="D31" s="80">
        <f t="shared" si="18"/>
        <v>2968.4489695988423</v>
      </c>
      <c r="E31" s="80">
        <f t="shared" si="18"/>
        <v>3081.6296495191987</v>
      </c>
      <c r="F31" s="80">
        <f t="shared" si="18"/>
        <v>3544.5895862984662</v>
      </c>
      <c r="G31" s="80">
        <f t="shared" si="18"/>
        <v>3501.6905216890773</v>
      </c>
      <c r="H31" s="80">
        <f t="shared" si="18"/>
        <v>3183.3038627726669</v>
      </c>
      <c r="I31" s="80">
        <f t="shared" si="18"/>
        <v>2795.6234354384969</v>
      </c>
      <c r="J31" s="80">
        <f t="shared" si="18"/>
        <v>2740.2233119231278</v>
      </c>
      <c r="K31" s="80">
        <f t="shared" si="18"/>
        <v>2902.7742609793581</v>
      </c>
      <c r="L31" s="80">
        <f t="shared" si="18"/>
        <v>3047.948597886163</v>
      </c>
      <c r="M31" s="80">
        <f t="shared" si="18"/>
        <v>3053.0459162527427</v>
      </c>
      <c r="N31" s="80">
        <f t="shared" si="18"/>
        <v>2353.4470063159424</v>
      </c>
      <c r="O31" s="80">
        <f t="shared" si="18"/>
        <v>2339.2671493477537</v>
      </c>
      <c r="P31" s="80">
        <f t="shared" si="18"/>
        <v>2116.9238510148834</v>
      </c>
      <c r="Q31" s="80">
        <f t="shared" si="18"/>
        <v>2215.8014642953567</v>
      </c>
      <c r="R31" s="80">
        <f t="shared" si="18"/>
        <v>2203.1222753705943</v>
      </c>
      <c r="S31" s="80">
        <f t="shared" si="18"/>
        <v>2173.6051394391052</v>
      </c>
      <c r="T31" s="80">
        <f t="shared" si="18"/>
        <v>2118.2903058305569</v>
      </c>
      <c r="U31" s="80">
        <f t="shared" si="18"/>
        <v>2070.490022562582</v>
      </c>
      <c r="V31" s="80">
        <f t="shared" si="18"/>
        <v>2021.0543795833905</v>
      </c>
      <c r="W31" s="80">
        <f t="shared" si="18"/>
        <v>2103.5816661969957</v>
      </c>
      <c r="DA31" s="103" t="s">
        <v>198</v>
      </c>
    </row>
    <row r="32" spans="1:105" ht="12" customHeight="1" x14ac:dyDescent="0.25">
      <c r="A32" s="58" t="s">
        <v>29</v>
      </c>
      <c r="B32" s="59">
        <v>23.16956147893379</v>
      </c>
      <c r="C32" s="59">
        <v>13.376268271711091</v>
      </c>
      <c r="D32" s="59">
        <v>10.530266552020636</v>
      </c>
      <c r="E32" s="59">
        <v>9.8524505588993971</v>
      </c>
      <c r="F32" s="59">
        <v>6.1796216680997418</v>
      </c>
      <c r="G32" s="59">
        <v>2.3913155631986238</v>
      </c>
      <c r="H32" s="59">
        <v>4.3846947549441095</v>
      </c>
      <c r="I32" s="59">
        <v>3.6223559759243336</v>
      </c>
      <c r="J32" s="59">
        <v>3.4360275150472912</v>
      </c>
      <c r="K32" s="59">
        <v>2.8388650042992256</v>
      </c>
      <c r="L32" s="59">
        <v>2.7337919174548575</v>
      </c>
      <c r="M32" s="59">
        <v>3.0481513327601029</v>
      </c>
      <c r="N32" s="59">
        <v>0.8527085124677557</v>
      </c>
      <c r="O32" s="59">
        <v>2.450558899398108</v>
      </c>
      <c r="P32" s="59">
        <v>2.2905417024935506</v>
      </c>
      <c r="Q32" s="59">
        <v>2.9263112639724849</v>
      </c>
      <c r="R32" s="59">
        <v>2.88950988822012</v>
      </c>
      <c r="S32" s="59">
        <v>1.4721410146173688</v>
      </c>
      <c r="T32" s="59">
        <v>1.5094582975064488</v>
      </c>
      <c r="U32" s="59">
        <v>1.4860705073086842</v>
      </c>
      <c r="V32" s="59">
        <v>1.2000859845227858</v>
      </c>
      <c r="W32" s="59">
        <v>1.1941530524505588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85.01960447119518</v>
      </c>
      <c r="C33" s="55">
        <f t="shared" ref="C33:W33" si="19">SUM(C34:C35)</f>
        <v>76.700601891659502</v>
      </c>
      <c r="D33" s="55">
        <f t="shared" si="19"/>
        <v>62.723301805674971</v>
      </c>
      <c r="E33" s="55">
        <f t="shared" si="19"/>
        <v>54.0006018916595</v>
      </c>
      <c r="F33" s="55">
        <f t="shared" si="19"/>
        <v>34.637489251934646</v>
      </c>
      <c r="G33" s="55">
        <f t="shared" si="19"/>
        <v>37.885812553740323</v>
      </c>
      <c r="H33" s="55">
        <f t="shared" si="19"/>
        <v>32.645399828030946</v>
      </c>
      <c r="I33" s="55">
        <f t="shared" si="19"/>
        <v>23.574118658641439</v>
      </c>
      <c r="J33" s="55">
        <f t="shared" si="19"/>
        <v>19.083748925193461</v>
      </c>
      <c r="K33" s="55">
        <f t="shared" si="19"/>
        <v>19.083748925193461</v>
      </c>
      <c r="L33" s="55">
        <f t="shared" si="19"/>
        <v>21.328976784178849</v>
      </c>
      <c r="M33" s="55">
        <f t="shared" si="19"/>
        <v>17.961220980223558</v>
      </c>
      <c r="N33" s="55">
        <f t="shared" si="19"/>
        <v>28.618486672398969</v>
      </c>
      <c r="O33" s="55">
        <f t="shared" si="19"/>
        <v>19.155460017196901</v>
      </c>
      <c r="P33" s="55">
        <f t="shared" si="19"/>
        <v>28.303353396388648</v>
      </c>
      <c r="Q33" s="55">
        <f t="shared" si="19"/>
        <v>41.583147033533962</v>
      </c>
      <c r="R33" s="55">
        <f t="shared" si="19"/>
        <v>44.643852106620812</v>
      </c>
      <c r="S33" s="55">
        <f t="shared" si="19"/>
        <v>39.442218400687878</v>
      </c>
      <c r="T33" s="55">
        <f t="shared" si="19"/>
        <v>46.921496130696482</v>
      </c>
      <c r="U33" s="55">
        <f t="shared" si="19"/>
        <v>41.890627687016327</v>
      </c>
      <c r="V33" s="55">
        <f t="shared" si="19"/>
        <v>48.394754944110048</v>
      </c>
      <c r="W33" s="55">
        <f t="shared" si="19"/>
        <v>51.226827171109193</v>
      </c>
      <c r="DA33" s="101"/>
    </row>
    <row r="34" spans="1:105" ht="12" customHeight="1" x14ac:dyDescent="0.25">
      <c r="A34" s="61" t="s">
        <v>52</v>
      </c>
      <c r="B34" s="55">
        <v>51.968099742046427</v>
      </c>
      <c r="C34" s="55">
        <v>41.80042992261393</v>
      </c>
      <c r="D34" s="55">
        <v>46.319346517626819</v>
      </c>
      <c r="E34" s="55">
        <v>41.80042992261393</v>
      </c>
      <c r="F34" s="55">
        <v>23.574118658641439</v>
      </c>
      <c r="G34" s="55">
        <v>25.819260533104039</v>
      </c>
      <c r="H34" s="55">
        <v>23.574118658641439</v>
      </c>
      <c r="I34" s="55">
        <v>23.574118658641439</v>
      </c>
      <c r="J34" s="55">
        <v>19.083748925193461</v>
      </c>
      <c r="K34" s="55">
        <v>19.083748925193461</v>
      </c>
      <c r="L34" s="55">
        <v>21.328976784178849</v>
      </c>
      <c r="M34" s="55">
        <v>17.961220980223558</v>
      </c>
      <c r="N34" s="55">
        <v>16.838607050730872</v>
      </c>
      <c r="O34" s="55">
        <v>12.348323301805671</v>
      </c>
      <c r="P34" s="55">
        <v>13.47093723129837</v>
      </c>
      <c r="Q34" s="55">
        <v>15.71607910576096</v>
      </c>
      <c r="R34" s="55">
        <v>12.127601031814271</v>
      </c>
      <c r="S34" s="55">
        <v>9.9183147033533956</v>
      </c>
      <c r="T34" s="55">
        <v>13.224419604471199</v>
      </c>
      <c r="U34" s="55">
        <v>12.12235597592433</v>
      </c>
      <c r="V34" s="55">
        <v>17.632588134135851</v>
      </c>
      <c r="W34" s="55">
        <v>12.12235597592433</v>
      </c>
      <c r="DA34" s="101" t="s">
        <v>200</v>
      </c>
    </row>
    <row r="35" spans="1:105" ht="12" customHeight="1" x14ac:dyDescent="0.25">
      <c r="A35" s="61" t="s">
        <v>170</v>
      </c>
      <c r="B35" s="55">
        <v>33.051504729148753</v>
      </c>
      <c r="C35" s="55">
        <v>34.900171969045573</v>
      </c>
      <c r="D35" s="55">
        <v>16.403955288048152</v>
      </c>
      <c r="E35" s="55">
        <v>12.20017196904557</v>
      </c>
      <c r="F35" s="55">
        <v>11.063370593293207</v>
      </c>
      <c r="G35" s="55">
        <v>12.066552020636284</v>
      </c>
      <c r="H35" s="55">
        <v>9.0712811693895077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11.779879621668098</v>
      </c>
      <c r="O35" s="55">
        <v>6.8071367153912306</v>
      </c>
      <c r="P35" s="55">
        <v>14.832416165090278</v>
      </c>
      <c r="Q35" s="55">
        <v>25.867067927773</v>
      </c>
      <c r="R35" s="55">
        <v>32.51625107480654</v>
      </c>
      <c r="S35" s="55">
        <v>29.523903697334482</v>
      </c>
      <c r="T35" s="55">
        <v>33.697076526225281</v>
      </c>
      <c r="U35" s="55">
        <v>29.768271711091998</v>
      </c>
      <c r="V35" s="55">
        <v>30.762166809974197</v>
      </c>
      <c r="W35" s="55">
        <v>39.104471195184864</v>
      </c>
      <c r="DA35" s="101" t="s">
        <v>201</v>
      </c>
    </row>
    <row r="36" spans="1:105" ht="12" customHeight="1" x14ac:dyDescent="0.25">
      <c r="A36" s="60" t="s">
        <v>153</v>
      </c>
      <c r="B36" s="55">
        <v>1773.129836629407</v>
      </c>
      <c r="C36" s="55">
        <v>1926.0533104041269</v>
      </c>
      <c r="D36" s="55">
        <v>1781.0404127257091</v>
      </c>
      <c r="E36" s="55">
        <v>1890.3697334479789</v>
      </c>
      <c r="F36" s="55">
        <v>2403.3748925193458</v>
      </c>
      <c r="G36" s="55">
        <v>2280.9114359415298</v>
      </c>
      <c r="H36" s="55">
        <v>1964.9828030954429</v>
      </c>
      <c r="I36" s="55">
        <v>1528.0309544282029</v>
      </c>
      <c r="J36" s="55">
        <v>1442.067927773001</v>
      </c>
      <c r="K36" s="55">
        <v>1571.711092003439</v>
      </c>
      <c r="L36" s="55">
        <v>1715.176268271711</v>
      </c>
      <c r="M36" s="55">
        <v>1725.8383490971621</v>
      </c>
      <c r="N36" s="55">
        <v>1387.1023215821151</v>
      </c>
      <c r="O36" s="55">
        <v>1407.910576096303</v>
      </c>
      <c r="P36" s="55">
        <v>1243.185726569217</v>
      </c>
      <c r="Q36" s="55">
        <v>1261.092003439381</v>
      </c>
      <c r="R36" s="55">
        <v>1225.709372312984</v>
      </c>
      <c r="S36" s="55">
        <v>1170.335339638865</v>
      </c>
      <c r="T36" s="55">
        <v>1102.4075666380049</v>
      </c>
      <c r="U36" s="55">
        <v>1059.4797936371449</v>
      </c>
      <c r="V36" s="55">
        <v>1062.338779019776</v>
      </c>
      <c r="W36" s="55">
        <v>1112.2742906276869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133.75374032674119</v>
      </c>
      <c r="C37" s="55">
        <f t="shared" ref="C37:W37" si="20">SUM(C38:C42)</f>
        <v>125.01195184866724</v>
      </c>
      <c r="D37" s="55">
        <f t="shared" si="20"/>
        <v>129.00068787618227</v>
      </c>
      <c r="E37" s="55">
        <f t="shared" si="20"/>
        <v>136.61994840928634</v>
      </c>
      <c r="F37" s="55">
        <f t="shared" si="20"/>
        <v>122.45631986242476</v>
      </c>
      <c r="G37" s="55">
        <f t="shared" si="20"/>
        <v>100.17205503009458</v>
      </c>
      <c r="H37" s="55">
        <f t="shared" si="20"/>
        <v>100.60189165950128</v>
      </c>
      <c r="I37" s="55">
        <f t="shared" si="20"/>
        <v>99.049441100601882</v>
      </c>
      <c r="J37" s="55">
        <f t="shared" si="20"/>
        <v>107.07463456577814</v>
      </c>
      <c r="K37" s="55">
        <f t="shared" si="20"/>
        <v>112.04256233877902</v>
      </c>
      <c r="L37" s="55">
        <f t="shared" si="20"/>
        <v>113.7383490971625</v>
      </c>
      <c r="M37" s="55">
        <f t="shared" si="20"/>
        <v>117.29724849527082</v>
      </c>
      <c r="N37" s="55">
        <f t="shared" si="20"/>
        <v>119.68564058469474</v>
      </c>
      <c r="O37" s="55">
        <f t="shared" si="20"/>
        <v>123.76990541702492</v>
      </c>
      <c r="P37" s="55">
        <f t="shared" si="20"/>
        <v>53.50146173688735</v>
      </c>
      <c r="Q37" s="55">
        <f t="shared" si="20"/>
        <v>57.299140154772147</v>
      </c>
      <c r="R37" s="55">
        <f t="shared" si="20"/>
        <v>50.826397248495276</v>
      </c>
      <c r="S37" s="55">
        <f t="shared" si="20"/>
        <v>57.514101461736885</v>
      </c>
      <c r="T37" s="55">
        <f t="shared" si="20"/>
        <v>53.907566638005143</v>
      </c>
      <c r="U37" s="55">
        <f t="shared" si="20"/>
        <v>58.851676698194318</v>
      </c>
      <c r="V37" s="55">
        <f t="shared" si="20"/>
        <v>53.119346517626809</v>
      </c>
      <c r="W37" s="55">
        <f t="shared" si="20"/>
        <v>56.152794496990538</v>
      </c>
      <c r="DA37" s="101"/>
    </row>
    <row r="38" spans="1:105" ht="12" customHeight="1" x14ac:dyDescent="0.25">
      <c r="A38" s="61" t="s">
        <v>171</v>
      </c>
      <c r="B38" s="55">
        <v>54.743508168529672</v>
      </c>
      <c r="C38" s="55">
        <v>47.267583834909715</v>
      </c>
      <c r="D38" s="55">
        <v>50.611435941530516</v>
      </c>
      <c r="E38" s="55">
        <v>59.902579535683572</v>
      </c>
      <c r="F38" s="55">
        <v>54.647979363714526</v>
      </c>
      <c r="G38" s="55">
        <v>34.083319002579543</v>
      </c>
      <c r="H38" s="55">
        <v>32.626311263972482</v>
      </c>
      <c r="I38" s="55">
        <v>29.473602751504728</v>
      </c>
      <c r="J38" s="55">
        <v>29.163112639724844</v>
      </c>
      <c r="K38" s="55">
        <v>31.073860705073088</v>
      </c>
      <c r="L38" s="55">
        <v>32.721926053310398</v>
      </c>
      <c r="M38" s="55">
        <v>32.602493551160777</v>
      </c>
      <c r="N38" s="55">
        <v>35.253654342218397</v>
      </c>
      <c r="O38" s="55">
        <v>34.035511607910564</v>
      </c>
      <c r="P38" s="55">
        <v>29.521324161650895</v>
      </c>
      <c r="Q38" s="55">
        <v>35.20593293207223</v>
      </c>
      <c r="R38" s="55">
        <v>31.026139294926914</v>
      </c>
      <c r="S38" s="55">
        <v>31.384350816852958</v>
      </c>
      <c r="T38" s="55">
        <v>29.019776440240747</v>
      </c>
      <c r="U38" s="55">
        <v>31.456061908856398</v>
      </c>
      <c r="V38" s="55">
        <v>27.897162510748057</v>
      </c>
      <c r="W38" s="55">
        <v>23.263628546861565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0.85984522785898532</v>
      </c>
      <c r="E39" s="55">
        <v>0.35829750644883918</v>
      </c>
      <c r="F39" s="55">
        <v>1.1703353396388649</v>
      </c>
      <c r="G39" s="55">
        <v>1.0031814273430779</v>
      </c>
      <c r="H39" s="55">
        <v>2.2451418744625968</v>
      </c>
      <c r="I39" s="55">
        <v>3.2483233018056752</v>
      </c>
      <c r="J39" s="55">
        <v>2.1974204643164228</v>
      </c>
      <c r="K39" s="55">
        <v>3.176612209802236</v>
      </c>
      <c r="L39" s="55">
        <v>2.6511607910576092</v>
      </c>
      <c r="M39" s="55">
        <v>2.3884780739466889</v>
      </c>
      <c r="N39" s="55">
        <v>2.1257093723129841</v>
      </c>
      <c r="O39" s="55">
        <v>4.8246775580395527</v>
      </c>
      <c r="P39" s="55">
        <v>1.265864144453998</v>
      </c>
      <c r="Q39" s="55">
        <v>2.3167669819432501</v>
      </c>
      <c r="R39" s="55">
        <v>3.0810834049871021</v>
      </c>
      <c r="S39" s="55">
        <v>3.0810834049871021</v>
      </c>
      <c r="T39" s="55">
        <v>2.8184006878761818</v>
      </c>
      <c r="U39" s="55">
        <v>3.0810834049871021</v>
      </c>
      <c r="V39" s="55">
        <v>3.0094582975064492</v>
      </c>
      <c r="W39" s="55">
        <v>3.0333619948409281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2.3903697334479789E-2</v>
      </c>
      <c r="H41" s="55">
        <v>4.7807394668959592E-2</v>
      </c>
      <c r="I41" s="55">
        <v>7.1625107480653469E-2</v>
      </c>
      <c r="J41" s="55">
        <v>9.5528804815133275E-2</v>
      </c>
      <c r="K41" s="55">
        <v>0.1194325021496131</v>
      </c>
      <c r="L41" s="55">
        <v>0.16715391229578669</v>
      </c>
      <c r="M41" s="55">
        <v>0.19105760963026661</v>
      </c>
      <c r="N41" s="55">
        <v>0.19105760963026661</v>
      </c>
      <c r="O41" s="55">
        <v>0.19105760963026661</v>
      </c>
      <c r="P41" s="55">
        <v>0.2149613069647463</v>
      </c>
      <c r="Q41" s="55">
        <v>0.2149613069647463</v>
      </c>
      <c r="R41" s="55">
        <v>0.2149613069647463</v>
      </c>
      <c r="S41" s="55">
        <v>0.23886500429922611</v>
      </c>
      <c r="T41" s="55">
        <v>0.23886500429922611</v>
      </c>
      <c r="U41" s="55">
        <v>0.26276870163370591</v>
      </c>
      <c r="V41" s="55">
        <v>0.26276870163370591</v>
      </c>
      <c r="W41" s="55">
        <v>0.26276870163370591</v>
      </c>
      <c r="DA41" s="101" t="s">
        <v>206</v>
      </c>
    </row>
    <row r="42" spans="1:105" ht="12" customHeight="1" x14ac:dyDescent="0.25">
      <c r="A42" s="61" t="s">
        <v>25</v>
      </c>
      <c r="B42" s="55">
        <v>79.010232158211522</v>
      </c>
      <c r="C42" s="55">
        <v>77.744368013757523</v>
      </c>
      <c r="D42" s="55">
        <v>77.52940670679277</v>
      </c>
      <c r="E42" s="55">
        <v>76.359071367153916</v>
      </c>
      <c r="F42" s="55">
        <v>66.638005159071369</v>
      </c>
      <c r="G42" s="55">
        <v>65.061650902837485</v>
      </c>
      <c r="H42" s="55">
        <v>65.68263112639724</v>
      </c>
      <c r="I42" s="55">
        <v>66.255889939810828</v>
      </c>
      <c r="J42" s="55">
        <v>75.618572656921742</v>
      </c>
      <c r="K42" s="55">
        <v>77.672656921754083</v>
      </c>
      <c r="L42" s="55">
        <v>78.198108340498706</v>
      </c>
      <c r="M42" s="55">
        <v>82.115219260533095</v>
      </c>
      <c r="N42" s="55">
        <v>82.115219260533095</v>
      </c>
      <c r="O42" s="55">
        <v>84.718658641444534</v>
      </c>
      <c r="P42" s="55">
        <v>22.49931212381771</v>
      </c>
      <c r="Q42" s="55">
        <v>19.561478933791921</v>
      </c>
      <c r="R42" s="55">
        <v>16.504213241616512</v>
      </c>
      <c r="S42" s="55">
        <v>22.809802235597591</v>
      </c>
      <c r="T42" s="55">
        <v>21.83052450558899</v>
      </c>
      <c r="U42" s="55">
        <v>24.051762682717111</v>
      </c>
      <c r="V42" s="55">
        <v>21.9499570077386</v>
      </c>
      <c r="W42" s="55">
        <v>29.593035253654339</v>
      </c>
      <c r="DA42" s="101" t="s">
        <v>207</v>
      </c>
    </row>
    <row r="43" spans="1:105" ht="12" customHeight="1" x14ac:dyDescent="0.25">
      <c r="A43" s="61" t="s">
        <v>157</v>
      </c>
      <c r="B43" s="55">
        <v>2.4944221439039318E-3</v>
      </c>
      <c r="C43" s="55">
        <v>3.0968999228435448E-3</v>
      </c>
      <c r="D43" s="55">
        <v>3.6468242504446077E-3</v>
      </c>
      <c r="E43" s="55">
        <v>4.560733592307277E-3</v>
      </c>
      <c r="F43" s="55">
        <v>1.0350005387621306E-2</v>
      </c>
      <c r="G43" s="55">
        <v>2.3389402589383282E-2</v>
      </c>
      <c r="H43" s="55">
        <v>3.9911696594305442E-2</v>
      </c>
      <c r="I43" s="55">
        <v>7.6339228760052766E-2</v>
      </c>
      <c r="J43" s="55">
        <v>9.0090331566811344E-2</v>
      </c>
      <c r="K43" s="55">
        <v>0.12180979540332819</v>
      </c>
      <c r="L43" s="55">
        <v>0.1460234676082561</v>
      </c>
      <c r="M43" s="55">
        <v>0.1900206155225527</v>
      </c>
      <c r="N43" s="55">
        <v>0.40380383584136698</v>
      </c>
      <c r="O43" s="55">
        <v>0.63831537584264997</v>
      </c>
      <c r="P43" s="55">
        <v>0.97385155287291791</v>
      </c>
      <c r="Q43" s="55">
        <v>0.82067729976674919</v>
      </c>
      <c r="R43" s="55">
        <v>0.88924758399845316</v>
      </c>
      <c r="S43" s="55">
        <v>1.0987102321582121</v>
      </c>
      <c r="T43" s="55">
        <v>1.8630266552020638</v>
      </c>
      <c r="U43" s="55">
        <v>2.2929492691315581</v>
      </c>
      <c r="V43" s="55">
        <v>4.1797936371453082</v>
      </c>
      <c r="W43" s="55">
        <v>3.4632846087704183</v>
      </c>
      <c r="DA43" s="101" t="s">
        <v>208</v>
      </c>
    </row>
    <row r="44" spans="1:105" ht="12" customHeight="1" x14ac:dyDescent="0.25">
      <c r="A44" s="60" t="s">
        <v>169</v>
      </c>
      <c r="B44" s="55">
        <v>262.13336199484093</v>
      </c>
      <c r="C44" s="55">
        <v>293.01616509028372</v>
      </c>
      <c r="D44" s="55">
        <v>238.6309544282029</v>
      </c>
      <c r="E44" s="55">
        <v>250.81203783319</v>
      </c>
      <c r="F44" s="55">
        <v>196.88065348237319</v>
      </c>
      <c r="G44" s="55">
        <v>228.36053310404131</v>
      </c>
      <c r="H44" s="55">
        <v>196.85674978503869</v>
      </c>
      <c r="I44" s="55">
        <v>209.51564918314699</v>
      </c>
      <c r="J44" s="55">
        <v>238.70257953568361</v>
      </c>
      <c r="K44" s="55">
        <v>220.9324161650903</v>
      </c>
      <c r="L44" s="55">
        <v>219.30834049871021</v>
      </c>
      <c r="M44" s="55">
        <v>203.56835769561479</v>
      </c>
      <c r="N44" s="55">
        <v>145.48099742046429</v>
      </c>
      <c r="O44" s="55">
        <v>139.29492691315559</v>
      </c>
      <c r="P44" s="55">
        <v>130.935339638865</v>
      </c>
      <c r="Q44" s="55">
        <v>162.8689595872743</v>
      </c>
      <c r="R44" s="55">
        <v>179.46878761822867</v>
      </c>
      <c r="S44" s="55">
        <v>181.49905417024928</v>
      </c>
      <c r="T44" s="55">
        <v>171.51530524505586</v>
      </c>
      <c r="U44" s="55">
        <v>164.51702493551153</v>
      </c>
      <c r="V44" s="55">
        <v>160.98211521926049</v>
      </c>
      <c r="W44" s="55">
        <v>171.61074806534825</v>
      </c>
      <c r="DA44" s="101" t="s">
        <v>209</v>
      </c>
    </row>
    <row r="45" spans="1:105" ht="12" customHeight="1" x14ac:dyDescent="0.25">
      <c r="A45" s="62" t="s">
        <v>24</v>
      </c>
      <c r="B45" s="63">
        <v>759.9386731186911</v>
      </c>
      <c r="C45" s="63">
        <v>769.13893921773138</v>
      </c>
      <c r="D45" s="63">
        <v>746.52334621105251</v>
      </c>
      <c r="E45" s="63">
        <v>739.97487737818437</v>
      </c>
      <c r="F45" s="63">
        <v>781.06060951428867</v>
      </c>
      <c r="G45" s="63">
        <v>851.96936949647284</v>
      </c>
      <c r="H45" s="63">
        <v>883.83232364970911</v>
      </c>
      <c r="I45" s="63">
        <v>931.83091609197982</v>
      </c>
      <c r="J45" s="63">
        <v>929.85839360842419</v>
      </c>
      <c r="K45" s="63">
        <v>976.16557654255701</v>
      </c>
      <c r="L45" s="63">
        <v>975.66287131694571</v>
      </c>
      <c r="M45" s="63">
        <v>985.33258865171138</v>
      </c>
      <c r="N45" s="63">
        <v>671.70685154380158</v>
      </c>
      <c r="O45" s="63">
        <v>646.68572200467531</v>
      </c>
      <c r="P45" s="63">
        <v>658.70742797103185</v>
      </c>
      <c r="Q45" s="63">
        <v>690.03190281642264</v>
      </c>
      <c r="R45" s="63">
        <v>699.58435619604506</v>
      </c>
      <c r="S45" s="63">
        <v>723.34228475294913</v>
      </c>
      <c r="T45" s="63">
        <v>742.02891288128774</v>
      </c>
      <c r="U45" s="63">
        <v>744.26482909740628</v>
      </c>
      <c r="V45" s="63">
        <v>695.01929789809435</v>
      </c>
      <c r="W45" s="63">
        <v>711.12285278341051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3037.1447780198096</v>
      </c>
      <c r="C47" s="82">
        <f t="shared" ref="C47:W47" si="22">SUM(C48,C53)</f>
        <v>3203.29723672418</v>
      </c>
      <c r="D47" s="82">
        <f t="shared" si="22"/>
        <v>2968.4489695988427</v>
      </c>
      <c r="E47" s="82">
        <f t="shared" si="22"/>
        <v>3081.6296495191982</v>
      </c>
      <c r="F47" s="82">
        <f t="shared" si="22"/>
        <v>3544.5895862984667</v>
      </c>
      <c r="G47" s="82">
        <f t="shared" si="22"/>
        <v>3501.6905216890782</v>
      </c>
      <c r="H47" s="82">
        <f t="shared" si="22"/>
        <v>3183.3038627726669</v>
      </c>
      <c r="I47" s="82">
        <f t="shared" si="22"/>
        <v>2795.6234354384978</v>
      </c>
      <c r="J47" s="82">
        <f t="shared" si="22"/>
        <v>2740.2233119231269</v>
      </c>
      <c r="K47" s="82">
        <f t="shared" si="22"/>
        <v>2902.7742609793581</v>
      </c>
      <c r="L47" s="82">
        <f t="shared" si="22"/>
        <v>3047.948597886163</v>
      </c>
      <c r="M47" s="82">
        <f t="shared" si="22"/>
        <v>3053.0459162527441</v>
      </c>
      <c r="N47" s="82">
        <f t="shared" si="22"/>
        <v>2353.4470063159429</v>
      </c>
      <c r="O47" s="82">
        <f t="shared" si="22"/>
        <v>2339.2671493477533</v>
      </c>
      <c r="P47" s="82">
        <f t="shared" si="22"/>
        <v>2116.9238510148834</v>
      </c>
      <c r="Q47" s="82">
        <f t="shared" si="22"/>
        <v>2215.8014642953558</v>
      </c>
      <c r="R47" s="82">
        <f t="shared" si="22"/>
        <v>2203.1222753705933</v>
      </c>
      <c r="S47" s="82">
        <f t="shared" si="22"/>
        <v>2173.6051394391061</v>
      </c>
      <c r="T47" s="82">
        <f t="shared" si="22"/>
        <v>2118.2903058305565</v>
      </c>
      <c r="U47" s="82">
        <f t="shared" si="22"/>
        <v>2070.4900225625815</v>
      </c>
      <c r="V47" s="82">
        <f t="shared" si="22"/>
        <v>2021.0543795833905</v>
      </c>
      <c r="W47" s="82">
        <f t="shared" si="22"/>
        <v>2103.5816661969966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2704.4765715903236</v>
      </c>
      <c r="C48" s="64">
        <f t="shared" ref="C48:W48" si="24">SUM(C49:C52)</f>
        <v>2856.4005635540325</v>
      </c>
      <c r="D48" s="64">
        <f t="shared" si="24"/>
        <v>2607.8852887984617</v>
      </c>
      <c r="E48" s="64">
        <f t="shared" si="24"/>
        <v>2704.5821391642121</v>
      </c>
      <c r="F48" s="64">
        <f t="shared" si="24"/>
        <v>3150.9589923149078</v>
      </c>
      <c r="G48" s="64">
        <f t="shared" si="24"/>
        <v>3088.3174496984757</v>
      </c>
      <c r="H48" s="64">
        <f t="shared" si="24"/>
        <v>2753.5576123471196</v>
      </c>
      <c r="I48" s="64">
        <f t="shared" si="24"/>
        <v>2349.0925112778978</v>
      </c>
      <c r="J48" s="64">
        <f t="shared" si="24"/>
        <v>2288.608563544416</v>
      </c>
      <c r="K48" s="64">
        <f t="shared" si="24"/>
        <v>2446.0860140433824</v>
      </c>
      <c r="L48" s="64">
        <f t="shared" si="24"/>
        <v>2590.3687526860704</v>
      </c>
      <c r="M48" s="64">
        <f t="shared" si="24"/>
        <v>2593.4068605193788</v>
      </c>
      <c r="N48" s="64">
        <f t="shared" si="24"/>
        <v>1908.3473841376876</v>
      </c>
      <c r="O48" s="64">
        <f t="shared" si="24"/>
        <v>1898.6478523989251</v>
      </c>
      <c r="P48" s="64">
        <f t="shared" si="24"/>
        <v>1677.3479238368916</v>
      </c>
      <c r="Q48" s="64">
        <f t="shared" si="24"/>
        <v>1778.4264416980973</v>
      </c>
      <c r="R48" s="64">
        <f t="shared" si="24"/>
        <v>1772.8326403742483</v>
      </c>
      <c r="S48" s="64">
        <f t="shared" si="24"/>
        <v>1744.7540127379484</v>
      </c>
      <c r="T48" s="64">
        <f t="shared" si="24"/>
        <v>1697.5594419114411</v>
      </c>
      <c r="U48" s="64">
        <f t="shared" si="24"/>
        <v>1659.7122467629276</v>
      </c>
      <c r="V48" s="64">
        <f t="shared" si="24"/>
        <v>1632.631974728976</v>
      </c>
      <c r="W48" s="64">
        <f t="shared" si="24"/>
        <v>1716.9760273852967</v>
      </c>
      <c r="DA48" s="108" t="s">
        <v>212</v>
      </c>
    </row>
    <row r="49" spans="1:105" ht="12" customHeight="1" x14ac:dyDescent="0.25">
      <c r="A49" s="61" t="s">
        <v>32</v>
      </c>
      <c r="B49" s="65">
        <v>2289.3529481946857</v>
      </c>
      <c r="C49" s="65">
        <v>2436.2507335305922</v>
      </c>
      <c r="D49" s="65">
        <v>2175.0450366541736</v>
      </c>
      <c r="E49" s="65">
        <v>2256.8554078643187</v>
      </c>
      <c r="F49" s="65">
        <v>2700.2216520661696</v>
      </c>
      <c r="G49" s="65">
        <v>2631.0812855213348</v>
      </c>
      <c r="H49" s="65">
        <v>2287.3762163575248</v>
      </c>
      <c r="I49" s="65">
        <v>1878.714680715831</v>
      </c>
      <c r="J49" s="65">
        <v>1819.9361942008195</v>
      </c>
      <c r="K49" s="65">
        <v>1974.5323703435745</v>
      </c>
      <c r="L49" s="65">
        <v>2112.8622988015786</v>
      </c>
      <c r="M49" s="65">
        <v>2116.0147792791404</v>
      </c>
      <c r="N49" s="65">
        <v>1423.9278836665651</v>
      </c>
      <c r="O49" s="65">
        <v>1418.1255922540386</v>
      </c>
      <c r="P49" s="65">
        <v>1199.3483496781646</v>
      </c>
      <c r="Q49" s="65">
        <v>1294.4667483280707</v>
      </c>
      <c r="R49" s="65">
        <v>1298.2401243813047</v>
      </c>
      <c r="S49" s="65">
        <v>1271.1152215260411</v>
      </c>
      <c r="T49" s="65">
        <v>1219.3158612219875</v>
      </c>
      <c r="U49" s="65">
        <v>1186.2865364661316</v>
      </c>
      <c r="V49" s="65">
        <v>1193.5569128868287</v>
      </c>
      <c r="W49" s="65">
        <v>1256.4570141095051</v>
      </c>
      <c r="DA49" s="109" t="s">
        <v>213</v>
      </c>
    </row>
    <row r="50" spans="1:105" ht="12" customHeight="1" x14ac:dyDescent="0.25">
      <c r="A50" s="61" t="s">
        <v>31</v>
      </c>
      <c r="B50" s="65">
        <v>15.002268364963568</v>
      </c>
      <c r="C50" s="65">
        <v>13.771994287502913</v>
      </c>
      <c r="D50" s="65">
        <v>14.913320830375801</v>
      </c>
      <c r="E50" s="65">
        <v>17.340576965809838</v>
      </c>
      <c r="F50" s="65">
        <v>14.191036359795259</v>
      </c>
      <c r="G50" s="65">
        <v>14.31522147020759</v>
      </c>
      <c r="H50" s="65">
        <v>16.272139419359785</v>
      </c>
      <c r="I50" s="65">
        <v>18.124900975667039</v>
      </c>
      <c r="J50" s="65">
        <v>15.4542097046217</v>
      </c>
      <c r="K50" s="65">
        <v>16.105235096184469</v>
      </c>
      <c r="L50" s="65">
        <v>17.318622302902011</v>
      </c>
      <c r="M50" s="65">
        <v>17.088539339742042</v>
      </c>
      <c r="N50" s="65">
        <v>21.921839411610556</v>
      </c>
      <c r="O50" s="65">
        <v>17.899767554918512</v>
      </c>
      <c r="P50" s="65">
        <v>16.105538011392824</v>
      </c>
      <c r="Q50" s="65">
        <v>23.115869106962695</v>
      </c>
      <c r="R50" s="65">
        <v>16.119898829146081</v>
      </c>
      <c r="S50" s="65">
        <v>19.164484198726964</v>
      </c>
      <c r="T50" s="65">
        <v>18.492899535721023</v>
      </c>
      <c r="U50" s="65">
        <v>20.067052735514672</v>
      </c>
      <c r="V50" s="65">
        <v>16.423645492412767</v>
      </c>
      <c r="W50" s="65">
        <v>20.670670328649436</v>
      </c>
      <c r="DA50" s="109" t="s">
        <v>214</v>
      </c>
    </row>
    <row r="51" spans="1:105" ht="12" customHeight="1" x14ac:dyDescent="0.25">
      <c r="A51" s="61" t="s">
        <v>35</v>
      </c>
      <c r="B51" s="65">
        <v>202.30553113857945</v>
      </c>
      <c r="C51" s="65">
        <v>205.40306391057757</v>
      </c>
      <c r="D51" s="65">
        <v>212.05021810968611</v>
      </c>
      <c r="E51" s="65">
        <v>216.34994381399639</v>
      </c>
      <c r="F51" s="65">
        <v>222.72389737596524</v>
      </c>
      <c r="G51" s="65">
        <v>223.56976665945427</v>
      </c>
      <c r="H51" s="65">
        <v>224.71530388731696</v>
      </c>
      <c r="I51" s="65">
        <v>226.61300393650222</v>
      </c>
      <c r="J51" s="65">
        <v>227.47475359645009</v>
      </c>
      <c r="K51" s="65">
        <v>228.51884317503354</v>
      </c>
      <c r="L51" s="65">
        <v>227.1852126517305</v>
      </c>
      <c r="M51" s="65">
        <v>226.69656763709267</v>
      </c>
      <c r="N51" s="65">
        <v>226.79769010218052</v>
      </c>
      <c r="O51" s="65">
        <v>226.18050578319972</v>
      </c>
      <c r="P51" s="65">
        <v>226.17491982902391</v>
      </c>
      <c r="Q51" s="65">
        <v>224.83285071920429</v>
      </c>
      <c r="R51" s="65">
        <v>225.22081130797946</v>
      </c>
      <c r="S51" s="65">
        <v>223.42448978212559</v>
      </c>
      <c r="T51" s="65">
        <v>223.54331645500594</v>
      </c>
      <c r="U51" s="65">
        <v>218.19227970270663</v>
      </c>
      <c r="V51" s="65">
        <v>197.114691916433</v>
      </c>
      <c r="W51" s="65">
        <v>200.921694114102</v>
      </c>
      <c r="DA51" s="109" t="s">
        <v>215</v>
      </c>
    </row>
    <row r="52" spans="1:105" ht="12" customHeight="1" x14ac:dyDescent="0.25">
      <c r="A52" s="66" t="s">
        <v>34</v>
      </c>
      <c r="B52" s="67">
        <v>197.81582389209473</v>
      </c>
      <c r="C52" s="67">
        <v>200.97477182535957</v>
      </c>
      <c r="D52" s="67">
        <v>205.87671320422635</v>
      </c>
      <c r="E52" s="67">
        <v>214.03621052008725</v>
      </c>
      <c r="F52" s="67">
        <v>213.82240651297732</v>
      </c>
      <c r="G52" s="67">
        <v>219.35117604747916</v>
      </c>
      <c r="H52" s="67">
        <v>225.19395268291777</v>
      </c>
      <c r="I52" s="67">
        <v>225.63992564989741</v>
      </c>
      <c r="J52" s="67">
        <v>225.74340604252473</v>
      </c>
      <c r="K52" s="67">
        <v>226.9295654285898</v>
      </c>
      <c r="L52" s="67">
        <v>233.00261892985941</v>
      </c>
      <c r="M52" s="67">
        <v>233.60697426340334</v>
      </c>
      <c r="N52" s="67">
        <v>235.69997095733146</v>
      </c>
      <c r="O52" s="67">
        <v>236.44198680676828</v>
      </c>
      <c r="P52" s="67">
        <v>235.71911631831034</v>
      </c>
      <c r="Q52" s="67">
        <v>236.01097354385948</v>
      </c>
      <c r="R52" s="67">
        <v>233.25180585581819</v>
      </c>
      <c r="S52" s="67">
        <v>231.04981723105479</v>
      </c>
      <c r="T52" s="67">
        <v>236.20736469872676</v>
      </c>
      <c r="U52" s="67">
        <v>235.16637785857492</v>
      </c>
      <c r="V52" s="67">
        <v>225.53672443330146</v>
      </c>
      <c r="W52" s="67">
        <v>238.92664883304028</v>
      </c>
      <c r="DA52" s="110" t="s">
        <v>216</v>
      </c>
    </row>
    <row r="53" spans="1:105" ht="12" customHeight="1" x14ac:dyDescent="0.25">
      <c r="A53" s="78" t="s">
        <v>33</v>
      </c>
      <c r="B53" s="68">
        <v>332.66820642948596</v>
      </c>
      <c r="C53" s="68">
        <v>346.89667317014755</v>
      </c>
      <c r="D53" s="68">
        <v>360.56368080038118</v>
      </c>
      <c r="E53" s="68">
        <v>377.04751035498623</v>
      </c>
      <c r="F53" s="68">
        <v>393.63059398355898</v>
      </c>
      <c r="G53" s="68">
        <v>413.37307199060245</v>
      </c>
      <c r="H53" s="68">
        <v>429.74625042554715</v>
      </c>
      <c r="I53" s="68">
        <v>446.53092416059985</v>
      </c>
      <c r="J53" s="68">
        <v>451.61474837871106</v>
      </c>
      <c r="K53" s="68">
        <v>456.68824693597571</v>
      </c>
      <c r="L53" s="68">
        <v>457.57984520009268</v>
      </c>
      <c r="M53" s="68">
        <v>459.63905573336507</v>
      </c>
      <c r="N53" s="68">
        <v>445.09962217825529</v>
      </c>
      <c r="O53" s="68">
        <v>440.61929694882821</v>
      </c>
      <c r="P53" s="68">
        <v>439.57592717799162</v>
      </c>
      <c r="Q53" s="68">
        <v>437.37502259725858</v>
      </c>
      <c r="R53" s="68">
        <v>430.28963499634483</v>
      </c>
      <c r="S53" s="68">
        <v>428.85112670115768</v>
      </c>
      <c r="T53" s="68">
        <v>420.73086391911539</v>
      </c>
      <c r="U53" s="68">
        <v>410.77777579965385</v>
      </c>
      <c r="V53" s="68">
        <v>388.42240485441459</v>
      </c>
      <c r="W53" s="68">
        <v>386.60563881170015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0.89046679340509327</v>
      </c>
      <c r="C56" s="70">
        <f t="shared" ref="C56:W56" si="28">IF(C48=0,0,C48/C$47)</f>
        <v>0.89170637392210972</v>
      </c>
      <c r="D56" s="70">
        <f t="shared" si="28"/>
        <v>0.87853465412642495</v>
      </c>
      <c r="E56" s="70">
        <f t="shared" si="28"/>
        <v>0.87764671513534609</v>
      </c>
      <c r="F56" s="70">
        <f t="shared" si="28"/>
        <v>0.88894889396923993</v>
      </c>
      <c r="G56" s="70">
        <f t="shared" si="28"/>
        <v>0.88195042667813839</v>
      </c>
      <c r="H56" s="70">
        <f t="shared" si="28"/>
        <v>0.8649999280774795</v>
      </c>
      <c r="I56" s="70">
        <f t="shared" si="28"/>
        <v>0.84027501039654107</v>
      </c>
      <c r="J56" s="70">
        <f t="shared" si="28"/>
        <v>0.83519053121923803</v>
      </c>
      <c r="K56" s="70">
        <f t="shared" si="28"/>
        <v>0.84267180087855154</v>
      </c>
      <c r="L56" s="70">
        <f t="shared" si="28"/>
        <v>0.84987284709544086</v>
      </c>
      <c r="M56" s="70">
        <f t="shared" si="28"/>
        <v>0.8494490196539467</v>
      </c>
      <c r="N56" s="70">
        <f t="shared" si="28"/>
        <v>0.8108733185902457</v>
      </c>
      <c r="O56" s="70">
        <f t="shared" si="28"/>
        <v>0.81164216448228932</v>
      </c>
      <c r="P56" s="70">
        <f t="shared" si="28"/>
        <v>0.79235156381876803</v>
      </c>
      <c r="Q56" s="70">
        <f t="shared" si="28"/>
        <v>0.80261091544302787</v>
      </c>
      <c r="R56" s="70">
        <f t="shared" si="28"/>
        <v>0.80469098796435856</v>
      </c>
      <c r="S56" s="70">
        <f t="shared" si="28"/>
        <v>0.80270053703874578</v>
      </c>
      <c r="T56" s="70">
        <f t="shared" si="28"/>
        <v>0.8013818678388599</v>
      </c>
      <c r="U56" s="70">
        <f t="shared" si="28"/>
        <v>0.80160359561102978</v>
      </c>
      <c r="V56" s="70">
        <f t="shared" si="28"/>
        <v>0.80781199715443486</v>
      </c>
      <c r="W56" s="70">
        <f t="shared" si="28"/>
        <v>0.81621553133678293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0.75378459557246491</v>
      </c>
      <c r="C57" s="71">
        <f t="shared" ref="C57:W57" si="30">IF(C49=0,0,C49/C$47)</f>
        <v>0.76054469925557078</v>
      </c>
      <c r="D57" s="71">
        <f t="shared" si="30"/>
        <v>0.73272104689342532</v>
      </c>
      <c r="E57" s="71">
        <f t="shared" si="30"/>
        <v>0.73235776668245567</v>
      </c>
      <c r="F57" s="71">
        <f t="shared" si="30"/>
        <v>0.76178682646471041</v>
      </c>
      <c r="G57" s="71">
        <f t="shared" si="30"/>
        <v>0.75137459156504915</v>
      </c>
      <c r="H57" s="71">
        <f t="shared" si="30"/>
        <v>0.71855415472816764</v>
      </c>
      <c r="I57" s="71">
        <f t="shared" si="30"/>
        <v>0.67201993548217331</v>
      </c>
      <c r="J57" s="71">
        <f t="shared" si="30"/>
        <v>0.66415616066106775</v>
      </c>
      <c r="K57" s="71">
        <f t="shared" si="30"/>
        <v>0.68022250193075406</v>
      </c>
      <c r="L57" s="71">
        <f t="shared" si="30"/>
        <v>0.69320798266312866</v>
      </c>
      <c r="M57" s="71">
        <f t="shared" si="30"/>
        <v>0.69308318227860144</v>
      </c>
      <c r="N57" s="71">
        <f t="shared" si="30"/>
        <v>0.60503928061484769</v>
      </c>
      <c r="O57" s="71">
        <f t="shared" si="30"/>
        <v>0.60622643833110201</v>
      </c>
      <c r="P57" s="71">
        <f t="shared" si="30"/>
        <v>0.56655242894220303</v>
      </c>
      <c r="Q57" s="71">
        <f t="shared" si="30"/>
        <v>0.5841979839740391</v>
      </c>
      <c r="R57" s="71">
        <f t="shared" si="30"/>
        <v>0.58927284195468632</v>
      </c>
      <c r="S57" s="71">
        <f t="shared" si="30"/>
        <v>0.58479582996111679</v>
      </c>
      <c r="T57" s="71">
        <f t="shared" si="30"/>
        <v>0.57561319988381299</v>
      </c>
      <c r="U57" s="71">
        <f t="shared" si="30"/>
        <v>0.57294965130906617</v>
      </c>
      <c r="V57" s="71">
        <f t="shared" si="30"/>
        <v>0.59056150341331348</v>
      </c>
      <c r="W57" s="71">
        <f t="shared" si="30"/>
        <v>0.59729414564684657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4.9395960553269731E-3</v>
      </c>
      <c r="C58" s="72">
        <f t="shared" ref="C58:W58" si="32">IF(C50=0,0,C50/C$47)</f>
        <v>4.2993182554569012E-3</v>
      </c>
      <c r="D58" s="72">
        <f t="shared" si="32"/>
        <v>5.0239438114346941E-3</v>
      </c>
      <c r="E58" s="72">
        <f t="shared" si="32"/>
        <v>5.627080129020484E-3</v>
      </c>
      <c r="F58" s="72">
        <f t="shared" si="32"/>
        <v>4.0035767228596506E-3</v>
      </c>
      <c r="G58" s="72">
        <f t="shared" si="32"/>
        <v>4.0880887050242483E-3</v>
      </c>
      <c r="H58" s="72">
        <f t="shared" si="32"/>
        <v>5.1117141563691961E-3</v>
      </c>
      <c r="I58" s="72">
        <f t="shared" si="32"/>
        <v>6.4833127186974381E-3</v>
      </c>
      <c r="J58" s="72">
        <f t="shared" si="32"/>
        <v>5.6397628753022035E-3</v>
      </c>
      <c r="K58" s="72">
        <f t="shared" si="32"/>
        <v>5.548221683194467E-3</v>
      </c>
      <c r="L58" s="72">
        <f t="shared" si="32"/>
        <v>5.682058521233907E-3</v>
      </c>
      <c r="M58" s="72">
        <f t="shared" si="32"/>
        <v>5.5972100677464491E-3</v>
      </c>
      <c r="N58" s="72">
        <f t="shared" si="32"/>
        <v>9.3147792802552778E-3</v>
      </c>
      <c r="O58" s="72">
        <f t="shared" si="32"/>
        <v>7.6518697575475372E-3</v>
      </c>
      <c r="P58" s="72">
        <f t="shared" si="32"/>
        <v>7.6079911914033183E-3</v>
      </c>
      <c r="Q58" s="72">
        <f t="shared" si="32"/>
        <v>1.0432283523340725E-2</v>
      </c>
      <c r="R58" s="72">
        <f t="shared" si="32"/>
        <v>7.3168425599230563E-3</v>
      </c>
      <c r="S58" s="72">
        <f t="shared" si="32"/>
        <v>8.8169115222428655E-3</v>
      </c>
      <c r="T58" s="72">
        <f t="shared" si="32"/>
        <v>8.7301062960160117E-3</v>
      </c>
      <c r="U58" s="72">
        <f t="shared" si="32"/>
        <v>9.6919340430717468E-3</v>
      </c>
      <c r="V58" s="72">
        <f t="shared" si="32"/>
        <v>8.1262758975333711E-3</v>
      </c>
      <c r="W58" s="72">
        <f t="shared" si="32"/>
        <v>9.8264168493250523E-3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6.6610433787249609E-2</v>
      </c>
      <c r="C59" s="72">
        <f t="shared" ref="C59:W59" si="34">IF(C51=0,0,C51/C$47)</f>
        <v>6.4122386632041353E-2</v>
      </c>
      <c r="D59" s="72">
        <f t="shared" si="34"/>
        <v>7.1434685346247556E-2</v>
      </c>
      <c r="E59" s="72">
        <f t="shared" si="34"/>
        <v>7.0206341585450319E-2</v>
      </c>
      <c r="F59" s="72">
        <f t="shared" si="34"/>
        <v>6.2834890176538233E-2</v>
      </c>
      <c r="G59" s="72">
        <f t="shared" si="34"/>
        <v>6.384623805978519E-2</v>
      </c>
      <c r="H59" s="72">
        <f t="shared" si="34"/>
        <v>7.0591848461362183E-2</v>
      </c>
      <c r="I59" s="72">
        <f t="shared" si="34"/>
        <v>8.1059917106095378E-2</v>
      </c>
      <c r="J59" s="72">
        <f t="shared" si="34"/>
        <v>8.3013217428912808E-2</v>
      </c>
      <c r="K59" s="72">
        <f t="shared" si="34"/>
        <v>7.8724290154734339E-2</v>
      </c>
      <c r="L59" s="72">
        <f t="shared" si="34"/>
        <v>7.4537087931630386E-2</v>
      </c>
      <c r="M59" s="72">
        <f t="shared" si="34"/>
        <v>7.4252590316537442E-2</v>
      </c>
      <c r="N59" s="72">
        <f t="shared" si="34"/>
        <v>9.6368301259184441E-2</v>
      </c>
      <c r="O59" s="72">
        <f t="shared" si="34"/>
        <v>9.6688617136467106E-2</v>
      </c>
      <c r="P59" s="72">
        <f t="shared" si="34"/>
        <v>0.10684131114144348</v>
      </c>
      <c r="Q59" s="72">
        <f t="shared" si="34"/>
        <v>0.10146795836273315</v>
      </c>
      <c r="R59" s="72">
        <f t="shared" si="34"/>
        <v>0.10222801241029368</v>
      </c>
      <c r="S59" s="72">
        <f t="shared" si="34"/>
        <v>0.10278982402469833</v>
      </c>
      <c r="T59" s="72">
        <f t="shared" si="34"/>
        <v>0.10553006631796734</v>
      </c>
      <c r="U59" s="72">
        <f t="shared" si="34"/>
        <v>0.10538195177229435</v>
      </c>
      <c r="V59" s="72">
        <f t="shared" si="34"/>
        <v>9.7530622583774901E-2</v>
      </c>
      <c r="W59" s="72">
        <f t="shared" si="34"/>
        <v>9.5514092627239144E-2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6.5132167990051767E-2</v>
      </c>
      <c r="C60" s="73">
        <f t="shared" ref="C60:W60" si="36">IF(C52=0,0,C52/C$47)</f>
        <v>6.2739969779040672E-2</v>
      </c>
      <c r="D60" s="73">
        <f t="shared" si="36"/>
        <v>6.9354978075317431E-2</v>
      </c>
      <c r="E60" s="73">
        <f t="shared" si="36"/>
        <v>6.9455526738419593E-2</v>
      </c>
      <c r="F60" s="73">
        <f t="shared" si="36"/>
        <v>6.0323600605131596E-2</v>
      </c>
      <c r="G60" s="73">
        <f t="shared" si="36"/>
        <v>6.2641508348279945E-2</v>
      </c>
      <c r="H60" s="73">
        <f t="shared" si="36"/>
        <v>7.0742210731580366E-2</v>
      </c>
      <c r="I60" s="73">
        <f t="shared" si="36"/>
        <v>8.0711845089574963E-2</v>
      </c>
      <c r="J60" s="73">
        <f t="shared" si="36"/>
        <v>8.2381390253955203E-2</v>
      </c>
      <c r="K60" s="73">
        <f t="shared" si="36"/>
        <v>7.8176787109868723E-2</v>
      </c>
      <c r="L60" s="73">
        <f t="shared" si="36"/>
        <v>7.644571797944795E-2</v>
      </c>
      <c r="M60" s="73">
        <f t="shared" si="36"/>
        <v>7.6516036991061215E-2</v>
      </c>
      <c r="N60" s="73">
        <f t="shared" si="36"/>
        <v>0.1001509574359583</v>
      </c>
      <c r="O60" s="73">
        <f t="shared" si="36"/>
        <v>0.1010752392571726</v>
      </c>
      <c r="P60" s="73">
        <f t="shared" si="36"/>
        <v>0.11134983254371821</v>
      </c>
      <c r="Q60" s="73">
        <f t="shared" si="36"/>
        <v>0.10651268958291488</v>
      </c>
      <c r="R60" s="73">
        <f t="shared" si="36"/>
        <v>0.10587329103945547</v>
      </c>
      <c r="S60" s="73">
        <f t="shared" si="36"/>
        <v>0.1062979715306878</v>
      </c>
      <c r="T60" s="73">
        <f t="shared" si="36"/>
        <v>0.11150849534106358</v>
      </c>
      <c r="U60" s="73">
        <f t="shared" si="36"/>
        <v>0.11358005848659766</v>
      </c>
      <c r="V60" s="73">
        <f t="shared" si="36"/>
        <v>0.11159359525981305</v>
      </c>
      <c r="W60" s="73">
        <f t="shared" si="36"/>
        <v>0.11358087621337218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0.10953320659490674</v>
      </c>
      <c r="C61" s="70">
        <f t="shared" ref="C61:W61" si="38">IF(C53=0,0,C53/C$47)</f>
        <v>0.10829362607789028</v>
      </c>
      <c r="D61" s="70">
        <f t="shared" si="38"/>
        <v>0.12146534587357515</v>
      </c>
      <c r="E61" s="70">
        <f t="shared" si="38"/>
        <v>0.12235328486465397</v>
      </c>
      <c r="F61" s="70">
        <f t="shared" si="38"/>
        <v>0.11105110603076007</v>
      </c>
      <c r="G61" s="70">
        <f t="shared" si="38"/>
        <v>0.11804957332186154</v>
      </c>
      <c r="H61" s="70">
        <f t="shared" si="38"/>
        <v>0.13500007192252042</v>
      </c>
      <c r="I61" s="70">
        <f t="shared" si="38"/>
        <v>0.15972498960345879</v>
      </c>
      <c r="J61" s="70">
        <f t="shared" si="38"/>
        <v>0.16480946878076208</v>
      </c>
      <c r="K61" s="70">
        <f t="shared" si="38"/>
        <v>0.15732819912144841</v>
      </c>
      <c r="L61" s="70">
        <f t="shared" si="38"/>
        <v>0.15012715290455916</v>
      </c>
      <c r="M61" s="70">
        <f t="shared" si="38"/>
        <v>0.15055098034605327</v>
      </c>
      <c r="N61" s="70">
        <f t="shared" si="38"/>
        <v>0.18912668140975428</v>
      </c>
      <c r="O61" s="70">
        <f t="shared" si="38"/>
        <v>0.18835783551771074</v>
      </c>
      <c r="P61" s="70">
        <f t="shared" si="38"/>
        <v>0.20764843618123185</v>
      </c>
      <c r="Q61" s="70">
        <f t="shared" si="38"/>
        <v>0.1973890845569721</v>
      </c>
      <c r="R61" s="70">
        <f t="shared" si="38"/>
        <v>0.19530901203564138</v>
      </c>
      <c r="S61" s="70">
        <f t="shared" si="38"/>
        <v>0.1972994629612542</v>
      </c>
      <c r="T61" s="70">
        <f t="shared" si="38"/>
        <v>0.19861813216114013</v>
      </c>
      <c r="U61" s="70">
        <f t="shared" si="38"/>
        <v>0.19839640438897016</v>
      </c>
      <c r="V61" s="70">
        <f t="shared" si="38"/>
        <v>0.19218800284556517</v>
      </c>
      <c r="W61" s="70">
        <f t="shared" si="38"/>
        <v>0.18378446866321721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4505.0887349795221</v>
      </c>
      <c r="C65" s="80">
        <v>4804.1788354471137</v>
      </c>
      <c r="D65" s="80">
        <v>4403.8717230732409</v>
      </c>
      <c r="E65" s="80">
        <v>4630.959061361692</v>
      </c>
      <c r="F65" s="80">
        <v>5768.8327222356947</v>
      </c>
      <c r="G65" s="80">
        <v>5473.2181613999992</v>
      </c>
      <c r="H65" s="80">
        <v>4723.6247249684311</v>
      </c>
      <c r="I65" s="80">
        <v>3666.152549136214</v>
      </c>
      <c r="J65" s="80">
        <v>3451.5217122048975</v>
      </c>
      <c r="K65" s="80">
        <v>3753.5851487999994</v>
      </c>
      <c r="L65" s="80">
        <v>4096.05847008</v>
      </c>
      <c r="M65" s="80">
        <v>4113.4863289199993</v>
      </c>
      <c r="N65" s="80">
        <v>3363.4390911600003</v>
      </c>
      <c r="O65" s="80">
        <v>3389.6008800000013</v>
      </c>
      <c r="P65" s="80">
        <v>3024.7325728799988</v>
      </c>
      <c r="Q65" s="80">
        <v>3122.0633620800004</v>
      </c>
      <c r="R65" s="80">
        <v>3039.0845292000013</v>
      </c>
      <c r="S65" s="80">
        <v>2892.1675648057453</v>
      </c>
      <c r="T65" s="80">
        <v>2759.9399450102451</v>
      </c>
      <c r="U65" s="80">
        <v>2646.8132922728737</v>
      </c>
      <c r="V65" s="80">
        <v>2670.1488056680196</v>
      </c>
      <c r="W65" s="80">
        <v>2792.9721379660173</v>
      </c>
      <c r="DA65" s="103" t="s">
        <v>218</v>
      </c>
    </row>
    <row r="66" spans="1:105" ht="12" customHeight="1" x14ac:dyDescent="0.25">
      <c r="A66" s="58" t="s">
        <v>29</v>
      </c>
      <c r="B66" s="59">
        <v>96.694138779521396</v>
      </c>
      <c r="C66" s="59">
        <v>57.228382647114216</v>
      </c>
      <c r="D66" s="59">
        <v>45.045152113240718</v>
      </c>
      <c r="E66" s="59">
        <v>42.320448521692285</v>
      </c>
      <c r="F66" s="59">
        <v>27.1397187156957</v>
      </c>
      <c r="G66" s="59">
        <v>10.295229119999998</v>
      </c>
      <c r="H66" s="59">
        <v>17.93840636843089</v>
      </c>
      <c r="I66" s="59">
        <v>14.841613416213397</v>
      </c>
      <c r="J66" s="59">
        <v>13.983263164897005</v>
      </c>
      <c r="K66" s="59">
        <v>11.541509759999999</v>
      </c>
      <c r="L66" s="59">
        <v>11.112969119999999</v>
      </c>
      <c r="M66" s="59">
        <v>12.39496368</v>
      </c>
      <c r="N66" s="59">
        <v>3.4296952799999993</v>
      </c>
      <c r="O66" s="59">
        <v>9.8564399999999974</v>
      </c>
      <c r="P66" s="59">
        <v>9.177424079999998</v>
      </c>
      <c r="Q66" s="59">
        <v>11.700271440000002</v>
      </c>
      <c r="R66" s="59">
        <v>11.55109032</v>
      </c>
      <c r="S66" s="59">
        <v>6.3272470057446615</v>
      </c>
      <c r="T66" s="59">
        <v>6.474825810245143</v>
      </c>
      <c r="U66" s="59">
        <v>6.3425931128742246</v>
      </c>
      <c r="V66" s="59">
        <v>5.0424079480208857</v>
      </c>
      <c r="W66" s="59">
        <v>5.0103712060171155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243.67645620000005</v>
      </c>
      <c r="C67" s="55">
        <f t="shared" ref="C67:W67" si="39">SUM(C68:C69)</f>
        <v>223.04645280000005</v>
      </c>
      <c r="D67" s="55">
        <f t="shared" si="39"/>
        <v>175.52811095999999</v>
      </c>
      <c r="E67" s="55">
        <f t="shared" si="39"/>
        <v>148.54801284000001</v>
      </c>
      <c r="F67" s="55">
        <f t="shared" si="39"/>
        <v>96.658553519999998</v>
      </c>
      <c r="G67" s="55">
        <f t="shared" si="39"/>
        <v>105.53001228000001</v>
      </c>
      <c r="H67" s="55">
        <f t="shared" si="39"/>
        <v>90.344928600000003</v>
      </c>
      <c r="I67" s="55">
        <f t="shared" si="39"/>
        <v>62.279775719999996</v>
      </c>
      <c r="J67" s="55">
        <f t="shared" si="39"/>
        <v>50.416799040000001</v>
      </c>
      <c r="K67" s="55">
        <f t="shared" si="39"/>
        <v>50.416799040000001</v>
      </c>
      <c r="L67" s="55">
        <f t="shared" si="39"/>
        <v>56.348400960000014</v>
      </c>
      <c r="M67" s="55">
        <f t="shared" si="39"/>
        <v>47.451225240000007</v>
      </c>
      <c r="N67" s="55">
        <f t="shared" si="39"/>
        <v>81.827504280000028</v>
      </c>
      <c r="O67" s="55">
        <f t="shared" si="39"/>
        <v>54.404571599999997</v>
      </c>
      <c r="P67" s="55">
        <f t="shared" si="39"/>
        <v>82.268150399999996</v>
      </c>
      <c r="Q67" s="55">
        <f t="shared" si="39"/>
        <v>122.43363623999997</v>
      </c>
      <c r="R67" s="55">
        <f t="shared" si="39"/>
        <v>132.86341008000002</v>
      </c>
      <c r="S67" s="55">
        <f t="shared" si="39"/>
        <v>117.51464339999998</v>
      </c>
      <c r="T67" s="55">
        <f t="shared" si="39"/>
        <v>138.96790200000004</v>
      </c>
      <c r="U67" s="55">
        <f t="shared" si="39"/>
        <v>123.51295475999999</v>
      </c>
      <c r="V67" s="55">
        <f t="shared" si="39"/>
        <v>141.14776931999998</v>
      </c>
      <c r="W67" s="55">
        <f t="shared" si="39"/>
        <v>151.57663956000002</v>
      </c>
      <c r="DA67" s="101"/>
    </row>
    <row r="68" spans="1:105" ht="12" customHeight="1" x14ac:dyDescent="0.25">
      <c r="A68" s="61" t="s">
        <v>52</v>
      </c>
      <c r="B68" s="55">
        <v>137.29300524000001</v>
      </c>
      <c r="C68" s="55">
        <v>110.43133524000002</v>
      </c>
      <c r="D68" s="55">
        <v>122.36972904</v>
      </c>
      <c r="E68" s="55">
        <v>110.43133524000002</v>
      </c>
      <c r="F68" s="55">
        <v>62.279775719999996</v>
      </c>
      <c r="G68" s="55">
        <v>68.211150480000001</v>
      </c>
      <c r="H68" s="55">
        <v>62.279775719999996</v>
      </c>
      <c r="I68" s="55">
        <v>62.279775719999996</v>
      </c>
      <c r="J68" s="55">
        <v>50.416799040000001</v>
      </c>
      <c r="K68" s="55">
        <v>50.416799040000001</v>
      </c>
      <c r="L68" s="55">
        <v>56.348400960000014</v>
      </c>
      <c r="M68" s="55">
        <v>47.451225240000007</v>
      </c>
      <c r="N68" s="55">
        <v>44.485424280000018</v>
      </c>
      <c r="O68" s="55">
        <v>32.622674759999995</v>
      </c>
      <c r="P68" s="55">
        <v>35.588475720000012</v>
      </c>
      <c r="Q68" s="55">
        <v>41.519850479999995</v>
      </c>
      <c r="R68" s="55">
        <v>32.039555039999996</v>
      </c>
      <c r="S68" s="55">
        <v>26.202906000000002</v>
      </c>
      <c r="T68" s="55">
        <v>34.93720800000002</v>
      </c>
      <c r="U68" s="55">
        <v>32.025698279999993</v>
      </c>
      <c r="V68" s="55">
        <v>46.583019719999996</v>
      </c>
      <c r="W68" s="55">
        <v>32.025698279999993</v>
      </c>
      <c r="DA68" s="101" t="s">
        <v>220</v>
      </c>
    </row>
    <row r="69" spans="1:105" ht="12" customHeight="1" x14ac:dyDescent="0.25">
      <c r="A69" s="61" t="s">
        <v>170</v>
      </c>
      <c r="B69" s="55">
        <v>106.38345096000003</v>
      </c>
      <c r="C69" s="55">
        <v>112.61511756000003</v>
      </c>
      <c r="D69" s="55">
        <v>53.158381919999997</v>
      </c>
      <c r="E69" s="55">
        <v>38.116677599999989</v>
      </c>
      <c r="F69" s="55">
        <v>34.378777800000002</v>
      </c>
      <c r="G69" s="55">
        <v>37.318861800000008</v>
      </c>
      <c r="H69" s="55">
        <v>28.065152880000007</v>
      </c>
      <c r="I69" s="55">
        <v>0</v>
      </c>
      <c r="J69" s="55">
        <v>0</v>
      </c>
      <c r="K69" s="55">
        <v>0</v>
      </c>
      <c r="L69" s="55">
        <v>0</v>
      </c>
      <c r="M69" s="55">
        <v>0</v>
      </c>
      <c r="N69" s="55">
        <v>37.34208000000001</v>
      </c>
      <c r="O69" s="55">
        <v>21.781896840000002</v>
      </c>
      <c r="P69" s="55">
        <v>46.679674679999984</v>
      </c>
      <c r="Q69" s="55">
        <v>80.913785759999968</v>
      </c>
      <c r="R69" s="55">
        <v>100.82385504000003</v>
      </c>
      <c r="S69" s="55">
        <v>91.311737399999984</v>
      </c>
      <c r="T69" s="55">
        <v>104.03069400000001</v>
      </c>
      <c r="U69" s="55">
        <v>91.487256479999985</v>
      </c>
      <c r="V69" s="55">
        <v>94.564749599999985</v>
      </c>
      <c r="W69" s="55">
        <v>119.55094128000002</v>
      </c>
      <c r="DA69" s="101" t="s">
        <v>221</v>
      </c>
    </row>
    <row r="70" spans="1:105" ht="12" customHeight="1" x14ac:dyDescent="0.25">
      <c r="A70" s="60" t="s">
        <v>153</v>
      </c>
      <c r="B70" s="55">
        <v>4164.7181400000009</v>
      </c>
      <c r="C70" s="55">
        <v>4523.9039999999995</v>
      </c>
      <c r="D70" s="55">
        <v>4183.29846</v>
      </c>
      <c r="E70" s="55">
        <v>4440.0905999999995</v>
      </c>
      <c r="F70" s="55">
        <v>5645.0344499999992</v>
      </c>
      <c r="G70" s="55">
        <v>5357.3929199999993</v>
      </c>
      <c r="H70" s="55">
        <v>4615.3413900000005</v>
      </c>
      <c r="I70" s="55">
        <v>3589.0311600000005</v>
      </c>
      <c r="J70" s="55">
        <v>3387.1216500000005</v>
      </c>
      <c r="K70" s="55">
        <v>3691.6268399999994</v>
      </c>
      <c r="L70" s="55">
        <v>4028.5971000000004</v>
      </c>
      <c r="M70" s="55">
        <v>4053.6401399999995</v>
      </c>
      <c r="N70" s="55">
        <v>3258.01872</v>
      </c>
      <c r="O70" s="55">
        <v>3306.8930400000013</v>
      </c>
      <c r="P70" s="55">
        <v>2919.9881699999992</v>
      </c>
      <c r="Q70" s="55">
        <v>2962.0463400000003</v>
      </c>
      <c r="R70" s="55">
        <v>2878.939800000001</v>
      </c>
      <c r="S70" s="55">
        <v>2748.8775600000004</v>
      </c>
      <c r="T70" s="55">
        <v>2589.3291599999998</v>
      </c>
      <c r="U70" s="55">
        <v>2488.5006299999995</v>
      </c>
      <c r="V70" s="55">
        <v>2495.215799999999</v>
      </c>
      <c r="W70" s="55">
        <v>2612.50407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20.163171600000002</v>
      </c>
      <c r="O71" s="55">
        <f t="shared" si="40"/>
        <v>18.446828400000001</v>
      </c>
      <c r="P71" s="55">
        <f t="shared" si="40"/>
        <v>13.298828400000001</v>
      </c>
      <c r="Q71" s="55">
        <f t="shared" si="40"/>
        <v>25.8831144</v>
      </c>
      <c r="R71" s="55">
        <f t="shared" si="40"/>
        <v>15.730228800000004</v>
      </c>
      <c r="S71" s="55">
        <f t="shared" si="40"/>
        <v>19.448114400000001</v>
      </c>
      <c r="T71" s="55">
        <f t="shared" si="40"/>
        <v>25.1680572</v>
      </c>
      <c r="U71" s="55">
        <f t="shared" si="40"/>
        <v>28.457114399999998</v>
      </c>
      <c r="V71" s="55">
        <f t="shared" si="40"/>
        <v>28.7428284</v>
      </c>
      <c r="W71" s="55">
        <f t="shared" si="40"/>
        <v>23.881057200000001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20.163171600000002</v>
      </c>
      <c r="O72" s="55">
        <v>18.446828400000001</v>
      </c>
      <c r="P72" s="55">
        <v>13.298828400000001</v>
      </c>
      <c r="Q72" s="55">
        <v>25.8831144</v>
      </c>
      <c r="R72" s="55">
        <v>15.730228800000004</v>
      </c>
      <c r="S72" s="55">
        <v>19.448114400000001</v>
      </c>
      <c r="T72" s="55">
        <v>25.1680572</v>
      </c>
      <c r="U72" s="55">
        <v>28.457114399999998</v>
      </c>
      <c r="V72" s="55">
        <v>28.7428284</v>
      </c>
      <c r="W72" s="55">
        <v>23.881057200000001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4505.0887349795221</v>
      </c>
      <c r="C81" s="82">
        <f t="shared" ref="C81:W81" si="42">C82+C87</f>
        <v>4804.1788354471137</v>
      </c>
      <c r="D81" s="82">
        <f t="shared" si="42"/>
        <v>4403.8717230732409</v>
      </c>
      <c r="E81" s="82">
        <f t="shared" si="42"/>
        <v>4630.959061361692</v>
      </c>
      <c r="F81" s="82">
        <f t="shared" si="42"/>
        <v>5768.8327222356947</v>
      </c>
      <c r="G81" s="82">
        <f t="shared" si="42"/>
        <v>5473.2181614000001</v>
      </c>
      <c r="H81" s="82">
        <f t="shared" si="42"/>
        <v>4723.6247249684311</v>
      </c>
      <c r="I81" s="82">
        <f t="shared" si="42"/>
        <v>3666.1525491362145</v>
      </c>
      <c r="J81" s="82">
        <f t="shared" si="42"/>
        <v>3451.5217122048966</v>
      </c>
      <c r="K81" s="82">
        <f t="shared" si="42"/>
        <v>3753.5851487999989</v>
      </c>
      <c r="L81" s="82">
        <f t="shared" si="42"/>
        <v>4096.05847008</v>
      </c>
      <c r="M81" s="82">
        <f t="shared" si="42"/>
        <v>4113.4863289200011</v>
      </c>
      <c r="N81" s="82">
        <f t="shared" si="42"/>
        <v>3363.4390911600021</v>
      </c>
      <c r="O81" s="82">
        <f t="shared" si="42"/>
        <v>3389.6008800000004</v>
      </c>
      <c r="P81" s="82">
        <f t="shared" si="42"/>
        <v>3024.7325728799992</v>
      </c>
      <c r="Q81" s="82">
        <f t="shared" si="42"/>
        <v>3122.0633620799981</v>
      </c>
      <c r="R81" s="82">
        <f t="shared" si="42"/>
        <v>3039.0845291999985</v>
      </c>
      <c r="S81" s="82">
        <f t="shared" si="42"/>
        <v>2892.1675648057462</v>
      </c>
      <c r="T81" s="82">
        <f t="shared" si="42"/>
        <v>2759.9399450102437</v>
      </c>
      <c r="U81" s="82">
        <f t="shared" si="42"/>
        <v>2646.8132922728737</v>
      </c>
      <c r="V81" s="82">
        <f t="shared" si="42"/>
        <v>2670.1488056680191</v>
      </c>
      <c r="W81" s="82">
        <f t="shared" si="42"/>
        <v>2792.9721379660186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4505.0887349795221</v>
      </c>
      <c r="C82" s="64">
        <f t="shared" ref="C82:W82" si="44">SUM(C83:C86)</f>
        <v>4804.1788354471137</v>
      </c>
      <c r="D82" s="64">
        <f t="shared" si="44"/>
        <v>4403.8717230732409</v>
      </c>
      <c r="E82" s="64">
        <f t="shared" si="44"/>
        <v>4630.959061361692</v>
      </c>
      <c r="F82" s="64">
        <f t="shared" si="44"/>
        <v>5768.8327222356947</v>
      </c>
      <c r="G82" s="64">
        <f t="shared" si="44"/>
        <v>5473.2181614000001</v>
      </c>
      <c r="H82" s="64">
        <f t="shared" si="44"/>
        <v>4723.6247249684311</v>
      </c>
      <c r="I82" s="64">
        <f t="shared" si="44"/>
        <v>3666.1525491362145</v>
      </c>
      <c r="J82" s="64">
        <f t="shared" si="44"/>
        <v>3451.5217122048966</v>
      </c>
      <c r="K82" s="64">
        <f t="shared" si="44"/>
        <v>3753.5851487999989</v>
      </c>
      <c r="L82" s="64">
        <f t="shared" si="44"/>
        <v>4096.05847008</v>
      </c>
      <c r="M82" s="64">
        <f t="shared" si="44"/>
        <v>4113.4863289200011</v>
      </c>
      <c r="N82" s="64">
        <f t="shared" si="44"/>
        <v>3363.4390911600021</v>
      </c>
      <c r="O82" s="64">
        <f t="shared" si="44"/>
        <v>3389.6008800000004</v>
      </c>
      <c r="P82" s="64">
        <f t="shared" si="44"/>
        <v>3024.7325728799992</v>
      </c>
      <c r="Q82" s="64">
        <f t="shared" si="44"/>
        <v>3122.0633620799981</v>
      </c>
      <c r="R82" s="64">
        <f t="shared" si="44"/>
        <v>3039.0845291999985</v>
      </c>
      <c r="S82" s="64">
        <f t="shared" si="44"/>
        <v>2892.1675648057462</v>
      </c>
      <c r="T82" s="64">
        <f t="shared" si="44"/>
        <v>2759.9399450102437</v>
      </c>
      <c r="U82" s="64">
        <f t="shared" si="44"/>
        <v>2646.8132922728737</v>
      </c>
      <c r="V82" s="64">
        <f t="shared" si="44"/>
        <v>2670.1488056680191</v>
      </c>
      <c r="W82" s="64">
        <f t="shared" si="44"/>
        <v>2792.9721379660186</v>
      </c>
      <c r="DA82" s="108" t="s">
        <v>232</v>
      </c>
    </row>
    <row r="83" spans="1:105" ht="12" customHeight="1" x14ac:dyDescent="0.25">
      <c r="A83" s="61" t="s">
        <v>32</v>
      </c>
      <c r="B83" s="65">
        <v>4115.789027909077</v>
      </c>
      <c r="C83" s="65">
        <v>4404.5476026404422</v>
      </c>
      <c r="D83" s="65">
        <v>3964.9915943424271</v>
      </c>
      <c r="E83" s="65">
        <v>4155.099556775921</v>
      </c>
      <c r="F83" s="65">
        <v>5276.8645502860818</v>
      </c>
      <c r="G83" s="65">
        <v>4948.7992128669875</v>
      </c>
      <c r="H83" s="65">
        <v>4169.2735263610857</v>
      </c>
      <c r="I83" s="65">
        <v>3077.5916748407244</v>
      </c>
      <c r="J83" s="65">
        <v>2841.9049279905776</v>
      </c>
      <c r="K83" s="65">
        <v>3113.9953442692586</v>
      </c>
      <c r="L83" s="65">
        <v>3427.9467984530406</v>
      </c>
      <c r="M83" s="65">
        <v>3429.6162169261197</v>
      </c>
      <c r="N83" s="65">
        <v>2663.2546106046525</v>
      </c>
      <c r="O83" s="65">
        <v>2655.1996107051832</v>
      </c>
      <c r="P83" s="65">
        <v>2279.867549449687</v>
      </c>
      <c r="Q83" s="65">
        <v>2382.815958801184</v>
      </c>
      <c r="R83" s="65">
        <v>2317.8519141257043</v>
      </c>
      <c r="S83" s="65">
        <v>2181.0228025362917</v>
      </c>
      <c r="T83" s="65">
        <v>2035.4778978355189</v>
      </c>
      <c r="U83" s="65">
        <v>1938.4514513803858</v>
      </c>
      <c r="V83" s="65">
        <v>1992.6075638807613</v>
      </c>
      <c r="W83" s="65">
        <v>2108.8896688237646</v>
      </c>
      <c r="DA83" s="109" t="s">
        <v>233</v>
      </c>
    </row>
    <row r="84" spans="1:105" ht="12" customHeight="1" x14ac:dyDescent="0.25">
      <c r="A84" s="61" t="s">
        <v>31</v>
      </c>
      <c r="B84" s="65">
        <v>0.13744901501130666</v>
      </c>
      <c r="C84" s="65">
        <v>0.14086955344890031</v>
      </c>
      <c r="D84" s="65">
        <v>0.1756028500207619</v>
      </c>
      <c r="E84" s="65">
        <v>0.22534292432896025</v>
      </c>
      <c r="F84" s="65">
        <v>0.18214904677809049</v>
      </c>
      <c r="G84" s="65">
        <v>0.19686307648607235</v>
      </c>
      <c r="H84" s="65">
        <v>0.25051424276449186</v>
      </c>
      <c r="I84" s="65">
        <v>0.30673182759144635</v>
      </c>
      <c r="J84" s="65">
        <v>0.26838024274392247</v>
      </c>
      <c r="K84" s="65">
        <v>0.2950932405676015</v>
      </c>
      <c r="L84" s="65">
        <v>0.35702517845989551</v>
      </c>
      <c r="M84" s="65">
        <v>0.39836568676492257</v>
      </c>
      <c r="N84" s="65">
        <v>0.5823216240814475</v>
      </c>
      <c r="O84" s="65">
        <v>0.53282031698774857</v>
      </c>
      <c r="P84" s="65">
        <v>0.51372339628498187</v>
      </c>
      <c r="Q84" s="65">
        <v>0.81069805038546872</v>
      </c>
      <c r="R84" s="65">
        <v>0.60836447731935173</v>
      </c>
      <c r="S84" s="65">
        <v>0.83901804895136778</v>
      </c>
      <c r="T84" s="65">
        <v>0.86970782501295518</v>
      </c>
      <c r="U84" s="65">
        <v>1.106410637947395</v>
      </c>
      <c r="V84" s="65">
        <v>0.87733519315401243</v>
      </c>
      <c r="W84" s="65">
        <v>1.1517409963330472</v>
      </c>
      <c r="DA84" s="109" t="s">
        <v>234</v>
      </c>
    </row>
    <row r="85" spans="1:105" ht="12" customHeight="1" x14ac:dyDescent="0.25">
      <c r="A85" s="61" t="s">
        <v>35</v>
      </c>
      <c r="B85" s="65">
        <v>222.05793270896365</v>
      </c>
      <c r="C85" s="65">
        <v>225.43446815537149</v>
      </c>
      <c r="D85" s="65">
        <v>236.94410051536317</v>
      </c>
      <c r="E85" s="65">
        <v>247.53810897777919</v>
      </c>
      <c r="F85" s="65">
        <v>261.62174437720046</v>
      </c>
      <c r="G85" s="65">
        <v>259.45202205099162</v>
      </c>
      <c r="H85" s="65">
        <v>261.18445962712167</v>
      </c>
      <c r="I85" s="65">
        <v>274.97355776917584</v>
      </c>
      <c r="J85" s="65">
        <v>288.12848350385042</v>
      </c>
      <c r="K85" s="65">
        <v>307.01981040892281</v>
      </c>
      <c r="L85" s="65">
        <v>315.104709521122</v>
      </c>
      <c r="M85" s="65">
        <v>316.86668870844829</v>
      </c>
      <c r="N85" s="65">
        <v>316.14591475012577</v>
      </c>
      <c r="O85" s="65">
        <v>344.02655146592406</v>
      </c>
      <c r="P85" s="65">
        <v>349.11926140072427</v>
      </c>
      <c r="Q85" s="65">
        <v>348.70067504254109</v>
      </c>
      <c r="R85" s="65">
        <v>347.62693381139275</v>
      </c>
      <c r="S85" s="65">
        <v>345.95244767060177</v>
      </c>
      <c r="T85" s="65">
        <v>351.75894157346124</v>
      </c>
      <c r="U85" s="65">
        <v>338.31391453290149</v>
      </c>
      <c r="V85" s="65">
        <v>309.35759908910899</v>
      </c>
      <c r="W85" s="65">
        <v>304.55594489544103</v>
      </c>
      <c r="DA85" s="109" t="s">
        <v>235</v>
      </c>
    </row>
    <row r="86" spans="1:105" ht="12" customHeight="1" x14ac:dyDescent="0.25">
      <c r="A86" s="66" t="s">
        <v>34</v>
      </c>
      <c r="B86" s="67">
        <v>167.10432534647032</v>
      </c>
      <c r="C86" s="67">
        <v>174.05589509785148</v>
      </c>
      <c r="D86" s="67">
        <v>201.76042536543014</v>
      </c>
      <c r="E86" s="67">
        <v>228.09605268366278</v>
      </c>
      <c r="F86" s="67">
        <v>230.16427852563405</v>
      </c>
      <c r="G86" s="67">
        <v>264.77006340553527</v>
      </c>
      <c r="H86" s="67">
        <v>292.91622473745838</v>
      </c>
      <c r="I86" s="67">
        <v>313.28058469872246</v>
      </c>
      <c r="J86" s="67">
        <v>321.21992046772436</v>
      </c>
      <c r="K86" s="67">
        <v>332.27490088125001</v>
      </c>
      <c r="L86" s="67">
        <v>352.64993692737767</v>
      </c>
      <c r="M86" s="67">
        <v>366.60505759866862</v>
      </c>
      <c r="N86" s="67">
        <v>383.45624418114215</v>
      </c>
      <c r="O86" s="67">
        <v>389.84189751190519</v>
      </c>
      <c r="P86" s="67">
        <v>395.23203863330292</v>
      </c>
      <c r="Q86" s="67">
        <v>389.7360301858875</v>
      </c>
      <c r="R86" s="67">
        <v>372.99731678558248</v>
      </c>
      <c r="S86" s="67">
        <v>364.35329654990119</v>
      </c>
      <c r="T86" s="67">
        <v>371.83339777625065</v>
      </c>
      <c r="U86" s="67">
        <v>368.94151572163918</v>
      </c>
      <c r="V86" s="67">
        <v>367.30630750499512</v>
      </c>
      <c r="W86" s="67">
        <v>378.37478325047982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0.9135866727667874</v>
      </c>
      <c r="C91" s="71">
        <f t="shared" ref="C91:W91" si="50">IF(C83=0,0,C83/C$81)</f>
        <v>0.916815912459787</v>
      </c>
      <c r="D91" s="71">
        <f t="shared" si="50"/>
        <v>0.90034220878156246</v>
      </c>
      <c r="E91" s="71">
        <f t="shared" si="50"/>
        <v>0.89724385418215102</v>
      </c>
      <c r="F91" s="71">
        <f t="shared" si="50"/>
        <v>0.91471963295913494</v>
      </c>
      <c r="G91" s="71">
        <f t="shared" si="50"/>
        <v>0.90418453402214272</v>
      </c>
      <c r="H91" s="71">
        <f t="shared" si="50"/>
        <v>0.88264283661715948</v>
      </c>
      <c r="I91" s="71">
        <f t="shared" si="50"/>
        <v>0.83946088810893549</v>
      </c>
      <c r="J91" s="71">
        <f t="shared" si="50"/>
        <v>0.82337738683240547</v>
      </c>
      <c r="K91" s="71">
        <f t="shared" si="50"/>
        <v>0.82960562257786696</v>
      </c>
      <c r="L91" s="71">
        <f t="shared" si="50"/>
        <v>0.83688912731416387</v>
      </c>
      <c r="M91" s="71">
        <f t="shared" si="50"/>
        <v>0.83374926830656759</v>
      </c>
      <c r="N91" s="71">
        <f t="shared" si="50"/>
        <v>0.7918248371449278</v>
      </c>
      <c r="O91" s="71">
        <f t="shared" si="50"/>
        <v>0.7833369487162698</v>
      </c>
      <c r="P91" s="71">
        <f t="shared" si="50"/>
        <v>0.75374185800462712</v>
      </c>
      <c r="Q91" s="71">
        <f t="shared" si="50"/>
        <v>0.76321832149290247</v>
      </c>
      <c r="R91" s="71">
        <f t="shared" si="50"/>
        <v>0.76268096259101092</v>
      </c>
      <c r="S91" s="71">
        <f t="shared" si="50"/>
        <v>0.75411356834118326</v>
      </c>
      <c r="T91" s="71">
        <f t="shared" si="50"/>
        <v>0.73750803944683807</v>
      </c>
      <c r="U91" s="71">
        <f t="shared" si="50"/>
        <v>0.73237181369744342</v>
      </c>
      <c r="V91" s="71">
        <f t="shared" si="50"/>
        <v>0.74625337720915885</v>
      </c>
      <c r="W91" s="71">
        <f t="shared" si="50"/>
        <v>0.75507007039445906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3.0509724246737048E-5</v>
      </c>
      <c r="C92" s="72">
        <f t="shared" ref="C92:W92" si="52">IF(C84=0,0,C84/C$81)</f>
        <v>2.9322295916527828E-5</v>
      </c>
      <c r="D92" s="72">
        <f t="shared" si="52"/>
        <v>3.9874651457426529E-5</v>
      </c>
      <c r="E92" s="72">
        <f t="shared" si="52"/>
        <v>4.8660098554768952E-5</v>
      </c>
      <c r="F92" s="72">
        <f t="shared" si="52"/>
        <v>3.1574679930656604E-5</v>
      </c>
      <c r="G92" s="72">
        <f t="shared" si="52"/>
        <v>3.5968432224107896E-5</v>
      </c>
      <c r="H92" s="72">
        <f t="shared" si="52"/>
        <v>5.303432371337799E-5</v>
      </c>
      <c r="I92" s="72">
        <f t="shared" si="52"/>
        <v>8.3665865912676136E-5</v>
      </c>
      <c r="J92" s="72">
        <f t="shared" si="52"/>
        <v>7.7757077927369074E-5</v>
      </c>
      <c r="K92" s="72">
        <f t="shared" si="52"/>
        <v>7.8616370448380854E-5</v>
      </c>
      <c r="L92" s="72">
        <f t="shared" si="52"/>
        <v>8.716310596340742E-5</v>
      </c>
      <c r="M92" s="72">
        <f t="shared" si="52"/>
        <v>9.6843809584147504E-5</v>
      </c>
      <c r="N92" s="72">
        <f t="shared" si="52"/>
        <v>1.7313279898896968E-4</v>
      </c>
      <c r="O92" s="72">
        <f t="shared" si="52"/>
        <v>1.5719264180381865E-4</v>
      </c>
      <c r="P92" s="72">
        <f t="shared" si="52"/>
        <v>1.69840931026785E-4</v>
      </c>
      <c r="Q92" s="72">
        <f t="shared" si="52"/>
        <v>2.5966739183837738E-4</v>
      </c>
      <c r="R92" s="72">
        <f t="shared" si="52"/>
        <v>2.0018017645580136E-4</v>
      </c>
      <c r="S92" s="72">
        <f t="shared" si="52"/>
        <v>2.9010008242994758E-4</v>
      </c>
      <c r="T92" s="72">
        <f t="shared" si="52"/>
        <v>3.1511838747988669E-4</v>
      </c>
      <c r="U92" s="72">
        <f t="shared" si="52"/>
        <v>4.1801612572275437E-4</v>
      </c>
      <c r="V92" s="72">
        <f t="shared" si="52"/>
        <v>3.2857164787657606E-4</v>
      </c>
      <c r="W92" s="72">
        <f t="shared" si="52"/>
        <v>4.123711012641187E-4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4.9290468128808794E-2</v>
      </c>
      <c r="C93" s="72">
        <f t="shared" ref="C93:W93" si="54">IF(C85=0,0,C85/C$81)</f>
        <v>4.6924662023825524E-2</v>
      </c>
      <c r="D93" s="72">
        <f t="shared" si="54"/>
        <v>5.3803588164010326E-2</v>
      </c>
      <c r="E93" s="72">
        <f t="shared" si="54"/>
        <v>5.3452882156335202E-2</v>
      </c>
      <c r="F93" s="72">
        <f t="shared" si="54"/>
        <v>4.5350898002084847E-2</v>
      </c>
      <c r="G93" s="72">
        <f t="shared" si="54"/>
        <v>4.7403924784285616E-2</v>
      </c>
      <c r="H93" s="72">
        <f t="shared" si="54"/>
        <v>5.5293228153061466E-2</v>
      </c>
      <c r="I93" s="72">
        <f t="shared" si="54"/>
        <v>7.5003304986303046E-2</v>
      </c>
      <c r="J93" s="72">
        <f t="shared" si="54"/>
        <v>8.3478682021614334E-2</v>
      </c>
      <c r="K93" s="72">
        <f t="shared" si="54"/>
        <v>8.179375137049319E-2</v>
      </c>
      <c r="L93" s="72">
        <f t="shared" si="54"/>
        <v>7.6928762570854542E-2</v>
      </c>
      <c r="M93" s="72">
        <f t="shared" si="54"/>
        <v>7.703117583756304E-2</v>
      </c>
      <c r="N93" s="72">
        <f t="shared" si="54"/>
        <v>9.3994838670050526E-2</v>
      </c>
      <c r="O93" s="72">
        <f t="shared" si="54"/>
        <v>0.10149470797456367</v>
      </c>
      <c r="P93" s="72">
        <f t="shared" si="54"/>
        <v>0.11542152999936466</v>
      </c>
      <c r="Q93" s="72">
        <f t="shared" si="54"/>
        <v>0.11168917302505604</v>
      </c>
      <c r="R93" s="72">
        <f t="shared" si="54"/>
        <v>0.11438541128795165</v>
      </c>
      <c r="S93" s="72">
        <f t="shared" si="54"/>
        <v>0.11961701385508686</v>
      </c>
      <c r="T93" s="72">
        <f t="shared" si="54"/>
        <v>0.1274516651021389</v>
      </c>
      <c r="U93" s="72">
        <f t="shared" si="54"/>
        <v>0.12781933486603594</v>
      </c>
      <c r="V93" s="72">
        <f t="shared" si="54"/>
        <v>0.11585781228088288</v>
      </c>
      <c r="W93" s="72">
        <f t="shared" si="54"/>
        <v>0.10904367456999906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3.7092349380157083E-2</v>
      </c>
      <c r="C94" s="73">
        <f t="shared" ref="C94:W94" si="56">IF(C86=0,0,C86/C$81)</f>
        <v>3.6230103220471079E-2</v>
      </c>
      <c r="D94" s="73">
        <f t="shared" si="56"/>
        <v>4.5814328402969846E-2</v>
      </c>
      <c r="E94" s="73">
        <f t="shared" si="56"/>
        <v>4.9254603562958979E-2</v>
      </c>
      <c r="F94" s="73">
        <f t="shared" si="56"/>
        <v>3.9897894358849523E-2</v>
      </c>
      <c r="G94" s="73">
        <f t="shared" si="56"/>
        <v>4.8375572761347678E-2</v>
      </c>
      <c r="H94" s="73">
        <f t="shared" si="56"/>
        <v>6.2010900906065522E-2</v>
      </c>
      <c r="I94" s="73">
        <f t="shared" si="56"/>
        <v>8.5452141038848697E-2</v>
      </c>
      <c r="J94" s="73">
        <f t="shared" si="56"/>
        <v>9.3066174068052746E-2</v>
      </c>
      <c r="K94" s="73">
        <f t="shared" si="56"/>
        <v>8.8522009681191463E-2</v>
      </c>
      <c r="L94" s="73">
        <f t="shared" si="56"/>
        <v>8.609494700901818E-2</v>
      </c>
      <c r="M94" s="73">
        <f t="shared" si="56"/>
        <v>8.912271204628533E-2</v>
      </c>
      <c r="N94" s="73">
        <f t="shared" si="56"/>
        <v>0.11400719138603267</v>
      </c>
      <c r="O94" s="73">
        <f t="shared" si="56"/>
        <v>0.11501115066736269</v>
      </c>
      <c r="P94" s="73">
        <f t="shared" si="56"/>
        <v>0.13066677106498137</v>
      </c>
      <c r="Q94" s="73">
        <f t="shared" si="56"/>
        <v>0.12483283809020308</v>
      </c>
      <c r="R94" s="73">
        <f t="shared" si="56"/>
        <v>0.12273344594458167</v>
      </c>
      <c r="S94" s="73">
        <f t="shared" si="56"/>
        <v>0.12597931772129986</v>
      </c>
      <c r="T94" s="73">
        <f t="shared" si="56"/>
        <v>0.13472517706354314</v>
      </c>
      <c r="U94" s="73">
        <f t="shared" si="56"/>
        <v>0.13939083531079799</v>
      </c>
      <c r="V94" s="73">
        <f t="shared" si="56"/>
        <v>0.1375602388620818</v>
      </c>
      <c r="W94" s="73">
        <f t="shared" si="56"/>
        <v>0.1354738839342777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414429.16847510292</v>
      </c>
      <c r="C99" s="82">
        <f t="shared" ref="C99:W99" si="60">C47*11630*1000/C$8</f>
        <v>428757.96152854554</v>
      </c>
      <c r="D99" s="82">
        <f t="shared" si="60"/>
        <v>388629.50588828558</v>
      </c>
      <c r="E99" s="82">
        <f t="shared" si="60"/>
        <v>389044.28302271815</v>
      </c>
      <c r="F99" s="82">
        <f t="shared" si="60"/>
        <v>440613.16468712094</v>
      </c>
      <c r="G99" s="82">
        <f t="shared" si="60"/>
        <v>425257.61982932989</v>
      </c>
      <c r="H99" s="82">
        <f t="shared" si="60"/>
        <v>381340.56944359129</v>
      </c>
      <c r="I99" s="82">
        <f t="shared" si="60"/>
        <v>328486.65225855965</v>
      </c>
      <c r="J99" s="82">
        <f t="shared" si="60"/>
        <v>323844.61086767819</v>
      </c>
      <c r="K99" s="82">
        <f t="shared" si="60"/>
        <v>344528.11710551003</v>
      </c>
      <c r="L99" s="82">
        <f t="shared" si="60"/>
        <v>361672.55460264772</v>
      </c>
      <c r="M99" s="82">
        <f t="shared" si="60"/>
        <v>360682.53055164032</v>
      </c>
      <c r="N99" s="82">
        <f t="shared" si="60"/>
        <v>276030.63511382544</v>
      </c>
      <c r="O99" s="82">
        <f t="shared" si="60"/>
        <v>271509.86837712134</v>
      </c>
      <c r="P99" s="82">
        <f t="shared" si="60"/>
        <v>238221.81193995371</v>
      </c>
      <c r="Q99" s="82">
        <f t="shared" si="60"/>
        <v>249171.90643833723</v>
      </c>
      <c r="R99" s="82">
        <f t="shared" si="60"/>
        <v>245390.71276310235</v>
      </c>
      <c r="S99" s="82">
        <f t="shared" si="60"/>
        <v>238769.03273122609</v>
      </c>
      <c r="T99" s="82">
        <f t="shared" si="60"/>
        <v>229541.06897540638</v>
      </c>
      <c r="U99" s="82">
        <f t="shared" si="60"/>
        <v>221790.09028886998</v>
      </c>
      <c r="V99" s="82">
        <f t="shared" si="60"/>
        <v>214216.61111721856</v>
      </c>
      <c r="W99" s="82">
        <f t="shared" si="60"/>
        <v>220747.78085694593</v>
      </c>
      <c r="DA99" s="107"/>
    </row>
    <row r="100" spans="1:105" ht="12" customHeight="1" x14ac:dyDescent="0.25">
      <c r="A100" s="77" t="s">
        <v>36</v>
      </c>
      <c r="B100" s="64">
        <f t="shared" si="59"/>
        <v>369035.41274556407</v>
      </c>
      <c r="C100" s="64">
        <f t="shared" ref="C100:W100" si="61">C48*11630*1000/C$8</f>
        <v>382326.2071648548</v>
      </c>
      <c r="D100" s="64">
        <f t="shared" si="61"/>
        <v>341424.48853888846</v>
      </c>
      <c r="E100" s="64">
        <f t="shared" si="61"/>
        <v>341443.43703707447</v>
      </c>
      <c r="F100" s="64">
        <f t="shared" si="61"/>
        <v>391682.58541690267</v>
      </c>
      <c r="G100" s="64">
        <f t="shared" si="61"/>
        <v>375056.13925660704</v>
      </c>
      <c r="H100" s="64">
        <f t="shared" si="61"/>
        <v>329859.56514173158</v>
      </c>
      <c r="I100" s="64">
        <f t="shared" si="61"/>
        <v>276019.12514168624</v>
      </c>
      <c r="J100" s="64">
        <f t="shared" si="61"/>
        <v>270471.95258306357</v>
      </c>
      <c r="K100" s="64">
        <f t="shared" si="61"/>
        <v>290324.12889459671</v>
      </c>
      <c r="L100" s="64">
        <f t="shared" si="61"/>
        <v>307375.68369643349</v>
      </c>
      <c r="M100" s="64">
        <f t="shared" si="61"/>
        <v>306381.42198339553</v>
      </c>
      <c r="N100" s="64">
        <f t="shared" si="61"/>
        <v>223825.87712732083</v>
      </c>
      <c r="O100" s="64">
        <f t="shared" si="61"/>
        <v>220368.85724790819</v>
      </c>
      <c r="P100" s="64">
        <f t="shared" si="61"/>
        <v>188755.42522636277</v>
      </c>
      <c r="Q100" s="64">
        <f t="shared" si="61"/>
        <v>199988.09192915834</v>
      </c>
      <c r="R100" s="64">
        <f t="shared" si="61"/>
        <v>197463.69509061894</v>
      </c>
      <c r="S100" s="64">
        <f t="shared" si="61"/>
        <v>191660.03080157706</v>
      </c>
      <c r="T100" s="64">
        <f t="shared" si="61"/>
        <v>183950.05060123972</v>
      </c>
      <c r="U100" s="64">
        <f t="shared" si="61"/>
        <v>177787.73384645311</v>
      </c>
      <c r="V100" s="64">
        <f t="shared" si="61"/>
        <v>173046.74845025525</v>
      </c>
      <c r="W100" s="64">
        <f t="shared" si="61"/>
        <v>180177.76724356785</v>
      </c>
      <c r="DA100" s="108"/>
    </row>
    <row r="101" spans="1:105" ht="12" customHeight="1" x14ac:dyDescent="0.25">
      <c r="A101" s="61" t="s">
        <v>32</v>
      </c>
      <c r="B101" s="65">
        <f t="shared" si="59"/>
        <v>312390.32315243839</v>
      </c>
      <c r="C101" s="65">
        <f t="shared" ref="C101:W101" si="62">C49*11630*1000/C$8</f>
        <v>326089.59490415925</v>
      </c>
      <c r="D101" s="65">
        <f t="shared" si="62"/>
        <v>284757.01840813924</v>
      </c>
      <c r="E101" s="65">
        <f t="shared" si="62"/>
        <v>284919.60225509503</v>
      </c>
      <c r="F101" s="65">
        <f t="shared" si="62"/>
        <v>335653.30442557461</v>
      </c>
      <c r="G101" s="65">
        <f t="shared" si="62"/>
        <v>319527.77040918765</v>
      </c>
      <c r="H101" s="65">
        <f t="shared" si="62"/>
        <v>274013.85054009792</v>
      </c>
      <c r="I101" s="65">
        <f t="shared" si="62"/>
        <v>220749.57885755235</v>
      </c>
      <c r="J101" s="65">
        <f t="shared" si="62"/>
        <v>215083.39340465463</v>
      </c>
      <c r="K101" s="65">
        <f t="shared" si="62"/>
        <v>234355.77780300187</v>
      </c>
      <c r="L101" s="65">
        <f t="shared" si="62"/>
        <v>250714.30196072164</v>
      </c>
      <c r="M101" s="65">
        <f t="shared" si="62"/>
        <v>249982.99606702974</v>
      </c>
      <c r="N101" s="65">
        <f t="shared" si="62"/>
        <v>167009.37689692847</v>
      </c>
      <c r="O101" s="65">
        <f t="shared" si="62"/>
        <v>164596.46047800855</v>
      </c>
      <c r="P101" s="65">
        <f t="shared" si="62"/>
        <v>134965.14618159347</v>
      </c>
      <c r="Q101" s="65">
        <f t="shared" si="62"/>
        <v>145565.7254042445</v>
      </c>
      <c r="R101" s="65">
        <f t="shared" si="62"/>
        <v>144602.08269919944</v>
      </c>
      <c r="S101" s="65">
        <f t="shared" si="62"/>
        <v>139631.13466507042</v>
      </c>
      <c r="T101" s="65">
        <f t="shared" si="62"/>
        <v>132126.8692176847</v>
      </c>
      <c r="U101" s="65">
        <f t="shared" si="62"/>
        <v>127074.55489481434</v>
      </c>
      <c r="V101" s="65">
        <f t="shared" si="62"/>
        <v>126508.08391748974</v>
      </c>
      <c r="W101" s="65">
        <f t="shared" si="62"/>
        <v>131851.35717038682</v>
      </c>
      <c r="DA101" s="109"/>
    </row>
    <row r="102" spans="1:105" ht="12" customHeight="1" x14ac:dyDescent="0.25">
      <c r="A102" s="61" t="s">
        <v>31</v>
      </c>
      <c r="B102" s="65">
        <f t="shared" si="59"/>
        <v>2047.1126858120563</v>
      </c>
      <c r="C102" s="65">
        <f t="shared" ref="C102:W102" si="63">C50*11630*1000/C$8</f>
        <v>1843.3669311721637</v>
      </c>
      <c r="D102" s="65">
        <f t="shared" si="63"/>
        <v>1952.4528010483752</v>
      </c>
      <c r="E102" s="65">
        <f t="shared" si="63"/>
        <v>2189.183354306158</v>
      </c>
      <c r="F102" s="65">
        <f t="shared" si="63"/>
        <v>1764.0286099268828</v>
      </c>
      <c r="G102" s="65">
        <f t="shared" si="63"/>
        <v>1738.4908723497797</v>
      </c>
      <c r="H102" s="65">
        <f t="shared" si="63"/>
        <v>1949.3039872226964</v>
      </c>
      <c r="I102" s="65">
        <f t="shared" si="63"/>
        <v>2129.6816905102623</v>
      </c>
      <c r="J102" s="65">
        <f t="shared" si="63"/>
        <v>1826.4068137382196</v>
      </c>
      <c r="K102" s="65">
        <f t="shared" si="63"/>
        <v>1911.5183697949535</v>
      </c>
      <c r="L102" s="65">
        <f t="shared" si="63"/>
        <v>2055.0446207764094</v>
      </c>
      <c r="M102" s="65">
        <f t="shared" si="63"/>
        <v>2018.8158912639074</v>
      </c>
      <c r="N102" s="65">
        <f t="shared" si="63"/>
        <v>2571.1644406739661</v>
      </c>
      <c r="O102" s="65">
        <f t="shared" si="63"/>
        <v>2077.5581507106072</v>
      </c>
      <c r="P102" s="65">
        <f t="shared" si="63"/>
        <v>1812.3894468393057</v>
      </c>
      <c r="Q102" s="65">
        <f t="shared" si="63"/>
        <v>2599.4319740160622</v>
      </c>
      <c r="R102" s="65">
        <f t="shared" si="63"/>
        <v>1795.4852109549213</v>
      </c>
      <c r="S102" s="65">
        <f t="shared" si="63"/>
        <v>2105.2054358427313</v>
      </c>
      <c r="T102" s="65">
        <f t="shared" si="63"/>
        <v>2003.9179314564408</v>
      </c>
      <c r="U102" s="65">
        <f t="shared" si="63"/>
        <v>2149.5749264866549</v>
      </c>
      <c r="V102" s="65">
        <f t="shared" si="63"/>
        <v>1740.7832837731323</v>
      </c>
      <c r="W102" s="65">
        <f t="shared" si="63"/>
        <v>2169.159713263808</v>
      </c>
      <c r="DA102" s="109"/>
    </row>
    <row r="103" spans="1:105" ht="12" customHeight="1" x14ac:dyDescent="0.25">
      <c r="A103" s="61" t="s">
        <v>35</v>
      </c>
      <c r="B103" s="65">
        <f t="shared" si="59"/>
        <v>27605.306686215758</v>
      </c>
      <c r="C103" s="65">
        <f t="shared" ref="C103:W103" si="64">C51*11630*1000/C$8</f>
        <v>27492.983780699309</v>
      </c>
      <c r="D103" s="65">
        <f t="shared" si="64"/>
        <v>27761.626469397346</v>
      </c>
      <c r="E103" s="65">
        <f t="shared" si="64"/>
        <v>27313.375825759558</v>
      </c>
      <c r="F103" s="65">
        <f t="shared" si="64"/>
        <v>27685.879813452197</v>
      </c>
      <c r="G103" s="65">
        <f t="shared" si="64"/>
        <v>27151.099232361019</v>
      </c>
      <c r="H103" s="65">
        <f t="shared" si="64"/>
        <v>26919.535690331559</v>
      </c>
      <c r="I103" s="65">
        <f t="shared" si="64"/>
        <v>26627.100802537625</v>
      </c>
      <c r="J103" s="65">
        <f t="shared" si="64"/>
        <v>26883.383095140227</v>
      </c>
      <c r="K103" s="65">
        <f t="shared" si="64"/>
        <v>27122.731457478472</v>
      </c>
      <c r="L103" s="65">
        <f t="shared" si="64"/>
        <v>26958.019004874943</v>
      </c>
      <c r="M103" s="65">
        <f t="shared" si="64"/>
        <v>26781.61217538295</v>
      </c>
      <c r="N103" s="65">
        <f t="shared" si="64"/>
        <v>26600.603401413144</v>
      </c>
      <c r="O103" s="65">
        <f t="shared" si="64"/>
        <v>26251.91371228806</v>
      </c>
      <c r="P103" s="65">
        <f t="shared" si="64"/>
        <v>25451.930730155029</v>
      </c>
      <c r="Q103" s="65">
        <f t="shared" si="64"/>
        <v>25282.964627648038</v>
      </c>
      <c r="R103" s="65">
        <f t="shared" si="64"/>
        <v>25085.804829717239</v>
      </c>
      <c r="S103" s="65">
        <f t="shared" si="64"/>
        <v>24543.026856990164</v>
      </c>
      <c r="T103" s="65">
        <f t="shared" si="64"/>
        <v>24223.484231671751</v>
      </c>
      <c r="U103" s="65">
        <f t="shared" si="64"/>
        <v>23372.672598394507</v>
      </c>
      <c r="V103" s="65">
        <f t="shared" si="64"/>
        <v>20892.679450048723</v>
      </c>
      <c r="W103" s="65">
        <f t="shared" si="64"/>
        <v>21084.523988027828</v>
      </c>
      <c r="DA103" s="109"/>
    </row>
    <row r="104" spans="1:105" ht="12" customHeight="1" x14ac:dyDescent="0.25">
      <c r="A104" s="66" t="s">
        <v>34</v>
      </c>
      <c r="B104" s="67">
        <f t="shared" si="59"/>
        <v>26992.670221097873</v>
      </c>
      <c r="C104" s="67">
        <f t="shared" ref="C104:W104" si="65">C52*11630*1000/C$8</f>
        <v>26900.261548824037</v>
      </c>
      <c r="D104" s="67">
        <f t="shared" si="65"/>
        <v>26953.390860303491</v>
      </c>
      <c r="E104" s="67">
        <f t="shared" si="65"/>
        <v>27021.275601913672</v>
      </c>
      <c r="F104" s="67">
        <f t="shared" si="65"/>
        <v>26579.372567948954</v>
      </c>
      <c r="G104" s="67">
        <f t="shared" si="65"/>
        <v>26638.77874270863</v>
      </c>
      <c r="H104" s="67">
        <f t="shared" si="65"/>
        <v>26976.874924079395</v>
      </c>
      <c r="I104" s="67">
        <f t="shared" si="65"/>
        <v>26512.763791085945</v>
      </c>
      <c r="J104" s="67">
        <f t="shared" si="65"/>
        <v>26678.769269530458</v>
      </c>
      <c r="K104" s="67">
        <f t="shared" si="65"/>
        <v>26934.101264321387</v>
      </c>
      <c r="L104" s="67">
        <f t="shared" si="65"/>
        <v>27648.318110060492</v>
      </c>
      <c r="M104" s="67">
        <f t="shared" si="65"/>
        <v>27597.997849718879</v>
      </c>
      <c r="N104" s="67">
        <f t="shared" si="65"/>
        <v>27644.732388305263</v>
      </c>
      <c r="O104" s="67">
        <f t="shared" si="65"/>
        <v>27442.924906900978</v>
      </c>
      <c r="P104" s="67">
        <f t="shared" si="65"/>
        <v>26525.958867774978</v>
      </c>
      <c r="Q104" s="67">
        <f t="shared" si="65"/>
        <v>26539.969923249722</v>
      </c>
      <c r="R104" s="67">
        <f t="shared" si="65"/>
        <v>25980.322350747356</v>
      </c>
      <c r="S104" s="67">
        <f t="shared" si="65"/>
        <v>25380.663843673734</v>
      </c>
      <c r="T104" s="67">
        <f t="shared" si="65"/>
        <v>25595.779220426859</v>
      </c>
      <c r="U104" s="67">
        <f t="shared" si="65"/>
        <v>25190.931426757626</v>
      </c>
      <c r="V104" s="67">
        <f t="shared" si="65"/>
        <v>23905.201798943661</v>
      </c>
      <c r="W104" s="67">
        <f t="shared" si="65"/>
        <v>25072.726371889388</v>
      </c>
      <c r="DA104" s="110"/>
    </row>
    <row r="105" spans="1:105" ht="12" customHeight="1" x14ac:dyDescent="0.25">
      <c r="A105" s="78" t="s">
        <v>33</v>
      </c>
      <c r="B105" s="68">
        <f t="shared" si="59"/>
        <v>45393.755729538854</v>
      </c>
      <c r="C105" s="68">
        <f t="shared" ref="C105:W105" si="66">C53*11630*1000/C$8</f>
        <v>46431.754363690779</v>
      </c>
      <c r="D105" s="68">
        <f t="shared" si="66"/>
        <v>47205.017349397218</v>
      </c>
      <c r="E105" s="68">
        <f t="shared" si="66"/>
        <v>47600.845985643697</v>
      </c>
      <c r="F105" s="68">
        <f t="shared" si="66"/>
        <v>48930.579270218215</v>
      </c>
      <c r="G105" s="68">
        <f t="shared" si="66"/>
        <v>50201.480572722801</v>
      </c>
      <c r="H105" s="68">
        <f t="shared" si="66"/>
        <v>51481.004301859735</v>
      </c>
      <c r="I105" s="68">
        <f t="shared" si="66"/>
        <v>52467.527116873433</v>
      </c>
      <c r="J105" s="68">
        <f t="shared" si="66"/>
        <v>53372.658284614648</v>
      </c>
      <c r="K105" s="68">
        <f t="shared" si="66"/>
        <v>54203.988210913383</v>
      </c>
      <c r="L105" s="68">
        <f t="shared" si="66"/>
        <v>54296.870906214208</v>
      </c>
      <c r="M105" s="68">
        <f t="shared" si="66"/>
        <v>54301.108568244759</v>
      </c>
      <c r="N105" s="68">
        <f t="shared" si="66"/>
        <v>52204.757986504592</v>
      </c>
      <c r="O105" s="68">
        <f t="shared" si="66"/>
        <v>51141.011129213104</v>
      </c>
      <c r="P105" s="68">
        <f t="shared" si="66"/>
        <v>49466.386713590888</v>
      </c>
      <c r="Q105" s="68">
        <f t="shared" si="66"/>
        <v>49183.81450917889</v>
      </c>
      <c r="R105" s="68">
        <f t="shared" si="66"/>
        <v>47927.01767248338</v>
      </c>
      <c r="S105" s="68">
        <f t="shared" si="66"/>
        <v>47109.001929649035</v>
      </c>
      <c r="T105" s="68">
        <f t="shared" si="66"/>
        <v>45591.018374166648</v>
      </c>
      <c r="U105" s="68">
        <f t="shared" si="66"/>
        <v>44002.356442416843</v>
      </c>
      <c r="V105" s="68">
        <f t="shared" si="66"/>
        <v>41169.86266696333</v>
      </c>
      <c r="W105" s="68">
        <f t="shared" si="66"/>
        <v>40570.01361337812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213007.40651970875</v>
      </c>
      <c r="C107" s="85">
        <f t="shared" ref="C107:W107" si="68">SUM(C108:C111)</f>
        <v>222607.53593046166</v>
      </c>
      <c r="D107" s="85">
        <f t="shared" si="68"/>
        <v>201398.93962176287</v>
      </c>
      <c r="E107" s="85">
        <f t="shared" si="68"/>
        <v>203910.40636119575</v>
      </c>
      <c r="F107" s="85">
        <f t="shared" si="68"/>
        <v>231716.4311804164</v>
      </c>
      <c r="G107" s="85">
        <f t="shared" si="68"/>
        <v>226952.20521582096</v>
      </c>
      <c r="H107" s="85">
        <f t="shared" si="68"/>
        <v>203658.26070441943</v>
      </c>
      <c r="I107" s="85">
        <f t="shared" si="68"/>
        <v>176522.80728925273</v>
      </c>
      <c r="J107" s="85">
        <f t="shared" si="68"/>
        <v>175636.40781163695</v>
      </c>
      <c r="K107" s="85">
        <f t="shared" si="68"/>
        <v>189824.72074362484</v>
      </c>
      <c r="L107" s="85">
        <f t="shared" si="68"/>
        <v>203157.94286218309</v>
      </c>
      <c r="M107" s="85">
        <f t="shared" si="68"/>
        <v>205887.34906151029</v>
      </c>
      <c r="N107" s="85">
        <f t="shared" si="68"/>
        <v>153818.04714064283</v>
      </c>
      <c r="O107" s="85">
        <f t="shared" si="68"/>
        <v>153149.62330807047</v>
      </c>
      <c r="P107" s="85">
        <f t="shared" si="68"/>
        <v>131962.39645691653</v>
      </c>
      <c r="Q107" s="85">
        <f t="shared" si="68"/>
        <v>142942.60211707788</v>
      </c>
      <c r="R107" s="85">
        <f t="shared" si="68"/>
        <v>141360.58036454406</v>
      </c>
      <c r="S107" s="85">
        <f t="shared" si="68"/>
        <v>140323.44240559975</v>
      </c>
      <c r="T107" s="85">
        <f t="shared" si="68"/>
        <v>136711.33092138887</v>
      </c>
      <c r="U107" s="85">
        <f t="shared" si="68"/>
        <v>134458.46854486185</v>
      </c>
      <c r="V107" s="85">
        <f t="shared" si="68"/>
        <v>131378.06101519347</v>
      </c>
      <c r="W107" s="85">
        <f t="shared" si="68"/>
        <v>139301.09606527266</v>
      </c>
      <c r="DA107" s="117"/>
    </row>
    <row r="108" spans="1:105" ht="12" customHeight="1" x14ac:dyDescent="0.25">
      <c r="A108" s="61" t="s">
        <v>32</v>
      </c>
      <c r="B108" s="65">
        <v>172972.18435229003</v>
      </c>
      <c r="C108" s="65">
        <v>182891.62016797514</v>
      </c>
      <c r="D108" s="65">
        <v>161278.04673444552</v>
      </c>
      <c r="E108" s="65">
        <v>163468.72508271105</v>
      </c>
      <c r="F108" s="65">
        <v>191983.03972149987</v>
      </c>
      <c r="G108" s="65">
        <v>187484.42275251503</v>
      </c>
      <c r="H108" s="65">
        <v>163482.15842156589</v>
      </c>
      <c r="I108" s="65">
        <v>136270.48604497212</v>
      </c>
      <c r="J108" s="65">
        <v>135531.41938860223</v>
      </c>
      <c r="K108" s="65">
        <v>149074.99564891585</v>
      </c>
      <c r="L108" s="65">
        <v>161477.15798397269</v>
      </c>
      <c r="M108" s="65">
        <v>164241.62213104451</v>
      </c>
      <c r="N108" s="65">
        <v>110451.27856575567</v>
      </c>
      <c r="O108" s="65">
        <v>111197.65008724741</v>
      </c>
      <c r="P108" s="65">
        <v>91605.514013144348</v>
      </c>
      <c r="Q108" s="65">
        <v>99895.297052419162</v>
      </c>
      <c r="R108" s="65">
        <v>100647.85128251174</v>
      </c>
      <c r="S108" s="65">
        <v>98823.281326452998</v>
      </c>
      <c r="T108" s="65">
        <v>95020.363650186191</v>
      </c>
      <c r="U108" s="65">
        <v>92587.487101548046</v>
      </c>
      <c r="V108" s="65">
        <v>93246.34242695407</v>
      </c>
      <c r="W108" s="65">
        <v>98080.412316718168</v>
      </c>
      <c r="DA108" s="109"/>
    </row>
    <row r="109" spans="1:105" ht="12" customHeight="1" x14ac:dyDescent="0.25">
      <c r="A109" s="61" t="s">
        <v>31</v>
      </c>
      <c r="B109" s="65">
        <v>3538.3546084421582</v>
      </c>
      <c r="C109" s="65">
        <v>3297.5012731878546</v>
      </c>
      <c r="D109" s="65">
        <v>3641.387648946501</v>
      </c>
      <c r="E109" s="65">
        <v>4254.7881758381436</v>
      </c>
      <c r="F109" s="65">
        <v>3587.7855950982143</v>
      </c>
      <c r="G109" s="65">
        <v>3695.960421482614</v>
      </c>
      <c r="H109" s="65">
        <v>4356.4585289041088</v>
      </c>
      <c r="I109" s="65">
        <v>5008.750619338849</v>
      </c>
      <c r="J109" s="65">
        <v>4530.784389684778</v>
      </c>
      <c r="K109" s="65">
        <v>4811.4011931436216</v>
      </c>
      <c r="L109" s="65">
        <v>5277.0938993469126</v>
      </c>
      <c r="M109" s="65">
        <v>5322.3598177645354</v>
      </c>
      <c r="N109" s="65">
        <v>6981.2626940237378</v>
      </c>
      <c r="O109" s="65">
        <v>5803.4855079579283</v>
      </c>
      <c r="P109" s="65">
        <v>5235.6916567529815</v>
      </c>
      <c r="Q109" s="65">
        <v>7767.6250899297575</v>
      </c>
      <c r="R109" s="65">
        <v>5555.1867567985018</v>
      </c>
      <c r="S109" s="65">
        <v>6711.360493243943</v>
      </c>
      <c r="T109" s="65">
        <v>6582.9949988887547</v>
      </c>
      <c r="U109" s="65">
        <v>7227.461154996874</v>
      </c>
      <c r="V109" s="65">
        <v>5987.581160035088</v>
      </c>
      <c r="W109" s="65">
        <v>7625.1111320368773</v>
      </c>
      <c r="DA109" s="109"/>
    </row>
    <row r="110" spans="1:105" ht="12" customHeight="1" x14ac:dyDescent="0.25">
      <c r="A110" s="61" t="s">
        <v>35</v>
      </c>
      <c r="B110" s="65">
        <v>16265.142499381329</v>
      </c>
      <c r="C110" s="65">
        <v>16287.482115421792</v>
      </c>
      <c r="D110" s="65">
        <v>16524.822452612974</v>
      </c>
      <c r="E110" s="65">
        <v>16347.249093210336</v>
      </c>
      <c r="F110" s="65">
        <v>16649.720147990301</v>
      </c>
      <c r="G110" s="65">
        <v>16491.018693291258</v>
      </c>
      <c r="H110" s="65">
        <v>16481.160870064345</v>
      </c>
      <c r="I110" s="65">
        <v>16402.004846357235</v>
      </c>
      <c r="J110" s="65">
        <v>16663.861746149021</v>
      </c>
      <c r="K110" s="65">
        <v>16902.957885591401</v>
      </c>
      <c r="L110" s="65">
        <v>16947.877118404667</v>
      </c>
      <c r="M110" s="65">
        <v>17039.86963917446</v>
      </c>
      <c r="N110" s="65">
        <v>17203.52012457485</v>
      </c>
      <c r="O110" s="65">
        <v>17157.689062501006</v>
      </c>
      <c r="P110" s="65">
        <v>16796.323228171659</v>
      </c>
      <c r="Q110" s="65">
        <v>16856.266810082085</v>
      </c>
      <c r="R110" s="65">
        <v>16968.151686832931</v>
      </c>
      <c r="S110" s="65">
        <v>16924.468338777791</v>
      </c>
      <c r="T110" s="65">
        <v>17026.159196923425</v>
      </c>
      <c r="U110" s="65">
        <v>16780.071423016107</v>
      </c>
      <c r="V110" s="65">
        <v>15269.861013257911</v>
      </c>
      <c r="W110" s="65">
        <v>15737.604928221368</v>
      </c>
      <c r="DA110" s="109"/>
    </row>
    <row r="111" spans="1:105" ht="12" customHeight="1" x14ac:dyDescent="0.25">
      <c r="A111" s="74" t="s">
        <v>34</v>
      </c>
      <c r="B111" s="68">
        <v>20231.72505959521</v>
      </c>
      <c r="C111" s="68">
        <v>20130.932373876851</v>
      </c>
      <c r="D111" s="68">
        <v>19954.682785757868</v>
      </c>
      <c r="E111" s="68">
        <v>19839.644009436208</v>
      </c>
      <c r="F111" s="68">
        <v>19495.885715828008</v>
      </c>
      <c r="G111" s="68">
        <v>19280.80334853203</v>
      </c>
      <c r="H111" s="68">
        <v>19338.482883885103</v>
      </c>
      <c r="I111" s="68">
        <v>18841.5657785845</v>
      </c>
      <c r="J111" s="68">
        <v>18910.342287200921</v>
      </c>
      <c r="K111" s="68">
        <v>19035.366015973959</v>
      </c>
      <c r="L111" s="68">
        <v>19455.81386045882</v>
      </c>
      <c r="M111" s="68">
        <v>19283.497473526761</v>
      </c>
      <c r="N111" s="68">
        <v>19181.98575628857</v>
      </c>
      <c r="O111" s="68">
        <v>18990.798650364122</v>
      </c>
      <c r="P111" s="68">
        <v>18324.867558847545</v>
      </c>
      <c r="Q111" s="68">
        <v>18423.413164646881</v>
      </c>
      <c r="R111" s="68">
        <v>18189.390638400902</v>
      </c>
      <c r="S111" s="68">
        <v>17864.332247125029</v>
      </c>
      <c r="T111" s="68">
        <v>18081.813075390484</v>
      </c>
      <c r="U111" s="68">
        <v>17863.448865300837</v>
      </c>
      <c r="V111" s="68">
        <v>16874.276414946402</v>
      </c>
      <c r="W111" s="68">
        <v>17857.967688296252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52857.723450933452</v>
      </c>
      <c r="C113" s="82">
        <f t="shared" ref="C113:W113" si="70">C81*1000000/C$8</f>
        <v>55290.995487697088</v>
      </c>
      <c r="D113" s="82">
        <f t="shared" si="70"/>
        <v>49574.818007337133</v>
      </c>
      <c r="E113" s="82">
        <f t="shared" si="70"/>
        <v>50270.108296518891</v>
      </c>
      <c r="F113" s="82">
        <f t="shared" si="70"/>
        <v>61659.463688961237</v>
      </c>
      <c r="G113" s="82">
        <f t="shared" si="70"/>
        <v>57152.783700919688</v>
      </c>
      <c r="H113" s="82">
        <f t="shared" si="70"/>
        <v>48655.34842780442</v>
      </c>
      <c r="I113" s="82">
        <f t="shared" si="70"/>
        <v>37039.905669077569</v>
      </c>
      <c r="J113" s="82">
        <f t="shared" si="70"/>
        <v>35073.702394958804</v>
      </c>
      <c r="K113" s="82">
        <f t="shared" si="70"/>
        <v>38306.984376582346</v>
      </c>
      <c r="L113" s="82">
        <f t="shared" si="70"/>
        <v>41792.114764428603</v>
      </c>
      <c r="M113" s="82">
        <f t="shared" si="70"/>
        <v>41785.164444346708</v>
      </c>
      <c r="N113" s="82">
        <f t="shared" si="70"/>
        <v>33920.06796919171</v>
      </c>
      <c r="O113" s="82">
        <f t="shared" si="70"/>
        <v>33827.869476490087</v>
      </c>
      <c r="P113" s="82">
        <f t="shared" si="70"/>
        <v>29267.360433199367</v>
      </c>
      <c r="Q113" s="82">
        <f t="shared" si="70"/>
        <v>30187.714087661963</v>
      </c>
      <c r="R113" s="82">
        <f t="shared" si="70"/>
        <v>29106.004054077293</v>
      </c>
      <c r="S113" s="82">
        <f t="shared" si="70"/>
        <v>27317.508338632106</v>
      </c>
      <c r="T113" s="82">
        <f t="shared" si="70"/>
        <v>25715.492039346303</v>
      </c>
      <c r="U113" s="82">
        <f t="shared" si="70"/>
        <v>24378.814789423966</v>
      </c>
      <c r="V113" s="82">
        <f t="shared" si="70"/>
        <v>24334.974515230551</v>
      </c>
      <c r="W113" s="82">
        <f t="shared" si="70"/>
        <v>25201.35301516527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52857.723450933452</v>
      </c>
      <c r="C114" s="64">
        <f t="shared" ref="C114:W114" si="72">C82*1000000/C$8</f>
        <v>55290.995487697088</v>
      </c>
      <c r="D114" s="64">
        <f t="shared" si="72"/>
        <v>49574.818007337133</v>
      </c>
      <c r="E114" s="64">
        <f t="shared" si="72"/>
        <v>50270.108296518891</v>
      </c>
      <c r="F114" s="64">
        <f t="shared" si="72"/>
        <v>61659.463688961237</v>
      </c>
      <c r="G114" s="64">
        <f t="shared" si="72"/>
        <v>57152.783700919688</v>
      </c>
      <c r="H114" s="64">
        <f t="shared" si="72"/>
        <v>48655.34842780442</v>
      </c>
      <c r="I114" s="64">
        <f t="shared" si="72"/>
        <v>37039.905669077569</v>
      </c>
      <c r="J114" s="64">
        <f t="shared" si="72"/>
        <v>35073.702394958804</v>
      </c>
      <c r="K114" s="64">
        <f t="shared" si="72"/>
        <v>38306.984376582346</v>
      </c>
      <c r="L114" s="64">
        <f t="shared" si="72"/>
        <v>41792.114764428603</v>
      </c>
      <c r="M114" s="64">
        <f t="shared" si="72"/>
        <v>41785.164444346708</v>
      </c>
      <c r="N114" s="64">
        <f t="shared" si="72"/>
        <v>33920.06796919171</v>
      </c>
      <c r="O114" s="64">
        <f t="shared" si="72"/>
        <v>33827.869476490087</v>
      </c>
      <c r="P114" s="64">
        <f t="shared" si="72"/>
        <v>29267.360433199367</v>
      </c>
      <c r="Q114" s="64">
        <f t="shared" si="72"/>
        <v>30187.714087661963</v>
      </c>
      <c r="R114" s="64">
        <f t="shared" si="72"/>
        <v>29106.004054077293</v>
      </c>
      <c r="S114" s="64">
        <f t="shared" si="72"/>
        <v>27317.508338632106</v>
      </c>
      <c r="T114" s="64">
        <f t="shared" si="72"/>
        <v>25715.492039346303</v>
      </c>
      <c r="U114" s="64">
        <f t="shared" si="72"/>
        <v>24378.814789423966</v>
      </c>
      <c r="V114" s="64">
        <f t="shared" si="72"/>
        <v>24334.974515230551</v>
      </c>
      <c r="W114" s="64">
        <f t="shared" si="72"/>
        <v>25201.35301516527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48290.111697565291</v>
      </c>
      <c r="C115" s="65">
        <f t="shared" ref="C115:W115" si="74">C83*1000000/C$8</f>
        <v>50691.664478862964</v>
      </c>
      <c r="D115" s="65">
        <f t="shared" si="74"/>
        <v>44634.301144669887</v>
      </c>
      <c r="E115" s="65">
        <f t="shared" si="74"/>
        <v>45104.545718122732</v>
      </c>
      <c r="F115" s="65">
        <f t="shared" si="74"/>
        <v>56401.121994023728</v>
      </c>
      <c r="G115" s="65">
        <f t="shared" si="74"/>
        <v>51676.663098684374</v>
      </c>
      <c r="H115" s="65">
        <f t="shared" si="74"/>
        <v>42945.294752913542</v>
      </c>
      <c r="I115" s="65">
        <f t="shared" si="74"/>
        <v>31093.552108435055</v>
      </c>
      <c r="J115" s="65">
        <f t="shared" si="74"/>
        <v>28878.893424498663</v>
      </c>
      <c r="K115" s="65">
        <f t="shared" si="74"/>
        <v>31779.689622815222</v>
      </c>
      <c r="L115" s="65">
        <f t="shared" si="74"/>
        <v>34975.366453816037</v>
      </c>
      <c r="M115" s="65">
        <f t="shared" si="74"/>
        <v>34838.350281543673</v>
      </c>
      <c r="N115" s="65">
        <f t="shared" si="74"/>
        <v>26858.752295650102</v>
      </c>
      <c r="O115" s="65">
        <f t="shared" si="74"/>
        <v>26498.620057285982</v>
      </c>
      <c r="P115" s="65">
        <f t="shared" si="74"/>
        <v>22060.034631810802</v>
      </c>
      <c r="Q115" s="65">
        <f t="shared" si="74"/>
        <v>23039.816475693013</v>
      </c>
      <c r="R115" s="65">
        <f t="shared" si="74"/>
        <v>22198.595189141539</v>
      </c>
      <c r="S115" s="65">
        <f t="shared" si="74"/>
        <v>20600.503691435886</v>
      </c>
      <c r="T115" s="65">
        <f t="shared" si="74"/>
        <v>18965.382117349061</v>
      </c>
      <c r="U115" s="65">
        <f t="shared" si="74"/>
        <v>17854.356803124487</v>
      </c>
      <c r="V115" s="65">
        <f t="shared" si="74"/>
        <v>18160.05691628961</v>
      </c>
      <c r="W115" s="65">
        <f t="shared" si="74"/>
        <v>19028.787395196454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1.6126745667982658</v>
      </c>
      <c r="C116" s="65">
        <f t="shared" ref="C116:W116" si="76">C84*1000000/C$8</f>
        <v>1.6212589312096588</v>
      </c>
      <c r="D116" s="65">
        <f t="shared" si="76"/>
        <v>1.9767785891079206</v>
      </c>
      <c r="E116" s="65">
        <f t="shared" si="76"/>
        <v>2.4461484240675175</v>
      </c>
      <c r="F116" s="65">
        <f t="shared" si="76"/>
        <v>1.9468778306748939</v>
      </c>
      <c r="G116" s="65">
        <f t="shared" si="76"/>
        <v>2.0556960269656286</v>
      </c>
      <c r="H116" s="65">
        <f t="shared" si="76"/>
        <v>2.5804034989073763</v>
      </c>
      <c r="I116" s="65">
        <f t="shared" si="76"/>
        <v>3.0989757811272169</v>
      </c>
      <c r="J116" s="65">
        <f t="shared" si="76"/>
        <v>2.7272286103261627</v>
      </c>
      <c r="K116" s="65">
        <f t="shared" si="76"/>
        <v>3.0115560745097358</v>
      </c>
      <c r="L116" s="65">
        <f t="shared" si="76"/>
        <v>3.6427305276467741</v>
      </c>
      <c r="M116" s="65">
        <f t="shared" si="76"/>
        <v>4.0466345088906035</v>
      </c>
      <c r="N116" s="65">
        <f t="shared" si="76"/>
        <v>5.8726763094022569</v>
      </c>
      <c r="O116" s="65">
        <f t="shared" si="76"/>
        <v>5.3174921696042379</v>
      </c>
      <c r="P116" s="65">
        <f t="shared" si="76"/>
        <v>4.9707957446710704</v>
      </c>
      <c r="Q116" s="65">
        <f t="shared" si="76"/>
        <v>7.8387649827058237</v>
      </c>
      <c r="R116" s="65">
        <f t="shared" si="76"/>
        <v>5.8264450274684636</v>
      </c>
      <c r="S116" s="65">
        <f t="shared" si="76"/>
        <v>7.9248114208179539</v>
      </c>
      <c r="T116" s="65">
        <f t="shared" si="76"/>
        <v>8.1034243846906708</v>
      </c>
      <c r="U116" s="65">
        <f t="shared" si="76"/>
        <v>10.190737707987592</v>
      </c>
      <c r="V116" s="65">
        <f t="shared" si="76"/>
        <v>7.995782677503783</v>
      </c>
      <c r="W116" s="65">
        <f t="shared" si="76"/>
        <v>10.392309696209519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2605.3819331196246</v>
      </c>
      <c r="C117" s="65">
        <f t="shared" ref="C117:W117" si="78">C85*1000000/C$8</f>
        <v>2594.5112762210474</v>
      </c>
      <c r="D117" s="65">
        <f t="shared" si="78"/>
        <v>2667.3030913725302</v>
      </c>
      <c r="E117" s="65">
        <f t="shared" si="78"/>
        <v>2687.0821747600326</v>
      </c>
      <c r="F117" s="65">
        <f t="shared" si="78"/>
        <v>2796.3120486213352</v>
      </c>
      <c r="G117" s="65">
        <f t="shared" si="78"/>
        <v>2709.2662597709418</v>
      </c>
      <c r="H117" s="65">
        <f t="shared" si="78"/>
        <v>2690.3112814852898</v>
      </c>
      <c r="I117" s="65">
        <f t="shared" si="78"/>
        <v>2778.11534156172</v>
      </c>
      <c r="J117" s="65">
        <f t="shared" si="78"/>
        <v>2927.906449549499</v>
      </c>
      <c r="K117" s="65">
        <f t="shared" si="78"/>
        <v>3133.2719558515437</v>
      </c>
      <c r="L117" s="65">
        <f t="shared" si="78"/>
        <v>3215.0156740466323</v>
      </c>
      <c r="M117" s="65">
        <f t="shared" si="78"/>
        <v>3218.7603497139585</v>
      </c>
      <c r="N117" s="65">
        <f t="shared" si="78"/>
        <v>3188.311316441323</v>
      </c>
      <c r="O117" s="65">
        <f t="shared" si="78"/>
        <v>3433.3497339180176</v>
      </c>
      <c r="P117" s="65">
        <f t="shared" si="78"/>
        <v>3378.0835202427393</v>
      </c>
      <c r="Q117" s="65">
        <f t="shared" si="78"/>
        <v>3371.6408219677987</v>
      </c>
      <c r="R117" s="65">
        <f t="shared" si="78"/>
        <v>3329.3022446744194</v>
      </c>
      <c r="S117" s="65">
        <f t="shared" si="78"/>
        <v>3267.6387734286077</v>
      </c>
      <c r="T117" s="65">
        <f t="shared" si="78"/>
        <v>3277.4822793354838</v>
      </c>
      <c r="U117" s="65">
        <f t="shared" si="78"/>
        <v>3116.083891206451</v>
      </c>
      <c r="V117" s="65">
        <f t="shared" si="78"/>
        <v>2819.39690924565</v>
      </c>
      <c r="W117" s="65">
        <f t="shared" si="78"/>
        <v>2748.0481369093463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1960.617145681746</v>
      </c>
      <c r="C118" s="67">
        <f t="shared" ref="C118:W118" si="80">C86*1000000/C$8</f>
        <v>2003.1984736818663</v>
      </c>
      <c r="D118" s="67">
        <f t="shared" si="80"/>
        <v>2271.2369927056066</v>
      </c>
      <c r="E118" s="67">
        <f t="shared" si="80"/>
        <v>2476.0342552120528</v>
      </c>
      <c r="F118" s="67">
        <f t="shared" si="80"/>
        <v>2460.082768485493</v>
      </c>
      <c r="G118" s="67">
        <f t="shared" si="80"/>
        <v>2764.7986464374062</v>
      </c>
      <c r="H118" s="67">
        <f t="shared" si="80"/>
        <v>3017.1619899066709</v>
      </c>
      <c r="I118" s="67">
        <f t="shared" si="80"/>
        <v>3165.1392432996681</v>
      </c>
      <c r="J118" s="67">
        <f t="shared" si="80"/>
        <v>3264.1752923003146</v>
      </c>
      <c r="K118" s="67">
        <f t="shared" si="80"/>
        <v>3391.0112418410731</v>
      </c>
      <c r="L118" s="67">
        <f t="shared" si="80"/>
        <v>3598.0899060382867</v>
      </c>
      <c r="M118" s="67">
        <f t="shared" si="80"/>
        <v>3724.0071785801924</v>
      </c>
      <c r="N118" s="67">
        <f t="shared" si="80"/>
        <v>3867.1316807908756</v>
      </c>
      <c r="O118" s="67">
        <f t="shared" si="80"/>
        <v>3890.582193116481</v>
      </c>
      <c r="P118" s="67">
        <f t="shared" si="80"/>
        <v>3824.2714854011556</v>
      </c>
      <c r="Q118" s="67">
        <f t="shared" si="80"/>
        <v>3768.4180250184486</v>
      </c>
      <c r="R118" s="67">
        <f t="shared" si="80"/>
        <v>3572.280175233871</v>
      </c>
      <c r="S118" s="67">
        <f t="shared" si="80"/>
        <v>3441.441062346792</v>
      </c>
      <c r="T118" s="67">
        <f t="shared" si="80"/>
        <v>3464.5242182770648</v>
      </c>
      <c r="U118" s="67">
        <f t="shared" si="80"/>
        <v>3398.1833573850422</v>
      </c>
      <c r="V118" s="67">
        <f t="shared" si="80"/>
        <v>3347.524907017787</v>
      </c>
      <c r="W118" s="67">
        <f t="shared" si="80"/>
        <v>3414.1251733632585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0.57720045058811009</v>
      </c>
      <c r="C121" s="86">
        <f t="shared" ref="C121:W121" si="84">IF(C107=0,"",C107/C100)</f>
        <v>0.5822450351526014</v>
      </c>
      <c r="D121" s="86">
        <f t="shared" si="84"/>
        <v>0.58987842519334521</v>
      </c>
      <c r="E121" s="86">
        <f t="shared" si="84"/>
        <v>0.59720112979958917</v>
      </c>
      <c r="F121" s="86">
        <f t="shared" si="84"/>
        <v>0.59159237558080346</v>
      </c>
      <c r="G121" s="86">
        <f t="shared" si="84"/>
        <v>0.60511529198178016</v>
      </c>
      <c r="H121" s="86">
        <f t="shared" si="84"/>
        <v>0.61740898923732312</v>
      </c>
      <c r="I121" s="86">
        <f t="shared" si="84"/>
        <v>0.63953107306836066</v>
      </c>
      <c r="J121" s="86">
        <f t="shared" si="84"/>
        <v>0.64937013296303969</v>
      </c>
      <c r="K121" s="86">
        <f t="shared" si="84"/>
        <v>0.6538372179617955</v>
      </c>
      <c r="L121" s="86">
        <f t="shared" si="84"/>
        <v>0.66094344360311652</v>
      </c>
      <c r="M121" s="86">
        <f t="shared" si="84"/>
        <v>0.67199684539837556</v>
      </c>
      <c r="N121" s="86">
        <f t="shared" si="84"/>
        <v>0.68722191158060408</v>
      </c>
      <c r="O121" s="86">
        <f t="shared" si="84"/>
        <v>0.69496944904416258</v>
      </c>
      <c r="P121" s="86">
        <f t="shared" si="84"/>
        <v>0.69911842956917469</v>
      </c>
      <c r="Q121" s="86">
        <f t="shared" si="84"/>
        <v>0.71475556738504387</v>
      </c>
      <c r="R121" s="86">
        <f t="shared" si="84"/>
        <v>0.71588136897606236</v>
      </c>
      <c r="S121" s="86">
        <f t="shared" si="84"/>
        <v>0.73214765654960501</v>
      </c>
      <c r="T121" s="86">
        <f t="shared" si="84"/>
        <v>0.74319811532831137</v>
      </c>
      <c r="U121" s="86">
        <f t="shared" si="84"/>
        <v>0.75628653133622425</v>
      </c>
      <c r="V121" s="86">
        <f t="shared" si="84"/>
        <v>0.75920560306257334</v>
      </c>
      <c r="W121" s="86">
        <f t="shared" si="84"/>
        <v>0.77313143678244556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0.55370532162061914</v>
      </c>
      <c r="C122" s="75">
        <f t="shared" ref="C122:W122" si="86">IF(C108=0,"",C108/C101)</f>
        <v>0.56086309721636063</v>
      </c>
      <c r="D122" s="75">
        <f t="shared" si="86"/>
        <v>0.56637075228568168</v>
      </c>
      <c r="E122" s="75">
        <f t="shared" si="86"/>
        <v>0.57373632347118664</v>
      </c>
      <c r="F122" s="75">
        <f t="shared" si="86"/>
        <v>0.57196826961096947</v>
      </c>
      <c r="G122" s="75">
        <f t="shared" si="86"/>
        <v>0.5867547052715395</v>
      </c>
      <c r="H122" s="75">
        <f t="shared" si="86"/>
        <v>0.59662005442182087</v>
      </c>
      <c r="I122" s="75">
        <f t="shared" si="86"/>
        <v>0.61730802273877128</v>
      </c>
      <c r="J122" s="75">
        <f t="shared" si="86"/>
        <v>0.63013428067696264</v>
      </c>
      <c r="K122" s="75">
        <f t="shared" si="86"/>
        <v>0.63610548477378459</v>
      </c>
      <c r="L122" s="75">
        <f t="shared" si="86"/>
        <v>0.64406839466729204</v>
      </c>
      <c r="M122" s="75">
        <f t="shared" si="86"/>
        <v>0.65701117562014189</v>
      </c>
      <c r="N122" s="75">
        <f t="shared" si="86"/>
        <v>0.6613477675203937</v>
      </c>
      <c r="O122" s="75">
        <f t="shared" si="86"/>
        <v>0.67557740770558272</v>
      </c>
      <c r="P122" s="75">
        <f t="shared" si="86"/>
        <v>0.67873459633712085</v>
      </c>
      <c r="Q122" s="75">
        <f t="shared" si="86"/>
        <v>0.68625561941180935</v>
      </c>
      <c r="R122" s="75">
        <f t="shared" si="86"/>
        <v>0.69603320646410682</v>
      </c>
      <c r="S122" s="75">
        <f t="shared" si="86"/>
        <v>0.7077453145639605</v>
      </c>
      <c r="T122" s="75">
        <f t="shared" si="86"/>
        <v>0.71916003317717347</v>
      </c>
      <c r="U122" s="75">
        <f t="shared" si="86"/>
        <v>0.72860760502515332</v>
      </c>
      <c r="V122" s="75">
        <f t="shared" si="86"/>
        <v>0.73707813397735578</v>
      </c>
      <c r="W122" s="75">
        <f t="shared" si="86"/>
        <v>0.74387108651428091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1.7284610822674622</v>
      </c>
      <c r="C123" s="76">
        <f t="shared" ref="C123:W123" si="88">IF(C109=0,"",C109/C102)</f>
        <v>1.7888469286421631</v>
      </c>
      <c r="D123" s="76">
        <f t="shared" si="88"/>
        <v>1.8650323567316185</v>
      </c>
      <c r="E123" s="76">
        <f t="shared" si="88"/>
        <v>1.9435503963013918</v>
      </c>
      <c r="F123" s="76">
        <f t="shared" si="88"/>
        <v>2.0338590740015969</v>
      </c>
      <c r="G123" s="76">
        <f t="shared" si="88"/>
        <v>2.1259590603930398</v>
      </c>
      <c r="H123" s="76">
        <f t="shared" si="88"/>
        <v>2.2348789914040275</v>
      </c>
      <c r="I123" s="76">
        <f t="shared" si="88"/>
        <v>2.3518775794793889</v>
      </c>
      <c r="J123" s="76">
        <f t="shared" si="88"/>
        <v>2.4807093116408945</v>
      </c>
      <c r="K123" s="76">
        <f t="shared" si="88"/>
        <v>2.5170572614793838</v>
      </c>
      <c r="L123" s="76">
        <f t="shared" si="88"/>
        <v>2.5678731478605035</v>
      </c>
      <c r="M123" s="76">
        <f t="shared" si="88"/>
        <v>2.6363770172387531</v>
      </c>
      <c r="N123" s="76">
        <f t="shared" si="88"/>
        <v>2.7152143921972471</v>
      </c>
      <c r="O123" s="76">
        <f t="shared" si="88"/>
        <v>2.7934166396126656</v>
      </c>
      <c r="P123" s="76">
        <f t="shared" si="88"/>
        <v>2.888833669763252</v>
      </c>
      <c r="Q123" s="76">
        <f t="shared" si="88"/>
        <v>2.9882009483514032</v>
      </c>
      <c r="R123" s="76">
        <f t="shared" si="88"/>
        <v>3.0939752234684232</v>
      </c>
      <c r="S123" s="76">
        <f t="shared" si="88"/>
        <v>3.1879836423457313</v>
      </c>
      <c r="T123" s="76">
        <f t="shared" si="88"/>
        <v>3.2850621752280325</v>
      </c>
      <c r="U123" s="76">
        <f t="shared" si="88"/>
        <v>3.3622745901719764</v>
      </c>
      <c r="V123" s="76">
        <f t="shared" si="88"/>
        <v>3.4395902211658758</v>
      </c>
      <c r="W123" s="76">
        <f t="shared" si="88"/>
        <v>3.515237299223033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0.58920347034228215</v>
      </c>
      <c r="C124" s="76">
        <f t="shared" ref="C124:W124" si="90">IF(C110=0,"",C110/C103)</f>
        <v>0.59242322497043665</v>
      </c>
      <c r="D124" s="76">
        <f t="shared" si="90"/>
        <v>0.59523970869750331</v>
      </c>
      <c r="E124" s="76">
        <f t="shared" si="90"/>
        <v>0.59850709035362293</v>
      </c>
      <c r="F124" s="76">
        <f t="shared" si="90"/>
        <v>0.60137948514464135</v>
      </c>
      <c r="G124" s="76">
        <f t="shared" si="90"/>
        <v>0.60737941223520853</v>
      </c>
      <c r="H124" s="76">
        <f t="shared" si="90"/>
        <v>0.61223793232004853</v>
      </c>
      <c r="I124" s="76">
        <f t="shared" si="90"/>
        <v>0.61598913708224989</v>
      </c>
      <c r="J124" s="76">
        <f t="shared" si="90"/>
        <v>0.61985731807546895</v>
      </c>
      <c r="K124" s="76">
        <f t="shared" si="90"/>
        <v>0.62320264137448433</v>
      </c>
      <c r="L124" s="76">
        <f t="shared" si="90"/>
        <v>0.62867665147575957</v>
      </c>
      <c r="M124" s="76">
        <f t="shared" si="90"/>
        <v>0.63625257238386568</v>
      </c>
      <c r="N124" s="76">
        <f t="shared" si="90"/>
        <v>0.64673420617447053</v>
      </c>
      <c r="O124" s="76">
        <f t="shared" si="90"/>
        <v>0.65357860194663797</v>
      </c>
      <c r="P124" s="76">
        <f t="shared" si="90"/>
        <v>0.65992334358633353</v>
      </c>
      <c r="Q124" s="76">
        <f t="shared" si="90"/>
        <v>0.66670452054696994</v>
      </c>
      <c r="R124" s="76">
        <f t="shared" si="90"/>
        <v>0.67640451649899058</v>
      </c>
      <c r="S124" s="76">
        <f t="shared" si="90"/>
        <v>0.68958358059888158</v>
      </c>
      <c r="T124" s="76">
        <f t="shared" si="90"/>
        <v>0.70287820835708026</v>
      </c>
      <c r="U124" s="76">
        <f t="shared" si="90"/>
        <v>0.71793550148684093</v>
      </c>
      <c r="V124" s="76">
        <f t="shared" si="90"/>
        <v>0.73087135854287466</v>
      </c>
      <c r="W124" s="76">
        <f t="shared" si="90"/>
        <v>0.74640551226849905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0.7495266268167049</v>
      </c>
      <c r="C125" s="56">
        <f t="shared" ref="C125:W125" si="92">IF(C111=0,"",C111/C104)</f>
        <v>0.74835452203091635</v>
      </c>
      <c r="D125" s="56">
        <f t="shared" si="92"/>
        <v>0.74034034861071207</v>
      </c>
      <c r="E125" s="56">
        <f t="shared" si="92"/>
        <v>0.73422307302291623</v>
      </c>
      <c r="F125" s="56">
        <f t="shared" si="92"/>
        <v>0.73349683729319282</v>
      </c>
      <c r="G125" s="56">
        <f t="shared" si="92"/>
        <v>0.723787060013381</v>
      </c>
      <c r="H125" s="56">
        <f t="shared" si="92"/>
        <v>0.71685408107162518</v>
      </c>
      <c r="I125" s="56">
        <f t="shared" si="92"/>
        <v>0.71066019095751021</v>
      </c>
      <c r="J125" s="56">
        <f t="shared" si="92"/>
        <v>0.70881614126024262</v>
      </c>
      <c r="K125" s="56">
        <f t="shared" si="92"/>
        <v>0.7067384884748098</v>
      </c>
      <c r="L125" s="56">
        <f t="shared" si="92"/>
        <v>0.70368887478111597</v>
      </c>
      <c r="M125" s="56">
        <f t="shared" si="92"/>
        <v>0.69872813160332892</v>
      </c>
      <c r="N125" s="56">
        <f t="shared" si="92"/>
        <v>0.69387489402513636</v>
      </c>
      <c r="O125" s="56">
        <f t="shared" si="92"/>
        <v>0.69201073554621617</v>
      </c>
      <c r="P125" s="56">
        <f t="shared" si="92"/>
        <v>0.69082771522764752</v>
      </c>
      <c r="Q125" s="56">
        <f t="shared" si="92"/>
        <v>0.6941761131578178</v>
      </c>
      <c r="R125" s="56">
        <f t="shared" si="92"/>
        <v>0.7001218226946927</v>
      </c>
      <c r="S125" s="56">
        <f t="shared" si="92"/>
        <v>0.70385598884080447</v>
      </c>
      <c r="T125" s="56">
        <f t="shared" si="92"/>
        <v>0.7064372965430249</v>
      </c>
      <c r="U125" s="56">
        <f t="shared" si="92"/>
        <v>0.70912220603031817</v>
      </c>
      <c r="V125" s="56">
        <f t="shared" si="92"/>
        <v>0.70588303570363731</v>
      </c>
      <c r="W125" s="56">
        <f t="shared" si="92"/>
        <v>0.7122467426724659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460.47685386122555</v>
      </c>
      <c r="C129" s="82">
        <f t="shared" ref="C129:W129" si="94">IF(C99=0,0,C99/C$26)</f>
        <v>476.39773503171727</v>
      </c>
      <c r="D129" s="82">
        <f t="shared" si="94"/>
        <v>431.81056209809509</v>
      </c>
      <c r="E129" s="82">
        <f t="shared" si="94"/>
        <v>432.27142558079794</v>
      </c>
      <c r="F129" s="82">
        <f t="shared" si="94"/>
        <v>489.57018298568994</v>
      </c>
      <c r="G129" s="82">
        <f t="shared" si="94"/>
        <v>472.50846647703315</v>
      </c>
      <c r="H129" s="82">
        <f t="shared" si="94"/>
        <v>423.71174382621251</v>
      </c>
      <c r="I129" s="82">
        <f t="shared" si="94"/>
        <v>364.98516917617746</v>
      </c>
      <c r="J129" s="82">
        <f t="shared" si="94"/>
        <v>359.8273454085313</v>
      </c>
      <c r="K129" s="82">
        <f t="shared" si="94"/>
        <v>382.8090190061223</v>
      </c>
      <c r="L129" s="82">
        <f t="shared" si="94"/>
        <v>401.85839400294191</v>
      </c>
      <c r="M129" s="82">
        <f t="shared" si="94"/>
        <v>400.75836727960046</v>
      </c>
      <c r="N129" s="82">
        <f t="shared" si="94"/>
        <v>306.70070568202829</v>
      </c>
      <c r="O129" s="82">
        <f t="shared" si="94"/>
        <v>301.67763153013482</v>
      </c>
      <c r="P129" s="82">
        <f t="shared" si="94"/>
        <v>264.69090215550415</v>
      </c>
      <c r="Q129" s="82">
        <f t="shared" si="94"/>
        <v>276.85767382037471</v>
      </c>
      <c r="R129" s="82">
        <f t="shared" si="94"/>
        <v>272.65634751455815</v>
      </c>
      <c r="S129" s="82">
        <f t="shared" si="94"/>
        <v>265.29892525691787</v>
      </c>
      <c r="T129" s="82">
        <f t="shared" si="94"/>
        <v>255.045632194896</v>
      </c>
      <c r="U129" s="82">
        <f t="shared" si="94"/>
        <v>246.43343365429999</v>
      </c>
      <c r="V129" s="82">
        <f t="shared" si="94"/>
        <v>238.0184567969095</v>
      </c>
      <c r="W129" s="82">
        <f t="shared" si="94"/>
        <v>245.27531206327325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410.03934749507124</v>
      </c>
      <c r="C130" s="64">
        <f t="shared" ref="C130:W130" si="96">IF(C100=0,0,C100/C$26)</f>
        <v>424.80689684983867</v>
      </c>
      <c r="D130" s="64">
        <f t="shared" si="96"/>
        <v>379.36054282098718</v>
      </c>
      <c r="E130" s="64">
        <f t="shared" si="96"/>
        <v>379.38159670786052</v>
      </c>
      <c r="F130" s="64">
        <f t="shared" si="96"/>
        <v>435.2028726854474</v>
      </c>
      <c r="G130" s="64">
        <f t="shared" si="96"/>
        <v>416.72904361845224</v>
      </c>
      <c r="H130" s="64">
        <f t="shared" si="96"/>
        <v>366.51062793525728</v>
      </c>
      <c r="I130" s="64">
        <f t="shared" si="96"/>
        <v>306.68791682409585</v>
      </c>
      <c r="J130" s="64">
        <f t="shared" si="96"/>
        <v>300.5243917589595</v>
      </c>
      <c r="K130" s="64">
        <f t="shared" si="96"/>
        <v>322.58236543844083</v>
      </c>
      <c r="L130" s="64">
        <f t="shared" si="96"/>
        <v>341.52853744048167</v>
      </c>
      <c r="M130" s="64">
        <f t="shared" si="96"/>
        <v>340.42380220377288</v>
      </c>
      <c r="N130" s="64">
        <f t="shared" si="96"/>
        <v>248.69541903035648</v>
      </c>
      <c r="O130" s="64">
        <f t="shared" si="96"/>
        <v>244.85428583100909</v>
      </c>
      <c r="P130" s="64">
        <f t="shared" si="96"/>
        <v>209.7282502515142</v>
      </c>
      <c r="Q130" s="64">
        <f t="shared" si="96"/>
        <v>222.20899103239816</v>
      </c>
      <c r="R130" s="64">
        <f t="shared" si="96"/>
        <v>219.40410565624327</v>
      </c>
      <c r="S130" s="64">
        <f t="shared" si="96"/>
        <v>212.95558977953007</v>
      </c>
      <c r="T130" s="64">
        <f t="shared" si="96"/>
        <v>204.38894511248861</v>
      </c>
      <c r="U130" s="64">
        <f t="shared" si="96"/>
        <v>197.54192649605901</v>
      </c>
      <c r="V130" s="64">
        <f t="shared" si="96"/>
        <v>192.27416494472806</v>
      </c>
      <c r="W130" s="64">
        <f t="shared" si="96"/>
        <v>200.19751915951983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347.10035905826493</v>
      </c>
      <c r="C131" s="65">
        <f t="shared" ref="C131:W131" si="98">IF(C101=0,0,C101/C$26)</f>
        <v>362.32177211573253</v>
      </c>
      <c r="D131" s="65">
        <f t="shared" si="98"/>
        <v>316.3966871201547</v>
      </c>
      <c r="E131" s="65">
        <f t="shared" si="98"/>
        <v>316.57733583899449</v>
      </c>
      <c r="F131" s="65">
        <f t="shared" si="98"/>
        <v>372.94811602841622</v>
      </c>
      <c r="G131" s="65">
        <f t="shared" si="98"/>
        <v>355.03085601020848</v>
      </c>
      <c r="H131" s="65">
        <f t="shared" si="98"/>
        <v>304.4598339334421</v>
      </c>
      <c r="I131" s="65">
        <f t="shared" si="98"/>
        <v>245.27730984172487</v>
      </c>
      <c r="J131" s="65">
        <f t="shared" si="98"/>
        <v>238.981548227394</v>
      </c>
      <c r="K131" s="65">
        <f t="shared" si="98"/>
        <v>260.39530867000212</v>
      </c>
      <c r="L131" s="65">
        <f t="shared" si="98"/>
        <v>278.57144662302403</v>
      </c>
      <c r="M131" s="65">
        <f t="shared" si="98"/>
        <v>277.758884518922</v>
      </c>
      <c r="N131" s="65">
        <f t="shared" si="98"/>
        <v>185.56597432992052</v>
      </c>
      <c r="O131" s="65">
        <f t="shared" si="98"/>
        <v>182.88495608667617</v>
      </c>
      <c r="P131" s="65">
        <f t="shared" si="98"/>
        <v>149.96127353510386</v>
      </c>
      <c r="Q131" s="65">
        <f t="shared" si="98"/>
        <v>161.73969489360499</v>
      </c>
      <c r="R131" s="65">
        <f t="shared" si="98"/>
        <v>160.66898077688828</v>
      </c>
      <c r="S131" s="65">
        <f t="shared" si="98"/>
        <v>155.14570518341159</v>
      </c>
      <c r="T131" s="65">
        <f t="shared" si="98"/>
        <v>146.80763246409413</v>
      </c>
      <c r="U131" s="65">
        <f t="shared" si="98"/>
        <v>141.19394988312703</v>
      </c>
      <c r="V131" s="65">
        <f t="shared" si="98"/>
        <v>140.56453768609973</v>
      </c>
      <c r="W131" s="65">
        <f t="shared" si="98"/>
        <v>146.50150796709647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2.274569650902285</v>
      </c>
      <c r="C132" s="65">
        <f t="shared" ref="C132:W132" si="100">IF(C102=0,0,C102/C$26)</f>
        <v>2.0481854790801819</v>
      </c>
      <c r="D132" s="65">
        <f t="shared" si="100"/>
        <v>2.1693920011648613</v>
      </c>
      <c r="E132" s="65">
        <f t="shared" si="100"/>
        <v>2.4324259492290645</v>
      </c>
      <c r="F132" s="65">
        <f t="shared" si="100"/>
        <v>1.9600317888076475</v>
      </c>
      <c r="G132" s="65">
        <f t="shared" si="100"/>
        <v>1.9316565248330884</v>
      </c>
      <c r="H132" s="65">
        <f t="shared" si="100"/>
        <v>2.165893319136329</v>
      </c>
      <c r="I132" s="65">
        <f t="shared" si="100"/>
        <v>2.3663129894558472</v>
      </c>
      <c r="J132" s="65">
        <f t="shared" si="100"/>
        <v>2.0293409041535773</v>
      </c>
      <c r="K132" s="65">
        <f t="shared" si="100"/>
        <v>2.1239092997721709</v>
      </c>
      <c r="L132" s="65">
        <f t="shared" si="100"/>
        <v>2.2833829119737881</v>
      </c>
      <c r="M132" s="65">
        <f t="shared" si="100"/>
        <v>2.2431287680710086</v>
      </c>
      <c r="N132" s="65">
        <f t="shared" si="100"/>
        <v>2.8568493785266291</v>
      </c>
      <c r="O132" s="65">
        <f t="shared" si="100"/>
        <v>2.3083979452340078</v>
      </c>
      <c r="P132" s="65">
        <f t="shared" si="100"/>
        <v>2.0137660520436729</v>
      </c>
      <c r="Q132" s="65">
        <f t="shared" si="100"/>
        <v>2.8882577489067356</v>
      </c>
      <c r="R132" s="65">
        <f t="shared" si="100"/>
        <v>1.9949835677276904</v>
      </c>
      <c r="S132" s="65">
        <f t="shared" si="100"/>
        <v>2.3391171509363682</v>
      </c>
      <c r="T132" s="65">
        <f t="shared" si="100"/>
        <v>2.2265754793960455</v>
      </c>
      <c r="U132" s="65">
        <f t="shared" si="100"/>
        <v>2.3884165849851722</v>
      </c>
      <c r="V132" s="65">
        <f t="shared" si="100"/>
        <v>1.9342036486368137</v>
      </c>
      <c r="W132" s="65">
        <f t="shared" si="100"/>
        <v>2.4101774591820089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30.672562984684181</v>
      </c>
      <c r="C133" s="65">
        <f t="shared" ref="C133:W133" si="102">IF(C103=0,0,C103/C$26)</f>
        <v>30.547759756332567</v>
      </c>
      <c r="D133" s="65">
        <f t="shared" si="102"/>
        <v>30.846251632663719</v>
      </c>
      <c r="E133" s="65">
        <f t="shared" si="102"/>
        <v>30.348195361955064</v>
      </c>
      <c r="F133" s="65">
        <f t="shared" si="102"/>
        <v>30.762088681613552</v>
      </c>
      <c r="G133" s="65">
        <f t="shared" si="102"/>
        <v>30.167888035956683</v>
      </c>
      <c r="H133" s="65">
        <f t="shared" si="102"/>
        <v>29.910595211479507</v>
      </c>
      <c r="I133" s="65">
        <f t="shared" si="102"/>
        <v>29.585667558375143</v>
      </c>
      <c r="J133" s="65">
        <f t="shared" si="102"/>
        <v>29.870425661266914</v>
      </c>
      <c r="K133" s="65">
        <f t="shared" si="102"/>
        <v>30.136368286087194</v>
      </c>
      <c r="L133" s="65">
        <f t="shared" si="102"/>
        <v>29.953354449861049</v>
      </c>
      <c r="M133" s="65">
        <f t="shared" si="102"/>
        <v>29.757346861536618</v>
      </c>
      <c r="N133" s="65">
        <f t="shared" si="102"/>
        <v>29.55622600157016</v>
      </c>
      <c r="O133" s="65">
        <f t="shared" si="102"/>
        <v>29.168793013653399</v>
      </c>
      <c r="P133" s="65">
        <f t="shared" si="102"/>
        <v>28.279923033505586</v>
      </c>
      <c r="Q133" s="65">
        <f t="shared" si="102"/>
        <v>28.092182919608931</v>
      </c>
      <c r="R133" s="65">
        <f t="shared" si="102"/>
        <v>27.873116477463601</v>
      </c>
      <c r="S133" s="65">
        <f t="shared" si="102"/>
        <v>27.270029841100182</v>
      </c>
      <c r="T133" s="65">
        <f t="shared" si="102"/>
        <v>26.914982479635281</v>
      </c>
      <c r="U133" s="65">
        <f t="shared" si="102"/>
        <v>25.969636220438343</v>
      </c>
      <c r="V133" s="65">
        <f t="shared" si="102"/>
        <v>23.214088277831916</v>
      </c>
      <c r="W133" s="65">
        <f t="shared" si="102"/>
        <v>23.427248875586475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29.991855801219863</v>
      </c>
      <c r="C134" s="67">
        <f t="shared" ref="C134:W134" si="104">IF(C104=0,0,C104/C$26)</f>
        <v>29.889179498693373</v>
      </c>
      <c r="D134" s="67">
        <f t="shared" si="104"/>
        <v>29.94821206700388</v>
      </c>
      <c r="E134" s="67">
        <f t="shared" si="104"/>
        <v>30.023639557681857</v>
      </c>
      <c r="F134" s="67">
        <f t="shared" si="104"/>
        <v>29.532636186609949</v>
      </c>
      <c r="G134" s="67">
        <f t="shared" si="104"/>
        <v>29.598643047454029</v>
      </c>
      <c r="H134" s="67">
        <f t="shared" si="104"/>
        <v>29.974305471199322</v>
      </c>
      <c r="I134" s="67">
        <f t="shared" si="104"/>
        <v>29.458626434539941</v>
      </c>
      <c r="J134" s="67">
        <f t="shared" si="104"/>
        <v>29.64307696614495</v>
      </c>
      <c r="K134" s="67">
        <f t="shared" si="104"/>
        <v>29.926779182579324</v>
      </c>
      <c r="L134" s="67">
        <f t="shared" si="104"/>
        <v>30.720353455622771</v>
      </c>
      <c r="M134" s="67">
        <f t="shared" si="104"/>
        <v>30.664442055243207</v>
      </c>
      <c r="N134" s="67">
        <f t="shared" si="104"/>
        <v>30.716369320339183</v>
      </c>
      <c r="O134" s="67">
        <f t="shared" si="104"/>
        <v>30.492138785445533</v>
      </c>
      <c r="P134" s="67">
        <f t="shared" si="104"/>
        <v>29.473287630861087</v>
      </c>
      <c r="Q134" s="67">
        <f t="shared" si="104"/>
        <v>29.488855470277468</v>
      </c>
      <c r="R134" s="67">
        <f t="shared" si="104"/>
        <v>28.867024834163729</v>
      </c>
      <c r="S134" s="67">
        <f t="shared" si="104"/>
        <v>28.200737604081926</v>
      </c>
      <c r="T134" s="67">
        <f t="shared" si="104"/>
        <v>28.439754689363181</v>
      </c>
      <c r="U134" s="67">
        <f t="shared" si="104"/>
        <v>27.989923807508475</v>
      </c>
      <c r="V134" s="67">
        <f t="shared" si="104"/>
        <v>26.561335332159622</v>
      </c>
      <c r="W134" s="67">
        <f t="shared" si="104"/>
        <v>27.858584857654876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50.437506366154288</v>
      </c>
      <c r="C135" s="68">
        <f t="shared" ref="C135:W135" si="106">IF(C105=0,0,C105/C$26)</f>
        <v>51.590838181878645</v>
      </c>
      <c r="D135" s="68">
        <f t="shared" si="106"/>
        <v>52.450019277108019</v>
      </c>
      <c r="E135" s="68">
        <f t="shared" si="106"/>
        <v>52.889828872937443</v>
      </c>
      <c r="F135" s="68">
        <f t="shared" si="106"/>
        <v>54.367310300242458</v>
      </c>
      <c r="G135" s="68">
        <f t="shared" si="106"/>
        <v>55.779422858580887</v>
      </c>
      <c r="H135" s="68">
        <f t="shared" si="106"/>
        <v>57.201115890955258</v>
      </c>
      <c r="I135" s="68">
        <f t="shared" si="106"/>
        <v>58.2972523520816</v>
      </c>
      <c r="J135" s="68">
        <f t="shared" si="106"/>
        <v>59.302953649571826</v>
      </c>
      <c r="K135" s="68">
        <f t="shared" si="106"/>
        <v>60.226653567681545</v>
      </c>
      <c r="L135" s="68">
        <f t="shared" si="106"/>
        <v>60.329856562460229</v>
      </c>
      <c r="M135" s="68">
        <f t="shared" si="106"/>
        <v>60.334565075827527</v>
      </c>
      <c r="N135" s="68">
        <f t="shared" si="106"/>
        <v>58.005286651671767</v>
      </c>
      <c r="O135" s="68">
        <f t="shared" si="106"/>
        <v>56.823345699125674</v>
      </c>
      <c r="P135" s="68">
        <f t="shared" si="106"/>
        <v>54.962651903989872</v>
      </c>
      <c r="Q135" s="68">
        <f t="shared" si="106"/>
        <v>54.648682787976547</v>
      </c>
      <c r="R135" s="68">
        <f t="shared" si="106"/>
        <v>53.252241858314868</v>
      </c>
      <c r="S135" s="68">
        <f t="shared" si="106"/>
        <v>52.343335477387818</v>
      </c>
      <c r="T135" s="68">
        <f t="shared" si="106"/>
        <v>50.656687082407394</v>
      </c>
      <c r="U135" s="68">
        <f t="shared" si="106"/>
        <v>48.891507158240934</v>
      </c>
      <c r="V135" s="68">
        <f t="shared" si="106"/>
        <v>45.744291852181476</v>
      </c>
      <c r="W135" s="68">
        <f t="shared" si="106"/>
        <v>45.077792903753469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236.67489613300975</v>
      </c>
      <c r="C137" s="85">
        <f t="shared" ref="C137:W137" si="108">IF(C107=0,0,C107/C$26)</f>
        <v>247.34170658940184</v>
      </c>
      <c r="D137" s="85">
        <f t="shared" si="108"/>
        <v>223.77659957973651</v>
      </c>
      <c r="E137" s="85">
        <f t="shared" si="108"/>
        <v>226.56711817910639</v>
      </c>
      <c r="F137" s="85">
        <f t="shared" si="108"/>
        <v>257.46270131157377</v>
      </c>
      <c r="G137" s="85">
        <f t="shared" si="108"/>
        <v>252.16911690646771</v>
      </c>
      <c r="H137" s="85">
        <f t="shared" si="108"/>
        <v>226.28695633824378</v>
      </c>
      <c r="I137" s="85">
        <f t="shared" si="108"/>
        <v>196.13645254361415</v>
      </c>
      <c r="J137" s="85">
        <f t="shared" si="108"/>
        <v>195.15156423515214</v>
      </c>
      <c r="K137" s="85">
        <f t="shared" si="108"/>
        <v>210.9163563818054</v>
      </c>
      <c r="L137" s="85">
        <f t="shared" si="108"/>
        <v>225.73104762464789</v>
      </c>
      <c r="M137" s="85">
        <f t="shared" si="108"/>
        <v>228.76372117945593</v>
      </c>
      <c r="N137" s="85">
        <f t="shared" si="108"/>
        <v>170.90894126738092</v>
      </c>
      <c r="O137" s="85">
        <f t="shared" si="108"/>
        <v>170.16624812007831</v>
      </c>
      <c r="P137" s="85">
        <f t="shared" si="108"/>
        <v>146.62488495212946</v>
      </c>
      <c r="Q137" s="85">
        <f t="shared" si="108"/>
        <v>158.82511346341988</v>
      </c>
      <c r="R137" s="85">
        <f t="shared" si="108"/>
        <v>157.06731151616006</v>
      </c>
      <c r="S137" s="85">
        <f t="shared" si="108"/>
        <v>155.91493600622195</v>
      </c>
      <c r="T137" s="85">
        <f t="shared" si="108"/>
        <v>151.90147880154322</v>
      </c>
      <c r="U137" s="85">
        <f t="shared" si="108"/>
        <v>149.39829838317985</v>
      </c>
      <c r="V137" s="85">
        <f t="shared" si="108"/>
        <v>145.97562335021496</v>
      </c>
      <c r="W137" s="85">
        <f t="shared" si="108"/>
        <v>154.77899562808074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192.19131594698894</v>
      </c>
      <c r="C138" s="65">
        <f t="shared" ref="C138:W138" si="110">IF(C108=0,0,C108/C$26)</f>
        <v>203.21291129775017</v>
      </c>
      <c r="D138" s="65">
        <f t="shared" si="110"/>
        <v>179.19782970493947</v>
      </c>
      <c r="E138" s="65">
        <f t="shared" si="110"/>
        <v>181.63191675856783</v>
      </c>
      <c r="F138" s="65">
        <f t="shared" si="110"/>
        <v>213.31448857944429</v>
      </c>
      <c r="G138" s="65">
        <f t="shared" si="110"/>
        <v>208.31602528057223</v>
      </c>
      <c r="H138" s="65">
        <f t="shared" si="110"/>
        <v>181.64684269062874</v>
      </c>
      <c r="I138" s="65">
        <f t="shared" si="110"/>
        <v>151.41165116108016</v>
      </c>
      <c r="J138" s="65">
        <f t="shared" si="110"/>
        <v>150.59046598733579</v>
      </c>
      <c r="K138" s="65">
        <f t="shared" si="110"/>
        <v>165.63888405435097</v>
      </c>
      <c r="L138" s="65">
        <f t="shared" si="110"/>
        <v>179.41906442663631</v>
      </c>
      <c r="M138" s="65">
        <f t="shared" si="110"/>
        <v>182.49069125671616</v>
      </c>
      <c r="N138" s="65">
        <f t="shared" si="110"/>
        <v>122.72364285083962</v>
      </c>
      <c r="O138" s="65">
        <f t="shared" si="110"/>
        <v>123.55294454138601</v>
      </c>
      <c r="P138" s="65">
        <f t="shared" si="110"/>
        <v>101.78390445904928</v>
      </c>
      <c r="Q138" s="65">
        <f t="shared" si="110"/>
        <v>110.99477450268796</v>
      </c>
      <c r="R138" s="65">
        <f t="shared" si="110"/>
        <v>111.83094586945748</v>
      </c>
      <c r="S138" s="65">
        <f t="shared" si="110"/>
        <v>109.80364591828111</v>
      </c>
      <c r="T138" s="65">
        <f t="shared" si="110"/>
        <v>105.57818183354023</v>
      </c>
      <c r="U138" s="65">
        <f t="shared" si="110"/>
        <v>102.87498566838671</v>
      </c>
      <c r="V138" s="65">
        <f t="shared" si="110"/>
        <v>103.60704714106008</v>
      </c>
      <c r="W138" s="65">
        <f t="shared" si="110"/>
        <v>108.97823590746464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3.9315051204912872</v>
      </c>
      <c r="C139" s="65">
        <f t="shared" ref="C139:W139" si="112">IF(C109=0,0,C109/C$26)</f>
        <v>3.6638903035420607</v>
      </c>
      <c r="D139" s="65">
        <f t="shared" si="112"/>
        <v>4.0459862766072234</v>
      </c>
      <c r="E139" s="65">
        <f t="shared" si="112"/>
        <v>4.7275424175979373</v>
      </c>
      <c r="F139" s="65">
        <f t="shared" si="112"/>
        <v>3.9864284389980158</v>
      </c>
      <c r="G139" s="65">
        <f t="shared" si="112"/>
        <v>4.1066226905362377</v>
      </c>
      <c r="H139" s="65">
        <f t="shared" si="112"/>
        <v>4.8405094765601202</v>
      </c>
      <c r="I139" s="65">
        <f t="shared" si="112"/>
        <v>5.5652784659320549</v>
      </c>
      <c r="J139" s="65">
        <f t="shared" si="112"/>
        <v>5.0342048774275305</v>
      </c>
      <c r="K139" s="65">
        <f t="shared" si="112"/>
        <v>5.346001325715136</v>
      </c>
      <c r="L139" s="65">
        <f t="shared" si="112"/>
        <v>5.8634376659410137</v>
      </c>
      <c r="M139" s="65">
        <f t="shared" si="112"/>
        <v>5.9137331308494856</v>
      </c>
      <c r="N139" s="65">
        <f t="shared" si="112"/>
        <v>7.7569585489152644</v>
      </c>
      <c r="O139" s="65">
        <f t="shared" si="112"/>
        <v>6.4483172310643653</v>
      </c>
      <c r="P139" s="65">
        <f t="shared" si="112"/>
        <v>5.8174351741699795</v>
      </c>
      <c r="Q139" s="65">
        <f t="shared" si="112"/>
        <v>8.6306945443663974</v>
      </c>
      <c r="R139" s="65">
        <f t="shared" si="112"/>
        <v>6.1724297297761135</v>
      </c>
      <c r="S139" s="65">
        <f t="shared" si="112"/>
        <v>7.4570672147154919</v>
      </c>
      <c r="T139" s="65">
        <f t="shared" si="112"/>
        <v>7.3144388876541724</v>
      </c>
      <c r="U139" s="65">
        <f t="shared" si="112"/>
        <v>8.0305123944409704</v>
      </c>
      <c r="V139" s="65">
        <f t="shared" si="112"/>
        <v>6.6528679555945427</v>
      </c>
      <c r="W139" s="65">
        <f t="shared" si="112"/>
        <v>8.4723457022631976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18.072380554868147</v>
      </c>
      <c r="C140" s="65">
        <f t="shared" ref="C140:W140" si="114">IF(C110=0,0,C110/C$26)</f>
        <v>18.097202350468656</v>
      </c>
      <c r="D140" s="65">
        <f t="shared" si="114"/>
        <v>18.360913836236637</v>
      </c>
      <c r="E140" s="65">
        <f t="shared" si="114"/>
        <v>18.163610103567038</v>
      </c>
      <c r="F140" s="65">
        <f t="shared" si="114"/>
        <v>18.499689053322559</v>
      </c>
      <c r="G140" s="65">
        <f t="shared" si="114"/>
        <v>18.32335410365695</v>
      </c>
      <c r="H140" s="65">
        <f t="shared" si="114"/>
        <v>18.31240096673816</v>
      </c>
      <c r="I140" s="65">
        <f t="shared" si="114"/>
        <v>18.22444982928582</v>
      </c>
      <c r="J140" s="65">
        <f t="shared" si="114"/>
        <v>18.515401940165578</v>
      </c>
      <c r="K140" s="65">
        <f t="shared" si="114"/>
        <v>18.781064317323782</v>
      </c>
      <c r="L140" s="65">
        <f t="shared" si="114"/>
        <v>18.830974576005186</v>
      </c>
      <c r="M140" s="65">
        <f t="shared" si="114"/>
        <v>18.933188487971627</v>
      </c>
      <c r="N140" s="65">
        <f t="shared" si="114"/>
        <v>19.115022360638722</v>
      </c>
      <c r="O140" s="65">
        <f t="shared" si="114"/>
        <v>19.064098958334451</v>
      </c>
      <c r="P140" s="65">
        <f t="shared" si="114"/>
        <v>18.662581364635177</v>
      </c>
      <c r="Q140" s="65">
        <f t="shared" si="114"/>
        <v>18.729185344535651</v>
      </c>
      <c r="R140" s="65">
        <f t="shared" si="114"/>
        <v>18.853501874258811</v>
      </c>
      <c r="S140" s="65">
        <f t="shared" si="114"/>
        <v>18.804964820864214</v>
      </c>
      <c r="T140" s="65">
        <f t="shared" si="114"/>
        <v>18.917954663248253</v>
      </c>
      <c r="U140" s="65">
        <f t="shared" si="114"/>
        <v>18.64452380335123</v>
      </c>
      <c r="V140" s="65">
        <f t="shared" si="114"/>
        <v>16.966512236953236</v>
      </c>
      <c r="W140" s="65">
        <f t="shared" si="114"/>
        <v>17.486227698023743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22.479694510661346</v>
      </c>
      <c r="C141" s="68">
        <f t="shared" ref="C141:W141" si="116">IF(C111=0,0,C111/C$26)</f>
        <v>22.367702637640946</v>
      </c>
      <c r="D141" s="68">
        <f t="shared" si="116"/>
        <v>22.171869761953186</v>
      </c>
      <c r="E141" s="68">
        <f t="shared" si="116"/>
        <v>22.044048899373564</v>
      </c>
      <c r="F141" s="68">
        <f t="shared" si="116"/>
        <v>21.662095239808899</v>
      </c>
      <c r="G141" s="68">
        <f t="shared" si="116"/>
        <v>21.423114831702254</v>
      </c>
      <c r="H141" s="68">
        <f t="shared" si="116"/>
        <v>21.487203204316778</v>
      </c>
      <c r="I141" s="68">
        <f t="shared" si="116"/>
        <v>20.935073087316113</v>
      </c>
      <c r="J141" s="68">
        <f t="shared" si="116"/>
        <v>21.011491430223245</v>
      </c>
      <c r="K141" s="68">
        <f t="shared" si="116"/>
        <v>21.150406684415515</v>
      </c>
      <c r="L141" s="68">
        <f t="shared" si="116"/>
        <v>21.617570956065357</v>
      </c>
      <c r="M141" s="68">
        <f t="shared" si="116"/>
        <v>21.426108303918628</v>
      </c>
      <c r="N141" s="68">
        <f t="shared" si="116"/>
        <v>21.3133175069873</v>
      </c>
      <c r="O141" s="68">
        <f t="shared" si="116"/>
        <v>21.100887389293469</v>
      </c>
      <c r="P141" s="68">
        <f t="shared" si="116"/>
        <v>20.36096395427505</v>
      </c>
      <c r="Q141" s="68">
        <f t="shared" si="116"/>
        <v>20.470459071829868</v>
      </c>
      <c r="R141" s="68">
        <f t="shared" si="116"/>
        <v>20.210434042667668</v>
      </c>
      <c r="S141" s="68">
        <f t="shared" si="116"/>
        <v>19.849258052361144</v>
      </c>
      <c r="T141" s="68">
        <f t="shared" si="116"/>
        <v>20.090903417100542</v>
      </c>
      <c r="U141" s="68">
        <f t="shared" si="116"/>
        <v>19.848276517000929</v>
      </c>
      <c r="V141" s="68">
        <f t="shared" si="116"/>
        <v>18.749196016607112</v>
      </c>
      <c r="W141" s="68">
        <f t="shared" si="116"/>
        <v>19.842186320329169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58.730803834370512</v>
      </c>
      <c r="C143" s="82">
        <f t="shared" ref="C143:W143" si="118">IF(C113=0,0,C113/C$26)</f>
        <v>61.434439430774539</v>
      </c>
      <c r="D143" s="82">
        <f t="shared" si="118"/>
        <v>55.083131119263484</v>
      </c>
      <c r="E143" s="82">
        <f t="shared" si="118"/>
        <v>55.855675885020993</v>
      </c>
      <c r="F143" s="82">
        <f t="shared" si="118"/>
        <v>68.510515209956935</v>
      </c>
      <c r="G143" s="82">
        <f t="shared" si="118"/>
        <v>63.503093001021867</v>
      </c>
      <c r="H143" s="82">
        <f t="shared" si="118"/>
        <v>54.061498253116014</v>
      </c>
      <c r="I143" s="82">
        <f t="shared" si="118"/>
        <v>41.155450743419529</v>
      </c>
      <c r="J143" s="82">
        <f t="shared" si="118"/>
        <v>38.970780438843107</v>
      </c>
      <c r="K143" s="82">
        <f t="shared" si="118"/>
        <v>42.563315973980387</v>
      </c>
      <c r="L143" s="82">
        <f t="shared" si="118"/>
        <v>46.435683071587334</v>
      </c>
      <c r="M143" s="82">
        <f t="shared" si="118"/>
        <v>46.427960493718579</v>
      </c>
      <c r="N143" s="82">
        <f t="shared" si="118"/>
        <v>37.688964410213011</v>
      </c>
      <c r="O143" s="82">
        <f t="shared" si="118"/>
        <v>37.586521640544539</v>
      </c>
      <c r="P143" s="82">
        <f t="shared" si="118"/>
        <v>32.519289370221522</v>
      </c>
      <c r="Q143" s="82">
        <f t="shared" si="118"/>
        <v>33.541904541846627</v>
      </c>
      <c r="R143" s="82">
        <f t="shared" si="118"/>
        <v>32.340004504530327</v>
      </c>
      <c r="S143" s="82">
        <f t="shared" si="118"/>
        <v>30.352787042924561</v>
      </c>
      <c r="T143" s="82">
        <f t="shared" si="118"/>
        <v>28.572768932607008</v>
      </c>
      <c r="U143" s="82">
        <f t="shared" si="118"/>
        <v>27.08757198824885</v>
      </c>
      <c r="V143" s="82">
        <f t="shared" si="118"/>
        <v>27.038860572478391</v>
      </c>
      <c r="W143" s="82">
        <f t="shared" si="118"/>
        <v>28.001503350183633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58.730803834370512</v>
      </c>
      <c r="C144" s="64">
        <f t="shared" ref="C144:W144" si="120">IF(C114=0,0,C114/C$26)</f>
        <v>61.434439430774539</v>
      </c>
      <c r="D144" s="64">
        <f t="shared" si="120"/>
        <v>55.083131119263484</v>
      </c>
      <c r="E144" s="64">
        <f t="shared" si="120"/>
        <v>55.855675885020993</v>
      </c>
      <c r="F144" s="64">
        <f t="shared" si="120"/>
        <v>68.510515209956935</v>
      </c>
      <c r="G144" s="64">
        <f t="shared" si="120"/>
        <v>63.503093001021867</v>
      </c>
      <c r="H144" s="64">
        <f t="shared" si="120"/>
        <v>54.061498253116014</v>
      </c>
      <c r="I144" s="64">
        <f t="shared" si="120"/>
        <v>41.155450743419529</v>
      </c>
      <c r="J144" s="64">
        <f t="shared" si="120"/>
        <v>38.970780438843107</v>
      </c>
      <c r="K144" s="64">
        <f t="shared" si="120"/>
        <v>42.563315973980387</v>
      </c>
      <c r="L144" s="64">
        <f t="shared" si="120"/>
        <v>46.435683071587334</v>
      </c>
      <c r="M144" s="64">
        <f t="shared" si="120"/>
        <v>46.427960493718579</v>
      </c>
      <c r="N144" s="64">
        <f t="shared" si="120"/>
        <v>37.688964410213011</v>
      </c>
      <c r="O144" s="64">
        <f t="shared" si="120"/>
        <v>37.586521640544539</v>
      </c>
      <c r="P144" s="64">
        <f t="shared" si="120"/>
        <v>32.519289370221522</v>
      </c>
      <c r="Q144" s="64">
        <f t="shared" si="120"/>
        <v>33.541904541846627</v>
      </c>
      <c r="R144" s="64">
        <f t="shared" si="120"/>
        <v>32.340004504530327</v>
      </c>
      <c r="S144" s="64">
        <f t="shared" si="120"/>
        <v>30.352787042924561</v>
      </c>
      <c r="T144" s="64">
        <f t="shared" si="120"/>
        <v>28.572768932607008</v>
      </c>
      <c r="U144" s="64">
        <f t="shared" si="120"/>
        <v>27.08757198824885</v>
      </c>
      <c r="V144" s="64">
        <f t="shared" si="120"/>
        <v>27.038860572478391</v>
      </c>
      <c r="W144" s="64">
        <f t="shared" si="120"/>
        <v>28.001503350183633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53.655679663961443</v>
      </c>
      <c r="C145" s="65">
        <f t="shared" ref="C145:W145" si="122">IF(C115=0,0,C115/C$26)</f>
        <v>56.324071643181071</v>
      </c>
      <c r="D145" s="65">
        <f t="shared" si="122"/>
        <v>49.593667938522096</v>
      </c>
      <c r="E145" s="65">
        <f t="shared" si="122"/>
        <v>50.116161909025259</v>
      </c>
      <c r="F145" s="65">
        <f t="shared" si="122"/>
        <v>62.667913326693032</v>
      </c>
      <c r="G145" s="65">
        <f t="shared" si="122"/>
        <v>57.41851455409374</v>
      </c>
      <c r="H145" s="65">
        <f t="shared" si="122"/>
        <v>47.716994169903927</v>
      </c>
      <c r="I145" s="65">
        <f t="shared" si="122"/>
        <v>34.548391231594508</v>
      </c>
      <c r="J145" s="65">
        <f t="shared" si="122"/>
        <v>32.087659360554063</v>
      </c>
      <c r="K145" s="65">
        <f t="shared" si="122"/>
        <v>35.310766247572474</v>
      </c>
      <c r="L145" s="65">
        <f t="shared" si="122"/>
        <v>38.861518282017819</v>
      </c>
      <c r="M145" s="65">
        <f t="shared" si="122"/>
        <v>38.709278090604094</v>
      </c>
      <c r="N145" s="65">
        <f t="shared" si="122"/>
        <v>29.843058106277891</v>
      </c>
      <c r="O145" s="65">
        <f t="shared" si="122"/>
        <v>29.442911174762202</v>
      </c>
      <c r="P145" s="65">
        <f t="shared" si="122"/>
        <v>24.511149590900892</v>
      </c>
      <c r="Q145" s="65">
        <f t="shared" si="122"/>
        <v>25.599796084103346</v>
      </c>
      <c r="R145" s="65">
        <f t="shared" si="122"/>
        <v>24.66510576571282</v>
      </c>
      <c r="S145" s="65">
        <f t="shared" si="122"/>
        <v>22.889448546039873</v>
      </c>
      <c r="T145" s="65">
        <f t="shared" si="122"/>
        <v>21.072646797054514</v>
      </c>
      <c r="U145" s="65">
        <f t="shared" si="122"/>
        <v>19.838174225693873</v>
      </c>
      <c r="V145" s="65">
        <f t="shared" si="122"/>
        <v>20.177841018099567</v>
      </c>
      <c r="W145" s="65">
        <f t="shared" si="122"/>
        <v>21.143097105773837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1.7918606297758512E-3</v>
      </c>
      <c r="C146" s="65">
        <f t="shared" ref="C146:W146" si="124">IF(C116=0,0,C116/C$26)</f>
        <v>1.8013988124551765E-3</v>
      </c>
      <c r="D146" s="65">
        <f t="shared" si="124"/>
        <v>2.1964206545643564E-3</v>
      </c>
      <c r="E146" s="65">
        <f t="shared" si="124"/>
        <v>2.717942693408353E-3</v>
      </c>
      <c r="F146" s="65">
        <f t="shared" si="124"/>
        <v>2.1631975896387709E-3</v>
      </c>
      <c r="G146" s="65">
        <f t="shared" si="124"/>
        <v>2.284106696628476E-3</v>
      </c>
      <c r="H146" s="65">
        <f t="shared" si="124"/>
        <v>2.8671149987859732E-3</v>
      </c>
      <c r="I146" s="65">
        <f t="shared" si="124"/>
        <v>3.443306423474686E-3</v>
      </c>
      <c r="J146" s="65">
        <f t="shared" si="124"/>
        <v>3.0302540114735136E-3</v>
      </c>
      <c r="K146" s="65">
        <f t="shared" si="124"/>
        <v>3.346173416121929E-3</v>
      </c>
      <c r="L146" s="65">
        <f t="shared" si="124"/>
        <v>4.047478364051971E-3</v>
      </c>
      <c r="M146" s="65">
        <f t="shared" si="124"/>
        <v>4.4962605654340054E-3</v>
      </c>
      <c r="N146" s="65">
        <f t="shared" si="124"/>
        <v>6.5251958993358412E-3</v>
      </c>
      <c r="O146" s="65">
        <f t="shared" si="124"/>
        <v>5.9083246328935973E-3</v>
      </c>
      <c r="P146" s="65">
        <f t="shared" si="124"/>
        <v>5.5231063829678561E-3</v>
      </c>
      <c r="Q146" s="65">
        <f t="shared" si="124"/>
        <v>8.7097388696731372E-3</v>
      </c>
      <c r="R146" s="65">
        <f t="shared" si="124"/>
        <v>6.4738278082982926E-3</v>
      </c>
      <c r="S146" s="65">
        <f t="shared" si="124"/>
        <v>8.8053460231310599E-3</v>
      </c>
      <c r="T146" s="65">
        <f t="shared" si="124"/>
        <v>9.0038048718785249E-3</v>
      </c>
      <c r="U146" s="65">
        <f t="shared" si="124"/>
        <v>1.1323041897763992E-2</v>
      </c>
      <c r="V146" s="65">
        <f t="shared" si="124"/>
        <v>8.8842029750042031E-3</v>
      </c>
      <c r="W146" s="65">
        <f t="shared" si="124"/>
        <v>1.1547010773566133E-2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2.8948688145773609</v>
      </c>
      <c r="C147" s="65">
        <f t="shared" ref="C147:W147" si="126">IF(C117=0,0,C117/C$26)</f>
        <v>2.8827903069122751</v>
      </c>
      <c r="D147" s="65">
        <f t="shared" si="126"/>
        <v>2.9636701015250333</v>
      </c>
      <c r="E147" s="65">
        <f t="shared" si="126"/>
        <v>2.9856468608444806</v>
      </c>
      <c r="F147" s="65">
        <f t="shared" si="126"/>
        <v>3.1070133873570391</v>
      </c>
      <c r="G147" s="65">
        <f t="shared" si="126"/>
        <v>3.010295844189935</v>
      </c>
      <c r="H147" s="65">
        <f t="shared" si="126"/>
        <v>2.9892347572058773</v>
      </c>
      <c r="I147" s="65">
        <f t="shared" si="126"/>
        <v>3.086794823957467</v>
      </c>
      <c r="J147" s="65">
        <f t="shared" si="126"/>
        <v>3.2532293883883319</v>
      </c>
      <c r="K147" s="65">
        <f t="shared" si="126"/>
        <v>3.4814132842794936</v>
      </c>
      <c r="L147" s="65">
        <f t="shared" si="126"/>
        <v>3.5722396378295915</v>
      </c>
      <c r="M147" s="65">
        <f t="shared" si="126"/>
        <v>3.576400388571066</v>
      </c>
      <c r="N147" s="65">
        <f t="shared" si="126"/>
        <v>3.5425681293792479</v>
      </c>
      <c r="O147" s="65">
        <f t="shared" si="126"/>
        <v>3.8148330376866864</v>
      </c>
      <c r="P147" s="65">
        <f t="shared" si="126"/>
        <v>3.7534261336030434</v>
      </c>
      <c r="Q147" s="65">
        <f t="shared" si="126"/>
        <v>3.7462675799642207</v>
      </c>
      <c r="R147" s="65">
        <f t="shared" si="126"/>
        <v>3.6992247163049106</v>
      </c>
      <c r="S147" s="65">
        <f t="shared" si="126"/>
        <v>3.6307097482540085</v>
      </c>
      <c r="T147" s="65">
        <f t="shared" si="126"/>
        <v>3.6416469770394269</v>
      </c>
      <c r="U147" s="65">
        <f t="shared" si="126"/>
        <v>3.4623154346738345</v>
      </c>
      <c r="V147" s="65">
        <f t="shared" si="126"/>
        <v>3.1326632324951666</v>
      </c>
      <c r="W147" s="65">
        <f t="shared" si="126"/>
        <v>3.0533868187881628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2.1784634952019402</v>
      </c>
      <c r="C148" s="67">
        <f t="shared" ref="C148:W148" si="128">IF(C118=0,0,C118/C$26)</f>
        <v>2.2257760818687404</v>
      </c>
      <c r="D148" s="67">
        <f t="shared" si="128"/>
        <v>2.5235966585617851</v>
      </c>
      <c r="E148" s="67">
        <f t="shared" si="128"/>
        <v>2.7511491724578363</v>
      </c>
      <c r="F148" s="67">
        <f t="shared" si="128"/>
        <v>2.7334252983172145</v>
      </c>
      <c r="G148" s="67">
        <f t="shared" si="128"/>
        <v>3.0719984960415623</v>
      </c>
      <c r="H148" s="67">
        <f t="shared" si="128"/>
        <v>3.3524022110074116</v>
      </c>
      <c r="I148" s="67">
        <f t="shared" si="128"/>
        <v>3.5168213814440761</v>
      </c>
      <c r="J148" s="67">
        <f t="shared" si="128"/>
        <v>3.6268614358892379</v>
      </c>
      <c r="K148" s="67">
        <f t="shared" si="128"/>
        <v>3.7677902687123042</v>
      </c>
      <c r="L148" s="67">
        <f t="shared" si="128"/>
        <v>3.9978776733758741</v>
      </c>
      <c r="M148" s="67">
        <f t="shared" si="128"/>
        <v>4.137785753977993</v>
      </c>
      <c r="N148" s="67">
        <f t="shared" si="128"/>
        <v>4.2968129786565283</v>
      </c>
      <c r="O148" s="67">
        <f t="shared" si="128"/>
        <v>4.3228691034627564</v>
      </c>
      <c r="P148" s="67">
        <f t="shared" si="128"/>
        <v>4.2491905393346174</v>
      </c>
      <c r="Q148" s="67">
        <f t="shared" si="128"/>
        <v>4.187131138909387</v>
      </c>
      <c r="R148" s="67">
        <f t="shared" si="128"/>
        <v>3.969200194704301</v>
      </c>
      <c r="S148" s="67">
        <f t="shared" si="128"/>
        <v>3.8238234026075468</v>
      </c>
      <c r="T148" s="67">
        <f t="shared" si="128"/>
        <v>3.8494713536411838</v>
      </c>
      <c r="U148" s="67">
        <f t="shared" si="128"/>
        <v>3.7757592859833804</v>
      </c>
      <c r="V148" s="67">
        <f t="shared" si="128"/>
        <v>3.7194721189086524</v>
      </c>
      <c r="W148" s="67">
        <f t="shared" si="128"/>
        <v>3.7934724148480647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14099.132931659942</v>
      </c>
      <c r="C153" s="82">
        <f t="shared" ref="C153:W153" si="132">IF(C99=0,0,C99/C$23)</f>
        <v>14717.068963882091</v>
      </c>
      <c r="D153" s="82">
        <f t="shared" si="132"/>
        <v>13622.810073527664</v>
      </c>
      <c r="E153" s="82">
        <f t="shared" si="132"/>
        <v>13656.884704663877</v>
      </c>
      <c r="F153" s="82">
        <f t="shared" si="132"/>
        <v>15562.291667101246</v>
      </c>
      <c r="G153" s="82">
        <f t="shared" si="132"/>
        <v>15411.938634520751</v>
      </c>
      <c r="H153" s="82">
        <f t="shared" si="132"/>
        <v>13816.381765680229</v>
      </c>
      <c r="I153" s="82">
        <f t="shared" si="132"/>
        <v>12169.397335096148</v>
      </c>
      <c r="J153" s="82">
        <f t="shared" si="132"/>
        <v>12023.193573428747</v>
      </c>
      <c r="K153" s="82">
        <f t="shared" si="132"/>
        <v>12492.00348392024</v>
      </c>
      <c r="L153" s="82">
        <f t="shared" si="132"/>
        <v>13074.473092610338</v>
      </c>
      <c r="M153" s="82">
        <f t="shared" si="132"/>
        <v>13087.40831607831</v>
      </c>
      <c r="N153" s="82">
        <f t="shared" si="132"/>
        <v>10147.62819899394</v>
      </c>
      <c r="O153" s="82">
        <f t="shared" si="132"/>
        <v>9708.6502963426628</v>
      </c>
      <c r="P153" s="82">
        <f t="shared" si="132"/>
        <v>8305.8071525260348</v>
      </c>
      <c r="Q153" s="82">
        <f t="shared" si="132"/>
        <v>8404.0814227238297</v>
      </c>
      <c r="R153" s="82">
        <f t="shared" si="132"/>
        <v>8106.1974426210836</v>
      </c>
      <c r="S153" s="82">
        <f t="shared" si="132"/>
        <v>7946.7558735879047</v>
      </c>
      <c r="T153" s="82">
        <f t="shared" si="132"/>
        <v>7622.3426247228908</v>
      </c>
      <c r="U153" s="82">
        <f t="shared" si="132"/>
        <v>7377.1407711145848</v>
      </c>
      <c r="V153" s="82">
        <f t="shared" si="132"/>
        <v>7299.6013796668431</v>
      </c>
      <c r="W153" s="82">
        <f t="shared" si="132"/>
        <v>7519.049072859144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12554.809691447381</v>
      </c>
      <c r="C154" s="64">
        <f t="shared" ref="C154:W154" si="134">IF(C100=0,0,C100/C$23)</f>
        <v>13123.304200544921</v>
      </c>
      <c r="D154" s="64">
        <f t="shared" si="134"/>
        <v>11968.110736176604</v>
      </c>
      <c r="E154" s="64">
        <f t="shared" si="134"/>
        <v>11985.920000030403</v>
      </c>
      <c r="F154" s="64">
        <f t="shared" si="134"/>
        <v>13834.081965096371</v>
      </c>
      <c r="G154" s="64">
        <f t="shared" si="134"/>
        <v>13592.565854652861</v>
      </c>
      <c r="H154" s="64">
        <f t="shared" si="134"/>
        <v>11951.1692336044</v>
      </c>
      <c r="I154" s="64">
        <f t="shared" si="134"/>
        <v>10225.640472267558</v>
      </c>
      <c r="J154" s="64">
        <f t="shared" si="134"/>
        <v>10041.657427543683</v>
      </c>
      <c r="K154" s="64">
        <f t="shared" si="134"/>
        <v>10526.659072376211</v>
      </c>
      <c r="L154" s="64">
        <f t="shared" si="134"/>
        <v>11111.639671489482</v>
      </c>
      <c r="M154" s="64">
        <f t="shared" si="134"/>
        <v>11117.08616390363</v>
      </c>
      <c r="N154" s="64">
        <f t="shared" si="134"/>
        <v>8228.4409535381728</v>
      </c>
      <c r="O154" s="64">
        <f t="shared" si="134"/>
        <v>7879.949940725176</v>
      </c>
      <c r="P154" s="64">
        <f t="shared" si="134"/>
        <v>6581.1192860811116</v>
      </c>
      <c r="Q154" s="64">
        <f t="shared" si="134"/>
        <v>6745.207484150118</v>
      </c>
      <c r="R154" s="64">
        <f t="shared" si="134"/>
        <v>6522.9840287369161</v>
      </c>
      <c r="S154" s="64">
        <f t="shared" si="134"/>
        <v>6378.8652074448191</v>
      </c>
      <c r="T154" s="64">
        <f t="shared" si="134"/>
        <v>6108.4071699081878</v>
      </c>
      <c r="U154" s="64">
        <f t="shared" si="134"/>
        <v>5913.5425674541757</v>
      </c>
      <c r="V154" s="64">
        <f t="shared" si="134"/>
        <v>5896.7055689399413</v>
      </c>
      <c r="W154" s="64">
        <f t="shared" si="134"/>
        <v>6137.1646341510723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10627.709214813711</v>
      </c>
      <c r="C155" s="65">
        <f t="shared" ref="C155:W155" si="136">IF(C101=0,0,C101/C$23)</f>
        <v>11192.9887890592</v>
      </c>
      <c r="D155" s="65">
        <f t="shared" si="136"/>
        <v>9981.7196587054914</v>
      </c>
      <c r="E155" s="65">
        <f t="shared" si="136"/>
        <v>10001.725582147425</v>
      </c>
      <c r="F155" s="65">
        <f t="shared" si="136"/>
        <v>11855.148781599264</v>
      </c>
      <c r="G155" s="65">
        <f t="shared" si="136"/>
        <v>11580.139096738629</v>
      </c>
      <c r="H155" s="65">
        <f t="shared" si="136"/>
        <v>9927.8185210400279</v>
      </c>
      <c r="I155" s="65">
        <f t="shared" si="136"/>
        <v>8178.0776119882448</v>
      </c>
      <c r="J155" s="65">
        <f t="shared" si="136"/>
        <v>7985.2780826132603</v>
      </c>
      <c r="K155" s="65">
        <f t="shared" si="136"/>
        <v>8497.3418639599222</v>
      </c>
      <c r="L155" s="65">
        <f t="shared" si="136"/>
        <v>9063.3291169117692</v>
      </c>
      <c r="M155" s="65">
        <f t="shared" si="136"/>
        <v>9070.6626034869878</v>
      </c>
      <c r="N155" s="65">
        <f t="shared" si="136"/>
        <v>6139.7136654662363</v>
      </c>
      <c r="O155" s="65">
        <f t="shared" si="136"/>
        <v>5885.6404901540091</v>
      </c>
      <c r="P155" s="65">
        <f t="shared" si="136"/>
        <v>4705.6752165891476</v>
      </c>
      <c r="Q155" s="65">
        <f t="shared" si="136"/>
        <v>4909.647424308936</v>
      </c>
      <c r="R155" s="65">
        <f t="shared" si="136"/>
        <v>4776.7620044591367</v>
      </c>
      <c r="S155" s="65">
        <f t="shared" si="136"/>
        <v>4647.2296965932183</v>
      </c>
      <c r="T155" s="65">
        <f t="shared" si="136"/>
        <v>4387.5210288275248</v>
      </c>
      <c r="U155" s="65">
        <f t="shared" si="136"/>
        <v>4226.7302324679968</v>
      </c>
      <c r="V155" s="65">
        <f t="shared" si="136"/>
        <v>4310.8635650939486</v>
      </c>
      <c r="W155" s="65">
        <f t="shared" si="136"/>
        <v>4491.0839920501157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69.644021412758079</v>
      </c>
      <c r="C156" s="65">
        <f t="shared" ref="C156:W156" si="138">IF(C102=0,0,C102/C$23)</f>
        <v>63.273363263236462</v>
      </c>
      <c r="D156" s="65">
        <f t="shared" si="138"/>
        <v>68.440232363249507</v>
      </c>
      <c r="E156" s="65">
        <f t="shared" si="138"/>
        <v>76.848384545937861</v>
      </c>
      <c r="F156" s="65">
        <f t="shared" si="138"/>
        <v>62.30482867275925</v>
      </c>
      <c r="G156" s="65">
        <f t="shared" si="138"/>
        <v>63.005372254311133</v>
      </c>
      <c r="H156" s="65">
        <f t="shared" si="138"/>
        <v>70.625394261428866</v>
      </c>
      <c r="I156" s="65">
        <f t="shared" si="138"/>
        <v>78.898008521511571</v>
      </c>
      <c r="J156" s="65">
        <f t="shared" si="138"/>
        <v>67.807960757995474</v>
      </c>
      <c r="K156" s="65">
        <f t="shared" si="138"/>
        <v>69.308404596027103</v>
      </c>
      <c r="L156" s="65">
        <f t="shared" si="138"/>
        <v>74.289921246509991</v>
      </c>
      <c r="M156" s="65">
        <f t="shared" si="138"/>
        <v>73.252973587462122</v>
      </c>
      <c r="N156" s="65">
        <f t="shared" si="138"/>
        <v>94.522916891722929</v>
      </c>
      <c r="O156" s="65">
        <f t="shared" si="138"/>
        <v>74.289327589189355</v>
      </c>
      <c r="P156" s="65">
        <f t="shared" si="138"/>
        <v>63.190507653912746</v>
      </c>
      <c r="Q156" s="65">
        <f t="shared" si="138"/>
        <v>87.673760155095692</v>
      </c>
      <c r="R156" s="65">
        <f t="shared" si="138"/>
        <v>59.311770447309385</v>
      </c>
      <c r="S156" s="65">
        <f t="shared" si="138"/>
        <v>70.065843426288367</v>
      </c>
      <c r="T156" s="65">
        <f t="shared" si="138"/>
        <v>66.543861338484518</v>
      </c>
      <c r="U156" s="65">
        <f t="shared" si="138"/>
        <v>71.498761780097993</v>
      </c>
      <c r="V156" s="65">
        <f t="shared" si="138"/>
        <v>59.31857475318801</v>
      </c>
      <c r="W156" s="65">
        <f t="shared" si="138"/>
        <v>73.885310500445016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939.14936060196499</v>
      </c>
      <c r="C157" s="65">
        <f t="shared" ref="C157:W157" si="140">IF(C103=0,0,C103/C$23)</f>
        <v>943.69358619246373</v>
      </c>
      <c r="D157" s="65">
        <f t="shared" si="140"/>
        <v>973.14115113414027</v>
      </c>
      <c r="E157" s="65">
        <f t="shared" si="140"/>
        <v>958.79991256874382</v>
      </c>
      <c r="F157" s="65">
        <f t="shared" si="140"/>
        <v>977.85488779756292</v>
      </c>
      <c r="G157" s="65">
        <f t="shared" si="140"/>
        <v>983.9943030224124</v>
      </c>
      <c r="H157" s="65">
        <f t="shared" si="140"/>
        <v>975.32392788722643</v>
      </c>
      <c r="I157" s="65">
        <f t="shared" si="140"/>
        <v>986.45033921403183</v>
      </c>
      <c r="J157" s="65">
        <f t="shared" si="140"/>
        <v>998.0839823009477</v>
      </c>
      <c r="K157" s="65">
        <f t="shared" si="140"/>
        <v>983.42410688208963</v>
      </c>
      <c r="L157" s="65">
        <f t="shared" si="140"/>
        <v>974.53315056363215</v>
      </c>
      <c r="M157" s="65">
        <f t="shared" si="140"/>
        <v>971.77396799900805</v>
      </c>
      <c r="N157" s="65">
        <f t="shared" si="140"/>
        <v>977.90969134684315</v>
      </c>
      <c r="O157" s="65">
        <f t="shared" si="140"/>
        <v>938.7159714149235</v>
      </c>
      <c r="P157" s="65">
        <f t="shared" si="140"/>
        <v>887.40332626386066</v>
      </c>
      <c r="Q157" s="65">
        <f t="shared" si="140"/>
        <v>852.74498387796064</v>
      </c>
      <c r="R157" s="65">
        <f t="shared" si="140"/>
        <v>828.68045276455905</v>
      </c>
      <c r="S157" s="65">
        <f t="shared" si="140"/>
        <v>816.8456378133385</v>
      </c>
      <c r="T157" s="65">
        <f t="shared" si="140"/>
        <v>804.38632268527601</v>
      </c>
      <c r="U157" s="65">
        <f t="shared" si="140"/>
        <v>777.41749295902355</v>
      </c>
      <c r="V157" s="65">
        <f t="shared" si="140"/>
        <v>711.93466717228944</v>
      </c>
      <c r="W157" s="65">
        <f t="shared" si="140"/>
        <v>718.17514961382517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918.30709461894651</v>
      </c>
      <c r="C158" s="67">
        <f t="shared" ref="C158:W158" si="142">IF(C104=0,0,C104/C$23)</f>
        <v>923.34846203002007</v>
      </c>
      <c r="D158" s="67">
        <f t="shared" si="142"/>
        <v>944.80969397372439</v>
      </c>
      <c r="E158" s="67">
        <f t="shared" si="142"/>
        <v>948.54612076829517</v>
      </c>
      <c r="F158" s="67">
        <f t="shared" si="142"/>
        <v>938.77346702678312</v>
      </c>
      <c r="G158" s="67">
        <f t="shared" si="142"/>
        <v>965.4270826375099</v>
      </c>
      <c r="H158" s="67">
        <f t="shared" si="142"/>
        <v>977.40139041571535</v>
      </c>
      <c r="I158" s="67">
        <f t="shared" si="142"/>
        <v>982.21451254376666</v>
      </c>
      <c r="J158" s="67">
        <f t="shared" si="142"/>
        <v>990.48740187147973</v>
      </c>
      <c r="K158" s="67">
        <f t="shared" si="142"/>
        <v>976.58469693817131</v>
      </c>
      <c r="L158" s="67">
        <f t="shared" si="142"/>
        <v>999.48748276757044</v>
      </c>
      <c r="M158" s="67">
        <f t="shared" si="142"/>
        <v>1001.3966188301703</v>
      </c>
      <c r="N158" s="67">
        <f t="shared" si="142"/>
        <v>1016.294679833372</v>
      </c>
      <c r="O158" s="67">
        <f t="shared" si="142"/>
        <v>981.30415156705419</v>
      </c>
      <c r="P158" s="67">
        <f t="shared" si="142"/>
        <v>924.85023557419095</v>
      </c>
      <c r="Q158" s="67">
        <f t="shared" si="142"/>
        <v>895.141315808125</v>
      </c>
      <c r="R158" s="67">
        <f t="shared" si="142"/>
        <v>858.2298010659116</v>
      </c>
      <c r="S158" s="67">
        <f t="shared" si="142"/>
        <v>844.72402961197315</v>
      </c>
      <c r="T158" s="67">
        <f t="shared" si="142"/>
        <v>849.95595705690289</v>
      </c>
      <c r="U158" s="67">
        <f t="shared" si="142"/>
        <v>837.89608024705865</v>
      </c>
      <c r="V158" s="67">
        <f t="shared" si="142"/>
        <v>814.5887619205148</v>
      </c>
      <c r="W158" s="67">
        <f t="shared" si="142"/>
        <v>854.02018198668543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1544.3232402125614</v>
      </c>
      <c r="C159" s="68">
        <f t="shared" ref="C159:W159" si="144">IF(C105=0,0,C105/C$23)</f>
        <v>1593.7647633371714</v>
      </c>
      <c r="D159" s="68">
        <f t="shared" si="144"/>
        <v>1654.6993373510613</v>
      </c>
      <c r="E159" s="68">
        <f t="shared" si="144"/>
        <v>1670.9647046334751</v>
      </c>
      <c r="F159" s="68">
        <f t="shared" si="144"/>
        <v>1728.2097020048743</v>
      </c>
      <c r="G159" s="68">
        <f t="shared" si="144"/>
        <v>1819.3727798678881</v>
      </c>
      <c r="H159" s="68">
        <f t="shared" si="144"/>
        <v>1865.2125320758314</v>
      </c>
      <c r="I159" s="68">
        <f t="shared" si="144"/>
        <v>1943.7568628285917</v>
      </c>
      <c r="J159" s="68">
        <f t="shared" si="144"/>
        <v>1981.5361458850641</v>
      </c>
      <c r="K159" s="68">
        <f t="shared" si="144"/>
        <v>1965.3444115440311</v>
      </c>
      <c r="L159" s="68">
        <f t="shared" si="144"/>
        <v>1962.8334211208564</v>
      </c>
      <c r="M159" s="68">
        <f t="shared" si="144"/>
        <v>1970.3221521746798</v>
      </c>
      <c r="N159" s="68">
        <f t="shared" si="144"/>
        <v>1919.1872454557652</v>
      </c>
      <c r="O159" s="68">
        <f t="shared" si="144"/>
        <v>1828.7003556174845</v>
      </c>
      <c r="P159" s="68">
        <f t="shared" si="144"/>
        <v>1724.6878664449212</v>
      </c>
      <c r="Q159" s="68">
        <f t="shared" si="144"/>
        <v>1658.8739385737126</v>
      </c>
      <c r="R159" s="68">
        <f t="shared" si="144"/>
        <v>1583.2134138841668</v>
      </c>
      <c r="S159" s="68">
        <f t="shared" si="144"/>
        <v>1567.8906661430863</v>
      </c>
      <c r="T159" s="68">
        <f t="shared" si="144"/>
        <v>1513.935454814703</v>
      </c>
      <c r="U159" s="68">
        <f t="shared" si="144"/>
        <v>1463.598203660408</v>
      </c>
      <c r="V159" s="68">
        <f t="shared" si="144"/>
        <v>1402.8958107269027</v>
      </c>
      <c r="W159" s="68">
        <f t="shared" si="144"/>
        <v>1381.884438708074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7246.6418109513988</v>
      </c>
      <c r="C161" s="85">
        <f t="shared" ref="C161:W161" si="146">IF(C107=0,0,C107/C$23)</f>
        <v>7640.978715564559</v>
      </c>
      <c r="D161" s="85">
        <f t="shared" si="146"/>
        <v>7059.7303135954235</v>
      </c>
      <c r="E161" s="85">
        <f t="shared" si="146"/>
        <v>7158.0049657056479</v>
      </c>
      <c r="F161" s="85">
        <f t="shared" si="146"/>
        <v>8184.1374137109115</v>
      </c>
      <c r="G161" s="85">
        <f t="shared" si="146"/>
        <v>8225.06945591984</v>
      </c>
      <c r="H161" s="85">
        <f t="shared" si="146"/>
        <v>7378.7593167238856</v>
      </c>
      <c r="I161" s="85">
        <f t="shared" si="146"/>
        <v>6539.6148240405291</v>
      </c>
      <c r="J161" s="85">
        <f t="shared" si="146"/>
        <v>6520.7524188933367</v>
      </c>
      <c r="K161" s="85">
        <f t="shared" si="146"/>
        <v>6882.7214823147569</v>
      </c>
      <c r="L161" s="85">
        <f t="shared" si="146"/>
        <v>7344.1653885512605</v>
      </c>
      <c r="M161" s="85">
        <f t="shared" si="146"/>
        <v>7470.6468321651673</v>
      </c>
      <c r="N161" s="85">
        <f t="shared" si="146"/>
        <v>5654.7649214186322</v>
      </c>
      <c r="O161" s="85">
        <f t="shared" si="146"/>
        <v>5476.3244688013574</v>
      </c>
      <c r="P161" s="85">
        <f t="shared" si="146"/>
        <v>4600.9817800924347</v>
      </c>
      <c r="Q161" s="85">
        <f t="shared" si="146"/>
        <v>4821.1746024635622</v>
      </c>
      <c r="R161" s="85">
        <f t="shared" si="146"/>
        <v>4669.6827363011744</v>
      </c>
      <c r="S161" s="85">
        <f t="shared" si="146"/>
        <v>4670.271213076534</v>
      </c>
      <c r="T161" s="85">
        <f t="shared" si="146"/>
        <v>4539.7566963337094</v>
      </c>
      <c r="U161" s="85">
        <f t="shared" si="146"/>
        <v>4472.3325962490289</v>
      </c>
      <c r="V161" s="85">
        <f t="shared" si="146"/>
        <v>4476.8119075494824</v>
      </c>
      <c r="W161" s="85">
        <f t="shared" si="146"/>
        <v>4744.8349113716304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5884.6191488788427</v>
      </c>
      <c r="C162" s="65">
        <f t="shared" ref="C162:W162" si="148">IF(C108=0,0,C108/C$23)</f>
        <v>6277.7343593397445</v>
      </c>
      <c r="D162" s="65">
        <f t="shared" si="148"/>
        <v>5653.354072205806</v>
      </c>
      <c r="E162" s="65">
        <f t="shared" si="148"/>
        <v>5738.3532638689776</v>
      </c>
      <c r="F162" s="65">
        <f t="shared" si="148"/>
        <v>6780.7689345919243</v>
      </c>
      <c r="G162" s="65">
        <f t="shared" si="148"/>
        <v>6794.7011027103053</v>
      </c>
      <c r="H162" s="65">
        <f t="shared" si="148"/>
        <v>5923.1356263128619</v>
      </c>
      <c r="I162" s="65">
        <f t="shared" si="148"/>
        <v>5048.3929204606766</v>
      </c>
      <c r="J162" s="65">
        <f t="shared" si="148"/>
        <v>5031.7974605930222</v>
      </c>
      <c r="K162" s="65">
        <f t="shared" si="148"/>
        <v>5405.2057656628012</v>
      </c>
      <c r="L162" s="65">
        <f t="shared" si="148"/>
        <v>5837.4038346706884</v>
      </c>
      <c r="M162" s="65">
        <f t="shared" si="148"/>
        <v>5959.5267007706425</v>
      </c>
      <c r="N162" s="65">
        <f t="shared" si="148"/>
        <v>4060.4859258705487</v>
      </c>
      <c r="O162" s="65">
        <f t="shared" si="148"/>
        <v>3976.205745025261</v>
      </c>
      <c r="P162" s="65">
        <f t="shared" si="148"/>
        <v>3193.9045686252284</v>
      </c>
      <c r="Q162" s="65">
        <f t="shared" si="148"/>
        <v>3369.273134262723</v>
      </c>
      <c r="R162" s="65">
        <f t="shared" si="148"/>
        <v>3324.7849744796067</v>
      </c>
      <c r="S162" s="65">
        <f t="shared" si="148"/>
        <v>3289.0550434663464</v>
      </c>
      <c r="T162" s="65">
        <f t="shared" si="148"/>
        <v>3155.3297686571495</v>
      </c>
      <c r="U162" s="65">
        <f t="shared" si="148"/>
        <v>3079.6277917659163</v>
      </c>
      <c r="V162" s="65">
        <f t="shared" si="148"/>
        <v>3177.4432723904192</v>
      </c>
      <c r="W162" s="65">
        <f t="shared" si="148"/>
        <v>3340.7875287932138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120.37698062455415</v>
      </c>
      <c r="C163" s="65">
        <f t="shared" ref="C163:W163" si="150">IF(C109=0,0,C109/C$23)</f>
        <v>113.18636153830042</v>
      </c>
      <c r="D163" s="65">
        <f t="shared" si="150"/>
        <v>127.64324785969082</v>
      </c>
      <c r="E163" s="65">
        <f t="shared" si="150"/>
        <v>149.3587082393793</v>
      </c>
      <c r="F163" s="65">
        <f t="shared" si="150"/>
        <v>126.71924115020627</v>
      </c>
      <c r="G163" s="65">
        <f t="shared" si="150"/>
        <v>133.946841997489</v>
      </c>
      <c r="H163" s="65">
        <f t="shared" si="150"/>
        <v>157.83920989449393</v>
      </c>
      <c r="I163" s="65">
        <f t="shared" si="150"/>
        <v>185.55845730731684</v>
      </c>
      <c r="J163" s="65">
        <f t="shared" si="150"/>
        <v>168.21183965573974</v>
      </c>
      <c r="K163" s="65">
        <f t="shared" si="150"/>
        <v>174.45322306998114</v>
      </c>
      <c r="L163" s="65">
        <f t="shared" si="150"/>
        <v>190.76709392558448</v>
      </c>
      <c r="M163" s="65">
        <f t="shared" si="150"/>
        <v>193.12245601038256</v>
      </c>
      <c r="N163" s="65">
        <f t="shared" si="150"/>
        <v>256.64998433687038</v>
      </c>
      <c r="O163" s="65">
        <f t="shared" si="150"/>
        <v>207.52104383327782</v>
      </c>
      <c r="P163" s="65">
        <f t="shared" si="150"/>
        <v>182.54686612005563</v>
      </c>
      <c r="Q163" s="65">
        <f t="shared" si="150"/>
        <v>261.98681324099044</v>
      </c>
      <c r="R163" s="65">
        <f t="shared" si="150"/>
        <v>183.50914822402189</v>
      </c>
      <c r="S163" s="65">
        <f t="shared" si="150"/>
        <v>223.36876273016449</v>
      </c>
      <c r="T163" s="65">
        <f t="shared" si="150"/>
        <v>218.60072187667453</v>
      </c>
      <c r="U163" s="65">
        <f t="shared" si="150"/>
        <v>240.39846996198273</v>
      </c>
      <c r="V163" s="65">
        <f t="shared" si="150"/>
        <v>204.03158965456248</v>
      </c>
      <c r="W163" s="65">
        <f t="shared" si="150"/>
        <v>259.72439933583956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553.35006243641317</v>
      </c>
      <c r="C164" s="65">
        <f t="shared" ref="C164:W164" si="152">IF(C110=0,0,C110/C$23)</f>
        <v>559.06599771605602</v>
      </c>
      <c r="D164" s="65">
        <f t="shared" si="152"/>
        <v>579.25225532263869</v>
      </c>
      <c r="E164" s="65">
        <f t="shared" si="152"/>
        <v>573.84854590282691</v>
      </c>
      <c r="F164" s="65">
        <f t="shared" si="152"/>
        <v>588.06186896986947</v>
      </c>
      <c r="G164" s="65">
        <f t="shared" si="152"/>
        <v>597.65788141254654</v>
      </c>
      <c r="H164" s="65">
        <f t="shared" si="152"/>
        <v>597.13030495194369</v>
      </c>
      <c r="I164" s="65">
        <f t="shared" si="152"/>
        <v>607.64269322694417</v>
      </c>
      <c r="J164" s="65">
        <f t="shared" si="152"/>
        <v>618.6696604831493</v>
      </c>
      <c r="K164" s="65">
        <f t="shared" si="152"/>
        <v>612.87250100026142</v>
      </c>
      <c r="L164" s="65">
        <f t="shared" si="152"/>
        <v>612.66623784846649</v>
      </c>
      <c r="M164" s="65">
        <f t="shared" si="152"/>
        <v>618.29368691504521</v>
      </c>
      <c r="N164" s="65">
        <f t="shared" si="152"/>
        <v>632.44764794352204</v>
      </c>
      <c r="O164" s="65">
        <f t="shared" si="152"/>
        <v>613.52467222234588</v>
      </c>
      <c r="P164" s="65">
        <f t="shared" si="152"/>
        <v>585.61817017768101</v>
      </c>
      <c r="Q164" s="65">
        <f t="shared" si="152"/>
        <v>568.52893562518932</v>
      </c>
      <c r="R164" s="65">
        <f t="shared" si="152"/>
        <v>560.5232009843761</v>
      </c>
      <c r="S164" s="65">
        <f t="shared" si="152"/>
        <v>563.28333971989912</v>
      </c>
      <c r="T164" s="65">
        <f t="shared" si="152"/>
        <v>565.38561731596701</v>
      </c>
      <c r="U164" s="65">
        <f t="shared" si="152"/>
        <v>558.13561767217925</v>
      </c>
      <c r="V164" s="65">
        <f t="shared" si="152"/>
        <v>520.33265738998057</v>
      </c>
      <c r="W164" s="65">
        <f t="shared" si="152"/>
        <v>536.04989044601314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688.29561901158763</v>
      </c>
      <c r="C165" s="68">
        <f t="shared" ref="C165:W165" si="154">IF(C111=0,0,C111/C$23)</f>
        <v>690.99199697045742</v>
      </c>
      <c r="D165" s="68">
        <f t="shared" si="154"/>
        <v>699.48073820728735</v>
      </c>
      <c r="E165" s="68">
        <f t="shared" si="154"/>
        <v>696.44444769446397</v>
      </c>
      <c r="F165" s="68">
        <f t="shared" si="154"/>
        <v>688.58736899891085</v>
      </c>
      <c r="G165" s="68">
        <f t="shared" si="154"/>
        <v>698.76362979949874</v>
      </c>
      <c r="H165" s="68">
        <f t="shared" si="154"/>
        <v>700.65417556458635</v>
      </c>
      <c r="I165" s="68">
        <f t="shared" si="154"/>
        <v>698.02075304559105</v>
      </c>
      <c r="J165" s="68">
        <f t="shared" si="154"/>
        <v>702.07345816142549</v>
      </c>
      <c r="K165" s="68">
        <f t="shared" si="154"/>
        <v>690.18999258171334</v>
      </c>
      <c r="L165" s="68">
        <f t="shared" si="154"/>
        <v>703.32822210652171</v>
      </c>
      <c r="M165" s="68">
        <f t="shared" si="154"/>
        <v>699.70398846909575</v>
      </c>
      <c r="N165" s="68">
        <f t="shared" si="154"/>
        <v>705.18136326769093</v>
      </c>
      <c r="O165" s="68">
        <f t="shared" si="154"/>
        <v>679.07300772047279</v>
      </c>
      <c r="P165" s="68">
        <f t="shared" si="154"/>
        <v>638.91217516946995</v>
      </c>
      <c r="Q165" s="68">
        <f t="shared" si="154"/>
        <v>621.38571933465892</v>
      </c>
      <c r="R165" s="68">
        <f t="shared" si="154"/>
        <v>600.86541261316961</v>
      </c>
      <c r="S165" s="68">
        <f t="shared" si="154"/>
        <v>594.5640671601243</v>
      </c>
      <c r="T165" s="68">
        <f t="shared" si="154"/>
        <v>600.44058848391785</v>
      </c>
      <c r="U165" s="68">
        <f t="shared" si="154"/>
        <v>594.17071684895075</v>
      </c>
      <c r="V165" s="68">
        <f t="shared" si="154"/>
        <v>575.00438811452034</v>
      </c>
      <c r="W165" s="68">
        <f t="shared" si="154"/>
        <v>608.27309279656333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1798.251971843051</v>
      </c>
      <c r="C167" s="82">
        <f t="shared" ref="C167:W167" si="156">IF(C113=0,0,C113/C$23)</f>
        <v>1897.8572217601986</v>
      </c>
      <c r="D167" s="82">
        <f t="shared" si="156"/>
        <v>1737.7690574471892</v>
      </c>
      <c r="E167" s="82">
        <f t="shared" si="156"/>
        <v>1764.6656256260565</v>
      </c>
      <c r="F167" s="82">
        <f t="shared" si="156"/>
        <v>2177.7891240404447</v>
      </c>
      <c r="G167" s="82">
        <f t="shared" si="156"/>
        <v>2071.2978536260457</v>
      </c>
      <c r="H167" s="82">
        <f t="shared" si="156"/>
        <v>1762.8359599965786</v>
      </c>
      <c r="I167" s="82">
        <f t="shared" si="156"/>
        <v>1372.2120099622393</v>
      </c>
      <c r="J167" s="82">
        <f t="shared" si="156"/>
        <v>1302.1612806881801</v>
      </c>
      <c r="K167" s="82">
        <f t="shared" si="156"/>
        <v>1388.946093314634</v>
      </c>
      <c r="L167" s="82">
        <f t="shared" si="156"/>
        <v>1510.7861324205796</v>
      </c>
      <c r="M167" s="82">
        <f t="shared" si="156"/>
        <v>1516.1796380913072</v>
      </c>
      <c r="N167" s="82">
        <f t="shared" si="156"/>
        <v>1246.9928857498783</v>
      </c>
      <c r="O167" s="82">
        <f t="shared" si="156"/>
        <v>1209.6170094318413</v>
      </c>
      <c r="P167" s="82">
        <f t="shared" si="156"/>
        <v>1020.4315450463364</v>
      </c>
      <c r="Q167" s="82">
        <f t="shared" si="156"/>
        <v>1018.172597324497</v>
      </c>
      <c r="R167" s="82">
        <f t="shared" si="156"/>
        <v>961.48306906730136</v>
      </c>
      <c r="S167" s="82">
        <f t="shared" si="156"/>
        <v>909.18645252534429</v>
      </c>
      <c r="T167" s="82">
        <f t="shared" si="156"/>
        <v>853.93124621299364</v>
      </c>
      <c r="U167" s="82">
        <f t="shared" si="156"/>
        <v>810.88360756006205</v>
      </c>
      <c r="V167" s="82">
        <f t="shared" si="156"/>
        <v>829.233609004919</v>
      </c>
      <c r="W167" s="82">
        <f t="shared" si="156"/>
        <v>858.40142667740906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1798.251971843051</v>
      </c>
      <c r="C168" s="64">
        <f t="shared" ref="C168:W168" si="158">IF(C114=0,0,C114/C$23)</f>
        <v>1897.8572217601986</v>
      </c>
      <c r="D168" s="64">
        <f t="shared" si="158"/>
        <v>1737.7690574471892</v>
      </c>
      <c r="E168" s="64">
        <f t="shared" si="158"/>
        <v>1764.6656256260565</v>
      </c>
      <c r="F168" s="64">
        <f t="shared" si="158"/>
        <v>2177.7891240404447</v>
      </c>
      <c r="G168" s="64">
        <f t="shared" si="158"/>
        <v>2071.2978536260457</v>
      </c>
      <c r="H168" s="64">
        <f t="shared" si="158"/>
        <v>1762.8359599965786</v>
      </c>
      <c r="I168" s="64">
        <f t="shared" si="158"/>
        <v>1372.2120099622393</v>
      </c>
      <c r="J168" s="64">
        <f t="shared" si="158"/>
        <v>1302.1612806881801</v>
      </c>
      <c r="K168" s="64">
        <f t="shared" si="158"/>
        <v>1388.946093314634</v>
      </c>
      <c r="L168" s="64">
        <f t="shared" si="158"/>
        <v>1510.7861324205796</v>
      </c>
      <c r="M168" s="64">
        <f t="shared" si="158"/>
        <v>1516.1796380913072</v>
      </c>
      <c r="N168" s="64">
        <f t="shared" si="158"/>
        <v>1246.9928857498783</v>
      </c>
      <c r="O168" s="64">
        <f t="shared" si="158"/>
        <v>1209.6170094318413</v>
      </c>
      <c r="P168" s="64">
        <f t="shared" si="158"/>
        <v>1020.4315450463364</v>
      </c>
      <c r="Q168" s="64">
        <f t="shared" si="158"/>
        <v>1018.172597324497</v>
      </c>
      <c r="R168" s="64">
        <f t="shared" si="158"/>
        <v>961.48306906730136</v>
      </c>
      <c r="S168" s="64">
        <f t="shared" si="158"/>
        <v>909.18645252534429</v>
      </c>
      <c r="T168" s="64">
        <f t="shared" si="158"/>
        <v>853.93124621299364</v>
      </c>
      <c r="U168" s="64">
        <f t="shared" si="158"/>
        <v>810.88360756006205</v>
      </c>
      <c r="V168" s="64">
        <f t="shared" si="158"/>
        <v>829.233609004919</v>
      </c>
      <c r="W168" s="64">
        <f t="shared" si="158"/>
        <v>858.40142667740906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1642.8590357524079</v>
      </c>
      <c r="C169" s="65">
        <f t="shared" ref="C169:W169" si="160">IF(C115=0,0,C115/C$23)</f>
        <v>1739.9857004864725</v>
      </c>
      <c r="D169" s="65">
        <f t="shared" si="160"/>
        <v>1564.5868315342561</v>
      </c>
      <c r="E169" s="65">
        <f t="shared" si="160"/>
        <v>1583.3353872794796</v>
      </c>
      <c r="F169" s="65">
        <f t="shared" si="160"/>
        <v>1992.0664682046715</v>
      </c>
      <c r="G169" s="65">
        <f t="shared" si="160"/>
        <v>1872.8354846019304</v>
      </c>
      <c r="H169" s="65">
        <f t="shared" si="160"/>
        <v>1555.9545322221136</v>
      </c>
      <c r="I169" s="65">
        <f t="shared" si="160"/>
        <v>1151.918312556649</v>
      </c>
      <c r="J169" s="65">
        <f t="shared" si="160"/>
        <v>1072.1701525273722</v>
      </c>
      <c r="K169" s="65">
        <f t="shared" si="160"/>
        <v>1152.2774884713831</v>
      </c>
      <c r="L169" s="65">
        <f t="shared" si="160"/>
        <v>1264.3604879197997</v>
      </c>
      <c r="M169" s="65">
        <f t="shared" si="160"/>
        <v>1264.1136638799439</v>
      </c>
      <c r="N169" s="65">
        <f t="shared" si="160"/>
        <v>987.39993867978069</v>
      </c>
      <c r="O169" s="65">
        <f t="shared" si="160"/>
        <v>947.53769728363784</v>
      </c>
      <c r="P169" s="65">
        <f t="shared" si="160"/>
        <v>769.1419687297581</v>
      </c>
      <c r="Q169" s="65">
        <f t="shared" si="160"/>
        <v>777.08798072007164</v>
      </c>
      <c r="R169" s="65">
        <f t="shared" si="160"/>
        <v>733.30483263120891</v>
      </c>
      <c r="S169" s="65">
        <f t="shared" si="160"/>
        <v>685.62984000134918</v>
      </c>
      <c r="T169" s="65">
        <f t="shared" si="160"/>
        <v>629.78115921694007</v>
      </c>
      <c r="U169" s="65">
        <f t="shared" si="160"/>
        <v>593.86829836628851</v>
      </c>
      <c r="V169" s="65">
        <f t="shared" si="160"/>
        <v>618.81838121525982</v>
      </c>
      <c r="W169" s="65">
        <f t="shared" si="160"/>
        <v>648.15322566801535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5.4864171787082638E-2</v>
      </c>
      <c r="C170" s="65">
        <f t="shared" ref="C170:W170" si="162">IF(C116=0,0,C116/C$23)</f>
        <v>5.5649531063771913E-2</v>
      </c>
      <c r="D170" s="65">
        <f t="shared" si="162"/>
        <v>6.9292935479207285E-2</v>
      </c>
      <c r="E170" s="65">
        <f t="shared" si="162"/>
        <v>8.5868803259176923E-2</v>
      </c>
      <c r="F170" s="65">
        <f t="shared" si="162"/>
        <v>6.8762994548042064E-2</v>
      </c>
      <c r="G170" s="65">
        <f t="shared" si="162"/>
        <v>7.4501336464088602E-2</v>
      </c>
      <c r="H170" s="65">
        <f t="shared" si="162"/>
        <v>9.3490812956042002E-2</v>
      </c>
      <c r="I170" s="65">
        <f t="shared" si="162"/>
        <v>0.11480730602926453</v>
      </c>
      <c r="J170" s="65">
        <f t="shared" si="162"/>
        <v>0.10125225617647352</v>
      </c>
      <c r="K170" s="65">
        <f t="shared" si="162"/>
        <v>0.10919390060485465</v>
      </c>
      <c r="L170" s="65">
        <f t="shared" si="162"/>
        <v>0.13168481174822144</v>
      </c>
      <c r="M170" s="65">
        <f t="shared" si="162"/>
        <v>0.14683261216667623</v>
      </c>
      <c r="N170" s="65">
        <f t="shared" si="162"/>
        <v>0.21589536862920891</v>
      </c>
      <c r="O170" s="65">
        <f t="shared" si="162"/>
        <v>0.19014289328342582</v>
      </c>
      <c r="P170" s="65">
        <f t="shared" si="162"/>
        <v>0.17331104365977049</v>
      </c>
      <c r="Q170" s="65">
        <f t="shared" si="162"/>
        <v>0.26438622278855856</v>
      </c>
      <c r="R170" s="65">
        <f t="shared" si="162"/>
        <v>0.19246985042515788</v>
      </c>
      <c r="S170" s="65">
        <f t="shared" si="162"/>
        <v>0.26375506482179395</v>
      </c>
      <c r="T170" s="65">
        <f t="shared" si="162"/>
        <v>0.2690894373253287</v>
      </c>
      <c r="U170" s="65">
        <f t="shared" si="162"/>
        <v>0.33896242404434751</v>
      </c>
      <c r="V170" s="65">
        <f t="shared" si="162"/>
        <v>0.2724626533853865</v>
      </c>
      <c r="W170" s="65">
        <f t="shared" si="162"/>
        <v>0.35397994164565377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88.636681505697481</v>
      </c>
      <c r="C171" s="65">
        <f t="shared" ref="C171:W171" si="164">IF(C117=0,0,C117/C$23)</f>
        <v>89.056308700573794</v>
      </c>
      <c r="D171" s="65">
        <f t="shared" si="164"/>
        <v>93.498210691048968</v>
      </c>
      <c r="E171" s="65">
        <f t="shared" si="164"/>
        <v>94.326463731925116</v>
      </c>
      <c r="F171" s="65">
        <f t="shared" si="164"/>
        <v>98.76469243440792</v>
      </c>
      <c r="G171" s="65">
        <f t="shared" si="164"/>
        <v>98.187647659141319</v>
      </c>
      <c r="H171" s="65">
        <f t="shared" si="164"/>
        <v>97.472890932511945</v>
      </c>
      <c r="I171" s="65">
        <f t="shared" si="164"/>
        <v>102.92043588906574</v>
      </c>
      <c r="J171" s="65">
        <f t="shared" si="164"/>
        <v>108.70270749142666</v>
      </c>
      <c r="K171" s="65">
        <f t="shared" si="164"/>
        <v>113.60711142359501</v>
      </c>
      <c r="L171" s="65">
        <f t="shared" si="164"/>
        <v>116.22290767632236</v>
      </c>
      <c r="M171" s="65">
        <f t="shared" si="164"/>
        <v>116.79310030314417</v>
      </c>
      <c r="N171" s="65">
        <f t="shared" si="164"/>
        <v>117.21089511876056</v>
      </c>
      <c r="O171" s="65">
        <f t="shared" si="164"/>
        <v>122.76972513334978</v>
      </c>
      <c r="P171" s="65">
        <f t="shared" si="164"/>
        <v>117.77977018886376</v>
      </c>
      <c r="Q171" s="65">
        <f t="shared" si="164"/>
        <v>113.71885539194645</v>
      </c>
      <c r="R171" s="65">
        <f t="shared" si="164"/>
        <v>109.97963630166529</v>
      </c>
      <c r="S171" s="65">
        <f t="shared" si="164"/>
        <v>108.75416848858139</v>
      </c>
      <c r="T171" s="65">
        <f t="shared" si="164"/>
        <v>108.83495921259059</v>
      </c>
      <c r="U171" s="65">
        <f t="shared" si="164"/>
        <v>103.64660337209882</v>
      </c>
      <c r="V171" s="65">
        <f t="shared" si="164"/>
        <v>96.073191809090929</v>
      </c>
      <c r="W171" s="65">
        <f t="shared" si="164"/>
        <v>93.603245821034307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66.701390413158848</v>
      </c>
      <c r="C172" s="67">
        <f t="shared" ref="C172:W172" si="166">IF(C118=0,0,C118/C$23)</f>
        <v>68.759563042088473</v>
      </c>
      <c r="D172" s="67">
        <f t="shared" si="166"/>
        <v>79.614722286404898</v>
      </c>
      <c r="E172" s="67">
        <f t="shared" si="166"/>
        <v>86.917905811392387</v>
      </c>
      <c r="F172" s="67">
        <f t="shared" si="166"/>
        <v>86.889200406817096</v>
      </c>
      <c r="G172" s="67">
        <f t="shared" si="166"/>
        <v>100.20022002851006</v>
      </c>
      <c r="H172" s="67">
        <f t="shared" si="166"/>
        <v>109.31504602899672</v>
      </c>
      <c r="I172" s="67">
        <f t="shared" si="166"/>
        <v>117.25845421049533</v>
      </c>
      <c r="J172" s="67">
        <f t="shared" si="166"/>
        <v>121.18716841320466</v>
      </c>
      <c r="K172" s="67">
        <f t="shared" si="166"/>
        <v>122.95229951905111</v>
      </c>
      <c r="L172" s="67">
        <f t="shared" si="166"/>
        <v>130.07105201270932</v>
      </c>
      <c r="M172" s="67">
        <f t="shared" si="166"/>
        <v>135.1260412960527</v>
      </c>
      <c r="N172" s="67">
        <f t="shared" si="166"/>
        <v>142.16615658270754</v>
      </c>
      <c r="O172" s="67">
        <f t="shared" si="166"/>
        <v>139.11944412157018</v>
      </c>
      <c r="P172" s="67">
        <f t="shared" si="166"/>
        <v>133.33649508405486</v>
      </c>
      <c r="Q172" s="67">
        <f t="shared" si="166"/>
        <v>127.10137498969047</v>
      </c>
      <c r="R172" s="67">
        <f t="shared" si="166"/>
        <v>118.00613028400214</v>
      </c>
      <c r="S172" s="67">
        <f t="shared" si="166"/>
        <v>114.53868897059185</v>
      </c>
      <c r="T172" s="67">
        <f t="shared" si="166"/>
        <v>115.04603834613764</v>
      </c>
      <c r="U172" s="67">
        <f t="shared" si="166"/>
        <v>113.02974339763034</v>
      </c>
      <c r="V172" s="67">
        <f t="shared" si="166"/>
        <v>114.06957332718277</v>
      </c>
      <c r="W172" s="67">
        <f t="shared" si="166"/>
        <v>116.29097524671367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85230.472310474885</v>
      </c>
      <c r="C3" s="125">
        <f t="shared" si="0"/>
        <v>86888.991472691108</v>
      </c>
      <c r="D3" s="125">
        <f t="shared" si="0"/>
        <v>88832.836913722247</v>
      </c>
      <c r="E3" s="125">
        <f t="shared" si="0"/>
        <v>92121.525460934354</v>
      </c>
      <c r="F3" s="125">
        <f t="shared" si="0"/>
        <v>93559.566968281593</v>
      </c>
      <c r="G3" s="125">
        <f t="shared" si="0"/>
        <v>95764.682085151479</v>
      </c>
      <c r="H3" s="125">
        <f t="shared" si="0"/>
        <v>97083.360362271836</v>
      </c>
      <c r="I3" s="125">
        <f t="shared" si="0"/>
        <v>98978.452642142365</v>
      </c>
      <c r="J3" s="125">
        <f t="shared" si="0"/>
        <v>98407.680869784395</v>
      </c>
      <c r="K3" s="125">
        <f t="shared" si="0"/>
        <v>97986.965298542898</v>
      </c>
      <c r="L3" s="125">
        <f t="shared" si="0"/>
        <v>98010.318290147028</v>
      </c>
      <c r="M3" s="125">
        <f t="shared" si="0"/>
        <v>98443.703252591367</v>
      </c>
      <c r="N3" s="125">
        <f t="shared" si="0"/>
        <v>99157.793381041687</v>
      </c>
      <c r="O3" s="125">
        <f t="shared" si="0"/>
        <v>100201.42954482326</v>
      </c>
      <c r="P3" s="125">
        <f t="shared" si="0"/>
        <v>103348.32141025268</v>
      </c>
      <c r="Q3" s="125">
        <f t="shared" si="0"/>
        <v>103421.6553467365</v>
      </c>
      <c r="R3" s="125">
        <f t="shared" si="0"/>
        <v>104414.35119549737</v>
      </c>
      <c r="S3" s="125">
        <f t="shared" si="0"/>
        <v>105872.30463898774</v>
      </c>
      <c r="T3" s="125">
        <f t="shared" si="0"/>
        <v>107325.96291711483</v>
      </c>
      <c r="U3" s="125">
        <f t="shared" si="0"/>
        <v>108570.22029721958</v>
      </c>
      <c r="V3" s="125">
        <f t="shared" si="0"/>
        <v>109724.74222222224</v>
      </c>
      <c r="W3" s="125">
        <f t="shared" si="0"/>
        <v>110826.27731476583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85230.472310474885</v>
      </c>
      <c r="C4" s="140">
        <f t="shared" si="1"/>
        <v>86888.991472691108</v>
      </c>
      <c r="D4" s="140">
        <f t="shared" si="1"/>
        <v>88832.836913722247</v>
      </c>
      <c r="E4" s="140">
        <f t="shared" si="1"/>
        <v>92121.525460934354</v>
      </c>
      <c r="F4" s="140">
        <f t="shared" si="1"/>
        <v>93559.566968281593</v>
      </c>
      <c r="G4" s="140">
        <f t="shared" si="1"/>
        <v>95764.682085151479</v>
      </c>
      <c r="H4" s="140">
        <f t="shared" si="1"/>
        <v>97083.360362271836</v>
      </c>
      <c r="I4" s="140">
        <f t="shared" si="1"/>
        <v>98978.452642142365</v>
      </c>
      <c r="J4" s="140">
        <f t="shared" si="1"/>
        <v>98407.680869784395</v>
      </c>
      <c r="K4" s="140">
        <f t="shared" si="1"/>
        <v>97986.965298542898</v>
      </c>
      <c r="L4" s="140">
        <f t="shared" si="1"/>
        <v>98010.318290147028</v>
      </c>
      <c r="M4" s="140">
        <f t="shared" si="1"/>
        <v>98443.703252591367</v>
      </c>
      <c r="N4" s="140">
        <f t="shared" si="1"/>
        <v>99157.793381041687</v>
      </c>
      <c r="O4" s="140">
        <f t="shared" si="1"/>
        <v>100201.42954482326</v>
      </c>
      <c r="P4" s="140">
        <f t="shared" si="1"/>
        <v>103348.32141025268</v>
      </c>
      <c r="Q4" s="140">
        <f t="shared" si="1"/>
        <v>103421.6553467365</v>
      </c>
      <c r="R4" s="140">
        <f t="shared" ref="R4:W4" si="2">SUM(R5:R14)</f>
        <v>104414.35119549737</v>
      </c>
      <c r="S4" s="140">
        <f t="shared" si="2"/>
        <v>105872.30463898774</v>
      </c>
      <c r="T4" s="140">
        <f t="shared" si="2"/>
        <v>107325.96291711483</v>
      </c>
      <c r="U4" s="140">
        <f t="shared" si="2"/>
        <v>108570.22029721958</v>
      </c>
      <c r="V4" s="140">
        <f t="shared" si="2"/>
        <v>109724.74222222224</v>
      </c>
      <c r="W4" s="140">
        <f t="shared" si="2"/>
        <v>110826.27731476583</v>
      </c>
      <c r="DA4" s="170" t="s">
        <v>245</v>
      </c>
    </row>
    <row r="5" spans="1:105" ht="12" customHeight="1" x14ac:dyDescent="0.25">
      <c r="A5" s="132" t="s">
        <v>29</v>
      </c>
      <c r="B5" s="141">
        <v>700.05440426277005</v>
      </c>
      <c r="C5" s="141">
        <v>531.6681359397337</v>
      </c>
      <c r="D5" s="141">
        <v>426.95181466115008</v>
      </c>
      <c r="E5" s="141">
        <v>320.83704757876922</v>
      </c>
      <c r="F5" s="141">
        <v>225.47960146635549</v>
      </c>
      <c r="G5" s="141">
        <v>157.22209609540366</v>
      </c>
      <c r="H5" s="141">
        <v>149.58526277386616</v>
      </c>
      <c r="I5" s="141">
        <v>148.94367912694202</v>
      </c>
      <c r="J5" s="141">
        <v>145.21801590133893</v>
      </c>
      <c r="K5" s="141">
        <v>126.66086297121294</v>
      </c>
      <c r="L5" s="141">
        <v>109.18292355173936</v>
      </c>
      <c r="M5" s="141">
        <v>106.88379829601094</v>
      </c>
      <c r="N5" s="141">
        <v>109.15533924493084</v>
      </c>
      <c r="O5" s="141">
        <v>153.14301586547282</v>
      </c>
      <c r="P5" s="141">
        <v>186.14528560606522</v>
      </c>
      <c r="Q5" s="141">
        <v>204.34424712904382</v>
      </c>
      <c r="R5" s="141">
        <v>190.72348391090844</v>
      </c>
      <c r="S5" s="141">
        <v>151.61007337075324</v>
      </c>
      <c r="T5" s="141">
        <v>130.35620752035297</v>
      </c>
      <c r="U5" s="141">
        <v>116.03754125248766</v>
      </c>
      <c r="V5" s="141">
        <v>105.13682713092045</v>
      </c>
      <c r="W5" s="141">
        <v>96.633548754671267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1027.9411443868398</v>
      </c>
      <c r="C7" s="141">
        <v>906.95152588138967</v>
      </c>
      <c r="D7" s="141">
        <v>637.76961873366213</v>
      </c>
      <c r="E7" s="141">
        <v>468.57372380952279</v>
      </c>
      <c r="F7" s="141">
        <v>357.32847532488091</v>
      </c>
      <c r="G7" s="141">
        <v>299.60313483822995</v>
      </c>
      <c r="H7" s="141">
        <v>219.06424561365401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509.29683654636995</v>
      </c>
      <c r="O7" s="141">
        <v>759.47769153976776</v>
      </c>
      <c r="P7" s="141">
        <v>1274.3206183623372</v>
      </c>
      <c r="Q7" s="141">
        <v>1779.3932442268158</v>
      </c>
      <c r="R7" s="141">
        <v>2219.2183511524113</v>
      </c>
      <c r="S7" s="141">
        <v>2389.7784638497305</v>
      </c>
      <c r="T7" s="141">
        <v>2538.7818250517548</v>
      </c>
      <c r="U7" s="141">
        <v>2579.201042178142</v>
      </c>
      <c r="V7" s="141">
        <v>2664.3396501573502</v>
      </c>
      <c r="W7" s="141">
        <v>2913.6553857238719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1.2471465538112496</v>
      </c>
      <c r="S8" s="141">
        <v>3.076977702218926</v>
      </c>
      <c r="T8" s="141">
        <v>6.1579045103793328</v>
      </c>
      <c r="U8" s="141">
        <v>8.9398798257052476</v>
      </c>
      <c r="V8" s="141">
        <v>12.517728465798417</v>
      </c>
      <c r="W8" s="141">
        <v>13.029703502745024</v>
      </c>
      <c r="DA8" s="171" t="s">
        <v>249</v>
      </c>
    </row>
    <row r="9" spans="1:105" ht="12" customHeight="1" x14ac:dyDescent="0.25">
      <c r="A9" s="132" t="s">
        <v>78</v>
      </c>
      <c r="B9" s="141">
        <v>57196.241580135764</v>
      </c>
      <c r="C9" s="141">
        <v>59488.220506523692</v>
      </c>
      <c r="D9" s="141">
        <v>63147.421223556747</v>
      </c>
      <c r="E9" s="141">
        <v>67904.77070495009</v>
      </c>
      <c r="F9" s="141">
        <v>70789.330090723917</v>
      </c>
      <c r="G9" s="141">
        <v>71161.830542763011</v>
      </c>
      <c r="H9" s="141">
        <v>68954.715448605522</v>
      </c>
      <c r="I9" s="141">
        <v>65872.012802730751</v>
      </c>
      <c r="J9" s="141">
        <v>62355.848817824728</v>
      </c>
      <c r="K9" s="141">
        <v>61444.54915101287</v>
      </c>
      <c r="L9" s="141">
        <v>63581.127010696509</v>
      </c>
      <c r="M9" s="141">
        <v>67201.32621170819</v>
      </c>
      <c r="N9" s="141">
        <v>72516.578426435721</v>
      </c>
      <c r="O9" s="141">
        <v>75115.522736225787</v>
      </c>
      <c r="P9" s="141">
        <v>77951.758519547337</v>
      </c>
      <c r="Q9" s="141">
        <v>75379.621483837385</v>
      </c>
      <c r="R9" s="141">
        <v>73223.439578868449</v>
      </c>
      <c r="S9" s="141">
        <v>71454.275441779624</v>
      </c>
      <c r="T9" s="141">
        <v>70342.831046871361</v>
      </c>
      <c r="U9" s="141">
        <v>70086.562706138953</v>
      </c>
      <c r="V9" s="141">
        <v>70852.852883090789</v>
      </c>
      <c r="W9" s="141">
        <v>71973.748435380214</v>
      </c>
      <c r="DA9" s="171" t="s">
        <v>250</v>
      </c>
    </row>
    <row r="10" spans="1:105" ht="12" customHeight="1" x14ac:dyDescent="0.25">
      <c r="A10" s="132" t="s">
        <v>128</v>
      </c>
      <c r="B10" s="141">
        <v>1617.8588931007846</v>
      </c>
      <c r="C10" s="141">
        <v>1630.7968789207025</v>
      </c>
      <c r="D10" s="141">
        <v>1639.9372458364805</v>
      </c>
      <c r="E10" s="141">
        <v>1608.6752762442532</v>
      </c>
      <c r="F10" s="141">
        <v>1523.500108010855</v>
      </c>
      <c r="G10" s="141">
        <v>1268.9232808678087</v>
      </c>
      <c r="H10" s="141">
        <v>1173.7120304985549</v>
      </c>
      <c r="I10" s="141">
        <v>1182.0977443415509</v>
      </c>
      <c r="J10" s="141">
        <v>1218.3274239644393</v>
      </c>
      <c r="K10" s="141">
        <v>1226.5861896793017</v>
      </c>
      <c r="L10" s="141">
        <v>1274.1703547032103</v>
      </c>
      <c r="M10" s="141">
        <v>1367.0133990987667</v>
      </c>
      <c r="N10" s="141">
        <v>1558.8733129003579</v>
      </c>
      <c r="O10" s="141">
        <v>1664.1599982978457</v>
      </c>
      <c r="P10" s="141">
        <v>1733.3680325298355</v>
      </c>
      <c r="Q10" s="141">
        <v>1775.6764563595013</v>
      </c>
      <c r="R10" s="141">
        <v>1718.1046080836848</v>
      </c>
      <c r="S10" s="141">
        <v>1713.6527027864311</v>
      </c>
      <c r="T10" s="141">
        <v>1684.0763497382602</v>
      </c>
      <c r="U10" s="141">
        <v>1676.9427844020354</v>
      </c>
      <c r="V10" s="141">
        <v>1575.069710562133</v>
      </c>
      <c r="W10" s="141">
        <v>1372.692417708987</v>
      </c>
      <c r="DA10" s="171" t="s">
        <v>251</v>
      </c>
    </row>
    <row r="11" spans="1:105" ht="12" customHeight="1" x14ac:dyDescent="0.25">
      <c r="A11" s="132" t="s">
        <v>25</v>
      </c>
      <c r="B11" s="141">
        <v>3899.1430211216834</v>
      </c>
      <c r="C11" s="141">
        <v>3917.4257643034839</v>
      </c>
      <c r="D11" s="141">
        <v>3967.8129561210549</v>
      </c>
      <c r="E11" s="141">
        <v>3789.2147573635998</v>
      </c>
      <c r="F11" s="141">
        <v>3450.7306086391554</v>
      </c>
      <c r="G11" s="141">
        <v>3419.2208335361606</v>
      </c>
      <c r="H11" s="141">
        <v>3755.1005092951541</v>
      </c>
      <c r="I11" s="141">
        <v>4289.2015653309754</v>
      </c>
      <c r="J11" s="141">
        <v>4685.0353947353497</v>
      </c>
      <c r="K11" s="141">
        <v>4735.5882419306026</v>
      </c>
      <c r="L11" s="141">
        <v>4886.9840132529143</v>
      </c>
      <c r="M11" s="141">
        <v>5150.1049599171974</v>
      </c>
      <c r="N11" s="141">
        <v>5335.9826012966469</v>
      </c>
      <c r="O11" s="141">
        <v>5178.6406374450298</v>
      </c>
      <c r="P11" s="141">
        <v>3581.1305431316946</v>
      </c>
      <c r="Q11" s="141">
        <v>2443.4297531558445</v>
      </c>
      <c r="R11" s="141">
        <v>1867.9509261138498</v>
      </c>
      <c r="S11" s="141">
        <v>2039.3772060582664</v>
      </c>
      <c r="T11" s="141">
        <v>2165.9932599260874</v>
      </c>
      <c r="U11" s="141">
        <v>2358.1396312626816</v>
      </c>
      <c r="V11" s="141">
        <v>2433.7906080482899</v>
      </c>
      <c r="W11" s="141">
        <v>2639.0101538127838</v>
      </c>
      <c r="DA11" s="171" t="s">
        <v>252</v>
      </c>
    </row>
    <row r="12" spans="1:105" ht="12" customHeight="1" x14ac:dyDescent="0.25">
      <c r="A12" s="132" t="s">
        <v>169</v>
      </c>
      <c r="B12" s="141">
        <v>13195.327128914947</v>
      </c>
      <c r="C12" s="141">
        <v>13249.482161522483</v>
      </c>
      <c r="D12" s="141">
        <v>12534.796342494888</v>
      </c>
      <c r="E12" s="141">
        <v>11853.377775947059</v>
      </c>
      <c r="F12" s="141">
        <v>10353.927514177938</v>
      </c>
      <c r="G12" s="141">
        <v>10437.721825789686</v>
      </c>
      <c r="H12" s="141">
        <v>11033.559395266899</v>
      </c>
      <c r="I12" s="141">
        <v>12493.946808557223</v>
      </c>
      <c r="J12" s="141">
        <v>13280.326821835968</v>
      </c>
      <c r="K12" s="141">
        <v>12684.986219281365</v>
      </c>
      <c r="L12" s="141">
        <v>11793.021543491806</v>
      </c>
      <c r="M12" s="141">
        <v>10909.445798367977</v>
      </c>
      <c r="N12" s="141">
        <v>10711.129538421881</v>
      </c>
      <c r="O12" s="141">
        <v>10929.179890313015</v>
      </c>
      <c r="P12" s="141">
        <v>11964.41945673448</v>
      </c>
      <c r="Q12" s="141">
        <v>13384.9516491129</v>
      </c>
      <c r="R12" s="141">
        <v>14625.950895306627</v>
      </c>
      <c r="S12" s="141">
        <v>15253.814007387809</v>
      </c>
      <c r="T12" s="141">
        <v>15313.30941085859</v>
      </c>
      <c r="U12" s="141">
        <v>15191.617640262633</v>
      </c>
      <c r="V12" s="141">
        <v>15083.017480177068</v>
      </c>
      <c r="W12" s="141">
        <v>15201.054271658146</v>
      </c>
      <c r="DA12" s="171" t="s">
        <v>253</v>
      </c>
    </row>
    <row r="13" spans="1:105" ht="12" customHeight="1" x14ac:dyDescent="0.25">
      <c r="A13" s="132" t="s">
        <v>77</v>
      </c>
      <c r="B13" s="141">
        <v>0.68098517114342505</v>
      </c>
      <c r="C13" s="141">
        <v>0.7663373979301763</v>
      </c>
      <c r="D13" s="141">
        <v>0.9561030868256446</v>
      </c>
      <c r="E13" s="141">
        <v>1.3486738474122617</v>
      </c>
      <c r="F13" s="141">
        <v>2.2836313352682613</v>
      </c>
      <c r="G13" s="141">
        <v>4.4015245293623861</v>
      </c>
      <c r="H13" s="141">
        <v>7.5562758506597554</v>
      </c>
      <c r="I13" s="141">
        <v>11.843721415281594</v>
      </c>
      <c r="J13" s="141">
        <v>15.026800058223621</v>
      </c>
      <c r="K13" s="141">
        <v>17.91415816403784</v>
      </c>
      <c r="L13" s="141">
        <v>24.482611906429195</v>
      </c>
      <c r="M13" s="141">
        <v>39.347000452166228</v>
      </c>
      <c r="N13" s="141">
        <v>74.336415589372209</v>
      </c>
      <c r="O13" s="141">
        <v>110.92728350839162</v>
      </c>
      <c r="P13" s="141">
        <v>148.77324683118192</v>
      </c>
      <c r="Q13" s="141">
        <v>157.04919306518539</v>
      </c>
      <c r="R13" s="141">
        <v>181.31009952888607</v>
      </c>
      <c r="S13" s="141">
        <v>229.20087613349668</v>
      </c>
      <c r="T13" s="141">
        <v>341.75860094025558</v>
      </c>
      <c r="U13" s="141">
        <v>454.0526361457085</v>
      </c>
      <c r="V13" s="141">
        <v>613.57359472481505</v>
      </c>
      <c r="W13" s="141">
        <v>724.67143246287321</v>
      </c>
      <c r="DA13" s="171" t="s">
        <v>254</v>
      </c>
    </row>
    <row r="14" spans="1:105" ht="12" customHeight="1" x14ac:dyDescent="0.25">
      <c r="A14" s="60" t="s">
        <v>76</v>
      </c>
      <c r="B14" s="142">
        <v>7593.2251533809431</v>
      </c>
      <c r="C14" s="142">
        <v>7163.6801622016947</v>
      </c>
      <c r="D14" s="142">
        <v>6477.1916092314477</v>
      </c>
      <c r="E14" s="142">
        <v>6174.7275011936363</v>
      </c>
      <c r="F14" s="142">
        <v>6856.9869386032169</v>
      </c>
      <c r="G14" s="142">
        <v>9015.7588467318146</v>
      </c>
      <c r="H14" s="142">
        <v>11790.067194367528</v>
      </c>
      <c r="I14" s="142">
        <v>14980.406320639635</v>
      </c>
      <c r="J14" s="142">
        <v>16707.897595464336</v>
      </c>
      <c r="K14" s="142">
        <v>17750.680475503505</v>
      </c>
      <c r="L14" s="142">
        <v>16341.349832544423</v>
      </c>
      <c r="M14" s="142">
        <v>13669.582084751055</v>
      </c>
      <c r="N14" s="142">
        <v>8342.4409106064159</v>
      </c>
      <c r="O14" s="142">
        <v>6290.3782916279388</v>
      </c>
      <c r="P14" s="142">
        <v>6508.4057075097307</v>
      </c>
      <c r="Q14" s="142">
        <v>8297.1893198498092</v>
      </c>
      <c r="R14" s="142">
        <v>10386.406105978747</v>
      </c>
      <c r="S14" s="142">
        <v>12637.518889919389</v>
      </c>
      <c r="T14" s="142">
        <v>14802.698311697784</v>
      </c>
      <c r="U14" s="142">
        <v>16098.726435751247</v>
      </c>
      <c r="V14" s="142">
        <v>16384.44373986507</v>
      </c>
      <c r="W14" s="142">
        <v>15891.781965761567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77636.566171922794</v>
      </c>
      <c r="C15" s="144">
        <f t="shared" si="3"/>
        <v>79724.544973091484</v>
      </c>
      <c r="D15" s="144">
        <f t="shared" si="3"/>
        <v>82354.689201403977</v>
      </c>
      <c r="E15" s="144">
        <f t="shared" si="3"/>
        <v>85945.449285893294</v>
      </c>
      <c r="F15" s="144">
        <f t="shared" si="3"/>
        <v>86700.296398343096</v>
      </c>
      <c r="G15" s="144">
        <f t="shared" si="3"/>
        <v>86744.52171389031</v>
      </c>
      <c r="H15" s="144">
        <f t="shared" si="3"/>
        <v>85285.736892053654</v>
      </c>
      <c r="I15" s="144">
        <f t="shared" si="3"/>
        <v>83986.202600087447</v>
      </c>
      <c r="J15" s="144">
        <f t="shared" si="3"/>
        <v>81684.756474261827</v>
      </c>
      <c r="K15" s="144">
        <f t="shared" si="3"/>
        <v>80218.370664875343</v>
      </c>
      <c r="L15" s="144">
        <f t="shared" si="3"/>
        <v>81644.485845696181</v>
      </c>
      <c r="M15" s="144">
        <f t="shared" si="3"/>
        <v>84734.774167388139</v>
      </c>
      <c r="N15" s="144">
        <f t="shared" si="3"/>
        <v>90741.01605484591</v>
      </c>
      <c r="O15" s="144">
        <f t="shared" si="3"/>
        <v>93800.123969686916</v>
      </c>
      <c r="P15" s="144">
        <f t="shared" si="3"/>
        <v>96691.142455911759</v>
      </c>
      <c r="Q15" s="144">
        <f t="shared" si="3"/>
        <v>94967.416833821495</v>
      </c>
      <c r="R15" s="144">
        <f t="shared" ref="R15:W15" si="4">SUM(R5:R12)</f>
        <v>93846.634989989732</v>
      </c>
      <c r="S15" s="144">
        <f t="shared" si="4"/>
        <v>93005.584872934851</v>
      </c>
      <c r="T15" s="144">
        <f t="shared" si="4"/>
        <v>92181.506004476789</v>
      </c>
      <c r="U15" s="144">
        <f t="shared" si="4"/>
        <v>92017.441225322633</v>
      </c>
      <c r="V15" s="144">
        <f t="shared" si="4"/>
        <v>92726.724887632357</v>
      </c>
      <c r="W15" s="144">
        <f t="shared" si="4"/>
        <v>94209.823916541398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13831.112409112913</v>
      </c>
      <c r="C16" s="140">
        <f t="shared" si="5"/>
        <v>14350.148448233513</v>
      </c>
      <c r="D16" s="140">
        <f t="shared" si="5"/>
        <v>15294.086965458213</v>
      </c>
      <c r="E16" s="140">
        <f t="shared" si="5"/>
        <v>16125.964576557813</v>
      </c>
      <c r="F16" s="140">
        <f t="shared" si="5"/>
        <v>17222.429932670177</v>
      </c>
      <c r="G16" s="140">
        <f t="shared" si="5"/>
        <v>18109.471899301818</v>
      </c>
      <c r="H16" s="140">
        <f t="shared" si="5"/>
        <v>19459.943704886384</v>
      </c>
      <c r="I16" s="140">
        <f t="shared" si="5"/>
        <v>20800.346409258607</v>
      </c>
      <c r="J16" s="140">
        <f t="shared" si="5"/>
        <v>21742.114412233939</v>
      </c>
      <c r="K16" s="140">
        <f t="shared" si="5"/>
        <v>22672.161412628124</v>
      </c>
      <c r="L16" s="140">
        <f t="shared" si="5"/>
        <v>23572.108984740167</v>
      </c>
      <c r="M16" s="140">
        <f t="shared" si="5"/>
        <v>24079.239638100626</v>
      </c>
      <c r="N16" s="140">
        <f t="shared" si="5"/>
        <v>24883.489559021316</v>
      </c>
      <c r="O16" s="140">
        <f t="shared" si="5"/>
        <v>25229.720685789569</v>
      </c>
      <c r="P16" s="140">
        <f t="shared" si="5"/>
        <v>26322.44374823519</v>
      </c>
      <c r="Q16" s="140">
        <f t="shared" si="5"/>
        <v>26736.756796072586</v>
      </c>
      <c r="R16" s="140">
        <f t="shared" ref="R16:W16" si="6">SUM(R17:R18)</f>
        <v>27391.973021181584</v>
      </c>
      <c r="S16" s="140">
        <f t="shared" si="6"/>
        <v>27809.051207181801</v>
      </c>
      <c r="T16" s="140">
        <f t="shared" si="6"/>
        <v>28950.430695883853</v>
      </c>
      <c r="U16" s="140">
        <f t="shared" si="6"/>
        <v>29993.575154668531</v>
      </c>
      <c r="V16" s="140">
        <f t="shared" si="6"/>
        <v>30057.838010197811</v>
      </c>
      <c r="W16" s="140">
        <f t="shared" si="6"/>
        <v>30589.838926260894</v>
      </c>
      <c r="DA16" s="170" t="s">
        <v>256</v>
      </c>
    </row>
    <row r="17" spans="1:105" ht="12.95" customHeight="1" x14ac:dyDescent="0.25">
      <c r="A17" s="132" t="s">
        <v>73</v>
      </c>
      <c r="B17" s="141">
        <v>38.159124528943693</v>
      </c>
      <c r="C17" s="141">
        <v>42.913756488723308</v>
      </c>
      <c r="D17" s="141">
        <v>50.787164263753212</v>
      </c>
      <c r="E17" s="141">
        <v>56.912169383775662</v>
      </c>
      <c r="F17" s="141">
        <v>57.52487543735301</v>
      </c>
      <c r="G17" s="141">
        <v>62.186634044237223</v>
      </c>
      <c r="H17" s="141">
        <v>71.444949554780919</v>
      </c>
      <c r="I17" s="141">
        <v>80.05753293256376</v>
      </c>
      <c r="J17" s="141">
        <v>81.537063125793566</v>
      </c>
      <c r="K17" s="141">
        <v>88.509646523327575</v>
      </c>
      <c r="L17" s="141">
        <v>101.53739005410782</v>
      </c>
      <c r="M17" s="141">
        <v>114.41526761927057</v>
      </c>
      <c r="N17" s="141">
        <v>131.28057399515379</v>
      </c>
      <c r="O17" s="141">
        <v>145.99322938994035</v>
      </c>
      <c r="P17" s="141">
        <v>158.50039332183579</v>
      </c>
      <c r="Q17" s="141">
        <v>173.25342523777906</v>
      </c>
      <c r="R17" s="141">
        <v>186.9502113936353</v>
      </c>
      <c r="S17" s="141">
        <v>217.52794123799558</v>
      </c>
      <c r="T17" s="141">
        <v>239.91478759913997</v>
      </c>
      <c r="U17" s="141">
        <v>291.99129428661666</v>
      </c>
      <c r="V17" s="141">
        <v>332.99404275045464</v>
      </c>
      <c r="W17" s="141">
        <v>348.67038517728798</v>
      </c>
      <c r="DA17" s="171" t="s">
        <v>257</v>
      </c>
    </row>
    <row r="18" spans="1:105" ht="12" customHeight="1" x14ac:dyDescent="0.25">
      <c r="A18" s="132" t="s">
        <v>72</v>
      </c>
      <c r="B18" s="141">
        <v>13792.953284583969</v>
      </c>
      <c r="C18" s="141">
        <v>14307.234691744789</v>
      </c>
      <c r="D18" s="141">
        <v>15243.29980119446</v>
      </c>
      <c r="E18" s="141">
        <v>16069.052407174038</v>
      </c>
      <c r="F18" s="141">
        <v>17164.905057232823</v>
      </c>
      <c r="G18" s="141">
        <v>18047.285265257582</v>
      </c>
      <c r="H18" s="141">
        <v>19388.498755331602</v>
      </c>
      <c r="I18" s="141">
        <v>20720.288876326045</v>
      </c>
      <c r="J18" s="141">
        <v>21660.577349108145</v>
      </c>
      <c r="K18" s="141">
        <v>22583.651766104795</v>
      </c>
      <c r="L18" s="141">
        <v>23470.571594686058</v>
      </c>
      <c r="M18" s="141">
        <v>23964.824370481354</v>
      </c>
      <c r="N18" s="141">
        <v>24752.208985026162</v>
      </c>
      <c r="O18" s="141">
        <v>25083.727456399629</v>
      </c>
      <c r="P18" s="141">
        <v>26163.943354913354</v>
      </c>
      <c r="Q18" s="141">
        <v>26563.503370834809</v>
      </c>
      <c r="R18" s="141">
        <v>27205.022809787948</v>
      </c>
      <c r="S18" s="141">
        <v>27591.523265943804</v>
      </c>
      <c r="T18" s="141">
        <v>28710.515908284713</v>
      </c>
      <c r="U18" s="141">
        <v>29701.583860381914</v>
      </c>
      <c r="V18" s="141">
        <v>29724.843967447356</v>
      </c>
      <c r="W18" s="141">
        <v>30241.168541083607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85230.47231047487</v>
      </c>
      <c r="C19" s="140">
        <f t="shared" si="7"/>
        <v>86888.991472691094</v>
      </c>
      <c r="D19" s="140">
        <f t="shared" si="7"/>
        <v>88832.836913722247</v>
      </c>
      <c r="E19" s="140">
        <f t="shared" si="7"/>
        <v>92121.525460934368</v>
      </c>
      <c r="F19" s="140">
        <f t="shared" si="7"/>
        <v>93559.56696828155</v>
      </c>
      <c r="G19" s="140">
        <f t="shared" si="7"/>
        <v>95764.682085151464</v>
      </c>
      <c r="H19" s="140">
        <f t="shared" si="7"/>
        <v>97083.360362271778</v>
      </c>
      <c r="I19" s="140">
        <f t="shared" si="7"/>
        <v>98978.452642142336</v>
      </c>
      <c r="J19" s="140">
        <f t="shared" si="7"/>
        <v>98407.68086978441</v>
      </c>
      <c r="K19" s="140">
        <f t="shared" si="7"/>
        <v>97986.965298542869</v>
      </c>
      <c r="L19" s="140">
        <f t="shared" si="7"/>
        <v>98010.31829014697</v>
      </c>
      <c r="M19" s="140">
        <f t="shared" si="7"/>
        <v>98443.703252591396</v>
      </c>
      <c r="N19" s="140">
        <f t="shared" si="7"/>
        <v>99157.793381041731</v>
      </c>
      <c r="O19" s="140">
        <f t="shared" si="7"/>
        <v>100201.42954482333</v>
      </c>
      <c r="P19" s="140">
        <f t="shared" si="7"/>
        <v>103348.32141025261</v>
      </c>
      <c r="Q19" s="140">
        <f t="shared" si="7"/>
        <v>103421.6553467365</v>
      </c>
      <c r="R19" s="140">
        <f t="shared" ref="R19:W19" si="8">SUM(R20:R26)</f>
        <v>104414.35119549748</v>
      </c>
      <c r="S19" s="140">
        <f t="shared" si="8"/>
        <v>105872.30463898779</v>
      </c>
      <c r="T19" s="140">
        <f t="shared" si="8"/>
        <v>107325.96291711487</v>
      </c>
      <c r="U19" s="140">
        <f t="shared" si="8"/>
        <v>108570.22029721949</v>
      </c>
      <c r="V19" s="140">
        <f t="shared" si="8"/>
        <v>109724.74222222221</v>
      </c>
      <c r="W19" s="140">
        <f t="shared" si="8"/>
        <v>110826.27731476593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0</v>
      </c>
      <c r="C22" s="141">
        <v>0</v>
      </c>
      <c r="D22" s="141">
        <v>0</v>
      </c>
      <c r="E22" s="141">
        <v>0</v>
      </c>
      <c r="F22" s="141">
        <v>0</v>
      </c>
      <c r="G22" s="141">
        <v>0</v>
      </c>
      <c r="H22" s="141">
        <v>0</v>
      </c>
      <c r="I22" s="141">
        <v>0</v>
      </c>
      <c r="J22" s="141">
        <v>0</v>
      </c>
      <c r="K22" s="141">
        <v>0</v>
      </c>
      <c r="L22" s="141">
        <v>0</v>
      </c>
      <c r="M22" s="141">
        <v>0</v>
      </c>
      <c r="N22" s="141">
        <v>0</v>
      </c>
      <c r="O22" s="141">
        <v>0</v>
      </c>
      <c r="P22" s="141">
        <v>0</v>
      </c>
      <c r="Q22" s="141">
        <v>0</v>
      </c>
      <c r="R22" s="141">
        <v>0</v>
      </c>
      <c r="S22" s="141">
        <v>0</v>
      </c>
      <c r="T22" s="141">
        <v>0</v>
      </c>
      <c r="U22" s="141">
        <v>0</v>
      </c>
      <c r="V22" s="141">
        <v>0</v>
      </c>
      <c r="W22" s="141">
        <v>0</v>
      </c>
      <c r="DA22" s="171" t="s">
        <v>262</v>
      </c>
    </row>
    <row r="23" spans="1:105" ht="12" customHeight="1" x14ac:dyDescent="0.25">
      <c r="A23" s="132" t="s">
        <v>153</v>
      </c>
      <c r="B23" s="141">
        <v>35018.600570944363</v>
      </c>
      <c r="C23" s="141">
        <v>35703.932319545929</v>
      </c>
      <c r="D23" s="141">
        <v>37495.325376830566</v>
      </c>
      <c r="E23" s="141">
        <v>39406.886907739892</v>
      </c>
      <c r="F23" s="141">
        <v>41204.330701105253</v>
      </c>
      <c r="G23" s="141">
        <v>42726.301037252124</v>
      </c>
      <c r="H23" s="141">
        <v>44468.942866873978</v>
      </c>
      <c r="I23" s="141">
        <v>47613.724938531443</v>
      </c>
      <c r="J23" s="141">
        <v>49282.883700042861</v>
      </c>
      <c r="K23" s="141">
        <v>51441.640319063103</v>
      </c>
      <c r="L23" s="141">
        <v>53508.550690101751</v>
      </c>
      <c r="M23" s="141">
        <v>55772.495520440702</v>
      </c>
      <c r="N23" s="141">
        <v>56782.023445166516</v>
      </c>
      <c r="O23" s="141">
        <v>59872.1018793025</v>
      </c>
      <c r="P23" s="141">
        <v>63876.651506163165</v>
      </c>
      <c r="Q23" s="141">
        <v>64230.338696032748</v>
      </c>
      <c r="R23" s="141">
        <v>64790.817725527777</v>
      </c>
      <c r="S23" s="141">
        <v>65797.495430454044</v>
      </c>
      <c r="T23" s="141">
        <v>67101.694846743208</v>
      </c>
      <c r="U23" s="141">
        <v>67797.851092289988</v>
      </c>
      <c r="V23" s="141">
        <v>68610.307998142074</v>
      </c>
      <c r="W23" s="141">
        <v>68816.514038537251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1738.8628780603165</v>
      </c>
      <c r="O24" s="141">
        <v>2269.4954753240713</v>
      </c>
      <c r="P24" s="141">
        <v>2555.4753858639278</v>
      </c>
      <c r="Q24" s="141">
        <v>2551.26630253237</v>
      </c>
      <c r="R24" s="141">
        <v>2516.9480294168648</v>
      </c>
      <c r="S24" s="141">
        <v>2477.2441137147048</v>
      </c>
      <c r="T24" s="141">
        <v>2440.1805420919186</v>
      </c>
      <c r="U24" s="141">
        <v>2398.9474479999071</v>
      </c>
      <c r="V24" s="141">
        <v>2361.1926617441313</v>
      </c>
      <c r="W24" s="141">
        <v>2219.2828786824002</v>
      </c>
      <c r="DA24" s="171" t="s">
        <v>264</v>
      </c>
    </row>
    <row r="25" spans="1:105" ht="12" customHeight="1" x14ac:dyDescent="0.25">
      <c r="A25" s="132" t="s">
        <v>169</v>
      </c>
      <c r="B25" s="141">
        <v>8746.4591652597865</v>
      </c>
      <c r="C25" s="141">
        <v>8719.9585214452491</v>
      </c>
      <c r="D25" s="141">
        <v>8735.2958713785101</v>
      </c>
      <c r="E25" s="141">
        <v>8857.4250791259929</v>
      </c>
      <c r="F25" s="141">
        <v>9044.0121603235984</v>
      </c>
      <c r="G25" s="141">
        <v>9426.7432748719548</v>
      </c>
      <c r="H25" s="141">
        <v>9791.0693948442949</v>
      </c>
      <c r="I25" s="141">
        <v>10195.222586841102</v>
      </c>
      <c r="J25" s="141">
        <v>10592.603358741741</v>
      </c>
      <c r="K25" s="141">
        <v>10869.609093659092</v>
      </c>
      <c r="L25" s="141">
        <v>11083.484752934679</v>
      </c>
      <c r="M25" s="141">
        <v>11203.280188684612</v>
      </c>
      <c r="N25" s="141">
        <v>11314.688088942965</v>
      </c>
      <c r="O25" s="141">
        <v>11379.81303718975</v>
      </c>
      <c r="P25" s="141">
        <v>11529.361218744543</v>
      </c>
      <c r="Q25" s="141">
        <v>11713.319991068271</v>
      </c>
      <c r="R25" s="141">
        <v>11826.81584624379</v>
      </c>
      <c r="S25" s="141">
        <v>11924.097461247346</v>
      </c>
      <c r="T25" s="141">
        <v>11833.26319526728</v>
      </c>
      <c r="U25" s="141">
        <v>11754.858708492353</v>
      </c>
      <c r="V25" s="141">
        <v>11400.110767562421</v>
      </c>
      <c r="W25" s="141">
        <v>11202.721022379281</v>
      </c>
      <c r="DA25" s="171" t="s">
        <v>265</v>
      </c>
    </row>
    <row r="26" spans="1:105" ht="12" customHeight="1" x14ac:dyDescent="0.25">
      <c r="A26" s="132" t="s">
        <v>24</v>
      </c>
      <c r="B26" s="142">
        <v>41465.412574270718</v>
      </c>
      <c r="C26" s="142">
        <v>42465.100631699912</v>
      </c>
      <c r="D26" s="142">
        <v>42602.215665513177</v>
      </c>
      <c r="E26" s="142">
        <v>43857.213474068485</v>
      </c>
      <c r="F26" s="142">
        <v>43311.224106852693</v>
      </c>
      <c r="G26" s="142">
        <v>43611.637773027389</v>
      </c>
      <c r="H26" s="142">
        <v>42823.3481005535</v>
      </c>
      <c r="I26" s="142">
        <v>41169.505116769782</v>
      </c>
      <c r="J26" s="142">
        <v>38532.193810999808</v>
      </c>
      <c r="K26" s="142">
        <v>35675.715885820675</v>
      </c>
      <c r="L26" s="142">
        <v>33418.282847110546</v>
      </c>
      <c r="M26" s="142">
        <v>31467.927543466074</v>
      </c>
      <c r="N26" s="142">
        <v>29322.218968871945</v>
      </c>
      <c r="O26" s="142">
        <v>26680.019153007011</v>
      </c>
      <c r="P26" s="142">
        <v>25386.833299480979</v>
      </c>
      <c r="Q26" s="142">
        <v>24926.730357103104</v>
      </c>
      <c r="R26" s="142">
        <v>25279.769594309048</v>
      </c>
      <c r="S26" s="142">
        <v>25673.467633571676</v>
      </c>
      <c r="T26" s="142">
        <v>25950.824333012475</v>
      </c>
      <c r="U26" s="142">
        <v>26618.563048437256</v>
      </c>
      <c r="V26" s="142">
        <v>27353.130794773573</v>
      </c>
      <c r="W26" s="142">
        <v>28587.759375167014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21.063042436577064</v>
      </c>
      <c r="H27" s="151">
        <v>46.126898284405065</v>
      </c>
      <c r="I27" s="151">
        <v>65.092325562862797</v>
      </c>
      <c r="J27" s="151">
        <v>89.222604498893077</v>
      </c>
      <c r="K27" s="151">
        <v>107.26629652183279</v>
      </c>
      <c r="L27" s="151">
        <v>148.50096054638419</v>
      </c>
      <c r="M27" s="151">
        <v>178.22413390921824</v>
      </c>
      <c r="N27" s="151">
        <v>157.26586399401904</v>
      </c>
      <c r="O27" s="151">
        <v>160.43812990182923</v>
      </c>
      <c r="P27" s="151">
        <v>184.58300615075333</v>
      </c>
      <c r="Q27" s="151">
        <v>203.67880652859191</v>
      </c>
      <c r="R27" s="151">
        <v>198.51294573928891</v>
      </c>
      <c r="S27" s="151">
        <v>216.21832404737543</v>
      </c>
      <c r="T27" s="151">
        <v>216.30122323740602</v>
      </c>
      <c r="U27" s="151">
        <v>239.62874456593588</v>
      </c>
      <c r="V27" s="151">
        <v>268.96903050587673</v>
      </c>
      <c r="W27" s="151">
        <v>241.87024334397361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85230.47231047487</v>
      </c>
      <c r="C29" s="140">
        <f t="shared" si="9"/>
        <v>86888.991472691094</v>
      </c>
      <c r="D29" s="140">
        <f t="shared" si="9"/>
        <v>88832.836913722247</v>
      </c>
      <c r="E29" s="140">
        <f t="shared" si="9"/>
        <v>92121.525460934383</v>
      </c>
      <c r="F29" s="140">
        <f t="shared" si="9"/>
        <v>93559.566968281579</v>
      </c>
      <c r="G29" s="140">
        <f t="shared" si="9"/>
        <v>95764.682085151406</v>
      </c>
      <c r="H29" s="140">
        <f t="shared" si="9"/>
        <v>97083.360362271807</v>
      </c>
      <c r="I29" s="140">
        <f t="shared" si="9"/>
        <v>98978.452642142351</v>
      </c>
      <c r="J29" s="140">
        <f t="shared" si="9"/>
        <v>98407.680869784337</v>
      </c>
      <c r="K29" s="140">
        <f t="shared" si="9"/>
        <v>97986.965298542811</v>
      </c>
      <c r="L29" s="140">
        <f t="shared" si="9"/>
        <v>98010.31829014697</v>
      </c>
      <c r="M29" s="140">
        <f t="shared" si="9"/>
        <v>98443.703252591382</v>
      </c>
      <c r="N29" s="140">
        <f t="shared" si="9"/>
        <v>99157.793381041673</v>
      </c>
      <c r="O29" s="140">
        <f t="shared" si="9"/>
        <v>100201.42954482324</v>
      </c>
      <c r="P29" s="140">
        <f t="shared" si="9"/>
        <v>103348.32141025265</v>
      </c>
      <c r="Q29" s="140">
        <f t="shared" si="9"/>
        <v>103421.65534673653</v>
      </c>
      <c r="R29" s="140">
        <f t="shared" ref="R29:W29" si="10">SUM(R30:R33)</f>
        <v>104414.35119549747</v>
      </c>
      <c r="S29" s="140">
        <f t="shared" si="10"/>
        <v>105872.30463898776</v>
      </c>
      <c r="T29" s="140">
        <f t="shared" si="10"/>
        <v>107325.96291711486</v>
      </c>
      <c r="U29" s="140">
        <f t="shared" si="10"/>
        <v>108570.22029721949</v>
      </c>
      <c r="V29" s="140">
        <f t="shared" si="10"/>
        <v>109724.74222222212</v>
      </c>
      <c r="W29" s="140">
        <f t="shared" si="10"/>
        <v>110826.27731476602</v>
      </c>
      <c r="DA29" s="170" t="s">
        <v>268</v>
      </c>
    </row>
    <row r="30" spans="1:105" ht="12" customHeight="1" x14ac:dyDescent="0.25">
      <c r="A30" s="132" t="s">
        <v>52</v>
      </c>
      <c r="B30" s="141">
        <v>17113.17159451648</v>
      </c>
      <c r="C30" s="141">
        <v>16093.506542875868</v>
      </c>
      <c r="D30" s="141">
        <v>15261.071976086088</v>
      </c>
      <c r="E30" s="141">
        <v>13465.599094912426</v>
      </c>
      <c r="F30" s="141">
        <v>10878.535315011784</v>
      </c>
      <c r="G30" s="141">
        <v>9672.340690580746</v>
      </c>
      <c r="H30" s="141">
        <v>8757.717382984134</v>
      </c>
      <c r="I30" s="141">
        <v>8435.4594939889193</v>
      </c>
      <c r="J30" s="141">
        <v>7779.9552725913945</v>
      </c>
      <c r="K30" s="141">
        <v>7472.2507184020942</v>
      </c>
      <c r="L30" s="141">
        <v>7297.0624978672722</v>
      </c>
      <c r="M30" s="141">
        <v>6717.7770653563639</v>
      </c>
      <c r="N30" s="141">
        <v>6129.7712168735161</v>
      </c>
      <c r="O30" s="141">
        <v>5486.6401933818388</v>
      </c>
      <c r="P30" s="141">
        <v>5400.1012657404071</v>
      </c>
      <c r="Q30" s="141">
        <v>5347.226556482522</v>
      </c>
      <c r="R30" s="141">
        <v>5003.8095689750771</v>
      </c>
      <c r="S30" s="141">
        <v>4712.0423216734216</v>
      </c>
      <c r="T30" s="141">
        <v>5113.1818916824914</v>
      </c>
      <c r="U30" s="141">
        <v>5403.940370408397</v>
      </c>
      <c r="V30" s="141">
        <v>5717.9567659969762</v>
      </c>
      <c r="W30" s="141">
        <v>5785.8619374075406</v>
      </c>
      <c r="DA30" s="171" t="s">
        <v>269</v>
      </c>
    </row>
    <row r="31" spans="1:105" ht="12" customHeight="1" x14ac:dyDescent="0.25">
      <c r="A31" s="132" t="s">
        <v>153</v>
      </c>
      <c r="B31" s="141">
        <v>6267.407770962468</v>
      </c>
      <c r="C31" s="141">
        <v>9071.3235458052241</v>
      </c>
      <c r="D31" s="141">
        <v>13645.405801932668</v>
      </c>
      <c r="E31" s="141">
        <v>19252.07612829869</v>
      </c>
      <c r="F31" s="141">
        <v>25573.166126905948</v>
      </c>
      <c r="G31" s="141">
        <v>31334.199543174032</v>
      </c>
      <c r="H31" s="141">
        <v>36512.049262070788</v>
      </c>
      <c r="I31" s="141">
        <v>40637.532715262401</v>
      </c>
      <c r="J31" s="141">
        <v>43770.208697011687</v>
      </c>
      <c r="K31" s="141">
        <v>45929.231681713114</v>
      </c>
      <c r="L31" s="141">
        <v>48279.393568664927</v>
      </c>
      <c r="M31" s="141">
        <v>51488.056607137994</v>
      </c>
      <c r="N31" s="141">
        <v>54658.50128286425</v>
      </c>
      <c r="O31" s="141">
        <v>57320.958882185427</v>
      </c>
      <c r="P31" s="141">
        <v>59369.728428687791</v>
      </c>
      <c r="Q31" s="141">
        <v>59237.232003725185</v>
      </c>
      <c r="R31" s="141">
        <v>58657.266947704753</v>
      </c>
      <c r="S31" s="141">
        <v>58669.927381110625</v>
      </c>
      <c r="T31" s="141">
        <v>58657.20909206746</v>
      </c>
      <c r="U31" s="141">
        <v>59034.561157020456</v>
      </c>
      <c r="V31" s="141">
        <v>59571.704347013911</v>
      </c>
      <c r="W31" s="141">
        <v>60638.700374278524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61849.892944995918</v>
      </c>
      <c r="C33" s="153">
        <v>61724.161384010004</v>
      </c>
      <c r="D33" s="153">
        <v>59926.359135703489</v>
      </c>
      <c r="E33" s="153">
        <v>59403.850237723258</v>
      </c>
      <c r="F33" s="153">
        <v>57107.865526363843</v>
      </c>
      <c r="G33" s="153">
        <v>54758.141851396635</v>
      </c>
      <c r="H33" s="153">
        <v>51813.593717216878</v>
      </c>
      <c r="I33" s="153">
        <v>49905.460432891028</v>
      </c>
      <c r="J33" s="153">
        <v>46857.516900181254</v>
      </c>
      <c r="K33" s="153">
        <v>44585.48289842761</v>
      </c>
      <c r="L33" s="153">
        <v>42433.862223614778</v>
      </c>
      <c r="M33" s="153">
        <v>40237.869580097024</v>
      </c>
      <c r="N33" s="153">
        <v>38369.520881303899</v>
      </c>
      <c r="O33" s="153">
        <v>37393.830469255983</v>
      </c>
      <c r="P33" s="153">
        <v>38578.491715824464</v>
      </c>
      <c r="Q33" s="153">
        <v>38837.196786528824</v>
      </c>
      <c r="R33" s="153">
        <v>40753.274678817645</v>
      </c>
      <c r="S33" s="153">
        <v>42490.334936203704</v>
      </c>
      <c r="T33" s="153">
        <v>43555.571933364903</v>
      </c>
      <c r="U33" s="153">
        <v>44131.718769790634</v>
      </c>
      <c r="V33" s="153">
        <v>44435.081109211227</v>
      </c>
      <c r="W33" s="153">
        <v>44401.71500307996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2704.4765715903236</v>
      </c>
      <c r="C3" s="126">
        <f t="shared" si="0"/>
        <v>2856.4005635540329</v>
      </c>
      <c r="D3" s="126">
        <f t="shared" si="0"/>
        <v>2607.8852887984617</v>
      </c>
      <c r="E3" s="126">
        <f t="shared" si="0"/>
        <v>2704.5821391642121</v>
      </c>
      <c r="F3" s="126">
        <f t="shared" si="0"/>
        <v>3150.9589923149078</v>
      </c>
      <c r="G3" s="126">
        <f t="shared" si="0"/>
        <v>3088.3174496984757</v>
      </c>
      <c r="H3" s="126">
        <f t="shared" si="0"/>
        <v>2753.5576123471196</v>
      </c>
      <c r="I3" s="126">
        <f t="shared" si="0"/>
        <v>2349.0925112778982</v>
      </c>
      <c r="J3" s="126">
        <f t="shared" si="0"/>
        <v>2288.608563544416</v>
      </c>
      <c r="K3" s="126">
        <f t="shared" si="0"/>
        <v>2446.086014043382</v>
      </c>
      <c r="L3" s="126">
        <f t="shared" si="0"/>
        <v>2590.3687526860704</v>
      </c>
      <c r="M3" s="126">
        <f t="shared" si="0"/>
        <v>2593.4068605193788</v>
      </c>
      <c r="N3" s="126">
        <f t="shared" si="0"/>
        <v>1908.3473841376876</v>
      </c>
      <c r="O3" s="126">
        <f t="shared" si="0"/>
        <v>1898.6478523989251</v>
      </c>
      <c r="P3" s="126">
        <f t="shared" si="0"/>
        <v>1677.3479238368916</v>
      </c>
      <c r="Q3" s="126">
        <f t="shared" si="0"/>
        <v>1778.4264416980973</v>
      </c>
      <c r="R3" s="126">
        <f t="shared" ref="R3:W3" si="1">SUM(R4,R16,R19,R29)</f>
        <v>1772.8326403742485</v>
      </c>
      <c r="S3" s="126">
        <f t="shared" si="1"/>
        <v>1744.7540127379482</v>
      </c>
      <c r="T3" s="126">
        <f t="shared" si="1"/>
        <v>1697.5594419114411</v>
      </c>
      <c r="U3" s="126">
        <f t="shared" si="1"/>
        <v>1659.7122467629276</v>
      </c>
      <c r="V3" s="126">
        <f t="shared" si="1"/>
        <v>1632.6319747289758</v>
      </c>
      <c r="W3" s="126">
        <f t="shared" si="1"/>
        <v>1716.9760273852967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2289.3529481946857</v>
      </c>
      <c r="C4" s="131">
        <f t="shared" si="2"/>
        <v>2436.2507335305927</v>
      </c>
      <c r="D4" s="131">
        <f t="shared" si="2"/>
        <v>2175.0450366541736</v>
      </c>
      <c r="E4" s="131">
        <f t="shared" si="2"/>
        <v>2256.8554078643187</v>
      </c>
      <c r="F4" s="131">
        <f t="shared" si="2"/>
        <v>2700.2216520661696</v>
      </c>
      <c r="G4" s="131">
        <f t="shared" si="2"/>
        <v>2631.0812855213344</v>
      </c>
      <c r="H4" s="131">
        <f t="shared" si="2"/>
        <v>2287.3762163575248</v>
      </c>
      <c r="I4" s="131">
        <f t="shared" si="2"/>
        <v>1878.7146807158313</v>
      </c>
      <c r="J4" s="131">
        <f t="shared" si="2"/>
        <v>1819.9361942008195</v>
      </c>
      <c r="K4" s="131">
        <f t="shared" si="2"/>
        <v>1974.5323703435743</v>
      </c>
      <c r="L4" s="131">
        <f t="shared" si="2"/>
        <v>2112.8622988015786</v>
      </c>
      <c r="M4" s="131">
        <f t="shared" si="2"/>
        <v>2116.0147792791404</v>
      </c>
      <c r="N4" s="131">
        <f t="shared" si="2"/>
        <v>1423.9278836665651</v>
      </c>
      <c r="O4" s="131">
        <f t="shared" si="2"/>
        <v>1418.1255922540388</v>
      </c>
      <c r="P4" s="131">
        <f t="shared" si="2"/>
        <v>1199.3483496781646</v>
      </c>
      <c r="Q4" s="131">
        <f t="shared" si="2"/>
        <v>1294.4667483280707</v>
      </c>
      <c r="R4" s="131">
        <f t="shared" ref="R4:W4" si="3">SUM(R5:R15)</f>
        <v>1298.2401243813049</v>
      </c>
      <c r="S4" s="131">
        <f t="shared" si="3"/>
        <v>1271.1152215260408</v>
      </c>
      <c r="T4" s="131">
        <f t="shared" si="3"/>
        <v>1219.3158612219875</v>
      </c>
      <c r="U4" s="131">
        <f t="shared" si="3"/>
        <v>1186.2865364661316</v>
      </c>
      <c r="V4" s="131">
        <f t="shared" si="3"/>
        <v>1193.5569128868285</v>
      </c>
      <c r="W4" s="131">
        <f t="shared" si="3"/>
        <v>1256.4570141095051</v>
      </c>
      <c r="DA4" s="156" t="s">
        <v>213</v>
      </c>
    </row>
    <row r="5" spans="1:105" ht="12" customHeight="1" x14ac:dyDescent="0.25">
      <c r="A5" s="132" t="s">
        <v>29</v>
      </c>
      <c r="B5" s="133">
        <v>23.16956147893379</v>
      </c>
      <c r="C5" s="133">
        <v>13.376268271711091</v>
      </c>
      <c r="D5" s="133">
        <v>10.530266552020636</v>
      </c>
      <c r="E5" s="133">
        <v>9.8524505588993971</v>
      </c>
      <c r="F5" s="133">
        <v>6.1796216680997418</v>
      </c>
      <c r="G5" s="133">
        <v>2.3913155631986238</v>
      </c>
      <c r="H5" s="133">
        <v>4.3846947549441095</v>
      </c>
      <c r="I5" s="133">
        <v>3.6223559759243336</v>
      </c>
      <c r="J5" s="133">
        <v>3.4360275150472912</v>
      </c>
      <c r="K5" s="133">
        <v>2.8388650042992256</v>
      </c>
      <c r="L5" s="133">
        <v>2.7337919174548575</v>
      </c>
      <c r="M5" s="133">
        <v>3.0481513327601033</v>
      </c>
      <c r="N5" s="133">
        <v>0.85270851246775559</v>
      </c>
      <c r="O5" s="133">
        <v>2.4505588993981084</v>
      </c>
      <c r="P5" s="133">
        <v>2.2905417024935506</v>
      </c>
      <c r="Q5" s="133">
        <v>2.9263112639724862</v>
      </c>
      <c r="R5" s="133">
        <v>2.8895098882201191</v>
      </c>
      <c r="S5" s="133">
        <v>1.4721410146173679</v>
      </c>
      <c r="T5" s="133">
        <v>1.5094582975064492</v>
      </c>
      <c r="U5" s="133">
        <v>1.486070507308684</v>
      </c>
      <c r="V5" s="133">
        <v>1.2000859845227847</v>
      </c>
      <c r="W5" s="133">
        <v>1.1941530524505586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33.051504729148753</v>
      </c>
      <c r="C7" s="133">
        <v>34.900171969045573</v>
      </c>
      <c r="D7" s="133">
        <v>16.403955288048152</v>
      </c>
      <c r="E7" s="133">
        <v>12.20017196904557</v>
      </c>
      <c r="F7" s="133">
        <v>11.063370593293207</v>
      </c>
      <c r="G7" s="133">
        <v>12.066552020636284</v>
      </c>
      <c r="H7" s="133">
        <v>9.0712811693895077</v>
      </c>
      <c r="I7" s="133">
        <v>0</v>
      </c>
      <c r="J7" s="133">
        <v>0</v>
      </c>
      <c r="K7" s="133">
        <v>0</v>
      </c>
      <c r="L7" s="133">
        <v>0</v>
      </c>
      <c r="M7" s="133">
        <v>0</v>
      </c>
      <c r="N7" s="133">
        <v>11.779879621668099</v>
      </c>
      <c r="O7" s="133">
        <v>6.8071367153912323</v>
      </c>
      <c r="P7" s="133">
        <v>14.832416165090274</v>
      </c>
      <c r="Q7" s="133">
        <v>25.867067927773</v>
      </c>
      <c r="R7" s="133">
        <v>32.51625107480654</v>
      </c>
      <c r="S7" s="133">
        <v>29.523903697334475</v>
      </c>
      <c r="T7" s="133">
        <v>33.697076526225281</v>
      </c>
      <c r="U7" s="133">
        <v>29.76827171109198</v>
      </c>
      <c r="V7" s="133">
        <v>30.762166809974179</v>
      </c>
      <c r="W7" s="133">
        <v>39.104471195184878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1.2725801506776463E-3</v>
      </c>
      <c r="S8" s="133">
        <v>7.5240965677913973E-3</v>
      </c>
      <c r="T8" s="133">
        <v>1.9954710836950607E-2</v>
      </c>
      <c r="U8" s="133">
        <v>2.4685680515772926E-2</v>
      </c>
      <c r="V8" s="133">
        <v>4.5736733187747472E-2</v>
      </c>
      <c r="W8" s="133">
        <v>3.8833638093109558E-2</v>
      </c>
      <c r="DA8" s="157" t="s">
        <v>277</v>
      </c>
    </row>
    <row r="9" spans="1:105" ht="12" customHeight="1" x14ac:dyDescent="0.25">
      <c r="A9" s="132" t="s">
        <v>78</v>
      </c>
      <c r="B9" s="133">
        <v>1665.8379174585857</v>
      </c>
      <c r="C9" s="133">
        <v>1802.9263784274929</v>
      </c>
      <c r="D9" s="133">
        <v>1647.0808162506094</v>
      </c>
      <c r="E9" s="133">
        <v>1735.1174037563228</v>
      </c>
      <c r="F9" s="133">
        <v>2221.516197341678</v>
      </c>
      <c r="G9" s="133">
        <v>2087.5986023817109</v>
      </c>
      <c r="H9" s="133">
        <v>1757.489038954745</v>
      </c>
      <c r="I9" s="133">
        <v>1306.7386413902475</v>
      </c>
      <c r="J9" s="133">
        <v>1205.823023226023</v>
      </c>
      <c r="K9" s="133">
        <v>1323.5401649799073</v>
      </c>
      <c r="L9" s="133">
        <v>1456.966464225939</v>
      </c>
      <c r="M9" s="133">
        <v>1456.8963302793875</v>
      </c>
      <c r="N9" s="133">
        <v>1110.8555634360789</v>
      </c>
      <c r="O9" s="133">
        <v>1114.1098106168315</v>
      </c>
      <c r="P9" s="133">
        <v>943.16776996331032</v>
      </c>
      <c r="Q9" s="133">
        <v>967.40873436881873</v>
      </c>
      <c r="R9" s="133">
        <v>935.71396717016717</v>
      </c>
      <c r="S9" s="133">
        <v>882.34141294648941</v>
      </c>
      <c r="T9" s="133">
        <v>812.67623447461369</v>
      </c>
      <c r="U9" s="133">
        <v>775.59813757567588</v>
      </c>
      <c r="V9" s="133">
        <v>797.8699425762303</v>
      </c>
      <c r="W9" s="133">
        <v>838.6071968608295</v>
      </c>
      <c r="DA9" s="157" t="s">
        <v>278</v>
      </c>
    </row>
    <row r="10" spans="1:105" ht="12" customHeight="1" x14ac:dyDescent="0.25">
      <c r="A10" s="132" t="s">
        <v>128</v>
      </c>
      <c r="B10" s="133">
        <v>54.743508168529672</v>
      </c>
      <c r="C10" s="133">
        <v>47.267583834909722</v>
      </c>
      <c r="D10" s="133">
        <v>50.611435941530509</v>
      </c>
      <c r="E10" s="133">
        <v>59.90257953568355</v>
      </c>
      <c r="F10" s="133">
        <v>54.647979363714533</v>
      </c>
      <c r="G10" s="133">
        <v>34.083319002579543</v>
      </c>
      <c r="H10" s="133">
        <v>32.626311263972475</v>
      </c>
      <c r="I10" s="133">
        <v>29.473602751504735</v>
      </c>
      <c r="J10" s="133">
        <v>29.163112639724837</v>
      </c>
      <c r="K10" s="133">
        <v>31.073860705073088</v>
      </c>
      <c r="L10" s="133">
        <v>32.721926053310405</v>
      </c>
      <c r="M10" s="133">
        <v>32.602493551160777</v>
      </c>
      <c r="N10" s="133">
        <v>30.253673954808953</v>
      </c>
      <c r="O10" s="133">
        <v>28.935554055751922</v>
      </c>
      <c r="P10" s="133">
        <v>24.321325726719721</v>
      </c>
      <c r="Q10" s="133">
        <v>30.092838962202116</v>
      </c>
      <c r="R10" s="133">
        <v>26.00531798894098</v>
      </c>
      <c r="S10" s="133">
        <v>26.415355942876889</v>
      </c>
      <c r="T10" s="133">
        <v>24.194823632314353</v>
      </c>
      <c r="U10" s="133">
        <v>26.667760116118206</v>
      </c>
      <c r="V10" s="133">
        <v>23.443723554914833</v>
      </c>
      <c r="W10" s="133">
        <v>19.364371346366905</v>
      </c>
      <c r="DA10" s="157" t="s">
        <v>279</v>
      </c>
    </row>
    <row r="11" spans="1:105" ht="12" customHeight="1" x14ac:dyDescent="0.25">
      <c r="A11" s="132" t="s">
        <v>25</v>
      </c>
      <c r="B11" s="133">
        <v>79.010232158211522</v>
      </c>
      <c r="C11" s="133">
        <v>77.744368013757523</v>
      </c>
      <c r="D11" s="133">
        <v>77.529406706792741</v>
      </c>
      <c r="E11" s="133">
        <v>76.359071367153888</v>
      </c>
      <c r="F11" s="133">
        <v>66.638005159071383</v>
      </c>
      <c r="G11" s="133">
        <v>65.061650902837471</v>
      </c>
      <c r="H11" s="133">
        <v>65.682631126397226</v>
      </c>
      <c r="I11" s="133">
        <v>66.255889939810828</v>
      </c>
      <c r="J11" s="133">
        <v>75.618572656921756</v>
      </c>
      <c r="K11" s="133">
        <v>77.672656921754097</v>
      </c>
      <c r="L11" s="133">
        <v>78.198108340498678</v>
      </c>
      <c r="M11" s="133">
        <v>82.115219260533124</v>
      </c>
      <c r="N11" s="133">
        <v>82.115219260533095</v>
      </c>
      <c r="O11" s="133">
        <v>84.718658641444591</v>
      </c>
      <c r="P11" s="133">
        <v>22.499312123817724</v>
      </c>
      <c r="Q11" s="133">
        <v>19.561478933791889</v>
      </c>
      <c r="R11" s="133">
        <v>16.504213241616526</v>
      </c>
      <c r="S11" s="133">
        <v>22.809802235597598</v>
      </c>
      <c r="T11" s="133">
        <v>21.830524505588993</v>
      </c>
      <c r="U11" s="133">
        <v>24.051762682717111</v>
      </c>
      <c r="V11" s="133">
        <v>21.949957007738607</v>
      </c>
      <c r="W11" s="133">
        <v>29.593035253654346</v>
      </c>
      <c r="DA11" s="157" t="s">
        <v>280</v>
      </c>
    </row>
    <row r="12" spans="1:105" ht="12" customHeight="1" x14ac:dyDescent="0.25">
      <c r="A12" s="132" t="s">
        <v>169</v>
      </c>
      <c r="B12" s="133">
        <v>246.23972897311012</v>
      </c>
      <c r="C12" s="133">
        <v>277.19431446435095</v>
      </c>
      <c r="D12" s="133">
        <v>222.78812663765851</v>
      </c>
      <c r="E12" s="133">
        <v>234.89076792577316</v>
      </c>
      <c r="F12" s="133">
        <v>180.72372521787608</v>
      </c>
      <c r="G12" s="133">
        <v>211.08956910886681</v>
      </c>
      <c r="H12" s="133">
        <v>179.27123525230618</v>
      </c>
      <c r="I12" s="133">
        <v>191.42285914803287</v>
      </c>
      <c r="J12" s="133">
        <v>219.26912608477934</v>
      </c>
      <c r="K12" s="133">
        <v>200.99638138945153</v>
      </c>
      <c r="L12" s="133">
        <v>199.04530820051161</v>
      </c>
      <c r="M12" s="133">
        <v>183.10221921488881</v>
      </c>
      <c r="N12" s="133">
        <v>124.55126971795158</v>
      </c>
      <c r="O12" s="133">
        <v>118.80332256989846</v>
      </c>
      <c r="P12" s="133">
        <v>110.53648442133435</v>
      </c>
      <c r="Q12" s="133">
        <v>141.94606133731457</v>
      </c>
      <c r="R12" s="133">
        <v>158.45990856104879</v>
      </c>
      <c r="S12" s="133">
        <v>160.33714869525892</v>
      </c>
      <c r="T12" s="133">
        <v>150.69221140603469</v>
      </c>
      <c r="U12" s="133">
        <v>143.37010090273344</v>
      </c>
      <c r="V12" s="133">
        <v>143.3897815780123</v>
      </c>
      <c r="W12" s="133">
        <v>153.36653851058941</v>
      </c>
      <c r="DA12" s="157" t="s">
        <v>281</v>
      </c>
    </row>
    <row r="13" spans="1:105" ht="12" customHeight="1" x14ac:dyDescent="0.25">
      <c r="A13" s="132" t="s">
        <v>77</v>
      </c>
      <c r="B13" s="133">
        <v>7.1511498407875844E-3</v>
      </c>
      <c r="C13" s="133">
        <v>8.640109471147751E-3</v>
      </c>
      <c r="D13" s="133">
        <v>9.1990665971620148E-3</v>
      </c>
      <c r="E13" s="133">
        <v>9.7100931775945861E-3</v>
      </c>
      <c r="F13" s="133">
        <v>1.7663329941518757E-2</v>
      </c>
      <c r="G13" s="133">
        <v>3.2312343505452833E-2</v>
      </c>
      <c r="H13" s="133">
        <v>4.7528284161355704E-2</v>
      </c>
      <c r="I13" s="133">
        <v>8.0856351107566657E-2</v>
      </c>
      <c r="J13" s="133">
        <v>8.893283430074525E-2</v>
      </c>
      <c r="K13" s="133">
        <v>0.11319016389438065</v>
      </c>
      <c r="L13" s="133">
        <v>0.1221721972016778</v>
      </c>
      <c r="M13" s="133">
        <v>0.13827917237545181</v>
      </c>
      <c r="N13" s="133">
        <v>0.25268465792856037</v>
      </c>
      <c r="O13" s="133">
        <v>0.36586173551053192</v>
      </c>
      <c r="P13" s="133">
        <v>0.52354702398563346</v>
      </c>
      <c r="Q13" s="133">
        <v>0.43265542116399336</v>
      </c>
      <c r="R13" s="133">
        <v>0.44906535098453315</v>
      </c>
      <c r="S13" s="133">
        <v>0.5206178845248457</v>
      </c>
      <c r="T13" s="133">
        <v>0.81941706702491612</v>
      </c>
      <c r="U13" s="133">
        <v>0.97005295400050839</v>
      </c>
      <c r="V13" s="133">
        <v>1.7109717009856458</v>
      </c>
      <c r="W13" s="133">
        <v>1.3913649920909577</v>
      </c>
      <c r="DA13" s="157" t="s">
        <v>282</v>
      </c>
    </row>
    <row r="14" spans="1:105" ht="12" customHeight="1" x14ac:dyDescent="0.25">
      <c r="A14" s="60" t="s">
        <v>76</v>
      </c>
      <c r="B14" s="65">
        <v>168.75525875754414</v>
      </c>
      <c r="C14" s="65">
        <v>162.94727478292128</v>
      </c>
      <c r="D14" s="65">
        <v>132.12415525876625</v>
      </c>
      <c r="E14" s="65">
        <v>109.58977135774845</v>
      </c>
      <c r="F14" s="65">
        <v>135.92556683663975</v>
      </c>
      <c r="G14" s="65">
        <v>196.65590124863306</v>
      </c>
      <c r="H14" s="65">
        <v>220.22967125207359</v>
      </c>
      <c r="I14" s="65">
        <v>267.13409862133466</v>
      </c>
      <c r="J14" s="65">
        <v>273.4594661229545</v>
      </c>
      <c r="K14" s="65">
        <v>324.04756592019118</v>
      </c>
      <c r="L14" s="65">
        <v>327.31951167880356</v>
      </c>
      <c r="M14" s="65">
        <v>342.15762008728279</v>
      </c>
      <c r="N14" s="65">
        <v>50.716395306304513</v>
      </c>
      <c r="O14" s="65">
        <v>49.212723695744408</v>
      </c>
      <c r="P14" s="65">
        <v>70.418411064383989</v>
      </c>
      <c r="Q14" s="65">
        <v>94.966306394034063</v>
      </c>
      <c r="R14" s="65">
        <v>114.62295983170426</v>
      </c>
      <c r="S14" s="65">
        <v>137.08156395891501</v>
      </c>
      <c r="T14" s="65">
        <v>163.91639112354252</v>
      </c>
      <c r="U14" s="65">
        <v>174.74044272038577</v>
      </c>
      <c r="V14" s="65">
        <v>163.22747977528567</v>
      </c>
      <c r="W14" s="65">
        <v>163.17425897850498</v>
      </c>
      <c r="DA14" s="109" t="s">
        <v>283</v>
      </c>
    </row>
    <row r="15" spans="1:105" ht="12" customHeight="1" x14ac:dyDescent="0.25">
      <c r="A15" s="134" t="s">
        <v>80</v>
      </c>
      <c r="B15" s="135">
        <v>18.538085320781001</v>
      </c>
      <c r="C15" s="135">
        <v>19.885733656932022</v>
      </c>
      <c r="D15" s="135">
        <v>17.967674952149963</v>
      </c>
      <c r="E15" s="135">
        <v>18.933481300514515</v>
      </c>
      <c r="F15" s="135">
        <v>23.509522555855447</v>
      </c>
      <c r="G15" s="135">
        <v>22.102062949366211</v>
      </c>
      <c r="H15" s="135">
        <v>18.573824299535481</v>
      </c>
      <c r="I15" s="135">
        <v>13.986376537868564</v>
      </c>
      <c r="J15" s="135">
        <v>13.077933121067947</v>
      </c>
      <c r="K15" s="135">
        <v>14.249685259003517</v>
      </c>
      <c r="L15" s="135">
        <v>15.755016187858667</v>
      </c>
      <c r="M15" s="135">
        <v>15.954466380752026</v>
      </c>
      <c r="N15" s="135">
        <v>12.550489198823634</v>
      </c>
      <c r="O15" s="135">
        <v>12.721965324067817</v>
      </c>
      <c r="P15" s="135">
        <v>10.758541487029083</v>
      </c>
      <c r="Q15" s="135">
        <v>11.265293718999672</v>
      </c>
      <c r="R15" s="135">
        <v>11.077658693665242</v>
      </c>
      <c r="S15" s="135">
        <v>10.605751053858601</v>
      </c>
      <c r="T15" s="135">
        <v>9.9597694782996449</v>
      </c>
      <c r="U15" s="135">
        <v>9.6092516155843288</v>
      </c>
      <c r="V15" s="135">
        <v>9.9570671659765662</v>
      </c>
      <c r="W15" s="135">
        <v>10.622790281740462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15.002268364963568</v>
      </c>
      <c r="C16" s="131">
        <f t="shared" si="4"/>
        <v>13.771994287502913</v>
      </c>
      <c r="D16" s="131">
        <f t="shared" si="4"/>
        <v>14.913320830375801</v>
      </c>
      <c r="E16" s="131">
        <f t="shared" si="4"/>
        <v>17.340576965809838</v>
      </c>
      <c r="F16" s="131">
        <f t="shared" si="4"/>
        <v>14.191036359795259</v>
      </c>
      <c r="G16" s="131">
        <f t="shared" si="4"/>
        <v>14.31522147020759</v>
      </c>
      <c r="H16" s="131">
        <f t="shared" si="4"/>
        <v>16.272139419359785</v>
      </c>
      <c r="I16" s="131">
        <f t="shared" si="4"/>
        <v>18.124900975667039</v>
      </c>
      <c r="J16" s="131">
        <f t="shared" si="4"/>
        <v>15.4542097046217</v>
      </c>
      <c r="K16" s="131">
        <f t="shared" si="4"/>
        <v>16.105235096184469</v>
      </c>
      <c r="L16" s="131">
        <f t="shared" si="4"/>
        <v>17.318622302902011</v>
      </c>
      <c r="M16" s="131">
        <f t="shared" si="4"/>
        <v>17.088539339742042</v>
      </c>
      <c r="N16" s="131">
        <f t="shared" si="4"/>
        <v>21.921839411610556</v>
      </c>
      <c r="O16" s="131">
        <f t="shared" si="4"/>
        <v>17.899767554918512</v>
      </c>
      <c r="P16" s="131">
        <f t="shared" si="4"/>
        <v>16.105538011392824</v>
      </c>
      <c r="Q16" s="131">
        <f t="shared" si="4"/>
        <v>23.115869106962695</v>
      </c>
      <c r="R16" s="131">
        <f t="shared" ref="R16:W16" si="5">SUM(R17:R18)</f>
        <v>16.119898829146081</v>
      </c>
      <c r="S16" s="131">
        <f t="shared" si="5"/>
        <v>19.164484198726964</v>
      </c>
      <c r="T16" s="131">
        <f t="shared" si="5"/>
        <v>18.492899535721023</v>
      </c>
      <c r="U16" s="131">
        <f t="shared" si="5"/>
        <v>20.067052735514672</v>
      </c>
      <c r="V16" s="131">
        <f t="shared" si="5"/>
        <v>16.423645492412767</v>
      </c>
      <c r="W16" s="131">
        <f t="shared" si="5"/>
        <v>20.670670328649436</v>
      </c>
      <c r="DA16" s="156" t="s">
        <v>214</v>
      </c>
    </row>
    <row r="17" spans="1:105" ht="12.95" customHeight="1" x14ac:dyDescent="0.25">
      <c r="A17" s="132" t="s">
        <v>73</v>
      </c>
      <c r="B17" s="133">
        <v>5.8518954065849699E-2</v>
      </c>
      <c r="C17" s="133">
        <v>5.9975249199674785E-2</v>
      </c>
      <c r="D17" s="133">
        <v>7.4799053125503598E-2</v>
      </c>
      <c r="E17" s="133">
        <v>9.5957993200861194E-2</v>
      </c>
      <c r="F17" s="133">
        <v>7.7587767633432336E-2</v>
      </c>
      <c r="G17" s="133">
        <v>8.3851369231617789E-2</v>
      </c>
      <c r="H17" s="133">
        <v>0.10677836747831201</v>
      </c>
      <c r="I17" s="133">
        <v>0.13086876944557801</v>
      </c>
      <c r="J17" s="133">
        <v>0.11443707218090821</v>
      </c>
      <c r="K17" s="133">
        <v>0.12588994942033624</v>
      </c>
      <c r="L17" s="133">
        <v>0.15223851608899744</v>
      </c>
      <c r="M17" s="133">
        <v>0.16983901952667707</v>
      </c>
      <c r="N17" s="133">
        <v>0.24830352208806644</v>
      </c>
      <c r="O17" s="133">
        <v>0.22762576127103099</v>
      </c>
      <c r="P17" s="133">
        <v>0.21894057800024425</v>
      </c>
      <c r="Q17" s="133">
        <v>0.34578899498934568</v>
      </c>
      <c r="R17" s="133">
        <v>0.25966241577120547</v>
      </c>
      <c r="S17" s="133">
        <v>0.35815256823215708</v>
      </c>
      <c r="T17" s="133">
        <v>0.37122498253209013</v>
      </c>
      <c r="U17" s="133">
        <v>0.47242449676459553</v>
      </c>
      <c r="V17" s="133">
        <v>0.37458383421708258</v>
      </c>
      <c r="W17" s="133">
        <v>0.49169130942228256</v>
      </c>
      <c r="DA17" s="157" t="s">
        <v>285</v>
      </c>
    </row>
    <row r="18" spans="1:105" ht="12" customHeight="1" x14ac:dyDescent="0.25">
      <c r="A18" s="132" t="s">
        <v>72</v>
      </c>
      <c r="B18" s="133">
        <v>14.943749410897718</v>
      </c>
      <c r="C18" s="133">
        <v>13.712019038303239</v>
      </c>
      <c r="D18" s="133">
        <v>14.838521777250298</v>
      </c>
      <c r="E18" s="133">
        <v>17.244618972608976</v>
      </c>
      <c r="F18" s="133">
        <v>14.113448592161827</v>
      </c>
      <c r="G18" s="133">
        <v>14.231370100975973</v>
      </c>
      <c r="H18" s="133">
        <v>16.165361051881472</v>
      </c>
      <c r="I18" s="133">
        <v>17.994032206221462</v>
      </c>
      <c r="J18" s="133">
        <v>15.339772632440791</v>
      </c>
      <c r="K18" s="133">
        <v>15.979345146764132</v>
      </c>
      <c r="L18" s="133">
        <v>17.166383786813014</v>
      </c>
      <c r="M18" s="133">
        <v>16.918700320215365</v>
      </c>
      <c r="N18" s="133">
        <v>21.673535889522491</v>
      </c>
      <c r="O18" s="133">
        <v>17.67214179364748</v>
      </c>
      <c r="P18" s="133">
        <v>15.886597433392581</v>
      </c>
      <c r="Q18" s="133">
        <v>22.77008011197335</v>
      </c>
      <c r="R18" s="133">
        <v>15.860236413374874</v>
      </c>
      <c r="S18" s="133">
        <v>18.806331630494807</v>
      </c>
      <c r="T18" s="133">
        <v>18.121674553188932</v>
      </c>
      <c r="U18" s="133">
        <v>19.594628238750076</v>
      </c>
      <c r="V18" s="133">
        <v>16.049061658195683</v>
      </c>
      <c r="W18" s="133">
        <v>20.178979019227153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202.30553113857945</v>
      </c>
      <c r="C19" s="131">
        <f t="shared" si="6"/>
        <v>205.40306391057757</v>
      </c>
      <c r="D19" s="131">
        <f t="shared" si="6"/>
        <v>212.05021810968611</v>
      </c>
      <c r="E19" s="131">
        <f t="shared" si="6"/>
        <v>216.34994381399639</v>
      </c>
      <c r="F19" s="131">
        <f t="shared" si="6"/>
        <v>222.72389737596524</v>
      </c>
      <c r="G19" s="131">
        <f t="shared" si="6"/>
        <v>223.5697666594543</v>
      </c>
      <c r="H19" s="131">
        <f t="shared" si="6"/>
        <v>224.71530388731696</v>
      </c>
      <c r="I19" s="131">
        <f t="shared" si="6"/>
        <v>226.61300393650225</v>
      </c>
      <c r="J19" s="131">
        <f t="shared" si="6"/>
        <v>227.47475359645009</v>
      </c>
      <c r="K19" s="131">
        <f t="shared" si="6"/>
        <v>228.51884317503354</v>
      </c>
      <c r="L19" s="131">
        <f t="shared" si="6"/>
        <v>227.1852126517305</v>
      </c>
      <c r="M19" s="131">
        <f t="shared" si="6"/>
        <v>226.69656763709264</v>
      </c>
      <c r="N19" s="131">
        <f t="shared" si="6"/>
        <v>226.79769010218052</v>
      </c>
      <c r="O19" s="131">
        <f t="shared" si="6"/>
        <v>226.18050578319969</v>
      </c>
      <c r="P19" s="131">
        <f t="shared" si="6"/>
        <v>226.17491982902391</v>
      </c>
      <c r="Q19" s="131">
        <f t="shared" si="6"/>
        <v>224.83285071920432</v>
      </c>
      <c r="R19" s="131">
        <f t="shared" ref="R19:W19" si="7">SUM(R20:R27)</f>
        <v>225.22081130797946</v>
      </c>
      <c r="S19" s="131">
        <f t="shared" si="7"/>
        <v>223.42448978212562</v>
      </c>
      <c r="T19" s="131">
        <f t="shared" si="7"/>
        <v>223.54331645500594</v>
      </c>
      <c r="U19" s="131">
        <f t="shared" si="7"/>
        <v>218.19227970270666</v>
      </c>
      <c r="V19" s="131">
        <f t="shared" si="7"/>
        <v>197.114691916433</v>
      </c>
      <c r="W19" s="131">
        <f t="shared" si="7"/>
        <v>200.921694114102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0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289</v>
      </c>
    </row>
    <row r="23" spans="1:105" ht="12" customHeight="1" x14ac:dyDescent="0.25">
      <c r="A23" s="132" t="s">
        <v>153</v>
      </c>
      <c r="B23" s="133">
        <v>94.541222889697991</v>
      </c>
      <c r="C23" s="133">
        <v>95.97878373852474</v>
      </c>
      <c r="D23" s="133">
        <v>100.92771478440051</v>
      </c>
      <c r="E23" s="133">
        <v>105.4093899286062</v>
      </c>
      <c r="F23" s="133">
        <v>111.43976578324346</v>
      </c>
      <c r="G23" s="133">
        <v>110.51034905688212</v>
      </c>
      <c r="H23" s="133">
        <v>111.32640564435859</v>
      </c>
      <c r="I23" s="133">
        <v>117.3189343208807</v>
      </c>
      <c r="J23" s="133">
        <v>122.85770266467358</v>
      </c>
      <c r="K23" s="133">
        <v>130.977952355253</v>
      </c>
      <c r="L23" s="133">
        <v>134.36327823455949</v>
      </c>
      <c r="M23" s="133">
        <v>135.09277911946498</v>
      </c>
      <c r="N23" s="133">
        <v>133.58608574904039</v>
      </c>
      <c r="O23" s="133">
        <v>145.79046555354222</v>
      </c>
      <c r="P23" s="133">
        <v>147.79062770941553</v>
      </c>
      <c r="Q23" s="133">
        <v>147.12875996367521</v>
      </c>
      <c r="R23" s="133">
        <v>147.28779939879558</v>
      </c>
      <c r="S23" s="133">
        <v>146.36269991791997</v>
      </c>
      <c r="T23" s="133">
        <v>148.35821174674248</v>
      </c>
      <c r="U23" s="133">
        <v>142.60648689862106</v>
      </c>
      <c r="V23" s="133">
        <v>130.12312897574949</v>
      </c>
      <c r="W23" s="133">
        <v>128.30957362576925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4.9999803874094138</v>
      </c>
      <c r="O24" s="133">
        <v>5.0999575521586378</v>
      </c>
      <c r="P24" s="133">
        <v>5.199998434931203</v>
      </c>
      <c r="Q24" s="133">
        <v>5.1130939698700981</v>
      </c>
      <c r="R24" s="133">
        <v>5.0208213059859297</v>
      </c>
      <c r="S24" s="133">
        <v>4.9689948739760554</v>
      </c>
      <c r="T24" s="133">
        <v>4.8249528079264117</v>
      </c>
      <c r="U24" s="133">
        <v>4.7883017927382063</v>
      </c>
      <c r="V24" s="133">
        <v>4.4534389558332368</v>
      </c>
      <c r="W24" s="133">
        <v>3.8992572004946977</v>
      </c>
      <c r="DA24" s="157" t="s">
        <v>291</v>
      </c>
    </row>
    <row r="25" spans="1:105" ht="12" customHeight="1" x14ac:dyDescent="0.25">
      <c r="A25" s="132" t="s">
        <v>169</v>
      </c>
      <c r="B25" s="133">
        <v>15.893633021730807</v>
      </c>
      <c r="C25" s="133">
        <v>15.821850625932683</v>
      </c>
      <c r="D25" s="133">
        <v>15.842827790544423</v>
      </c>
      <c r="E25" s="133">
        <v>15.92126990741686</v>
      </c>
      <c r="F25" s="133">
        <v>16.1569282644971</v>
      </c>
      <c r="G25" s="133">
        <v>17.270963995174487</v>
      </c>
      <c r="H25" s="133">
        <v>17.585514532732549</v>
      </c>
      <c r="I25" s="133">
        <v>18.092790035114071</v>
      </c>
      <c r="J25" s="133">
        <v>19.433453450904111</v>
      </c>
      <c r="K25" s="133">
        <v>19.936034775638834</v>
      </c>
      <c r="L25" s="133">
        <v>20.263032298198574</v>
      </c>
      <c r="M25" s="133">
        <v>20.46613848072592</v>
      </c>
      <c r="N25" s="133">
        <v>20.929727702512647</v>
      </c>
      <c r="O25" s="133">
        <v>20.491604343257077</v>
      </c>
      <c r="P25" s="133">
        <v>20.398855217530667</v>
      </c>
      <c r="Q25" s="133">
        <v>20.922898249959633</v>
      </c>
      <c r="R25" s="133">
        <v>21.008879057179907</v>
      </c>
      <c r="S25" s="133">
        <v>21.16190547499049</v>
      </c>
      <c r="T25" s="133">
        <v>20.823093839021375</v>
      </c>
      <c r="U25" s="133">
        <v>21.146924032777765</v>
      </c>
      <c r="V25" s="133">
        <v>17.592333641248217</v>
      </c>
      <c r="W25" s="133">
        <v>18.24420955475885</v>
      </c>
      <c r="DA25" s="157" t="s">
        <v>292</v>
      </c>
    </row>
    <row r="26" spans="1:105" ht="12" customHeight="1" x14ac:dyDescent="0.25">
      <c r="A26" s="132" t="s">
        <v>24</v>
      </c>
      <c r="B26" s="65">
        <v>91.87067522715067</v>
      </c>
      <c r="C26" s="65">
        <v>93.602429546120149</v>
      </c>
      <c r="D26" s="65">
        <v>95.279675534741187</v>
      </c>
      <c r="E26" s="65">
        <v>95.01928397797333</v>
      </c>
      <c r="F26" s="65">
        <v>95.127203328224681</v>
      </c>
      <c r="G26" s="65">
        <v>95.764549910063209</v>
      </c>
      <c r="H26" s="65">
        <v>95.755576315556866</v>
      </c>
      <c r="I26" s="65">
        <v>91.129654473026818</v>
      </c>
      <c r="J26" s="65">
        <v>85.08806867605729</v>
      </c>
      <c r="K26" s="65">
        <v>77.485423541992105</v>
      </c>
      <c r="L26" s="65">
        <v>72.391748206676638</v>
      </c>
      <c r="M26" s="65">
        <v>70.946592427271483</v>
      </c>
      <c r="N26" s="65">
        <v>67.090838653587809</v>
      </c>
      <c r="O26" s="65">
        <v>54.607420724611508</v>
      </c>
      <c r="P26" s="65">
        <v>52.570477160181788</v>
      </c>
      <c r="Q26" s="65">
        <v>51.453137228734612</v>
      </c>
      <c r="R26" s="65">
        <v>51.688350239053307</v>
      </c>
      <c r="S26" s="65">
        <v>50.692024510939895</v>
      </c>
      <c r="T26" s="65">
        <v>49.298193057016448</v>
      </c>
      <c r="U26" s="65">
        <v>49.387798276935911</v>
      </c>
      <c r="V26" s="65">
        <v>44.683021641968345</v>
      </c>
      <c r="W26" s="65">
        <v>50.20588503144549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2.3903697334479786E-2</v>
      </c>
      <c r="H27" s="146">
        <v>4.7807394668959592E-2</v>
      </c>
      <c r="I27" s="146">
        <v>7.1625107480653483E-2</v>
      </c>
      <c r="J27" s="146">
        <v>9.5528804815133303E-2</v>
      </c>
      <c r="K27" s="146">
        <v>0.11943250214961314</v>
      </c>
      <c r="L27" s="146">
        <v>0.16715391229578669</v>
      </c>
      <c r="M27" s="146">
        <v>0.19105760963026658</v>
      </c>
      <c r="N27" s="146">
        <v>0.19105760963026666</v>
      </c>
      <c r="O27" s="146">
        <v>0.19105760963026658</v>
      </c>
      <c r="P27" s="146">
        <v>0.21496130696474627</v>
      </c>
      <c r="Q27" s="146">
        <v>0.21496130696474622</v>
      </c>
      <c r="R27" s="146">
        <v>0.21496130696474638</v>
      </c>
      <c r="S27" s="146">
        <v>0.23886500429922602</v>
      </c>
      <c r="T27" s="146">
        <v>0.23886500429922619</v>
      </c>
      <c r="U27" s="146">
        <v>0.2627687016337058</v>
      </c>
      <c r="V27" s="146">
        <v>0.26276870163370591</v>
      </c>
      <c r="W27" s="146">
        <v>0.26276870163370614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197.81582389209473</v>
      </c>
      <c r="C29" s="131">
        <f t="shared" si="8"/>
        <v>200.97477182535957</v>
      </c>
      <c r="D29" s="131">
        <f t="shared" si="8"/>
        <v>205.87671320422635</v>
      </c>
      <c r="E29" s="131">
        <f t="shared" si="8"/>
        <v>214.03621052008725</v>
      </c>
      <c r="F29" s="131">
        <f t="shared" si="8"/>
        <v>213.82240651297732</v>
      </c>
      <c r="G29" s="131">
        <f t="shared" si="8"/>
        <v>219.35117604747916</v>
      </c>
      <c r="H29" s="131">
        <f t="shared" si="8"/>
        <v>225.19395268291777</v>
      </c>
      <c r="I29" s="131">
        <f t="shared" si="8"/>
        <v>225.63992564989741</v>
      </c>
      <c r="J29" s="131">
        <f t="shared" si="8"/>
        <v>225.74340604252473</v>
      </c>
      <c r="K29" s="131">
        <f t="shared" si="8"/>
        <v>226.9295654285898</v>
      </c>
      <c r="L29" s="131">
        <f t="shared" si="8"/>
        <v>233.00261892985941</v>
      </c>
      <c r="M29" s="131">
        <f t="shared" si="8"/>
        <v>233.60697426340334</v>
      </c>
      <c r="N29" s="131">
        <f t="shared" si="8"/>
        <v>235.69997095733146</v>
      </c>
      <c r="O29" s="131">
        <f t="shared" si="8"/>
        <v>236.44198680676828</v>
      </c>
      <c r="P29" s="131">
        <f t="shared" si="8"/>
        <v>235.71911631831034</v>
      </c>
      <c r="Q29" s="131">
        <f t="shared" si="8"/>
        <v>236.01097354385948</v>
      </c>
      <c r="R29" s="131">
        <f t="shared" ref="R29:W29" si="9">SUM(R30:R33)</f>
        <v>233.25180585581819</v>
      </c>
      <c r="S29" s="131">
        <f t="shared" si="9"/>
        <v>231.04981723105479</v>
      </c>
      <c r="T29" s="131">
        <f t="shared" si="9"/>
        <v>236.20736469872676</v>
      </c>
      <c r="U29" s="131">
        <f t="shared" si="9"/>
        <v>235.16637785857492</v>
      </c>
      <c r="V29" s="131">
        <f t="shared" si="9"/>
        <v>225.53672443330146</v>
      </c>
      <c r="W29" s="131">
        <f t="shared" si="9"/>
        <v>238.92664883304028</v>
      </c>
      <c r="DA29" s="156" t="s">
        <v>216</v>
      </c>
    </row>
    <row r="30" spans="1:105" ht="12" customHeight="1" x14ac:dyDescent="0.25">
      <c r="A30" s="132" t="s">
        <v>52</v>
      </c>
      <c r="B30" s="133">
        <v>51.968099742046427</v>
      </c>
      <c r="C30" s="133">
        <v>41.80042992261393</v>
      </c>
      <c r="D30" s="133">
        <v>46.319346517626826</v>
      </c>
      <c r="E30" s="133">
        <v>41.80042992261393</v>
      </c>
      <c r="F30" s="133">
        <v>23.574118658641442</v>
      </c>
      <c r="G30" s="133">
        <v>25.819260533104043</v>
      </c>
      <c r="H30" s="133">
        <v>23.574118658641442</v>
      </c>
      <c r="I30" s="133">
        <v>23.574118658641439</v>
      </c>
      <c r="J30" s="133">
        <v>19.083748925193461</v>
      </c>
      <c r="K30" s="133">
        <v>19.083748925193451</v>
      </c>
      <c r="L30" s="133">
        <v>21.328976784178852</v>
      </c>
      <c r="M30" s="133">
        <v>17.961220980223558</v>
      </c>
      <c r="N30" s="133">
        <v>16.838607050730875</v>
      </c>
      <c r="O30" s="133">
        <v>12.348323301805669</v>
      </c>
      <c r="P30" s="133">
        <v>13.470937231298372</v>
      </c>
      <c r="Q30" s="133">
        <v>15.716079105760963</v>
      </c>
      <c r="R30" s="133">
        <v>12.127601031814264</v>
      </c>
      <c r="S30" s="133">
        <v>9.918314703353392</v>
      </c>
      <c r="T30" s="133">
        <v>13.224419604471208</v>
      </c>
      <c r="U30" s="133">
        <v>12.122355975924322</v>
      </c>
      <c r="V30" s="133">
        <v>17.632588134135869</v>
      </c>
      <c r="W30" s="133">
        <v>12.122355975924332</v>
      </c>
      <c r="DA30" s="157" t="s">
        <v>295</v>
      </c>
    </row>
    <row r="31" spans="1:105" ht="12" customHeight="1" x14ac:dyDescent="0.25">
      <c r="A31" s="132" t="s">
        <v>153</v>
      </c>
      <c r="B31" s="133">
        <v>12.692177327057397</v>
      </c>
      <c r="C31" s="133">
        <v>27.088172988909655</v>
      </c>
      <c r="D31" s="133">
        <v>33.816927865433101</v>
      </c>
      <c r="E31" s="133">
        <v>50.10527927629802</v>
      </c>
      <c r="F31" s="133">
        <v>71.511676966429448</v>
      </c>
      <c r="G31" s="133">
        <v>83.721814561048546</v>
      </c>
      <c r="H31" s="133">
        <v>98.305722003323154</v>
      </c>
      <c r="I31" s="133">
        <v>107.09083324943491</v>
      </c>
      <c r="J31" s="133">
        <v>115.47018527443939</v>
      </c>
      <c r="K31" s="133">
        <v>120.24369692866038</v>
      </c>
      <c r="L31" s="133">
        <v>126.34544808618112</v>
      </c>
      <c r="M31" s="133">
        <v>136.06787875273059</v>
      </c>
      <c r="N31" s="133">
        <v>144.53807824722128</v>
      </c>
      <c r="O31" s="133">
        <v>152.6073517226973</v>
      </c>
      <c r="P31" s="133">
        <v>153.27425246294479</v>
      </c>
      <c r="Q31" s="133">
        <v>148.52548709384004</v>
      </c>
      <c r="R31" s="133">
        <v>145.52775415308565</v>
      </c>
      <c r="S31" s="133">
        <v>144.3466335146432</v>
      </c>
      <c r="T31" s="133">
        <v>143.80034141115539</v>
      </c>
      <c r="U31" s="133">
        <v>143.85914239055469</v>
      </c>
      <c r="V31" s="133">
        <v>136.93484519789757</v>
      </c>
      <c r="W31" s="133">
        <v>147.86035718841441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133.15554682299091</v>
      </c>
      <c r="C33" s="68">
        <v>132.08616891383599</v>
      </c>
      <c r="D33" s="68">
        <v>125.74043882116644</v>
      </c>
      <c r="E33" s="68">
        <v>122.13050132117532</v>
      </c>
      <c r="F33" s="68">
        <v>118.73661088790644</v>
      </c>
      <c r="G33" s="68">
        <v>109.81010095332657</v>
      </c>
      <c r="H33" s="68">
        <v>103.31411202095316</v>
      </c>
      <c r="I33" s="68">
        <v>94.974973741821046</v>
      </c>
      <c r="J33" s="68">
        <v>91.189471842891876</v>
      </c>
      <c r="K33" s="68">
        <v>87.602119574735966</v>
      </c>
      <c r="L33" s="68">
        <v>85.32819405949941</v>
      </c>
      <c r="M33" s="68">
        <v>79.577874530449193</v>
      </c>
      <c r="N33" s="68">
        <v>74.323285659379309</v>
      </c>
      <c r="O33" s="68">
        <v>71.486311782265332</v>
      </c>
      <c r="P33" s="68">
        <v>68.973926624067204</v>
      </c>
      <c r="Q33" s="68">
        <v>71.769407344258468</v>
      </c>
      <c r="R33" s="68">
        <v>75.596450670918273</v>
      </c>
      <c r="S33" s="68">
        <v>76.784869013058199</v>
      </c>
      <c r="T33" s="68">
        <v>79.182603683100155</v>
      </c>
      <c r="U33" s="68">
        <v>79.184879492095916</v>
      </c>
      <c r="V33" s="68">
        <v>70.969291101268041</v>
      </c>
      <c r="W33" s="68">
        <v>78.943935668701528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1561.0250957269216</v>
      </c>
      <c r="C3" s="126">
        <f t="shared" si="0"/>
        <v>1663.1250465364283</v>
      </c>
      <c r="D3" s="126">
        <f t="shared" si="0"/>
        <v>1538.3352672413289</v>
      </c>
      <c r="E3" s="126">
        <f t="shared" si="0"/>
        <v>1615.179509144657</v>
      </c>
      <c r="F3" s="126">
        <f t="shared" si="0"/>
        <v>1864.0833156212714</v>
      </c>
      <c r="G3" s="126">
        <f t="shared" si="0"/>
        <v>1868.7881153067192</v>
      </c>
      <c r="H3" s="126">
        <f t="shared" si="0"/>
        <v>1700.071222245972</v>
      </c>
      <c r="I3" s="126">
        <f t="shared" si="0"/>
        <v>1502.317654474404</v>
      </c>
      <c r="J3" s="126">
        <f t="shared" si="0"/>
        <v>1486.1540472091897</v>
      </c>
      <c r="K3" s="126">
        <f t="shared" si="0"/>
        <v>1599.3420743173829</v>
      </c>
      <c r="L3" s="126">
        <f t="shared" si="0"/>
        <v>1712.0872436022414</v>
      </c>
      <c r="M3" s="126">
        <f t="shared" si="0"/>
        <v>1742.7612291035264</v>
      </c>
      <c r="N3" s="126">
        <f t="shared" si="0"/>
        <v>1311.4581372869466</v>
      </c>
      <c r="O3" s="126">
        <f t="shared" si="0"/>
        <v>1319.5022519105626</v>
      </c>
      <c r="P3" s="126">
        <f t="shared" si="0"/>
        <v>1172.6648463539634</v>
      </c>
      <c r="Q3" s="126">
        <f t="shared" si="0"/>
        <v>1271.1402003884882</v>
      </c>
      <c r="R3" s="126">
        <f t="shared" ref="R3:W3" si="1">SUM(R4,R16,R19,R29)</f>
        <v>1269.1378575565639</v>
      </c>
      <c r="S3" s="126">
        <f t="shared" si="1"/>
        <v>1277.4175616816083</v>
      </c>
      <c r="T3" s="126">
        <f t="shared" si="1"/>
        <v>1261.6229778863624</v>
      </c>
      <c r="U3" s="126">
        <f t="shared" si="1"/>
        <v>1255.2180181205863</v>
      </c>
      <c r="V3" s="126">
        <f t="shared" si="1"/>
        <v>1239.5033429533519</v>
      </c>
      <c r="W3" s="126">
        <f t="shared" si="1"/>
        <v>1327.4481429734094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1267.6269104832511</v>
      </c>
      <c r="C4" s="131">
        <f t="shared" si="2"/>
        <v>1366.4031320035988</v>
      </c>
      <c r="D4" s="131">
        <f t="shared" si="2"/>
        <v>1231.8818936650623</v>
      </c>
      <c r="E4" s="131">
        <f t="shared" si="2"/>
        <v>1294.8399243141394</v>
      </c>
      <c r="F4" s="131">
        <f t="shared" si="2"/>
        <v>1544.4411058983608</v>
      </c>
      <c r="G4" s="131">
        <f t="shared" si="2"/>
        <v>1543.799324231534</v>
      </c>
      <c r="H4" s="131">
        <f t="shared" si="2"/>
        <v>1364.6945226864052</v>
      </c>
      <c r="I4" s="131">
        <f t="shared" si="2"/>
        <v>1159.7456448429919</v>
      </c>
      <c r="J4" s="131">
        <f t="shared" si="2"/>
        <v>1146.804184610703</v>
      </c>
      <c r="K4" s="131">
        <f t="shared" si="2"/>
        <v>1256.0108706389296</v>
      </c>
      <c r="L4" s="131">
        <f t="shared" si="2"/>
        <v>1360.8278289421773</v>
      </c>
      <c r="M4" s="131">
        <f t="shared" si="2"/>
        <v>1390.2453577637823</v>
      </c>
      <c r="N4" s="131">
        <f t="shared" si="2"/>
        <v>941.71152697292143</v>
      </c>
      <c r="O4" s="131">
        <f t="shared" si="2"/>
        <v>958.05361141592687</v>
      </c>
      <c r="P4" s="131">
        <f t="shared" si="2"/>
        <v>814.03921798640124</v>
      </c>
      <c r="Q4" s="131">
        <f t="shared" si="2"/>
        <v>888.33508018187069</v>
      </c>
      <c r="R4" s="131">
        <f t="shared" ref="R4:W4" si="3">SUM(R5:R15)</f>
        <v>903.61823653347983</v>
      </c>
      <c r="S4" s="131">
        <f t="shared" si="3"/>
        <v>899.62584230598588</v>
      </c>
      <c r="T4" s="131">
        <f t="shared" si="3"/>
        <v>876.88323520985796</v>
      </c>
      <c r="U4" s="131">
        <f t="shared" si="3"/>
        <v>864.33739220817256</v>
      </c>
      <c r="V4" s="131">
        <f t="shared" si="3"/>
        <v>879.744702146397</v>
      </c>
      <c r="W4" s="131">
        <f t="shared" si="3"/>
        <v>934.64204424412583</v>
      </c>
      <c r="DA4" s="156" t="s">
        <v>301</v>
      </c>
    </row>
    <row r="5" spans="1:105" ht="12" customHeight="1" x14ac:dyDescent="0.25">
      <c r="A5" s="132" t="s">
        <v>29</v>
      </c>
      <c r="B5" s="133">
        <v>12.14917688091343</v>
      </c>
      <c r="C5" s="133">
        <v>7.013971731287449</v>
      </c>
      <c r="D5" s="133">
        <v>5.5216440354292073</v>
      </c>
      <c r="E5" s="133">
        <v>5.1662248618453974</v>
      </c>
      <c r="F5" s="133">
        <v>3.2403425835715884</v>
      </c>
      <c r="G5" s="133">
        <v>1.2539087449624933</v>
      </c>
      <c r="H5" s="133">
        <v>2.2991558211001899</v>
      </c>
      <c r="I5" s="133">
        <v>1.8994163319470685</v>
      </c>
      <c r="J5" s="133">
        <v>1.8017132558141093</v>
      </c>
      <c r="K5" s="133">
        <v>1.4885854922038646</v>
      </c>
      <c r="L5" s="133">
        <v>1.4334894335815866</v>
      </c>
      <c r="M5" s="133">
        <v>1.6237017999469474</v>
      </c>
      <c r="N5" s="133">
        <v>0.50962063528399637</v>
      </c>
      <c r="O5" s="133">
        <v>1.6266636220165678</v>
      </c>
      <c r="P5" s="133">
        <v>1.522968345650227</v>
      </c>
      <c r="Q5" s="133">
        <v>1.9486337379985523</v>
      </c>
      <c r="R5" s="133">
        <v>1.9241734769534709</v>
      </c>
      <c r="S5" s="133">
        <v>0.98032358574379919</v>
      </c>
      <c r="T5" s="133">
        <v>1.0051737952066115</v>
      </c>
      <c r="U5" s="133">
        <v>0.98959947038199192</v>
      </c>
      <c r="V5" s="133">
        <v>0.79915754256329707</v>
      </c>
      <c r="W5" s="133">
        <v>0.79520670280999195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15.000626857080036</v>
      </c>
      <c r="C7" s="133">
        <v>15.839655750797652</v>
      </c>
      <c r="D7" s="133">
        <v>7.4450350830539245</v>
      </c>
      <c r="E7" s="133">
        <v>5.5371224033397723</v>
      </c>
      <c r="F7" s="133">
        <v>5.021178170603001</v>
      </c>
      <c r="G7" s="133">
        <v>5.476478175393857</v>
      </c>
      <c r="H7" s="133">
        <v>4.1170562445727796</v>
      </c>
      <c r="I7" s="133">
        <v>0</v>
      </c>
      <c r="J7" s="133">
        <v>0</v>
      </c>
      <c r="K7" s="133">
        <v>0</v>
      </c>
      <c r="L7" s="133">
        <v>0</v>
      </c>
      <c r="M7" s="133">
        <v>0</v>
      </c>
      <c r="N7" s="133">
        <v>7.0490126679125877</v>
      </c>
      <c r="O7" s="133">
        <v>4.1231121666367114</v>
      </c>
      <c r="P7" s="133">
        <v>9.2119328835152832</v>
      </c>
      <c r="Q7" s="133">
        <v>16.412160048586145</v>
      </c>
      <c r="R7" s="133">
        <v>20.911003555202981</v>
      </c>
      <c r="S7" s="133">
        <v>19.083726057801545</v>
      </c>
      <c r="T7" s="133">
        <v>21.88562191209796</v>
      </c>
      <c r="U7" s="133">
        <v>19.38263077544222</v>
      </c>
      <c r="V7" s="133">
        <v>20.11538566557541</v>
      </c>
      <c r="W7" s="133">
        <v>25.785931613184978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3.2648179432362011E-3</v>
      </c>
      <c r="S8" s="133">
        <v>1.9423785073518829E-2</v>
      </c>
      <c r="T8" s="133">
        <v>5.1800146927324528E-2</v>
      </c>
      <c r="U8" s="133">
        <v>6.4301452380699967E-2</v>
      </c>
      <c r="V8" s="133">
        <v>0.11961047142222356</v>
      </c>
      <c r="W8" s="133">
        <v>0.1016343508825053</v>
      </c>
      <c r="DA8" s="157" t="s">
        <v>305</v>
      </c>
    </row>
    <row r="9" spans="1:105" ht="12" customHeight="1" x14ac:dyDescent="0.25">
      <c r="A9" s="132" t="s">
        <v>78</v>
      </c>
      <c r="B9" s="133">
        <v>831.06025425519817</v>
      </c>
      <c r="C9" s="133">
        <v>915.76893077090506</v>
      </c>
      <c r="D9" s="133">
        <v>854.43897486554806</v>
      </c>
      <c r="E9" s="133">
        <v>920.58012343062558</v>
      </c>
      <c r="F9" s="133">
        <v>1200.4760650839146</v>
      </c>
      <c r="G9" s="133">
        <v>1144.2978603847273</v>
      </c>
      <c r="H9" s="133">
        <v>973.86400249891767</v>
      </c>
      <c r="I9" s="133">
        <v>731.83288583392107</v>
      </c>
      <c r="J9" s="133">
        <v>683.16815503476187</v>
      </c>
      <c r="K9" s="133">
        <v>764.13533828020991</v>
      </c>
      <c r="L9" s="133">
        <v>863.56939983328402</v>
      </c>
      <c r="M9" s="133">
        <v>889.37226456007306</v>
      </c>
      <c r="N9" s="133">
        <v>700.48090296214934</v>
      </c>
      <c r="O9" s="133">
        <v>721.26133654720309</v>
      </c>
      <c r="P9" s="133">
        <v>616.89496643493476</v>
      </c>
      <c r="Q9" s="133">
        <v>636.95164322813298</v>
      </c>
      <c r="R9" s="133">
        <v>622.3357813459761</v>
      </c>
      <c r="S9" s="133">
        <v>595.33252857102332</v>
      </c>
      <c r="T9" s="133">
        <v>556.61852899649921</v>
      </c>
      <c r="U9" s="133">
        <v>539.0319718628366</v>
      </c>
      <c r="V9" s="133">
        <v>561.72108045396226</v>
      </c>
      <c r="W9" s="133">
        <v>596.89014672421945</v>
      </c>
      <c r="DA9" s="157" t="s">
        <v>306</v>
      </c>
    </row>
    <row r="10" spans="1:105" ht="12" customHeight="1" x14ac:dyDescent="0.25">
      <c r="A10" s="132" t="s">
        <v>128</v>
      </c>
      <c r="B10" s="133">
        <v>24.527181482635388</v>
      </c>
      <c r="C10" s="133">
        <v>21.494331689214938</v>
      </c>
      <c r="D10" s="133">
        <v>23.350764405112873</v>
      </c>
      <c r="E10" s="133">
        <v>27.946517710635241</v>
      </c>
      <c r="F10" s="133">
        <v>25.67962155650973</v>
      </c>
      <c r="G10" s="133">
        <v>16.084215936671875</v>
      </c>
      <c r="H10" s="133">
        <v>15.421549161480241</v>
      </c>
      <c r="I10" s="133">
        <v>14.131599385513718</v>
      </c>
      <c r="J10" s="133">
        <v>14.31205559335169</v>
      </c>
      <c r="K10" s="133">
        <v>15.570030056447642</v>
      </c>
      <c r="L10" s="133">
        <v>16.775085507238948</v>
      </c>
      <c r="M10" s="133">
        <v>17.103368670283409</v>
      </c>
      <c r="N10" s="133">
        <v>16.220669360856551</v>
      </c>
      <c r="O10" s="133">
        <v>15.737429069757034</v>
      </c>
      <c r="P10" s="133">
        <v>13.230667593061169</v>
      </c>
      <c r="Q10" s="133">
        <v>16.374204662328726</v>
      </c>
      <c r="R10" s="133">
        <v>14.152539307581973</v>
      </c>
      <c r="S10" s="133">
        <v>14.380340779368582</v>
      </c>
      <c r="T10" s="133">
        <v>13.174830788844348</v>
      </c>
      <c r="U10" s="133">
        <v>14.525140570075383</v>
      </c>
      <c r="V10" s="133">
        <v>12.770094287640749</v>
      </c>
      <c r="W10" s="133">
        <v>10.548842889982135</v>
      </c>
      <c r="DA10" s="157" t="s">
        <v>307</v>
      </c>
    </row>
    <row r="11" spans="1:105" ht="12" customHeight="1" x14ac:dyDescent="0.25">
      <c r="A11" s="132" t="s">
        <v>25</v>
      </c>
      <c r="B11" s="133">
        <v>58.988483924519798</v>
      </c>
      <c r="C11" s="133">
        <v>58.33520233411943</v>
      </c>
      <c r="D11" s="133">
        <v>58.497229162569852</v>
      </c>
      <c r="E11" s="133">
        <v>57.766405832947996</v>
      </c>
      <c r="F11" s="133">
        <v>50.469525223286773</v>
      </c>
      <c r="G11" s="133">
        <v>49.525175754046813</v>
      </c>
      <c r="H11" s="133">
        <v>50.510745097428106</v>
      </c>
      <c r="I11" s="133">
        <v>51.485998817542416</v>
      </c>
      <c r="J11" s="133">
        <v>59.226824341895288</v>
      </c>
      <c r="K11" s="133">
        <v>61.165377663519251</v>
      </c>
      <c r="L11" s="133">
        <v>61.943176181066676</v>
      </c>
      <c r="M11" s="133">
        <v>65.444539546876925</v>
      </c>
      <c r="N11" s="133">
        <v>65.816855478392554</v>
      </c>
      <c r="O11" s="133">
        <v>68.183983972584485</v>
      </c>
      <c r="P11" s="133">
        <v>18.112117533011926</v>
      </c>
      <c r="Q11" s="133">
        <v>15.747175284802681</v>
      </c>
      <c r="R11" s="133">
        <v>13.287165556986528</v>
      </c>
      <c r="S11" s="133">
        <v>18.397430541911259</v>
      </c>
      <c r="T11" s="133">
        <v>17.635386639248861</v>
      </c>
      <c r="U11" s="133">
        <v>19.453534465147353</v>
      </c>
      <c r="V11" s="133">
        <v>17.765607351147192</v>
      </c>
      <c r="W11" s="133">
        <v>24.006138890039423</v>
      </c>
      <c r="DA11" s="157" t="s">
        <v>308</v>
      </c>
    </row>
    <row r="12" spans="1:105" ht="12" customHeight="1" x14ac:dyDescent="0.25">
      <c r="A12" s="132" t="s">
        <v>169</v>
      </c>
      <c r="B12" s="133">
        <v>191.03233905547003</v>
      </c>
      <c r="C12" s="133">
        <v>215.60657973629617</v>
      </c>
      <c r="D12" s="133">
        <v>173.46177011929856</v>
      </c>
      <c r="E12" s="133">
        <v>183.11511392896588</v>
      </c>
      <c r="F12" s="133">
        <v>140.95125735163663</v>
      </c>
      <c r="G12" s="133">
        <v>165.08279823166038</v>
      </c>
      <c r="H12" s="133">
        <v>141.01250412833733</v>
      </c>
      <c r="I12" s="133">
        <v>151.67004440377767</v>
      </c>
      <c r="J12" s="133">
        <v>174.66139532354896</v>
      </c>
      <c r="K12" s="133">
        <v>160.60299819747405</v>
      </c>
      <c r="L12" s="133">
        <v>159.53621908388837</v>
      </c>
      <c r="M12" s="133">
        <v>147.31529035438061</v>
      </c>
      <c r="N12" s="133">
        <v>100.81627930789332</v>
      </c>
      <c r="O12" s="133">
        <v>96.793746553733754</v>
      </c>
      <c r="P12" s="133">
        <v>90.347892560392495</v>
      </c>
      <c r="Q12" s="133">
        <v>116.57887648175243</v>
      </c>
      <c r="R12" s="133">
        <v>130.73214751189491</v>
      </c>
      <c r="S12" s="133">
        <v>132.79575479262772</v>
      </c>
      <c r="T12" s="133">
        <v>125.14698216214997</v>
      </c>
      <c r="U12" s="133">
        <v>119.41498801198284</v>
      </c>
      <c r="V12" s="133">
        <v>119.86182838839271</v>
      </c>
      <c r="W12" s="133">
        <v>128.86205429613577</v>
      </c>
      <c r="DA12" s="157" t="s">
        <v>309</v>
      </c>
    </row>
    <row r="13" spans="1:105" ht="12" customHeight="1" x14ac:dyDescent="0.25">
      <c r="A13" s="132" t="s">
        <v>77</v>
      </c>
      <c r="B13" s="133">
        <v>9.6455719846915162E-3</v>
      </c>
      <c r="C13" s="133">
        <v>1.1737009393991296E-2</v>
      </c>
      <c r="D13" s="133">
        <v>1.2845890847606622E-2</v>
      </c>
      <c r="E13" s="133">
        <v>1.4270826769901863E-2</v>
      </c>
      <c r="F13" s="133">
        <v>2.8013335329140063E-2</v>
      </c>
      <c r="G13" s="133">
        <v>5.5701746094836115E-2</v>
      </c>
      <c r="H13" s="133">
        <v>8.7439980755661145E-2</v>
      </c>
      <c r="I13" s="133">
        <v>0.15719557986761942</v>
      </c>
      <c r="J13" s="133">
        <v>0.17902316586755659</v>
      </c>
      <c r="K13" s="133">
        <v>0.23499995929770884</v>
      </c>
      <c r="L13" s="133">
        <v>0.2681956648099339</v>
      </c>
      <c r="M13" s="133">
        <v>0.32829978789800451</v>
      </c>
      <c r="N13" s="133">
        <v>0.65648849376992735</v>
      </c>
      <c r="O13" s="133">
        <v>1.0041771113531819</v>
      </c>
      <c r="P13" s="133">
        <v>1.4973985768585514</v>
      </c>
      <c r="Q13" s="133">
        <v>1.2533327209307425</v>
      </c>
      <c r="R13" s="133">
        <v>1.3363206971904278</v>
      </c>
      <c r="S13" s="133">
        <v>1.6074284281773303</v>
      </c>
      <c r="T13" s="133">
        <v>2.650598286136606</v>
      </c>
      <c r="U13" s="133">
        <v>3.2233864512671393</v>
      </c>
      <c r="V13" s="133">
        <v>5.8168915998964783</v>
      </c>
      <c r="W13" s="133">
        <v>4.7918488880719803</v>
      </c>
      <c r="DA13" s="157" t="s">
        <v>310</v>
      </c>
    </row>
    <row r="14" spans="1:105" ht="12" customHeight="1" x14ac:dyDescent="0.25">
      <c r="A14" s="60" t="s">
        <v>76</v>
      </c>
      <c r="B14" s="65">
        <v>116.32111713466853</v>
      </c>
      <c r="C14" s="65">
        <v>112.44698932465205</v>
      </c>
      <c r="D14" s="65">
        <v>91.185955151052227</v>
      </c>
      <c r="E14" s="65">
        <v>75.780664018495187</v>
      </c>
      <c r="F14" s="65">
        <v>95.065580037653746</v>
      </c>
      <c r="G14" s="65">
        <v>139.92112230861022</v>
      </c>
      <c r="H14" s="65">
        <v>158.80824545427788</v>
      </c>
      <c r="I14" s="65">
        <v>194.58212795255361</v>
      </c>
      <c r="J14" s="65">
        <v>200.3770847743958</v>
      </c>
      <c r="K14" s="65">
        <v>238.56385573077364</v>
      </c>
      <c r="L14" s="65">
        <v>241.54724705044893</v>
      </c>
      <c r="M14" s="65">
        <v>253.1034266635711</v>
      </c>
      <c r="N14" s="65">
        <v>37.611208867839764</v>
      </c>
      <c r="O14" s="65">
        <v>36.601197048574257</v>
      </c>
      <c r="P14" s="65">
        <v>52.462732571947676</v>
      </c>
      <c r="Q14" s="65">
        <v>71.803760298338744</v>
      </c>
      <c r="R14" s="65">
        <v>87.858181570084867</v>
      </c>
      <c r="S14" s="65">
        <v>106.42313471040026</v>
      </c>
      <c r="T14" s="65">
        <v>128.75454300444747</v>
      </c>
      <c r="U14" s="65">
        <v>138.64258753307411</v>
      </c>
      <c r="V14" s="65">
        <v>130.81797921981999</v>
      </c>
      <c r="W14" s="65">
        <v>132.2374496070592</v>
      </c>
      <c r="DA14" s="109" t="s">
        <v>311</v>
      </c>
    </row>
    <row r="15" spans="1:105" ht="12" customHeight="1" x14ac:dyDescent="0.25">
      <c r="A15" s="134" t="s">
        <v>80</v>
      </c>
      <c r="B15" s="135">
        <v>18.538085320781001</v>
      </c>
      <c r="C15" s="135">
        <v>19.885733656932022</v>
      </c>
      <c r="D15" s="135">
        <v>17.967674952149963</v>
      </c>
      <c r="E15" s="135">
        <v>18.933481300514515</v>
      </c>
      <c r="F15" s="135">
        <v>23.509522555855447</v>
      </c>
      <c r="G15" s="135">
        <v>22.102062949366211</v>
      </c>
      <c r="H15" s="135">
        <v>18.573824299535481</v>
      </c>
      <c r="I15" s="135">
        <v>13.986376537868564</v>
      </c>
      <c r="J15" s="135">
        <v>13.077933121067947</v>
      </c>
      <c r="K15" s="135">
        <v>14.249685259003517</v>
      </c>
      <c r="L15" s="135">
        <v>15.755016187858667</v>
      </c>
      <c r="M15" s="135">
        <v>15.954466380752026</v>
      </c>
      <c r="N15" s="135">
        <v>12.550489198823634</v>
      </c>
      <c r="O15" s="135">
        <v>12.721965324067817</v>
      </c>
      <c r="P15" s="135">
        <v>10.758541487029083</v>
      </c>
      <c r="Q15" s="135">
        <v>11.265293718999672</v>
      </c>
      <c r="R15" s="135">
        <v>11.077658693665242</v>
      </c>
      <c r="S15" s="135">
        <v>10.605751053858601</v>
      </c>
      <c r="T15" s="135">
        <v>9.9597694782996449</v>
      </c>
      <c r="U15" s="135">
        <v>9.6092516155843288</v>
      </c>
      <c r="V15" s="135">
        <v>9.9570671659765662</v>
      </c>
      <c r="W15" s="135">
        <v>10.622790281740462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25.930837014571843</v>
      </c>
      <c r="C16" s="131">
        <f t="shared" si="4"/>
        <v>24.635989682477003</v>
      </c>
      <c r="D16" s="131">
        <f t="shared" si="4"/>
        <v>27.81382589497051</v>
      </c>
      <c r="E16" s="131">
        <f t="shared" si="4"/>
        <v>33.702285233994488</v>
      </c>
      <c r="F16" s="131">
        <f t="shared" si="4"/>
        <v>28.862568069856188</v>
      </c>
      <c r="G16" s="131">
        <f t="shared" si="4"/>
        <v>30.433574786120804</v>
      </c>
      <c r="H16" s="131">
        <f t="shared" si="4"/>
        <v>36.366262533524527</v>
      </c>
      <c r="I16" s="131">
        <f t="shared" si="4"/>
        <v>42.62754823495542</v>
      </c>
      <c r="J16" s="131">
        <f t="shared" si="4"/>
        <v>38.337401918306149</v>
      </c>
      <c r="K16" s="131">
        <f t="shared" si="4"/>
        <v>40.537798946683751</v>
      </c>
      <c r="L16" s="131">
        <f t="shared" si="4"/>
        <v>44.472025169560112</v>
      </c>
      <c r="M16" s="131">
        <f t="shared" si="4"/>
        <v>45.051832373476195</v>
      </c>
      <c r="N16" s="131">
        <f t="shared" si="4"/>
        <v>59.522493873841817</v>
      </c>
      <c r="O16" s="131">
        <f t="shared" si="4"/>
        <v>50.001508533108257</v>
      </c>
      <c r="P16" s="131">
        <f t="shared" si="4"/>
        <v>46.526220476963488</v>
      </c>
      <c r="Q16" s="131">
        <f t="shared" si="4"/>
        <v>69.074861987392808</v>
      </c>
      <c r="R16" s="131">
        <f t="shared" ref="R16:W16" si="5">SUM(R17:R18)</f>
        <v>49.874567582195596</v>
      </c>
      <c r="S16" s="131">
        <f t="shared" si="5"/>
        <v>61.096062139534787</v>
      </c>
      <c r="T16" s="131">
        <f t="shared" si="5"/>
        <v>60.750324775089155</v>
      </c>
      <c r="U16" s="131">
        <f t="shared" si="5"/>
        <v>67.470941512262058</v>
      </c>
      <c r="V16" s="131">
        <f t="shared" si="5"/>
        <v>56.490610431597958</v>
      </c>
      <c r="W16" s="131">
        <f t="shared" si="5"/>
        <v>72.662311339211286</v>
      </c>
      <c r="DA16" s="156" t="s">
        <v>313</v>
      </c>
    </row>
    <row r="17" spans="1:105" ht="12.95" customHeight="1" x14ac:dyDescent="0.25">
      <c r="A17" s="132" t="s">
        <v>73</v>
      </c>
      <c r="B17" s="133">
        <v>7.154146459881551E-2</v>
      </c>
      <c r="C17" s="133">
        <v>7.3673591313985029E-2</v>
      </c>
      <c r="D17" s="133">
        <v>9.2361603621032518E-2</v>
      </c>
      <c r="E17" s="133">
        <v>0.11894285614207474</v>
      </c>
      <c r="F17" s="133">
        <v>9.6404094061216111E-2</v>
      </c>
      <c r="G17" s="133">
        <v>0.10450654712237414</v>
      </c>
      <c r="H17" s="133">
        <v>0.13351442863630186</v>
      </c>
      <c r="I17" s="133">
        <v>0.16406727142436384</v>
      </c>
      <c r="J17" s="133">
        <v>0.14377263268045631</v>
      </c>
      <c r="K17" s="133">
        <v>0.15825531681558816</v>
      </c>
      <c r="L17" s="133">
        <v>0.19156455021256497</v>
      </c>
      <c r="M17" s="133">
        <v>0.21406938367461323</v>
      </c>
      <c r="N17" s="133">
        <v>0.31402916221764721</v>
      </c>
      <c r="O17" s="133">
        <v>0.28933587739358207</v>
      </c>
      <c r="P17" s="133">
        <v>0.28015640135824482</v>
      </c>
      <c r="Q17" s="133">
        <v>0.44760197671453533</v>
      </c>
      <c r="R17" s="133">
        <v>0.34039359630927341</v>
      </c>
      <c r="S17" s="133">
        <v>0.47790597391793804</v>
      </c>
      <c r="T17" s="133">
        <v>0.50344446184762504</v>
      </c>
      <c r="U17" s="133">
        <v>0.6568400926604695</v>
      </c>
      <c r="V17" s="133">
        <v>0.53185964276376008</v>
      </c>
      <c r="W17" s="133">
        <v>0.70945517143950765</v>
      </c>
      <c r="DA17" s="157" t="s">
        <v>314</v>
      </c>
    </row>
    <row r="18" spans="1:105" ht="12" customHeight="1" x14ac:dyDescent="0.25">
      <c r="A18" s="132" t="s">
        <v>72</v>
      </c>
      <c r="B18" s="133">
        <v>25.859295549973027</v>
      </c>
      <c r="C18" s="133">
        <v>24.562316091163019</v>
      </c>
      <c r="D18" s="133">
        <v>27.721464291349477</v>
      </c>
      <c r="E18" s="133">
        <v>33.583342377852411</v>
      </c>
      <c r="F18" s="133">
        <v>28.766163975794971</v>
      </c>
      <c r="G18" s="133">
        <v>30.329068238998431</v>
      </c>
      <c r="H18" s="133">
        <v>36.232748104888223</v>
      </c>
      <c r="I18" s="133">
        <v>42.463480963531055</v>
      </c>
      <c r="J18" s="133">
        <v>38.19362928562569</v>
      </c>
      <c r="K18" s="133">
        <v>40.379543629868159</v>
      </c>
      <c r="L18" s="133">
        <v>44.280460619347544</v>
      </c>
      <c r="M18" s="133">
        <v>44.837762989801583</v>
      </c>
      <c r="N18" s="133">
        <v>59.208464711624167</v>
      </c>
      <c r="O18" s="133">
        <v>49.712172655714674</v>
      </c>
      <c r="P18" s="133">
        <v>46.24606407560524</v>
      </c>
      <c r="Q18" s="133">
        <v>68.62726001067827</v>
      </c>
      <c r="R18" s="133">
        <v>49.534173985886319</v>
      </c>
      <c r="S18" s="133">
        <v>60.618156165616853</v>
      </c>
      <c r="T18" s="133">
        <v>60.246880313241526</v>
      </c>
      <c r="U18" s="133">
        <v>66.814101419601585</v>
      </c>
      <c r="V18" s="133">
        <v>55.958750788834195</v>
      </c>
      <c r="W18" s="133">
        <v>71.952856167771785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119.19912101628962</v>
      </c>
      <c r="C19" s="131">
        <f t="shared" si="6"/>
        <v>121.68554554071305</v>
      </c>
      <c r="D19" s="131">
        <f t="shared" si="6"/>
        <v>126.22071005685157</v>
      </c>
      <c r="E19" s="131">
        <f t="shared" si="6"/>
        <v>129.4869753702848</v>
      </c>
      <c r="F19" s="131">
        <f t="shared" si="6"/>
        <v>133.94158273336586</v>
      </c>
      <c r="G19" s="131">
        <f t="shared" si="6"/>
        <v>135.79167346718205</v>
      </c>
      <c r="H19" s="131">
        <f t="shared" si="6"/>
        <v>137.57923301264225</v>
      </c>
      <c r="I19" s="131">
        <f t="shared" si="6"/>
        <v>139.59114874646241</v>
      </c>
      <c r="J19" s="131">
        <f t="shared" si="6"/>
        <v>141.0018906941738</v>
      </c>
      <c r="K19" s="131">
        <f t="shared" si="6"/>
        <v>142.41354667052241</v>
      </c>
      <c r="L19" s="131">
        <f t="shared" si="6"/>
        <v>142.8260387546982</v>
      </c>
      <c r="M19" s="131">
        <f t="shared" si="6"/>
        <v>144.23627430969324</v>
      </c>
      <c r="N19" s="131">
        <f t="shared" si="6"/>
        <v>146.67782407043731</v>
      </c>
      <c r="O19" s="131">
        <f t="shared" si="6"/>
        <v>147.82673875736714</v>
      </c>
      <c r="P19" s="131">
        <f t="shared" si="6"/>
        <v>149.25810932894038</v>
      </c>
      <c r="Q19" s="131">
        <f t="shared" si="6"/>
        <v>149.89707794195559</v>
      </c>
      <c r="R19" s="131">
        <f t="shared" ref="R19:W19" si="7">SUM(R20:R27)</f>
        <v>152.34037397828433</v>
      </c>
      <c r="S19" s="131">
        <f t="shared" si="7"/>
        <v>154.06985965743644</v>
      </c>
      <c r="T19" s="131">
        <f t="shared" si="7"/>
        <v>157.1237257600944</v>
      </c>
      <c r="U19" s="131">
        <f t="shared" si="7"/>
        <v>156.64798374891973</v>
      </c>
      <c r="V19" s="131">
        <f t="shared" si="7"/>
        <v>144.06548266972351</v>
      </c>
      <c r="W19" s="131">
        <f t="shared" si="7"/>
        <v>149.96906002109111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0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319</v>
      </c>
    </row>
    <row r="23" spans="1:105" ht="12" customHeight="1" x14ac:dyDescent="0.25">
      <c r="A23" s="132" t="s">
        <v>153</v>
      </c>
      <c r="B23" s="133">
        <v>48.64813587071923</v>
      </c>
      <c r="C23" s="133">
        <v>49.845117548131448</v>
      </c>
      <c r="D23" s="133">
        <v>53.069961898028502</v>
      </c>
      <c r="E23" s="133">
        <v>56.139420035396427</v>
      </c>
      <c r="F23" s="133">
        <v>60.105257985198385</v>
      </c>
      <c r="G23" s="133">
        <v>60.339998174551695</v>
      </c>
      <c r="H23" s="133">
        <v>61.581642510283658</v>
      </c>
      <c r="I23" s="133">
        <v>65.913812497627163</v>
      </c>
      <c r="J23" s="133">
        <v>69.944035147085515</v>
      </c>
      <c r="K23" s="133">
        <v>75.657480844282247</v>
      </c>
      <c r="L23" s="133">
        <v>78.78651929945562</v>
      </c>
      <c r="M23" s="133">
        <v>80.547513903597846</v>
      </c>
      <c r="N23" s="133">
        <v>81.036358255313331</v>
      </c>
      <c r="O23" s="133">
        <v>90.37155955980414</v>
      </c>
      <c r="P23" s="133">
        <v>93.007085002153786</v>
      </c>
      <c r="Q23" s="133">
        <v>93.617691685464166</v>
      </c>
      <c r="R23" s="133">
        <v>95.129048572021091</v>
      </c>
      <c r="S23" s="133">
        <v>96.443937896143908</v>
      </c>
      <c r="T23" s="133">
        <v>99.928946478444402</v>
      </c>
      <c r="U23" s="133">
        <v>98.076519966404035</v>
      </c>
      <c r="V23" s="133">
        <v>91.389331997095411</v>
      </c>
      <c r="W23" s="133">
        <v>91.898762321127236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3.6131654801162099</v>
      </c>
      <c r="O24" s="133">
        <v>3.6950590593959531</v>
      </c>
      <c r="P24" s="133">
        <v>3.7751709430966374</v>
      </c>
      <c r="Q24" s="133">
        <v>3.7123149930622152</v>
      </c>
      <c r="R24" s="133">
        <v>3.6453934704047657</v>
      </c>
      <c r="S24" s="133">
        <v>3.6078543125253524</v>
      </c>
      <c r="T24" s="133">
        <v>3.5033984646454819</v>
      </c>
      <c r="U24" s="133">
        <v>3.479298302586316</v>
      </c>
      <c r="V24" s="133">
        <v>3.2442939378487017</v>
      </c>
      <c r="W24" s="133">
        <v>2.8412880880497373</v>
      </c>
      <c r="DA24" s="157" t="s">
        <v>321</v>
      </c>
    </row>
    <row r="25" spans="1:105" ht="12" customHeight="1" x14ac:dyDescent="0.25">
      <c r="A25" s="132" t="s">
        <v>169</v>
      </c>
      <c r="B25" s="133">
        <v>12.24213405703845</v>
      </c>
      <c r="C25" s="133">
        <v>12.216269787491751</v>
      </c>
      <c r="D25" s="133">
        <v>12.266045400012324</v>
      </c>
      <c r="E25" s="133">
        <v>12.367107338722963</v>
      </c>
      <c r="F25" s="133">
        <v>12.59534490709752</v>
      </c>
      <c r="G25" s="133">
        <v>13.520809377289849</v>
      </c>
      <c r="H25" s="133">
        <v>13.824236280144405</v>
      </c>
      <c r="I25" s="133">
        <v>14.283231300790222</v>
      </c>
      <c r="J25" s="133">
        <v>15.406461748447605</v>
      </c>
      <c r="K25" s="133">
        <v>15.868956431679365</v>
      </c>
      <c r="L25" s="133">
        <v>16.195406407826706</v>
      </c>
      <c r="M25" s="133">
        <v>16.427688373831256</v>
      </c>
      <c r="N25" s="133">
        <v>16.880706169548095</v>
      </c>
      <c r="O25" s="133">
        <v>16.604291594450579</v>
      </c>
      <c r="P25" s="133">
        <v>16.560782079183099</v>
      </c>
      <c r="Q25" s="133">
        <v>17.034413345365049</v>
      </c>
      <c r="R25" s="133">
        <v>17.163916995825883</v>
      </c>
      <c r="S25" s="133">
        <v>17.366255422692955</v>
      </c>
      <c r="T25" s="133">
        <v>17.162926056369177</v>
      </c>
      <c r="U25" s="133">
        <v>17.515911049041659</v>
      </c>
      <c r="V25" s="133">
        <v>14.637330272894733</v>
      </c>
      <c r="W25" s="133">
        <v>15.262883801255979</v>
      </c>
      <c r="DA25" s="157" t="s">
        <v>322</v>
      </c>
    </row>
    <row r="26" spans="1:105" ht="12" customHeight="1" x14ac:dyDescent="0.25">
      <c r="A26" s="132" t="s">
        <v>24</v>
      </c>
      <c r="B26" s="65">
        <v>58.308851088531945</v>
      </c>
      <c r="C26" s="65">
        <v>59.624158205089856</v>
      </c>
      <c r="D26" s="65">
        <v>60.884702758810747</v>
      </c>
      <c r="E26" s="65">
        <v>60.980447996165417</v>
      </c>
      <c r="F26" s="65">
        <v>61.240979841069965</v>
      </c>
      <c r="G26" s="65">
        <v>61.906962218006043</v>
      </c>
      <c r="H26" s="65">
        <v>62.125546827545243</v>
      </c>
      <c r="I26" s="65">
        <v>59.322479840564377</v>
      </c>
      <c r="J26" s="65">
        <v>55.555864993825551</v>
      </c>
      <c r="K26" s="65">
        <v>50.767676892411195</v>
      </c>
      <c r="L26" s="65">
        <v>47.676959135120072</v>
      </c>
      <c r="M26" s="65">
        <v>47.070014422633868</v>
      </c>
      <c r="N26" s="65">
        <v>44.956536555829423</v>
      </c>
      <c r="O26" s="65">
        <v>36.964770934086218</v>
      </c>
      <c r="P26" s="65">
        <v>35.7001099975421</v>
      </c>
      <c r="Q26" s="65">
        <v>35.317696611099414</v>
      </c>
      <c r="R26" s="65">
        <v>36.187053633067848</v>
      </c>
      <c r="S26" s="65">
        <v>36.412947021774997</v>
      </c>
      <c r="T26" s="65">
        <v>36.289589756336127</v>
      </c>
      <c r="U26" s="65">
        <v>37.313485729254005</v>
      </c>
      <c r="V26" s="65">
        <v>34.531757760250962</v>
      </c>
      <c r="W26" s="65">
        <v>39.703357109024445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2.3903697334479786E-2</v>
      </c>
      <c r="H27" s="146">
        <v>4.7807394668959592E-2</v>
      </c>
      <c r="I27" s="146">
        <v>7.1625107480653483E-2</v>
      </c>
      <c r="J27" s="146">
        <v>9.5528804815133303E-2</v>
      </c>
      <c r="K27" s="146">
        <v>0.11943250214961314</v>
      </c>
      <c r="L27" s="146">
        <v>0.16715391229578669</v>
      </c>
      <c r="M27" s="146">
        <v>0.19105760963026658</v>
      </c>
      <c r="N27" s="146">
        <v>0.19105760963026666</v>
      </c>
      <c r="O27" s="146">
        <v>0.19105760963026658</v>
      </c>
      <c r="P27" s="146">
        <v>0.21496130696474627</v>
      </c>
      <c r="Q27" s="146">
        <v>0.21496130696474622</v>
      </c>
      <c r="R27" s="146">
        <v>0.21496130696474638</v>
      </c>
      <c r="S27" s="146">
        <v>0.23886500429922602</v>
      </c>
      <c r="T27" s="146">
        <v>0.23886500429922619</v>
      </c>
      <c r="U27" s="146">
        <v>0.2627687016337058</v>
      </c>
      <c r="V27" s="146">
        <v>0.26276870163370591</v>
      </c>
      <c r="W27" s="146">
        <v>0.26276870163370614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148.26822721280911</v>
      </c>
      <c r="C29" s="131">
        <f t="shared" si="8"/>
        <v>150.40037930963942</v>
      </c>
      <c r="D29" s="131">
        <f t="shared" si="8"/>
        <v>152.41883762444448</v>
      </c>
      <c r="E29" s="131">
        <f t="shared" si="8"/>
        <v>157.15032422623833</v>
      </c>
      <c r="F29" s="131">
        <f t="shared" si="8"/>
        <v>156.83805891968831</v>
      </c>
      <c r="G29" s="131">
        <f t="shared" si="8"/>
        <v>158.76354282188242</v>
      </c>
      <c r="H29" s="131">
        <f t="shared" si="8"/>
        <v>161.43120401340008</v>
      </c>
      <c r="I29" s="131">
        <f t="shared" si="8"/>
        <v>160.35331264999448</v>
      </c>
      <c r="J29" s="131">
        <f t="shared" si="8"/>
        <v>160.01056998600654</v>
      </c>
      <c r="K29" s="131">
        <f t="shared" si="8"/>
        <v>160.37985806124692</v>
      </c>
      <c r="L29" s="131">
        <f t="shared" si="8"/>
        <v>163.96135073580587</v>
      </c>
      <c r="M29" s="131">
        <f t="shared" si="8"/>
        <v>163.22776465657472</v>
      </c>
      <c r="N29" s="131">
        <f t="shared" si="8"/>
        <v>163.54629236974603</v>
      </c>
      <c r="O29" s="131">
        <f t="shared" si="8"/>
        <v>163.62039320416034</v>
      </c>
      <c r="P29" s="131">
        <f t="shared" si="8"/>
        <v>162.84129856165848</v>
      </c>
      <c r="Q29" s="131">
        <f t="shared" si="8"/>
        <v>163.83318027726898</v>
      </c>
      <c r="R29" s="131">
        <f t="shared" ref="R29:W29" si="9">SUM(R30:R33)</f>
        <v>163.30467946260413</v>
      </c>
      <c r="S29" s="131">
        <f t="shared" si="9"/>
        <v>162.6257975786512</v>
      </c>
      <c r="T29" s="131">
        <f t="shared" si="9"/>
        <v>166.86569214132084</v>
      </c>
      <c r="U29" s="131">
        <f t="shared" si="9"/>
        <v>166.76170065123193</v>
      </c>
      <c r="V29" s="131">
        <f t="shared" si="9"/>
        <v>159.20254770563338</v>
      </c>
      <c r="W29" s="131">
        <f t="shared" si="9"/>
        <v>170.17472736898122</v>
      </c>
      <c r="DA29" s="156" t="s">
        <v>325</v>
      </c>
    </row>
    <row r="30" spans="1:105" ht="12" customHeight="1" x14ac:dyDescent="0.25">
      <c r="A30" s="132" t="s">
        <v>52</v>
      </c>
      <c r="B30" s="133">
        <v>31.799657095682264</v>
      </c>
      <c r="C30" s="133">
        <v>25.590429667384637</v>
      </c>
      <c r="D30" s="133">
        <v>28.376270052066356</v>
      </c>
      <c r="E30" s="133">
        <v>25.611777220998821</v>
      </c>
      <c r="F30" s="133">
        <v>14.447007453103801</v>
      </c>
      <c r="G30" s="133">
        <v>15.825593533197559</v>
      </c>
      <c r="H30" s="133">
        <v>14.466808733098601</v>
      </c>
      <c r="I30" s="133">
        <v>14.498060873211111</v>
      </c>
      <c r="J30" s="133">
        <v>11.762271137940397</v>
      </c>
      <c r="K30" s="133">
        <v>11.794883755568915</v>
      </c>
      <c r="L30" s="133">
        <v>13.20684443111687</v>
      </c>
      <c r="M30" s="133">
        <v>11.122076643516435</v>
      </c>
      <c r="N30" s="133">
        <v>10.427549881472807</v>
      </c>
      <c r="O30" s="133">
        <v>7.6475529823467143</v>
      </c>
      <c r="P30" s="133">
        <v>8.3435244687068195</v>
      </c>
      <c r="Q30" s="133">
        <v>9.734525383977692</v>
      </c>
      <c r="R30" s="133">
        <v>7.5123792472819266</v>
      </c>
      <c r="S30" s="133">
        <v>6.1455868711047055</v>
      </c>
      <c r="T30" s="133">
        <v>8.2026250125393627</v>
      </c>
      <c r="U30" s="133">
        <v>7.5280217641641611</v>
      </c>
      <c r="V30" s="133">
        <v>10.962429237080823</v>
      </c>
      <c r="W30" s="133">
        <v>7.5434793008668972</v>
      </c>
      <c r="DA30" s="157" t="s">
        <v>326</v>
      </c>
    </row>
    <row r="31" spans="1:105" ht="12" customHeight="1" x14ac:dyDescent="0.25">
      <c r="A31" s="132" t="s">
        <v>153</v>
      </c>
      <c r="B31" s="133">
        <v>7.8867792808680495</v>
      </c>
      <c r="C31" s="133">
        <v>16.89834033727222</v>
      </c>
      <c r="D31" s="133">
        <v>21.153623743168943</v>
      </c>
      <c r="E31" s="133">
        <v>31.39219447941246</v>
      </c>
      <c r="F31" s="133">
        <v>44.848162417791329</v>
      </c>
      <c r="G31" s="133">
        <v>52.538735159155323</v>
      </c>
      <c r="H31" s="133">
        <v>61.71924972265348</v>
      </c>
      <c r="I31" s="133">
        <v>67.259145018307748</v>
      </c>
      <c r="J31" s="133">
        <v>72.544408460148261</v>
      </c>
      <c r="K31" s="133">
        <v>75.565092267384813</v>
      </c>
      <c r="L31" s="133">
        <v>79.418617795681939</v>
      </c>
      <c r="M31" s="133">
        <v>85.544782352114112</v>
      </c>
      <c r="N31" s="133">
        <v>90.886404462348708</v>
      </c>
      <c r="O31" s="133">
        <v>95.97842681882581</v>
      </c>
      <c r="P31" s="133">
        <v>96.413719774564768</v>
      </c>
      <c r="Q31" s="133">
        <v>93.438463000984413</v>
      </c>
      <c r="R31" s="133">
        <v>91.568221418877627</v>
      </c>
      <c r="S31" s="133">
        <v>90.849521885976344</v>
      </c>
      <c r="T31" s="133">
        <v>90.539502200161209</v>
      </c>
      <c r="U31" s="133">
        <v>90.622748899112196</v>
      </c>
      <c r="V31" s="133">
        <v>86.31657776691597</v>
      </c>
      <c r="W31" s="133">
        <v>93.280740236371173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108.5817908362588</v>
      </c>
      <c r="C33" s="68">
        <v>107.91160930498256</v>
      </c>
      <c r="D33" s="68">
        <v>102.88894382920918</v>
      </c>
      <c r="E33" s="68">
        <v>100.14635252582704</v>
      </c>
      <c r="F33" s="68">
        <v>97.542889048793185</v>
      </c>
      <c r="G33" s="68">
        <v>90.39921412952954</v>
      </c>
      <c r="H33" s="68">
        <v>85.245145557648016</v>
      </c>
      <c r="I33" s="68">
        <v>78.596106758475614</v>
      </c>
      <c r="J33" s="68">
        <v>75.703890387917866</v>
      </c>
      <c r="K33" s="68">
        <v>73.019882038293204</v>
      </c>
      <c r="L33" s="68">
        <v>71.335888509007049</v>
      </c>
      <c r="M33" s="68">
        <v>66.560905660944186</v>
      </c>
      <c r="N33" s="68">
        <v>62.23233802592452</v>
      </c>
      <c r="O33" s="68">
        <v>59.99441340298781</v>
      </c>
      <c r="P33" s="68">
        <v>58.084054318386883</v>
      </c>
      <c r="Q33" s="68">
        <v>60.660191892306869</v>
      </c>
      <c r="R33" s="68">
        <v>64.224078796444573</v>
      </c>
      <c r="S33" s="68">
        <v>65.630688821570146</v>
      </c>
      <c r="T33" s="68">
        <v>68.123564928620254</v>
      </c>
      <c r="U33" s="68">
        <v>68.610929987955558</v>
      </c>
      <c r="V33" s="68">
        <v>61.923540701636597</v>
      </c>
      <c r="W33" s="68">
        <v>69.350507831743144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0.57720045058810998</v>
      </c>
      <c r="C3" s="127">
        <f>IF(SER_hh_tes!C3=0,"",SER_hh_tes!C3/SER_hh_fec!C3)</f>
        <v>0.5822450351526014</v>
      </c>
      <c r="D3" s="127">
        <f>IF(SER_hh_tes!D3=0,"",SER_hh_tes!D3/SER_hh_fec!D3)</f>
        <v>0.58987842519334521</v>
      </c>
      <c r="E3" s="127">
        <f>IF(SER_hh_tes!E3=0,"",SER_hh_tes!E3/SER_hh_fec!E3)</f>
        <v>0.59720112979958906</v>
      </c>
      <c r="F3" s="127">
        <f>IF(SER_hh_tes!F3=0,"",SER_hh_tes!F3/SER_hh_fec!F3)</f>
        <v>0.59159237558080358</v>
      </c>
      <c r="G3" s="127">
        <f>IF(SER_hh_tes!G3=0,"",SER_hh_tes!G3/SER_hh_fec!G3)</f>
        <v>0.60511529198177993</v>
      </c>
      <c r="H3" s="127">
        <f>IF(SER_hh_tes!H3=0,"",SER_hh_tes!H3/SER_hh_fec!H3)</f>
        <v>0.61740898923732312</v>
      </c>
      <c r="I3" s="127">
        <f>IF(SER_hh_tes!I3=0,"",SER_hh_tes!I3/SER_hh_fec!I3)</f>
        <v>0.63953107306836054</v>
      </c>
      <c r="J3" s="127">
        <f>IF(SER_hh_tes!J3=0,"",SER_hh_tes!J3/SER_hh_fec!J3)</f>
        <v>0.64937013296304014</v>
      </c>
      <c r="K3" s="127">
        <f>IF(SER_hh_tes!K3=0,"",SER_hh_tes!K3/SER_hh_fec!K3)</f>
        <v>0.65383721796179572</v>
      </c>
      <c r="L3" s="127">
        <f>IF(SER_hh_tes!L3=0,"",SER_hh_tes!L3/SER_hh_fec!L3)</f>
        <v>0.66094344360311663</v>
      </c>
      <c r="M3" s="127">
        <f>IF(SER_hh_tes!M3=0,"",SER_hh_tes!M3/SER_hh_fec!M3)</f>
        <v>0.67199684539837512</v>
      </c>
      <c r="N3" s="127">
        <f>IF(SER_hh_tes!N3=0,"",SER_hh_tes!N3/SER_hh_fec!N3)</f>
        <v>0.68722191158060386</v>
      </c>
      <c r="O3" s="127">
        <f>IF(SER_hh_tes!O3=0,"",SER_hh_tes!O3/SER_hh_fec!O3)</f>
        <v>0.69496944904416214</v>
      </c>
      <c r="P3" s="127">
        <f>IF(SER_hh_tes!P3=0,"",SER_hh_tes!P3/SER_hh_fec!P3)</f>
        <v>0.6991184295691748</v>
      </c>
      <c r="Q3" s="127">
        <f>IF(SER_hh_tes!Q3=0,"",SER_hh_tes!Q3/SER_hh_fec!Q3)</f>
        <v>0.71475556738504387</v>
      </c>
      <c r="R3" s="127">
        <f>IF(SER_hh_tes!R3=0,"",SER_hh_tes!R3/SER_hh_fec!R3)</f>
        <v>0.71588136897606214</v>
      </c>
      <c r="S3" s="127">
        <f>IF(SER_hh_tes!S3=0,"",SER_hh_tes!S3/SER_hh_fec!S3)</f>
        <v>0.7321476565496049</v>
      </c>
      <c r="T3" s="127">
        <f>IF(SER_hh_tes!T3=0,"",SER_hh_tes!T3/SER_hh_fec!T3)</f>
        <v>0.74319811532831093</v>
      </c>
      <c r="U3" s="127">
        <f>IF(SER_hh_tes!U3=0,"",SER_hh_tes!U3/SER_hh_fec!U3)</f>
        <v>0.75628653133622437</v>
      </c>
      <c r="V3" s="127">
        <f>IF(SER_hh_tes!V3=0,"",SER_hh_tes!V3/SER_hh_fec!V3)</f>
        <v>0.75920560306257323</v>
      </c>
      <c r="W3" s="127">
        <f>IF(SER_hh_tes!W3=0,"",SER_hh_tes!W3/SER_hh_fec!W3)</f>
        <v>0.77313143678244522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0.55370532162061914</v>
      </c>
      <c r="C4" s="136">
        <f>IF(SER_hh_tes!C4=0,"",SER_hh_tes!C4/SER_hh_fec!C4)</f>
        <v>0.56086309721636063</v>
      </c>
      <c r="D4" s="136">
        <f>IF(SER_hh_tes!D4=0,"",SER_hh_tes!D4/SER_hh_fec!D4)</f>
        <v>0.56637075228568168</v>
      </c>
      <c r="E4" s="136">
        <f>IF(SER_hh_tes!E4=0,"",SER_hh_tes!E4/SER_hh_fec!E4)</f>
        <v>0.57373632347118653</v>
      </c>
      <c r="F4" s="136">
        <f>IF(SER_hh_tes!F4=0,"",SER_hh_tes!F4/SER_hh_fec!F4)</f>
        <v>0.57196826961096969</v>
      </c>
      <c r="G4" s="136">
        <f>IF(SER_hh_tes!G4=0,"",SER_hh_tes!G4/SER_hh_fec!G4)</f>
        <v>0.58675470527153961</v>
      </c>
      <c r="H4" s="136">
        <f>IF(SER_hh_tes!H4=0,"",SER_hh_tes!H4/SER_hh_fec!H4)</f>
        <v>0.59662005442182087</v>
      </c>
      <c r="I4" s="136">
        <f>IF(SER_hh_tes!I4=0,"",SER_hh_tes!I4/SER_hh_fec!I4)</f>
        <v>0.61730802273877128</v>
      </c>
      <c r="J4" s="136">
        <f>IF(SER_hh_tes!J4=0,"",SER_hh_tes!J4/SER_hh_fec!J4)</f>
        <v>0.63013428067696298</v>
      </c>
      <c r="K4" s="136">
        <f>IF(SER_hh_tes!K4=0,"",SER_hh_tes!K4/SER_hh_fec!K4)</f>
        <v>0.63610548477378481</v>
      </c>
      <c r="L4" s="136">
        <f>IF(SER_hh_tes!L4=0,"",SER_hh_tes!L4/SER_hh_fec!L4)</f>
        <v>0.64406839466729215</v>
      </c>
      <c r="M4" s="136">
        <f>IF(SER_hh_tes!M4=0,"",SER_hh_tes!M4/SER_hh_fec!M4)</f>
        <v>0.65701117562014155</v>
      </c>
      <c r="N4" s="136">
        <f>IF(SER_hh_tes!N4=0,"",SER_hh_tes!N4/SER_hh_fec!N4)</f>
        <v>0.66134776752039348</v>
      </c>
      <c r="O4" s="136">
        <f>IF(SER_hh_tes!O4=0,"",SER_hh_tes!O4/SER_hh_fec!O4)</f>
        <v>0.67557740770558217</v>
      </c>
      <c r="P4" s="136">
        <f>IF(SER_hh_tes!P4=0,"",SER_hh_tes!P4/SER_hh_fec!P4)</f>
        <v>0.67873459633712097</v>
      </c>
      <c r="Q4" s="136">
        <f>IF(SER_hh_tes!Q4=0,"",SER_hh_tes!Q4/SER_hh_fec!Q4)</f>
        <v>0.68625561941180924</v>
      </c>
      <c r="R4" s="136">
        <f>IF(SER_hh_tes!R4=0,"",SER_hh_tes!R4/SER_hh_fec!R4)</f>
        <v>0.69603320646410627</v>
      </c>
      <c r="S4" s="136">
        <f>IF(SER_hh_tes!S4=0,"",SER_hh_tes!S4/SER_hh_fec!S4)</f>
        <v>0.70774531456396028</v>
      </c>
      <c r="T4" s="136">
        <f>IF(SER_hh_tes!T4=0,"",SER_hh_tes!T4/SER_hh_fec!T4)</f>
        <v>0.71916003317717314</v>
      </c>
      <c r="U4" s="136">
        <f>IF(SER_hh_tes!U4=0,"",SER_hh_tes!U4/SER_hh_fec!U4)</f>
        <v>0.72860760502515354</v>
      </c>
      <c r="V4" s="136">
        <f>IF(SER_hh_tes!V4=0,"",SER_hh_tes!V4/SER_hh_fec!V4)</f>
        <v>0.73707813397735578</v>
      </c>
      <c r="W4" s="136">
        <f>IF(SER_hh_tes!W4=0,"",SER_hh_tes!W4/SER_hh_fec!W4)</f>
        <v>0.74387108651428024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0.52435937952298728</v>
      </c>
      <c r="C5" s="137">
        <f>IF(SER_hh_tes!C5=0,"",SER_hh_tes!C5/SER_hh_fec!C5)</f>
        <v>0.52435937952298728</v>
      </c>
      <c r="D5" s="137">
        <f>IF(SER_hh_tes!D5=0,"",SER_hh_tes!D5/SER_hh_fec!D5)</f>
        <v>0.52435937952298728</v>
      </c>
      <c r="E5" s="137">
        <f>IF(SER_hh_tes!E5=0,"",SER_hh_tes!E5/SER_hh_fec!E5)</f>
        <v>0.52435937952298728</v>
      </c>
      <c r="F5" s="137">
        <f>IF(SER_hh_tes!F5=0,"",SER_hh_tes!F5/SER_hh_fec!F5)</f>
        <v>0.52435937952298728</v>
      </c>
      <c r="G5" s="137">
        <f>IF(SER_hh_tes!G5=0,"",SER_hh_tes!G5/SER_hh_fec!G5)</f>
        <v>0.52435937952298728</v>
      </c>
      <c r="H5" s="137">
        <f>IF(SER_hh_tes!H5=0,"",SER_hh_tes!H5/SER_hh_fec!H5)</f>
        <v>0.52435937952298728</v>
      </c>
      <c r="I5" s="137">
        <f>IF(SER_hh_tes!I5=0,"",SER_hh_tes!I5/SER_hh_fec!I5)</f>
        <v>0.52435937952298728</v>
      </c>
      <c r="J5" s="137">
        <f>IF(SER_hh_tes!J5=0,"",SER_hh_tes!J5/SER_hh_fec!J5)</f>
        <v>0.52435937952298728</v>
      </c>
      <c r="K5" s="137">
        <f>IF(SER_hh_tes!K5=0,"",SER_hh_tes!K5/SER_hh_fec!K5)</f>
        <v>0.52435937952298728</v>
      </c>
      <c r="L5" s="137">
        <f>IF(SER_hh_tes!L5=0,"",SER_hh_tes!L5/SER_hh_fec!L5)</f>
        <v>0.52435937952298728</v>
      </c>
      <c r="M5" s="137">
        <f>IF(SER_hh_tes!M5=0,"",SER_hh_tes!M5/SER_hh_fec!M5)</f>
        <v>0.53268411659754578</v>
      </c>
      <c r="N5" s="137">
        <f>IF(SER_hh_tes!N5=0,"",SER_hh_tes!N5/SER_hh_fec!N5)</f>
        <v>0.597649287925066</v>
      </c>
      <c r="O5" s="137">
        <f>IF(SER_hh_tes!O5=0,"",SER_hh_tes!O5/SER_hh_fec!O5)</f>
        <v>0.66379290961588355</v>
      </c>
      <c r="P5" s="137">
        <f>IF(SER_hh_tes!P5=0,"",SER_hh_tes!P5/SER_hh_fec!P5)</f>
        <v>0.66489439768430292</v>
      </c>
      <c r="Q5" s="137">
        <f>IF(SER_hh_tes!Q5=0,"",SER_hh_tes!Q5/SER_hh_fec!Q5)</f>
        <v>0.66590104818626494</v>
      </c>
      <c r="R5" s="137">
        <f>IF(SER_hh_tes!R5=0,"",SER_hh_tes!R5/SER_hh_fec!R5)</f>
        <v>0.66591690334678999</v>
      </c>
      <c r="S5" s="137">
        <f>IF(SER_hh_tes!S5=0,"",SER_hh_tes!S5/SER_hh_fec!S5)</f>
        <v>0.66591690334678999</v>
      </c>
      <c r="T5" s="137">
        <f>IF(SER_hh_tes!T5=0,"",SER_hh_tes!T5/SER_hh_fec!T5)</f>
        <v>0.66591690334678943</v>
      </c>
      <c r="U5" s="137">
        <f>IF(SER_hh_tes!U5=0,"",SER_hh_tes!U5/SER_hh_fec!U5)</f>
        <v>0.66591690334678988</v>
      </c>
      <c r="V5" s="137">
        <f>IF(SER_hh_tes!V5=0,"",SER_hh_tes!V5/SER_hh_fec!V5)</f>
        <v>0.66591690334679043</v>
      </c>
      <c r="W5" s="137">
        <f>IF(SER_hh_tes!W5=0,"",SER_hh_tes!W5/SER_hh_fec!W5)</f>
        <v>0.66591690334678921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0.45385609460166865</v>
      </c>
      <c r="C7" s="137">
        <f>IF(SER_hh_tes!C7=0,"",SER_hh_tes!C7/SER_hh_fec!C7)</f>
        <v>0.45385609460166865</v>
      </c>
      <c r="D7" s="137">
        <f>IF(SER_hh_tes!D7=0,"",SER_hh_tes!D7/SER_hh_fec!D7)</f>
        <v>0.45385609460166865</v>
      </c>
      <c r="E7" s="137">
        <f>IF(SER_hh_tes!E7=0,"",SER_hh_tes!E7/SER_hh_fec!E7)</f>
        <v>0.45385609460166865</v>
      </c>
      <c r="F7" s="137">
        <f>IF(SER_hh_tes!F7=0,"",SER_hh_tes!F7/SER_hh_fec!F7)</f>
        <v>0.45385609460166865</v>
      </c>
      <c r="G7" s="137">
        <f>IF(SER_hh_tes!G7=0,"",SER_hh_tes!G7/SER_hh_fec!G7)</f>
        <v>0.45385609460166865</v>
      </c>
      <c r="H7" s="137">
        <f>IF(SER_hh_tes!H7=0,"",SER_hh_tes!H7/SER_hh_fec!H7)</f>
        <v>0.45385609460166865</v>
      </c>
      <c r="I7" s="137" t="str">
        <f>IF(SER_hh_tes!I7=0,"",SER_hh_tes!I7/SER_hh_fec!I7)</f>
        <v/>
      </c>
      <c r="J7" s="137" t="str">
        <f>IF(SER_hh_tes!J7=0,"",SER_hh_tes!J7/SER_hh_fec!J7)</f>
        <v/>
      </c>
      <c r="K7" s="137" t="str">
        <f>IF(SER_hh_tes!K7=0,"",SER_hh_tes!K7/SER_hh_fec!K7)</f>
        <v/>
      </c>
      <c r="L7" s="137" t="str">
        <f>IF(SER_hh_tes!L7=0,"",SER_hh_tes!L7/SER_hh_fec!L7)</f>
        <v/>
      </c>
      <c r="M7" s="137" t="str">
        <f>IF(SER_hh_tes!M7=0,"",SER_hh_tes!M7/SER_hh_fec!M7)</f>
        <v/>
      </c>
      <c r="N7" s="137">
        <f>IF(SER_hh_tes!N7=0,"",SER_hh_tes!N7/SER_hh_fec!N7)</f>
        <v>0.59839428706440434</v>
      </c>
      <c r="O7" s="137">
        <f>IF(SER_hh_tes!O7=0,"",SER_hh_tes!O7/SER_hh_fec!O7)</f>
        <v>0.6057043275352727</v>
      </c>
      <c r="P7" s="137">
        <f>IF(SER_hh_tes!P7=0,"",SER_hh_tes!P7/SER_hh_fec!P7)</f>
        <v>0.62106758474027868</v>
      </c>
      <c r="Q7" s="137">
        <f>IF(SER_hh_tes!Q7=0,"",SER_hh_tes!Q7/SER_hh_fec!Q7)</f>
        <v>0.63448088103424771</v>
      </c>
      <c r="R7" s="137">
        <f>IF(SER_hh_tes!R7=0,"",SER_hh_tes!R7/SER_hh_fec!R7)</f>
        <v>0.64309392577561753</v>
      </c>
      <c r="S7" s="137">
        <f>IF(SER_hh_tes!S7=0,"",SER_hh_tes!S7/SER_hh_fec!S7)</f>
        <v>0.64638220790309964</v>
      </c>
      <c r="T7" s="137">
        <f>IF(SER_hh_tes!T7=0,"",SER_hh_tes!T7/SER_hh_fec!T7)</f>
        <v>0.64948132503616829</v>
      </c>
      <c r="U7" s="137">
        <f>IF(SER_hh_tes!U7=0,"",SER_hh_tes!U7/SER_hh_fec!U7)</f>
        <v>0.65111710090378005</v>
      </c>
      <c r="V7" s="137">
        <f>IF(SER_hh_tes!V7=0,"",SER_hh_tes!V7/SER_hh_fec!V7)</f>
        <v>0.65390015566306903</v>
      </c>
      <c r="W7" s="137">
        <f>IF(SER_hh_tes!W7=0,"",SER_hh_tes!W7/SER_hh_fec!W7)</f>
        <v>0.65941133648062533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>
        <f>IF(SER_hh_tes!R8=0,"",SER_hh_tes!R8/SER_hh_fec!R8)</f>
        <v>2.5655106607608897</v>
      </c>
      <c r="S8" s="137">
        <f>IF(SER_hh_tes!S8=0,"",SER_hh_tes!S8/SER_hh_fec!S8)</f>
        <v>2.5815438303472535</v>
      </c>
      <c r="T8" s="137">
        <f>IF(SER_hh_tes!T8=0,"",SER_hh_tes!T8/SER_hh_fec!T8)</f>
        <v>2.5958856207229513</v>
      </c>
      <c r="U8" s="137">
        <f>IF(SER_hh_tes!U8=0,"",SER_hh_tes!U8/SER_hh_fec!U8)</f>
        <v>2.6048077686014985</v>
      </c>
      <c r="V8" s="137">
        <f>IF(SER_hh_tes!V8=0,"",SER_hh_tes!V8/SER_hh_fec!V8)</f>
        <v>2.6151949010268689</v>
      </c>
      <c r="W8" s="137">
        <f>IF(SER_hh_tes!W8=0,"",SER_hh_tes!W8/SER_hh_fec!W8)</f>
        <v>2.6171730456678173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0.49888422249570935</v>
      </c>
      <c r="C9" s="137">
        <f>IF(SER_hh_tes!C9=0,"",SER_hh_tes!C9/SER_hh_fec!C9)</f>
        <v>0.50793473417901625</v>
      </c>
      <c r="D9" s="137">
        <f>IF(SER_hh_tes!D9=0,"",SER_hh_tes!D9/SER_hh_fec!D9)</f>
        <v>0.51875959360062274</v>
      </c>
      <c r="E9" s="137">
        <f>IF(SER_hh_tes!E9=0,"",SER_hh_tes!E9/SER_hh_fec!E9)</f>
        <v>0.5305578293651364</v>
      </c>
      <c r="F9" s="137">
        <f>IF(SER_hh_tes!F9=0,"",SER_hh_tes!F9/SER_hh_fec!F9)</f>
        <v>0.5403859159435499</v>
      </c>
      <c r="G9" s="137">
        <f>IF(SER_hh_tes!G9=0,"",SER_hh_tes!G9/SER_hh_fec!G9)</f>
        <v>0.54814074845576854</v>
      </c>
      <c r="H9" s="137">
        <f>IF(SER_hh_tes!H9=0,"",SER_hh_tes!H9/SER_hh_fec!H9)</f>
        <v>0.55412237624999183</v>
      </c>
      <c r="I9" s="137">
        <f>IF(SER_hh_tes!I9=0,"",SER_hh_tes!I9/SER_hh_fec!I9)</f>
        <v>0.56004533933068623</v>
      </c>
      <c r="J9" s="137">
        <f>IF(SER_hh_tes!J9=0,"",SER_hh_tes!J9/SER_hh_fec!J9)</f>
        <v>0.56655756431572701</v>
      </c>
      <c r="K9" s="137">
        <f>IF(SER_hh_tes!K9=0,"",SER_hh_tes!K9/SER_hh_fec!K9)</f>
        <v>0.57734200933132263</v>
      </c>
      <c r="L9" s="137">
        <f>IF(SER_hh_tes!L9=0,"",SER_hh_tes!L9/SER_hh_fec!L9)</f>
        <v>0.59271741734431993</v>
      </c>
      <c r="M9" s="137">
        <f>IF(SER_hh_tes!M9=0,"",SER_hh_tes!M9/SER_hh_fec!M9)</f>
        <v>0.61045679508954431</v>
      </c>
      <c r="N9" s="137">
        <f>IF(SER_hh_tes!N9=0,"",SER_hh_tes!N9/SER_hh_fec!N9)</f>
        <v>0.63057784109703163</v>
      </c>
      <c r="O9" s="137">
        <f>IF(SER_hh_tes!O9=0,"",SER_hh_tes!O9/SER_hh_fec!O9)</f>
        <v>0.64738801298937831</v>
      </c>
      <c r="P9" s="137">
        <f>IF(SER_hh_tes!P9=0,"",SER_hh_tes!P9/SER_hh_fec!P9)</f>
        <v>0.654067055810158</v>
      </c>
      <c r="Q9" s="137">
        <f>IF(SER_hh_tes!Q9=0,"",SER_hh_tes!Q9/SER_hh_fec!Q9)</f>
        <v>0.65841006040090089</v>
      </c>
      <c r="R9" s="137">
        <f>IF(SER_hh_tes!R9=0,"",SER_hh_tes!R9/SER_hh_fec!R9)</f>
        <v>0.66509190113734751</v>
      </c>
      <c r="S9" s="137">
        <f>IF(SER_hh_tes!S9=0,"",SER_hh_tes!S9/SER_hh_fec!S9)</f>
        <v>0.6747190144719275</v>
      </c>
      <c r="T9" s="137">
        <f>IF(SER_hh_tes!T9=0,"",SER_hh_tes!T9/SER_hh_fec!T9)</f>
        <v>0.684920396812572</v>
      </c>
      <c r="U9" s="137">
        <f>IF(SER_hh_tes!U9=0,"",SER_hh_tes!U9/SER_hh_fec!U9)</f>
        <v>0.69498873933312244</v>
      </c>
      <c r="V9" s="137">
        <f>IF(SER_hh_tes!V9=0,"",SER_hh_tes!V9/SER_hh_fec!V9)</f>
        <v>0.70402586998105166</v>
      </c>
      <c r="W9" s="137">
        <f>IF(SER_hh_tes!W9=0,"",SER_hh_tes!W9/SER_hh_fec!W9)</f>
        <v>0.71176368263779155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0.44803817481202812</v>
      </c>
      <c r="C10" s="137">
        <f>IF(SER_hh_tes!C10=0,"",SER_hh_tes!C10/SER_hh_fec!C10)</f>
        <v>0.45473726273565496</v>
      </c>
      <c r="D10" s="137">
        <f>IF(SER_hh_tes!D10=0,"",SER_hh_tes!D10/SER_hh_fec!D10)</f>
        <v>0.46137328393703619</v>
      </c>
      <c r="E10" s="137">
        <f>IF(SER_hh_tes!E10=0,"",SER_hh_tes!E10/SER_hh_fec!E10)</f>
        <v>0.46653279253170882</v>
      </c>
      <c r="F10" s="137">
        <f>IF(SER_hh_tes!F10=0,"",SER_hh_tes!F10/SER_hh_fec!F10)</f>
        <v>0.4699098092099015</v>
      </c>
      <c r="G10" s="137">
        <f>IF(SER_hh_tes!G10=0,"",SER_hh_tes!G10/SER_hh_fec!G10)</f>
        <v>0.47190873445906384</v>
      </c>
      <c r="H10" s="137">
        <f>IF(SER_hh_tes!H10=0,"",SER_hh_tes!H10/SER_hh_fec!H10)</f>
        <v>0.47267216439847581</v>
      </c>
      <c r="I10" s="137">
        <f>IF(SER_hh_tes!I10=0,"",SER_hh_tes!I10/SER_hh_fec!I10)</f>
        <v>0.47946630429468784</v>
      </c>
      <c r="J10" s="137">
        <f>IF(SER_hh_tes!J10=0,"",SER_hh_tes!J10/SER_hh_fec!J10)</f>
        <v>0.49075884903507783</v>
      </c>
      <c r="K10" s="137">
        <f>IF(SER_hh_tes!K10=0,"",SER_hh_tes!K10/SER_hh_fec!K10)</f>
        <v>0.50106519444832598</v>
      </c>
      <c r="L10" s="137">
        <f>IF(SER_hh_tes!L10=0,"",SER_hh_tes!L10/SER_hh_fec!L10)</f>
        <v>0.51265581004947747</v>
      </c>
      <c r="M10" s="137">
        <f>IF(SER_hh_tes!M10=0,"",SER_hh_tes!M10/SER_hh_fec!M10)</f>
        <v>0.52460308422250912</v>
      </c>
      <c r="N10" s="137">
        <f>IF(SER_hh_tes!N10=0,"",SER_hh_tes!N10/SER_hh_fec!N10)</f>
        <v>0.53615535703485051</v>
      </c>
      <c r="O10" s="137">
        <f>IF(SER_hh_tes!O10=0,"",SER_hh_tes!O10/SER_hh_fec!O10)</f>
        <v>0.54387861519550507</v>
      </c>
      <c r="P10" s="137">
        <f>IF(SER_hh_tes!P10=0,"",SER_hh_tes!P10/SER_hh_fec!P10)</f>
        <v>0.54399450678487427</v>
      </c>
      <c r="Q10" s="137">
        <f>IF(SER_hh_tes!Q10=0,"",SER_hh_tes!Q10/SER_hh_fec!Q10)</f>
        <v>0.54412296170844576</v>
      </c>
      <c r="R10" s="137">
        <f>IF(SER_hh_tes!R10=0,"",SER_hh_tes!R10/SER_hh_fec!R10)</f>
        <v>0.54421712180564297</v>
      </c>
      <c r="S10" s="137">
        <f>IF(SER_hh_tes!S10=0,"",SER_hh_tes!S10/SER_hh_fec!S10)</f>
        <v>0.54439322379247956</v>
      </c>
      <c r="T10" s="137">
        <f>IF(SER_hh_tes!T10=0,"",SER_hh_tes!T10/SER_hh_fec!T10)</f>
        <v>0.54453097030425057</v>
      </c>
      <c r="U10" s="137">
        <f>IF(SER_hh_tes!U10=0,"",SER_hh_tes!U10/SER_hh_fec!U10)</f>
        <v>0.5446704375181578</v>
      </c>
      <c r="V10" s="137">
        <f>IF(SER_hh_tes!V10=0,"",SER_hh_tes!V10/SER_hh_fec!V10)</f>
        <v>0.54471271416112466</v>
      </c>
      <c r="W10" s="137">
        <f>IF(SER_hh_tes!W10=0,"",SER_hh_tes!W10/SER_hh_fec!W10)</f>
        <v>0.54475524670008368</v>
      </c>
      <c r="DA10" s="164" t="s">
        <v>336</v>
      </c>
    </row>
    <row r="11" spans="1:105" ht="12" customHeight="1" x14ac:dyDescent="0.25">
      <c r="A11" s="132" t="s">
        <v>25</v>
      </c>
      <c r="B11" s="137">
        <f>IF(SER_hh_tes!B11=0,"",SER_hh_tes!B11/SER_hh_fec!B11)</f>
        <v>0.74659297046995365</v>
      </c>
      <c r="C11" s="137">
        <f>IF(SER_hh_tes!C11=0,"",SER_hh_tes!C11/SER_hh_fec!C11)</f>
        <v>0.75034634436537606</v>
      </c>
      <c r="D11" s="137">
        <f>IF(SER_hh_tes!D11=0,"",SER_hh_tes!D11/SER_hh_fec!D11)</f>
        <v>0.75451666209441814</v>
      </c>
      <c r="E11" s="137">
        <f>IF(SER_hh_tes!E11=0,"",SER_hh_tes!E11/SER_hh_fec!E11)</f>
        <v>0.75651006224515727</v>
      </c>
      <c r="F11" s="137">
        <f>IF(SER_hh_tes!F11=0,"",SER_hh_tes!F11/SER_hh_fec!F11)</f>
        <v>0.75736848818945168</v>
      </c>
      <c r="G11" s="137">
        <f>IF(SER_hh_tes!G11=0,"",SER_hh_tes!G11/SER_hh_fec!G11)</f>
        <v>0.76120379773343438</v>
      </c>
      <c r="H11" s="137">
        <f>IF(SER_hh_tes!H11=0,"",SER_hh_tes!H11/SER_hh_fec!H11)</f>
        <v>0.76901220659426839</v>
      </c>
      <c r="I11" s="137">
        <f>IF(SER_hh_tes!I11=0,"",SER_hh_tes!I11/SER_hh_fec!I11)</f>
        <v>0.77707806603026697</v>
      </c>
      <c r="J11" s="137">
        <f>IF(SER_hh_tes!J11=0,"",SER_hh_tes!J11/SER_hh_fec!J11)</f>
        <v>0.78323118594957974</v>
      </c>
      <c r="K11" s="137">
        <f>IF(SER_hh_tes!K11=0,"",SER_hh_tes!K11/SER_hh_fec!K11)</f>
        <v>0.78747631518690098</v>
      </c>
      <c r="L11" s="137">
        <f>IF(SER_hh_tes!L11=0,"",SER_hh_tes!L11/SER_hh_fec!L11)</f>
        <v>0.79213138905287817</v>
      </c>
      <c r="M11" s="137">
        <f>IF(SER_hh_tes!M11=0,"",SER_hh_tes!M11/SER_hh_fec!M11)</f>
        <v>0.79698428788500364</v>
      </c>
      <c r="N11" s="137">
        <f>IF(SER_hh_tes!N11=0,"",SER_hh_tes!N11/SER_hh_fec!N11)</f>
        <v>0.8015183551975974</v>
      </c>
      <c r="O11" s="137">
        <f>IF(SER_hh_tes!O11=0,"",SER_hh_tes!O11/SER_hh_fec!O11)</f>
        <v>0.80482841756454226</v>
      </c>
      <c r="P11" s="137">
        <f>IF(SER_hh_tes!P11=0,"",SER_hh_tes!P11/SER_hh_fec!P11)</f>
        <v>0.80500761238111262</v>
      </c>
      <c r="Q11" s="137">
        <f>IF(SER_hh_tes!Q11=0,"",SER_hh_tes!Q11/SER_hh_fec!Q11)</f>
        <v>0.80500944422969423</v>
      </c>
      <c r="R11" s="137">
        <f>IF(SER_hh_tes!R11=0,"",SER_hh_tes!R11/SER_hh_fec!R11)</f>
        <v>0.80507718619885571</v>
      </c>
      <c r="S11" s="137">
        <f>IF(SER_hh_tes!S11=0,"",SER_hh_tes!S11/SER_hh_fec!S11)</f>
        <v>0.80655809076677254</v>
      </c>
      <c r="T11" s="137">
        <f>IF(SER_hh_tes!T11=0,"",SER_hh_tes!T11/SER_hh_fec!T11)</f>
        <v>0.80783155873024926</v>
      </c>
      <c r="U11" s="137">
        <f>IF(SER_hh_tes!U11=0,"",SER_hh_tes!U11/SER_hh_fec!U11)</f>
        <v>0.80881949160117439</v>
      </c>
      <c r="V11" s="137">
        <f>IF(SER_hh_tes!V11=0,"",SER_hh_tes!V11/SER_hh_fec!V11)</f>
        <v>0.80936866276702979</v>
      </c>
      <c r="W11" s="137">
        <f>IF(SER_hh_tes!W11=0,"",SER_hh_tes!W11/SER_hh_fec!W11)</f>
        <v>0.81120907957810728</v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0.77579820223214735</v>
      </c>
      <c r="C12" s="137">
        <f>IF(SER_hh_tes!C12=0,"",SER_hh_tes!C12/SER_hh_fec!C12)</f>
        <v>0.77781746769566096</v>
      </c>
      <c r="D12" s="137">
        <f>IF(SER_hh_tes!D12=0,"",SER_hh_tes!D12/SER_hh_fec!D12)</f>
        <v>0.77859521841312451</v>
      </c>
      <c r="E12" s="137">
        <f>IF(SER_hh_tes!E12=0,"",SER_hh_tes!E12/SER_hh_fec!E12)</f>
        <v>0.77957561102116757</v>
      </c>
      <c r="F12" s="137">
        <f>IF(SER_hh_tes!F12=0,"",SER_hh_tes!F12/SER_hh_fec!F12)</f>
        <v>0.77992669297685879</v>
      </c>
      <c r="G12" s="137">
        <f>IF(SER_hh_tes!G12=0,"",SER_hh_tes!G12/SER_hh_fec!G12)</f>
        <v>0.78205095082893927</v>
      </c>
      <c r="H12" s="137">
        <f>IF(SER_hh_tes!H12=0,"",SER_hh_tes!H12/SER_hh_fec!H12)</f>
        <v>0.78658745185682721</v>
      </c>
      <c r="I12" s="137">
        <f>IF(SER_hh_tes!I12=0,"",SER_hh_tes!I12/SER_hh_fec!I12)</f>
        <v>0.79232984544696827</v>
      </c>
      <c r="J12" s="137">
        <f>IF(SER_hh_tes!J12=0,"",SER_hh_tes!J12/SER_hh_fec!J12)</f>
        <v>0.79656173416779608</v>
      </c>
      <c r="K12" s="137">
        <f>IF(SER_hh_tes!K12=0,"",SER_hh_tes!K12/SER_hh_fec!K12)</f>
        <v>0.79903427657381021</v>
      </c>
      <c r="L12" s="137">
        <f>IF(SER_hh_tes!L12=0,"",SER_hh_tes!L12/SER_hh_fec!L12)</f>
        <v>0.80150705648975606</v>
      </c>
      <c r="M12" s="137">
        <f>IF(SER_hh_tes!M12=0,"",SER_hh_tes!M12/SER_hh_fec!M12)</f>
        <v>0.80455218394426642</v>
      </c>
      <c r="N12" s="137">
        <f>IF(SER_hh_tes!N12=0,"",SER_hh_tes!N12/SER_hh_fec!N12)</f>
        <v>0.8094359819550091</v>
      </c>
      <c r="O12" s="137">
        <f>IF(SER_hh_tes!O12=0,"",SER_hh_tes!O12/SER_hh_fec!O12)</f>
        <v>0.81473938994243811</v>
      </c>
      <c r="P12" s="137">
        <f>IF(SER_hh_tes!P12=0,"",SER_hh_tes!P12/SER_hh_fec!P12)</f>
        <v>0.81735811513609791</v>
      </c>
      <c r="Q12" s="137">
        <f>IF(SER_hh_tes!Q12=0,"",SER_hh_tes!Q12/SER_hh_fec!Q12)</f>
        <v>0.82128997017197503</v>
      </c>
      <c r="R12" s="137">
        <f>IF(SER_hh_tes!R12=0,"",SER_hh_tes!R12/SER_hh_fec!R12)</f>
        <v>0.82501718383567413</v>
      </c>
      <c r="S12" s="137">
        <f>IF(SER_hh_tes!S12=0,"",SER_hh_tes!S12/SER_hh_fec!S12)</f>
        <v>0.82822824200911105</v>
      </c>
      <c r="T12" s="137">
        <f>IF(SER_hh_tes!T12=0,"",SER_hh_tes!T12/SER_hh_fec!T12)</f>
        <v>0.83048075938673416</v>
      </c>
      <c r="U12" s="137">
        <f>IF(SER_hh_tes!U12=0,"",SER_hh_tes!U12/SER_hh_fec!U12)</f>
        <v>0.83291416592499667</v>
      </c>
      <c r="V12" s="137">
        <f>IF(SER_hh_tes!V12=0,"",SER_hh_tes!V12/SER_hh_fec!V12)</f>
        <v>0.83591610970675034</v>
      </c>
      <c r="W12" s="137">
        <f>IF(SER_hh_tes!W12=0,"",SER_hh_tes!W12/SER_hh_fec!W12)</f>
        <v>0.8402227470709871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1.3488141347111267</v>
      </c>
      <c r="C13" s="137">
        <f>IF(SER_hh_tes!C13=0,"",SER_hh_tes!C13/SER_hh_fec!C13)</f>
        <v>1.3584329496269858</v>
      </c>
      <c r="D13" s="137">
        <f>IF(SER_hh_tes!D13=0,"",SER_hh_tes!D13/SER_hh_fec!D13)</f>
        <v>1.3964341612191047</v>
      </c>
      <c r="E13" s="137">
        <f>IF(SER_hh_tes!E13=0,"",SER_hh_tes!E13/SER_hh_fec!E13)</f>
        <v>1.4696899925564952</v>
      </c>
      <c r="F13" s="137">
        <f>IF(SER_hh_tes!F13=0,"",SER_hh_tes!F13/SER_hh_fec!F13)</f>
        <v>1.5859600325583554</v>
      </c>
      <c r="G13" s="137">
        <f>IF(SER_hh_tes!G13=0,"",SER_hh_tes!G13/SER_hh_fec!G13)</f>
        <v>1.7238534891607671</v>
      </c>
      <c r="H13" s="137">
        <f>IF(SER_hh_tes!H13=0,"",SER_hh_tes!H13/SER_hh_fec!H13)</f>
        <v>1.8397462121461738</v>
      </c>
      <c r="I13" s="137">
        <f>IF(SER_hh_tes!I13=0,"",SER_hh_tes!I13/SER_hh_fec!I13)</f>
        <v>1.944133982233448</v>
      </c>
      <c r="J13" s="137">
        <f>IF(SER_hh_tes!J13=0,"",SER_hh_tes!J13/SER_hh_fec!J13)</f>
        <v>2.0130154096084665</v>
      </c>
      <c r="K13" s="137">
        <f>IF(SER_hh_tes!K13=0,"",SER_hh_tes!K13/SER_hh_fec!K13)</f>
        <v>2.0761517716061499</v>
      </c>
      <c r="L13" s="137">
        <f>IF(SER_hh_tes!L13=0,"",SER_hh_tes!L13/SER_hh_fec!L13)</f>
        <v>2.1952266632907111</v>
      </c>
      <c r="M13" s="137">
        <f>IF(SER_hh_tes!M13=0,"",SER_hh_tes!M13/SER_hh_fec!M13)</f>
        <v>2.3741810300007722</v>
      </c>
      <c r="N13" s="137">
        <f>IF(SER_hh_tes!N13=0,"",SER_hh_tes!N13/SER_hh_fec!N13)</f>
        <v>2.5980544254314459</v>
      </c>
      <c r="O13" s="137">
        <f>IF(SER_hh_tes!O13=0,"",SER_hh_tes!O13/SER_hh_fec!O13)</f>
        <v>2.7446901763365057</v>
      </c>
      <c r="P13" s="137">
        <f>IF(SER_hh_tes!P13=0,"",SER_hh_tes!P13/SER_hh_fec!P13)</f>
        <v>2.8601033111777197</v>
      </c>
      <c r="Q13" s="137">
        <f>IF(SER_hh_tes!Q13=0,"",SER_hh_tes!Q13/SER_hh_fec!Q13)</f>
        <v>2.8968381294260506</v>
      </c>
      <c r="R13" s="137">
        <f>IF(SER_hh_tes!R13=0,"",SER_hh_tes!R13/SER_hh_fec!R13)</f>
        <v>2.9757822425192049</v>
      </c>
      <c r="S13" s="137">
        <f>IF(SER_hh_tes!S13=0,"",SER_hh_tes!S13/SER_hh_fec!S13)</f>
        <v>3.0875397790922765</v>
      </c>
      <c r="T13" s="137">
        <f>IF(SER_hh_tes!T13=0,"",SER_hh_tes!T13/SER_hh_fec!T13)</f>
        <v>3.2347364886604306</v>
      </c>
      <c r="U13" s="137">
        <f>IF(SER_hh_tes!U13=0,"",SER_hh_tes!U13/SER_hh_fec!U13)</f>
        <v>3.3228974129441702</v>
      </c>
      <c r="V13" s="137">
        <f>IF(SER_hh_tes!V13=0,"",SER_hh_tes!V13/SER_hh_fec!V13)</f>
        <v>3.3997590939379769</v>
      </c>
      <c r="W13" s="137">
        <f>IF(SER_hh_tes!W13=0,"",SER_hh_tes!W13/SER_hh_fec!W13)</f>
        <v>3.4439912713850451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0.6892888434474842</v>
      </c>
      <c r="C14" s="138">
        <f>IF(SER_hh_tes!C14=0,"",SER_hh_tes!C14/SER_hh_fec!C14)</f>
        <v>0.69008204938962114</v>
      </c>
      <c r="D14" s="138">
        <f>IF(SER_hh_tes!D14=0,"",SER_hh_tes!D14/SER_hh_fec!D14)</f>
        <v>0.69015355271308099</v>
      </c>
      <c r="E14" s="138">
        <f>IF(SER_hh_tes!E14=0,"",SER_hh_tes!E14/SER_hh_fec!E14)</f>
        <v>0.69149395130239211</v>
      </c>
      <c r="F14" s="138">
        <f>IF(SER_hh_tes!F14=0,"",SER_hh_tes!F14/SER_hh_fec!F14)</f>
        <v>0.69939439834675832</v>
      </c>
      <c r="G14" s="138">
        <f>IF(SER_hh_tes!G14=0,"",SER_hh_tes!G14/SER_hh_fec!G14)</f>
        <v>0.71150228099032342</v>
      </c>
      <c r="H14" s="138">
        <f>IF(SER_hh_tes!H14=0,"",SER_hh_tes!H14/SER_hh_fec!H14)</f>
        <v>0.72110285844502264</v>
      </c>
      <c r="I14" s="138">
        <f>IF(SER_hh_tes!I14=0,"",SER_hh_tes!I14/SER_hh_fec!I14)</f>
        <v>0.72840617860760559</v>
      </c>
      <c r="J14" s="138">
        <f>IF(SER_hh_tes!J14=0,"",SER_hh_tes!J14/SER_hh_fec!J14)</f>
        <v>0.73274876022869528</v>
      </c>
      <c r="K14" s="138">
        <f>IF(SER_hh_tes!K14=0,"",SER_hh_tes!K14/SER_hh_fec!K14)</f>
        <v>0.73620011634195981</v>
      </c>
      <c r="L14" s="138">
        <f>IF(SER_hh_tes!L14=0,"",SER_hh_tes!L14/SER_hh_fec!L14)</f>
        <v>0.73795554017408416</v>
      </c>
      <c r="M14" s="138">
        <f>IF(SER_hh_tes!M14=0,"",SER_hh_tes!M14/SER_hh_fec!M14)</f>
        <v>0.73972757525904465</v>
      </c>
      <c r="N14" s="138">
        <f>IF(SER_hh_tes!N14=0,"",SER_hh_tes!N14/SER_hh_fec!N14)</f>
        <v>0.74159862191870618</v>
      </c>
      <c r="O14" s="138">
        <f>IF(SER_hh_tes!O14=0,"",SER_hh_tes!O14/SER_hh_fec!O14)</f>
        <v>0.74373443085287483</v>
      </c>
      <c r="P14" s="138">
        <f>IF(SER_hh_tes!P14=0,"",SER_hh_tes!P14/SER_hh_fec!P14)</f>
        <v>0.74501443271676038</v>
      </c>
      <c r="Q14" s="138">
        <f>IF(SER_hh_tes!Q14=0,"",SER_hh_tes!Q14/SER_hh_fec!Q14)</f>
        <v>0.75609722042269056</v>
      </c>
      <c r="R14" s="138">
        <f>IF(SER_hh_tes!R14=0,"",SER_hh_tes!R14/SER_hh_fec!R14)</f>
        <v>0.76649723318158147</v>
      </c>
      <c r="S14" s="138">
        <f>IF(SER_hh_tes!S14=0,"",SER_hh_tes!S14/SER_hh_fec!S14)</f>
        <v>0.77634899717292805</v>
      </c>
      <c r="T14" s="138">
        <f>IF(SER_hh_tes!T14=0,"",SER_hh_tes!T14/SER_hh_fec!T14)</f>
        <v>0.78548912724296227</v>
      </c>
      <c r="U14" s="138">
        <f>IF(SER_hh_tes!U14=0,"",SER_hh_tes!U14/SER_hh_fec!U14)</f>
        <v>0.79342014575827569</v>
      </c>
      <c r="V14" s="138">
        <f>IF(SER_hh_tes!V14=0,"",SER_hh_tes!V14/SER_hh_fec!V14)</f>
        <v>0.80144580679623523</v>
      </c>
      <c r="W14" s="138">
        <f>IF(SER_hh_tes!W14=0,"",SER_hh_tes!W14/SER_hh_fec!W14)</f>
        <v>0.81040631307220401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1.7284610822674624</v>
      </c>
      <c r="C16" s="136">
        <f>IF(SER_hh_tes!C16=0,"",SER_hh_tes!C16/SER_hh_fec!C16)</f>
        <v>1.7888469286421631</v>
      </c>
      <c r="D16" s="136">
        <f>IF(SER_hh_tes!D16=0,"",SER_hh_tes!D16/SER_hh_fec!D16)</f>
        <v>1.865032356731618</v>
      </c>
      <c r="E16" s="136">
        <f>IF(SER_hh_tes!E16=0,"",SER_hh_tes!E16/SER_hh_fec!E16)</f>
        <v>1.9435503963013914</v>
      </c>
      <c r="F16" s="136">
        <f>IF(SER_hh_tes!F16=0,"",SER_hh_tes!F16/SER_hh_fec!F16)</f>
        <v>2.0338590740015978</v>
      </c>
      <c r="G16" s="136">
        <f>IF(SER_hh_tes!G16=0,"",SER_hh_tes!G16/SER_hh_fec!G16)</f>
        <v>2.1259590603930403</v>
      </c>
      <c r="H16" s="136">
        <f>IF(SER_hh_tes!H16=0,"",SER_hh_tes!H16/SER_hh_fec!H16)</f>
        <v>2.2348789914040283</v>
      </c>
      <c r="I16" s="136">
        <f>IF(SER_hh_tes!I16=0,"",SER_hh_tes!I16/SER_hh_fec!I16)</f>
        <v>2.3518775794793894</v>
      </c>
      <c r="J16" s="136">
        <f>IF(SER_hh_tes!J16=0,"",SER_hh_tes!J16/SER_hh_fec!J16)</f>
        <v>2.4807093116408958</v>
      </c>
      <c r="K16" s="136">
        <f>IF(SER_hh_tes!K16=0,"",SER_hh_tes!K16/SER_hh_fec!K16)</f>
        <v>2.5170572614793847</v>
      </c>
      <c r="L16" s="136">
        <f>IF(SER_hh_tes!L16=0,"",SER_hh_tes!L16/SER_hh_fec!L16)</f>
        <v>2.5678731478605039</v>
      </c>
      <c r="M16" s="136">
        <f>IF(SER_hh_tes!M16=0,"",SER_hh_tes!M16/SER_hh_fec!M16)</f>
        <v>2.6363770172387517</v>
      </c>
      <c r="N16" s="136">
        <f>IF(SER_hh_tes!N16=0,"",SER_hh_tes!N16/SER_hh_fec!N16)</f>
        <v>2.7152143921972471</v>
      </c>
      <c r="O16" s="136">
        <f>IF(SER_hh_tes!O16=0,"",SER_hh_tes!O16/SER_hh_fec!O16)</f>
        <v>2.7934166396126638</v>
      </c>
      <c r="P16" s="136">
        <f>IF(SER_hh_tes!P16=0,"",SER_hh_tes!P16/SER_hh_fec!P16)</f>
        <v>2.8888336697632524</v>
      </c>
      <c r="Q16" s="136">
        <f>IF(SER_hh_tes!Q16=0,"",SER_hh_tes!Q16/SER_hh_fec!Q16)</f>
        <v>2.9882009483514023</v>
      </c>
      <c r="R16" s="136">
        <f>IF(SER_hh_tes!R16=0,"",SER_hh_tes!R16/SER_hh_fec!R16)</f>
        <v>3.0939752234684219</v>
      </c>
      <c r="S16" s="136">
        <f>IF(SER_hh_tes!S16=0,"",SER_hh_tes!S16/SER_hh_fec!S16)</f>
        <v>3.1879836423457308</v>
      </c>
      <c r="T16" s="136">
        <f>IF(SER_hh_tes!T16=0,"",SER_hh_tes!T16/SER_hh_fec!T16)</f>
        <v>3.2850621752280316</v>
      </c>
      <c r="U16" s="136">
        <f>IF(SER_hh_tes!U16=0,"",SER_hh_tes!U16/SER_hh_fec!U16)</f>
        <v>3.3622745901719777</v>
      </c>
      <c r="V16" s="136">
        <f>IF(SER_hh_tes!V16=0,"",SER_hh_tes!V16/SER_hh_fec!V16)</f>
        <v>3.4395902211658753</v>
      </c>
      <c r="W16" s="136">
        <f>IF(SER_hh_tes!W16=0,"",SER_hh_tes!W16/SER_hh_fec!W16)</f>
        <v>3.5152372992230312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1.2225349160942274</v>
      </c>
      <c r="C17" s="137">
        <f>IF(SER_hh_tes!C17=0,"",SER_hh_tes!C17/SER_hh_fec!C17)</f>
        <v>1.2283999199187075</v>
      </c>
      <c r="D17" s="137">
        <f>IF(SER_hh_tes!D17=0,"",SER_hh_tes!D17/SER_hh_fec!D17)</f>
        <v>1.2347964280518515</v>
      </c>
      <c r="E17" s="137">
        <f>IF(SER_hh_tes!E17=0,"",SER_hh_tes!E17/SER_hh_fec!E17)</f>
        <v>1.2395304671816256</v>
      </c>
      <c r="F17" s="137">
        <f>IF(SER_hh_tes!F17=0,"",SER_hh_tes!F17/SER_hh_fec!F17)</f>
        <v>1.2425166621197627</v>
      </c>
      <c r="G17" s="137">
        <f>IF(SER_hh_tes!G17=0,"",SER_hh_tes!G17/SER_hh_fec!G17)</f>
        <v>1.2463308360976402</v>
      </c>
      <c r="H17" s="137">
        <f>IF(SER_hh_tes!H17=0,"",SER_hh_tes!H17/SER_hh_fec!H17)</f>
        <v>1.2503883678819145</v>
      </c>
      <c r="I17" s="137">
        <f>IF(SER_hh_tes!I17=0,"",SER_hh_tes!I17/SER_hh_fec!I17)</f>
        <v>1.2536778034929981</v>
      </c>
      <c r="J17" s="137">
        <f>IF(SER_hh_tes!J17=0,"",SER_hh_tes!J17/SER_hh_fec!J17)</f>
        <v>1.256346653584189</v>
      </c>
      <c r="K17" s="137">
        <f>IF(SER_hh_tes!K17=0,"",SER_hh_tes!K17/SER_hh_fec!K17)</f>
        <v>1.2570925442760057</v>
      </c>
      <c r="L17" s="137">
        <f>IF(SER_hh_tes!L17=0,"",SER_hh_tes!L17/SER_hh_fec!L17)</f>
        <v>1.2583185591521258</v>
      </c>
      <c r="M17" s="137">
        <f>IF(SER_hh_tes!M17=0,"",SER_hh_tes!M17/SER_hh_fec!M17)</f>
        <v>1.260425220724904</v>
      </c>
      <c r="N17" s="137">
        <f>IF(SER_hh_tes!N17=0,"",SER_hh_tes!N17/SER_hh_fec!N17)</f>
        <v>1.2646987830735228</v>
      </c>
      <c r="O17" s="137">
        <f>IF(SER_hh_tes!O17=0,"",SER_hh_tes!O17/SER_hh_fec!O17)</f>
        <v>1.2711033925948025</v>
      </c>
      <c r="P17" s="137">
        <f>IF(SER_hh_tes!P17=0,"",SER_hh_tes!P17/SER_hh_fec!P17)</f>
        <v>1.2796001724172497</v>
      </c>
      <c r="Q17" s="137">
        <f>IF(SER_hh_tes!Q17=0,"",SER_hh_tes!Q17/SER_hh_fec!Q17)</f>
        <v>1.2944367322283541</v>
      </c>
      <c r="R17" s="137">
        <f>IF(SER_hh_tes!R17=0,"",SER_hh_tes!R17/SER_hh_fec!R17)</f>
        <v>1.3109082240427203</v>
      </c>
      <c r="S17" s="137">
        <f>IF(SER_hh_tes!S17=0,"",SER_hh_tes!S17/SER_hh_fec!S17)</f>
        <v>1.3343642243775728</v>
      </c>
      <c r="T17" s="137">
        <f>IF(SER_hh_tes!T17=0,"",SER_hh_tes!T17/SER_hh_fec!T17)</f>
        <v>1.3561707469515616</v>
      </c>
      <c r="U17" s="137">
        <f>IF(SER_hh_tes!U17=0,"",SER_hh_tes!U17/SER_hh_fec!U17)</f>
        <v>1.3903599350982987</v>
      </c>
      <c r="V17" s="137">
        <f>IF(SER_hh_tes!V17=0,"",SER_hh_tes!V17/SER_hh_fec!V17)</f>
        <v>1.4198681154390966</v>
      </c>
      <c r="W17" s="137">
        <f>IF(SER_hh_tes!W17=0,"",SER_hh_tes!W17/SER_hh_fec!W17)</f>
        <v>1.4428873519710748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1.7304422631120377</v>
      </c>
      <c r="C18" s="137">
        <f>IF(SER_hh_tes!C18=0,"",SER_hh_tes!C18/SER_hh_fec!C18)</f>
        <v>1.7912982779961502</v>
      </c>
      <c r="D18" s="137">
        <f>IF(SER_hh_tes!D18=0,"",SER_hh_tes!D18/SER_hh_fec!D18)</f>
        <v>1.8682092938563921</v>
      </c>
      <c r="E18" s="137">
        <f>IF(SER_hh_tes!E18=0,"",SER_hh_tes!E18/SER_hh_fec!E18)</f>
        <v>1.9474679278907554</v>
      </c>
      <c r="F18" s="137">
        <f>IF(SER_hh_tes!F18=0,"",SER_hh_tes!F18/SER_hh_fec!F18)</f>
        <v>2.0382094275505995</v>
      </c>
      <c r="G18" s="137">
        <f>IF(SER_hh_tes!G18=0,"",SER_hh_tes!G18/SER_hh_fec!G18)</f>
        <v>2.1311418383335061</v>
      </c>
      <c r="H18" s="137">
        <f>IF(SER_hh_tes!H18=0,"",SER_hh_tes!H18/SER_hh_fec!H18)</f>
        <v>2.2413819269858575</v>
      </c>
      <c r="I18" s="137">
        <f>IF(SER_hh_tes!I18=0,"",SER_hh_tes!I18/SER_hh_fec!I18)</f>
        <v>2.3598646749586925</v>
      </c>
      <c r="J18" s="137">
        <f>IF(SER_hh_tes!J18=0,"",SER_hh_tes!J18/SER_hh_fec!J18)</f>
        <v>2.4898432461021751</v>
      </c>
      <c r="K18" s="137">
        <f>IF(SER_hh_tes!K18=0,"",SER_hh_tes!K18/SER_hh_fec!K18)</f>
        <v>2.5269836316192937</v>
      </c>
      <c r="L18" s="137">
        <f>IF(SER_hh_tes!L18=0,"",SER_hh_tes!L18/SER_hh_fec!L18)</f>
        <v>2.5794868138368896</v>
      </c>
      <c r="M18" s="137">
        <f>IF(SER_hh_tes!M18=0,"",SER_hh_tes!M18/SER_hh_fec!M18)</f>
        <v>2.6501895619149325</v>
      </c>
      <c r="N18" s="137">
        <f>IF(SER_hh_tes!N18=0,"",SER_hh_tes!N18/SER_hh_fec!N18)</f>
        <v>2.7318322683216154</v>
      </c>
      <c r="O18" s="137">
        <f>IF(SER_hh_tes!O18=0,"",SER_hh_tes!O18/SER_hh_fec!O18)</f>
        <v>2.813024772899031</v>
      </c>
      <c r="P18" s="137">
        <f>IF(SER_hh_tes!P18=0,"",SER_hh_tes!P18/SER_hh_fec!P18)</f>
        <v>2.9110112640230352</v>
      </c>
      <c r="Q18" s="137">
        <f>IF(SER_hh_tes!Q18=0,"",SER_hh_tes!Q18/SER_hh_fec!Q18)</f>
        <v>3.0139226420460208</v>
      </c>
      <c r="R18" s="137">
        <f>IF(SER_hh_tes!R18=0,"",SER_hh_tes!R18/SER_hh_fec!R18)</f>
        <v>3.1231674418241551</v>
      </c>
      <c r="S18" s="137">
        <f>IF(SER_hh_tes!S18=0,"",SER_hh_tes!S18/SER_hh_fec!S18)</f>
        <v>3.223284442529101</v>
      </c>
      <c r="T18" s="137">
        <f>IF(SER_hh_tes!T18=0,"",SER_hh_tes!T18/SER_hh_fec!T18)</f>
        <v>3.3245757800368225</v>
      </c>
      <c r="U18" s="137">
        <f>IF(SER_hh_tes!U18=0,"",SER_hh_tes!U18/SER_hh_fec!U18)</f>
        <v>3.4098172522340029</v>
      </c>
      <c r="V18" s="137">
        <f>IF(SER_hh_tes!V18=0,"",SER_hh_tes!V18/SER_hh_fec!V18)</f>
        <v>3.4867303759318578</v>
      </c>
      <c r="W18" s="137">
        <f>IF(SER_hh_tes!W18=0,"",SER_hh_tes!W18/SER_hh_fec!W18)</f>
        <v>3.5657332365137444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0.58920347034228204</v>
      </c>
      <c r="C19" s="136">
        <f>IF(SER_hh_tes!C19=0,"",SER_hh_tes!C19/SER_hh_fec!C19)</f>
        <v>0.59242322497043653</v>
      </c>
      <c r="D19" s="136">
        <f>IF(SER_hh_tes!D19=0,"",SER_hh_tes!D19/SER_hh_fec!D19)</f>
        <v>0.5952397086975032</v>
      </c>
      <c r="E19" s="136">
        <f>IF(SER_hh_tes!E19=0,"",SER_hh_tes!E19/SER_hh_fec!E19)</f>
        <v>0.59850709035362304</v>
      </c>
      <c r="F19" s="136">
        <f>IF(SER_hh_tes!F19=0,"",SER_hh_tes!F19/SER_hh_fec!F19)</f>
        <v>0.60137948514464112</v>
      </c>
      <c r="G19" s="136">
        <f>IF(SER_hh_tes!G19=0,"",SER_hh_tes!G19/SER_hh_fec!G19)</f>
        <v>0.60737941223520842</v>
      </c>
      <c r="H19" s="136">
        <f>IF(SER_hh_tes!H19=0,"",SER_hh_tes!H19/SER_hh_fec!H19)</f>
        <v>0.61223793232004831</v>
      </c>
      <c r="I19" s="136">
        <f>IF(SER_hh_tes!I19=0,"",SER_hh_tes!I19/SER_hh_fec!I19)</f>
        <v>0.61598913708224945</v>
      </c>
      <c r="J19" s="136">
        <f>IF(SER_hh_tes!J19=0,"",SER_hh_tes!J19/SER_hh_fec!J19)</f>
        <v>0.6198573180754694</v>
      </c>
      <c r="K19" s="136">
        <f>IF(SER_hh_tes!K19=0,"",SER_hh_tes!K19/SER_hh_fec!K19)</f>
        <v>0.62320264137448411</v>
      </c>
      <c r="L19" s="136">
        <f>IF(SER_hh_tes!L19=0,"",SER_hh_tes!L19/SER_hh_fec!L19)</f>
        <v>0.62867665147575913</v>
      </c>
      <c r="M19" s="136">
        <f>IF(SER_hh_tes!M19=0,"",SER_hh_tes!M19/SER_hh_fec!M19)</f>
        <v>0.6362525723838659</v>
      </c>
      <c r="N19" s="136">
        <f>IF(SER_hh_tes!N19=0,"",SER_hh_tes!N19/SER_hh_fec!N19)</f>
        <v>0.64673420617447064</v>
      </c>
      <c r="O19" s="136">
        <f>IF(SER_hh_tes!O19=0,"",SER_hh_tes!O19/SER_hh_fec!O19)</f>
        <v>0.65357860194663808</v>
      </c>
      <c r="P19" s="136">
        <f>IF(SER_hh_tes!P19=0,"",SER_hh_tes!P19/SER_hh_fec!P19)</f>
        <v>0.65992334358633353</v>
      </c>
      <c r="Q19" s="136">
        <f>IF(SER_hh_tes!Q19=0,"",SER_hh_tes!Q19/SER_hh_fec!Q19)</f>
        <v>0.66670452054696994</v>
      </c>
      <c r="R19" s="136">
        <f>IF(SER_hh_tes!R19=0,"",SER_hh_tes!R19/SER_hh_fec!R19)</f>
        <v>0.67640451649899103</v>
      </c>
      <c r="S19" s="136">
        <f>IF(SER_hh_tes!S19=0,"",SER_hh_tes!S19/SER_hh_fec!S19)</f>
        <v>0.6895835805988817</v>
      </c>
      <c r="T19" s="136">
        <f>IF(SER_hh_tes!T19=0,"",SER_hh_tes!T19/SER_hh_fec!T19)</f>
        <v>0.70287820835708026</v>
      </c>
      <c r="U19" s="136">
        <f>IF(SER_hh_tes!U19=0,"",SER_hh_tes!U19/SER_hh_fec!U19)</f>
        <v>0.71793550148684071</v>
      </c>
      <c r="V19" s="136">
        <f>IF(SER_hh_tes!V19=0,"",SER_hh_tes!V19/SER_hh_fec!V19)</f>
        <v>0.73087135854287433</v>
      </c>
      <c r="W19" s="136">
        <f>IF(SER_hh_tes!W19=0,"",SER_hh_tes!W19/SER_hh_fec!W19)</f>
        <v>0.74640551226849972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 t="str">
        <f>IF(SER_hh_tes!B22=0,"",SER_hh_tes!B22/SER_hh_fec!B22)</f>
        <v/>
      </c>
      <c r="C22" s="137" t="str">
        <f>IF(SER_hh_tes!C22=0,"",SER_hh_tes!C22/SER_hh_fec!C22)</f>
        <v/>
      </c>
      <c r="D22" s="137" t="str">
        <f>IF(SER_hh_tes!D22=0,"",SER_hh_tes!D22/SER_hh_fec!D22)</f>
        <v/>
      </c>
      <c r="E22" s="137" t="str">
        <f>IF(SER_hh_tes!E22=0,"",SER_hh_tes!E22/SER_hh_fec!E22)</f>
        <v/>
      </c>
      <c r="F22" s="137" t="str">
        <f>IF(SER_hh_tes!F22=0,"",SER_hh_tes!F22/SER_hh_fec!F22)</f>
        <v/>
      </c>
      <c r="G22" s="137" t="str">
        <f>IF(SER_hh_tes!G22=0,"",SER_hh_tes!G22/SER_hh_fec!G22)</f>
        <v/>
      </c>
      <c r="H22" s="137" t="str">
        <f>IF(SER_hh_tes!H22=0,"",SER_hh_tes!H22/SER_hh_fec!H22)</f>
        <v/>
      </c>
      <c r="I22" s="137" t="str">
        <f>IF(SER_hh_tes!I22=0,"",SER_hh_tes!I22/SER_hh_fec!I22)</f>
        <v/>
      </c>
      <c r="J22" s="137" t="str">
        <f>IF(SER_hh_tes!J22=0,"",SER_hh_tes!J22/SER_hh_fec!J22)</f>
        <v/>
      </c>
      <c r="K22" s="137" t="str">
        <f>IF(SER_hh_tes!K22=0,"",SER_hh_tes!K22/SER_hh_fec!K22)</f>
        <v/>
      </c>
      <c r="L22" s="137" t="str">
        <f>IF(SER_hh_tes!L22=0,"",SER_hh_tes!L22/SER_hh_fec!L22)</f>
        <v/>
      </c>
      <c r="M22" s="137" t="str">
        <f>IF(SER_hh_tes!M22=0,"",SER_hh_tes!M22/SER_hh_fec!M22)</f>
        <v/>
      </c>
      <c r="N22" s="137" t="str">
        <f>IF(SER_hh_tes!N22=0,"",SER_hh_tes!N22/SER_hh_fec!N22)</f>
        <v/>
      </c>
      <c r="O22" s="137" t="str">
        <f>IF(SER_hh_tes!O22=0,"",SER_hh_tes!O22/SER_hh_fec!O22)</f>
        <v/>
      </c>
      <c r="P22" s="137" t="str">
        <f>IF(SER_hh_tes!P22=0,"",SER_hh_tes!P22/SER_hh_fec!P22)</f>
        <v/>
      </c>
      <c r="Q22" s="137" t="str">
        <f>IF(SER_hh_tes!Q22=0,"",SER_hh_tes!Q22/SER_hh_fec!Q22)</f>
        <v/>
      </c>
      <c r="R22" s="137" t="str">
        <f>IF(SER_hh_tes!R22=0,"",SER_hh_tes!R22/SER_hh_fec!R22)</f>
        <v/>
      </c>
      <c r="S22" s="137" t="str">
        <f>IF(SER_hh_tes!S22=0,"",SER_hh_tes!S22/SER_hh_fec!S22)</f>
        <v/>
      </c>
      <c r="T22" s="137" t="str">
        <f>IF(SER_hh_tes!T22=0,"",SER_hh_tes!T22/SER_hh_fec!T22)</f>
        <v/>
      </c>
      <c r="U22" s="137" t="str">
        <f>IF(SER_hh_tes!U22=0,"",SER_hh_tes!U22/SER_hh_fec!U22)</f>
        <v/>
      </c>
      <c r="V22" s="137" t="str">
        <f>IF(SER_hh_tes!V22=0,"",SER_hh_tes!V22/SER_hh_fec!V22)</f>
        <v/>
      </c>
      <c r="W22" s="137" t="str">
        <f>IF(SER_hh_tes!W22=0,"",SER_hh_tes!W22/SER_hh_fec!W22)</f>
        <v/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0.51457062203941872</v>
      </c>
      <c r="C23" s="137">
        <f>IF(SER_hh_tes!C23=0,"",SER_hh_tes!C23/SER_hh_fec!C23)</f>
        <v>0.51933474885371167</v>
      </c>
      <c r="D23" s="137">
        <f>IF(SER_hh_tes!D23=0,"",SER_hh_tes!D23/SER_hh_fec!D23)</f>
        <v>0.52582149522948529</v>
      </c>
      <c r="E23" s="137">
        <f>IF(SER_hh_tes!E23=0,"",SER_hh_tes!E23/SER_hh_fec!E23)</f>
        <v>0.53258462147840591</v>
      </c>
      <c r="F23" s="137">
        <f>IF(SER_hh_tes!F23=0,"",SER_hh_tes!F23/SER_hh_fec!F23)</f>
        <v>0.53935197694247183</v>
      </c>
      <c r="G23" s="137">
        <f>IF(SER_hh_tes!G23=0,"",SER_hh_tes!G23/SER_hh_fec!G23)</f>
        <v>0.54601219423796554</v>
      </c>
      <c r="H23" s="137">
        <f>IF(SER_hh_tes!H23=0,"",SER_hh_tes!H23/SER_hh_fec!H23)</f>
        <v>0.55316294596819471</v>
      </c>
      <c r="I23" s="137">
        <f>IF(SER_hh_tes!I23=0,"",SER_hh_tes!I23/SER_hh_fec!I23)</f>
        <v>0.56183439509725985</v>
      </c>
      <c r="J23" s="137">
        <f>IF(SER_hh_tes!J23=0,"",SER_hh_tes!J23/SER_hh_fec!J23)</f>
        <v>0.56930931988847266</v>
      </c>
      <c r="K23" s="137">
        <f>IF(SER_hh_tes!K23=0,"",SER_hh_tes!K23/SER_hh_fec!K23)</f>
        <v>0.57763523924298033</v>
      </c>
      <c r="L23" s="137">
        <f>IF(SER_hh_tes!L23=0,"",SER_hh_tes!L23/SER_hh_fec!L23)</f>
        <v>0.58636943318632873</v>
      </c>
      <c r="M23" s="137">
        <f>IF(SER_hh_tes!M23=0,"",SER_hh_tes!M23/SER_hh_fec!M23)</f>
        <v>0.59623848460744322</v>
      </c>
      <c r="N23" s="137">
        <f>IF(SER_hh_tes!N23=0,"",SER_hh_tes!N23/SER_hh_fec!N23)</f>
        <v>0.60662274668000327</v>
      </c>
      <c r="O23" s="137">
        <f>IF(SER_hh_tes!O23=0,"",SER_hh_tes!O23/SER_hh_fec!O23)</f>
        <v>0.6198729060688456</v>
      </c>
      <c r="P23" s="137">
        <f>IF(SER_hh_tes!P23=0,"",SER_hh_tes!P23/SER_hh_fec!P23)</f>
        <v>0.62931653003750276</v>
      </c>
      <c r="Q23" s="137">
        <f>IF(SER_hh_tes!Q23=0,"",SER_hh_tes!Q23/SER_hh_fec!Q23)</f>
        <v>0.63629770079335646</v>
      </c>
      <c r="R23" s="137">
        <f>IF(SER_hh_tes!R23=0,"",SER_hh_tes!R23/SER_hh_fec!R23)</f>
        <v>0.64587188457103795</v>
      </c>
      <c r="S23" s="137">
        <f>IF(SER_hh_tes!S23=0,"",SER_hh_tes!S23/SER_hh_fec!S23)</f>
        <v>0.65893795311393921</v>
      </c>
      <c r="T23" s="137">
        <f>IF(SER_hh_tes!T23=0,"",SER_hh_tes!T23/SER_hh_fec!T23)</f>
        <v>0.67356532073216058</v>
      </c>
      <c r="U23" s="137">
        <f>IF(SER_hh_tes!U23=0,"",SER_hh_tes!U23/SER_hh_fec!U23)</f>
        <v>0.687742346784874</v>
      </c>
      <c r="V23" s="137">
        <f>IF(SER_hh_tes!V23=0,"",SER_hh_tes!V23/SER_hh_fec!V23)</f>
        <v>0.7023296528177343</v>
      </c>
      <c r="W23" s="137">
        <f>IF(SER_hh_tes!W23=0,"",SER_hh_tes!W23/SER_hh_fec!W23)</f>
        <v>0.71622685450706391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>
        <f>IF(SER_hh_tes!N24=0,"",SER_hh_tes!N24/SER_hh_fec!N24)</f>
        <v>0.7226359305757718</v>
      </c>
      <c r="O24" s="137">
        <f>IF(SER_hh_tes!O24=0,"",SER_hh_tes!O24/SER_hh_fec!O24)</f>
        <v>0.72452741451386415</v>
      </c>
      <c r="P24" s="137">
        <f>IF(SER_hh_tes!P24=0,"",SER_hh_tes!P24/SER_hh_fec!P24)</f>
        <v>0.72599463064003478</v>
      </c>
      <c r="Q24" s="137">
        <f>IF(SER_hh_tes!Q24=0,"",SER_hh_tes!Q24/SER_hh_fec!Q24)</f>
        <v>0.72604083064730562</v>
      </c>
      <c r="R24" s="137">
        <f>IF(SER_hh_tes!R24=0,"",SER_hh_tes!R24/SER_hh_fec!R24)</f>
        <v>0.72605521054068389</v>
      </c>
      <c r="S24" s="137">
        <f>IF(SER_hh_tes!S24=0,"",SER_hh_tes!S24/SER_hh_fec!S24)</f>
        <v>0.72607326109766035</v>
      </c>
      <c r="T24" s="137">
        <f>IF(SER_hh_tes!T24=0,"",SER_hh_tes!T24/SER_hh_fec!T24)</f>
        <v>0.72610004783676096</v>
      </c>
      <c r="U24" s="137">
        <f>IF(SER_hh_tes!U24=0,"",SER_hh_tes!U24/SER_hh_fec!U24)</f>
        <v>0.72662468933410063</v>
      </c>
      <c r="V24" s="137">
        <f>IF(SER_hh_tes!V24=0,"",SER_hh_tes!V24/SER_hh_fec!V24)</f>
        <v>0.72849183968250786</v>
      </c>
      <c r="W24" s="137">
        <f>IF(SER_hh_tes!W24=0,"",SER_hh_tes!W24/SER_hh_fec!W24)</f>
        <v>0.72867419150736301</v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0.7702539778224532</v>
      </c>
      <c r="C25" s="137">
        <f>IF(SER_hh_tes!C25=0,"",SER_hh_tes!C25/SER_hh_fec!C25)</f>
        <v>0.77211383651093046</v>
      </c>
      <c r="D25" s="137">
        <f>IF(SER_hh_tes!D25=0,"",SER_hh_tes!D25/SER_hh_fec!D25)</f>
        <v>0.77423333524670057</v>
      </c>
      <c r="E25" s="137">
        <f>IF(SER_hh_tes!E25=0,"",SER_hh_tes!E25/SER_hh_fec!E25)</f>
        <v>0.77676638927914887</v>
      </c>
      <c r="F25" s="137">
        <f>IF(SER_hh_tes!F25=0,"",SER_hh_tes!F25/SER_hh_fec!F25)</f>
        <v>0.77956308902938376</v>
      </c>
      <c r="G25" s="137">
        <f>IF(SER_hh_tes!G25=0,"",SER_hh_tes!G25/SER_hh_fec!G25)</f>
        <v>0.78286361902367274</v>
      </c>
      <c r="H25" s="137">
        <f>IF(SER_hh_tes!H25=0,"",SER_hh_tes!H25/SER_hh_fec!H25)</f>
        <v>0.78611497288935483</v>
      </c>
      <c r="I25" s="137">
        <f>IF(SER_hh_tes!I25=0,"",SER_hh_tes!I25/SER_hh_fec!I25)</f>
        <v>0.78944326845498425</v>
      </c>
      <c r="J25" s="137">
        <f>IF(SER_hh_tes!J25=0,"",SER_hh_tes!J25/SER_hh_fec!J25)</f>
        <v>0.792780438503628</v>
      </c>
      <c r="K25" s="137">
        <f>IF(SER_hh_tes!K25=0,"",SER_hh_tes!K25/SER_hh_fec!K25)</f>
        <v>0.79599361709935912</v>
      </c>
      <c r="L25" s="137">
        <f>IF(SER_hh_tes!L25=0,"",SER_hh_tes!L25/SER_hh_fec!L25)</f>
        <v>0.79925877674618873</v>
      </c>
      <c r="M25" s="137">
        <f>IF(SER_hh_tes!M25=0,"",SER_hh_tes!M25/SER_hh_fec!M25)</f>
        <v>0.80267649851495471</v>
      </c>
      <c r="N25" s="137">
        <f>IF(SER_hh_tes!N25=0,"",SER_hh_tes!N25/SER_hh_fec!N25)</f>
        <v>0.80654208260538141</v>
      </c>
      <c r="O25" s="137">
        <f>IF(SER_hh_tes!O25=0,"",SER_hh_tes!O25/SER_hh_fec!O25)</f>
        <v>0.81029729621508884</v>
      </c>
      <c r="P25" s="137">
        <f>IF(SER_hh_tes!P25=0,"",SER_hh_tes!P25/SER_hh_fec!P25)</f>
        <v>0.811848601432832</v>
      </c>
      <c r="Q25" s="137">
        <f>IF(SER_hh_tes!Q25=0,"",SER_hh_tes!Q25/SER_hh_fec!Q25)</f>
        <v>0.81415170794504599</v>
      </c>
      <c r="R25" s="137">
        <f>IF(SER_hh_tes!R25=0,"",SER_hh_tes!R25/SER_hh_fec!R25)</f>
        <v>0.81698394993425472</v>
      </c>
      <c r="S25" s="137">
        <f>IF(SER_hh_tes!S25=0,"",SER_hh_tes!S25/SER_hh_fec!S25)</f>
        <v>0.82063760483273585</v>
      </c>
      <c r="T25" s="137">
        <f>IF(SER_hh_tes!T25=0,"",SER_hh_tes!T25/SER_hh_fec!T25)</f>
        <v>0.82422555404359565</v>
      </c>
      <c r="U25" s="137">
        <f>IF(SER_hh_tes!U25=0,"",SER_hh_tes!U25/SER_hh_fec!U25)</f>
        <v>0.82829592719451628</v>
      </c>
      <c r="V25" s="137">
        <f>IF(SER_hh_tes!V25=0,"",SER_hh_tes!V25/SER_hh_fec!V25)</f>
        <v>0.83202891505962706</v>
      </c>
      <c r="W25" s="137">
        <f>IF(SER_hh_tes!W25=0,"",SER_hh_tes!W25/SER_hh_fec!W25)</f>
        <v>0.83658783656509705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0.63468403758177505</v>
      </c>
      <c r="C26" s="138">
        <f>IF(SER_hh_tes!C26=0,"",SER_hh_tes!C26/SER_hh_fec!C26)</f>
        <v>0.63699370298622016</v>
      </c>
      <c r="D26" s="138">
        <f>IF(SER_hh_tes!D26=0,"",SER_hh_tes!D26/SER_hh_fec!D26)</f>
        <v>0.63901039143033989</v>
      </c>
      <c r="E26" s="138">
        <f>IF(SER_hh_tes!E26=0,"",SER_hh_tes!E26/SER_hh_fec!E26)</f>
        <v>0.64176918035186892</v>
      </c>
      <c r="F26" s="138">
        <f>IF(SER_hh_tes!F26=0,"",SER_hh_tes!F26/SER_hh_fec!F26)</f>
        <v>0.6437798831293875</v>
      </c>
      <c r="G26" s="138">
        <f>IF(SER_hh_tes!G26=0,"",SER_hh_tes!G26/SER_hh_fec!G26)</f>
        <v>0.64644967554429744</v>
      </c>
      <c r="H26" s="138">
        <f>IF(SER_hh_tes!H26=0,"",SER_hh_tes!H26/SER_hh_fec!H26)</f>
        <v>0.64879299167720694</v>
      </c>
      <c r="I26" s="138">
        <f>IF(SER_hh_tes!I26=0,"",SER_hh_tes!I26/SER_hh_fec!I26)</f>
        <v>0.65096790044477837</v>
      </c>
      <c r="J26" s="138">
        <f>IF(SER_hh_tes!J26=0,"",SER_hh_tes!J26/SER_hh_fec!J26)</f>
        <v>0.65292191794051468</v>
      </c>
      <c r="K26" s="138">
        <f>IF(SER_hh_tes!K26=0,"",SER_hh_tes!K26/SER_hh_fec!K26)</f>
        <v>0.65519002893361467</v>
      </c>
      <c r="L26" s="138">
        <f>IF(SER_hh_tes!L26=0,"",SER_hh_tes!L26/SER_hh_fec!L26)</f>
        <v>0.65859659859302666</v>
      </c>
      <c r="M26" s="138">
        <f>IF(SER_hh_tes!M26=0,"",SER_hh_tes!M26/SER_hh_fec!M26)</f>
        <v>0.66345701480851405</v>
      </c>
      <c r="N26" s="138">
        <f>IF(SER_hh_tes!N26=0,"",SER_hh_tes!N26/SER_hh_fec!N26)</f>
        <v>0.67008458171099772</v>
      </c>
      <c r="O26" s="138">
        <f>IF(SER_hh_tes!O26=0,"",SER_hh_tes!O26/SER_hh_fec!O26)</f>
        <v>0.67691845620216662</v>
      </c>
      <c r="P26" s="138">
        <f>IF(SER_hh_tes!P26=0,"",SER_hh_tes!P26/SER_hh_fec!P26)</f>
        <v>0.67909046913848958</v>
      </c>
      <c r="Q26" s="138">
        <f>IF(SER_hh_tes!Q26=0,"",SER_hh_tes!Q26/SER_hh_fec!Q26)</f>
        <v>0.68640511567049467</v>
      </c>
      <c r="R26" s="138">
        <f>IF(SER_hh_tes!R26=0,"",SER_hh_tes!R26/SER_hh_fec!R26)</f>
        <v>0.70010076672415433</v>
      </c>
      <c r="S26" s="138">
        <f>IF(SER_hh_tes!S26=0,"",SER_hh_tes!S26/SER_hh_fec!S26)</f>
        <v>0.7183170799169144</v>
      </c>
      <c r="T26" s="138">
        <f>IF(SER_hh_tes!T26=0,"",SER_hh_tes!T26/SER_hh_fec!T26)</f>
        <v>0.73612413571355328</v>
      </c>
      <c r="U26" s="138">
        <f>IF(SER_hh_tes!U26=0,"",SER_hh_tes!U26/SER_hh_fec!U26)</f>
        <v>0.75552033156091092</v>
      </c>
      <c r="V26" s="138">
        <f>IF(SER_hh_tes!V26=0,"",SER_hh_tes!V26/SER_hh_fec!V26)</f>
        <v>0.77281608296197113</v>
      </c>
      <c r="W26" s="138">
        <f>IF(SER_hh_tes!W26=0,"",SER_hh_tes!W26/SER_hh_fec!W26)</f>
        <v>0.79081081996975078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0.7495266268167049</v>
      </c>
      <c r="C29" s="136">
        <f>IF(SER_hh_tes!C29=0,"",SER_hh_tes!C29/SER_hh_fec!C29)</f>
        <v>0.74835452203091624</v>
      </c>
      <c r="D29" s="136">
        <f>IF(SER_hh_tes!D29=0,"",SER_hh_tes!D29/SER_hh_fec!D29)</f>
        <v>0.74034034861071185</v>
      </c>
      <c r="E29" s="136">
        <f>IF(SER_hh_tes!E29=0,"",SER_hh_tes!E29/SER_hh_fec!E29)</f>
        <v>0.73422307302291634</v>
      </c>
      <c r="F29" s="136">
        <f>IF(SER_hh_tes!F29=0,"",SER_hh_tes!F29/SER_hh_fec!F29)</f>
        <v>0.73349683729319304</v>
      </c>
      <c r="G29" s="136">
        <f>IF(SER_hh_tes!G29=0,"",SER_hh_tes!G29/SER_hh_fec!G29)</f>
        <v>0.72378706001338067</v>
      </c>
      <c r="H29" s="136">
        <f>IF(SER_hh_tes!H29=0,"",SER_hh_tes!H29/SER_hh_fec!H29)</f>
        <v>0.71685408107162529</v>
      </c>
      <c r="I29" s="136">
        <f>IF(SER_hh_tes!I29=0,"",SER_hh_tes!I29/SER_hh_fec!I29)</f>
        <v>0.7106601909575101</v>
      </c>
      <c r="J29" s="136">
        <f>IF(SER_hh_tes!J29=0,"",SER_hh_tes!J29/SER_hh_fec!J29)</f>
        <v>0.70881614126024273</v>
      </c>
      <c r="K29" s="136">
        <f>IF(SER_hh_tes!K29=0,"",SER_hh_tes!K29/SER_hh_fec!K29)</f>
        <v>0.70673848847480947</v>
      </c>
      <c r="L29" s="136">
        <f>IF(SER_hh_tes!L29=0,"",SER_hh_tes!L29/SER_hh_fec!L29)</f>
        <v>0.70368887478111575</v>
      </c>
      <c r="M29" s="136">
        <f>IF(SER_hh_tes!M29=0,"",SER_hh_tes!M29/SER_hh_fec!M29)</f>
        <v>0.69872813160332869</v>
      </c>
      <c r="N29" s="136">
        <f>IF(SER_hh_tes!N29=0,"",SER_hh_tes!N29/SER_hh_fec!N29)</f>
        <v>0.69387489402513614</v>
      </c>
      <c r="O29" s="136">
        <f>IF(SER_hh_tes!O29=0,"",SER_hh_tes!O29/SER_hh_fec!O29)</f>
        <v>0.69201073554621562</v>
      </c>
      <c r="P29" s="136">
        <f>IF(SER_hh_tes!P29=0,"",SER_hh_tes!P29/SER_hh_fec!P29)</f>
        <v>0.69082771522764774</v>
      </c>
      <c r="Q29" s="136">
        <f>IF(SER_hh_tes!Q29=0,"",SER_hh_tes!Q29/SER_hh_fec!Q29)</f>
        <v>0.69417611315781802</v>
      </c>
      <c r="R29" s="136">
        <f>IF(SER_hh_tes!R29=0,"",SER_hh_tes!R29/SER_hh_fec!R29)</f>
        <v>0.70012182269469314</v>
      </c>
      <c r="S29" s="136">
        <f>IF(SER_hh_tes!S29=0,"",SER_hh_tes!S29/SER_hh_fec!S29)</f>
        <v>0.70385598884080447</v>
      </c>
      <c r="T29" s="136">
        <f>IF(SER_hh_tes!T29=0,"",SER_hh_tes!T29/SER_hh_fec!T29)</f>
        <v>0.70643729654302478</v>
      </c>
      <c r="U29" s="136">
        <f>IF(SER_hh_tes!U29=0,"",SER_hh_tes!U29/SER_hh_fec!U29)</f>
        <v>0.70912220603031784</v>
      </c>
      <c r="V29" s="136">
        <f>IF(SER_hh_tes!V29=0,"",SER_hh_tes!V29/SER_hh_fec!V29)</f>
        <v>0.70588303570363653</v>
      </c>
      <c r="W29" s="136">
        <f>IF(SER_hh_tes!W29=0,"",SER_hh_tes!W29/SER_hh_fec!W29)</f>
        <v>0.71224674267246657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0.61190725182421379</v>
      </c>
      <c r="C30" s="137">
        <f>IF(SER_hh_tes!C30=0,"",SER_hh_tes!C30/SER_hh_fec!C30)</f>
        <v>0.61220493939322562</v>
      </c>
      <c r="D30" s="137">
        <f>IF(SER_hh_tes!D30=0,"",SER_hh_tes!D30/SER_hh_fec!D30)</f>
        <v>0.61262241774649751</v>
      </c>
      <c r="E30" s="137">
        <f>IF(SER_hh_tes!E30=0,"",SER_hh_tes!E30/SER_hh_fec!E30)</f>
        <v>0.61271564116480326</v>
      </c>
      <c r="F30" s="137">
        <f>IF(SER_hh_tes!F30=0,"",SER_hh_tes!F30/SER_hh_fec!F30)</f>
        <v>0.61283340693663801</v>
      </c>
      <c r="G30" s="137">
        <f>IF(SER_hh_tes!G30=0,"",SER_hh_tes!G30/SER_hh_fec!G30)</f>
        <v>0.6129375205345966</v>
      </c>
      <c r="H30" s="137">
        <f>IF(SER_hh_tes!H30=0,"",SER_hh_tes!H30/SER_hh_fec!H30)</f>
        <v>0.61367336537926431</v>
      </c>
      <c r="I30" s="137">
        <f>IF(SER_hh_tes!I30=0,"",SER_hh_tes!I30/SER_hh_fec!I30)</f>
        <v>0.61499906245261193</v>
      </c>
      <c r="J30" s="137">
        <f>IF(SER_hh_tes!J30=0,"",SER_hh_tes!J30/SER_hh_fec!J30)</f>
        <v>0.61635013036733066</v>
      </c>
      <c r="K30" s="137">
        <f>IF(SER_hh_tes!K30=0,"",SER_hh_tes!K30/SER_hh_fec!K30)</f>
        <v>0.61805905127990202</v>
      </c>
      <c r="L30" s="137">
        <f>IF(SER_hh_tes!L30=0,"",SER_hh_tes!L30/SER_hh_fec!L30)</f>
        <v>0.61919728099255478</v>
      </c>
      <c r="M30" s="137">
        <f>IF(SER_hh_tes!M30=0,"",SER_hh_tes!M30/SER_hh_fec!M30)</f>
        <v>0.61922720374981999</v>
      </c>
      <c r="N30" s="137">
        <f>IF(SER_hh_tes!N30=0,"",SER_hh_tes!N30/SER_hh_fec!N30)</f>
        <v>0.61926439936848587</v>
      </c>
      <c r="O30" s="137">
        <f>IF(SER_hh_tes!O30=0,"",SER_hh_tes!O30/SER_hh_fec!O30)</f>
        <v>0.61931914118481401</v>
      </c>
      <c r="P30" s="137">
        <f>IF(SER_hh_tes!P30=0,"",SER_hh_tes!P30/SER_hh_fec!P30)</f>
        <v>0.61937223264031527</v>
      </c>
      <c r="Q30" s="137">
        <f>IF(SER_hh_tes!Q30=0,"",SER_hh_tes!Q30/SER_hh_fec!Q30)</f>
        <v>0.61939910829345191</v>
      </c>
      <c r="R30" s="137">
        <f>IF(SER_hh_tes!R30=0,"",SER_hh_tes!R30/SER_hh_fec!R30)</f>
        <v>0.61944478776756817</v>
      </c>
      <c r="S30" s="137">
        <f>IF(SER_hh_tes!S30=0,"",SER_hh_tes!S30/SER_hh_fec!S30)</f>
        <v>0.61962007204982883</v>
      </c>
      <c r="T30" s="137">
        <f>IF(SER_hh_tes!T30=0,"",SER_hh_tes!T30/SER_hh_fec!T30)</f>
        <v>0.62026351687797587</v>
      </c>
      <c r="U30" s="137">
        <f>IF(SER_hh_tes!U30=0,"",SER_hh_tes!U30/SER_hh_fec!U30)</f>
        <v>0.62100319270571114</v>
      </c>
      <c r="V30" s="137">
        <f>IF(SER_hh_tes!V30=0,"",SER_hh_tes!V30/SER_hh_fec!V30)</f>
        <v>0.6217141325871538</v>
      </c>
      <c r="W30" s="137">
        <f>IF(SER_hh_tes!W30=0,"",SER_hh_tes!W30/SER_hh_fec!W30)</f>
        <v>0.62227831915253629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0.62138899241936063</v>
      </c>
      <c r="C31" s="137">
        <f>IF(SER_hh_tes!C31=0,"",SER_hh_tes!C31/SER_hh_fec!C31)</f>
        <v>0.62382724535134504</v>
      </c>
      <c r="D31" s="137">
        <f>IF(SER_hh_tes!D31=0,"",SER_hh_tes!D31/SER_hh_fec!D31)</f>
        <v>0.62553357381678953</v>
      </c>
      <c r="E31" s="137">
        <f>IF(SER_hh_tes!E31=0,"",SER_hh_tes!E31/SER_hh_fec!E31)</f>
        <v>0.62652468827296481</v>
      </c>
      <c r="F31" s="137">
        <f>IF(SER_hh_tes!F31=0,"",SER_hh_tes!F31/SER_hh_fec!F31)</f>
        <v>0.6271446051928683</v>
      </c>
      <c r="G31" s="137">
        <f>IF(SER_hh_tes!G31=0,"",SER_hh_tes!G31/SER_hh_fec!G31)</f>
        <v>0.62753937470914412</v>
      </c>
      <c r="H31" s="137">
        <f>IF(SER_hh_tes!H31=0,"",SER_hh_tes!H31/SER_hh_fec!H31)</f>
        <v>0.62782967730573302</v>
      </c>
      <c r="I31" s="137">
        <f>IF(SER_hh_tes!I31=0,"",SER_hh_tes!I31/SER_hh_fec!I31)</f>
        <v>0.6280569772171668</v>
      </c>
      <c r="J31" s="137">
        <f>IF(SER_hh_tes!J31=0,"",SER_hh_tes!J31/SER_hh_fec!J31)</f>
        <v>0.6282522911670323</v>
      </c>
      <c r="K31" s="137">
        <f>IF(SER_hh_tes!K31=0,"",SER_hh_tes!K31/SER_hh_fec!K31)</f>
        <v>0.62843287588052932</v>
      </c>
      <c r="L31" s="137">
        <f>IF(SER_hh_tes!L31=0,"",SER_hh_tes!L31/SER_hh_fec!L31)</f>
        <v>0.62858313456223558</v>
      </c>
      <c r="M31" s="137">
        <f>IF(SER_hh_tes!M31=0,"",SER_hh_tes!M31/SER_hh_fec!M31)</f>
        <v>0.6286919670995269</v>
      </c>
      <c r="N31" s="137">
        <f>IF(SER_hh_tes!N31=0,"",SER_hh_tes!N31/SER_hh_fec!N31)</f>
        <v>0.62880595594258903</v>
      </c>
      <c r="O31" s="137">
        <f>IF(SER_hh_tes!O31=0,"",SER_hh_tes!O31/SER_hh_fec!O31)</f>
        <v>0.62892400487512645</v>
      </c>
      <c r="P31" s="137">
        <f>IF(SER_hh_tes!P31=0,"",SER_hh_tes!P31/SER_hh_fec!P31)</f>
        <v>0.62902749956567894</v>
      </c>
      <c r="Q31" s="137">
        <f>IF(SER_hh_tes!Q31=0,"",SER_hh_tes!Q31/SER_hh_fec!Q31)</f>
        <v>0.62910726521939608</v>
      </c>
      <c r="R31" s="137">
        <f>IF(SER_hh_tes!R31=0,"",SER_hh_tes!R31/SER_hh_fec!R31)</f>
        <v>0.6292148322618506</v>
      </c>
      <c r="S31" s="137">
        <f>IF(SER_hh_tes!S31=0,"",SER_hh_tes!S31/SER_hh_fec!S31)</f>
        <v>0.629384417730533</v>
      </c>
      <c r="T31" s="137">
        <f>IF(SER_hh_tes!T31=0,"",SER_hh_tes!T31/SER_hh_fec!T31)</f>
        <v>0.62961952184306536</v>
      </c>
      <c r="U31" s="137">
        <f>IF(SER_hh_tes!U31=0,"",SER_hh_tes!U31/SER_hh_fec!U31)</f>
        <v>0.62994083930436517</v>
      </c>
      <c r="V31" s="137">
        <f>IF(SER_hh_tes!V31=0,"",SER_hh_tes!V31/SER_hh_fec!V31)</f>
        <v>0.63034779527571427</v>
      </c>
      <c r="W31" s="137">
        <f>IF(SER_hh_tes!W31=0,"",SER_hh_tes!W31/SER_hh_fec!W31)</f>
        <v>0.63087051871182809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0.81545075234906284</v>
      </c>
      <c r="C33" s="150">
        <f>IF(SER_hh_tes!C33=0,"",SER_hh_tes!C33/SER_hh_fec!C33)</f>
        <v>0.81697887214350762</v>
      </c>
      <c r="D33" s="150">
        <f>IF(SER_hh_tes!D33=0,"",SER_hh_tes!D33/SER_hh_fec!D33)</f>
        <v>0.81826455191191394</v>
      </c>
      <c r="E33" s="150">
        <f>IF(SER_hh_tes!E33=0,"",SER_hh_tes!E33/SER_hh_fec!E33)</f>
        <v>0.81999460775539612</v>
      </c>
      <c r="F33" s="150">
        <f>IF(SER_hh_tes!F33=0,"",SER_hh_tes!F33/SER_hh_fec!F33)</f>
        <v>0.82150642770896309</v>
      </c>
      <c r="G33" s="150">
        <f>IF(SER_hh_tes!G33=0,"",SER_hh_tes!G33/SER_hh_fec!G33)</f>
        <v>0.82323222859026979</v>
      </c>
      <c r="H33" s="150">
        <f>IF(SER_hh_tes!H33=0,"",SER_hh_tes!H33/SER_hh_fec!H33)</f>
        <v>0.82510650181418999</v>
      </c>
      <c r="I33" s="150">
        <f>IF(SER_hh_tes!I33=0,"",SER_hh_tes!I33/SER_hh_fec!I33)</f>
        <v>0.8275454434147087</v>
      </c>
      <c r="J33" s="150">
        <f>IF(SER_hh_tes!J33=0,"",SER_hh_tes!J33/SER_hh_fec!J33)</f>
        <v>0.83018235392728512</v>
      </c>
      <c r="K33" s="150">
        <f>IF(SER_hh_tes!K33=0,"",SER_hh_tes!K33/SER_hh_fec!K33)</f>
        <v>0.83354012885496198</v>
      </c>
      <c r="L33" s="150">
        <f>IF(SER_hh_tes!L33=0,"",SER_hh_tes!L33/SER_hh_fec!L33)</f>
        <v>0.83601779335988857</v>
      </c>
      <c r="M33" s="150">
        <f>IF(SER_hh_tes!M33=0,"",SER_hh_tes!M33/SER_hh_fec!M33)</f>
        <v>0.83642477326377607</v>
      </c>
      <c r="N33" s="150">
        <f>IF(SER_hh_tes!N33=0,"",SER_hh_tes!N33/SER_hh_fec!N33)</f>
        <v>0.83731952205575078</v>
      </c>
      <c r="O33" s="150">
        <f>IF(SER_hh_tes!O33=0,"",SER_hh_tes!O33/SER_hh_fec!O33)</f>
        <v>0.83924337271336902</v>
      </c>
      <c r="P33" s="150">
        <f>IF(SER_hh_tes!P33=0,"",SER_hh_tes!P33/SER_hh_fec!P33)</f>
        <v>0.84211610330619491</v>
      </c>
      <c r="Q33" s="150">
        <f>IF(SER_hh_tes!Q33=0,"",SER_hh_tes!Q33/SER_hh_fec!Q33)</f>
        <v>0.84520959747286628</v>
      </c>
      <c r="R33" s="150">
        <f>IF(SER_hh_tes!R33=0,"",SER_hh_tes!R33/SER_hh_fec!R33)</f>
        <v>0.84956473784755848</v>
      </c>
      <c r="S33" s="150">
        <f>IF(SER_hh_tes!S33=0,"",SER_hh_tes!S33/SER_hh_fec!S33)</f>
        <v>0.85473465886109479</v>
      </c>
      <c r="T33" s="150">
        <f>IF(SER_hh_tes!T33=0,"",SER_hh_tes!T33/SER_hh_fec!T33)</f>
        <v>0.86033499480845921</v>
      </c>
      <c r="U33" s="150">
        <f>IF(SER_hh_tes!U33=0,"",SER_hh_tes!U33/SER_hh_fec!U33)</f>
        <v>0.86646504267022562</v>
      </c>
      <c r="V33" s="150">
        <f>IF(SER_hh_tes!V33=0,"",SER_hh_tes!V33/SER_hh_fec!V33)</f>
        <v>0.87253993580513844</v>
      </c>
      <c r="W33" s="150">
        <f>IF(SER_hh_tes!W33=0,"",SER_hh_tes!W33/SER_hh_fec!W33)</f>
        <v>0.87847796343447526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4505.0887349795221</v>
      </c>
      <c r="C3" s="126">
        <f t="shared" si="0"/>
        <v>4804.1788354471137</v>
      </c>
      <c r="D3" s="126">
        <f t="shared" si="0"/>
        <v>4403.8717230732409</v>
      </c>
      <c r="E3" s="126">
        <f t="shared" si="0"/>
        <v>4630.959061361692</v>
      </c>
      <c r="F3" s="126">
        <f t="shared" si="0"/>
        <v>5768.8327222356947</v>
      </c>
      <c r="G3" s="126">
        <f t="shared" si="0"/>
        <v>5473.2181614000001</v>
      </c>
      <c r="H3" s="126">
        <f t="shared" si="0"/>
        <v>4723.6247249684311</v>
      </c>
      <c r="I3" s="126">
        <f t="shared" si="0"/>
        <v>3666.1525491362145</v>
      </c>
      <c r="J3" s="126">
        <f t="shared" si="0"/>
        <v>3451.5217122048966</v>
      </c>
      <c r="K3" s="126">
        <f t="shared" si="0"/>
        <v>3753.5851487999989</v>
      </c>
      <c r="L3" s="126">
        <f t="shared" si="0"/>
        <v>4096.05847008</v>
      </c>
      <c r="M3" s="126">
        <f t="shared" si="0"/>
        <v>4113.4863289200011</v>
      </c>
      <c r="N3" s="126">
        <f t="shared" si="0"/>
        <v>3363.4390911600021</v>
      </c>
      <c r="O3" s="126">
        <f t="shared" si="0"/>
        <v>3389.6008800000004</v>
      </c>
      <c r="P3" s="126">
        <f t="shared" si="0"/>
        <v>3024.7325728799992</v>
      </c>
      <c r="Q3" s="126">
        <f t="shared" si="0"/>
        <v>3122.0633620799981</v>
      </c>
      <c r="R3" s="126">
        <f t="shared" ref="R3:W3" si="1">SUM(R4,R16,R19,R29)</f>
        <v>3039.084529199999</v>
      </c>
      <c r="S3" s="126">
        <f t="shared" si="1"/>
        <v>2892.1675648057462</v>
      </c>
      <c r="T3" s="126">
        <f t="shared" si="1"/>
        <v>2759.9399450102437</v>
      </c>
      <c r="U3" s="126">
        <f t="shared" si="1"/>
        <v>2646.8132922728737</v>
      </c>
      <c r="V3" s="126">
        <f t="shared" si="1"/>
        <v>2670.1488056680191</v>
      </c>
      <c r="W3" s="126">
        <f t="shared" si="1"/>
        <v>2792.9721379660186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4115.789027909077</v>
      </c>
      <c r="C4" s="131">
        <f t="shared" si="2"/>
        <v>4404.5476026404422</v>
      </c>
      <c r="D4" s="131">
        <f t="shared" si="2"/>
        <v>3964.9915943424271</v>
      </c>
      <c r="E4" s="131">
        <f t="shared" si="2"/>
        <v>4155.099556775921</v>
      </c>
      <c r="F4" s="131">
        <f t="shared" si="2"/>
        <v>5276.8645502860818</v>
      </c>
      <c r="G4" s="131">
        <f t="shared" si="2"/>
        <v>4948.7992128669875</v>
      </c>
      <c r="H4" s="131">
        <f t="shared" si="2"/>
        <v>4169.2735263610857</v>
      </c>
      <c r="I4" s="131">
        <f t="shared" si="2"/>
        <v>3077.5916748407244</v>
      </c>
      <c r="J4" s="131">
        <f t="shared" si="2"/>
        <v>2841.9049279905776</v>
      </c>
      <c r="K4" s="131">
        <f t="shared" si="2"/>
        <v>3113.9953442692586</v>
      </c>
      <c r="L4" s="131">
        <f t="shared" si="2"/>
        <v>3427.9467984530406</v>
      </c>
      <c r="M4" s="131">
        <f t="shared" si="2"/>
        <v>3429.6162169261197</v>
      </c>
      <c r="N4" s="131">
        <f t="shared" si="2"/>
        <v>2663.2546106046525</v>
      </c>
      <c r="O4" s="131">
        <f t="shared" si="2"/>
        <v>2655.1996107051832</v>
      </c>
      <c r="P4" s="131">
        <f t="shared" si="2"/>
        <v>2279.867549449687</v>
      </c>
      <c r="Q4" s="131">
        <f t="shared" si="2"/>
        <v>2382.815958801184</v>
      </c>
      <c r="R4" s="131">
        <f t="shared" ref="R4:W4" si="3">SUM(R5:R15)</f>
        <v>2317.8519141257043</v>
      </c>
      <c r="S4" s="131">
        <f t="shared" si="3"/>
        <v>2181.0228025362917</v>
      </c>
      <c r="T4" s="131">
        <f t="shared" si="3"/>
        <v>2035.4778978355189</v>
      </c>
      <c r="U4" s="131">
        <f t="shared" si="3"/>
        <v>1938.4514513803858</v>
      </c>
      <c r="V4" s="131">
        <f t="shared" si="3"/>
        <v>1992.6075638807613</v>
      </c>
      <c r="W4" s="131">
        <f t="shared" si="3"/>
        <v>2108.8896688237646</v>
      </c>
      <c r="DA4" s="156" t="s">
        <v>233</v>
      </c>
    </row>
    <row r="5" spans="1:105" ht="12" customHeight="1" x14ac:dyDescent="0.25">
      <c r="A5" s="132" t="s">
        <v>29</v>
      </c>
      <c r="B5" s="133">
        <v>96.694138779521396</v>
      </c>
      <c r="C5" s="133">
        <v>57.228382647114209</v>
      </c>
      <c r="D5" s="133">
        <v>45.045152113240718</v>
      </c>
      <c r="E5" s="133">
        <v>42.320448521692285</v>
      </c>
      <c r="F5" s="133">
        <v>27.139718715695697</v>
      </c>
      <c r="G5" s="133">
        <v>10.295229119999998</v>
      </c>
      <c r="H5" s="133">
        <v>17.938406368430893</v>
      </c>
      <c r="I5" s="133">
        <v>14.841613416213397</v>
      </c>
      <c r="J5" s="133">
        <v>13.983263164897004</v>
      </c>
      <c r="K5" s="133">
        <v>11.541509759999999</v>
      </c>
      <c r="L5" s="133">
        <v>11.112969119999999</v>
      </c>
      <c r="M5" s="133">
        <v>12.394963680000002</v>
      </c>
      <c r="N5" s="133">
        <v>3.4296952799999989</v>
      </c>
      <c r="O5" s="133">
        <v>9.8564399999999992</v>
      </c>
      <c r="P5" s="133">
        <v>9.177424079999998</v>
      </c>
      <c r="Q5" s="133">
        <v>11.700271440000007</v>
      </c>
      <c r="R5" s="133">
        <v>11.551090319999997</v>
      </c>
      <c r="S5" s="133">
        <v>6.3272470057446579</v>
      </c>
      <c r="T5" s="133">
        <v>6.4748258102451457</v>
      </c>
      <c r="U5" s="133">
        <v>6.3425931128742228</v>
      </c>
      <c r="V5" s="133">
        <v>5.0424079480208812</v>
      </c>
      <c r="W5" s="133">
        <v>5.0103712060171146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106.38345096000003</v>
      </c>
      <c r="C7" s="133">
        <v>112.61511756000003</v>
      </c>
      <c r="D7" s="133">
        <v>53.158381919999997</v>
      </c>
      <c r="E7" s="133">
        <v>38.116677599999989</v>
      </c>
      <c r="F7" s="133">
        <v>34.378777800000002</v>
      </c>
      <c r="G7" s="133">
        <v>37.318861800000008</v>
      </c>
      <c r="H7" s="133">
        <v>28.065152880000007</v>
      </c>
      <c r="I7" s="133">
        <v>0</v>
      </c>
      <c r="J7" s="133">
        <v>0</v>
      </c>
      <c r="K7" s="133">
        <v>0</v>
      </c>
      <c r="L7" s="133">
        <v>0</v>
      </c>
      <c r="M7" s="133">
        <v>0</v>
      </c>
      <c r="N7" s="133">
        <v>37.342080000000017</v>
      </c>
      <c r="O7" s="133">
        <v>21.781896840000009</v>
      </c>
      <c r="P7" s="133">
        <v>46.679674679999977</v>
      </c>
      <c r="Q7" s="133">
        <v>80.913785759999968</v>
      </c>
      <c r="R7" s="133">
        <v>100.82385504000003</v>
      </c>
      <c r="S7" s="133">
        <v>91.31173739999997</v>
      </c>
      <c r="T7" s="133">
        <v>104.03069400000003</v>
      </c>
      <c r="U7" s="133">
        <v>91.487256479999942</v>
      </c>
      <c r="V7" s="133">
        <v>94.564749599999928</v>
      </c>
      <c r="W7" s="133">
        <v>119.55094128000006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2.9815349129931339E-3</v>
      </c>
      <c r="S8" s="133">
        <v>1.7626155394027454E-2</v>
      </c>
      <c r="T8" s="133">
        <v>4.6750000612543752E-2</v>
      </c>
      <c r="U8" s="133">
        <v>5.7813470119927865E-2</v>
      </c>
      <c r="V8" s="133">
        <v>0.10712273723550889</v>
      </c>
      <c r="W8" s="133">
        <v>9.096417238113598E-2</v>
      </c>
      <c r="DA8" s="157" t="s">
        <v>360</v>
      </c>
    </row>
    <row r="9" spans="1:105" ht="12" customHeight="1" x14ac:dyDescent="0.25">
      <c r="A9" s="132" t="s">
        <v>78</v>
      </c>
      <c r="B9" s="133">
        <v>3912.711438169556</v>
      </c>
      <c r="C9" s="133">
        <v>4234.7041024333275</v>
      </c>
      <c r="D9" s="133">
        <v>3866.7880603091862</v>
      </c>
      <c r="E9" s="133">
        <v>4074.6624306542285</v>
      </c>
      <c r="F9" s="133">
        <v>5215.3460537703859</v>
      </c>
      <c r="G9" s="133">
        <v>4901.1851219469872</v>
      </c>
      <c r="H9" s="133">
        <v>4123.2699671126547</v>
      </c>
      <c r="I9" s="133">
        <v>3062.7500614245109</v>
      </c>
      <c r="J9" s="133">
        <v>2827.9216648256806</v>
      </c>
      <c r="K9" s="133">
        <v>3102.4538345092587</v>
      </c>
      <c r="L9" s="133">
        <v>3416.8338293330407</v>
      </c>
      <c r="M9" s="133">
        <v>3417.2212532461199</v>
      </c>
      <c r="N9" s="133">
        <v>2605.1793803818059</v>
      </c>
      <c r="O9" s="133">
        <v>2607.878559690811</v>
      </c>
      <c r="P9" s="133">
        <v>2213.0541285569448</v>
      </c>
      <c r="Q9" s="133">
        <v>2268.0778921343058</v>
      </c>
      <c r="R9" s="133">
        <v>2192.2893109778333</v>
      </c>
      <c r="S9" s="133">
        <v>2066.9972421347784</v>
      </c>
      <c r="T9" s="133">
        <v>1903.9421202303831</v>
      </c>
      <c r="U9" s="133">
        <v>1816.4384701954029</v>
      </c>
      <c r="V9" s="133">
        <v>1868.7388943117796</v>
      </c>
      <c r="W9" s="133">
        <v>1964.3590804551745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17.303454942846574</v>
      </c>
      <c r="O10" s="133">
        <v>15.682714174371942</v>
      </c>
      <c r="P10" s="133">
        <v>10.956322132742136</v>
      </c>
      <c r="Q10" s="133">
        <v>22.124009466878476</v>
      </c>
      <c r="R10" s="133">
        <v>13.184676252958248</v>
      </c>
      <c r="S10" s="133">
        <v>16.368949840374725</v>
      </c>
      <c r="T10" s="133">
        <v>20.98350779427809</v>
      </c>
      <c r="U10" s="133">
        <v>24.125318121988741</v>
      </c>
      <c r="V10" s="133">
        <v>24.154389283725266</v>
      </c>
      <c r="W10" s="133">
        <v>19.878311710191742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0.13744901501130666</v>
      </c>
      <c r="C16" s="131">
        <f t="shared" si="4"/>
        <v>0.14086955344890031</v>
      </c>
      <c r="D16" s="131">
        <f t="shared" si="4"/>
        <v>0.1756028500207619</v>
      </c>
      <c r="E16" s="131">
        <f t="shared" si="4"/>
        <v>0.22534292432896025</v>
      </c>
      <c r="F16" s="131">
        <f t="shared" si="4"/>
        <v>0.18214904677809049</v>
      </c>
      <c r="G16" s="131">
        <f t="shared" si="4"/>
        <v>0.19686307648607235</v>
      </c>
      <c r="H16" s="131">
        <f t="shared" si="4"/>
        <v>0.25051424276449186</v>
      </c>
      <c r="I16" s="131">
        <f t="shared" si="4"/>
        <v>0.30673182759144635</v>
      </c>
      <c r="J16" s="131">
        <f t="shared" si="4"/>
        <v>0.26838024274392247</v>
      </c>
      <c r="K16" s="131">
        <f t="shared" si="4"/>
        <v>0.2950932405676015</v>
      </c>
      <c r="L16" s="131">
        <f t="shared" si="4"/>
        <v>0.35702517845989551</v>
      </c>
      <c r="M16" s="131">
        <f t="shared" si="4"/>
        <v>0.39836568676492257</v>
      </c>
      <c r="N16" s="131">
        <f t="shared" si="4"/>
        <v>0.5823216240814475</v>
      </c>
      <c r="O16" s="131">
        <f t="shared" si="4"/>
        <v>0.53282031698774857</v>
      </c>
      <c r="P16" s="131">
        <f t="shared" si="4"/>
        <v>0.51372339628498187</v>
      </c>
      <c r="Q16" s="131">
        <f t="shared" si="4"/>
        <v>0.81069805038546872</v>
      </c>
      <c r="R16" s="131">
        <f t="shared" ref="R16:W16" si="5">SUM(R17:R18)</f>
        <v>0.60836447731935173</v>
      </c>
      <c r="S16" s="131">
        <f t="shared" si="5"/>
        <v>0.83901804895136778</v>
      </c>
      <c r="T16" s="131">
        <f t="shared" si="5"/>
        <v>0.86970782501295518</v>
      </c>
      <c r="U16" s="131">
        <f t="shared" si="5"/>
        <v>1.106410637947395</v>
      </c>
      <c r="V16" s="131">
        <f t="shared" si="5"/>
        <v>0.87733519315401243</v>
      </c>
      <c r="W16" s="131">
        <f t="shared" si="5"/>
        <v>1.1517409963330472</v>
      </c>
      <c r="DA16" s="156" t="s">
        <v>234</v>
      </c>
    </row>
    <row r="17" spans="1:105" ht="12.95" customHeight="1" x14ac:dyDescent="0.25">
      <c r="A17" s="132" t="s">
        <v>73</v>
      </c>
      <c r="B17" s="133">
        <v>0.13744901501130666</v>
      </c>
      <c r="C17" s="133">
        <v>0.14086955344890031</v>
      </c>
      <c r="D17" s="133">
        <v>0.1756028500207619</v>
      </c>
      <c r="E17" s="133">
        <v>0.22534292432896025</v>
      </c>
      <c r="F17" s="133">
        <v>0.18214904677809049</v>
      </c>
      <c r="G17" s="133">
        <v>0.19686307648607235</v>
      </c>
      <c r="H17" s="133">
        <v>0.25051424276449186</v>
      </c>
      <c r="I17" s="133">
        <v>0.30673182759144635</v>
      </c>
      <c r="J17" s="133">
        <v>0.26838024274392247</v>
      </c>
      <c r="K17" s="133">
        <v>0.2950932405676015</v>
      </c>
      <c r="L17" s="133">
        <v>0.35702517845989551</v>
      </c>
      <c r="M17" s="133">
        <v>0.39836568676492257</v>
      </c>
      <c r="N17" s="133">
        <v>0.5823216240814475</v>
      </c>
      <c r="O17" s="133">
        <v>0.53282031698774857</v>
      </c>
      <c r="P17" s="133">
        <v>0.51372339628498187</v>
      </c>
      <c r="Q17" s="133">
        <v>0.81069805038546872</v>
      </c>
      <c r="R17" s="133">
        <v>0.60836447731935173</v>
      </c>
      <c r="S17" s="133">
        <v>0.83901804895136778</v>
      </c>
      <c r="T17" s="133">
        <v>0.86970782501295518</v>
      </c>
      <c r="U17" s="133">
        <v>1.106410637947395</v>
      </c>
      <c r="V17" s="133">
        <v>0.87733519315401243</v>
      </c>
      <c r="W17" s="133">
        <v>1.1517409963330472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222.05793270896365</v>
      </c>
      <c r="C19" s="131">
        <f t="shared" si="6"/>
        <v>225.43446815537149</v>
      </c>
      <c r="D19" s="131">
        <f t="shared" si="6"/>
        <v>236.94410051536317</v>
      </c>
      <c r="E19" s="131">
        <f t="shared" si="6"/>
        <v>247.53810897777919</v>
      </c>
      <c r="F19" s="131">
        <f t="shared" si="6"/>
        <v>261.62174437720046</v>
      </c>
      <c r="G19" s="131">
        <f t="shared" si="6"/>
        <v>259.45202205099162</v>
      </c>
      <c r="H19" s="131">
        <f t="shared" si="6"/>
        <v>261.18445962712167</v>
      </c>
      <c r="I19" s="131">
        <f t="shared" si="6"/>
        <v>274.97355776917584</v>
      </c>
      <c r="J19" s="131">
        <f t="shared" si="6"/>
        <v>288.12848350385042</v>
      </c>
      <c r="K19" s="131">
        <f t="shared" si="6"/>
        <v>307.01981040892281</v>
      </c>
      <c r="L19" s="131">
        <f t="shared" si="6"/>
        <v>315.104709521122</v>
      </c>
      <c r="M19" s="131">
        <f t="shared" si="6"/>
        <v>316.86668870844829</v>
      </c>
      <c r="N19" s="131">
        <f t="shared" si="6"/>
        <v>316.14591475012577</v>
      </c>
      <c r="O19" s="131">
        <f t="shared" si="6"/>
        <v>344.02655146592406</v>
      </c>
      <c r="P19" s="131">
        <f t="shared" si="6"/>
        <v>349.11926140072427</v>
      </c>
      <c r="Q19" s="131">
        <f t="shared" si="6"/>
        <v>348.70067504254109</v>
      </c>
      <c r="R19" s="131">
        <f t="shared" ref="R19:W19" si="7">SUM(R20:R27)</f>
        <v>347.6269338113928</v>
      </c>
      <c r="S19" s="131">
        <f t="shared" si="7"/>
        <v>345.95244767060177</v>
      </c>
      <c r="T19" s="131">
        <f t="shared" si="7"/>
        <v>351.7589415734613</v>
      </c>
      <c r="U19" s="131">
        <f t="shared" si="7"/>
        <v>338.31391453290149</v>
      </c>
      <c r="V19" s="131">
        <f t="shared" si="7"/>
        <v>309.35759908910899</v>
      </c>
      <c r="W19" s="131">
        <f t="shared" si="7"/>
        <v>304.55594489544103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0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372</v>
      </c>
    </row>
    <row r="23" spans="1:105" ht="12" customHeight="1" x14ac:dyDescent="0.25">
      <c r="A23" s="132" t="s">
        <v>153</v>
      </c>
      <c r="B23" s="133">
        <v>222.05793270896365</v>
      </c>
      <c r="C23" s="133">
        <v>225.43446815537149</v>
      </c>
      <c r="D23" s="133">
        <v>236.94410051536317</v>
      </c>
      <c r="E23" s="133">
        <v>247.53810897777919</v>
      </c>
      <c r="F23" s="133">
        <v>261.62174437720046</v>
      </c>
      <c r="G23" s="133">
        <v>259.45202205099162</v>
      </c>
      <c r="H23" s="133">
        <v>261.18445962712167</v>
      </c>
      <c r="I23" s="133">
        <v>274.97355776917584</v>
      </c>
      <c r="J23" s="133">
        <v>288.12848350385042</v>
      </c>
      <c r="K23" s="133">
        <v>307.01981040892281</v>
      </c>
      <c r="L23" s="133">
        <v>315.104709521122</v>
      </c>
      <c r="M23" s="133">
        <v>316.86668870844829</v>
      </c>
      <c r="N23" s="133">
        <v>313.28619809297237</v>
      </c>
      <c r="O23" s="133">
        <v>341.26243724029598</v>
      </c>
      <c r="P23" s="133">
        <v>346.77675513346639</v>
      </c>
      <c r="Q23" s="133">
        <v>344.94157010941956</v>
      </c>
      <c r="R23" s="133">
        <v>345.08138126435102</v>
      </c>
      <c r="S23" s="133">
        <v>342.8732831109765</v>
      </c>
      <c r="T23" s="133">
        <v>347.57439216773935</v>
      </c>
      <c r="U23" s="133">
        <v>333.98211825489022</v>
      </c>
      <c r="V23" s="133">
        <v>304.76915997283425</v>
      </c>
      <c r="W23" s="133">
        <v>300.55319940563271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2.8597166571534069</v>
      </c>
      <c r="O24" s="133">
        <v>2.7641142256280569</v>
      </c>
      <c r="P24" s="133">
        <v>2.3425062672578778</v>
      </c>
      <c r="Q24" s="133">
        <v>3.7591049331215149</v>
      </c>
      <c r="R24" s="133">
        <v>2.5455525470417557</v>
      </c>
      <c r="S24" s="133">
        <v>3.0791645596252666</v>
      </c>
      <c r="T24" s="133">
        <v>4.184549405721925</v>
      </c>
      <c r="U24" s="133">
        <v>4.3317962780112707</v>
      </c>
      <c r="V24" s="133">
        <v>4.58843911627475</v>
      </c>
      <c r="W24" s="133">
        <v>4.0027454898083006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167.10432534647032</v>
      </c>
      <c r="C29" s="131">
        <f t="shared" si="8"/>
        <v>174.05589509785148</v>
      </c>
      <c r="D29" s="131">
        <f t="shared" si="8"/>
        <v>201.76042536543014</v>
      </c>
      <c r="E29" s="131">
        <f t="shared" si="8"/>
        <v>228.09605268366278</v>
      </c>
      <c r="F29" s="131">
        <f t="shared" si="8"/>
        <v>230.16427852563405</v>
      </c>
      <c r="G29" s="131">
        <f t="shared" si="8"/>
        <v>264.77006340553527</v>
      </c>
      <c r="H29" s="131">
        <f t="shared" si="8"/>
        <v>292.91622473745838</v>
      </c>
      <c r="I29" s="131">
        <f t="shared" si="8"/>
        <v>313.28058469872246</v>
      </c>
      <c r="J29" s="131">
        <f t="shared" si="8"/>
        <v>321.21992046772436</v>
      </c>
      <c r="K29" s="131">
        <f t="shared" si="8"/>
        <v>332.27490088125001</v>
      </c>
      <c r="L29" s="131">
        <f t="shared" si="8"/>
        <v>352.64993692737767</v>
      </c>
      <c r="M29" s="131">
        <f t="shared" si="8"/>
        <v>366.60505759866862</v>
      </c>
      <c r="N29" s="131">
        <f t="shared" si="8"/>
        <v>383.45624418114215</v>
      </c>
      <c r="O29" s="131">
        <f t="shared" si="8"/>
        <v>389.84189751190519</v>
      </c>
      <c r="P29" s="131">
        <f t="shared" si="8"/>
        <v>395.23203863330292</v>
      </c>
      <c r="Q29" s="131">
        <f t="shared" si="8"/>
        <v>389.7360301858875</v>
      </c>
      <c r="R29" s="131">
        <f t="shared" ref="R29:W29" si="9">SUM(R30:R33)</f>
        <v>372.99731678558248</v>
      </c>
      <c r="S29" s="131">
        <f t="shared" si="9"/>
        <v>364.35329654990119</v>
      </c>
      <c r="T29" s="131">
        <f t="shared" si="9"/>
        <v>371.83339777625065</v>
      </c>
      <c r="U29" s="131">
        <f t="shared" si="9"/>
        <v>368.94151572163918</v>
      </c>
      <c r="V29" s="131">
        <f t="shared" si="9"/>
        <v>367.30630750499512</v>
      </c>
      <c r="W29" s="131">
        <f t="shared" si="9"/>
        <v>378.37478325047982</v>
      </c>
      <c r="DA29" s="156" t="s">
        <v>236</v>
      </c>
    </row>
    <row r="30" spans="1:105" ht="12" customHeight="1" x14ac:dyDescent="0.25">
      <c r="A30" s="132" t="s">
        <v>52</v>
      </c>
      <c r="B30" s="133">
        <v>137.29300524000001</v>
      </c>
      <c r="C30" s="133">
        <v>110.43133524000002</v>
      </c>
      <c r="D30" s="133">
        <v>122.36972904000001</v>
      </c>
      <c r="E30" s="133">
        <v>110.43133524000002</v>
      </c>
      <c r="F30" s="133">
        <v>62.279775720000004</v>
      </c>
      <c r="G30" s="133">
        <v>68.211150480000015</v>
      </c>
      <c r="H30" s="133">
        <v>62.279775720000004</v>
      </c>
      <c r="I30" s="133">
        <v>62.279775719999996</v>
      </c>
      <c r="J30" s="133">
        <v>50.416799040000001</v>
      </c>
      <c r="K30" s="133">
        <v>50.416799039999972</v>
      </c>
      <c r="L30" s="133">
        <v>56.348400960000021</v>
      </c>
      <c r="M30" s="133">
        <v>47.451225240000007</v>
      </c>
      <c r="N30" s="133">
        <v>44.485424280000025</v>
      </c>
      <c r="O30" s="133">
        <v>32.622674759999988</v>
      </c>
      <c r="P30" s="133">
        <v>35.588475720000019</v>
      </c>
      <c r="Q30" s="133">
        <v>41.519850480000009</v>
      </c>
      <c r="R30" s="133">
        <v>32.039555039999982</v>
      </c>
      <c r="S30" s="133">
        <v>26.202905999999992</v>
      </c>
      <c r="T30" s="133">
        <v>34.937208000000041</v>
      </c>
      <c r="U30" s="133">
        <v>32.025698279999965</v>
      </c>
      <c r="V30" s="133">
        <v>46.583019720000046</v>
      </c>
      <c r="W30" s="133">
        <v>32.025698279999993</v>
      </c>
      <c r="DA30" s="157" t="s">
        <v>378</v>
      </c>
    </row>
    <row r="31" spans="1:105" ht="12" customHeight="1" x14ac:dyDescent="0.25">
      <c r="A31" s="132" t="s">
        <v>153</v>
      </c>
      <c r="B31" s="133">
        <v>29.811320106470319</v>
      </c>
      <c r="C31" s="133">
        <v>63.624559857851466</v>
      </c>
      <c r="D31" s="133">
        <v>79.390696325430142</v>
      </c>
      <c r="E31" s="133">
        <v>117.66471744366277</v>
      </c>
      <c r="F31" s="133">
        <v>167.88450280563404</v>
      </c>
      <c r="G31" s="133">
        <v>196.55891292553525</v>
      </c>
      <c r="H31" s="133">
        <v>230.6364490174584</v>
      </c>
      <c r="I31" s="133">
        <v>251.00080897872246</v>
      </c>
      <c r="J31" s="133">
        <v>270.80312142772436</v>
      </c>
      <c r="K31" s="133">
        <v>281.85810184125</v>
      </c>
      <c r="L31" s="133">
        <v>296.30153596737767</v>
      </c>
      <c r="M31" s="133">
        <v>319.15383235866864</v>
      </c>
      <c r="N31" s="133">
        <v>338.97081990114214</v>
      </c>
      <c r="O31" s="133">
        <v>357.21922275190519</v>
      </c>
      <c r="P31" s="133">
        <v>359.6435629133029</v>
      </c>
      <c r="Q31" s="133">
        <v>348.2161797058875</v>
      </c>
      <c r="R31" s="133">
        <v>340.9577617455825</v>
      </c>
      <c r="S31" s="133">
        <v>338.1503905499012</v>
      </c>
      <c r="T31" s="133">
        <v>336.89618977625059</v>
      </c>
      <c r="U31" s="133">
        <v>336.91581744163921</v>
      </c>
      <c r="V31" s="133">
        <v>320.72328778499508</v>
      </c>
      <c r="W31" s="133">
        <v>346.34908497047985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369035.41274556401</v>
      </c>
      <c r="C3" s="126">
        <f>IF(SER_hh_fec!C3=0,0,11630*1000*SER_hh_fec!C3/SER_hh_num!C3)</f>
        <v>382326.2071648548</v>
      </c>
      <c r="D3" s="126">
        <f>IF(SER_hh_fec!D3=0,0,11630*1000*SER_hh_fec!D3/SER_hh_num!D3)</f>
        <v>341424.48853888846</v>
      </c>
      <c r="E3" s="126">
        <f>IF(SER_hh_fec!E3=0,0,11630*1000*SER_hh_fec!E3/SER_hh_num!E3)</f>
        <v>341443.43703707441</v>
      </c>
      <c r="F3" s="126">
        <f>IF(SER_hh_fec!F3=0,0,11630*1000*SER_hh_fec!F3/SER_hh_num!F3)</f>
        <v>391682.58541690261</v>
      </c>
      <c r="G3" s="126">
        <f>IF(SER_hh_fec!G3=0,0,11630*1000*SER_hh_fec!G3/SER_hh_num!G3)</f>
        <v>375056.13925660698</v>
      </c>
      <c r="H3" s="126">
        <f>IF(SER_hh_fec!H3=0,0,11630*1000*SER_hh_fec!H3/SER_hh_num!H3)</f>
        <v>329859.56514173147</v>
      </c>
      <c r="I3" s="126">
        <f>IF(SER_hh_fec!I3=0,0,11630*1000*SER_hh_fec!I3/SER_hh_num!I3)</f>
        <v>276019.12514168624</v>
      </c>
      <c r="J3" s="126">
        <f>IF(SER_hh_fec!J3=0,0,11630*1000*SER_hh_fec!J3/SER_hh_num!J3)</f>
        <v>270471.95258306339</v>
      </c>
      <c r="K3" s="126">
        <f>IF(SER_hh_fec!K3=0,0,11630*1000*SER_hh_fec!K3/SER_hh_num!K3)</f>
        <v>290324.12889459659</v>
      </c>
      <c r="L3" s="126">
        <f>IF(SER_hh_fec!L3=0,0,11630*1000*SER_hh_fec!L3/SER_hh_num!L3)</f>
        <v>307375.68369643344</v>
      </c>
      <c r="M3" s="126">
        <f>IF(SER_hh_fec!M3=0,0,11630*1000*SER_hh_fec!M3/SER_hh_num!M3)</f>
        <v>306381.42198339564</v>
      </c>
      <c r="N3" s="126">
        <f>IF(SER_hh_fec!N3=0,0,11630*1000*SER_hh_fec!N3/SER_hh_num!N3)</f>
        <v>223825.87712732088</v>
      </c>
      <c r="O3" s="126">
        <f>IF(SER_hh_fec!O3=0,0,11630*1000*SER_hh_fec!O3/SER_hh_num!O3)</f>
        <v>220368.85724790831</v>
      </c>
      <c r="P3" s="126">
        <f>IF(SER_hh_fec!P3=0,0,11630*1000*SER_hh_fec!P3/SER_hh_num!P3)</f>
        <v>188755.42522636268</v>
      </c>
      <c r="Q3" s="126">
        <f>IF(SER_hh_fec!Q3=0,0,11630*1000*SER_hh_fec!Q3/SER_hh_num!Q3)</f>
        <v>199988.09192915837</v>
      </c>
      <c r="R3" s="126">
        <f>IF(SER_hh_fec!R3=0,0,11630*1000*SER_hh_fec!R3/SER_hh_num!R3)</f>
        <v>197463.69509061909</v>
      </c>
      <c r="S3" s="126">
        <f>IF(SER_hh_fec!S3=0,0,11630*1000*SER_hh_fec!S3/SER_hh_num!S3)</f>
        <v>191660.03080157703</v>
      </c>
      <c r="T3" s="126">
        <f>IF(SER_hh_fec!T3=0,0,11630*1000*SER_hh_fec!T3/SER_hh_num!T3)</f>
        <v>183950.05060123981</v>
      </c>
      <c r="U3" s="126">
        <f>IF(SER_hh_fec!U3=0,0,11630*1000*SER_hh_fec!U3/SER_hh_num!U3)</f>
        <v>177787.73384645305</v>
      </c>
      <c r="V3" s="126">
        <f>IF(SER_hh_fec!V3=0,0,11630*1000*SER_hh_fec!V3/SER_hh_num!V3)</f>
        <v>173046.7484502552</v>
      </c>
      <c r="W3" s="126">
        <f>IF(SER_hh_fec!W3=0,0,11630*1000*SER_hh_fec!W3/SER_hh_num!W3)</f>
        <v>180177.76724356803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312390.32315243833</v>
      </c>
      <c r="C4" s="131">
        <f>IF(SER_hh_fec!C4=0,0,11630*1000*SER_hh_fec!C4/SER_hh_num!C4)</f>
        <v>326089.59490415925</v>
      </c>
      <c r="D4" s="131">
        <f>IF(SER_hh_fec!D4=0,0,11630*1000*SER_hh_fec!D4/SER_hh_num!D4)</f>
        <v>284757.01840813929</v>
      </c>
      <c r="E4" s="131">
        <f>IF(SER_hh_fec!E4=0,0,11630*1000*SER_hh_fec!E4/SER_hh_num!E4)</f>
        <v>284919.60225509503</v>
      </c>
      <c r="F4" s="131">
        <f>IF(SER_hh_fec!F4=0,0,11630*1000*SER_hh_fec!F4/SER_hh_num!F4)</f>
        <v>335653.30442557455</v>
      </c>
      <c r="G4" s="131">
        <f>IF(SER_hh_fec!G4=0,0,11630*1000*SER_hh_fec!G4/SER_hh_num!G4)</f>
        <v>319527.77040918753</v>
      </c>
      <c r="H4" s="131">
        <f>IF(SER_hh_fec!H4=0,0,11630*1000*SER_hh_fec!H4/SER_hh_num!H4)</f>
        <v>274013.85054009786</v>
      </c>
      <c r="I4" s="131">
        <f>IF(SER_hh_fec!I4=0,0,11630*1000*SER_hh_fec!I4/SER_hh_num!I4)</f>
        <v>220749.57885755235</v>
      </c>
      <c r="J4" s="131">
        <f>IF(SER_hh_fec!J4=0,0,11630*1000*SER_hh_fec!J4/SER_hh_num!J4)</f>
        <v>215083.39340465452</v>
      </c>
      <c r="K4" s="131">
        <f>IF(SER_hh_fec!K4=0,0,11630*1000*SER_hh_fec!K4/SER_hh_num!K4)</f>
        <v>234355.77780300181</v>
      </c>
      <c r="L4" s="131">
        <f>IF(SER_hh_fec!L4=0,0,11630*1000*SER_hh_fec!L4/SER_hh_num!L4)</f>
        <v>250714.30196072161</v>
      </c>
      <c r="M4" s="131">
        <f>IF(SER_hh_fec!M4=0,0,11630*1000*SER_hh_fec!M4/SER_hh_num!M4)</f>
        <v>249982.99606702986</v>
      </c>
      <c r="N4" s="131">
        <f>IF(SER_hh_fec!N4=0,0,11630*1000*SER_hh_fec!N4/SER_hh_num!N4)</f>
        <v>167009.3768969285</v>
      </c>
      <c r="O4" s="131">
        <f>IF(SER_hh_fec!O4=0,0,11630*1000*SER_hh_fec!O4/SER_hh_num!O4)</f>
        <v>164596.46047800867</v>
      </c>
      <c r="P4" s="131">
        <f>IF(SER_hh_fec!P4=0,0,11630*1000*SER_hh_fec!P4/SER_hh_num!P4)</f>
        <v>134965.14618159342</v>
      </c>
      <c r="Q4" s="131">
        <f>IF(SER_hh_fec!Q4=0,0,11630*1000*SER_hh_fec!Q4/SER_hh_num!Q4)</f>
        <v>145565.72540424453</v>
      </c>
      <c r="R4" s="131">
        <f>IF(SER_hh_fec!R4=0,0,11630*1000*SER_hh_fec!R4/SER_hh_num!R4)</f>
        <v>144602.08269919956</v>
      </c>
      <c r="S4" s="131">
        <f>IF(SER_hh_fec!S4=0,0,11630*1000*SER_hh_fec!S4/SER_hh_num!S4)</f>
        <v>139631.13466507039</v>
      </c>
      <c r="T4" s="131">
        <f>IF(SER_hh_fec!T4=0,0,11630*1000*SER_hh_fec!T4/SER_hh_num!T4)</f>
        <v>132126.86921768475</v>
      </c>
      <c r="U4" s="131">
        <f>IF(SER_hh_fec!U4=0,0,11630*1000*SER_hh_fec!U4/SER_hh_num!U4)</f>
        <v>127074.5548948143</v>
      </c>
      <c r="V4" s="131">
        <f>IF(SER_hh_fec!V4=0,0,11630*1000*SER_hh_fec!V4/SER_hh_num!V4)</f>
        <v>126508.0839174897</v>
      </c>
      <c r="W4" s="131">
        <f>IF(SER_hh_fec!W4=0,0,11630*1000*SER_hh_fec!W4/SER_hh_num!W4)</f>
        <v>131851.35717038697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384915.79848536407</v>
      </c>
      <c r="C5" s="133">
        <f>IF(SER_hh_fec!C5=0,0,11630*1000*SER_hh_fec!C5/SER_hh_num!C5)</f>
        <v>292599.8183529168</v>
      </c>
      <c r="D5" s="133">
        <f>IF(SER_hh_fec!D5=0,0,11630*1000*SER_hh_fec!D5/SER_hh_num!D5)</f>
        <v>286840.33137836837</v>
      </c>
      <c r="E5" s="133">
        <f>IF(SER_hh_fec!E5=0,0,11630*1000*SER_hh_fec!E5/SER_hh_num!E5)</f>
        <v>357140.80049271206</v>
      </c>
      <c r="F5" s="133">
        <f>IF(SER_hh_fec!F5=0,0,11630*1000*SER_hh_fec!F5/SER_hh_num!F5)</f>
        <v>318738.36716322118</v>
      </c>
      <c r="G5" s="133">
        <f>IF(SER_hh_fec!G5=0,0,11630*1000*SER_hh_fec!G5/SER_hh_num!G5)</f>
        <v>176889.89455479625</v>
      </c>
      <c r="H5" s="133">
        <f>IF(SER_hh_fec!H5=0,0,11630*1000*SER_hh_fec!H5/SER_hh_num!H5)</f>
        <v>340902.56656559545</v>
      </c>
      <c r="I5" s="133">
        <f>IF(SER_hh_fec!I5=0,0,11630*1000*SER_hh_fec!I5/SER_hh_num!I5)</f>
        <v>282845.16836793767</v>
      </c>
      <c r="J5" s="133">
        <f>IF(SER_hh_fec!J5=0,0,11630*1000*SER_hh_fec!J5/SER_hh_num!J5)</f>
        <v>275179.35534355108</v>
      </c>
      <c r="K5" s="133">
        <f>IF(SER_hh_fec!K5=0,0,11630*1000*SER_hh_fec!K5/SER_hh_num!K5)</f>
        <v>260664.57487743281</v>
      </c>
      <c r="L5" s="133">
        <f>IF(SER_hh_fec!L5=0,0,11630*1000*SER_hh_fec!L5/SER_hh_num!L5)</f>
        <v>291199.38325276226</v>
      </c>
      <c r="M5" s="133">
        <f>IF(SER_hh_fec!M5=0,0,11630*1000*SER_hh_fec!M5/SER_hh_num!M5)</f>
        <v>331668.60239961219</v>
      </c>
      <c r="N5" s="133">
        <f>IF(SER_hh_fec!N5=0,0,11630*1000*SER_hh_fec!N5/SER_hh_num!N5)</f>
        <v>90852.175153315213</v>
      </c>
      <c r="O5" s="133">
        <f>IF(SER_hh_fec!O5=0,0,11630*1000*SER_hh_fec!O5/SER_hh_num!O5)</f>
        <v>186100.55338753146</v>
      </c>
      <c r="P5" s="133">
        <f>IF(SER_hh_fec!P5=0,0,11630*1000*SER_hh_fec!P5/SER_hh_num!P5)</f>
        <v>143108.6471691551</v>
      </c>
      <c r="Q5" s="133">
        <f>IF(SER_hh_fec!Q5=0,0,11630*1000*SER_hh_fec!Q5/SER_hh_num!Q5)</f>
        <v>166547.38500422821</v>
      </c>
      <c r="R5" s="133">
        <f>IF(SER_hh_fec!R5=0,0,11630*1000*SER_hh_fec!R5/SER_hh_num!R5)</f>
        <v>176197.49446113146</v>
      </c>
      <c r="S5" s="133">
        <f>IF(SER_hh_fec!S5=0,0,11630*1000*SER_hh_fec!S5/SER_hh_num!S5)</f>
        <v>112927.85247937728</v>
      </c>
      <c r="T5" s="133">
        <f>IF(SER_hh_fec!T5=0,0,11630*1000*SER_hh_fec!T5/SER_hh_num!T5)</f>
        <v>134669.45942914978</v>
      </c>
      <c r="U5" s="133">
        <f>IF(SER_hh_fec!U5=0,0,11630*1000*SER_hh_fec!U5/SER_hh_num!U5)</f>
        <v>148943.17660862597</v>
      </c>
      <c r="V5" s="133">
        <f>IF(SER_hh_fec!V5=0,0,11630*1000*SER_hh_fec!V5/SER_hh_num!V5)</f>
        <v>132750.81986847662</v>
      </c>
      <c r="W5" s="133">
        <f>IF(SER_hh_fec!W5=0,0,11630*1000*SER_hh_fec!W5/SER_hh_num!W5)</f>
        <v>143718.20324283236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373940.66975428397</v>
      </c>
      <c r="C7" s="133">
        <f>IF(SER_hh_fec!C7=0,0,11630*1000*SER_hh_fec!C7/SER_hh_num!C7)</f>
        <v>447531.08453679562</v>
      </c>
      <c r="D7" s="133">
        <f>IF(SER_hh_fec!D7=0,0,11630*1000*SER_hh_fec!D7/SER_hh_num!D7)</f>
        <v>299133.09508032631</v>
      </c>
      <c r="E7" s="133">
        <f>IF(SER_hh_fec!E7=0,0,11630*1000*SER_hh_fec!E7/SER_hh_num!E7)</f>
        <v>302808.27282939589</v>
      </c>
      <c r="F7" s="133">
        <f>IF(SER_hh_fec!F7=0,0,11630*1000*SER_hh_fec!F7/SER_hh_num!F7)</f>
        <v>360080.4550575398</v>
      </c>
      <c r="G7" s="133">
        <f>IF(SER_hh_fec!G7=0,0,11630*1000*SER_hh_fec!G7/SER_hh_num!G7)</f>
        <v>468399.63832745946</v>
      </c>
      <c r="H7" s="133">
        <f>IF(SER_hh_fec!H7=0,0,11630*1000*SER_hh_fec!H7/SER_hh_num!H7)</f>
        <v>481589.31506358215</v>
      </c>
      <c r="I7" s="133">
        <f>IF(SER_hh_fec!I7=0,0,11630*1000*SER_hh_fec!I7/SER_hh_num!I7)</f>
        <v>0</v>
      </c>
      <c r="J7" s="133">
        <f>IF(SER_hh_fec!J7=0,0,11630*1000*SER_hh_fec!J7/SER_hh_num!J7)</f>
        <v>0</v>
      </c>
      <c r="K7" s="133">
        <f>IF(SER_hh_fec!K7=0,0,11630*1000*SER_hh_fec!K7/SER_hh_num!K7)</f>
        <v>0</v>
      </c>
      <c r="L7" s="133">
        <f>IF(SER_hh_fec!L7=0,0,11630*1000*SER_hh_fec!L7/SER_hh_num!L7)</f>
        <v>0</v>
      </c>
      <c r="M7" s="133">
        <f>IF(SER_hh_fec!M7=0,0,11630*1000*SER_hh_fec!M7/SER_hh_num!M7)</f>
        <v>0</v>
      </c>
      <c r="N7" s="133">
        <f>IF(SER_hh_fec!N7=0,0,11630*1000*SER_hh_fec!N7/SER_hh_num!N7)</f>
        <v>268998.33293491614</v>
      </c>
      <c r="O7" s="133">
        <f>IF(SER_hh_fec!O7=0,0,11630*1000*SER_hh_fec!O7/SER_hh_num!O7)</f>
        <v>104238.74312818403</v>
      </c>
      <c r="P7" s="133">
        <f>IF(SER_hh_fec!P7=0,0,11630*1000*SER_hh_fec!P7/SER_hh_num!P7)</f>
        <v>135367.03205954985</v>
      </c>
      <c r="Q7" s="133">
        <f>IF(SER_hh_fec!Q7=0,0,11630*1000*SER_hh_fec!Q7/SER_hh_num!Q7)</f>
        <v>169065.49520520336</v>
      </c>
      <c r="R7" s="133">
        <f>IF(SER_hh_fec!R7=0,0,11630*1000*SER_hh_fec!R7/SER_hh_num!R7)</f>
        <v>170404.14243313391</v>
      </c>
      <c r="S7" s="133">
        <f>IF(SER_hh_fec!S7=0,0,11630*1000*SER_hh_fec!S7/SER_hh_num!S7)</f>
        <v>143679.84530535573</v>
      </c>
      <c r="T7" s="133">
        <f>IF(SER_hh_fec!T7=0,0,11630*1000*SER_hh_fec!T7/SER_hh_num!T7)</f>
        <v>154364.18999573187</v>
      </c>
      <c r="U7" s="133">
        <f>IF(SER_hh_fec!U7=0,0,11630*1000*SER_hh_fec!U7/SER_hh_num!U7)</f>
        <v>134229.5518412278</v>
      </c>
      <c r="V7" s="133">
        <f>IF(SER_hh_fec!V7=0,0,11630*1000*SER_hh_fec!V7/SER_hh_num!V7)</f>
        <v>134278.67576075403</v>
      </c>
      <c r="W7" s="133">
        <f>IF(SER_hh_fec!W7=0,0,11630*1000*SER_hh_fec!W7/SER_hh_num!W7)</f>
        <v>156087.43649929375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11867.175599493305</v>
      </c>
      <c r="S8" s="133">
        <f>IF(SER_hh_fec!S8=0,0,11630*1000*SER_hh_fec!S8/SER_hh_num!S8)</f>
        <v>28438.69912359475</v>
      </c>
      <c r="T8" s="133">
        <f>IF(SER_hh_fec!T8=0,0,11630*1000*SER_hh_fec!T8/SER_hh_num!T8)</f>
        <v>37687.055173163055</v>
      </c>
      <c r="U8" s="133">
        <f>IF(SER_hh_fec!U8=0,0,11630*1000*SER_hh_fec!U8/SER_hh_num!U8)</f>
        <v>32113.906450167615</v>
      </c>
      <c r="V8" s="133">
        <f>IF(SER_hh_fec!V8=0,0,11630*1000*SER_hh_fec!V8/SER_hh_num!V8)</f>
        <v>42493.189433437343</v>
      </c>
      <c r="W8" s="133">
        <f>IF(SER_hh_fec!W8=0,0,11630*1000*SER_hh_fec!W8/SER_hh_num!W8)</f>
        <v>34661.971466021176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338723.21755441756</v>
      </c>
      <c r="C9" s="133">
        <f>IF(SER_hh_fec!C9=0,0,11630*1000*SER_hh_fec!C9/SER_hh_num!C9)</f>
        <v>352473.70996435016</v>
      </c>
      <c r="D9" s="133">
        <f>IF(SER_hh_fec!D9=0,0,11630*1000*SER_hh_fec!D9/SER_hh_num!D9)</f>
        <v>303346.5107811676</v>
      </c>
      <c r="E9" s="133">
        <f>IF(SER_hh_fec!E9=0,0,11630*1000*SER_hh_fec!E9/SER_hh_num!E9)</f>
        <v>297172.27812117484</v>
      </c>
      <c r="F9" s="133">
        <f>IF(SER_hh_fec!F9=0,0,11630*1000*SER_hh_fec!F9/SER_hh_num!F9)</f>
        <v>364973.55381060793</v>
      </c>
      <c r="G9" s="133">
        <f>IF(SER_hh_fec!G9=0,0,11630*1000*SER_hh_fec!G9/SER_hh_num!G9)</f>
        <v>341176.8859867868</v>
      </c>
      <c r="H9" s="133">
        <f>IF(SER_hh_fec!H9=0,0,11630*1000*SER_hh_fec!H9/SER_hh_num!H9)</f>
        <v>296420.59125424229</v>
      </c>
      <c r="I9" s="133">
        <f>IF(SER_hh_fec!I9=0,0,11630*1000*SER_hh_fec!I9/SER_hh_num!I9)</f>
        <v>230710.58181994045</v>
      </c>
      <c r="J9" s="133">
        <f>IF(SER_hh_fec!J9=0,0,11630*1000*SER_hh_fec!J9/SER_hh_num!J9)</f>
        <v>224898.25775749679</v>
      </c>
      <c r="K9" s="133">
        <f>IF(SER_hh_fec!K9=0,0,11630*1000*SER_hh_fec!K9/SER_hh_num!K9)</f>
        <v>250514.85170613514</v>
      </c>
      <c r="L9" s="133">
        <f>IF(SER_hh_fec!L9=0,0,11630*1000*SER_hh_fec!L9/SER_hh_num!L9)</f>
        <v>266502.35338069784</v>
      </c>
      <c r="M9" s="133">
        <f>IF(SER_hh_fec!M9=0,0,11630*1000*SER_hh_fec!M9/SER_hh_num!M9)</f>
        <v>252133.4812317625</v>
      </c>
      <c r="N9" s="133">
        <f>IF(SER_hh_fec!N9=0,0,11630*1000*SER_hh_fec!N9/SER_hh_num!N9)</f>
        <v>178155.81599547615</v>
      </c>
      <c r="O9" s="133">
        <f>IF(SER_hh_fec!O9=0,0,11630*1000*SER_hh_fec!O9/SER_hh_num!O9)</f>
        <v>172495.59911835589</v>
      </c>
      <c r="P9" s="133">
        <f>IF(SER_hh_fec!P9=0,0,11630*1000*SER_hh_fec!P9/SER_hh_num!P9)</f>
        <v>140715.76283840576</v>
      </c>
      <c r="Q9" s="133">
        <f>IF(SER_hh_fec!Q9=0,0,11630*1000*SER_hh_fec!Q9/SER_hh_num!Q9)</f>
        <v>149257.36371761633</v>
      </c>
      <c r="R9" s="133">
        <f>IF(SER_hh_fec!R9=0,0,11630*1000*SER_hh_fec!R9/SER_hh_num!R9)</f>
        <v>148618.44104533957</v>
      </c>
      <c r="S9" s="133">
        <f>IF(SER_hh_fec!S9=0,0,11630*1000*SER_hh_fec!S9/SER_hh_num!S9)</f>
        <v>143611.14949557872</v>
      </c>
      <c r="T9" s="133">
        <f>IF(SER_hh_fec!T9=0,0,11630*1000*SER_hh_fec!T9/SER_hh_num!T9)</f>
        <v>134362.30055401113</v>
      </c>
      <c r="U9" s="133">
        <f>IF(SER_hh_fec!U9=0,0,11630*1000*SER_hh_fec!U9/SER_hh_num!U9)</f>
        <v>128700.93769365324</v>
      </c>
      <c r="V9" s="133">
        <f>IF(SER_hh_fec!V9=0,0,11630*1000*SER_hh_fec!V9/SER_hh_num!V9)</f>
        <v>130964.76788976368</v>
      </c>
      <c r="W9" s="133">
        <f>IF(SER_hh_fec!W9=0,0,11630*1000*SER_hh_fec!W9/SER_hh_num!W9)</f>
        <v>135507.76375427953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393524.4307862756</v>
      </c>
      <c r="C10" s="133">
        <f>IF(SER_hh_fec!C10=0,0,11630*1000*SER_hh_fec!C10/SER_hh_num!C10)</f>
        <v>337087.96423734777</v>
      </c>
      <c r="D10" s="133">
        <f>IF(SER_hh_fec!D10=0,0,11630*1000*SER_hh_fec!D10/SER_hh_num!D10)</f>
        <v>358922.88042995677</v>
      </c>
      <c r="E10" s="133">
        <f>IF(SER_hh_fec!E10=0,0,11630*1000*SER_hh_fec!E10/SER_hh_num!E10)</f>
        <v>433068.75557041954</v>
      </c>
      <c r="F10" s="133">
        <f>IF(SER_hh_fec!F10=0,0,11630*1000*SER_hh_fec!F10/SER_hh_num!F10)</f>
        <v>417168.33274781209</v>
      </c>
      <c r="G10" s="133">
        <f>IF(SER_hh_fec!G10=0,0,11630*1000*SER_hh_fec!G10/SER_hh_num!G10)</f>
        <v>312382.16366312717</v>
      </c>
      <c r="H10" s="133">
        <f>IF(SER_hh_fec!H10=0,0,11630*1000*SER_hh_fec!H10/SER_hh_num!H10)</f>
        <v>323285.43129853101</v>
      </c>
      <c r="I10" s="133">
        <f>IF(SER_hh_fec!I10=0,0,11630*1000*SER_hh_fec!I10/SER_hh_num!I10)</f>
        <v>289974.32880724547</v>
      </c>
      <c r="J10" s="133">
        <f>IF(SER_hh_fec!J10=0,0,11630*1000*SER_hh_fec!J10/SER_hh_num!J10)</f>
        <v>278387.39679383551</v>
      </c>
      <c r="K10" s="133">
        <f>IF(SER_hh_fec!K10=0,0,11630*1000*SER_hh_fec!K10/SER_hh_num!K10)</f>
        <v>294629.92738772585</v>
      </c>
      <c r="L10" s="133">
        <f>IF(SER_hh_fec!L10=0,0,11630*1000*SER_hh_fec!L10/SER_hh_num!L10)</f>
        <v>298669.63910696394</v>
      </c>
      <c r="M10" s="133">
        <f>IF(SER_hh_fec!M10=0,0,11630*1000*SER_hh_fec!M10/SER_hh_num!M10)</f>
        <v>277368.89795665053</v>
      </c>
      <c r="N10" s="133">
        <f>IF(SER_hh_fec!N10=0,0,11630*1000*SER_hh_fec!N10/SER_hh_num!N10)</f>
        <v>225708.03232226361</v>
      </c>
      <c r="O10" s="133">
        <f>IF(SER_hh_fec!O10=0,0,11630*1000*SER_hh_fec!O10/SER_hh_num!O10)</f>
        <v>202216.42991815595</v>
      </c>
      <c r="P10" s="133">
        <f>IF(SER_hh_fec!P10=0,0,11630*1000*SER_hh_fec!P10/SER_hh_num!P10)</f>
        <v>163183.47453825083</v>
      </c>
      <c r="Q10" s="133">
        <f>IF(SER_hh_fec!Q10=0,0,11630*1000*SER_hh_fec!Q10/SER_hh_num!Q10)</f>
        <v>197096.55769606834</v>
      </c>
      <c r="R10" s="133">
        <f>IF(SER_hh_fec!R10=0,0,11630*1000*SER_hh_fec!R10/SER_hh_num!R10)</f>
        <v>176032.26648039604</v>
      </c>
      <c r="S10" s="133">
        <f>IF(SER_hh_fec!S10=0,0,11630*1000*SER_hh_fec!S10/SER_hh_num!S10)</f>
        <v>179272.37480274044</v>
      </c>
      <c r="T10" s="133">
        <f>IF(SER_hh_fec!T10=0,0,11630*1000*SER_hh_fec!T10/SER_hh_num!T10)</f>
        <v>167086.1293714795</v>
      </c>
      <c r="U10" s="133">
        <f>IF(SER_hh_fec!U10=0,0,11630*1000*SER_hh_fec!U10/SER_hh_num!U10)</f>
        <v>184947.30591601352</v>
      </c>
      <c r="V10" s="133">
        <f>IF(SER_hh_fec!V10=0,0,11630*1000*SER_hh_fec!V10/SER_hh_num!V10)</f>
        <v>173103.77002066287</v>
      </c>
      <c r="W10" s="133">
        <f>IF(SER_hh_fec!W10=0,0,11630*1000*SER_hh_fec!W10/SER_hh_num!W10)</f>
        <v>164062.71051902283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235664.3485561756</v>
      </c>
      <c r="C11" s="133">
        <f>IF(SER_hh_fec!C11=0,0,11630*1000*SER_hh_fec!C11/SER_hh_num!C11)</f>
        <v>230806.41584557516</v>
      </c>
      <c r="D11" s="133">
        <f>IF(SER_hh_fec!D11=0,0,11630*1000*SER_hh_fec!D11/SER_hh_num!D11)</f>
        <v>227245.3389238065</v>
      </c>
      <c r="E11" s="133">
        <f>IF(SER_hh_fec!E11=0,0,11630*1000*SER_hh_fec!E11/SER_hh_num!E11)</f>
        <v>234364.12472379301</v>
      </c>
      <c r="F11" s="133">
        <f>IF(SER_hh_fec!F11=0,0,11630*1000*SER_hh_fec!F11/SER_hh_num!F11)</f>
        <v>224590.11957054291</v>
      </c>
      <c r="G11" s="133">
        <f>IF(SER_hh_fec!G11=0,0,11630*1000*SER_hh_fec!G11/SER_hh_num!G11)</f>
        <v>221298.07837461444</v>
      </c>
      <c r="H11" s="133">
        <f>IF(SER_hh_fec!H11=0,0,11630*1000*SER_hh_fec!H11/SER_hh_num!H11)</f>
        <v>203427.04492439391</v>
      </c>
      <c r="I11" s="133">
        <f>IF(SER_hh_fec!I11=0,0,11630*1000*SER_hh_fec!I11/SER_hh_num!I11)</f>
        <v>179650.21887250477</v>
      </c>
      <c r="J11" s="133">
        <f>IF(SER_hh_fec!J11=0,0,11630*1000*SER_hh_fec!J11/SER_hh_num!J11)</f>
        <v>187713.41642119619</v>
      </c>
      <c r="K11" s="133">
        <f>IF(SER_hh_fec!K11=0,0,11630*1000*SER_hh_fec!K11/SER_hh_num!K11)</f>
        <v>190754.12680552853</v>
      </c>
      <c r="L11" s="133">
        <f>IF(SER_hh_fec!L11=0,0,11630*1000*SER_hh_fec!L11/SER_hh_num!L11)</f>
        <v>186095.1452948683</v>
      </c>
      <c r="M11" s="133">
        <f>IF(SER_hh_fec!M11=0,0,11630*1000*SER_hh_fec!M11/SER_hh_num!M11)</f>
        <v>185433.11397198294</v>
      </c>
      <c r="N11" s="133">
        <f>IF(SER_hh_fec!N11=0,0,11630*1000*SER_hh_fec!N11/SER_hh_num!N11)</f>
        <v>178973.59705931845</v>
      </c>
      <c r="O11" s="133">
        <f>IF(SER_hh_fec!O11=0,0,11630*1000*SER_hh_fec!O11/SER_hh_num!O11)</f>
        <v>190258.03661211452</v>
      </c>
      <c r="P11" s="133">
        <f>IF(SER_hh_fec!P11=0,0,11630*1000*SER_hh_fec!P11/SER_hh_num!P11)</f>
        <v>73068.26624956615</v>
      </c>
      <c r="Q11" s="133">
        <f>IF(SER_hh_fec!Q11=0,0,11630*1000*SER_hh_fec!Q11/SER_hh_num!Q11)</f>
        <v>93106.830554948014</v>
      </c>
      <c r="R11" s="133">
        <f>IF(SER_hh_fec!R11=0,0,11630*1000*SER_hh_fec!R11/SER_hh_num!R11)</f>
        <v>102756.44681915022</v>
      </c>
      <c r="S11" s="133">
        <f>IF(SER_hh_fec!S11=0,0,11630*1000*SER_hh_fec!S11/SER_hh_num!S11)</f>
        <v>130077.94693985654</v>
      </c>
      <c r="T11" s="133">
        <f>IF(SER_hh_fec!T11=0,0,11630*1000*SER_hh_fec!T11/SER_hh_num!T11)</f>
        <v>117215.96954953762</v>
      </c>
      <c r="U11" s="133">
        <f>IF(SER_hh_fec!U11=0,0,11630*1000*SER_hh_fec!U11/SER_hh_num!U11)</f>
        <v>118619.77818939456</v>
      </c>
      <c r="V11" s="133">
        <f>IF(SER_hh_fec!V11=0,0,11630*1000*SER_hh_fec!V11/SER_hh_num!V11)</f>
        <v>104889.05625480782</v>
      </c>
      <c r="W11" s="133">
        <f>IF(SER_hh_fec!W11=0,0,11630*1000*SER_hh_fec!W11/SER_hh_num!W11)</f>
        <v>130415.18597522452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217028.95426380826</v>
      </c>
      <c r="C12" s="133">
        <f>IF(SER_hh_fec!C12=0,0,11630*1000*SER_hh_fec!C12/SER_hh_num!C12)</f>
        <v>243312.8961509513</v>
      </c>
      <c r="D12" s="133">
        <f>IF(SER_hh_fec!D12=0,0,11630*1000*SER_hh_fec!D12/SER_hh_num!D12)</f>
        <v>206706.66215868157</v>
      </c>
      <c r="E12" s="133">
        <f>IF(SER_hh_fec!E12=0,0,11630*1000*SER_hh_fec!E12/SER_hh_num!E12)</f>
        <v>230464.23412911754</v>
      </c>
      <c r="F12" s="133">
        <f>IF(SER_hh_fec!F12=0,0,11630*1000*SER_hh_fec!F12/SER_hh_num!F12)</f>
        <v>202997.06767367446</v>
      </c>
      <c r="G12" s="133">
        <f>IF(SER_hh_fec!G12=0,0,11630*1000*SER_hh_fec!G12/SER_hh_num!G12)</f>
        <v>235201.86969060038</v>
      </c>
      <c r="H12" s="133">
        <f>IF(SER_hh_fec!H12=0,0,11630*1000*SER_hh_fec!H12/SER_hh_num!H12)</f>
        <v>188962.09204064263</v>
      </c>
      <c r="I12" s="133">
        <f>IF(SER_hh_fec!I12=0,0,11630*1000*SER_hh_fec!I12/SER_hh_num!I12)</f>
        <v>178186.11572500403</v>
      </c>
      <c r="J12" s="133">
        <f>IF(SER_hh_fec!J12=0,0,11630*1000*SER_hh_fec!J12/SER_hh_num!J12)</f>
        <v>192020.87196928184</v>
      </c>
      <c r="K12" s="133">
        <f>IF(SER_hh_fec!K12=0,0,11630*1000*SER_hh_fec!K12/SER_hh_num!K12)</f>
        <v>184279.89397467009</v>
      </c>
      <c r="L12" s="133">
        <f>IF(SER_hh_fec!L12=0,0,11630*1000*SER_hh_fec!L12/SER_hh_num!L12)</f>
        <v>196293.79339593151</v>
      </c>
      <c r="M12" s="133">
        <f>IF(SER_hh_fec!M12=0,0,11630*1000*SER_hh_fec!M12/SER_hh_num!M12)</f>
        <v>195195.87418342746</v>
      </c>
      <c r="N12" s="133">
        <f>IF(SER_hh_fec!N12=0,0,11630*1000*SER_hh_fec!N12/SER_hh_num!N12)</f>
        <v>135236.0889319611</v>
      </c>
      <c r="O12" s="133">
        <f>IF(SER_hh_fec!O12=0,0,11630*1000*SER_hh_fec!O12/SER_hh_num!O12)</f>
        <v>126421.43832883213</v>
      </c>
      <c r="P12" s="133">
        <f>IF(SER_hh_fec!P12=0,0,11630*1000*SER_hh_fec!P12/SER_hh_num!P12)</f>
        <v>107446.86095876718</v>
      </c>
      <c r="Q12" s="133">
        <f>IF(SER_hh_fec!Q12=0,0,11630*1000*SER_hh_fec!Q12/SER_hh_num!Q12)</f>
        <v>123334.97622028235</v>
      </c>
      <c r="R12" s="133">
        <f>IF(SER_hh_fec!R12=0,0,11630*1000*SER_hh_fec!R12/SER_hh_num!R12)</f>
        <v>126001.29384793494</v>
      </c>
      <c r="S12" s="133">
        <f>IF(SER_hh_fec!S12=0,0,11630*1000*SER_hh_fec!S12/SER_hh_num!S12)</f>
        <v>122246.21582659455</v>
      </c>
      <c r="T12" s="133">
        <f>IF(SER_hh_fec!T12=0,0,11630*1000*SER_hh_fec!T12/SER_hh_num!T12)</f>
        <v>114446.22267016029</v>
      </c>
      <c r="U12" s="133">
        <f>IF(SER_hh_fec!U12=0,0,11630*1000*SER_hh_fec!U12/SER_hh_num!U12)</f>
        <v>109757.51977061767</v>
      </c>
      <c r="V12" s="133">
        <f>IF(SER_hh_fec!V12=0,0,11630*1000*SER_hh_fec!V12/SER_hh_num!V12)</f>
        <v>110562.96672359925</v>
      </c>
      <c r="W12" s="133">
        <f>IF(SER_hh_fec!W12=0,0,11630*1000*SER_hh_fec!W12/SER_hh_num!W12)</f>
        <v>117337.44324587508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122128.75723668774</v>
      </c>
      <c r="C13" s="133">
        <f>IF(SER_hh_fec!C13=0,0,11630*1000*SER_hh_fec!C13/SER_hh_num!C13)</f>
        <v>131123.0189481159</v>
      </c>
      <c r="D13" s="133">
        <f>IF(SER_hh_fec!D13=0,0,11630*1000*SER_hh_fec!D13/SER_hh_num!D13)</f>
        <v>111897.0809729266</v>
      </c>
      <c r="E13" s="133">
        <f>IF(SER_hh_fec!E13=0,0,11630*1000*SER_hh_fec!E13/SER_hh_num!E13)</f>
        <v>83732.908347043194</v>
      </c>
      <c r="F13" s="133">
        <f>IF(SER_hh_fec!F13=0,0,11630*1000*SER_hh_fec!F13/SER_hh_num!F13)</f>
        <v>89955.206012152412</v>
      </c>
      <c r="G13" s="133">
        <f>IF(SER_hh_fec!G13=0,0,11630*1000*SER_hh_fec!G13/SER_hh_num!G13)</f>
        <v>85377.816813588113</v>
      </c>
      <c r="H13" s="133">
        <f>IF(SER_hh_fec!H13=0,0,11630*1000*SER_hh_fec!H13/SER_hh_num!H13)</f>
        <v>73151.63656291143</v>
      </c>
      <c r="I13" s="133">
        <f>IF(SER_hh_fec!I13=0,0,11630*1000*SER_hh_fec!I13/SER_hh_num!I13)</f>
        <v>79397.288268506818</v>
      </c>
      <c r="J13" s="133">
        <f>IF(SER_hh_fec!J13=0,0,11630*1000*SER_hh_fec!J13/SER_hh_num!J13)</f>
        <v>68829.615015183401</v>
      </c>
      <c r="K13" s="133">
        <f>IF(SER_hh_fec!K13=0,0,11630*1000*SER_hh_fec!K13/SER_hh_num!K13)</f>
        <v>73483.866450073299</v>
      </c>
      <c r="L13" s="133">
        <f>IF(SER_hh_fec!L13=0,0,11630*1000*SER_hh_fec!L13/SER_hh_num!L13)</f>
        <v>58035.582922522692</v>
      </c>
      <c r="M13" s="133">
        <f>IF(SER_hh_fec!M13=0,0,11630*1000*SER_hh_fec!M13/SER_hh_num!M13)</f>
        <v>40871.902718011806</v>
      </c>
      <c r="N13" s="133">
        <f>IF(SER_hh_fec!N13=0,0,11630*1000*SER_hh_fec!N13/SER_hh_num!N13)</f>
        <v>39532.745134530036</v>
      </c>
      <c r="O13" s="133">
        <f>IF(SER_hh_fec!O13=0,0,11630*1000*SER_hh_fec!O13/SER_hh_num!O13)</f>
        <v>38358.209535218615</v>
      </c>
      <c r="P13" s="133">
        <f>IF(SER_hh_fec!P13=0,0,11630*1000*SER_hh_fec!P13/SER_hh_num!P13)</f>
        <v>40927.061945903122</v>
      </c>
      <c r="Q13" s="133">
        <f>IF(SER_hh_fec!Q13=0,0,11630*1000*SER_hh_fec!Q13/SER_hh_num!Q13)</f>
        <v>32039.531371859601</v>
      </c>
      <c r="R13" s="133">
        <f>IF(SER_hh_fec!R13=0,0,11630*1000*SER_hh_fec!R13/SER_hh_num!R13)</f>
        <v>28804.959268791637</v>
      </c>
      <c r="S13" s="133">
        <f>IF(SER_hh_fec!S13=0,0,11630*1000*SER_hh_fec!S13/SER_hh_num!S13)</f>
        <v>26416.940891174352</v>
      </c>
      <c r="T13" s="133">
        <f>IF(SER_hh_fec!T13=0,0,11630*1000*SER_hh_fec!T13/SER_hh_num!T13)</f>
        <v>27884.654441120347</v>
      </c>
      <c r="U13" s="133">
        <f>IF(SER_hh_fec!U13=0,0,11630*1000*SER_hh_fec!U13/SER_hh_num!U13)</f>
        <v>24846.713699963046</v>
      </c>
      <c r="V13" s="133">
        <f>IF(SER_hh_fec!V13=0,0,11630*1000*SER_hh_fec!V13/SER_hh_num!V13)</f>
        <v>32430.666921687676</v>
      </c>
      <c r="W13" s="133">
        <f>IF(SER_hh_fec!W13=0,0,11630*1000*SER_hh_fec!W13/SER_hh_num!W13)</f>
        <v>22329.533265887174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258470.36268592204</v>
      </c>
      <c r="C14" s="65">
        <f>IF(SER_hh_fec!C14=0,0,11630*1000*SER_hh_fec!C14/SER_hh_num!C14)</f>
        <v>264539.56106590596</v>
      </c>
      <c r="D14" s="65">
        <f>IF(SER_hh_fec!D14=0,0,11630*1000*SER_hh_fec!D14/SER_hh_num!D14)</f>
        <v>237233.05073597745</v>
      </c>
      <c r="E14" s="65">
        <f>IF(SER_hh_fec!E14=0,0,11630*1000*SER_hh_fec!E14/SER_hh_num!E14)</f>
        <v>206410.57287859835</v>
      </c>
      <c r="F14" s="65">
        <f>IF(SER_hh_fec!F14=0,0,11630*1000*SER_hh_fec!F14/SER_hh_num!F14)</f>
        <v>230540.66698166056</v>
      </c>
      <c r="G14" s="65">
        <f>IF(SER_hh_fec!G14=0,0,11630*1000*SER_hh_fec!G14/SER_hh_num!G14)</f>
        <v>253678.93822389364</v>
      </c>
      <c r="H14" s="65">
        <f>IF(SER_hh_fec!H14=0,0,11630*1000*SER_hh_fec!H14/SER_hh_num!H14)</f>
        <v>217239.73531594567</v>
      </c>
      <c r="I14" s="65">
        <f>IF(SER_hh_fec!I14=0,0,11630*1000*SER_hh_fec!I14/SER_hh_num!I14)</f>
        <v>207388.87186829449</v>
      </c>
      <c r="J14" s="65">
        <f>IF(SER_hh_fec!J14=0,0,11630*1000*SER_hh_fec!J14/SER_hh_num!J14)</f>
        <v>190349.11920176723</v>
      </c>
      <c r="K14" s="65">
        <f>IF(SER_hh_fec!K14=0,0,11630*1000*SER_hh_fec!K14/SER_hh_num!K14)</f>
        <v>212311.47712070591</v>
      </c>
      <c r="L14" s="65">
        <f>IF(SER_hh_fec!L14=0,0,11630*1000*SER_hh_fec!L14/SER_hh_num!L14)</f>
        <v>232950.51876579039</v>
      </c>
      <c r="M14" s="65">
        <f>IF(SER_hh_fec!M14=0,0,11630*1000*SER_hh_fec!M14/SER_hh_num!M14)</f>
        <v>291105.68976751337</v>
      </c>
      <c r="N14" s="65">
        <f>IF(SER_hh_fec!N14=0,0,11630*1000*SER_hh_fec!N14/SER_hh_num!N14)</f>
        <v>70702.529839009236</v>
      </c>
      <c r="O14" s="65">
        <f>IF(SER_hh_fec!O14=0,0,11630*1000*SER_hh_fec!O14/SER_hh_num!O14)</f>
        <v>90987.210950930879</v>
      </c>
      <c r="P14" s="65">
        <f>IF(SER_hh_fec!P14=0,0,11630*1000*SER_hh_fec!P14/SER_hh_num!P14)</f>
        <v>125832.06356263575</v>
      </c>
      <c r="Q14" s="65">
        <f>IF(SER_hh_fec!Q14=0,0,11630*1000*SER_hh_fec!Q14/SER_hh_num!Q14)</f>
        <v>133112.32283447622</v>
      </c>
      <c r="R14" s="65">
        <f>IF(SER_hh_fec!R14=0,0,11630*1000*SER_hh_fec!R14/SER_hh_num!R14)</f>
        <v>128347.09227047897</v>
      </c>
      <c r="S14" s="65">
        <f>IF(SER_hh_fec!S14=0,0,11630*1000*SER_hh_fec!S14/SER_hh_num!S14)</f>
        <v>126152.81549560168</v>
      </c>
      <c r="T14" s="65">
        <f>IF(SER_hh_fec!T14=0,0,11630*1000*SER_hh_fec!T14/SER_hh_num!T14)</f>
        <v>128783.79256438094</v>
      </c>
      <c r="U14" s="65">
        <f>IF(SER_hh_fec!U14=0,0,11630*1000*SER_hh_fec!U14/SER_hh_num!U14)</f>
        <v>126235.53527346169</v>
      </c>
      <c r="V14" s="65">
        <f>IF(SER_hh_fec!V14=0,0,11630*1000*SER_hh_fec!V14/SER_hh_num!V14)</f>
        <v>115862.07136026979</v>
      </c>
      <c r="W14" s="65">
        <f>IF(SER_hh_fec!W14=0,0,11630*1000*SER_hh_fec!W14/SER_hh_num!W14)</f>
        <v>119414.96781220597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2777.0153023415642</v>
      </c>
      <c r="C15" s="135">
        <f>IF(SER_hh_fec!C15=0,0,11630*1000*SER_hh_fec!C15/SER_hh_num!C15)</f>
        <v>2900.8767940685984</v>
      </c>
      <c r="D15" s="135">
        <f>IF(SER_hh_fec!D15=0,0,11630*1000*SER_hh_fec!D15/SER_hh_num!D15)</f>
        <v>2537.3668666573226</v>
      </c>
      <c r="E15" s="135">
        <f>IF(SER_hh_fec!E15=0,0,11630*1000*SER_hh_fec!E15/SER_hh_num!E15)</f>
        <v>2562.0482451899393</v>
      </c>
      <c r="F15" s="135">
        <f>IF(SER_hh_fec!F15=0,0,11630*1000*SER_hh_fec!F15/SER_hh_num!F15)</f>
        <v>3153.5733865129441</v>
      </c>
      <c r="G15" s="135">
        <f>IF(SER_hh_fec!G15=0,0,11630*1000*SER_hh_fec!G15/SER_hh_num!G15)</f>
        <v>2963.2648497267392</v>
      </c>
      <c r="H15" s="135">
        <f>IF(SER_hh_fec!H15=0,0,11630*1000*SER_hh_fec!H15/SER_hh_num!H15)</f>
        <v>2532.8218348749979</v>
      </c>
      <c r="I15" s="135">
        <f>IF(SER_hh_fec!I15=0,0,11630*1000*SER_hh_fec!I15/SER_hh_num!I15)</f>
        <v>1936.7652554783094</v>
      </c>
      <c r="J15" s="135">
        <f>IF(SER_hh_fec!J15=0,0,11630*1000*SER_hh_fec!J15/SER_hh_num!J15)</f>
        <v>1861.9919892390753</v>
      </c>
      <c r="K15" s="135">
        <f>IF(SER_hh_fec!K15=0,0,11630*1000*SER_hh_fec!K15/SER_hh_num!K15)</f>
        <v>2065.9088209924867</v>
      </c>
      <c r="L15" s="135">
        <f>IF(SER_hh_fec!L15=0,0,11630*1000*SER_hh_fec!L15/SER_hh_num!L15)</f>
        <v>2244.2524607368218</v>
      </c>
      <c r="M15" s="135">
        <f>IF(SER_hh_fec!M15=0,0,11630*1000*SER_hh_fec!M15/SER_hh_num!M15)</f>
        <v>2189.7791766294554</v>
      </c>
      <c r="N15" s="135">
        <f>IF(SER_hh_fec!N15=0,0,11630*1000*SER_hh_fec!N15/SER_hh_num!N15)</f>
        <v>1608.5580229132108</v>
      </c>
      <c r="O15" s="135">
        <f>IF(SER_hh_fec!O15=0,0,11630*1000*SER_hh_fec!O15/SER_hh_num!O15)</f>
        <v>1577.3588611324576</v>
      </c>
      <c r="P15" s="135">
        <f>IF(SER_hh_fec!P15=0,0,11630*1000*SER_hh_fec!P15/SER_hh_num!P15)</f>
        <v>1294.0361890045929</v>
      </c>
      <c r="Q15" s="135">
        <f>IF(SER_hh_fec!Q15=0,0,11630*1000*SER_hh_fec!Q15/SER_hh_num!Q15)</f>
        <v>1379.5822853771322</v>
      </c>
      <c r="R15" s="135">
        <f>IF(SER_hh_fec!R15=0,0,11630*1000*SER_hh_fec!R15/SER_hh_num!R15)</f>
        <v>1372.80543539008</v>
      </c>
      <c r="S15" s="135">
        <f>IF(SER_hh_fec!S15=0,0,11630*1000*SER_hh_fec!S15/SER_hh_num!S15)</f>
        <v>1326.209441345813</v>
      </c>
      <c r="T15" s="135">
        <f>IF(SER_hh_fec!T15=0,0,11630*1000*SER_hh_fec!T15/SER_hh_num!T15)</f>
        <v>1256.5657044808911</v>
      </c>
      <c r="U15" s="135">
        <f>IF(SER_hh_fec!U15=0,0,11630*1000*SER_hh_fec!U15/SER_hh_num!U15)</f>
        <v>1214.5044982895188</v>
      </c>
      <c r="V15" s="135">
        <f>IF(SER_hh_fec!V15=0,0,11630*1000*SER_hh_fec!V15/SER_hh_num!V15)</f>
        <v>1248.838361115811</v>
      </c>
      <c r="W15" s="135">
        <f>IF(SER_hh_fec!W15=0,0,11630*1000*SER_hh_fec!W15/SER_hh_num!W15)</f>
        <v>1311.3605974477343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12614.775726178679</v>
      </c>
      <c r="C16" s="131">
        <f>IF(SER_hh_fec!C16=0,0,11630*1000*SER_hh_fec!C16/SER_hh_num!C16)</f>
        <v>11161.438095323358</v>
      </c>
      <c r="D16" s="131">
        <f>IF(SER_hh_fec!D16=0,0,11630*1000*SER_hh_fec!D16/SER_hh_num!D16)</f>
        <v>11340.456063117086</v>
      </c>
      <c r="E16" s="131">
        <f>IF(SER_hh_fec!E16=0,0,11630*1000*SER_hh_fec!E16/SER_hh_num!E16)</f>
        <v>12505.9750165603</v>
      </c>
      <c r="F16" s="131">
        <f>IF(SER_hh_fec!F16=0,0,11630*1000*SER_hh_fec!F16/SER_hh_num!F16)</f>
        <v>9582.9539449216791</v>
      </c>
      <c r="G16" s="131">
        <f>IF(SER_hh_fec!G16=0,0,11630*1000*SER_hh_fec!G16/SER_hh_num!G16)</f>
        <v>9193.312020596959</v>
      </c>
      <c r="H16" s="131">
        <f>IF(SER_hh_fec!H16=0,0,11630*1000*SER_hh_fec!H16/SER_hh_num!H16)</f>
        <v>9724.8473231520693</v>
      </c>
      <c r="I16" s="131">
        <f>IF(SER_hh_fec!I16=0,0,11630*1000*SER_hh_fec!I16/SER_hh_num!I16)</f>
        <v>10134.090759814466</v>
      </c>
      <c r="J16" s="131">
        <f>IF(SER_hh_fec!J16=0,0,11630*1000*SER_hh_fec!J16/SER_hh_num!J16)</f>
        <v>8266.5584154785702</v>
      </c>
      <c r="K16" s="131">
        <f>IF(SER_hh_fec!K16=0,0,11630*1000*SER_hh_fec!K16/SER_hh_num!K16)</f>
        <v>8261.4039640834308</v>
      </c>
      <c r="L16" s="131">
        <f>IF(SER_hh_fec!L16=0,0,11630*1000*SER_hh_fec!L16/SER_hh_num!L16)</f>
        <v>8544.6566326814645</v>
      </c>
      <c r="M16" s="131">
        <f>IF(SER_hh_fec!M16=0,0,11630*1000*SER_hh_fec!M16/SER_hh_num!M16)</f>
        <v>8253.5709394549867</v>
      </c>
      <c r="N16" s="131">
        <f>IF(SER_hh_fec!N16=0,0,11630*1000*SER_hh_fec!N16/SER_hh_num!N16)</f>
        <v>10245.789351702893</v>
      </c>
      <c r="O16" s="131">
        <f>IF(SER_hh_fec!O16=0,0,11630*1000*SER_hh_fec!O16/SER_hh_num!O16)</f>
        <v>8251.1534414629768</v>
      </c>
      <c r="P16" s="131">
        <f>IF(SER_hh_fec!P16=0,0,11630*1000*SER_hh_fec!P16/SER_hh_num!P16)</f>
        <v>7115.8821294871877</v>
      </c>
      <c r="Q16" s="131">
        <f>IF(SER_hh_fec!Q16=0,0,11630*1000*SER_hh_fec!Q16/SER_hh_num!Q16)</f>
        <v>10054.980107140977</v>
      </c>
      <c r="R16" s="131">
        <f>IF(SER_hh_fec!R16=0,0,11630*1000*SER_hh_fec!R16/SER_hh_num!R16)</f>
        <v>6844.1372674395989</v>
      </c>
      <c r="S16" s="131">
        <f>IF(SER_hh_fec!S16=0,0,11630*1000*SER_hh_fec!S16/SER_hh_num!S16)</f>
        <v>8014.7628759673089</v>
      </c>
      <c r="T16" s="131">
        <f>IF(SER_hh_fec!T16=0,0,11630*1000*SER_hh_fec!T16/SER_hh_num!T16)</f>
        <v>7428.9886689324558</v>
      </c>
      <c r="U16" s="131">
        <f>IF(SER_hh_fec!U16=0,0,11630*1000*SER_hh_fec!U16/SER_hh_num!U16)</f>
        <v>7780.9938331979674</v>
      </c>
      <c r="V16" s="131">
        <f>IF(SER_hh_fec!V16=0,0,11630*1000*SER_hh_fec!V16/SER_hh_num!V16)</f>
        <v>6354.6485616150094</v>
      </c>
      <c r="W16" s="131">
        <f>IF(SER_hh_fec!W16=0,0,11630*1000*SER_hh_fec!W16/SER_hh_num!W16)</f>
        <v>7858.8153570110308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17835.19523016351</v>
      </c>
      <c r="C17" s="133">
        <f>IF(SER_hh_fec!C17=0,0,11630*1000*SER_hh_fec!C17/SER_hh_num!C17)</f>
        <v>16253.812419695932</v>
      </c>
      <c r="D17" s="133">
        <f>IF(SER_hh_fec!D17=0,0,11630*1000*SER_hh_fec!D17/SER_hh_num!D17)</f>
        <v>17128.599331356319</v>
      </c>
      <c r="E17" s="133">
        <f>IF(SER_hh_fec!E17=0,0,11630*1000*SER_hh_fec!E17/SER_hh_num!E17)</f>
        <v>19609.012852779408</v>
      </c>
      <c r="F17" s="133">
        <f>IF(SER_hh_fec!F17=0,0,11630*1000*SER_hh_fec!F17/SER_hh_num!F17)</f>
        <v>15686.183250574966</v>
      </c>
      <c r="G17" s="133">
        <f>IF(SER_hh_fec!G17=0,0,11630*1000*SER_hh_fec!G17/SER_hh_num!G17)</f>
        <v>15681.68850351348</v>
      </c>
      <c r="H17" s="133">
        <f>IF(SER_hh_fec!H17=0,0,11630*1000*SER_hh_fec!H17/SER_hh_num!H17)</f>
        <v>17381.668284622203</v>
      </c>
      <c r="I17" s="133">
        <f>IF(SER_hh_fec!I17=0,0,11630*1000*SER_hh_fec!I17/SER_hh_num!I17)</f>
        <v>19011.375106126841</v>
      </c>
      <c r="J17" s="133">
        <f>IF(SER_hh_fec!J17=0,0,11630*1000*SER_hh_fec!J17/SER_hh_num!J17)</f>
        <v>16322.677055594642</v>
      </c>
      <c r="K17" s="133">
        <f>IF(SER_hh_fec!K17=0,0,11630*1000*SER_hh_fec!K17/SER_hh_num!K17)</f>
        <v>16541.701037893454</v>
      </c>
      <c r="L17" s="133">
        <f>IF(SER_hh_fec!L17=0,0,11630*1000*SER_hh_fec!L17/SER_hh_num!L17)</f>
        <v>17437.260709296825</v>
      </c>
      <c r="M17" s="133">
        <f>IF(SER_hh_fec!M17=0,0,11630*1000*SER_hh_fec!M17/SER_hh_num!M17)</f>
        <v>17263.673268396687</v>
      </c>
      <c r="N17" s="133">
        <f>IF(SER_hh_fec!N17=0,0,11630*1000*SER_hh_fec!N17/SER_hh_num!N17)</f>
        <v>21996.932782993579</v>
      </c>
      <c r="O17" s="133">
        <f>IF(SER_hh_fec!O17=0,0,11630*1000*SER_hh_fec!O17/SER_hh_num!O17)</f>
        <v>18132.947771922507</v>
      </c>
      <c r="P17" s="133">
        <f>IF(SER_hh_fec!P17=0,0,11630*1000*SER_hh_fec!P17/SER_hh_num!P17)</f>
        <v>16064.811378559858</v>
      </c>
      <c r="Q17" s="133">
        <f>IF(SER_hh_fec!Q17=0,0,11630*1000*SER_hh_fec!Q17/SER_hh_num!Q17)</f>
        <v>23211.812442996768</v>
      </c>
      <c r="R17" s="133">
        <f>IF(SER_hh_fec!R17=0,0,11630*1000*SER_hh_fec!R17/SER_hh_num!R17)</f>
        <v>16153.35908372196</v>
      </c>
      <c r="S17" s="133">
        <f>IF(SER_hh_fec!S17=0,0,11630*1000*SER_hh_fec!S17/SER_hh_num!S17)</f>
        <v>19148.410750519401</v>
      </c>
      <c r="T17" s="133">
        <f>IF(SER_hh_fec!T17=0,0,11630*1000*SER_hh_fec!T17/SER_hh_num!T17)</f>
        <v>17995.33321831674</v>
      </c>
      <c r="U17" s="133">
        <f>IF(SER_hh_fec!U17=0,0,11630*1000*SER_hh_fec!U17/SER_hh_num!U17)</f>
        <v>18816.646266100939</v>
      </c>
      <c r="V17" s="133">
        <f>IF(SER_hh_fec!V17=0,0,11630*1000*SER_hh_fec!V17/SER_hh_num!V17)</f>
        <v>13082.546330143688</v>
      </c>
      <c r="W17" s="133">
        <f>IF(SER_hh_fec!W17=0,0,11630*1000*SER_hh_fec!W17/SER_hh_num!W17)</f>
        <v>16400.50366099643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12600.33308769251</v>
      </c>
      <c r="C18" s="133">
        <f>IF(SER_hh_fec!C18=0,0,11630*1000*SER_hh_fec!C18/SER_hh_num!C18)</f>
        <v>11146.163801134862</v>
      </c>
      <c r="D18" s="133">
        <f>IF(SER_hh_fec!D18=0,0,11630*1000*SER_hh_fec!D18/SER_hh_num!D18)</f>
        <v>11321.171302810581</v>
      </c>
      <c r="E18" s="133">
        <f>IF(SER_hh_fec!E18=0,0,11630*1000*SER_hh_fec!E18/SER_hh_num!E18)</f>
        <v>12480.8180077815</v>
      </c>
      <c r="F18" s="133">
        <f>IF(SER_hh_fec!F18=0,0,11630*1000*SER_hh_fec!F18/SER_hh_num!F18)</f>
        <v>9562.5001466395042</v>
      </c>
      <c r="G18" s="133">
        <f>IF(SER_hh_fec!G18=0,0,11630*1000*SER_hh_fec!G18/SER_hh_num!G18)</f>
        <v>9170.9546251242391</v>
      </c>
      <c r="H18" s="133">
        <f>IF(SER_hh_fec!H18=0,0,11630*1000*SER_hh_fec!H18/SER_hh_num!H18)</f>
        <v>9696.6325967699249</v>
      </c>
      <c r="I18" s="133">
        <f>IF(SER_hh_fec!I18=0,0,11630*1000*SER_hh_fec!I18/SER_hh_num!I18)</f>
        <v>10099.791359446615</v>
      </c>
      <c r="J18" s="133">
        <f>IF(SER_hh_fec!J18=0,0,11630*1000*SER_hh_fec!J18/SER_hh_num!J18)</f>
        <v>8236.2327116193846</v>
      </c>
      <c r="K18" s="133">
        <f>IF(SER_hh_fec!K18=0,0,11630*1000*SER_hh_fec!K18/SER_hh_num!K18)</f>
        <v>8228.9518976638174</v>
      </c>
      <c r="L18" s="133">
        <f>IF(SER_hh_fec!L18=0,0,11630*1000*SER_hh_fec!L18/SER_hh_num!L18)</f>
        <v>8506.1858265879109</v>
      </c>
      <c r="M18" s="133">
        <f>IF(SER_hh_fec!M18=0,0,11630*1000*SER_hh_fec!M18/SER_hh_num!M18)</f>
        <v>8210.5540054142493</v>
      </c>
      <c r="N18" s="133">
        <f>IF(SER_hh_fec!N18=0,0,11630*1000*SER_hh_fec!N18/SER_hh_num!N18)</f>
        <v>10183.463728333585</v>
      </c>
      <c r="O18" s="133">
        <f>IF(SER_hh_fec!O18=0,0,11630*1000*SER_hh_fec!O18/SER_hh_num!O18)</f>
        <v>8193.6390601183939</v>
      </c>
      <c r="P18" s="133">
        <f>IF(SER_hh_fec!P18=0,0,11630*1000*SER_hh_fec!P18/SER_hh_num!P18)</f>
        <v>7061.6697813504188</v>
      </c>
      <c r="Q18" s="133">
        <f>IF(SER_hh_fec!Q18=0,0,11630*1000*SER_hh_fec!Q18/SER_hh_num!Q18)</f>
        <v>9969.1681479410108</v>
      </c>
      <c r="R18" s="133">
        <f>IF(SER_hh_fec!R18=0,0,11630*1000*SER_hh_fec!R18/SER_hh_num!R18)</f>
        <v>6780.1652208571531</v>
      </c>
      <c r="S18" s="133">
        <f>IF(SER_hh_fec!S18=0,0,11630*1000*SER_hh_fec!S18/SER_hh_num!S18)</f>
        <v>7926.9866601608619</v>
      </c>
      <c r="T18" s="133">
        <f>IF(SER_hh_fec!T18=0,0,11630*1000*SER_hh_fec!T18/SER_hh_num!T18)</f>
        <v>7340.6927178473916</v>
      </c>
      <c r="U18" s="133">
        <f>IF(SER_hh_fec!U18=0,0,11630*1000*SER_hh_fec!U18/SER_hh_num!U18)</f>
        <v>7672.5041832073239</v>
      </c>
      <c r="V18" s="133">
        <f>IF(SER_hh_fec!V18=0,0,11630*1000*SER_hh_fec!V18/SER_hh_num!V18)</f>
        <v>6279.2789522872836</v>
      </c>
      <c r="W18" s="133">
        <f>IF(SER_hh_fec!W18=0,0,11630*1000*SER_hh_fec!W18/SER_hh_num!W18)</f>
        <v>7760.3325967642195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27605.306686215761</v>
      </c>
      <c r="C19" s="131">
        <f>IF(SER_hh_fec!C19=0,0,11630*1000*SER_hh_fec!C19/SER_hh_num!C19)</f>
        <v>27492.983780699316</v>
      </c>
      <c r="D19" s="131">
        <f>IF(SER_hh_fec!D19=0,0,11630*1000*SER_hh_fec!D19/SER_hh_num!D19)</f>
        <v>27761.626469397354</v>
      </c>
      <c r="E19" s="131">
        <f>IF(SER_hh_fec!E19=0,0,11630*1000*SER_hh_fec!E19/SER_hh_num!E19)</f>
        <v>27313.375825759555</v>
      </c>
      <c r="F19" s="131">
        <f>IF(SER_hh_fec!F19=0,0,11630*1000*SER_hh_fec!F19/SER_hh_num!F19)</f>
        <v>27685.879813452204</v>
      </c>
      <c r="G19" s="131">
        <f>IF(SER_hh_fec!G19=0,0,11630*1000*SER_hh_fec!G19/SER_hh_num!G19)</f>
        <v>27151.099232361026</v>
      </c>
      <c r="H19" s="131">
        <f>IF(SER_hh_fec!H19=0,0,11630*1000*SER_hh_fec!H19/SER_hh_num!H19)</f>
        <v>26919.53569033157</v>
      </c>
      <c r="I19" s="131">
        <f>IF(SER_hh_fec!I19=0,0,11630*1000*SER_hh_fec!I19/SER_hh_num!I19)</f>
        <v>26627.100802537632</v>
      </c>
      <c r="J19" s="131">
        <f>IF(SER_hh_fec!J19=0,0,11630*1000*SER_hh_fec!J19/SER_hh_num!J19)</f>
        <v>26883.383095140205</v>
      </c>
      <c r="K19" s="131">
        <f>IF(SER_hh_fec!K19=0,0,11630*1000*SER_hh_fec!K19/SER_hh_num!K19)</f>
        <v>27122.731457478469</v>
      </c>
      <c r="L19" s="131">
        <f>IF(SER_hh_fec!L19=0,0,11630*1000*SER_hh_fec!L19/SER_hh_num!L19)</f>
        <v>26958.019004874957</v>
      </c>
      <c r="M19" s="131">
        <f>IF(SER_hh_fec!M19=0,0,11630*1000*SER_hh_fec!M19/SER_hh_num!M19)</f>
        <v>26781.612175382947</v>
      </c>
      <c r="N19" s="131">
        <f>IF(SER_hh_fec!N19=0,0,11630*1000*SER_hh_fec!N19/SER_hh_num!N19)</f>
        <v>26600.603401413136</v>
      </c>
      <c r="O19" s="131">
        <f>IF(SER_hh_fec!O19=0,0,11630*1000*SER_hh_fec!O19/SER_hh_num!O19)</f>
        <v>26251.913712288049</v>
      </c>
      <c r="P19" s="131">
        <f>IF(SER_hh_fec!P19=0,0,11630*1000*SER_hh_fec!P19/SER_hh_num!P19)</f>
        <v>25451.930730155036</v>
      </c>
      <c r="Q19" s="131">
        <f>IF(SER_hh_fec!Q19=0,0,11630*1000*SER_hh_fec!Q19/SER_hh_num!Q19)</f>
        <v>25282.964627648042</v>
      </c>
      <c r="R19" s="131">
        <f>IF(SER_hh_fec!R19=0,0,11630*1000*SER_hh_fec!R19/SER_hh_num!R19)</f>
        <v>25085.804829717224</v>
      </c>
      <c r="S19" s="131">
        <f>IF(SER_hh_fec!S19=0,0,11630*1000*SER_hh_fec!S19/SER_hh_num!S19)</f>
        <v>24543.02685699016</v>
      </c>
      <c r="T19" s="131">
        <f>IF(SER_hh_fec!T19=0,0,11630*1000*SER_hh_fec!T19/SER_hh_num!T19)</f>
        <v>24223.484231671748</v>
      </c>
      <c r="U19" s="131">
        <f>IF(SER_hh_fec!U19=0,0,11630*1000*SER_hh_fec!U19/SER_hh_num!U19)</f>
        <v>23372.672598394514</v>
      </c>
      <c r="V19" s="131">
        <f>IF(SER_hh_fec!V19=0,0,11630*1000*SER_hh_fec!V19/SER_hh_num!V19)</f>
        <v>20892.679450048727</v>
      </c>
      <c r="W19" s="131">
        <f>IF(SER_hh_fec!W19=0,0,11630*1000*SER_hh_fec!W19/SER_hh_num!W19)</f>
        <v>21084.523988027824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0</v>
      </c>
      <c r="C22" s="133">
        <f>IF(SER_hh_fec!C22=0,0,11630*1000*SER_hh_fec!C22/SER_hh_num!C22)</f>
        <v>0</v>
      </c>
      <c r="D22" s="133">
        <f>IF(SER_hh_fec!D22=0,0,11630*1000*SER_hh_fec!D22/SER_hh_num!D22)</f>
        <v>0</v>
      </c>
      <c r="E22" s="133">
        <f>IF(SER_hh_fec!E22=0,0,11630*1000*SER_hh_fec!E22/SER_hh_num!E22)</f>
        <v>0</v>
      </c>
      <c r="F22" s="133">
        <f>IF(SER_hh_fec!F22=0,0,11630*1000*SER_hh_fec!F22/SER_hh_num!F22)</f>
        <v>0</v>
      </c>
      <c r="G22" s="133">
        <f>IF(SER_hh_fec!G22=0,0,11630*1000*SER_hh_fec!G22/SER_hh_num!G22)</f>
        <v>0</v>
      </c>
      <c r="H22" s="133">
        <f>IF(SER_hh_fec!H22=0,0,11630*1000*SER_hh_fec!H22/SER_hh_num!H22)</f>
        <v>0</v>
      </c>
      <c r="I22" s="133">
        <f>IF(SER_hh_fec!I22=0,0,11630*1000*SER_hh_fec!I22/SER_hh_num!I22)</f>
        <v>0</v>
      </c>
      <c r="J22" s="133">
        <f>IF(SER_hh_fec!J22=0,0,11630*1000*SER_hh_fec!J22/SER_hh_num!J22)</f>
        <v>0</v>
      </c>
      <c r="K22" s="133">
        <f>IF(SER_hh_fec!K22=0,0,11630*1000*SER_hh_fec!K22/SER_hh_num!K22)</f>
        <v>0</v>
      </c>
      <c r="L22" s="133">
        <f>IF(SER_hh_fec!L22=0,0,11630*1000*SER_hh_fec!L22/SER_hh_num!L22)</f>
        <v>0</v>
      </c>
      <c r="M22" s="133">
        <f>IF(SER_hh_fec!M22=0,0,11630*1000*SER_hh_fec!M22/SER_hh_num!M22)</f>
        <v>0</v>
      </c>
      <c r="N22" s="133">
        <f>IF(SER_hh_fec!N22=0,0,11630*1000*SER_hh_fec!N22/SER_hh_num!N22)</f>
        <v>0</v>
      </c>
      <c r="O22" s="133">
        <f>IF(SER_hh_fec!O22=0,0,11630*1000*SER_hh_fec!O22/SER_hh_num!O22)</f>
        <v>0</v>
      </c>
      <c r="P22" s="133">
        <f>IF(SER_hh_fec!P22=0,0,11630*1000*SER_hh_fec!P22/SER_hh_num!P22)</f>
        <v>0</v>
      </c>
      <c r="Q22" s="133">
        <f>IF(SER_hh_fec!Q22=0,0,11630*1000*SER_hh_fec!Q22/SER_hh_num!Q22)</f>
        <v>0</v>
      </c>
      <c r="R22" s="133">
        <f>IF(SER_hh_fec!R22=0,0,11630*1000*SER_hh_fec!R22/SER_hh_num!R22)</f>
        <v>0</v>
      </c>
      <c r="S22" s="133">
        <f>IF(SER_hh_fec!S22=0,0,11630*1000*SER_hh_fec!S22/SER_hh_num!S22)</f>
        <v>0</v>
      </c>
      <c r="T22" s="133">
        <f>IF(SER_hh_fec!T22=0,0,11630*1000*SER_hh_fec!T22/SER_hh_num!T22)</f>
        <v>0</v>
      </c>
      <c r="U22" s="133">
        <f>IF(SER_hh_fec!U22=0,0,11630*1000*SER_hh_fec!U22/SER_hh_num!U22)</f>
        <v>0</v>
      </c>
      <c r="V22" s="133">
        <f>IF(SER_hh_fec!V22=0,0,11630*1000*SER_hh_fec!V22/SER_hh_num!V22)</f>
        <v>0</v>
      </c>
      <c r="W22" s="133">
        <f>IF(SER_hh_fec!W22=0,0,11630*1000*SER_hh_fec!W22/SER_hh_num!W22)</f>
        <v>0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31398.011464783573</v>
      </c>
      <c r="C23" s="133">
        <f>IF(SER_hh_fec!C23=0,0,11630*1000*SER_hh_fec!C23/SER_hh_num!C23)</f>
        <v>31263.59429793022</v>
      </c>
      <c r="D23" s="133">
        <f>IF(SER_hh_fec!D23=0,0,11630*1000*SER_hh_fec!D23/SER_hh_num!D23)</f>
        <v>31304.95098111339</v>
      </c>
      <c r="E23" s="133">
        <f>IF(SER_hh_fec!E23=0,0,11630*1000*SER_hh_fec!E23/SER_hh_num!E23)</f>
        <v>31109.05988945068</v>
      </c>
      <c r="F23" s="133">
        <f>IF(SER_hh_fec!F23=0,0,11630*1000*SER_hh_fec!F23/SER_hh_num!F23)</f>
        <v>31454.083927744923</v>
      </c>
      <c r="G23" s="133">
        <f>IF(SER_hh_fec!G23=0,0,11630*1000*SER_hh_fec!G23/SER_hh_num!G23)</f>
        <v>30080.660584471621</v>
      </c>
      <c r="H23" s="133">
        <f>IF(SER_hh_fec!H23=0,0,11630*1000*SER_hh_fec!H23/SER_hh_num!H23)</f>
        <v>29115.288427698695</v>
      </c>
      <c r="I23" s="133">
        <f>IF(SER_hh_fec!I23=0,0,11630*1000*SER_hh_fec!I23/SER_hh_num!I23)</f>
        <v>28656.006391293391</v>
      </c>
      <c r="J23" s="133">
        <f>IF(SER_hh_fec!J23=0,0,11630*1000*SER_hh_fec!J23/SER_hh_num!J23)</f>
        <v>28992.52183956336</v>
      </c>
      <c r="K23" s="133">
        <f>IF(SER_hh_fec!K23=0,0,11630*1000*SER_hh_fec!K23/SER_hh_num!K23)</f>
        <v>29611.683772982287</v>
      </c>
      <c r="L23" s="133">
        <f>IF(SER_hh_fec!L23=0,0,11630*1000*SER_hh_fec!L23/SER_hh_num!L23)</f>
        <v>29203.648869469227</v>
      </c>
      <c r="M23" s="133">
        <f>IF(SER_hh_fec!M23=0,0,11630*1000*SER_hh_fec!M23/SER_hh_num!M23)</f>
        <v>28170.319554439819</v>
      </c>
      <c r="N23" s="133">
        <f>IF(SER_hh_fec!N23=0,0,11630*1000*SER_hh_fec!N23/SER_hh_num!N23)</f>
        <v>27360.88083866247</v>
      </c>
      <c r="O23" s="133">
        <f>IF(SER_hh_fec!O23=0,0,11630*1000*SER_hh_fec!O23/SER_hh_num!O23)</f>
        <v>28319.418580055517</v>
      </c>
      <c r="P23" s="133">
        <f>IF(SER_hh_fec!P23=0,0,11630*1000*SER_hh_fec!P23/SER_hh_num!P23)</f>
        <v>26908.18882537484</v>
      </c>
      <c r="Q23" s="133">
        <f>IF(SER_hh_fec!Q23=0,0,11630*1000*SER_hh_fec!Q23/SER_hh_num!Q23)</f>
        <v>26640.175236741059</v>
      </c>
      <c r="R23" s="133">
        <f>IF(SER_hh_fec!R23=0,0,11630*1000*SER_hh_fec!R23/SER_hh_num!R23)</f>
        <v>26438.269605803762</v>
      </c>
      <c r="S23" s="133">
        <f>IF(SER_hh_fec!S23=0,0,11630*1000*SER_hh_fec!S23/SER_hh_num!S23)</f>
        <v>25870.25826605484</v>
      </c>
      <c r="T23" s="133">
        <f>IF(SER_hh_fec!T23=0,0,11630*1000*SER_hh_fec!T23/SER_hh_num!T23)</f>
        <v>25713.299888405993</v>
      </c>
      <c r="U23" s="133">
        <f>IF(SER_hh_fec!U23=0,0,11630*1000*SER_hh_fec!U23/SER_hh_num!U23)</f>
        <v>24462.625524418279</v>
      </c>
      <c r="V23" s="133">
        <f>IF(SER_hh_fec!V23=0,0,11630*1000*SER_hh_fec!V23/SER_hh_num!V23)</f>
        <v>22056.918765456448</v>
      </c>
      <c r="W23" s="133">
        <f>IF(SER_hh_fec!W23=0,0,11630*1000*SER_hh_fec!W23/SER_hh_num!W23)</f>
        <v>21684.334961111832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33441.263620761718</v>
      </c>
      <c r="O24" s="133">
        <f>IF(SER_hh_fec!O24=0,0,11630*1000*SER_hh_fec!O24/SER_hh_num!O24)</f>
        <v>26134.666042079447</v>
      </c>
      <c r="P24" s="133">
        <f>IF(SER_hh_fec!P24=0,0,11630*1000*SER_hh_fec!P24/SER_hh_num!P24)</f>
        <v>23665.257013541854</v>
      </c>
      <c r="Q24" s="133">
        <f>IF(SER_hh_fec!Q24=0,0,11630*1000*SER_hh_fec!Q24/SER_hh_num!Q24)</f>
        <v>23308.144199045153</v>
      </c>
      <c r="R24" s="133">
        <f>IF(SER_hh_fec!R24=0,0,11630*1000*SER_hh_fec!R24/SER_hh_num!R24)</f>
        <v>23199.585810337474</v>
      </c>
      <c r="S24" s="133">
        <f>IF(SER_hh_fec!S24=0,0,11630*1000*SER_hh_fec!S24/SER_hh_num!S24)</f>
        <v>23328.104834078906</v>
      </c>
      <c r="T24" s="133">
        <f>IF(SER_hh_fec!T24=0,0,11630*1000*SER_hh_fec!T24/SER_hh_num!T24)</f>
        <v>22995.921895221149</v>
      </c>
      <c r="U24" s="133">
        <f>IF(SER_hh_fec!U24=0,0,11630*1000*SER_hh_fec!U24/SER_hh_num!U24)</f>
        <v>23213.493024190455</v>
      </c>
      <c r="V24" s="133">
        <f>IF(SER_hh_fec!V24=0,0,11630*1000*SER_hh_fec!V24/SER_hh_num!V24)</f>
        <v>21935.310868738041</v>
      </c>
      <c r="W24" s="133">
        <f>IF(SER_hh_fec!W24=0,0,11630*1000*SER_hh_fec!W24/SER_hh_num!W24)</f>
        <v>20433.790427237869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21133.460815424627</v>
      </c>
      <c r="C25" s="133">
        <f>IF(SER_hh_fec!C25=0,0,11630*1000*SER_hh_fec!C25/SER_hh_num!C25)</f>
        <v>21101.949318573083</v>
      </c>
      <c r="D25" s="133">
        <f>IF(SER_hh_fec!D25=0,0,11630*1000*SER_hh_fec!D25/SER_hh_num!D25)</f>
        <v>21092.827297097032</v>
      </c>
      <c r="E25" s="133">
        <f>IF(SER_hh_fec!E25=0,0,11630*1000*SER_hh_fec!E25/SER_hh_num!E25)</f>
        <v>20904.988455350187</v>
      </c>
      <c r="F25" s="133">
        <f>IF(SER_hh_fec!F25=0,0,11630*1000*SER_hh_fec!F25/SER_hh_num!F25)</f>
        <v>20776.738507766222</v>
      </c>
      <c r="G25" s="133">
        <f>IF(SER_hh_fec!G25=0,0,11630*1000*SER_hh_fec!G25/SER_hh_num!G25)</f>
        <v>21307.603846526479</v>
      </c>
      <c r="H25" s="133">
        <f>IF(SER_hh_fec!H25=0,0,11630*1000*SER_hh_fec!H25/SER_hh_num!H25)</f>
        <v>20888.375494853895</v>
      </c>
      <c r="I25" s="133">
        <f>IF(SER_hh_fec!I25=0,0,11630*1000*SER_hh_fec!I25/SER_hh_num!I25)</f>
        <v>20638.995011248022</v>
      </c>
      <c r="J25" s="133">
        <f>IF(SER_hh_fec!J25=0,0,11630*1000*SER_hh_fec!J25/SER_hh_num!J25)</f>
        <v>21336.687118327245</v>
      </c>
      <c r="K25" s="133">
        <f>IF(SER_hh_fec!K25=0,0,11630*1000*SER_hh_fec!K25/SER_hh_num!K25)</f>
        <v>21330.673664790345</v>
      </c>
      <c r="L25" s="133">
        <f>IF(SER_hh_fec!L25=0,0,11630*1000*SER_hh_fec!L25/SER_hh_num!L25)</f>
        <v>21262.18160454019</v>
      </c>
      <c r="M25" s="133">
        <f>IF(SER_hh_fec!M25=0,0,11630*1000*SER_hh_fec!M25/SER_hh_num!M25)</f>
        <v>21245.669707631292</v>
      </c>
      <c r="N25" s="133">
        <f>IF(SER_hh_fec!N25=0,0,11630*1000*SER_hh_fec!N25/SER_hh_num!N25)</f>
        <v>21512.986594662911</v>
      </c>
      <c r="O25" s="133">
        <f>IF(SER_hh_fec!O25=0,0,11630*1000*SER_hh_fec!O25/SER_hh_num!O25)</f>
        <v>20942.115457718661</v>
      </c>
      <c r="P25" s="133">
        <f>IF(SER_hh_fec!P25=0,0,11630*1000*SER_hh_fec!P25/SER_hh_num!P25)</f>
        <v>20576.91503274065</v>
      </c>
      <c r="Q25" s="133">
        <f>IF(SER_hh_fec!Q25=0,0,11630*1000*SER_hh_fec!Q25/SER_hh_num!Q25)</f>
        <v>20774.0680552208</v>
      </c>
      <c r="R25" s="133">
        <f>IF(SER_hh_fec!R25=0,0,11630*1000*SER_hh_fec!R25/SER_hh_num!R25)</f>
        <v>20659.259991149931</v>
      </c>
      <c r="S25" s="133">
        <f>IF(SER_hh_fec!S25=0,0,11630*1000*SER_hh_fec!S25/SER_hh_num!S25)</f>
        <v>20639.965538187931</v>
      </c>
      <c r="T25" s="133">
        <f>IF(SER_hh_fec!T25=0,0,11630*1000*SER_hh_fec!T25/SER_hh_num!T25)</f>
        <v>20465.4098663736</v>
      </c>
      <c r="U25" s="133">
        <f>IF(SER_hh_fec!U25=0,0,11630*1000*SER_hh_fec!U25/SER_hh_num!U25)</f>
        <v>20922.303925569588</v>
      </c>
      <c r="V25" s="133">
        <f>IF(SER_hh_fec!V25=0,0,11630*1000*SER_hh_fec!V25/SER_hh_num!V25)</f>
        <v>17947.092306320126</v>
      </c>
      <c r="W25" s="133">
        <f>IF(SER_hh_fec!W25=0,0,11630*1000*SER_hh_fec!W25/SER_hh_num!W25)</f>
        <v>18940.055429210512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25767.401951638582</v>
      </c>
      <c r="C26" s="65">
        <f>IF(SER_hh_fec!C26=0,0,11630*1000*SER_hh_fec!C26/SER_hh_num!C26)</f>
        <v>25635.08008759427</v>
      </c>
      <c r="D26" s="65">
        <f>IF(SER_hh_fec!D26=0,0,11630*1000*SER_hh_fec!D26/SER_hh_num!D26)</f>
        <v>26010.445915986889</v>
      </c>
      <c r="E26" s="65">
        <f>IF(SER_hh_fec!E26=0,0,11630*1000*SER_hh_fec!E26/SER_hh_num!E26)</f>
        <v>25197.092681623028</v>
      </c>
      <c r="F26" s="65">
        <f>IF(SER_hh_fec!F26=0,0,11630*1000*SER_hh_fec!F26/SER_hh_num!F26)</f>
        <v>25543.710609006081</v>
      </c>
      <c r="G26" s="65">
        <f>IF(SER_hh_fec!G26=0,0,11630*1000*SER_hh_fec!G26/SER_hh_num!G26)</f>
        <v>25537.718194634141</v>
      </c>
      <c r="H26" s="65">
        <f>IF(SER_hh_fec!H26=0,0,11630*1000*SER_hh_fec!H26/SER_hh_num!H26)</f>
        <v>26005.377952583123</v>
      </c>
      <c r="I26" s="65">
        <f>IF(SER_hh_fec!I26=0,0,11630*1000*SER_hh_fec!I26/SER_hh_num!I26)</f>
        <v>25743.274749484244</v>
      </c>
      <c r="J26" s="65">
        <f>IF(SER_hh_fec!J26=0,0,11630*1000*SER_hh_fec!J26/SER_hh_num!J26)</f>
        <v>25681.751824368013</v>
      </c>
      <c r="K26" s="65">
        <f>IF(SER_hh_fec!K26=0,0,11630*1000*SER_hh_fec!K26/SER_hh_num!K26)</f>
        <v>25259.632593708731</v>
      </c>
      <c r="L26" s="65">
        <f>IF(SER_hh_fec!L26=0,0,11630*1000*SER_hh_fec!L26/SER_hh_num!L26)</f>
        <v>25193.276252266929</v>
      </c>
      <c r="M26" s="65">
        <f>IF(SER_hh_fec!M26=0,0,11630*1000*SER_hh_fec!M26/SER_hh_num!M26)</f>
        <v>26220.629521580649</v>
      </c>
      <c r="N26" s="65">
        <f>IF(SER_hh_fec!N26=0,0,11630*1000*SER_hh_fec!N26/SER_hh_num!N26)</f>
        <v>26610.075259636596</v>
      </c>
      <c r="O26" s="65">
        <f>IF(SER_hh_fec!O26=0,0,11630*1000*SER_hh_fec!O26/SER_hh_num!O26)</f>
        <v>23803.742395576715</v>
      </c>
      <c r="P26" s="65">
        <f>IF(SER_hh_fec!P26=0,0,11630*1000*SER_hh_fec!P26/SER_hh_num!P26)</f>
        <v>24083.139561380973</v>
      </c>
      <c r="Q26" s="65">
        <f>IF(SER_hh_fec!Q26=0,0,11630*1000*SER_hh_fec!Q26/SER_hh_num!Q26)</f>
        <v>24006.356926778561</v>
      </c>
      <c r="R26" s="65">
        <f>IF(SER_hh_fec!R26=0,0,11630*1000*SER_hh_fec!R26/SER_hh_num!R26)</f>
        <v>23779.311399084781</v>
      </c>
      <c r="S26" s="65">
        <f>IF(SER_hh_fec!S26=0,0,11630*1000*SER_hh_fec!S26/SER_hh_num!S26)</f>
        <v>22963.327489556323</v>
      </c>
      <c r="T26" s="65">
        <f>IF(SER_hh_fec!T26=0,0,11630*1000*SER_hh_fec!T26/SER_hh_num!T26)</f>
        <v>22093.247516756088</v>
      </c>
      <c r="U26" s="65">
        <f>IF(SER_hh_fec!U26=0,0,11630*1000*SER_hh_fec!U26/SER_hh_num!U26)</f>
        <v>21578.178090063575</v>
      </c>
      <c r="V26" s="65">
        <f>IF(SER_hh_fec!V26=0,0,11630*1000*SER_hh_fec!V26/SER_hh_num!V26)</f>
        <v>18998.320360292546</v>
      </c>
      <c r="W26" s="65">
        <f>IF(SER_hh_fec!W26=0,0,11630*1000*SER_hh_fec!W26/SER_hh_num!W26)</f>
        <v>20424.631229508515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2.9029491243213181</v>
      </c>
      <c r="H27" s="146">
        <f>IF(SER_hh_fec!H27=0,0,11630*1000*SER_hh_fec!H27/SER_hh_num!H19)</f>
        <v>5.7270370321469724</v>
      </c>
      <c r="I27" s="146">
        <f>IF(SER_hh_fec!I27=0,0,11630*1000*SER_hh_fec!I27/SER_hh_num!I19)</f>
        <v>8.4159731513657867</v>
      </c>
      <c r="J27" s="146">
        <f>IF(SER_hh_fec!J27=0,0,11630*1000*SER_hh_fec!J27/SER_hh_num!J19)</f>
        <v>11.289769153996264</v>
      </c>
      <c r="K27" s="146">
        <f>IF(SER_hh_fec!K27=0,0,11630*1000*SER_hh_fec!K27/SER_hh_num!K19)</f>
        <v>14.175354811408329</v>
      </c>
      <c r="L27" s="146">
        <f>IF(SER_hh_fec!L27=0,0,11630*1000*SER_hh_fec!L27/SER_hh_num!L19)</f>
        <v>19.834646330246951</v>
      </c>
      <c r="M27" s="146">
        <f>IF(SER_hh_fec!M27=0,0,11630*1000*SER_hh_fec!M27/SER_hh_num!M19)</f>
        <v>22.57127603477787</v>
      </c>
      <c r="N27" s="146">
        <f>IF(SER_hh_fec!N27=0,0,11630*1000*SER_hh_fec!N27/SER_hh_num!N19)</f>
        <v>22.408727788660453</v>
      </c>
      <c r="O27" s="146">
        <f>IF(SER_hh_fec!O27=0,0,11630*1000*SER_hh_fec!O27/SER_hh_num!O19)</f>
        <v>22.175332329026585</v>
      </c>
      <c r="P27" s="146">
        <f>IF(SER_hh_fec!P27=0,0,11630*1000*SER_hh_fec!P27/SER_hh_num!P19)</f>
        <v>24.190039720877248</v>
      </c>
      <c r="Q27" s="146">
        <f>IF(SER_hh_fec!Q27=0,0,11630*1000*SER_hh_fec!Q27/SER_hh_num!Q19)</f>
        <v>24.172887115550186</v>
      </c>
      <c r="R27" s="146">
        <f>IF(SER_hh_fec!R27=0,0,11630*1000*SER_hh_fec!R27/SER_hh_num!R19)</f>
        <v>23.943068853812928</v>
      </c>
      <c r="S27" s="146">
        <f>IF(SER_hh_fec!S27=0,0,11630*1000*SER_hh_fec!S27/SER_hh_num!S19)</f>
        <v>26.23915677922243</v>
      </c>
      <c r="T27" s="146">
        <f>IF(SER_hh_fec!T27=0,0,11630*1000*SER_hh_fec!T27/SER_hh_num!T19)</f>
        <v>25.883764976284255</v>
      </c>
      <c r="U27" s="146">
        <f>IF(SER_hh_fec!U27=0,0,11630*1000*SER_hh_fec!U27/SER_hh_num!U19)</f>
        <v>28.147681672137708</v>
      </c>
      <c r="V27" s="146">
        <f>IF(SER_hh_fec!V27=0,0,11630*1000*SER_hh_fec!V27/SER_hh_num!V19)</f>
        <v>27.851512230584927</v>
      </c>
      <c r="W27" s="146">
        <f>IF(SER_hh_fec!W27=0,0,11630*1000*SER_hh_fec!W27/SER_hh_num!W19)</f>
        <v>27.574687827151589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13198.473147318855</v>
      </c>
      <c r="H28" s="147">
        <f>IF(SER_hh_fec!H27=0,0,11630*1000*SER_hh_fec!H27/SER_hh_num!H27)</f>
        <v>12053.704469176864</v>
      </c>
      <c r="I28" s="147">
        <f>IF(SER_hh_fec!I27=0,0,11630*1000*SER_hh_fec!I27/SER_hh_num!I27)</f>
        <v>12797.207547847276</v>
      </c>
      <c r="J28" s="147">
        <f>IF(SER_hh_fec!J27=0,0,11630*1000*SER_hh_fec!J27/SER_hh_num!J27)</f>
        <v>12452.001443353782</v>
      </c>
      <c r="K28" s="147">
        <f>IF(SER_hh_fec!K27=0,0,11630*1000*SER_hh_fec!K27/SER_hh_num!K27)</f>
        <v>12949.081352102859</v>
      </c>
      <c r="L28" s="147">
        <f>IF(SER_hh_fec!L27=0,0,11630*1000*SER_hh_fec!L27/SER_hh_num!L27)</f>
        <v>13090.824415191522</v>
      </c>
      <c r="M28" s="147">
        <f>IF(SER_hh_fec!M27=0,0,11630*1000*SER_hh_fec!M27/SER_hh_num!M27)</f>
        <v>12467.447316264235</v>
      </c>
      <c r="N28" s="147">
        <f>IF(SER_hh_fec!N27=0,0,11630*1000*SER_hh_fec!N27/SER_hh_num!N27)</f>
        <v>14128.940277112559</v>
      </c>
      <c r="O28" s="147">
        <f>IF(SER_hh_fec!O27=0,0,11630*1000*SER_hh_fec!O27/SER_hh_num!O27)</f>
        <v>13849.575542669463</v>
      </c>
      <c r="P28" s="147">
        <f>IF(SER_hh_fec!P27=0,0,11630*1000*SER_hh_fec!P27/SER_hh_num!P27)</f>
        <v>13544.042066137928</v>
      </c>
      <c r="Q28" s="147">
        <f>IF(SER_hh_fec!Q27=0,0,11630*1000*SER_hh_fec!Q27/SER_hh_num!Q27)</f>
        <v>12274.227459443871</v>
      </c>
      <c r="R28" s="147">
        <f>IF(SER_hh_fec!R27=0,0,11630*1000*SER_hh_fec!R27/SER_hh_num!R27)</f>
        <v>12593.637108600975</v>
      </c>
      <c r="S28" s="147">
        <f>IF(SER_hh_fec!S27=0,0,11630*1000*SER_hh_fec!S27/SER_hh_num!S27)</f>
        <v>12848.124747240725</v>
      </c>
      <c r="T28" s="147">
        <f>IF(SER_hh_fec!T27=0,0,11630*1000*SER_hh_fec!T27/SER_hh_num!T27)</f>
        <v>12843.200599706954</v>
      </c>
      <c r="U28" s="147">
        <f>IF(SER_hh_fec!U27=0,0,11630*1000*SER_hh_fec!U27/SER_hh_num!U27)</f>
        <v>12753.061013342305</v>
      </c>
      <c r="V28" s="147">
        <f>IF(SER_hh_fec!V27=0,0,11630*1000*SER_hh_fec!V27/SER_hh_num!V27)</f>
        <v>11361.902871316737</v>
      </c>
      <c r="W28" s="147">
        <f>IF(SER_hh_fec!W27=0,0,11630*1000*SER_hh_fec!W27/SER_hh_num!W27)</f>
        <v>12634.873797410206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26992.670221097873</v>
      </c>
      <c r="C29" s="131">
        <f>IF(SER_hh_fec!C29=0,0,11630*1000*SER_hh_fec!C29/SER_hh_num!C29)</f>
        <v>26900.261548824037</v>
      </c>
      <c r="D29" s="131">
        <f>IF(SER_hh_fec!D29=0,0,11630*1000*SER_hh_fec!D29/SER_hh_num!D29)</f>
        <v>26953.390860303502</v>
      </c>
      <c r="E29" s="131">
        <f>IF(SER_hh_fec!E29=0,0,11630*1000*SER_hh_fec!E29/SER_hh_num!E29)</f>
        <v>27021.275601913665</v>
      </c>
      <c r="F29" s="131">
        <f>IF(SER_hh_fec!F29=0,0,11630*1000*SER_hh_fec!F29/SER_hh_num!F29)</f>
        <v>26579.372567948954</v>
      </c>
      <c r="G29" s="131">
        <f>IF(SER_hh_fec!G29=0,0,11630*1000*SER_hh_fec!G29/SER_hh_num!G29)</f>
        <v>26638.778742708648</v>
      </c>
      <c r="H29" s="131">
        <f>IF(SER_hh_fec!H29=0,0,11630*1000*SER_hh_fec!H29/SER_hh_num!H29)</f>
        <v>26976.874924079391</v>
      </c>
      <c r="I29" s="131">
        <f>IF(SER_hh_fec!I29=0,0,11630*1000*SER_hh_fec!I29/SER_hh_num!I29)</f>
        <v>26512.763791085945</v>
      </c>
      <c r="J29" s="131">
        <f>IF(SER_hh_fec!J29=0,0,11630*1000*SER_hh_fec!J29/SER_hh_num!J29)</f>
        <v>26678.769269530454</v>
      </c>
      <c r="K29" s="131">
        <f>IF(SER_hh_fec!K29=0,0,11630*1000*SER_hh_fec!K29/SER_hh_num!K29)</f>
        <v>26934.101264321402</v>
      </c>
      <c r="L29" s="131">
        <f>IF(SER_hh_fec!L29=0,0,11630*1000*SER_hh_fec!L29/SER_hh_num!L29)</f>
        <v>27648.318110060507</v>
      </c>
      <c r="M29" s="131">
        <f>IF(SER_hh_fec!M29=0,0,11630*1000*SER_hh_fec!M29/SER_hh_num!M29)</f>
        <v>27597.997849718886</v>
      </c>
      <c r="N29" s="131">
        <f>IF(SER_hh_fec!N29=0,0,11630*1000*SER_hh_fec!N29/SER_hh_num!N29)</f>
        <v>27644.73238830527</v>
      </c>
      <c r="O29" s="131">
        <f>IF(SER_hh_fec!O29=0,0,11630*1000*SER_hh_fec!O29/SER_hh_num!O29)</f>
        <v>27442.924906900997</v>
      </c>
      <c r="P29" s="131">
        <f>IF(SER_hh_fec!P29=0,0,11630*1000*SER_hh_fec!P29/SER_hh_num!P29)</f>
        <v>26525.958867774967</v>
      </c>
      <c r="Q29" s="131">
        <f>IF(SER_hh_fec!Q29=0,0,11630*1000*SER_hh_fec!Q29/SER_hh_num!Q29)</f>
        <v>26539.969923249719</v>
      </c>
      <c r="R29" s="131">
        <f>IF(SER_hh_fec!R29=0,0,11630*1000*SER_hh_fec!R29/SER_hh_num!R29)</f>
        <v>25980.322350747345</v>
      </c>
      <c r="S29" s="131">
        <f>IF(SER_hh_fec!S29=0,0,11630*1000*SER_hh_fec!S29/SER_hh_num!S29)</f>
        <v>25380.66384367373</v>
      </c>
      <c r="T29" s="131">
        <f>IF(SER_hh_fec!T29=0,0,11630*1000*SER_hh_fec!T29/SER_hh_num!T29)</f>
        <v>25595.779220426863</v>
      </c>
      <c r="U29" s="131">
        <f>IF(SER_hh_fec!U29=0,0,11630*1000*SER_hh_fec!U29/SER_hh_num!U29)</f>
        <v>25190.931426757637</v>
      </c>
      <c r="V29" s="131">
        <f>IF(SER_hh_fec!V29=0,0,11630*1000*SER_hh_fec!V29/SER_hh_num!V29)</f>
        <v>23905.201798943683</v>
      </c>
      <c r="W29" s="131">
        <f>IF(SER_hh_fec!W29=0,0,11630*1000*SER_hh_fec!W29/SER_hh_num!W29)</f>
        <v>25072.72637188937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35317.182245380071</v>
      </c>
      <c r="C30" s="133">
        <f>IF(SER_hh_fec!C30=0,0,11630*1000*SER_hh_fec!C30/SER_hh_num!C30)</f>
        <v>30207.152102299282</v>
      </c>
      <c r="D30" s="133">
        <f>IF(SER_hh_fec!D30=0,0,11630*1000*SER_hh_fec!D30/SER_hh_num!D30)</f>
        <v>35298.568858342776</v>
      </c>
      <c r="E30" s="133">
        <f>IF(SER_hh_fec!E30=0,0,11630*1000*SER_hh_fec!E30/SER_hh_num!E30)</f>
        <v>36102.292707026536</v>
      </c>
      <c r="F30" s="133">
        <f>IF(SER_hh_fec!F30=0,0,11630*1000*SER_hh_fec!F30/SER_hh_num!F30)</f>
        <v>25202.565608410951</v>
      </c>
      <c r="G30" s="133">
        <f>IF(SER_hh_fec!G30=0,0,11630*1000*SER_hh_fec!G30/SER_hh_num!G30)</f>
        <v>31045.018946905057</v>
      </c>
      <c r="H30" s="133">
        <f>IF(SER_hh_fec!H30=0,0,11630*1000*SER_hh_fec!H30/SER_hh_num!H30)</f>
        <v>31305.760166763845</v>
      </c>
      <c r="I30" s="133">
        <f>IF(SER_hh_fec!I30=0,0,11630*1000*SER_hh_fec!I30/SER_hh_num!I30)</f>
        <v>32501.726811132274</v>
      </c>
      <c r="J30" s="133">
        <f>IF(SER_hh_fec!J30=0,0,11630*1000*SER_hh_fec!J30/SER_hh_num!J30)</f>
        <v>28527.670433004107</v>
      </c>
      <c r="K30" s="133">
        <f>IF(SER_hh_fec!K30=0,0,11630*1000*SER_hh_fec!K30/SER_hh_num!K30)</f>
        <v>29702.429477294292</v>
      </c>
      <c r="L30" s="133">
        <f>IF(SER_hh_fec!L30=0,0,11630*1000*SER_hh_fec!L30/SER_hh_num!L30)</f>
        <v>33993.953056109895</v>
      </c>
      <c r="M30" s="133">
        <f>IF(SER_hh_fec!M30=0,0,11630*1000*SER_hh_fec!M30/SER_hh_num!M30)</f>
        <v>31094.958640000485</v>
      </c>
      <c r="N30" s="133">
        <f>IF(SER_hh_fec!N30=0,0,11630*1000*SER_hh_fec!N30/SER_hh_num!N30)</f>
        <v>31947.848144956464</v>
      </c>
      <c r="O30" s="133">
        <f>IF(SER_hh_fec!O30=0,0,11630*1000*SER_hh_fec!O30/SER_hh_num!O30)</f>
        <v>26174.670643288788</v>
      </c>
      <c r="P30" s="133">
        <f>IF(SER_hh_fec!P30=0,0,11630*1000*SER_hh_fec!P30/SER_hh_num!P30)</f>
        <v>29011.8633504032</v>
      </c>
      <c r="Q30" s="133">
        <f>IF(SER_hh_fec!Q30=0,0,11630*1000*SER_hh_fec!Q30/SER_hh_num!Q30)</f>
        <v>34181.832033732615</v>
      </c>
      <c r="R30" s="133">
        <f>IF(SER_hh_fec!R30=0,0,11630*1000*SER_hh_fec!R30/SER_hh_num!R30)</f>
        <v>28187.323689236582</v>
      </c>
      <c r="S30" s="133">
        <f>IF(SER_hh_fec!S30=0,0,11630*1000*SER_hh_fec!S30/SER_hh_num!S30)</f>
        <v>24479.831063791225</v>
      </c>
      <c r="T30" s="133">
        <f>IF(SER_hh_fec!T30=0,0,11630*1000*SER_hh_fec!T30/SER_hh_num!T30)</f>
        <v>30079.117711455459</v>
      </c>
      <c r="U30" s="133">
        <f>IF(SER_hh_fec!U30=0,0,11630*1000*SER_hh_fec!U30/SER_hh_num!U30)</f>
        <v>26088.925920058813</v>
      </c>
      <c r="V30" s="133">
        <f>IF(SER_hh_fec!V30=0,0,11630*1000*SER_hh_fec!V30/SER_hh_num!V30)</f>
        <v>35863.684947650159</v>
      </c>
      <c r="W30" s="133">
        <f>IF(SER_hh_fec!W30=0,0,11630*1000*SER_hh_fec!W30/SER_hh_num!W30)</f>
        <v>24366.810256652949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23552.005503386845</v>
      </c>
      <c r="C31" s="133">
        <f>IF(SER_hh_fec!C31=0,0,11630*1000*SER_hh_fec!C31/SER_hh_num!C31)</f>
        <v>34728.719604174905</v>
      </c>
      <c r="D31" s="133">
        <f>IF(SER_hh_fec!D31=0,0,11630*1000*SER_hh_fec!D31/SER_hh_num!D31)</f>
        <v>28822.218758732932</v>
      </c>
      <c r="E31" s="133">
        <f>IF(SER_hh_fec!E31=0,0,11630*1000*SER_hh_fec!E31/SER_hh_num!E31)</f>
        <v>30268.132854866362</v>
      </c>
      <c r="F31" s="133">
        <f>IF(SER_hh_fec!F31=0,0,11630*1000*SER_hh_fec!F31/SER_hh_num!F31)</f>
        <v>32521.620474851934</v>
      </c>
      <c r="G31" s="133">
        <f>IF(SER_hh_fec!G31=0,0,11630*1000*SER_hh_fec!G31/SER_hh_num!G31)</f>
        <v>31074.18467809898</v>
      </c>
      <c r="H31" s="133">
        <f>IF(SER_hh_fec!H31=0,0,11630*1000*SER_hh_fec!H31/SER_hh_num!H31)</f>
        <v>31312.828778589515</v>
      </c>
      <c r="I31" s="133">
        <f>IF(SER_hh_fec!I31=0,0,11630*1000*SER_hh_fec!I31/SER_hh_num!I31)</f>
        <v>30648.179342422605</v>
      </c>
      <c r="J31" s="133">
        <f>IF(SER_hh_fec!J31=0,0,11630*1000*SER_hh_fec!J31/SER_hh_num!J31)</f>
        <v>30681.102391760236</v>
      </c>
      <c r="K31" s="133">
        <f>IF(SER_hh_fec!K31=0,0,11630*1000*SER_hh_fec!K31/SER_hh_num!K31)</f>
        <v>30447.585210468733</v>
      </c>
      <c r="L31" s="133">
        <f>IF(SER_hh_fec!L31=0,0,11630*1000*SER_hh_fec!L31/SER_hh_num!L31)</f>
        <v>30435.294493756413</v>
      </c>
      <c r="M31" s="133">
        <f>IF(SER_hh_fec!M31=0,0,11630*1000*SER_hh_fec!M31/SER_hh_num!M31)</f>
        <v>30734.689443976273</v>
      </c>
      <c r="N31" s="133">
        <f>IF(SER_hh_fec!N31=0,0,11630*1000*SER_hh_fec!N31/SER_hh_num!N31)</f>
        <v>30754.188471358244</v>
      </c>
      <c r="O31" s="133">
        <f>IF(SER_hh_fec!O31=0,0,11630*1000*SER_hh_fec!O31/SER_hh_num!O31)</f>
        <v>30962.906677518273</v>
      </c>
      <c r="P31" s="133">
        <f>IF(SER_hh_fec!P31=0,0,11630*1000*SER_hh_fec!P31/SER_hh_num!P31)</f>
        <v>30025.058280082943</v>
      </c>
      <c r="Q31" s="133">
        <f>IF(SER_hh_fec!Q31=0,0,11630*1000*SER_hh_fec!Q31/SER_hh_num!Q31)</f>
        <v>29159.894148881463</v>
      </c>
      <c r="R31" s="133">
        <f>IF(SER_hh_fec!R31=0,0,11630*1000*SER_hh_fec!R31/SER_hh_num!R31)</f>
        <v>28853.846571291928</v>
      </c>
      <c r="S31" s="133">
        <f>IF(SER_hh_fec!S31=0,0,11630*1000*SER_hh_fec!S31/SER_hh_num!S31)</f>
        <v>28613.489443584884</v>
      </c>
      <c r="T31" s="133">
        <f>IF(SER_hh_fec!T31=0,0,11630*1000*SER_hh_fec!T31/SER_hh_num!T31)</f>
        <v>28511.379871257886</v>
      </c>
      <c r="U31" s="133">
        <f>IF(SER_hh_fec!U31=0,0,11630*1000*SER_hh_fec!U31/SER_hh_num!U31)</f>
        <v>28340.717593412417</v>
      </c>
      <c r="V31" s="133">
        <f>IF(SER_hh_fec!V31=0,0,11630*1000*SER_hh_fec!V31/SER_hh_num!V31)</f>
        <v>26733.367243862933</v>
      </c>
      <c r="W31" s="133">
        <f>IF(SER_hh_fec!W31=0,0,11630*1000*SER_hh_fec!W31/SER_hh_num!W31)</f>
        <v>28358.390656252908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25038.022473677967</v>
      </c>
      <c r="C33" s="68">
        <f>IF(SER_hh_fec!C33=0,0,11630*1000*SER_hh_fec!C33/SER_hh_num!C33)</f>
        <v>24887.533666287512</v>
      </c>
      <c r="D33" s="68">
        <f>IF(SER_hh_fec!D33=0,0,11630*1000*SER_hh_fec!D33/SER_hh_num!D33)</f>
        <v>24402.638915183259</v>
      </c>
      <c r="E33" s="68">
        <f>IF(SER_hh_fec!E33=0,0,11630*1000*SER_hh_fec!E33/SER_hh_num!E33)</f>
        <v>23910.533150312298</v>
      </c>
      <c r="F33" s="68">
        <f>IF(SER_hh_fec!F33=0,0,11630*1000*SER_hh_fec!F33/SER_hh_num!F33)</f>
        <v>24180.675847337636</v>
      </c>
      <c r="G33" s="68">
        <f>IF(SER_hh_fec!G33=0,0,11630*1000*SER_hh_fec!G33/SER_hh_num!G33)</f>
        <v>23322.403407204278</v>
      </c>
      <c r="H33" s="68">
        <f>IF(SER_hh_fec!H33=0,0,11630*1000*SER_hh_fec!H33/SER_hh_num!H33)</f>
        <v>23189.727571520107</v>
      </c>
      <c r="I33" s="68">
        <f>IF(SER_hh_fec!I33=0,0,11630*1000*SER_hh_fec!I33/SER_hh_num!I33)</f>
        <v>22133.027829744271</v>
      </c>
      <c r="J33" s="68">
        <f>IF(SER_hh_fec!J33=0,0,11630*1000*SER_hh_fec!J33/SER_hh_num!J33)</f>
        <v>22633.157446051737</v>
      </c>
      <c r="K33" s="68">
        <f>IF(SER_hh_fec!K33=0,0,11630*1000*SER_hh_fec!K33/SER_hh_num!K33)</f>
        <v>22850.770798539666</v>
      </c>
      <c r="L33" s="68">
        <f>IF(SER_hh_fec!L33=0,0,11630*1000*SER_hh_fec!L33/SER_hh_num!L33)</f>
        <v>23386.202549333775</v>
      </c>
      <c r="M33" s="68">
        <f>IF(SER_hh_fec!M33=0,0,11630*1000*SER_hh_fec!M33/SER_hh_num!M33)</f>
        <v>23000.489102606523</v>
      </c>
      <c r="N33" s="68">
        <f>IF(SER_hh_fec!N33=0,0,11630*1000*SER_hh_fec!N33/SER_hh_num!N33)</f>
        <v>22527.771845067859</v>
      </c>
      <c r="O33" s="68">
        <f>IF(SER_hh_fec!O33=0,0,11630*1000*SER_hh_fec!O33/SER_hh_num!O33)</f>
        <v>22233.234616370333</v>
      </c>
      <c r="P33" s="68">
        <f>IF(SER_hh_fec!P33=0,0,11630*1000*SER_hh_fec!P33/SER_hh_num!P33)</f>
        <v>20793.108568027863</v>
      </c>
      <c r="Q33" s="68">
        <f>IF(SER_hh_fec!Q33=0,0,11630*1000*SER_hh_fec!Q33/SER_hh_num!Q33)</f>
        <v>21491.721248616086</v>
      </c>
      <c r="R33" s="68">
        <f>IF(SER_hh_fec!R33=0,0,11630*1000*SER_hh_fec!R33/SER_hh_num!R33)</f>
        <v>21573.400621956767</v>
      </c>
      <c r="S33" s="68">
        <f>IF(SER_hh_fec!S33=0,0,11630*1000*SER_hh_fec!S33/SER_hh_num!S33)</f>
        <v>21016.733051472918</v>
      </c>
      <c r="T33" s="68">
        <f>IF(SER_hh_fec!T33=0,0,11630*1000*SER_hh_fec!T33/SER_hh_num!T33)</f>
        <v>21142.959211816065</v>
      </c>
      <c r="U33" s="68">
        <f>IF(SER_hh_fec!U33=0,0,11630*1000*SER_hh_fec!U33/SER_hh_num!U33)</f>
        <v>20867.534149235777</v>
      </c>
      <c r="V33" s="68">
        <f>IF(SER_hh_fec!V33=0,0,11630*1000*SER_hh_fec!V33/SER_hh_num!V33)</f>
        <v>18574.802496234232</v>
      </c>
      <c r="W33" s="68">
        <f>IF(SER_hh_fec!W33=0,0,11630*1000*SER_hh_fec!W33/SER_hh_num!W33)</f>
        <v>20677.534004335481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213007.40651970866</v>
      </c>
      <c r="C3" s="126">
        <f>IF(SER_hh_tes!C3=0,0,11630*1000*SER_hh_tes!C3/SER_hh_num!C3)</f>
        <v>222607.53593046166</v>
      </c>
      <c r="D3" s="126">
        <f>IF(SER_hh_tes!D3=0,0,11630*1000*SER_hh_tes!D3/SER_hh_num!D3)</f>
        <v>201398.93962176287</v>
      </c>
      <c r="E3" s="126">
        <f>IF(SER_hh_tes!E3=0,0,11630*1000*SER_hh_tes!E3/SER_hh_num!E3)</f>
        <v>203910.4063611957</v>
      </c>
      <c r="F3" s="126">
        <f>IF(SER_hh_tes!F3=0,0,11630*1000*SER_hh_tes!F3/SER_hh_num!F3)</f>
        <v>231716.43118041643</v>
      </c>
      <c r="G3" s="126">
        <f>IF(SER_hh_tes!G3=0,0,11630*1000*SER_hh_tes!G3/SER_hh_num!G3)</f>
        <v>226952.20521582087</v>
      </c>
      <c r="H3" s="126">
        <f>IF(SER_hh_tes!H3=0,0,11630*1000*SER_hh_tes!H3/SER_hh_num!H3)</f>
        <v>203658.2607044194</v>
      </c>
      <c r="I3" s="126">
        <f>IF(SER_hh_tes!I3=0,0,11630*1000*SER_hh_tes!I3/SER_hh_num!I3)</f>
        <v>176522.80728925267</v>
      </c>
      <c r="J3" s="126">
        <f>IF(SER_hh_tes!J3=0,0,11630*1000*SER_hh_tes!J3/SER_hh_num!J3)</f>
        <v>175636.40781163695</v>
      </c>
      <c r="K3" s="126">
        <f>IF(SER_hh_tes!K3=0,0,11630*1000*SER_hh_tes!K3/SER_hh_num!K3)</f>
        <v>189824.72074362481</v>
      </c>
      <c r="L3" s="126">
        <f>IF(SER_hh_tes!L3=0,0,11630*1000*SER_hh_tes!L3/SER_hh_num!L3)</f>
        <v>203157.94286218309</v>
      </c>
      <c r="M3" s="126">
        <f>IF(SER_hh_tes!M3=0,0,11630*1000*SER_hh_tes!M3/SER_hh_num!M3)</f>
        <v>205887.34906151023</v>
      </c>
      <c r="N3" s="126">
        <f>IF(SER_hh_tes!N3=0,0,11630*1000*SER_hh_tes!N3/SER_hh_num!N3)</f>
        <v>153818.0471406428</v>
      </c>
      <c r="O3" s="126">
        <f>IF(SER_hh_tes!O3=0,0,11630*1000*SER_hh_tes!O3/SER_hh_num!O3)</f>
        <v>153149.62330807044</v>
      </c>
      <c r="P3" s="126">
        <f>IF(SER_hh_tes!P3=0,0,11630*1000*SER_hh_tes!P3/SER_hh_num!P3)</f>
        <v>131962.39645691647</v>
      </c>
      <c r="Q3" s="126">
        <f>IF(SER_hh_tes!Q3=0,0,11630*1000*SER_hh_tes!Q3/SER_hh_num!Q3)</f>
        <v>142942.60211707791</v>
      </c>
      <c r="R3" s="126">
        <f>IF(SER_hh_tes!R3=0,0,11630*1000*SER_hh_tes!R3/SER_hh_num!R3)</f>
        <v>141360.58036454412</v>
      </c>
      <c r="S3" s="126">
        <f>IF(SER_hh_tes!S3=0,0,11630*1000*SER_hh_tes!S3/SER_hh_num!S3)</f>
        <v>140323.44240559972</v>
      </c>
      <c r="T3" s="126">
        <f>IF(SER_hh_tes!T3=0,0,11630*1000*SER_hh_tes!T3/SER_hh_num!T3)</f>
        <v>136711.33092138884</v>
      </c>
      <c r="U3" s="126">
        <f>IF(SER_hh_tes!U3=0,0,11630*1000*SER_hh_tes!U3/SER_hh_num!U3)</f>
        <v>134458.46854486183</v>
      </c>
      <c r="V3" s="126">
        <f>IF(SER_hh_tes!V3=0,0,11630*1000*SER_hh_tes!V3/SER_hh_num!V3)</f>
        <v>131378.06101519341</v>
      </c>
      <c r="W3" s="126">
        <f>IF(SER_hh_tes!W3=0,0,11630*1000*SER_hh_tes!W3/SER_hh_num!W3)</f>
        <v>139301.09606527275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172972.18435229</v>
      </c>
      <c r="C4" s="131">
        <f>IF(SER_hh_tes!C4=0,0,11630*1000*SER_hh_tes!C4/SER_hh_num!C4)</f>
        <v>182891.62016797517</v>
      </c>
      <c r="D4" s="131">
        <f>IF(SER_hh_tes!D4=0,0,11630*1000*SER_hh_tes!D4/SER_hh_num!D4)</f>
        <v>161278.04673444552</v>
      </c>
      <c r="E4" s="131">
        <f>IF(SER_hh_tes!E4=0,0,11630*1000*SER_hh_tes!E4/SER_hh_num!E4)</f>
        <v>163468.72508271103</v>
      </c>
      <c r="F4" s="131">
        <f>IF(SER_hh_tes!F4=0,0,11630*1000*SER_hh_tes!F4/SER_hh_num!F4)</f>
        <v>191983.0397214999</v>
      </c>
      <c r="G4" s="131">
        <f>IF(SER_hh_tes!G4=0,0,11630*1000*SER_hh_tes!G4/SER_hh_num!G4)</f>
        <v>187484.42275251501</v>
      </c>
      <c r="H4" s="131">
        <f>IF(SER_hh_tes!H4=0,0,11630*1000*SER_hh_tes!H4/SER_hh_num!H4)</f>
        <v>163482.15842156587</v>
      </c>
      <c r="I4" s="131">
        <f>IF(SER_hh_tes!I4=0,0,11630*1000*SER_hh_tes!I4/SER_hh_num!I4)</f>
        <v>136270.48604497212</v>
      </c>
      <c r="J4" s="131">
        <f>IF(SER_hh_tes!J4=0,0,11630*1000*SER_hh_tes!J4/SER_hh_num!J4)</f>
        <v>135531.41938860223</v>
      </c>
      <c r="K4" s="131">
        <f>IF(SER_hh_tes!K4=0,0,11630*1000*SER_hh_tes!K4/SER_hh_num!K4)</f>
        <v>149074.99564891585</v>
      </c>
      <c r="L4" s="131">
        <f>IF(SER_hh_tes!L4=0,0,11630*1000*SER_hh_tes!L4/SER_hh_num!L4)</f>
        <v>161477.15798397272</v>
      </c>
      <c r="M4" s="131">
        <f>IF(SER_hh_tes!M4=0,0,11630*1000*SER_hh_tes!M4/SER_hh_num!M4)</f>
        <v>164241.62213104451</v>
      </c>
      <c r="N4" s="131">
        <f>IF(SER_hh_tes!N4=0,0,11630*1000*SER_hh_tes!N4/SER_hh_num!N4)</f>
        <v>110451.27856575564</v>
      </c>
      <c r="O4" s="131">
        <f>IF(SER_hh_tes!O4=0,0,11630*1000*SER_hh_tes!O4/SER_hh_num!O4)</f>
        <v>111197.65008724738</v>
      </c>
      <c r="P4" s="131">
        <f>IF(SER_hh_tes!P4=0,0,11630*1000*SER_hh_tes!P4/SER_hh_num!P4)</f>
        <v>91605.514013144333</v>
      </c>
      <c r="Q4" s="131">
        <f>IF(SER_hh_tes!Q4=0,0,11630*1000*SER_hh_tes!Q4/SER_hh_num!Q4)</f>
        <v>99895.297052419148</v>
      </c>
      <c r="R4" s="131">
        <f>IF(SER_hh_tes!R4=0,0,11630*1000*SER_hh_tes!R4/SER_hh_num!R4)</f>
        <v>100647.85128251174</v>
      </c>
      <c r="S4" s="131">
        <f>IF(SER_hh_tes!S4=0,0,11630*1000*SER_hh_tes!S4/SER_hh_num!S4)</f>
        <v>98823.281326452954</v>
      </c>
      <c r="T4" s="131">
        <f>IF(SER_hh_tes!T4=0,0,11630*1000*SER_hh_tes!T4/SER_hh_num!T4)</f>
        <v>95020.363650186191</v>
      </c>
      <c r="U4" s="131">
        <f>IF(SER_hh_tes!U4=0,0,11630*1000*SER_hh_tes!U4/SER_hh_num!U4)</f>
        <v>92587.487101548031</v>
      </c>
      <c r="V4" s="131">
        <f>IF(SER_hh_tes!V4=0,0,11630*1000*SER_hh_tes!V4/SER_hh_num!V4)</f>
        <v>93246.342426954041</v>
      </c>
      <c r="W4" s="131">
        <f>IF(SER_hh_tes!W4=0,0,11630*1000*SER_hh_tes!W4/SER_hh_num!W4)</f>
        <v>98080.412316718182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201834.2092623807</v>
      </c>
      <c r="C5" s="133">
        <f>IF(SER_hh_tes!C5=0,0,11630*1000*SER_hh_tes!C5/SER_hh_num!C5)</f>
        <v>153427.45920007426</v>
      </c>
      <c r="D5" s="133">
        <f>IF(SER_hh_tes!D5=0,0,11630*1000*SER_hh_tes!D5/SER_hh_num!D5)</f>
        <v>150407.41818372929</v>
      </c>
      <c r="E5" s="133">
        <f>IF(SER_hh_tes!E5=0,0,11630*1000*SER_hh_tes!E5/SER_hh_num!E5)</f>
        <v>187270.1285487015</v>
      </c>
      <c r="F5" s="133">
        <f>IF(SER_hh_tes!F5=0,0,11630*1000*SER_hh_tes!F5/SER_hh_num!F5)</f>
        <v>167133.45243587677</v>
      </c>
      <c r="G5" s="133">
        <f>IF(SER_hh_tes!G5=0,0,11630*1000*SER_hh_tes!G5/SER_hh_num!G5)</f>
        <v>92753.875352639603</v>
      </c>
      <c r="H5" s="133">
        <f>IF(SER_hh_tes!H5=0,0,11630*1000*SER_hh_tes!H5/SER_hh_num!H5)</f>
        <v>178755.45828212949</v>
      </c>
      <c r="I5" s="133">
        <f>IF(SER_hh_tes!I5=0,0,11630*1000*SER_hh_tes!I5/SER_hh_num!I5)</f>
        <v>148312.51698648668</v>
      </c>
      <c r="J5" s="133">
        <f>IF(SER_hh_tes!J5=0,0,11630*1000*SER_hh_tes!J5/SER_hh_num!J5)</f>
        <v>144292.87602548007</v>
      </c>
      <c r="K5" s="133">
        <f>IF(SER_hh_tes!K5=0,0,11630*1000*SER_hh_tes!K5/SER_hh_num!K5)</f>
        <v>136681.91474635393</v>
      </c>
      <c r="L5" s="133">
        <f>IF(SER_hh_tes!L5=0,0,11630*1000*SER_hh_tes!L5/SER_hh_num!L5)</f>
        <v>152693.12791989499</v>
      </c>
      <c r="M5" s="133">
        <f>IF(SER_hh_tes!M5=0,0,11630*1000*SER_hh_tes!M5/SER_hh_num!M5)</f>
        <v>176674.5964723801</v>
      </c>
      <c r="N5" s="133">
        <f>IF(SER_hh_tes!N5=0,0,11630*1000*SER_hh_tes!N5/SER_hh_num!N5)</f>
        <v>54297.737786822203</v>
      </c>
      <c r="O5" s="133">
        <f>IF(SER_hh_tes!O5=0,0,11630*1000*SER_hh_tes!O5/SER_hh_num!O5)</f>
        <v>123532.22781423558</v>
      </c>
      <c r="P5" s="133">
        <f>IF(SER_hh_tes!P5=0,0,11630*1000*SER_hh_tes!P5/SER_hh_num!P5)</f>
        <v>95152.137762950792</v>
      </c>
      <c r="Q5" s="133">
        <f>IF(SER_hh_tes!Q5=0,0,11630*1000*SER_hh_tes!Q5/SER_hh_num!Q5)</f>
        <v>110904.07824699697</v>
      </c>
      <c r="R5" s="133">
        <f>IF(SER_hh_tes!R5=0,0,11630*1000*SER_hh_tes!R5/SER_hh_num!R5)</f>
        <v>117332.88988901983</v>
      </c>
      <c r="S5" s="133">
        <f>IF(SER_hh_tes!S5=0,0,11630*1000*SER_hh_tes!S5/SER_hh_num!S5)</f>
        <v>75200.565824670048</v>
      </c>
      <c r="T5" s="133">
        <f>IF(SER_hh_tes!T5=0,0,11630*1000*SER_hh_tes!T5/SER_hh_num!T5)</f>
        <v>89678.669398445534</v>
      </c>
      <c r="U5" s="133">
        <f>IF(SER_hh_tes!U5=0,0,11630*1000*SER_hh_tes!U5/SER_hh_num!U5)</f>
        <v>99183.778941850265</v>
      </c>
      <c r="V5" s="133">
        <f>IF(SER_hh_tes!V5=0,0,11630*1000*SER_hh_tes!V5/SER_hh_num!V5)</f>
        <v>88401.014883563534</v>
      </c>
      <c r="W5" s="133">
        <f>IF(SER_hh_tes!W5=0,0,11630*1000*SER_hh_tes!W5/SER_hh_num!W5)</f>
        <v>95704.380858031407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169715.25198741164</v>
      </c>
      <c r="C7" s="133">
        <f>IF(SER_hh_tes!C7=0,0,11630*1000*SER_hh_tes!C7/SER_hh_num!C7)</f>
        <v>203114.71024071929</v>
      </c>
      <c r="D7" s="133">
        <f>IF(SER_hh_tes!D7=0,0,11630*1000*SER_hh_tes!D7/SER_hh_num!D7)</f>
        <v>135763.37829926651</v>
      </c>
      <c r="E7" s="133">
        <f>IF(SER_hh_tes!E7=0,0,11630*1000*SER_hh_tes!E7/SER_hh_num!E7)</f>
        <v>137431.38011942621</v>
      </c>
      <c r="F7" s="133">
        <f>IF(SER_hh_tes!F7=0,0,11630*1000*SER_hh_tes!F7/SER_hh_num!F7)</f>
        <v>163424.70907480668</v>
      </c>
      <c r="G7" s="133">
        <f>IF(SER_hh_tes!G7=0,0,11630*1000*SER_hh_tes!G7/SER_hh_num!G7)</f>
        <v>212586.03056413482</v>
      </c>
      <c r="H7" s="133">
        <f>IF(SER_hh_tes!H7=0,0,11630*1000*SER_hh_tes!H7/SER_hh_num!H7)</f>
        <v>218572.24573664999</v>
      </c>
      <c r="I7" s="133">
        <f>IF(SER_hh_tes!I7=0,0,11630*1000*SER_hh_tes!I7/SER_hh_num!I7)</f>
        <v>0</v>
      </c>
      <c r="J7" s="133">
        <f>IF(SER_hh_tes!J7=0,0,11630*1000*SER_hh_tes!J7/SER_hh_num!J7)</f>
        <v>0</v>
      </c>
      <c r="K7" s="133">
        <f>IF(SER_hh_tes!K7=0,0,11630*1000*SER_hh_tes!K7/SER_hh_num!K7)</f>
        <v>0</v>
      </c>
      <c r="L7" s="133">
        <f>IF(SER_hh_tes!L7=0,0,11630*1000*SER_hh_tes!L7/SER_hh_num!L7)</f>
        <v>0</v>
      </c>
      <c r="M7" s="133">
        <f>IF(SER_hh_tes!M7=0,0,11630*1000*SER_hh_tes!M7/SER_hh_num!M7)</f>
        <v>0</v>
      </c>
      <c r="N7" s="133">
        <f>IF(SER_hh_tes!N7=0,0,11630*1000*SER_hh_tes!N7/SER_hh_num!N7)</f>
        <v>160967.06565810245</v>
      </c>
      <c r="O7" s="133">
        <f>IF(SER_hh_tes!O7=0,0,11630*1000*SER_hh_tes!O7/SER_hh_num!O7)</f>
        <v>63137.857809578731</v>
      </c>
      <c r="P7" s="133">
        <f>IF(SER_hh_tes!P7=0,0,11630*1000*SER_hh_tes!P7/SER_hh_num!P7)</f>
        <v>84072.075654684493</v>
      </c>
      <c r="Q7" s="133">
        <f>IF(SER_hh_tes!Q7=0,0,11630*1000*SER_hh_tes!Q7/SER_hh_num!Q7)</f>
        <v>107268.82435028882</v>
      </c>
      <c r="R7" s="133">
        <f>IF(SER_hh_tes!R7=0,0,11630*1000*SER_hh_tes!R7/SER_hh_num!R7)</f>
        <v>109585.86892575158</v>
      </c>
      <c r="S7" s="133">
        <f>IF(SER_hh_tes!S7=0,0,11630*1000*SER_hh_tes!S7/SER_hh_num!S7)</f>
        <v>92872.095639651641</v>
      </c>
      <c r="T7" s="133">
        <f>IF(SER_hh_tes!T7=0,0,11630*1000*SER_hh_tes!T7/SER_hh_num!T7)</f>
        <v>100256.65865656278</v>
      </c>
      <c r="U7" s="133">
        <f>IF(SER_hh_tes!U7=0,0,11630*1000*SER_hh_tes!U7/SER_hh_num!U7)</f>
        <v>87399.156650473917</v>
      </c>
      <c r="V7" s="133">
        <f>IF(SER_hh_tes!V7=0,0,11630*1000*SER_hh_tes!V7/SER_hh_num!V7)</f>
        <v>87804.846982187839</v>
      </c>
      <c r="W7" s="133">
        <f>IF(SER_hh_tes!W7=0,0,11630*1000*SER_hh_tes!W7/SER_hh_num!W7)</f>
        <v>102925.82510983406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30445.365513621578</v>
      </c>
      <c r="S8" s="133">
        <f>IF(SER_hh_tes!S8=0,0,11630*1000*SER_hh_tes!S8/SER_hh_num!S8)</f>
        <v>73415.748265617876</v>
      </c>
      <c r="T8" s="133">
        <f>IF(SER_hh_tes!T8=0,0,11630*1000*SER_hh_tes!T8/SER_hh_num!T8)</f>
        <v>97831.284611406489</v>
      </c>
      <c r="U8" s="133">
        <f>IF(SER_hh_tes!U8=0,0,11630*1000*SER_hh_tes!U8/SER_hh_num!U8)</f>
        <v>83650.553001538385</v>
      </c>
      <c r="V8" s="133">
        <f>IF(SER_hh_tes!V8=0,0,11630*1000*SER_hh_tes!V8/SER_hh_num!V8)</f>
        <v>111127.97233469416</v>
      </c>
      <c r="W8" s="133">
        <f>IF(SER_hh_tes!W8=0,0,11630*1000*SER_hh_tes!W8/SER_hh_num!W8)</f>
        <v>90716.377430577602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168983.66903088064</v>
      </c>
      <c r="C9" s="133">
        <f>IF(SER_hh_tes!C9=0,0,11630*1000*SER_hh_tes!C9/SER_hh_num!C9)</f>
        <v>179033.64017583389</v>
      </c>
      <c r="D9" s="133">
        <f>IF(SER_hh_tes!D9=0,0,11630*1000*SER_hh_tes!D9/SER_hh_num!D9)</f>
        <v>157363.91265300539</v>
      </c>
      <c r="E9" s="133">
        <f>IF(SER_hh_tes!E9=0,0,11630*1000*SER_hh_tes!E9/SER_hh_num!E9)</f>
        <v>157667.07882746312</v>
      </c>
      <c r="F9" s="133">
        <f>IF(SER_hh_tes!F9=0,0,11630*1000*SER_hh_tes!F9/SER_hh_num!F9)</f>
        <v>197226.56817111786</v>
      </c>
      <c r="G9" s="133">
        <f>IF(SER_hh_tes!G9=0,0,11630*1000*SER_hh_tes!G9/SER_hh_num!G9)</f>
        <v>187012.9536406057</v>
      </c>
      <c r="H9" s="133">
        <f>IF(SER_hh_tes!H9=0,0,11630*1000*SER_hh_tes!H9/SER_hh_num!H9)</f>
        <v>164253.28239522828</v>
      </c>
      <c r="I9" s="133">
        <f>IF(SER_hh_tes!I9=0,0,11630*1000*SER_hh_tes!I9/SER_hh_num!I9)</f>
        <v>129208.3860825286</v>
      </c>
      <c r="J9" s="133">
        <f>IF(SER_hh_tes!J9=0,0,11630*1000*SER_hh_tes!J9/SER_hh_num!J9)</f>
        <v>127417.80913393793</v>
      </c>
      <c r="K9" s="133">
        <f>IF(SER_hh_tes!K9=0,0,11630*1000*SER_hh_tes!K9/SER_hh_num!K9)</f>
        <v>144632.74785135838</v>
      </c>
      <c r="L9" s="133">
        <f>IF(SER_hh_tes!L9=0,0,11630*1000*SER_hh_tes!L9/SER_hh_num!L9)</f>
        <v>157960.58661199047</v>
      </c>
      <c r="M9" s="133">
        <f>IF(SER_hh_tes!M9=0,0,11630*1000*SER_hh_tes!M9/SER_hh_num!M9)</f>
        <v>153916.59688751152</v>
      </c>
      <c r="N9" s="133">
        <f>IF(SER_hh_tes!N9=0,0,11630*1000*SER_hh_tes!N9/SER_hh_num!N9)</f>
        <v>112341.10982930737</v>
      </c>
      <c r="O9" s="133">
        <f>IF(SER_hh_tes!O9=0,0,11630*1000*SER_hh_tes!O9/SER_hh_num!O9)</f>
        <v>111671.58316264478</v>
      </c>
      <c r="P9" s="133">
        <f>IF(SER_hh_tes!P9=0,0,11630*1000*SER_hh_tes!P9/SER_hh_num!P9)</f>
        <v>92037.544705796507</v>
      </c>
      <c r="Q9" s="133">
        <f>IF(SER_hh_tes!Q9=0,0,11630*1000*SER_hh_tes!Q9/SER_hh_num!Q9)</f>
        <v>98272.549860594998</v>
      </c>
      <c r="R9" s="133">
        <f>IF(SER_hh_tes!R9=0,0,11630*1000*SER_hh_tes!R9/SER_hh_num!R9)</f>
        <v>98844.921498913696</v>
      </c>
      <c r="S9" s="133">
        <f>IF(SER_hh_tes!S9=0,0,11630*1000*SER_hh_tes!S9/SER_hh_num!S9)</f>
        <v>96897.1732548375</v>
      </c>
      <c r="T9" s="133">
        <f>IF(SER_hh_tes!T9=0,0,11630*1000*SER_hh_tes!T9/SER_hh_num!T9)</f>
        <v>92027.480212103386</v>
      </c>
      <c r="U9" s="133">
        <f>IF(SER_hh_tes!U9=0,0,11630*1000*SER_hh_tes!U9/SER_hh_num!U9)</f>
        <v>89445.702438702792</v>
      </c>
      <c r="V9" s="133">
        <f>IF(SER_hh_tes!V9=0,0,11630*1000*SER_hh_tes!V9/SER_hh_num!V9)</f>
        <v>92202.584650457371</v>
      </c>
      <c r="W9" s="133">
        <f>IF(SER_hh_tes!W9=0,0,11630*1000*SER_hh_tes!W9/SER_hh_num!W9)</f>
        <v>96449.504955757831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176313.96771342517</v>
      </c>
      <c r="C10" s="133">
        <f>IF(SER_hh_tes!C10=0,0,11630*1000*SER_hh_tes!C10/SER_hh_num!C10)</f>
        <v>153286.45815842584</v>
      </c>
      <c r="D10" s="133">
        <f>IF(SER_hh_tes!D10=0,0,11630*1000*SER_hh_tes!D10/SER_hh_num!D10)</f>
        <v>165597.42802410937</v>
      </c>
      <c r="E10" s="133">
        <f>IF(SER_hh_tes!E10=0,0,11630*1000*SER_hh_tes!E10/SER_hh_num!E10)</f>
        <v>202040.77589449991</v>
      </c>
      <c r="F10" s="133">
        <f>IF(SER_hh_tes!F10=0,0,11630*1000*SER_hh_tes!F10/SER_hh_num!F10)</f>
        <v>196031.49164993709</v>
      </c>
      <c r="G10" s="133">
        <f>IF(SER_hh_tes!G10=0,0,11630*1000*SER_hh_tes!G10/SER_hh_num!G10)</f>
        <v>147415.87152185049</v>
      </c>
      <c r="H10" s="133">
        <f>IF(SER_hh_tes!H10=0,0,11630*1000*SER_hh_tes!H10/SER_hh_num!H10)</f>
        <v>152808.02453037139</v>
      </c>
      <c r="I10" s="133">
        <f>IF(SER_hh_tes!I10=0,0,11630*1000*SER_hh_tes!I10/SER_hh_num!I10)</f>
        <v>139032.91977354261</v>
      </c>
      <c r="J10" s="133">
        <f>IF(SER_hh_tes!J10=0,0,11630*1000*SER_hh_tes!J10/SER_hh_num!J10)</f>
        <v>136621.07843641425</v>
      </c>
      <c r="K10" s="133">
        <f>IF(SER_hh_tes!K10=0,0,11630*1000*SER_hh_tes!K10/SER_hh_num!K10)</f>
        <v>147628.80185682702</v>
      </c>
      <c r="L10" s="133">
        <f>IF(SER_hh_tes!L10=0,0,11630*1000*SER_hh_tes!L10/SER_hh_num!L10)</f>
        <v>153114.7257735657</v>
      </c>
      <c r="M10" s="133">
        <f>IF(SER_hh_tes!M10=0,0,11630*1000*SER_hh_tes!M10/SER_hh_num!M10)</f>
        <v>145508.5793354573</v>
      </c>
      <c r="N10" s="133">
        <f>IF(SER_hh_tes!N10=0,0,11630*1000*SER_hh_tes!N10/SER_hh_num!N10)</f>
        <v>121014.57065537683</v>
      </c>
      <c r="O10" s="133">
        <f>IF(SER_hh_tes!O10=0,0,11630*1000*SER_hh_tes!O10/SER_hh_num!O10)</f>
        <v>109981.19187366555</v>
      </c>
      <c r="P10" s="133">
        <f>IF(SER_hh_tes!P10=0,0,11630*1000*SER_hh_tes!P10/SER_hh_num!P10)</f>
        <v>88770.91374687785</v>
      </c>
      <c r="Q10" s="133">
        <f>IF(SER_hh_tes!Q10=0,0,11630*1000*SER_hh_tes!Q10/SER_hh_num!Q10)</f>
        <v>107244.76271612424</v>
      </c>
      <c r="R10" s="133">
        <f>IF(SER_hh_tes!R10=0,0,11630*1000*SER_hh_tes!R10/SER_hh_num!R10)</f>
        <v>95799.773408885114</v>
      </c>
      <c r="S10" s="133">
        <f>IF(SER_hh_tes!S10=0,0,11630*1000*SER_hh_tes!S10/SER_hh_num!S10)</f>
        <v>97594.666055797541</v>
      </c>
      <c r="T10" s="133">
        <f>IF(SER_hh_tes!T10=0,0,11630*1000*SER_hh_tes!T10/SER_hh_num!T10)</f>
        <v>90983.572151033281</v>
      </c>
      <c r="U10" s="133">
        <f>IF(SER_hh_tes!U10=0,0,11630*1000*SER_hh_tes!U10/SER_hh_num!U10)</f>
        <v>100735.33003107966</v>
      </c>
      <c r="V10" s="133">
        <f>IF(SER_hh_tes!V10=0,0,11630*1000*SER_hh_tes!V10/SER_hh_num!V10)</f>
        <v>94291.824399478399</v>
      </c>
      <c r="W10" s="133">
        <f>IF(SER_hh_tes!W10=0,0,11630*1000*SER_hh_tes!W10/SER_hh_num!W10)</f>
        <v>89374.022343074699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175945.3460224217</v>
      </c>
      <c r="C11" s="133">
        <f>IF(SER_hh_tes!C11=0,0,11630*1000*SER_hh_tes!C11/SER_hh_num!C11)</f>
        <v>173184.75038580212</v>
      </c>
      <c r="D11" s="133">
        <f>IF(SER_hh_tes!D11=0,0,11630*1000*SER_hh_tes!D11/SER_hh_num!D11)</f>
        <v>171460.39460130519</v>
      </c>
      <c r="E11" s="133">
        <f>IF(SER_hh_tes!E11=0,0,11630*1000*SER_hh_tes!E11/SER_hh_num!E11)</f>
        <v>177298.81858282845</v>
      </c>
      <c r="F11" s="133">
        <f>IF(SER_hh_tes!F11=0,0,11630*1000*SER_hh_tes!F11/SER_hh_num!F11)</f>
        <v>170097.47932143023</v>
      </c>
      <c r="G11" s="133">
        <f>IF(SER_hh_tes!G11=0,0,11630*1000*SER_hh_tes!G11/SER_hh_num!G11)</f>
        <v>168452.93768986771</v>
      </c>
      <c r="H11" s="133">
        <f>IF(SER_hh_tes!H11=0,0,11630*1000*SER_hh_tes!H11/SER_hh_num!H11)</f>
        <v>156437.88069825951</v>
      </c>
      <c r="I11" s="133">
        <f>IF(SER_hh_tes!I11=0,0,11630*1000*SER_hh_tes!I11/SER_hh_num!I11)</f>
        <v>139602.24464336017</v>
      </c>
      <c r="J11" s="133">
        <f>IF(SER_hh_tes!J11=0,0,11630*1000*SER_hh_tes!J11/SER_hh_num!J11)</f>
        <v>147023.00176222081</v>
      </c>
      <c r="K11" s="133">
        <f>IF(SER_hh_tes!K11=0,0,11630*1000*SER_hh_tes!K11/SER_hh_num!K11)</f>
        <v>150214.35688351246</v>
      </c>
      <c r="L11" s="133">
        <f>IF(SER_hh_tes!L11=0,0,11630*1000*SER_hh_tes!L11/SER_hh_num!L11)</f>
        <v>147411.8059384212</v>
      </c>
      <c r="M11" s="133">
        <f>IF(SER_hh_tes!M11=0,0,11630*1000*SER_hh_tes!M11/SER_hh_num!M11)</f>
        <v>147787.27828925953</v>
      </c>
      <c r="N11" s="133">
        <f>IF(SER_hh_tes!N11=0,0,11630*1000*SER_hh_tes!N11/SER_hh_num!N11)</f>
        <v>143450.62313878245</v>
      </c>
      <c r="O11" s="133">
        <f>IF(SER_hh_tes!O11=0,0,11630*1000*SER_hh_tes!O11/SER_hh_num!O11)</f>
        <v>153125.07453546487</v>
      </c>
      <c r="P11" s="133">
        <f>IF(SER_hh_tes!P11=0,0,11630*1000*SER_hh_tes!P11/SER_hh_num!P11)</f>
        <v>58820.510554390683</v>
      </c>
      <c r="Q11" s="133">
        <f>IF(SER_hh_tes!Q11=0,0,11630*1000*SER_hh_tes!Q11/SER_hh_num!Q11)</f>
        <v>74951.877919027014</v>
      </c>
      <c r="R11" s="133">
        <f>IF(SER_hh_tes!R11=0,0,11630*1000*SER_hh_tes!R11/SER_hh_num!R11)</f>
        <v>82726.871068953813</v>
      </c>
      <c r="S11" s="133">
        <f>IF(SER_hh_tes!S11=0,0,11630*1000*SER_hh_tes!S11/SER_hh_num!S11)</f>
        <v>104915.42053467224</v>
      </c>
      <c r="T11" s="133">
        <f>IF(SER_hh_tes!T11=0,0,11630*1000*SER_hh_tes!T11/SER_hh_num!T11)</f>
        <v>94690.759389280414</v>
      </c>
      <c r="U11" s="133">
        <f>IF(SER_hh_tes!U11=0,0,11630*1000*SER_hh_tes!U11/SER_hh_num!U11)</f>
        <v>95941.988688990197</v>
      </c>
      <c r="V11" s="133">
        <f>IF(SER_hh_tes!V11=0,0,11630*1000*SER_hh_tes!V11/SER_hh_num!V11)</f>
        <v>84893.91519984958</v>
      </c>
      <c r="W11" s="133">
        <f>IF(SER_hh_tes!W11=0,0,11630*1000*SER_hh_tes!W11/SER_hh_num!W11)</f>
        <v>105793.98297796957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168370.67255018538</v>
      </c>
      <c r="C12" s="133">
        <f>IF(SER_hh_tes!C12=0,0,11630*1000*SER_hh_tes!C12/SER_hh_num!C12)</f>
        <v>189253.02074183026</v>
      </c>
      <c r="D12" s="133">
        <f>IF(SER_hh_tes!D12=0,0,11630*1000*SER_hh_tes!D12/SER_hh_num!D12)</f>
        <v>160940.8187708866</v>
      </c>
      <c r="E12" s="133">
        <f>IF(SER_hh_tes!E12=0,0,11630*1000*SER_hh_tes!E12/SER_hh_num!E12)</f>
        <v>179664.29613973224</v>
      </c>
      <c r="F12" s="133">
        <f>IF(SER_hh_tes!F12=0,0,11630*1000*SER_hh_tes!F12/SER_hh_num!F12)</f>
        <v>158322.83167472851</v>
      </c>
      <c r="G12" s="133">
        <f>IF(SER_hh_tes!G12=0,0,11630*1000*SER_hh_tes!G12/SER_hh_num!G12)</f>
        <v>183939.84582827828</v>
      </c>
      <c r="H12" s="133">
        <f>IF(SER_hh_tes!H12=0,0,11630*1000*SER_hh_tes!H12/SER_hh_num!H12)</f>
        <v>148635.21047578432</v>
      </c>
      <c r="I12" s="133">
        <f>IF(SER_hh_tes!I12=0,0,11630*1000*SER_hh_tes!I12/SER_hh_num!I12)</f>
        <v>141182.17753318808</v>
      </c>
      <c r="J12" s="133">
        <f>IF(SER_hh_tes!J12=0,0,11630*1000*SER_hh_tes!J12/SER_hh_num!J12)</f>
        <v>152956.47877226348</v>
      </c>
      <c r="K12" s="133">
        <f>IF(SER_hh_tes!K12=0,0,11630*1000*SER_hh_tes!K12/SER_hh_num!K12)</f>
        <v>147245.95176914896</v>
      </c>
      <c r="L12" s="133">
        <f>IF(SER_hh_tes!L12=0,0,11630*1000*SER_hh_tes!L12/SER_hh_num!L12)</f>
        <v>157330.8605519814</v>
      </c>
      <c r="M12" s="133">
        <f>IF(SER_hh_tes!M12=0,0,11630*1000*SER_hh_tes!M12/SER_hh_num!M12)</f>
        <v>157045.26687118679</v>
      </c>
      <c r="N12" s="133">
        <f>IF(SER_hh_tes!N12=0,0,11630*1000*SER_hh_tes!N12/SER_hh_num!N12)</f>
        <v>109464.95644039685</v>
      </c>
      <c r="O12" s="133">
        <f>IF(SER_hh_tes!O12=0,0,11630*1000*SER_hh_tes!O12/SER_hh_num!O12)</f>
        <v>103000.52553967824</v>
      </c>
      <c r="P12" s="133">
        <f>IF(SER_hh_tes!P12=0,0,11630*1000*SER_hh_tes!P12/SER_hh_num!P12)</f>
        <v>87822.563750548332</v>
      </c>
      <c r="Q12" s="133">
        <f>IF(SER_hh_tes!Q12=0,0,11630*1000*SER_hh_tes!Q12/SER_hh_num!Q12)</f>
        <v>101293.77894111694</v>
      </c>
      <c r="R12" s="133">
        <f>IF(SER_hh_tes!R12=0,0,11630*1000*SER_hh_tes!R12/SER_hh_num!R12)</f>
        <v>103953.23261007454</v>
      </c>
      <c r="S12" s="133">
        <f>IF(SER_hh_tes!S12=0,0,11630*1000*SER_hh_tes!S12/SER_hh_num!S12)</f>
        <v>101247.76842632676</v>
      </c>
      <c r="T12" s="133">
        <f>IF(SER_hh_tes!T12=0,0,11630*1000*SER_hh_tes!T12/SER_hh_num!T12)</f>
        <v>95045.385912057987</v>
      </c>
      <c r="U12" s="133">
        <f>IF(SER_hh_tes!U12=0,0,11630*1000*SER_hh_tes!U12/SER_hh_num!U12)</f>
        <v>91418.593033740341</v>
      </c>
      <c r="V12" s="133">
        <f>IF(SER_hh_tes!V12=0,0,11630*1000*SER_hh_tes!V12/SER_hh_num!V12)</f>
        <v>92421.36502122799</v>
      </c>
      <c r="W12" s="133">
        <f>IF(SER_hh_tes!W12=0,0,11630*1000*SER_hh_tes!W12/SER_hh_num!W12)</f>
        <v>98589.588898335205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164728.9940155482</v>
      </c>
      <c r="C13" s="133">
        <f>IF(SER_hh_tes!C13=0,0,11630*1000*SER_hh_tes!C13/SER_hh_num!C13)</f>
        <v>178121.82939368422</v>
      </c>
      <c r="D13" s="133">
        <f>IF(SER_hh_tes!D13=0,0,11630*1000*SER_hh_tes!D13/SER_hh_num!D13)</f>
        <v>156256.906411295</v>
      </c>
      <c r="E13" s="133">
        <f>IF(SER_hh_tes!E13=0,0,11630*1000*SER_hh_tes!E13/SER_hh_num!E13)</f>
        <v>123061.41744529964</v>
      </c>
      <c r="F13" s="133">
        <f>IF(SER_hh_tes!F13=0,0,11630*1000*SER_hh_tes!F13/SER_hh_num!F13)</f>
        <v>142665.36145582682</v>
      </c>
      <c r="G13" s="133">
        <f>IF(SER_hh_tes!G13=0,0,11630*1000*SER_hh_tes!G13/SER_hh_num!G13)</f>
        <v>147178.84741103265</v>
      </c>
      <c r="H13" s="133">
        <f>IF(SER_hh_tes!H13=0,0,11630*1000*SER_hh_tes!H13/SER_hh_num!H13)</f>
        <v>134580.44627890986</v>
      </c>
      <c r="I13" s="133">
        <f>IF(SER_hh_tes!I13=0,0,11630*1000*SER_hh_tes!I13/SER_hh_num!I13)</f>
        <v>154358.96621998918</v>
      </c>
      <c r="J13" s="133">
        <f>IF(SER_hh_tes!J13=0,0,11630*1000*SER_hh_tes!J13/SER_hh_num!J13)</f>
        <v>138555.07566298248</v>
      </c>
      <c r="K13" s="133">
        <f>IF(SER_hh_tes!K13=0,0,11630*1000*SER_hh_tes!K13/SER_hh_num!K13)</f>
        <v>152563.65951478938</v>
      </c>
      <c r="L13" s="133">
        <f>IF(SER_hh_tes!L13=0,0,11630*1000*SER_hh_tes!L13/SER_hh_num!L13)</f>
        <v>127401.25905114085</v>
      </c>
      <c r="M13" s="133">
        <f>IF(SER_hh_tes!M13=0,0,11630*1000*SER_hh_tes!M13/SER_hh_num!M13)</f>
        <v>97037.296093140641</v>
      </c>
      <c r="N13" s="133">
        <f>IF(SER_hh_tes!N13=0,0,11630*1000*SER_hh_tes!N13/SER_hh_num!N13)</f>
        <v>102708.22344621923</v>
      </c>
      <c r="O13" s="133">
        <f>IF(SER_hh_tes!O13=0,0,11630*1000*SER_hh_tes!O13/SER_hh_num!O13)</f>
        <v>105281.40089317183</v>
      </c>
      <c r="P13" s="133">
        <f>IF(SER_hh_tes!P13=0,0,11630*1000*SER_hh_tes!P13/SER_hh_num!P13)</f>
        <v>117055.62538825316</v>
      </c>
      <c r="Q13" s="133">
        <f>IF(SER_hh_tes!Q13=0,0,11630*1000*SER_hh_tes!Q13/SER_hh_num!Q13)</f>
        <v>92813.336126945025</v>
      </c>
      <c r="R13" s="133">
        <f>IF(SER_hh_tes!R13=0,0,11630*1000*SER_hh_tes!R13/SER_hh_num!R13)</f>
        <v>85717.286288559117</v>
      </c>
      <c r="S13" s="133">
        <f>IF(SER_hh_tes!S13=0,0,11630*1000*SER_hh_tes!S13/SER_hh_num!S13)</f>
        <v>81563.355843430167</v>
      </c>
      <c r="T13" s="133">
        <f>IF(SER_hh_tes!T13=0,0,11630*1000*SER_hh_tes!T13/SER_hh_num!T13)</f>
        <v>90199.509194379119</v>
      </c>
      <c r="U13" s="133">
        <f>IF(SER_hh_tes!U13=0,0,11630*1000*SER_hh_tes!U13/SER_hh_num!U13)</f>
        <v>82563.080673771678</v>
      </c>
      <c r="V13" s="133">
        <f>IF(SER_hh_tes!V13=0,0,11630*1000*SER_hh_tes!V13/SER_hh_num!V13)</f>
        <v>110256.45478948123</v>
      </c>
      <c r="W13" s="133">
        <f>IF(SER_hh_tes!W13=0,0,11630*1000*SER_hh_tes!W13/SER_hh_num!W13)</f>
        <v>76902.717661817413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178160.73736123097</v>
      </c>
      <c r="C14" s="65">
        <f>IF(SER_hh_tes!C14=0,0,11630*1000*SER_hh_tes!C14/SER_hh_num!C14)</f>
        <v>182554.00244499123</v>
      </c>
      <c r="D14" s="65">
        <f>IF(SER_hh_tes!D14=0,0,11630*1000*SER_hh_tes!D14/SER_hh_num!D14)</f>
        <v>163727.23278639742</v>
      </c>
      <c r="E14" s="65">
        <f>IF(SER_hh_tes!E14=0,0,11630*1000*SER_hh_tes!E14/SER_hh_num!E14)</f>
        <v>142731.66263041232</v>
      </c>
      <c r="F14" s="65">
        <f>IF(SER_hh_tes!F14=0,0,11630*1000*SER_hh_tes!F14/SER_hh_num!F14)</f>
        <v>161238.85107809884</v>
      </c>
      <c r="G14" s="65">
        <f>IF(SER_hh_tes!G14=0,0,11630*1000*SER_hh_tes!G14/SER_hh_num!G14)</f>
        <v>180493.14318550369</v>
      </c>
      <c r="H14" s="65">
        <f>IF(SER_hh_tes!H14=0,0,11630*1000*SER_hh_tes!H14/SER_hh_num!H14)</f>
        <v>156652.19410416853</v>
      </c>
      <c r="I14" s="65">
        <f>IF(SER_hh_tes!I14=0,0,11630*1000*SER_hh_tes!I14/SER_hh_num!I14)</f>
        <v>151063.33564332675</v>
      </c>
      <c r="J14" s="65">
        <f>IF(SER_hh_tes!J14=0,0,11630*1000*SER_hh_tes!J14/SER_hh_num!J14)</f>
        <v>139478.08110571906</v>
      </c>
      <c r="K14" s="65">
        <f>IF(SER_hh_tes!K14=0,0,11630*1000*SER_hh_tes!K14/SER_hh_num!K14)</f>
        <v>156303.73415699703</v>
      </c>
      <c r="L14" s="65">
        <f>IF(SER_hh_tes!L14=0,0,11630*1000*SER_hh_tes!L14/SER_hh_num!L14)</f>
        <v>171907.12590964197</v>
      </c>
      <c r="M14" s="65">
        <f>IF(SER_hh_tes!M14=0,0,11630*1000*SER_hh_tes!M14/SER_hh_num!M14)</f>
        <v>215338.90603583434</v>
      </c>
      <c r="N14" s="65">
        <f>IF(SER_hh_tes!N14=0,0,11630*1000*SER_hh_tes!N14/SER_hh_num!N14)</f>
        <v>52432.898694775453</v>
      </c>
      <c r="O14" s="65">
        <f>IF(SER_hh_tes!O14=0,0,11630*1000*SER_hh_tes!O14/SER_hh_num!O14)</f>
        <v>67670.321551481044</v>
      </c>
      <c r="P14" s="65">
        <f>IF(SER_hh_tes!P14=0,0,11630*1000*SER_hh_tes!P14/SER_hh_num!P14)</f>
        <v>93746.703452696413</v>
      </c>
      <c r="Q14" s="65">
        <f>IF(SER_hh_tes!Q14=0,0,11630*1000*SER_hh_tes!Q14/SER_hh_num!Q14)</f>
        <v>100645.85729915532</v>
      </c>
      <c r="R14" s="65">
        <f>IF(SER_hh_tes!R14=0,0,11630*1000*SER_hh_tes!R14/SER_hh_num!R14)</f>
        <v>98377.69111222327</v>
      </c>
      <c r="S14" s="65">
        <f>IF(SER_hh_tes!S14=0,0,11630*1000*SER_hh_tes!S14/SER_hh_num!S14)</f>
        <v>97938.611800551778</v>
      </c>
      <c r="T14" s="65">
        <f>IF(SER_hh_tes!T14=0,0,11630*1000*SER_hh_tes!T14/SER_hh_num!T14)</f>
        <v>101158.26882443429</v>
      </c>
      <c r="U14" s="65">
        <f>IF(SER_hh_tes!U14=0,0,11630*1000*SER_hh_tes!U14/SER_hh_num!U14)</f>
        <v>100157.81679654392</v>
      </c>
      <c r="V14" s="65">
        <f>IF(SER_hh_tes!V14=0,0,11630*1000*SER_hh_tes!V14/SER_hh_num!V14)</f>
        <v>92857.171258414397</v>
      </c>
      <c r="W14" s="65">
        <f>IF(SER_hh_tes!W14=0,0,11630*1000*SER_hh_tes!W14/SER_hh_num!W14)</f>
        <v>96774.643790325761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2777.0153023415642</v>
      </c>
      <c r="C15" s="135">
        <f>IF(SER_hh_tes!C15=0,0,11630*1000*SER_hh_tes!C15/SER_hh_num!C15)</f>
        <v>2900.8767940685984</v>
      </c>
      <c r="D15" s="135">
        <f>IF(SER_hh_tes!D15=0,0,11630*1000*SER_hh_tes!D15/SER_hh_num!D15)</f>
        <v>2537.3668666573226</v>
      </c>
      <c r="E15" s="135">
        <f>IF(SER_hh_tes!E15=0,0,11630*1000*SER_hh_tes!E15/SER_hh_num!E15)</f>
        <v>2562.0482451899393</v>
      </c>
      <c r="F15" s="135">
        <f>IF(SER_hh_tes!F15=0,0,11630*1000*SER_hh_tes!F15/SER_hh_num!F15)</f>
        <v>3153.5733865129441</v>
      </c>
      <c r="G15" s="135">
        <f>IF(SER_hh_tes!G15=0,0,11630*1000*SER_hh_tes!G15/SER_hh_num!G15)</f>
        <v>2963.2648497267392</v>
      </c>
      <c r="H15" s="135">
        <f>IF(SER_hh_tes!H15=0,0,11630*1000*SER_hh_tes!H15/SER_hh_num!H15)</f>
        <v>2532.8218348749979</v>
      </c>
      <c r="I15" s="135">
        <f>IF(SER_hh_tes!I15=0,0,11630*1000*SER_hh_tes!I15/SER_hh_num!I15)</f>
        <v>1936.7652554783094</v>
      </c>
      <c r="J15" s="135">
        <f>IF(SER_hh_tes!J15=0,0,11630*1000*SER_hh_tes!J15/SER_hh_num!J15)</f>
        <v>1861.9919892390753</v>
      </c>
      <c r="K15" s="135">
        <f>IF(SER_hh_tes!K15=0,0,11630*1000*SER_hh_tes!K15/SER_hh_num!K15)</f>
        <v>2065.9088209924867</v>
      </c>
      <c r="L15" s="135">
        <f>IF(SER_hh_tes!L15=0,0,11630*1000*SER_hh_tes!L15/SER_hh_num!L15)</f>
        <v>2244.2524607368218</v>
      </c>
      <c r="M15" s="135">
        <f>IF(SER_hh_tes!M15=0,0,11630*1000*SER_hh_tes!M15/SER_hh_num!M15)</f>
        <v>2189.7791766294554</v>
      </c>
      <c r="N15" s="135">
        <f>IF(SER_hh_tes!N15=0,0,11630*1000*SER_hh_tes!N15/SER_hh_num!N15)</f>
        <v>1608.5580229132108</v>
      </c>
      <c r="O15" s="135">
        <f>IF(SER_hh_tes!O15=0,0,11630*1000*SER_hh_tes!O15/SER_hh_num!O15)</f>
        <v>1577.3588611324576</v>
      </c>
      <c r="P15" s="135">
        <f>IF(SER_hh_tes!P15=0,0,11630*1000*SER_hh_tes!P15/SER_hh_num!P15)</f>
        <v>1294.0361890045929</v>
      </c>
      <c r="Q15" s="135">
        <f>IF(SER_hh_tes!Q15=0,0,11630*1000*SER_hh_tes!Q15/SER_hh_num!Q15)</f>
        <v>1379.5822853771322</v>
      </c>
      <c r="R15" s="135">
        <f>IF(SER_hh_tes!R15=0,0,11630*1000*SER_hh_tes!R15/SER_hh_num!R15)</f>
        <v>1372.80543539008</v>
      </c>
      <c r="S15" s="135">
        <f>IF(SER_hh_tes!S15=0,0,11630*1000*SER_hh_tes!S15/SER_hh_num!S15)</f>
        <v>1326.209441345813</v>
      </c>
      <c r="T15" s="135">
        <f>IF(SER_hh_tes!T15=0,0,11630*1000*SER_hh_tes!T15/SER_hh_num!T15)</f>
        <v>1256.5657044808911</v>
      </c>
      <c r="U15" s="135">
        <f>IF(SER_hh_tes!U15=0,0,11630*1000*SER_hh_tes!U15/SER_hh_num!U15)</f>
        <v>1214.5044982895188</v>
      </c>
      <c r="V15" s="135">
        <f>IF(SER_hh_tes!V15=0,0,11630*1000*SER_hh_tes!V15/SER_hh_num!V15)</f>
        <v>1248.838361115811</v>
      </c>
      <c r="W15" s="135">
        <f>IF(SER_hh_tes!W15=0,0,11630*1000*SER_hh_tes!W15/SER_hh_num!W15)</f>
        <v>1311.3605974477343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21804.148904232115</v>
      </c>
      <c r="C16" s="131">
        <f>IF(SER_hh_tes!C16=0,0,11630*1000*SER_hh_tes!C16/SER_hh_num!C16)</f>
        <v>19966.104256048824</v>
      </c>
      <c r="D16" s="131">
        <f>IF(SER_hh_tes!D16=0,0,11630*1000*SER_hh_tes!D16/SER_hh_num!D16)</f>
        <v>21150.317497806624</v>
      </c>
      <c r="E16" s="131">
        <f>IF(SER_hh_tes!E16=0,0,11630*1000*SER_hh_tes!E16/SER_hh_num!E16)</f>
        <v>24305.992699571067</v>
      </c>
      <c r="F16" s="131">
        <f>IF(SER_hh_tes!F16=0,0,11630*1000*SER_hh_tes!F16/SER_hh_num!F16)</f>
        <v>19490.377836618361</v>
      </c>
      <c r="G16" s="131">
        <f>IF(SER_hh_tes!G16=0,0,11630*1000*SER_hh_tes!G16/SER_hh_num!G16)</f>
        <v>19544.604985208356</v>
      </c>
      <c r="H16" s="131">
        <f>IF(SER_hh_tes!H16=0,0,11630*1000*SER_hh_tes!H16/SER_hh_num!H16)</f>
        <v>21733.856977124258</v>
      </c>
      <c r="I16" s="131">
        <f>IF(SER_hh_tes!I16=0,0,11630*1000*SER_hh_tes!I16/SER_hh_num!I16)</f>
        <v>23834.140846416896</v>
      </c>
      <c r="J16" s="131">
        <f>IF(SER_hh_tes!J16=0,0,11630*1000*SER_hh_tes!J16/SER_hh_num!J16)</f>
        <v>20506.928436501097</v>
      </c>
      <c r="K16" s="131">
        <f>IF(SER_hh_tes!K16=0,0,11630*1000*SER_hh_tes!K16/SER_hh_num!K16)</f>
        <v>20794.42683781077</v>
      </c>
      <c r="L16" s="131">
        <f>IF(SER_hh_tes!L16=0,0,11630*1000*SER_hh_tes!L16/SER_hh_num!L16)</f>
        <v>21941.59432475088</v>
      </c>
      <c r="M16" s="131">
        <f>IF(SER_hh_tes!M16=0,0,11630*1000*SER_hh_tes!M16/SER_hh_num!M16)</f>
        <v>21759.524734928782</v>
      </c>
      <c r="N16" s="131">
        <f>IF(SER_hh_tes!N16=0,0,11630*1000*SER_hh_tes!N16/SER_hh_num!N16)</f>
        <v>27819.514707165003</v>
      </c>
      <c r="O16" s="131">
        <f>IF(SER_hh_tes!O16=0,0,11630*1000*SER_hh_tes!O16/SER_hh_num!O16)</f>
        <v>23048.909319379978</v>
      </c>
      <c r="P16" s="131">
        <f>IF(SER_hh_tes!P16=0,0,11630*1000*SER_hh_tes!P16/SER_hh_num!P16)</f>
        <v>20556.599885729218</v>
      </c>
      <c r="Q16" s="131">
        <f>IF(SER_hh_tes!Q16=0,0,11630*1000*SER_hh_tes!Q16/SER_hh_num!Q16)</f>
        <v>30046.301091813148</v>
      </c>
      <c r="R16" s="131">
        <f>IF(SER_hh_tes!R16=0,0,11630*1000*SER_hh_tes!R16/SER_hh_num!R16)</f>
        <v>21175.591131474983</v>
      </c>
      <c r="S16" s="131">
        <f>IF(SER_hh_tes!S16=0,0,11630*1000*SER_hh_tes!S16/SER_hh_num!S16)</f>
        <v>25550.932945863606</v>
      </c>
      <c r="T16" s="131">
        <f>IF(SER_hh_tes!T16=0,0,11630*1000*SER_hh_tes!T16/SER_hh_num!T16)</f>
        <v>24404.689676507653</v>
      </c>
      <c r="U16" s="131">
        <f>IF(SER_hh_tes!U16=0,0,11630*1000*SER_hh_tes!U16/SER_hh_num!U16)</f>
        <v>26161.837851646385</v>
      </c>
      <c r="V16" s="131">
        <f>IF(SER_hh_tes!V16=0,0,11630*1000*SER_hh_tes!V16/SER_hh_num!V16)</f>
        <v>21857.38705147678</v>
      </c>
      <c r="W16" s="131">
        <f>IF(SER_hh_tes!W16=0,0,11630*1000*SER_hh_tes!W16/SER_hh_num!W16)</f>
        <v>27625.600870671937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21804.148904232115</v>
      </c>
      <c r="C17" s="133">
        <f>IF(SER_hh_tes!C17=0,0,11630*1000*SER_hh_tes!C17/SER_hh_num!C17)</f>
        <v>19966.181874728176</v>
      </c>
      <c r="D17" s="133">
        <f>IF(SER_hh_tes!D17=0,0,11630*1000*SER_hh_tes!D17/SER_hh_num!D17)</f>
        <v>21150.333271890115</v>
      </c>
      <c r="E17" s="133">
        <f>IF(SER_hh_tes!E17=0,0,11630*1000*SER_hh_tes!E17/SER_hh_num!E17)</f>
        <v>24305.968862376165</v>
      </c>
      <c r="F17" s="133">
        <f>IF(SER_hh_tes!F17=0,0,11630*1000*SER_hh_tes!F17/SER_hh_num!F17)</f>
        <v>19490.344053903336</v>
      </c>
      <c r="G17" s="133">
        <f>IF(SER_hh_tes!G17=0,0,11630*1000*SER_hh_tes!G17/SER_hh_num!G17)</f>
        <v>19544.571944006711</v>
      </c>
      <c r="H17" s="133">
        <f>IF(SER_hh_tes!H17=0,0,11630*1000*SER_hh_tes!H17/SER_hh_num!H17)</f>
        <v>21733.835837473594</v>
      </c>
      <c r="I17" s="133">
        <f>IF(SER_hh_tes!I17=0,0,11630*1000*SER_hh_tes!I17/SER_hh_num!I17)</f>
        <v>23834.138984430563</v>
      </c>
      <c r="J17" s="133">
        <f>IF(SER_hh_tes!J17=0,0,11630*1000*SER_hh_tes!J17/SER_hh_num!J17)</f>
        <v>20506.940696331749</v>
      </c>
      <c r="K17" s="133">
        <f>IF(SER_hh_tes!K17=0,0,11630*1000*SER_hh_tes!K17/SER_hh_num!K17)</f>
        <v>20794.449044378525</v>
      </c>
      <c r="L17" s="133">
        <f>IF(SER_hh_tes!L17=0,0,11630*1000*SER_hh_tes!L17/SER_hh_num!L17)</f>
        <v>21941.628771282354</v>
      </c>
      <c r="M17" s="133">
        <f>IF(SER_hh_tes!M17=0,0,11630*1000*SER_hh_tes!M17/SER_hh_num!M17)</f>
        <v>21759.569189841521</v>
      </c>
      <c r="N17" s="133">
        <f>IF(SER_hh_tes!N17=0,0,11630*1000*SER_hh_tes!N17/SER_hh_num!N17)</f>
        <v>27819.494122002059</v>
      </c>
      <c r="O17" s="133">
        <f>IF(SER_hh_tes!O17=0,0,11630*1000*SER_hh_tes!O17/SER_hh_num!O17)</f>
        <v>23048.851430635063</v>
      </c>
      <c r="P17" s="133">
        <f>IF(SER_hh_tes!P17=0,0,11630*1000*SER_hh_tes!P17/SER_hh_num!P17)</f>
        <v>20556.535409855787</v>
      </c>
      <c r="Q17" s="133">
        <f>IF(SER_hh_tes!Q17=0,0,11630*1000*SER_hh_tes!Q17/SER_hh_num!Q17)</f>
        <v>30046.222647810184</v>
      </c>
      <c r="R17" s="133">
        <f>IF(SER_hh_tes!R17=0,0,11630*1000*SER_hh_tes!R17/SER_hh_num!R17)</f>
        <v>21175.5712687663</v>
      </c>
      <c r="S17" s="133">
        <f>IF(SER_hh_tes!S17=0,0,11630*1000*SER_hh_tes!S17/SER_hh_num!S17)</f>
        <v>25550.954259179998</v>
      </c>
      <c r="T17" s="133">
        <f>IF(SER_hh_tes!T17=0,0,11630*1000*SER_hh_tes!T17/SER_hh_num!T17)</f>
        <v>24404.744492326859</v>
      </c>
      <c r="U17" s="133">
        <f>IF(SER_hh_tes!U17=0,0,11630*1000*SER_hh_tes!U17/SER_hh_num!U17)</f>
        <v>26161.911081303748</v>
      </c>
      <c r="V17" s="133">
        <f>IF(SER_hh_tes!V17=0,0,11630*1000*SER_hh_tes!V17/SER_hh_num!V17)</f>
        <v>18575.490402925789</v>
      </c>
      <c r="W17" s="133">
        <f>IF(SER_hh_tes!W17=0,0,11630*1000*SER_hh_tes!W17/SER_hh_num!W17)</f>
        <v>23664.079298407054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21804.148904232115</v>
      </c>
      <c r="C18" s="133">
        <f>IF(SER_hh_tes!C18=0,0,11630*1000*SER_hh_tes!C18/SER_hh_num!C18)</f>
        <v>19966.104023235901</v>
      </c>
      <c r="D18" s="133">
        <f>IF(SER_hh_tes!D18=0,0,11630*1000*SER_hh_tes!D18/SER_hh_num!D18)</f>
        <v>21150.317445251007</v>
      </c>
      <c r="E18" s="133">
        <f>IF(SER_hh_tes!E18=0,0,11630*1000*SER_hh_tes!E18/SER_hh_num!E18)</f>
        <v>24305.992783995862</v>
      </c>
      <c r="F18" s="133">
        <f>IF(SER_hh_tes!F18=0,0,11630*1000*SER_hh_tes!F18/SER_hh_num!F18)</f>
        <v>19490.377949834627</v>
      </c>
      <c r="G18" s="133">
        <f>IF(SER_hh_tes!G18=0,0,11630*1000*SER_hh_tes!G18/SER_hh_num!G18)</f>
        <v>19544.605099060445</v>
      </c>
      <c r="H18" s="133">
        <f>IF(SER_hh_tes!H18=0,0,11630*1000*SER_hh_tes!H18/SER_hh_num!H18)</f>
        <v>21733.85705502205</v>
      </c>
      <c r="I18" s="133">
        <f>IF(SER_hh_tes!I18=0,0,11630*1000*SER_hh_tes!I18/SER_hh_num!I18)</f>
        <v>23834.140853611098</v>
      </c>
      <c r="J18" s="133">
        <f>IF(SER_hh_tes!J18=0,0,11630*1000*SER_hh_tes!J18/SER_hh_num!J18)</f>
        <v>20506.928390351331</v>
      </c>
      <c r="K18" s="133">
        <f>IF(SER_hh_tes!K18=0,0,11630*1000*SER_hh_tes!K18/SER_hh_num!K18)</f>
        <v>20794.426750778988</v>
      </c>
      <c r="L18" s="133">
        <f>IF(SER_hh_tes!L18=0,0,11630*1000*SER_hh_tes!L18/SER_hh_num!L18)</f>
        <v>21941.594175729759</v>
      </c>
      <c r="M18" s="133">
        <f>IF(SER_hh_tes!M18=0,0,11630*1000*SER_hh_tes!M18/SER_hh_num!M18)</f>
        <v>21759.524522687683</v>
      </c>
      <c r="N18" s="133">
        <f>IF(SER_hh_tes!N18=0,0,11630*1000*SER_hh_tes!N18/SER_hh_num!N18)</f>
        <v>27819.514816344428</v>
      </c>
      <c r="O18" s="133">
        <f>IF(SER_hh_tes!O18=0,0,11630*1000*SER_hh_tes!O18/SER_hh_num!O18)</f>
        <v>23048.909656306172</v>
      </c>
      <c r="P18" s="133">
        <f>IF(SER_hh_tes!P18=0,0,11630*1000*SER_hh_tes!P18/SER_hh_num!P18)</f>
        <v>20556.600276322151</v>
      </c>
      <c r="Q18" s="133">
        <f>IF(SER_hh_tes!Q18=0,0,11630*1000*SER_hh_tes!Q18/SER_hh_num!Q18)</f>
        <v>30046.301603443408</v>
      </c>
      <c r="R18" s="133">
        <f>IF(SER_hh_tes!R18=0,0,11630*1000*SER_hh_tes!R18/SER_hh_num!R18)</f>
        <v>21175.591267969543</v>
      </c>
      <c r="S18" s="133">
        <f>IF(SER_hh_tes!S18=0,0,11630*1000*SER_hh_tes!S18/SER_hh_num!S18)</f>
        <v>25550.932777832222</v>
      </c>
      <c r="T18" s="133">
        <f>IF(SER_hh_tes!T18=0,0,11630*1000*SER_hh_tes!T18/SER_hh_num!T18)</f>
        <v>24404.689218448111</v>
      </c>
      <c r="U18" s="133">
        <f>IF(SER_hh_tes!U18=0,0,11630*1000*SER_hh_tes!U18/SER_hh_num!U18)</f>
        <v>26161.837131737891</v>
      </c>
      <c r="V18" s="133">
        <f>IF(SER_hh_tes!V18=0,0,11630*1000*SER_hh_tes!V18/SER_hh_num!V18)</f>
        <v>21894.152661889639</v>
      </c>
      <c r="W18" s="133">
        <f>IF(SER_hh_tes!W18=0,0,11630*1000*SER_hh_tes!W18/SER_hh_num!W18)</f>
        <v>27671.275866683198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16265.142499381329</v>
      </c>
      <c r="C19" s="131">
        <f>IF(SER_hh_tes!C19=0,0,11630*1000*SER_hh_tes!C19/SER_hh_num!C19)</f>
        <v>16287.482115421792</v>
      </c>
      <c r="D19" s="131">
        <f>IF(SER_hh_tes!D19=0,0,11630*1000*SER_hh_tes!D19/SER_hh_num!D19)</f>
        <v>16524.822452612971</v>
      </c>
      <c r="E19" s="131">
        <f>IF(SER_hh_tes!E19=0,0,11630*1000*SER_hh_tes!E19/SER_hh_num!E19)</f>
        <v>16347.249093210336</v>
      </c>
      <c r="F19" s="131">
        <f>IF(SER_hh_tes!F19=0,0,11630*1000*SER_hh_tes!F19/SER_hh_num!F19)</f>
        <v>16649.720147990298</v>
      </c>
      <c r="G19" s="131">
        <f>IF(SER_hh_tes!G19=0,0,11630*1000*SER_hh_tes!G19/SER_hh_num!G19)</f>
        <v>16491.018693291258</v>
      </c>
      <c r="H19" s="131">
        <f>IF(SER_hh_tes!H19=0,0,11630*1000*SER_hh_tes!H19/SER_hh_num!H19)</f>
        <v>16481.160870064345</v>
      </c>
      <c r="I19" s="131">
        <f>IF(SER_hh_tes!I19=0,0,11630*1000*SER_hh_tes!I19/SER_hh_num!I19)</f>
        <v>16402.004846357228</v>
      </c>
      <c r="J19" s="131">
        <f>IF(SER_hh_tes!J19=0,0,11630*1000*SER_hh_tes!J19/SER_hh_num!J19)</f>
        <v>16663.861746149021</v>
      </c>
      <c r="K19" s="131">
        <f>IF(SER_hh_tes!K19=0,0,11630*1000*SER_hh_tes!K19/SER_hh_num!K19)</f>
        <v>16902.957885591397</v>
      </c>
      <c r="L19" s="131">
        <f>IF(SER_hh_tes!L19=0,0,11630*1000*SER_hh_tes!L19/SER_hh_num!L19)</f>
        <v>16947.877118404667</v>
      </c>
      <c r="M19" s="131">
        <f>IF(SER_hh_tes!M19=0,0,11630*1000*SER_hh_tes!M19/SER_hh_num!M19)</f>
        <v>17039.869639174463</v>
      </c>
      <c r="N19" s="131">
        <f>IF(SER_hh_tes!N19=0,0,11630*1000*SER_hh_tes!N19/SER_hh_num!N19)</f>
        <v>17203.520124574847</v>
      </c>
      <c r="O19" s="131">
        <f>IF(SER_hh_tes!O19=0,0,11630*1000*SER_hh_tes!O19/SER_hh_num!O19)</f>
        <v>17157.689062501002</v>
      </c>
      <c r="P19" s="131">
        <f>IF(SER_hh_tes!P19=0,0,11630*1000*SER_hh_tes!P19/SER_hh_num!P19)</f>
        <v>16796.323228171663</v>
      </c>
      <c r="Q19" s="131">
        <f>IF(SER_hh_tes!Q19=0,0,11630*1000*SER_hh_tes!Q19/SER_hh_num!Q19)</f>
        <v>16856.266810082088</v>
      </c>
      <c r="R19" s="131">
        <f>IF(SER_hh_tes!R19=0,0,11630*1000*SER_hh_tes!R19/SER_hh_num!R19)</f>
        <v>16968.151686832935</v>
      </c>
      <c r="S19" s="131">
        <f>IF(SER_hh_tes!S19=0,0,11630*1000*SER_hh_tes!S19/SER_hh_num!S19)</f>
        <v>16924.468338777791</v>
      </c>
      <c r="T19" s="131">
        <f>IF(SER_hh_tes!T19=0,0,11630*1000*SER_hh_tes!T19/SER_hh_num!T19)</f>
        <v>17026.159196923425</v>
      </c>
      <c r="U19" s="131">
        <f>IF(SER_hh_tes!U19=0,0,11630*1000*SER_hh_tes!U19/SER_hh_num!U19)</f>
        <v>16780.07142301611</v>
      </c>
      <c r="V19" s="131">
        <f>IF(SER_hh_tes!V19=0,0,11630*1000*SER_hh_tes!V19/SER_hh_num!V19)</f>
        <v>15269.861013257905</v>
      </c>
      <c r="W19" s="131">
        <f>IF(SER_hh_tes!W19=0,0,11630*1000*SER_hh_tes!W19/SER_hh_num!W19)</f>
        <v>15737.604928221379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0</v>
      </c>
      <c r="C22" s="133">
        <f>IF(SER_hh_tes!C22=0,0,11630*1000*SER_hh_tes!C22/SER_hh_num!C22)</f>
        <v>0</v>
      </c>
      <c r="D22" s="133">
        <f>IF(SER_hh_tes!D22=0,0,11630*1000*SER_hh_tes!D22/SER_hh_num!D22)</f>
        <v>0</v>
      </c>
      <c r="E22" s="133">
        <f>IF(SER_hh_tes!E22=0,0,11630*1000*SER_hh_tes!E22/SER_hh_num!E22)</f>
        <v>0</v>
      </c>
      <c r="F22" s="133">
        <f>IF(SER_hh_tes!F22=0,0,11630*1000*SER_hh_tes!F22/SER_hh_num!F22)</f>
        <v>0</v>
      </c>
      <c r="G22" s="133">
        <f>IF(SER_hh_tes!G22=0,0,11630*1000*SER_hh_tes!G22/SER_hh_num!G22)</f>
        <v>0</v>
      </c>
      <c r="H22" s="133">
        <f>IF(SER_hh_tes!H22=0,0,11630*1000*SER_hh_tes!H22/SER_hh_num!H22)</f>
        <v>0</v>
      </c>
      <c r="I22" s="133">
        <f>IF(SER_hh_tes!I22=0,0,11630*1000*SER_hh_tes!I22/SER_hh_num!I22)</f>
        <v>0</v>
      </c>
      <c r="J22" s="133">
        <f>IF(SER_hh_tes!J22=0,0,11630*1000*SER_hh_tes!J22/SER_hh_num!J22)</f>
        <v>0</v>
      </c>
      <c r="K22" s="133">
        <f>IF(SER_hh_tes!K22=0,0,11630*1000*SER_hh_tes!K22/SER_hh_num!K22)</f>
        <v>0</v>
      </c>
      <c r="L22" s="133">
        <f>IF(SER_hh_tes!L22=0,0,11630*1000*SER_hh_tes!L22/SER_hh_num!L22)</f>
        <v>0</v>
      </c>
      <c r="M22" s="133">
        <f>IF(SER_hh_tes!M22=0,0,11630*1000*SER_hh_tes!M22/SER_hh_num!M22)</f>
        <v>0</v>
      </c>
      <c r="N22" s="133">
        <f>IF(SER_hh_tes!N22=0,0,11630*1000*SER_hh_tes!N22/SER_hh_num!N22)</f>
        <v>0</v>
      </c>
      <c r="O22" s="133">
        <f>IF(SER_hh_tes!O22=0,0,11630*1000*SER_hh_tes!O22/SER_hh_num!O22)</f>
        <v>0</v>
      </c>
      <c r="P22" s="133">
        <f>IF(SER_hh_tes!P22=0,0,11630*1000*SER_hh_tes!P22/SER_hh_num!P22)</f>
        <v>0</v>
      </c>
      <c r="Q22" s="133">
        <f>IF(SER_hh_tes!Q22=0,0,11630*1000*SER_hh_tes!Q22/SER_hh_num!Q22)</f>
        <v>0</v>
      </c>
      <c r="R22" s="133">
        <f>IF(SER_hh_tes!R22=0,0,11630*1000*SER_hh_tes!R22/SER_hh_num!R22)</f>
        <v>0</v>
      </c>
      <c r="S22" s="133">
        <f>IF(SER_hh_tes!S22=0,0,11630*1000*SER_hh_tes!S22/SER_hh_num!S22)</f>
        <v>0</v>
      </c>
      <c r="T22" s="133">
        <f>IF(SER_hh_tes!T22=0,0,11630*1000*SER_hh_tes!T22/SER_hh_num!T22)</f>
        <v>0</v>
      </c>
      <c r="U22" s="133">
        <f>IF(SER_hh_tes!U22=0,0,11630*1000*SER_hh_tes!U22/SER_hh_num!U22)</f>
        <v>0</v>
      </c>
      <c r="V22" s="133">
        <f>IF(SER_hh_tes!V22=0,0,11630*1000*SER_hh_tes!V22/SER_hh_num!V22)</f>
        <v>0</v>
      </c>
      <c r="W22" s="133">
        <f>IF(SER_hh_tes!W22=0,0,11630*1000*SER_hh_tes!W22/SER_hh_num!W22)</f>
        <v>0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16156.494290234485</v>
      </c>
      <c r="C23" s="133">
        <f>IF(SER_hh_tes!C23=0,0,11630*1000*SER_hh_tes!C23/SER_hh_num!C23)</f>
        <v>16236.270892979925</v>
      </c>
      <c r="D23" s="133">
        <f>IF(SER_hh_tes!D23=0,0,11630*1000*SER_hh_tes!D23/SER_hh_num!D23)</f>
        <v>16460.816132974785</v>
      </c>
      <c r="E23" s="133">
        <f>IF(SER_hh_tes!E23=0,0,11630*1000*SER_hh_tes!E23/SER_hh_num!E23)</f>
        <v>16568.20688577215</v>
      </c>
      <c r="F23" s="133">
        <f>IF(SER_hh_tes!F23=0,0,11630*1000*SER_hh_tes!F23/SER_hh_num!F23)</f>
        <v>16964.822349343653</v>
      </c>
      <c r="G23" s="133">
        <f>IF(SER_hh_tes!G23=0,0,11630*1000*SER_hh_tes!G23/SER_hh_num!G23)</f>
        <v>16424.407489854835</v>
      </c>
      <c r="H23" s="133">
        <f>IF(SER_hh_tes!H23=0,0,11630*1000*SER_hh_tes!H23/SER_hh_num!H23)</f>
        <v>16105.498719379499</v>
      </c>
      <c r="I23" s="133">
        <f>IF(SER_hh_tes!I23=0,0,11630*1000*SER_hh_tes!I23/SER_hh_num!I23)</f>
        <v>16099.930016755534</v>
      </c>
      <c r="J23" s="133">
        <f>IF(SER_hh_tes!J23=0,0,11630*1000*SER_hh_tes!J23/SER_hh_num!J23)</f>
        <v>16505.712890333507</v>
      </c>
      <c r="K23" s="133">
        <f>IF(SER_hh_tes!K23=0,0,11630*1000*SER_hh_tes!K23/SER_hh_num!K23)</f>
        <v>17104.752040594103</v>
      </c>
      <c r="L23" s="133">
        <f>IF(SER_hh_tes!L23=0,0,11630*1000*SER_hh_tes!L23/SER_hh_num!L23)</f>
        <v>17124.12703456324</v>
      </c>
      <c r="M23" s="133">
        <f>IF(SER_hh_tes!M23=0,0,11630*1000*SER_hh_tes!M23/SER_hh_num!M23)</f>
        <v>16796.228642046623</v>
      </c>
      <c r="N23" s="133">
        <f>IF(SER_hh_tes!N23=0,0,11630*1000*SER_hh_tes!N23/SER_hh_num!N23)</f>
        <v>16597.732685933701</v>
      </c>
      <c r="O23" s="133">
        <f>IF(SER_hh_tes!O23=0,0,11630*1000*SER_hh_tes!O23/SER_hh_num!O23)</f>
        <v>17554.440293399075</v>
      </c>
      <c r="P23" s="133">
        <f>IF(SER_hh_tes!P23=0,0,11630*1000*SER_hh_tes!P23/SER_hh_num!P23)</f>
        <v>16933.768021178799</v>
      </c>
      <c r="Q23" s="133">
        <f>IF(SER_hh_tes!Q23=0,0,11630*1000*SER_hh_tes!Q23/SER_hh_num!Q23)</f>
        <v>16951.082251870448</v>
      </c>
      <c r="R23" s="133">
        <f>IF(SER_hh_tes!R23=0,0,11630*1000*SER_hh_tes!R23/SER_hh_num!R23)</f>
        <v>17075.735015097667</v>
      </c>
      <c r="S23" s="133">
        <f>IF(SER_hh_tes!S23=0,0,11630*1000*SER_hh_tes!S23/SER_hh_num!S23)</f>
        <v>17046.895028363142</v>
      </c>
      <c r="T23" s="133">
        <f>IF(SER_hh_tes!T23=0,0,11630*1000*SER_hh_tes!T23/SER_hh_num!T23)</f>
        <v>17319.587086416414</v>
      </c>
      <c r="U23" s="133">
        <f>IF(SER_hh_tes!U23=0,0,11630*1000*SER_hh_tes!U23/SER_hh_num!U23)</f>
        <v>16823.983486682988</v>
      </c>
      <c r="V23" s="133">
        <f>IF(SER_hh_tes!V23=0,0,11630*1000*SER_hh_tes!V23/SER_hh_num!V23)</f>
        <v>15491.228098771997</v>
      </c>
      <c r="W23" s="133">
        <f>IF(SER_hh_tes!W23=0,0,11630*1000*SER_hh_tes!W23/SER_hh_num!W23)</f>
        <v>15530.903021274682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24165.858656218847</v>
      </c>
      <c r="O24" s="133">
        <f>IF(SER_hh_tes!O24=0,0,11630*1000*SER_hh_tes!O24/SER_hh_num!O24)</f>
        <v>18935.282016651101</v>
      </c>
      <c r="P24" s="133">
        <f>IF(SER_hh_tes!P24=0,0,11630*1000*SER_hh_tes!P24/SER_hh_num!P24)</f>
        <v>17180.849524547808</v>
      </c>
      <c r="Q24" s="133">
        <f>IF(SER_hh_tes!Q24=0,0,11630*1000*SER_hh_tes!Q24/SER_hh_num!Q24)</f>
        <v>16922.66437512192</v>
      </c>
      <c r="R24" s="133">
        <f>IF(SER_hh_tes!R24=0,0,11630*1000*SER_hh_tes!R24/SER_hh_num!R24)</f>
        <v>16844.180159981235</v>
      </c>
      <c r="S24" s="133">
        <f>IF(SER_hh_tes!S24=0,0,11630*1000*SER_hh_tes!S24/SER_hh_num!S24)</f>
        <v>16937.913152107769</v>
      </c>
      <c r="T24" s="133">
        <f>IF(SER_hh_tes!T24=0,0,11630*1000*SER_hh_tes!T24/SER_hh_num!T24)</f>
        <v>16697.339988170497</v>
      </c>
      <c r="U24" s="133">
        <f>IF(SER_hh_tes!U24=0,0,11630*1000*SER_hh_tes!U24/SER_hh_num!U24)</f>
        <v>16867.497157061698</v>
      </c>
      <c r="V24" s="133">
        <f>IF(SER_hh_tes!V24=0,0,11630*1000*SER_hh_tes!V24/SER_hh_num!V24)</f>
        <v>15979.694968774686</v>
      </c>
      <c r="W24" s="133">
        <f>IF(SER_hh_tes!W24=0,0,11630*1000*SER_hh_tes!W24/SER_hh_num!W24)</f>
        <v>14889.575718998449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16278.132258235764</v>
      </c>
      <c r="C25" s="133">
        <f>IF(SER_hh_tes!C25=0,0,11630*1000*SER_hh_tes!C25/SER_hh_num!C25)</f>
        <v>16293.107046222678</v>
      </c>
      <c r="D25" s="133">
        <f>IF(SER_hh_tes!D25=0,0,11630*1000*SER_hh_tes!D25/SER_hh_num!D25)</f>
        <v>16330.770028014082</v>
      </c>
      <c r="E25" s="133">
        <f>IF(SER_hh_tes!E25=0,0,11630*1000*SER_hh_tes!E25/SER_hh_num!E25)</f>
        <v>16238.292400384657</v>
      </c>
      <c r="F25" s="133">
        <f>IF(SER_hh_tes!F25=0,0,11630*1000*SER_hh_tes!F25/SER_hh_num!F25)</f>
        <v>16196.778451069984</v>
      </c>
      <c r="G25" s="133">
        <f>IF(SER_hh_tes!G25=0,0,11630*1000*SER_hh_tes!G25/SER_hh_num!G25)</f>
        <v>16680.94786001445</v>
      </c>
      <c r="H25" s="133">
        <f>IF(SER_hh_tes!H25=0,0,11630*1000*SER_hh_tes!H25/SER_hh_num!H25)</f>
        <v>16420.664735839735</v>
      </c>
      <c r="I25" s="133">
        <f>IF(SER_hh_tes!I25=0,0,11630*1000*SER_hh_tes!I25/SER_hh_num!I25)</f>
        <v>16293.315679305751</v>
      </c>
      <c r="J25" s="133">
        <f>IF(SER_hh_tes!J25=0,0,11630*1000*SER_hh_tes!J25/SER_hh_num!J25)</f>
        <v>16915.308169882184</v>
      </c>
      <c r="K25" s="133">
        <f>IF(SER_hh_tes!K25=0,0,11630*1000*SER_hh_tes!K25/SER_hh_num!K25)</f>
        <v>16979.080085602509</v>
      </c>
      <c r="L25" s="133">
        <f>IF(SER_hh_tes!L25=0,0,11630*1000*SER_hh_tes!L25/SER_hh_num!L25)</f>
        <v>16993.985260200108</v>
      </c>
      <c r="M25" s="133">
        <f>IF(SER_hh_tes!M25=0,0,11630*1000*SER_hh_tes!M25/SER_hh_num!M25)</f>
        <v>17053.399769526728</v>
      </c>
      <c r="N25" s="133">
        <f>IF(SER_hh_tes!N25=0,0,11630*1000*SER_hh_tes!N25/SER_hh_num!N25)</f>
        <v>17351.129011121073</v>
      </c>
      <c r="O25" s="133">
        <f>IF(SER_hh_tes!O25=0,0,11630*1000*SER_hh_tes!O25/SER_hh_num!O25)</f>
        <v>16969.339532413647</v>
      </c>
      <c r="P25" s="133">
        <f>IF(SER_hh_tes!P25=0,0,11630*1000*SER_hh_tes!P25/SER_hh_num!P25)</f>
        <v>16705.339691132715</v>
      </c>
      <c r="Q25" s="133">
        <f>IF(SER_hh_tes!Q25=0,0,11630*1000*SER_hh_tes!Q25/SER_hh_num!Q25)</f>
        <v>16913.242988124632</v>
      </c>
      <c r="R25" s="133">
        <f>IF(SER_hh_tes!R25=0,0,11630*1000*SER_hh_tes!R25/SER_hh_num!R25)</f>
        <v>16878.283830288387</v>
      </c>
      <c r="S25" s="133">
        <f>IF(SER_hh_tes!S25=0,0,11630*1000*SER_hh_tes!S25/SER_hh_num!S25)</f>
        <v>16937.931883088753</v>
      </c>
      <c r="T25" s="133">
        <f>IF(SER_hh_tes!T25=0,0,11630*1000*SER_hh_tes!T25/SER_hh_num!T25)</f>
        <v>16868.113785841051</v>
      </c>
      <c r="U25" s="133">
        <f>IF(SER_hh_tes!U25=0,0,11630*1000*SER_hh_tes!U25/SER_hh_num!U25)</f>
        <v>17329.859129075132</v>
      </c>
      <c r="V25" s="133">
        <f>IF(SER_hh_tes!V25=0,0,11630*1000*SER_hh_tes!V25/SER_hh_num!V25)</f>
        <v>14932.499740102518</v>
      </c>
      <c r="W25" s="133">
        <f>IF(SER_hh_tes!W25=0,0,11630*1000*SER_hh_tes!W25/SER_hh_num!W25)</f>
        <v>15845.019995946244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16354.158708658484</v>
      </c>
      <c r="C26" s="65">
        <f>IF(SER_hh_tes!C26=0,0,11630*1000*SER_hh_tes!C26/SER_hh_num!C26)</f>
        <v>16329.384591344991</v>
      </c>
      <c r="D26" s="65">
        <f>IF(SER_hh_tes!D26=0,0,11630*1000*SER_hh_tes!D26/SER_hh_num!D26)</f>
        <v>16620.94522605247</v>
      </c>
      <c r="E26" s="65">
        <f>IF(SER_hh_tes!E26=0,0,11630*1000*SER_hh_tes!E26/SER_hh_num!E26)</f>
        <v>16170.717517535286</v>
      </c>
      <c r="F26" s="65">
        <f>IF(SER_hh_tes!F26=0,0,11630*1000*SER_hh_tes!F26/SER_hh_num!F26)</f>
        <v>16444.52703055683</v>
      </c>
      <c r="G26" s="65">
        <f>IF(SER_hh_tes!G26=0,0,11630*1000*SER_hh_tes!G26/SER_hh_num!G26)</f>
        <v>16508.849641062941</v>
      </c>
      <c r="H26" s="65">
        <f>IF(SER_hh_tes!H26=0,0,11630*1000*SER_hh_tes!H26/SER_hh_num!H26)</f>
        <v>16872.106961552883</v>
      </c>
      <c r="I26" s="65">
        <f>IF(SER_hh_tes!I26=0,0,11630*1000*SER_hh_tes!I26/SER_hh_num!I26)</f>
        <v>16758.045514244837</v>
      </c>
      <c r="J26" s="65">
        <f>IF(SER_hh_tes!J26=0,0,11630*1000*SER_hh_tes!J26/SER_hh_num!J26)</f>
        <v>16768.178657238674</v>
      </c>
      <c r="K26" s="65">
        <f>IF(SER_hh_tes!K26=0,0,11630*1000*SER_hh_tes!K26/SER_hh_num!K26)</f>
        <v>16549.859409924498</v>
      </c>
      <c r="L26" s="65">
        <f>IF(SER_hh_tes!L26=0,0,11630*1000*SER_hh_tes!L26/SER_hh_num!L26)</f>
        <v>16592.20604715747</v>
      </c>
      <c r="M26" s="65">
        <f>IF(SER_hh_tes!M26=0,0,11630*1000*SER_hh_tes!M26/SER_hh_num!M26)</f>
        <v>17396.260588787893</v>
      </c>
      <c r="N26" s="65">
        <f>IF(SER_hh_tes!N26=0,0,11630*1000*SER_hh_tes!N26/SER_hh_num!N26)</f>
        <v>17831.001149651755</v>
      </c>
      <c r="O26" s="65">
        <f>IF(SER_hh_tes!O26=0,0,11630*1000*SER_hh_tes!O26/SER_hh_num!O26)</f>
        <v>16113.192554247855</v>
      </c>
      <c r="P26" s="65">
        <f>IF(SER_hh_tes!P26=0,0,11630*1000*SER_hh_tes!P26/SER_hh_num!P26)</f>
        <v>16354.630543065921</v>
      </c>
      <c r="Q26" s="65">
        <f>IF(SER_hh_tes!Q26=0,0,11630*1000*SER_hh_tes!Q26/SER_hh_num!Q26)</f>
        <v>16478.086203152619</v>
      </c>
      <c r="R26" s="65">
        <f>IF(SER_hh_tes!R26=0,0,11630*1000*SER_hh_tes!R26/SER_hh_num!R26)</f>
        <v>16647.914142671678</v>
      </c>
      <c r="S26" s="65">
        <f>IF(SER_hh_tes!S26=0,0,11630*1000*SER_hh_tes!S26/SER_hh_num!S26)</f>
        <v>16494.950347473907</v>
      </c>
      <c r="T26" s="65">
        <f>IF(SER_hh_tes!T26=0,0,11630*1000*SER_hh_tes!T26/SER_hh_num!T26)</f>
        <v>16263.372733377682</v>
      </c>
      <c r="U26" s="65">
        <f>IF(SER_hh_tes!U26=0,0,11630*1000*SER_hh_tes!U26/SER_hh_num!U26)</f>
        <v>16302.752265085215</v>
      </c>
      <c r="V26" s="65">
        <f>IF(SER_hh_tes!V26=0,0,11630*1000*SER_hh_tes!V26/SER_hh_num!V26)</f>
        <v>14682.207523697953</v>
      </c>
      <c r="W26" s="65">
        <f>IF(SER_hh_tes!W26=0,0,11630*1000*SER_hh_tes!W26/SER_hh_num!W26)</f>
        <v>16152.019370187409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2.9029491243213181</v>
      </c>
      <c r="H27" s="146">
        <f>IF(SER_hh_tes!H27=0,0,11630*1000*SER_hh_tes!H27/SER_hh_num!H19)</f>
        <v>5.7270370321469724</v>
      </c>
      <c r="I27" s="146">
        <f>IF(SER_hh_tes!I27=0,0,11630*1000*SER_hh_tes!I27/SER_hh_num!I19)</f>
        <v>8.4159731513657867</v>
      </c>
      <c r="J27" s="146">
        <f>IF(SER_hh_tes!J27=0,0,11630*1000*SER_hh_tes!J27/SER_hh_num!J19)</f>
        <v>11.289769153996264</v>
      </c>
      <c r="K27" s="146">
        <f>IF(SER_hh_tes!K27=0,0,11630*1000*SER_hh_tes!K27/SER_hh_num!K19)</f>
        <v>14.175354811408329</v>
      </c>
      <c r="L27" s="146">
        <f>IF(SER_hh_tes!L27=0,0,11630*1000*SER_hh_tes!L27/SER_hh_num!L19)</f>
        <v>19.834646330246951</v>
      </c>
      <c r="M27" s="146">
        <f>IF(SER_hh_tes!M27=0,0,11630*1000*SER_hh_tes!M27/SER_hh_num!M19)</f>
        <v>22.57127603477787</v>
      </c>
      <c r="N27" s="146">
        <f>IF(SER_hh_tes!N27=0,0,11630*1000*SER_hh_tes!N27/SER_hh_num!N19)</f>
        <v>22.408727788660453</v>
      </c>
      <c r="O27" s="146">
        <f>IF(SER_hh_tes!O27=0,0,11630*1000*SER_hh_tes!O27/SER_hh_num!O19)</f>
        <v>22.175332329026585</v>
      </c>
      <c r="P27" s="146">
        <f>IF(SER_hh_tes!P27=0,0,11630*1000*SER_hh_tes!P27/SER_hh_num!P19)</f>
        <v>24.190039720877248</v>
      </c>
      <c r="Q27" s="146">
        <f>IF(SER_hh_tes!Q27=0,0,11630*1000*SER_hh_tes!Q27/SER_hh_num!Q19)</f>
        <v>24.172887115550186</v>
      </c>
      <c r="R27" s="146">
        <f>IF(SER_hh_tes!R27=0,0,11630*1000*SER_hh_tes!R27/SER_hh_num!R19)</f>
        <v>23.943068853812928</v>
      </c>
      <c r="S27" s="146">
        <f>IF(SER_hh_tes!S27=0,0,11630*1000*SER_hh_tes!S27/SER_hh_num!S19)</f>
        <v>26.23915677922243</v>
      </c>
      <c r="T27" s="146">
        <f>IF(SER_hh_tes!T27=0,0,11630*1000*SER_hh_tes!T27/SER_hh_num!T19)</f>
        <v>25.883764976284255</v>
      </c>
      <c r="U27" s="146">
        <f>IF(SER_hh_tes!U27=0,0,11630*1000*SER_hh_tes!U27/SER_hh_num!U19)</f>
        <v>28.147681672137708</v>
      </c>
      <c r="V27" s="146">
        <f>IF(SER_hh_tes!V27=0,0,11630*1000*SER_hh_tes!V27/SER_hh_num!V19)</f>
        <v>27.851512230584927</v>
      </c>
      <c r="W27" s="146">
        <f>IF(SER_hh_tes!W27=0,0,11630*1000*SER_hh_tes!W27/SER_hh_num!W19)</f>
        <v>27.574687827151589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13198.473147318855</v>
      </c>
      <c r="H28" s="147">
        <f>IF(SER_hh_tes!H27=0,0,11630*1000*SER_hh_tes!H27/SER_hh_num!H27)</f>
        <v>12053.704469176864</v>
      </c>
      <c r="I28" s="147">
        <f>IF(SER_hh_tes!I27=0,0,11630*1000*SER_hh_tes!I27/SER_hh_num!I27)</f>
        <v>12797.207547847276</v>
      </c>
      <c r="J28" s="147">
        <f>IF(SER_hh_tes!J27=0,0,11630*1000*SER_hh_tes!J27/SER_hh_num!J27)</f>
        <v>12452.001443353782</v>
      </c>
      <c r="K28" s="147">
        <f>IF(SER_hh_tes!K27=0,0,11630*1000*SER_hh_tes!K27/SER_hh_num!K27)</f>
        <v>12949.081352102859</v>
      </c>
      <c r="L28" s="147">
        <f>IF(SER_hh_tes!L27=0,0,11630*1000*SER_hh_tes!L27/SER_hh_num!L27)</f>
        <v>13090.824415191522</v>
      </c>
      <c r="M28" s="147">
        <f>IF(SER_hh_tes!M27=0,0,11630*1000*SER_hh_tes!M27/SER_hh_num!M27)</f>
        <v>12467.447316264235</v>
      </c>
      <c r="N28" s="147">
        <f>IF(SER_hh_tes!N27=0,0,11630*1000*SER_hh_tes!N27/SER_hh_num!N27)</f>
        <v>14128.940277112559</v>
      </c>
      <c r="O28" s="147">
        <f>IF(SER_hh_tes!O27=0,0,11630*1000*SER_hh_tes!O27/SER_hh_num!O27)</f>
        <v>13849.575542669463</v>
      </c>
      <c r="P28" s="147">
        <f>IF(SER_hh_tes!P27=0,0,11630*1000*SER_hh_tes!P27/SER_hh_num!P27)</f>
        <v>13544.042066137928</v>
      </c>
      <c r="Q28" s="147">
        <f>IF(SER_hh_tes!Q27=0,0,11630*1000*SER_hh_tes!Q27/SER_hh_num!Q27)</f>
        <v>12274.227459443871</v>
      </c>
      <c r="R28" s="147">
        <f>IF(SER_hh_tes!R27=0,0,11630*1000*SER_hh_tes!R27/SER_hh_num!R27)</f>
        <v>12593.637108600975</v>
      </c>
      <c r="S28" s="147">
        <f>IF(SER_hh_tes!S27=0,0,11630*1000*SER_hh_tes!S27/SER_hh_num!S27)</f>
        <v>12848.124747240725</v>
      </c>
      <c r="T28" s="147">
        <f>IF(SER_hh_tes!T27=0,0,11630*1000*SER_hh_tes!T27/SER_hh_num!T27)</f>
        <v>12843.200599706954</v>
      </c>
      <c r="U28" s="147">
        <f>IF(SER_hh_tes!U27=0,0,11630*1000*SER_hh_tes!U27/SER_hh_num!U27)</f>
        <v>12753.061013342305</v>
      </c>
      <c r="V28" s="147">
        <f>IF(SER_hh_tes!V27=0,0,11630*1000*SER_hh_tes!V27/SER_hh_num!V27)</f>
        <v>11361.902871316737</v>
      </c>
      <c r="W28" s="147">
        <f>IF(SER_hh_tes!W27=0,0,11630*1000*SER_hh_tes!W27/SER_hh_num!W27)</f>
        <v>12634.873797410206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20231.725059595206</v>
      </c>
      <c r="C29" s="131">
        <f>IF(SER_hh_tes!C29=0,0,11630*1000*SER_hh_tes!C29/SER_hh_num!C29)</f>
        <v>20130.932373876847</v>
      </c>
      <c r="D29" s="131">
        <f>IF(SER_hh_tes!D29=0,0,11630*1000*SER_hh_tes!D29/SER_hh_num!D29)</f>
        <v>19954.682785757865</v>
      </c>
      <c r="E29" s="131">
        <f>IF(SER_hh_tes!E29=0,0,11630*1000*SER_hh_tes!E29/SER_hh_num!E29)</f>
        <v>19839.644009436208</v>
      </c>
      <c r="F29" s="131">
        <f>IF(SER_hh_tes!F29=0,0,11630*1000*SER_hh_tes!F29/SER_hh_num!F29)</f>
        <v>19495.885715828012</v>
      </c>
      <c r="G29" s="131">
        <f>IF(SER_hh_tes!G29=0,0,11630*1000*SER_hh_tes!G29/SER_hh_num!G29)</f>
        <v>19280.80334853203</v>
      </c>
      <c r="H29" s="131">
        <f>IF(SER_hh_tes!H29=0,0,11630*1000*SER_hh_tes!H29/SER_hh_num!H29)</f>
        <v>19338.482883885106</v>
      </c>
      <c r="I29" s="131">
        <f>IF(SER_hh_tes!I29=0,0,11630*1000*SER_hh_tes!I29/SER_hh_num!I29)</f>
        <v>18841.5657785845</v>
      </c>
      <c r="J29" s="131">
        <f>IF(SER_hh_tes!J29=0,0,11630*1000*SER_hh_tes!J29/SER_hh_num!J29)</f>
        <v>18910.342287200925</v>
      </c>
      <c r="K29" s="131">
        <f>IF(SER_hh_tes!K29=0,0,11630*1000*SER_hh_tes!K29/SER_hh_num!K29)</f>
        <v>19035.366015973963</v>
      </c>
      <c r="L29" s="131">
        <f>IF(SER_hh_tes!L29=0,0,11630*1000*SER_hh_tes!L29/SER_hh_num!L29)</f>
        <v>19455.81386045882</v>
      </c>
      <c r="M29" s="131">
        <f>IF(SER_hh_tes!M29=0,0,11630*1000*SER_hh_tes!M29/SER_hh_num!M29)</f>
        <v>19283.497473526761</v>
      </c>
      <c r="N29" s="131">
        <f>IF(SER_hh_tes!N29=0,0,11630*1000*SER_hh_tes!N29/SER_hh_num!N29)</f>
        <v>19181.98575628857</v>
      </c>
      <c r="O29" s="131">
        <f>IF(SER_hh_tes!O29=0,0,11630*1000*SER_hh_tes!O29/SER_hh_num!O29)</f>
        <v>18990.798650364122</v>
      </c>
      <c r="P29" s="131">
        <f>IF(SER_hh_tes!P29=0,0,11630*1000*SER_hh_tes!P29/SER_hh_num!P29)</f>
        <v>18324.867558847545</v>
      </c>
      <c r="Q29" s="131">
        <f>IF(SER_hh_tes!Q29=0,0,11630*1000*SER_hh_tes!Q29/SER_hh_num!Q29)</f>
        <v>18423.413164646881</v>
      </c>
      <c r="R29" s="131">
        <f>IF(SER_hh_tes!R29=0,0,11630*1000*SER_hh_tes!R29/SER_hh_num!R29)</f>
        <v>18189.390638400906</v>
      </c>
      <c r="S29" s="131">
        <f>IF(SER_hh_tes!S29=0,0,11630*1000*SER_hh_tes!S29/SER_hh_num!S29)</f>
        <v>17864.332247125029</v>
      </c>
      <c r="T29" s="131">
        <f>IF(SER_hh_tes!T29=0,0,11630*1000*SER_hh_tes!T29/SER_hh_num!T29)</f>
        <v>18081.813075390481</v>
      </c>
      <c r="U29" s="131">
        <f>IF(SER_hh_tes!U29=0,0,11630*1000*SER_hh_tes!U29/SER_hh_num!U29)</f>
        <v>17863.448865300837</v>
      </c>
      <c r="V29" s="131">
        <f>IF(SER_hh_tes!V29=0,0,11630*1000*SER_hh_tes!V29/SER_hh_num!V29)</f>
        <v>16874.276414946398</v>
      </c>
      <c r="W29" s="131">
        <f>IF(SER_hh_tes!W29=0,0,11630*1000*SER_hh_tes!W29/SER_hh_num!W29)</f>
        <v>17857.967688296252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21610.839929945432</v>
      </c>
      <c r="C30" s="133">
        <f>IF(SER_hh_tes!C30=0,0,11630*1000*SER_hh_tes!C30/SER_hh_num!C30)</f>
        <v>18492.96772203008</v>
      </c>
      <c r="D30" s="133">
        <f>IF(SER_hh_tes!D30=0,0,11630*1000*SER_hh_tes!D30/SER_hh_num!D30)</f>
        <v>21624.694596989171</v>
      </c>
      <c r="E30" s="133">
        <f>IF(SER_hh_tes!E30=0,0,11630*1000*SER_hh_tes!E30/SER_hh_num!E30)</f>
        <v>22120.439423505166</v>
      </c>
      <c r="F30" s="133">
        <f>IF(SER_hh_tes!F30=0,0,11630*1000*SER_hh_tes!F30/SER_hh_num!F30)</f>
        <v>15444.974145346623</v>
      </c>
      <c r="G30" s="133">
        <f>IF(SER_hh_tes!G30=0,0,11630*1000*SER_hh_tes!G30/SER_hh_num!G30)</f>
        <v>19028.656938265558</v>
      </c>
      <c r="H30" s="133">
        <f>IF(SER_hh_tes!H30=0,0,11630*1000*SER_hh_tes!H30/SER_hh_num!H30)</f>
        <v>19211.511197294083</v>
      </c>
      <c r="I30" s="133">
        <f>IF(SER_hh_tes!I30=0,0,11630*1000*SER_hh_tes!I30/SER_hh_num!I30)</f>
        <v>19988.53151693727</v>
      </c>
      <c r="J30" s="133">
        <f>IF(SER_hh_tes!J30=0,0,11630*1000*SER_hh_tes!J30/SER_hh_num!J30)</f>
        <v>17583.033390458328</v>
      </c>
      <c r="K30" s="133">
        <f>IF(SER_hh_tes!K30=0,0,11630*1000*SER_hh_tes!K30/SER_hh_num!K30)</f>
        <v>18357.855383444708</v>
      </c>
      <c r="L30" s="133">
        <f>IF(SER_hh_tes!L30=0,0,11630*1000*SER_hh_tes!L30/SER_hh_num!L30)</f>
        <v>21048.963302531793</v>
      </c>
      <c r="M30" s="133">
        <f>IF(SER_hh_tes!M30=0,0,11630*1000*SER_hh_tes!M30/SER_hh_num!M30)</f>
        <v>19254.844289363806</v>
      </c>
      <c r="N30" s="133">
        <f>IF(SER_hh_tes!N30=0,0,11630*1000*SER_hh_tes!N30/SER_hh_num!N30)</f>
        <v>19784.164992602058</v>
      </c>
      <c r="O30" s="133">
        <f>IF(SER_hh_tes!O30=0,0,11630*1000*SER_hh_tes!O30/SER_hh_num!O30)</f>
        <v>16210.474543596976</v>
      </c>
      <c r="P30" s="133">
        <f>IF(SER_hh_tes!P30=0,0,11630*1000*SER_hh_tes!P30/SER_hh_num!P30)</f>
        <v>17969.14257639497</v>
      </c>
      <c r="Q30" s="133">
        <f>IF(SER_hh_tes!Q30=0,0,11630*1000*SER_hh_tes!Q30/SER_hh_num!Q30)</f>
        <v>21172.196281530531</v>
      </c>
      <c r="R30" s="133">
        <f>IF(SER_hh_tes!R30=0,0,11630*1000*SER_hh_tes!R30/SER_hh_num!R30)</f>
        <v>17460.490740414902</v>
      </c>
      <c r="S30" s="133">
        <f>IF(SER_hh_tes!S30=0,0,11630*1000*SER_hh_tes!S30/SER_hh_num!S30)</f>
        <v>15168.194687513958</v>
      </c>
      <c r="T30" s="133">
        <f>IF(SER_hh_tes!T30=0,0,11630*1000*SER_hh_tes!T30/SER_hh_num!T30)</f>
        <v>18656.979336293978</v>
      </c>
      <c r="U30" s="133">
        <f>IF(SER_hh_tes!U30=0,0,11630*1000*SER_hh_tes!U30/SER_hh_num!U30)</f>
        <v>16201.306290619308</v>
      </c>
      <c r="V30" s="133">
        <f>IF(SER_hh_tes!V30=0,0,11630*1000*SER_hh_tes!V30/SER_hh_num!V30)</f>
        <v>22296.959778607285</v>
      </c>
      <c r="W30" s="133">
        <f>IF(SER_hh_tes!W30=0,0,11630*1000*SER_hh_tes!W30/SER_hh_num!W30)</f>
        <v>15162.937729618779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14634.956969204788</v>
      </c>
      <c r="C31" s="133">
        <f>IF(SER_hh_tes!C31=0,0,11630*1000*SER_hh_tes!C31/SER_hh_num!C31)</f>
        <v>21664.721485251684</v>
      </c>
      <c r="D31" s="133">
        <f>IF(SER_hh_tes!D31=0,0,11630*1000*SER_hh_tes!D31/SER_hh_num!D31)</f>
        <v>18029.265505479521</v>
      </c>
      <c r="E31" s="133">
        <f>IF(SER_hh_tes!E31=0,0,11630*1000*SER_hh_tes!E31/SER_hh_num!E31)</f>
        <v>18963.732501499831</v>
      </c>
      <c r="F31" s="133">
        <f>IF(SER_hh_tes!F31=0,0,11630*1000*SER_hh_tes!F31/SER_hh_num!F31)</f>
        <v>20395.758832933319</v>
      </c>
      <c r="G31" s="133">
        <f>IF(SER_hh_tes!G31=0,0,11630*1000*SER_hh_tes!G31/SER_hh_num!G31)</f>
        <v>19500.2744224907</v>
      </c>
      <c r="H31" s="133">
        <f>IF(SER_hh_tes!H31=0,0,11630*1000*SER_hh_tes!H31/SER_hh_num!H31)</f>
        <v>19659.123187591529</v>
      </c>
      <c r="I31" s="133">
        <f>IF(SER_hh_tes!I31=0,0,11630*1000*SER_hh_tes!I31/SER_hh_num!I31)</f>
        <v>19248.802875011559</v>
      </c>
      <c r="J31" s="133">
        <f>IF(SER_hh_tes!J31=0,0,11630*1000*SER_hh_tes!J31/SER_hh_num!J31)</f>
        <v>19275.472873153685</v>
      </c>
      <c r="K31" s="133">
        <f>IF(SER_hh_tes!K31=0,0,11630*1000*SER_hh_tes!K31/SER_hh_num!K31)</f>
        <v>19134.263537432336</v>
      </c>
      <c r="L31" s="133">
        <f>IF(SER_hh_tes!L31=0,0,11630*1000*SER_hh_tes!L31/SER_hh_num!L31)</f>
        <v>19131.112814210155</v>
      </c>
      <c r="M31" s="133">
        <f>IF(SER_hh_tes!M31=0,0,11630*1000*SER_hh_tes!M31/SER_hh_num!M31)</f>
        <v>19322.652364726506</v>
      </c>
      <c r="N31" s="133">
        <f>IF(SER_hh_tes!N31=0,0,11630*1000*SER_hh_tes!N31/SER_hh_num!N31)</f>
        <v>19338.41688097097</v>
      </c>
      <c r="O31" s="133">
        <f>IF(SER_hh_tes!O31=0,0,11630*1000*SER_hh_tes!O31/SER_hh_num!O31)</f>
        <v>19473.315270199586</v>
      </c>
      <c r="P31" s="133">
        <f>IF(SER_hh_tes!P31=0,0,11630*1000*SER_hh_tes!P31/SER_hh_num!P31)</f>
        <v>18886.587334234358</v>
      </c>
      <c r="Q31" s="133">
        <f>IF(SER_hh_tes!Q31=0,0,11630*1000*SER_hh_tes!Q31/SER_hh_num!Q31)</f>
        <v>18344.701262089886</v>
      </c>
      <c r="R31" s="133">
        <f>IF(SER_hh_tes!R31=0,0,11630*1000*SER_hh_tes!R31/SER_hh_num!R31)</f>
        <v>18155.268230464626</v>
      </c>
      <c r="S31" s="133">
        <f>IF(SER_hh_tes!S31=0,0,11630*1000*SER_hh_tes!S31/SER_hh_num!S31)</f>
        <v>18008.884392689422</v>
      </c>
      <c r="T31" s="133">
        <f>IF(SER_hh_tes!T31=0,0,11630*1000*SER_hh_tes!T31/SER_hh_num!T31)</f>
        <v>17951.32136162739</v>
      </c>
      <c r="U31" s="133">
        <f>IF(SER_hh_tes!U31=0,0,11630*1000*SER_hh_tes!U31/SER_hh_num!U31)</f>
        <v>17852.975427282207</v>
      </c>
      <c r="V31" s="133">
        <f>IF(SER_hh_tes!V31=0,0,11630*1000*SER_hh_tes!V31/SER_hh_num!V31)</f>
        <v>16851.319102465</v>
      </c>
      <c r="W31" s="133">
        <f>IF(SER_hh_tes!W31=0,0,11630*1000*SER_hh_tes!W31/SER_hh_num!W31)</f>
        <v>17890.472623142927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20417.274263493444</v>
      </c>
      <c r="C33" s="68">
        <f>IF(SER_hh_tes!C33=0,0,11630*1000*SER_hh_tes!C33/SER_hh_num!C33)</f>
        <v>20332.589185117147</v>
      </c>
      <c r="D33" s="68">
        <f>IF(SER_hh_tes!D33=0,0,11630*1000*SER_hh_tes!D33/SER_hh_num!D33)</f>
        <v>19967.814397400663</v>
      </c>
      <c r="E33" s="68">
        <f>IF(SER_hh_tes!E33=0,0,11630*1000*SER_hh_tes!E33/SER_hh_num!E33)</f>
        <v>19606.508251812727</v>
      </c>
      <c r="F33" s="68">
        <f>IF(SER_hh_tes!F33=0,0,11630*1000*SER_hh_tes!F33/SER_hh_num!F33)</f>
        <v>19864.580634934748</v>
      </c>
      <c r="G33" s="68">
        <f>IF(SER_hh_tes!G33=0,0,11630*1000*SER_hh_tes!G33/SER_hh_num!G33)</f>
        <v>19199.75413299408</v>
      </c>
      <c r="H33" s="68">
        <f>IF(SER_hh_tes!H33=0,0,11630*1000*SER_hh_tes!H33/SER_hh_num!H33)</f>
        <v>19133.994994561028</v>
      </c>
      <c r="I33" s="68">
        <f>IF(SER_hh_tes!I33=0,0,11630*1000*SER_hh_tes!I33/SER_hh_num!I33)</f>
        <v>18316.086329475813</v>
      </c>
      <c r="J33" s="68">
        <f>IF(SER_hh_tes!J33=0,0,11630*1000*SER_hh_tes!J33/SER_hh_num!J33)</f>
        <v>18789.647925370093</v>
      </c>
      <c r="K33" s="68">
        <f>IF(SER_hh_tes!K33=0,0,11630*1000*SER_hh_tes!K33/SER_hh_num!K33)</f>
        <v>19047.034435849957</v>
      </c>
      <c r="L33" s="68">
        <f>IF(SER_hh_tes!L33=0,0,11630*1000*SER_hh_tes!L33/SER_hh_num!L33)</f>
        <v>19551.281450361425</v>
      </c>
      <c r="M33" s="68">
        <f>IF(SER_hh_tes!M33=0,0,11630*1000*SER_hh_tes!M33/SER_hh_num!M33)</f>
        <v>19238.178882603614</v>
      </c>
      <c r="N33" s="68">
        <f>IF(SER_hh_tes!N33=0,0,11630*1000*SER_hh_tes!N33/SER_hh_num!N33)</f>
        <v>18862.943154293222</v>
      </c>
      <c r="O33" s="68">
        <f>IF(SER_hh_tes!O33=0,0,11630*1000*SER_hh_tes!O33/SER_hh_num!O33)</f>
        <v>18659.094805770266</v>
      </c>
      <c r="P33" s="68">
        <f>IF(SER_hh_tes!P33=0,0,11630*1000*SER_hh_tes!P33/SER_hh_num!P33)</f>
        <v>17510.211562930279</v>
      </c>
      <c r="Q33" s="68">
        <f>IF(SER_hh_tes!Q33=0,0,11630*1000*SER_hh_tes!Q33/SER_hh_num!Q33)</f>
        <v>18165.00906554185</v>
      </c>
      <c r="R33" s="68">
        <f>IF(SER_hh_tes!R33=0,0,11630*1000*SER_hh_tes!R33/SER_hh_num!R33)</f>
        <v>18328.000443873058</v>
      </c>
      <c r="S33" s="68">
        <f>IF(SER_hh_tes!S33=0,0,11630*1000*SER_hh_tes!S33/SER_hh_num!S33)</f>
        <v>17963.730155125399</v>
      </c>
      <c r="T33" s="68">
        <f>IF(SER_hh_tes!T33=0,0,11630*1000*SER_hh_tes!T33/SER_hh_num!T33)</f>
        <v>18190.027703733242</v>
      </c>
      <c r="U33" s="68">
        <f>IF(SER_hh_tes!U33=0,0,11630*1000*SER_hh_tes!U33/SER_hh_num!U33)</f>
        <v>18080.988867039963</v>
      </c>
      <c r="V33" s="68">
        <f>IF(SER_hh_tes!V33=0,0,11630*1000*SER_hh_tes!V33/SER_hh_num!V33)</f>
        <v>16207.256977657342</v>
      </c>
      <c r="W33" s="68">
        <f>IF(SER_hh_tes!W33=0,0,11630*1000*SER_hh_tes!W33/SER_hh_num!W33)</f>
        <v>18164.757960975741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52857.723450933445</v>
      </c>
      <c r="C3" s="126">
        <f>IF(SER_hh_emi!C3=0,0,1000000*SER_hh_emi!C3/SER_hh_num!C3)</f>
        <v>55290.995487697081</v>
      </c>
      <c r="D3" s="126">
        <f>IF(SER_hh_emi!D3=0,0,1000000*SER_hh_emi!D3/SER_hh_num!D3)</f>
        <v>49574.81800733714</v>
      </c>
      <c r="E3" s="126">
        <f>IF(SER_hh_emi!E3=0,0,1000000*SER_hh_emi!E3/SER_hh_num!E3)</f>
        <v>50270.108296518891</v>
      </c>
      <c r="F3" s="126">
        <f>IF(SER_hh_emi!F3=0,0,1000000*SER_hh_emi!F3/SER_hh_num!F3)</f>
        <v>61659.463688961223</v>
      </c>
      <c r="G3" s="126">
        <f>IF(SER_hh_emi!G3=0,0,1000000*SER_hh_emi!G3/SER_hh_num!G3)</f>
        <v>57152.783700919681</v>
      </c>
      <c r="H3" s="126">
        <f>IF(SER_hh_emi!H3=0,0,1000000*SER_hh_emi!H3/SER_hh_num!H3)</f>
        <v>48655.348427804405</v>
      </c>
      <c r="I3" s="126">
        <f>IF(SER_hh_emi!I3=0,0,1000000*SER_hh_emi!I3/SER_hh_num!I3)</f>
        <v>37039.905669077561</v>
      </c>
      <c r="J3" s="126">
        <f>IF(SER_hh_emi!J3=0,0,1000000*SER_hh_emi!J3/SER_hh_num!J3)</f>
        <v>35073.702394958782</v>
      </c>
      <c r="K3" s="126">
        <f>IF(SER_hh_emi!K3=0,0,1000000*SER_hh_emi!K3/SER_hh_num!K3)</f>
        <v>38306.984376582339</v>
      </c>
      <c r="L3" s="126">
        <f>IF(SER_hh_emi!L3=0,0,1000000*SER_hh_emi!L3/SER_hh_num!L3)</f>
        <v>41792.114764428596</v>
      </c>
      <c r="M3" s="126">
        <f>IF(SER_hh_emi!M3=0,0,1000000*SER_hh_emi!M3/SER_hh_num!M3)</f>
        <v>41785.16444434673</v>
      </c>
      <c r="N3" s="126">
        <f>IF(SER_hh_emi!N3=0,0,1000000*SER_hh_emi!N3/SER_hh_num!N3)</f>
        <v>33920.06796919171</v>
      </c>
      <c r="O3" s="126">
        <f>IF(SER_hh_emi!O3=0,0,1000000*SER_hh_emi!O3/SER_hh_num!O3)</f>
        <v>33827.869476490101</v>
      </c>
      <c r="P3" s="126">
        <f>IF(SER_hh_emi!P3=0,0,1000000*SER_hh_emi!P3/SER_hh_num!P3)</f>
        <v>29267.360433199356</v>
      </c>
      <c r="Q3" s="126">
        <f>IF(SER_hh_emi!Q3=0,0,1000000*SER_hh_emi!Q3/SER_hh_num!Q3)</f>
        <v>30187.714087661967</v>
      </c>
      <c r="R3" s="126">
        <f>IF(SER_hh_emi!R3=0,0,1000000*SER_hh_emi!R3/SER_hh_num!R3)</f>
        <v>29106.004054077315</v>
      </c>
      <c r="S3" s="126">
        <f>IF(SER_hh_emi!S3=0,0,1000000*SER_hh_emi!S3/SER_hh_num!S3)</f>
        <v>27317.508338632106</v>
      </c>
      <c r="T3" s="126">
        <f>IF(SER_hh_emi!T3=0,0,1000000*SER_hh_emi!T3/SER_hh_num!T3)</f>
        <v>25715.492039346314</v>
      </c>
      <c r="U3" s="126">
        <f>IF(SER_hh_emi!U3=0,0,1000000*SER_hh_emi!U3/SER_hh_num!U3)</f>
        <v>24378.814789423959</v>
      </c>
      <c r="V3" s="126">
        <f>IF(SER_hh_emi!V3=0,0,1000000*SER_hh_emi!V3/SER_hh_num!V3)</f>
        <v>24334.974515230548</v>
      </c>
      <c r="W3" s="126">
        <f>IF(SER_hh_emi!W3=0,0,1000000*SER_hh_emi!W3/SER_hh_num!W3)</f>
        <v>25201.353015165292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48290.111697565284</v>
      </c>
      <c r="C4" s="131">
        <f>IF(SER_hh_emi!C4=0,0,1000000*SER_hh_emi!C4/SER_hh_num!C4)</f>
        <v>50691.664478862956</v>
      </c>
      <c r="D4" s="131">
        <f>IF(SER_hh_emi!D4=0,0,1000000*SER_hh_emi!D4/SER_hh_num!D4)</f>
        <v>44634.301144669895</v>
      </c>
      <c r="E4" s="131">
        <f>IF(SER_hh_emi!E4=0,0,1000000*SER_hh_emi!E4/SER_hh_num!E4)</f>
        <v>45104.545718122732</v>
      </c>
      <c r="F4" s="131">
        <f>IF(SER_hh_emi!F4=0,0,1000000*SER_hh_emi!F4/SER_hh_num!F4)</f>
        <v>56401.121994023721</v>
      </c>
      <c r="G4" s="131">
        <f>IF(SER_hh_emi!G4=0,0,1000000*SER_hh_emi!G4/SER_hh_num!G4)</f>
        <v>51676.663098684367</v>
      </c>
      <c r="H4" s="131">
        <f>IF(SER_hh_emi!H4=0,0,1000000*SER_hh_emi!H4/SER_hh_num!H4)</f>
        <v>42945.294752913527</v>
      </c>
      <c r="I4" s="131">
        <f>IF(SER_hh_emi!I4=0,0,1000000*SER_hh_emi!I4/SER_hh_num!I4)</f>
        <v>31093.552108435051</v>
      </c>
      <c r="J4" s="131">
        <f>IF(SER_hh_emi!J4=0,0,1000000*SER_hh_emi!J4/SER_hh_num!J4)</f>
        <v>28878.893424498645</v>
      </c>
      <c r="K4" s="131">
        <f>IF(SER_hh_emi!K4=0,0,1000000*SER_hh_emi!K4/SER_hh_num!K4)</f>
        <v>31779.689622815218</v>
      </c>
      <c r="L4" s="131">
        <f>IF(SER_hh_emi!L4=0,0,1000000*SER_hh_emi!L4/SER_hh_num!L4)</f>
        <v>34975.366453816037</v>
      </c>
      <c r="M4" s="131">
        <f>IF(SER_hh_emi!M4=0,0,1000000*SER_hh_emi!M4/SER_hh_num!M4)</f>
        <v>34838.350281543688</v>
      </c>
      <c r="N4" s="131">
        <f>IF(SER_hh_emi!N4=0,0,1000000*SER_hh_emi!N4/SER_hh_num!N4)</f>
        <v>26858.752295650109</v>
      </c>
      <c r="O4" s="131">
        <f>IF(SER_hh_emi!O4=0,0,1000000*SER_hh_emi!O4/SER_hh_num!O4)</f>
        <v>26498.620057285996</v>
      </c>
      <c r="P4" s="131">
        <f>IF(SER_hh_emi!P4=0,0,1000000*SER_hh_emi!P4/SER_hh_num!P4)</f>
        <v>22060.034631810791</v>
      </c>
      <c r="Q4" s="131">
        <f>IF(SER_hh_emi!Q4=0,0,1000000*SER_hh_emi!Q4/SER_hh_num!Q4)</f>
        <v>23039.816475693013</v>
      </c>
      <c r="R4" s="131">
        <f>IF(SER_hh_emi!R4=0,0,1000000*SER_hh_emi!R4/SER_hh_num!R4)</f>
        <v>22198.595189141553</v>
      </c>
      <c r="S4" s="131">
        <f>IF(SER_hh_emi!S4=0,0,1000000*SER_hh_emi!S4/SER_hh_num!S4)</f>
        <v>20600.503691435886</v>
      </c>
      <c r="T4" s="131">
        <f>IF(SER_hh_emi!T4=0,0,1000000*SER_hh_emi!T4/SER_hh_num!T4)</f>
        <v>18965.382117349069</v>
      </c>
      <c r="U4" s="131">
        <f>IF(SER_hh_emi!U4=0,0,1000000*SER_hh_emi!U4/SER_hh_num!U4)</f>
        <v>17854.356803124479</v>
      </c>
      <c r="V4" s="131">
        <f>IF(SER_hh_emi!V4=0,0,1000000*SER_hh_emi!V4/SER_hh_num!V4)</f>
        <v>18160.05691628961</v>
      </c>
      <c r="W4" s="131">
        <f>IF(SER_hh_emi!W4=0,0,1000000*SER_hh_emi!W4/SER_hh_num!W4)</f>
        <v>19028.787395196472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138123.74894112744</v>
      </c>
      <c r="C5" s="133">
        <f>IF(SER_hh_emi!C5=0,0,1000000*SER_hh_emi!C5/SER_hh_num!C5)</f>
        <v>107639.29372212976</v>
      </c>
      <c r="D5" s="133">
        <f>IF(SER_hh_emi!D5=0,0,1000000*SER_hh_emi!D5/SER_hh_num!D5)</f>
        <v>105504.06525146347</v>
      </c>
      <c r="E5" s="133">
        <f>IF(SER_hh_emi!E5=0,0,1000000*SER_hh_emi!E5/SER_hh_num!E5)</f>
        <v>131906.36443349678</v>
      </c>
      <c r="F5" s="133">
        <f>IF(SER_hh_emi!F5=0,0,1000000*SER_hh_emi!F5/SER_hh_num!F5)</f>
        <v>120364.40786305585</v>
      </c>
      <c r="G5" s="133">
        <f>IF(SER_hh_emi!G5=0,0,1000000*SER_hh_emi!G5/SER_hh_num!G5)</f>
        <v>65482.075202411557</v>
      </c>
      <c r="H5" s="133">
        <f>IF(SER_hh_emi!H5=0,0,1000000*SER_hh_emi!H5/SER_hh_num!H5)</f>
        <v>119920.94699562134</v>
      </c>
      <c r="I5" s="133">
        <f>IF(SER_hh_emi!I5=0,0,1000000*SER_hh_emi!I5/SER_hh_num!I5)</f>
        <v>99645.809095155739</v>
      </c>
      <c r="J5" s="133">
        <f>IF(SER_hh_emi!J5=0,0,1000000*SER_hh_emi!J5/SER_hh_num!J5)</f>
        <v>96291.517812756982</v>
      </c>
      <c r="K5" s="133">
        <f>IF(SER_hh_emi!K5=0,0,1000000*SER_hh_emi!K5/SER_hh_num!K5)</f>
        <v>91121.357373217281</v>
      </c>
      <c r="L5" s="133">
        <f>IF(SER_hh_emi!L5=0,0,1000000*SER_hh_emi!L5/SER_hh_num!L5)</f>
        <v>101783.03308331738</v>
      </c>
      <c r="M5" s="133">
        <f>IF(SER_hh_emi!M5=0,0,1000000*SER_hh_emi!M5/SER_hh_num!M5)</f>
        <v>115966.72159490986</v>
      </c>
      <c r="N5" s="133">
        <f>IF(SER_hh_emi!N5=0,0,1000000*SER_hh_emi!N5/SER_hh_num!N5)</f>
        <v>31420.316255022528</v>
      </c>
      <c r="O5" s="133">
        <f>IF(SER_hh_emi!O5=0,0,1000000*SER_hh_emi!O5/SER_hh_num!O5)</f>
        <v>64361.015383543876</v>
      </c>
      <c r="P5" s="133">
        <f>IF(SER_hh_emi!P5=0,0,1000000*SER_hh_emi!P5/SER_hh_num!P5)</f>
        <v>49302.479244206916</v>
      </c>
      <c r="Q5" s="133">
        <f>IF(SER_hh_emi!Q5=0,0,1000000*SER_hh_emi!Q5/SER_hh_num!Q5)</f>
        <v>57257.650285653799</v>
      </c>
      <c r="R5" s="133">
        <f>IF(SER_hh_emi!R5=0,0,1000000*SER_hh_emi!R5/SER_hh_num!R5)</f>
        <v>60564.593741354845</v>
      </c>
      <c r="S5" s="133">
        <f>IF(SER_hh_emi!S5=0,0,1000000*SER_hh_emi!S5/SER_hh_num!S5)</f>
        <v>41733.684741855897</v>
      </c>
      <c r="T5" s="133">
        <f>IF(SER_hh_emi!T5=0,0,1000000*SER_hh_emi!T5/SER_hh_num!T5)</f>
        <v>49670.253019858748</v>
      </c>
      <c r="U5" s="133">
        <f>IF(SER_hh_emi!U5=0,0,1000000*SER_hh_emi!U5/SER_hh_num!U5)</f>
        <v>54659.837190735445</v>
      </c>
      <c r="V5" s="133">
        <f>IF(SER_hh_emi!V5=0,0,1000000*SER_hh_emi!V5/SER_hh_num!V5)</f>
        <v>47960.434850691083</v>
      </c>
      <c r="W5" s="133">
        <f>IF(SER_hh_emi!W5=0,0,1000000*SER_hh_emi!W5/SER_hh_num!W5)</f>
        <v>51849.189754349289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103491.77240439877</v>
      </c>
      <c r="C7" s="133">
        <f>IF(SER_hh_emi!C7=0,0,1000000*SER_hh_emi!C7/SER_hh_num!C7)</f>
        <v>124168.83851709594</v>
      </c>
      <c r="D7" s="133">
        <f>IF(SER_hh_emi!D7=0,0,1000000*SER_hh_emi!D7/SER_hh_num!D7)</f>
        <v>83350.445613182106</v>
      </c>
      <c r="E7" s="133">
        <f>IF(SER_hh_emi!E7=0,0,1000000*SER_hh_emi!E7/SER_hh_num!E7)</f>
        <v>81346.169584819858</v>
      </c>
      <c r="F7" s="133">
        <f>IF(SER_hh_emi!F7=0,0,1000000*SER_hh_emi!F7/SER_hh_num!F7)</f>
        <v>96210.574230735525</v>
      </c>
      <c r="G7" s="133">
        <f>IF(SER_hh_emi!G7=0,0,1000000*SER_hh_emi!G7/SER_hh_num!G7)</f>
        <v>124560.98571915893</v>
      </c>
      <c r="H7" s="133">
        <f>IF(SER_hh_emi!H7=0,0,1000000*SER_hh_emi!H7/SER_hh_num!H7)</f>
        <v>128113.79968183517</v>
      </c>
      <c r="I7" s="133">
        <f>IF(SER_hh_emi!I7=0,0,1000000*SER_hh_emi!I7/SER_hh_num!I7)</f>
        <v>0</v>
      </c>
      <c r="J7" s="133">
        <f>IF(SER_hh_emi!J7=0,0,1000000*SER_hh_emi!J7/SER_hh_num!J7)</f>
        <v>0</v>
      </c>
      <c r="K7" s="133">
        <f>IF(SER_hh_emi!K7=0,0,1000000*SER_hh_emi!K7/SER_hh_num!K7)</f>
        <v>0</v>
      </c>
      <c r="L7" s="133">
        <f>IF(SER_hh_emi!L7=0,0,1000000*SER_hh_emi!L7/SER_hh_num!L7)</f>
        <v>0</v>
      </c>
      <c r="M7" s="133">
        <f>IF(SER_hh_emi!M7=0,0,1000000*SER_hh_emi!M7/SER_hh_num!M7)</f>
        <v>0</v>
      </c>
      <c r="N7" s="133">
        <f>IF(SER_hh_emi!N7=0,0,1000000*SER_hh_emi!N7/SER_hh_num!N7)</f>
        <v>73320.85597315531</v>
      </c>
      <c r="O7" s="133">
        <f>IF(SER_hh_emi!O7=0,0,1000000*SER_hh_emi!O7/SER_hh_num!O7)</f>
        <v>28680.100920198609</v>
      </c>
      <c r="P7" s="133">
        <f>IF(SER_hh_emi!P7=0,0,1000000*SER_hh_emi!P7/SER_hh_num!P7)</f>
        <v>36631.028335701929</v>
      </c>
      <c r="Q7" s="133">
        <f>IF(SER_hh_emi!Q7=0,0,1000000*SER_hh_emi!Q7/SER_hh_num!Q7)</f>
        <v>45472.683468099109</v>
      </c>
      <c r="R7" s="133">
        <f>IF(SER_hh_emi!R7=0,0,1000000*SER_hh_emi!R7/SER_hh_num!R7)</f>
        <v>45432.147308823172</v>
      </c>
      <c r="S7" s="133">
        <f>IF(SER_hh_emi!S7=0,0,1000000*SER_hh_emi!S7/SER_hh_num!S7)</f>
        <v>38209.289597875322</v>
      </c>
      <c r="T7" s="133">
        <f>IF(SER_hh_emi!T7=0,0,1000000*SER_hh_emi!T7/SER_hh_num!T7)</f>
        <v>40976.618381880566</v>
      </c>
      <c r="U7" s="133">
        <f>IF(SER_hh_emi!U7=0,0,1000000*SER_hh_emi!U7/SER_hh_num!U7)</f>
        <v>35471.161411573688</v>
      </c>
      <c r="V7" s="133">
        <f>IF(SER_hh_emi!V7=0,0,1000000*SER_hh_emi!V7/SER_hh_num!V7)</f>
        <v>35492.75318348212</v>
      </c>
      <c r="W7" s="133">
        <f>IF(SER_hh_emi!W7=0,0,1000000*SER_hh_emi!W7/SER_hh_num!W7)</f>
        <v>41031.256429901608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2390.6852838438558</v>
      </c>
      <c r="S8" s="133">
        <f>IF(SER_hh_emi!S8=0,0,1000000*SER_hh_emi!S8/SER_hh_num!S8)</f>
        <v>5728.398805528087</v>
      </c>
      <c r="T8" s="133">
        <f>IF(SER_hh_emi!T8=0,0,1000000*SER_hh_emi!T8/SER_hh_num!T8)</f>
        <v>7591.8683918766883</v>
      </c>
      <c r="U8" s="133">
        <f>IF(SER_hh_emi!U8=0,0,1000000*SER_hh_emi!U8/SER_hh_num!U8)</f>
        <v>6466.9180399600154</v>
      </c>
      <c r="V8" s="133">
        <f>IF(SER_hh_emi!V8=0,0,1000000*SER_hh_emi!V8/SER_hh_num!V8)</f>
        <v>8557.681813293455</v>
      </c>
      <c r="W8" s="133">
        <f>IF(SER_hh_emi!W8=0,0,1000000*SER_hh_emi!W8/SER_hh_num!W8)</f>
        <v>6981.2925798328542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68408.54101729019</v>
      </c>
      <c r="C9" s="133">
        <f>IF(SER_hh_emi!C9=0,0,1000000*SER_hh_emi!C9/SER_hh_num!C9)</f>
        <v>71185.590464400171</v>
      </c>
      <c r="D9" s="133">
        <f>IF(SER_hh_emi!D9=0,0,1000000*SER_hh_emi!D9/SER_hh_num!D9)</f>
        <v>61234.298810395529</v>
      </c>
      <c r="E9" s="133">
        <f>IF(SER_hh_emi!E9=0,0,1000000*SER_hh_emi!E9/SER_hh_num!E9)</f>
        <v>60005.539940026567</v>
      </c>
      <c r="F9" s="133">
        <f>IF(SER_hh_emi!F9=0,0,1000000*SER_hh_emi!F9/SER_hh_num!F9)</f>
        <v>73674.182918334947</v>
      </c>
      <c r="G9" s="133">
        <f>IF(SER_hh_emi!G9=0,0,1000000*SER_hh_emi!G9/SER_hh_num!G9)</f>
        <v>68873.792095633864</v>
      </c>
      <c r="H9" s="133">
        <f>IF(SER_hh_emi!H9=0,0,1000000*SER_hh_emi!H9/SER_hh_num!H9)</f>
        <v>59796.780253351622</v>
      </c>
      <c r="I9" s="133">
        <f>IF(SER_hh_emi!I9=0,0,1000000*SER_hh_emi!I9/SER_hh_num!I9)</f>
        <v>46495.467970542166</v>
      </c>
      <c r="J9" s="133">
        <f>IF(SER_hh_emi!J9=0,0,1000000*SER_hh_emi!J9/SER_hh_num!J9)</f>
        <v>45351.345839065943</v>
      </c>
      <c r="K9" s="133">
        <f>IF(SER_hh_emi!K9=0,0,1000000*SER_hh_emi!K9/SER_hh_num!K9)</f>
        <v>50491.929347293728</v>
      </c>
      <c r="L9" s="133">
        <f>IF(SER_hh_emi!L9=0,0,1000000*SER_hh_emi!L9/SER_hh_num!L9)</f>
        <v>53739.749356097651</v>
      </c>
      <c r="M9" s="133">
        <f>IF(SER_hh_emi!M9=0,0,1000000*SER_hh_emi!M9/SER_hh_num!M9)</f>
        <v>50850.503195140111</v>
      </c>
      <c r="N9" s="133">
        <f>IF(SER_hh_emi!N9=0,0,1000000*SER_hh_emi!N9/SER_hh_num!N9)</f>
        <v>35925.293731620615</v>
      </c>
      <c r="O9" s="133">
        <f>IF(SER_hh_emi!O9=0,0,1000000*SER_hh_emi!O9/SER_hh_num!O9)</f>
        <v>34718.237518609661</v>
      </c>
      <c r="P9" s="133">
        <f>IF(SER_hh_emi!P9=0,0,1000000*SER_hh_emi!P9/SER_hh_num!P9)</f>
        <v>28390.047518966425</v>
      </c>
      <c r="Q9" s="133">
        <f>IF(SER_hh_emi!Q9=0,0,1000000*SER_hh_emi!Q9/SER_hh_num!Q9)</f>
        <v>30088.740796086629</v>
      </c>
      <c r="R9" s="133">
        <f>IF(SER_hh_emi!R9=0,0,1000000*SER_hh_emi!R9/SER_hh_num!R9)</f>
        <v>29939.720444524242</v>
      </c>
      <c r="S9" s="133">
        <f>IF(SER_hh_emi!S9=0,0,1000000*SER_hh_emi!S9/SER_hh_num!S9)</f>
        <v>28927.551631517857</v>
      </c>
      <c r="T9" s="133">
        <f>IF(SER_hh_emi!T9=0,0,1000000*SER_hh_emi!T9/SER_hh_num!T9)</f>
        <v>27066.612075390229</v>
      </c>
      <c r="U9" s="133">
        <f>IF(SER_hh_emi!U9=0,0,1000000*SER_hh_emi!U9/SER_hh_num!U9)</f>
        <v>25917.071690495377</v>
      </c>
      <c r="V9" s="133">
        <f>IF(SER_hh_emi!V9=0,0,1000000*SER_hh_emi!V9/SER_hh_num!V9)</f>
        <v>26374.928013064651</v>
      </c>
      <c r="W9" s="133">
        <f>IF(SER_hh_emi!W9=0,0,1000000*SER_hh_emi!W9/SER_hh_num!W9)</f>
        <v>27292.716068815338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11099.975090761336</v>
      </c>
      <c r="O10" s="133">
        <f>IF(SER_hh_emi!O10=0,0,1000000*SER_hh_emi!O10/SER_hh_num!O10)</f>
        <v>9423.8019123237591</v>
      </c>
      <c r="P10" s="133">
        <f>IF(SER_hh_emi!P10=0,0,1000000*SER_hh_emi!P10/SER_hh_num!P10)</f>
        <v>6320.8285413868389</v>
      </c>
      <c r="Q10" s="133">
        <f>IF(SER_hh_emi!Q10=0,0,1000000*SER_hh_emi!Q10/SER_hh_num!Q10)</f>
        <v>12459.482349750362</v>
      </c>
      <c r="R10" s="133">
        <f>IF(SER_hh_emi!R10=0,0,1000000*SER_hh_emi!R10/SER_hh_num!R10)</f>
        <v>7673.9659453355316</v>
      </c>
      <c r="S10" s="133">
        <f>IF(SER_hh_emi!S10=0,0,1000000*SER_hh_emi!S10/SER_hh_num!S10)</f>
        <v>9552.081243625682</v>
      </c>
      <c r="T10" s="133">
        <f>IF(SER_hh_emi!T10=0,0,1000000*SER_hh_emi!T10/SER_hh_num!T10)</f>
        <v>12459.950403994068</v>
      </c>
      <c r="U10" s="133">
        <f>IF(SER_hh_emi!U10=0,0,1000000*SER_hh_emi!U10/SER_hh_num!U10)</f>
        <v>14386.48852327502</v>
      </c>
      <c r="V10" s="133">
        <f>IF(SER_hh_emi!V10=0,0,1000000*SER_hh_emi!V10/SER_hh_num!V10)</f>
        <v>15335.441423163873</v>
      </c>
      <c r="W10" s="133">
        <f>IF(SER_hh_emi!W10=0,0,1000000*SER_hh_emi!W10/SER_hh_num!W10)</f>
        <v>14481.257019958259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9.9376688545127827</v>
      </c>
      <c r="C16" s="131">
        <f>IF(SER_hh_emi!C16=0,0,1000000*SER_hh_emi!C16/SER_hh_num!C16)</f>
        <v>9.8165920692089568</v>
      </c>
      <c r="D16" s="131">
        <f>IF(SER_hh_emi!D16=0,0,1000000*SER_hh_emi!D16/SER_hh_num!D16)</f>
        <v>11.481747842637613</v>
      </c>
      <c r="E16" s="131">
        <f>IF(SER_hh_emi!E16=0,0,1000000*SER_hh_emi!E16/SER_hh_num!E16)</f>
        <v>13.973919095453022</v>
      </c>
      <c r="F16" s="131">
        <f>IF(SER_hh_emi!F16=0,0,1000000*SER_hh_emi!F16/SER_hh_num!F16)</f>
        <v>10.576268708317514</v>
      </c>
      <c r="G16" s="131">
        <f>IF(SER_hh_emi!G16=0,0,1000000*SER_hh_emi!G16/SER_hh_num!G16)</f>
        <v>10.870724313814039</v>
      </c>
      <c r="H16" s="131">
        <f>IF(SER_hh_emi!H16=0,0,1000000*SER_hh_emi!H16/SER_hh_num!H16)</f>
        <v>12.873328235866778</v>
      </c>
      <c r="I16" s="131">
        <f>IF(SER_hh_emi!I16=0,0,1000000*SER_hh_emi!I16/SER_hh_num!I16)</f>
        <v>14.746476888236559</v>
      </c>
      <c r="J16" s="131">
        <f>IF(SER_hh_emi!J16=0,0,1000000*SER_hh_emi!J16/SER_hh_num!J16)</f>
        <v>12.343796820097184</v>
      </c>
      <c r="K16" s="131">
        <f>IF(SER_hh_emi!K16=0,0,1000000*SER_hh_emi!K16/SER_hh_num!K16)</f>
        <v>13.015664241135743</v>
      </c>
      <c r="L16" s="131">
        <f>IF(SER_hh_emi!L16=0,0,1000000*SER_hh_emi!L16/SER_hh_num!L16)</f>
        <v>15.14608551534452</v>
      </c>
      <c r="M16" s="131">
        <f>IF(SER_hh_emi!M16=0,0,1000000*SER_hh_emi!M16/SER_hh_num!M16)</f>
        <v>16.54394792992499</v>
      </c>
      <c r="N16" s="131">
        <f>IF(SER_hh_emi!N16=0,0,1000000*SER_hh_emi!N16/SER_hh_num!N16)</f>
        <v>23.401927719994212</v>
      </c>
      <c r="O16" s="131">
        <f>IF(SER_hh_emi!O16=0,0,1000000*SER_hh_emi!O16/SER_hh_num!O16)</f>
        <v>21.118756074372843</v>
      </c>
      <c r="P16" s="131">
        <f>IF(SER_hh_emi!P16=0,0,1000000*SER_hh_emi!P16/SER_hh_num!P16)</f>
        <v>19.516554055488289</v>
      </c>
      <c r="Q16" s="131">
        <f>IF(SER_hh_emi!Q16=0,0,1000000*SER_hh_emi!Q16/SER_hh_num!Q16)</f>
        <v>30.321480520949113</v>
      </c>
      <c r="R16" s="131">
        <f>IF(SER_hh_emi!R16=0,0,1000000*SER_hh_emi!R16/SER_hh_num!R16)</f>
        <v>22.209589533726447</v>
      </c>
      <c r="S16" s="131">
        <f>IF(SER_hh_emi!S16=0,0,1000000*SER_hh_emi!S16/SER_hh_num!S16)</f>
        <v>30.170682296945387</v>
      </c>
      <c r="T16" s="131">
        <f>IF(SER_hh_emi!T16=0,0,1000000*SER_hh_emi!T16/SER_hh_num!T16)</f>
        <v>30.041274140236176</v>
      </c>
      <c r="U16" s="131">
        <f>IF(SER_hh_emi!U16=0,0,1000000*SER_hh_emi!U16/SER_hh_num!U16)</f>
        <v>36.888254642600714</v>
      </c>
      <c r="V16" s="131">
        <f>IF(SER_hh_emi!V16=0,0,1000000*SER_hh_emi!V16/SER_hh_num!V16)</f>
        <v>29.188233460315953</v>
      </c>
      <c r="W16" s="131">
        <f>IF(SER_hh_emi!W16=0,0,1000000*SER_hh_emi!W16/SER_hh_num!W16)</f>
        <v>37.65109712115207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3601.9960286838232</v>
      </c>
      <c r="C17" s="133">
        <f>IF(SER_hh_emi!C17=0,0,1000000*SER_hh_emi!C17/SER_hh_num!C17)</f>
        <v>3282.6199562817906</v>
      </c>
      <c r="D17" s="133">
        <f>IF(SER_hh_emi!D17=0,0,1000000*SER_hh_emi!D17/SER_hh_num!D17)</f>
        <v>3457.6226604974991</v>
      </c>
      <c r="E17" s="133">
        <f>IF(SER_hh_emi!E17=0,0,1000000*SER_hh_emi!E17/SER_hh_num!E17)</f>
        <v>3959.4857614617704</v>
      </c>
      <c r="F17" s="133">
        <f>IF(SER_hh_emi!F17=0,0,1000000*SER_hh_emi!F17/SER_hh_num!F17)</f>
        <v>3166.4396557704572</v>
      </c>
      <c r="G17" s="133">
        <f>IF(SER_hh_emi!G17=0,0,1000000*SER_hh_emi!G17/SER_hh_num!G17)</f>
        <v>3165.6814926826783</v>
      </c>
      <c r="H17" s="133">
        <f>IF(SER_hh_emi!H17=0,0,1000000*SER_hh_emi!H17/SER_hh_num!H17)</f>
        <v>3506.3954040923254</v>
      </c>
      <c r="I17" s="133">
        <f>IF(SER_hh_emi!I17=0,0,1000000*SER_hh_emi!I17/SER_hh_num!I17)</f>
        <v>3831.3924543468138</v>
      </c>
      <c r="J17" s="133">
        <f>IF(SER_hh_emi!J17=0,0,1000000*SER_hh_emi!J17/SER_hh_num!J17)</f>
        <v>3291.512257804422</v>
      </c>
      <c r="K17" s="133">
        <f>IF(SER_hh_emi!K17=0,0,1000000*SER_hh_emi!K17/SER_hh_num!K17)</f>
        <v>3334.0234896297643</v>
      </c>
      <c r="L17" s="133">
        <f>IF(SER_hh_emi!L17=0,0,1000000*SER_hh_emi!L17/SER_hh_num!L17)</f>
        <v>3516.194165219747</v>
      </c>
      <c r="M17" s="133">
        <f>IF(SER_hh_emi!M17=0,0,1000000*SER_hh_emi!M17/SER_hh_num!M17)</f>
        <v>3481.752873143892</v>
      </c>
      <c r="N17" s="133">
        <f>IF(SER_hh_emi!N17=0,0,1000000*SER_hh_emi!N17/SER_hh_num!N17)</f>
        <v>4435.7029098832536</v>
      </c>
      <c r="O17" s="133">
        <f>IF(SER_hh_emi!O17=0,0,1000000*SER_hh_emi!O17/SER_hh_num!O17)</f>
        <v>3649.62347373393</v>
      </c>
      <c r="P17" s="133">
        <f>IF(SER_hh_emi!P17=0,0,1000000*SER_hh_emi!P17/SER_hh_num!P17)</f>
        <v>3241.1490313583267</v>
      </c>
      <c r="Q17" s="133">
        <f>IF(SER_hh_emi!Q17=0,0,1000000*SER_hh_emi!Q17/SER_hh_num!Q17)</f>
        <v>4679.261314879278</v>
      </c>
      <c r="R17" s="133">
        <f>IF(SER_hh_emi!R17=0,0,1000000*SER_hh_emi!R17/SER_hh_num!R17)</f>
        <v>3254.1523905442527</v>
      </c>
      <c r="S17" s="133">
        <f>IF(SER_hh_emi!S17=0,0,1000000*SER_hh_emi!S17/SER_hh_num!S17)</f>
        <v>3857.0587492178984</v>
      </c>
      <c r="T17" s="133">
        <f>IF(SER_hh_emi!T17=0,0,1000000*SER_hh_emi!T17/SER_hh_num!T17)</f>
        <v>3625.0696912693052</v>
      </c>
      <c r="U17" s="133">
        <f>IF(SER_hh_emi!U17=0,0,1000000*SER_hh_emi!U17/SER_hh_num!U17)</f>
        <v>3789.190498472019</v>
      </c>
      <c r="V17" s="133">
        <f>IF(SER_hh_emi!V17=0,0,1000000*SER_hh_emi!V17/SER_hh_num!V17)</f>
        <v>2634.6873532854352</v>
      </c>
      <c r="W17" s="133">
        <f>IF(SER_hh_emi!W17=0,0,1000000*SER_hh_emi!W17/SER_hh_num!W17)</f>
        <v>3303.2372271806876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2605.3819331196246</v>
      </c>
      <c r="C19" s="131">
        <f>IF(SER_hh_emi!C19=0,0,1000000*SER_hh_emi!C19/SER_hh_num!C19)</f>
        <v>2594.5112762210474</v>
      </c>
      <c r="D19" s="131">
        <f>IF(SER_hh_emi!D19=0,0,1000000*SER_hh_emi!D19/SER_hh_num!D19)</f>
        <v>2667.3030913725306</v>
      </c>
      <c r="E19" s="131">
        <f>IF(SER_hh_emi!E19=0,0,1000000*SER_hh_emi!E19/SER_hh_num!E19)</f>
        <v>2687.0821747600321</v>
      </c>
      <c r="F19" s="131">
        <f>IF(SER_hh_emi!F19=0,0,1000000*SER_hh_emi!F19/SER_hh_num!F19)</f>
        <v>2796.3120486213361</v>
      </c>
      <c r="G19" s="131">
        <f>IF(SER_hh_emi!G19=0,0,1000000*SER_hh_emi!G19/SER_hh_num!G19)</f>
        <v>2709.2662597709418</v>
      </c>
      <c r="H19" s="131">
        <f>IF(SER_hh_emi!H19=0,0,1000000*SER_hh_emi!H19/SER_hh_num!H19)</f>
        <v>2690.3112814852907</v>
      </c>
      <c r="I19" s="131">
        <f>IF(SER_hh_emi!I19=0,0,1000000*SER_hh_emi!I19/SER_hh_num!I19)</f>
        <v>2778.1153415617205</v>
      </c>
      <c r="J19" s="131">
        <f>IF(SER_hh_emi!J19=0,0,1000000*SER_hh_emi!J19/SER_hh_num!J19)</f>
        <v>2927.9064495494968</v>
      </c>
      <c r="K19" s="131">
        <f>IF(SER_hh_emi!K19=0,0,1000000*SER_hh_emi!K19/SER_hh_num!K19)</f>
        <v>3133.2719558515441</v>
      </c>
      <c r="L19" s="131">
        <f>IF(SER_hh_emi!L19=0,0,1000000*SER_hh_emi!L19/SER_hh_num!L19)</f>
        <v>3215.0156740466336</v>
      </c>
      <c r="M19" s="131">
        <f>IF(SER_hh_emi!M19=0,0,1000000*SER_hh_emi!M19/SER_hh_num!M19)</f>
        <v>3218.7603497139589</v>
      </c>
      <c r="N19" s="131">
        <f>IF(SER_hh_emi!N19=0,0,1000000*SER_hh_emi!N19/SER_hh_num!N19)</f>
        <v>3188.3113164413221</v>
      </c>
      <c r="O19" s="131">
        <f>IF(SER_hh_emi!O19=0,0,1000000*SER_hh_emi!O19/SER_hh_num!O19)</f>
        <v>3433.3497339180167</v>
      </c>
      <c r="P19" s="131">
        <f>IF(SER_hh_emi!P19=0,0,1000000*SER_hh_emi!P19/SER_hh_num!P19)</f>
        <v>3378.0835202427402</v>
      </c>
      <c r="Q19" s="131">
        <f>IF(SER_hh_emi!Q19=0,0,1000000*SER_hh_emi!Q19/SER_hh_num!Q19)</f>
        <v>3371.6408219677992</v>
      </c>
      <c r="R19" s="131">
        <f>IF(SER_hh_emi!R19=0,0,1000000*SER_hh_emi!R19/SER_hh_num!R19)</f>
        <v>3329.302244674418</v>
      </c>
      <c r="S19" s="131">
        <f>IF(SER_hh_emi!S19=0,0,1000000*SER_hh_emi!S19/SER_hh_num!S19)</f>
        <v>3267.6387734286063</v>
      </c>
      <c r="T19" s="131">
        <f>IF(SER_hh_emi!T19=0,0,1000000*SER_hh_emi!T19/SER_hh_num!T19)</f>
        <v>3277.4822793354842</v>
      </c>
      <c r="U19" s="131">
        <f>IF(SER_hh_emi!U19=0,0,1000000*SER_hh_emi!U19/SER_hh_num!U19)</f>
        <v>3116.0838912064523</v>
      </c>
      <c r="V19" s="131">
        <f>IF(SER_hh_emi!V19=0,0,1000000*SER_hh_emi!V19/SER_hh_num!V19)</f>
        <v>2819.3969092456505</v>
      </c>
      <c r="W19" s="131">
        <f>IF(SER_hh_emi!W19=0,0,1000000*SER_hh_emi!W19/SER_hh_num!W19)</f>
        <v>2748.0481369093463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0</v>
      </c>
      <c r="C22" s="133">
        <f>IF(SER_hh_emi!C22=0,0,1000000*SER_hh_emi!C22/SER_hh_num!C22)</f>
        <v>0</v>
      </c>
      <c r="D22" s="133">
        <f>IF(SER_hh_emi!D22=0,0,1000000*SER_hh_emi!D22/SER_hh_num!D22)</f>
        <v>0</v>
      </c>
      <c r="E22" s="133">
        <f>IF(SER_hh_emi!E22=0,0,1000000*SER_hh_emi!E22/SER_hh_num!E22)</f>
        <v>0</v>
      </c>
      <c r="F22" s="133">
        <f>IF(SER_hh_emi!F22=0,0,1000000*SER_hh_emi!F22/SER_hh_num!F22)</f>
        <v>0</v>
      </c>
      <c r="G22" s="133">
        <f>IF(SER_hh_emi!G22=0,0,1000000*SER_hh_emi!G22/SER_hh_num!G22)</f>
        <v>0</v>
      </c>
      <c r="H22" s="133">
        <f>IF(SER_hh_emi!H22=0,0,1000000*SER_hh_emi!H22/SER_hh_num!H22)</f>
        <v>0</v>
      </c>
      <c r="I22" s="133">
        <f>IF(SER_hh_emi!I22=0,0,1000000*SER_hh_emi!I22/SER_hh_num!I22)</f>
        <v>0</v>
      </c>
      <c r="J22" s="133">
        <f>IF(SER_hh_emi!J22=0,0,1000000*SER_hh_emi!J22/SER_hh_num!J22)</f>
        <v>0</v>
      </c>
      <c r="K22" s="133">
        <f>IF(SER_hh_emi!K22=0,0,1000000*SER_hh_emi!K22/SER_hh_num!K22)</f>
        <v>0</v>
      </c>
      <c r="L22" s="133">
        <f>IF(SER_hh_emi!L22=0,0,1000000*SER_hh_emi!L22/SER_hh_num!L22)</f>
        <v>0</v>
      </c>
      <c r="M22" s="133">
        <f>IF(SER_hh_emi!M22=0,0,1000000*SER_hh_emi!M22/SER_hh_num!M22)</f>
        <v>0</v>
      </c>
      <c r="N22" s="133">
        <f>IF(SER_hh_emi!N22=0,0,1000000*SER_hh_emi!N22/SER_hh_num!N22)</f>
        <v>0</v>
      </c>
      <c r="O22" s="133">
        <f>IF(SER_hh_emi!O22=0,0,1000000*SER_hh_emi!O22/SER_hh_num!O22)</f>
        <v>0</v>
      </c>
      <c r="P22" s="133">
        <f>IF(SER_hh_emi!P22=0,0,1000000*SER_hh_emi!P22/SER_hh_num!P22)</f>
        <v>0</v>
      </c>
      <c r="Q22" s="133">
        <f>IF(SER_hh_emi!Q22=0,0,1000000*SER_hh_emi!Q22/SER_hh_num!Q22)</f>
        <v>0</v>
      </c>
      <c r="R22" s="133">
        <f>IF(SER_hh_emi!R22=0,0,1000000*SER_hh_emi!R22/SER_hh_num!R22)</f>
        <v>0</v>
      </c>
      <c r="S22" s="133">
        <f>IF(SER_hh_emi!S22=0,0,1000000*SER_hh_emi!S22/SER_hh_num!S22)</f>
        <v>0</v>
      </c>
      <c r="T22" s="133">
        <f>IF(SER_hh_emi!T22=0,0,1000000*SER_hh_emi!T22/SER_hh_num!T22)</f>
        <v>0</v>
      </c>
      <c r="U22" s="133">
        <f>IF(SER_hh_emi!U22=0,0,1000000*SER_hh_emi!U22/SER_hh_num!U22)</f>
        <v>0</v>
      </c>
      <c r="V22" s="133">
        <f>IF(SER_hh_emi!V22=0,0,1000000*SER_hh_emi!V22/SER_hh_num!V22)</f>
        <v>0</v>
      </c>
      <c r="W22" s="133">
        <f>IF(SER_hh_emi!W22=0,0,1000000*SER_hh_emi!W22/SER_hh_num!W22)</f>
        <v>0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6341.1423954276916</v>
      </c>
      <c r="C23" s="133">
        <f>IF(SER_hh_emi!C23=0,0,1000000*SER_hh_emi!C23/SER_hh_num!C23)</f>
        <v>6313.9955044099888</v>
      </c>
      <c r="D23" s="133">
        <f>IF(SER_hh_emi!D23=0,0,1000000*SER_hh_emi!D23/SER_hh_num!D23)</f>
        <v>6319.2970892787007</v>
      </c>
      <c r="E23" s="133">
        <f>IF(SER_hh_emi!E23=0,0,1000000*SER_hh_emi!E23/SER_hh_num!E23)</f>
        <v>6281.5951322752244</v>
      </c>
      <c r="F23" s="133">
        <f>IF(SER_hh_emi!F23=0,0,1000000*SER_hh_emi!F23/SER_hh_num!F23)</f>
        <v>6349.3749303925179</v>
      </c>
      <c r="G23" s="133">
        <f>IF(SER_hh_emi!G23=0,0,1000000*SER_hh_emi!G23/SER_hh_num!G23)</f>
        <v>6072.4194641792437</v>
      </c>
      <c r="H23" s="133">
        <f>IF(SER_hh_emi!H23=0,0,1000000*SER_hh_emi!H23/SER_hh_num!H23)</f>
        <v>5873.4128312657613</v>
      </c>
      <c r="I23" s="133">
        <f>IF(SER_hh_emi!I23=0,0,1000000*SER_hh_emi!I23/SER_hh_num!I23)</f>
        <v>5775.090231318014</v>
      </c>
      <c r="J23" s="133">
        <f>IF(SER_hh_emi!J23=0,0,1000000*SER_hh_emi!J23/SER_hh_num!J23)</f>
        <v>5846.4209452013019</v>
      </c>
      <c r="K23" s="133">
        <f>IF(SER_hh_emi!K23=0,0,1000000*SER_hh_emi!K23/SER_hh_num!K23)</f>
        <v>5968.3129951660621</v>
      </c>
      <c r="L23" s="133">
        <f>IF(SER_hh_emi!L23=0,0,1000000*SER_hh_emi!L23/SER_hh_num!L23)</f>
        <v>5888.8664607283308</v>
      </c>
      <c r="M23" s="133">
        <f>IF(SER_hh_emi!M23=0,0,1000000*SER_hh_emi!M23/SER_hh_num!M23)</f>
        <v>5681.414929556383</v>
      </c>
      <c r="N23" s="133">
        <f>IF(SER_hh_emi!N23=0,0,1000000*SER_hh_emi!N23/SER_hh_num!N23)</f>
        <v>5517.3482571558552</v>
      </c>
      <c r="O23" s="133">
        <f>IF(SER_hh_emi!O23=0,0,1000000*SER_hh_emi!O23/SER_hh_num!O23)</f>
        <v>5699.8573046300353</v>
      </c>
      <c r="P23" s="133">
        <f>IF(SER_hh_emi!P23=0,0,1000000*SER_hh_emi!P23/SER_hh_num!P23)</f>
        <v>5428.8499311835021</v>
      </c>
      <c r="Q23" s="133">
        <f>IF(SER_hh_emi!Q23=0,0,1000000*SER_hh_emi!Q23/SER_hh_num!Q23)</f>
        <v>5370.3837954496921</v>
      </c>
      <c r="R23" s="133">
        <f>IF(SER_hh_emi!R23=0,0,1000000*SER_hh_emi!R23/SER_hh_num!R23)</f>
        <v>5326.0846733901908</v>
      </c>
      <c r="S23" s="133">
        <f>IF(SER_hh_emi!S23=0,0,1000000*SER_hh_emi!S23/SER_hh_num!S23)</f>
        <v>5211.038518531198</v>
      </c>
      <c r="T23" s="133">
        <f>IF(SER_hh_emi!T23=0,0,1000000*SER_hh_emi!T23/SER_hh_num!T23)</f>
        <v>5179.8153975332698</v>
      </c>
      <c r="U23" s="133">
        <f>IF(SER_hh_emi!U23=0,0,1000000*SER_hh_emi!U23/SER_hh_num!U23)</f>
        <v>4926.1460779967238</v>
      </c>
      <c r="V23" s="133">
        <f>IF(SER_hh_emi!V23=0,0,1000000*SER_hh_emi!V23/SER_hh_num!V23)</f>
        <v>4442.0316547928514</v>
      </c>
      <c r="W23" s="133">
        <f>IF(SER_hh_emi!W23=0,0,1000000*SER_hh_emi!W23/SER_hh_num!W23)</f>
        <v>4367.4574861104256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1644.5900900152583</v>
      </c>
      <c r="O24" s="133">
        <f>IF(SER_hh_emi!O24=0,0,1000000*SER_hh_emi!O24/SER_hh_num!O24)</f>
        <v>1217.9421618954129</v>
      </c>
      <c r="P24" s="133">
        <f>IF(SER_hh_emi!P24=0,0,1000000*SER_hh_emi!P24/SER_hh_num!P24)</f>
        <v>916.66164355010926</v>
      </c>
      <c r="Q24" s="133">
        <f>IF(SER_hh_emi!Q24=0,0,1000000*SER_hh_emi!Q24/SER_hh_num!Q24)</f>
        <v>1473.427109271287</v>
      </c>
      <c r="R24" s="133">
        <f>IF(SER_hh_emi!R24=0,0,1000000*SER_hh_emi!R24/SER_hh_num!R24)</f>
        <v>1011.3647629154735</v>
      </c>
      <c r="S24" s="133">
        <f>IF(SER_hh_emi!S24=0,0,1000000*SER_hh_emi!S24/SER_hh_num!S24)</f>
        <v>1242.9798672557802</v>
      </c>
      <c r="T24" s="133">
        <f>IF(SER_hh_emi!T24=0,0,1000000*SER_hh_emi!T24/SER_hh_num!T24)</f>
        <v>1714.8523781500994</v>
      </c>
      <c r="U24" s="133">
        <f>IF(SER_hh_emi!U24=0,0,1000000*SER_hh_emi!U24/SER_hh_num!U24)</f>
        <v>1805.7070327333984</v>
      </c>
      <c r="V24" s="133">
        <f>IF(SER_hh_emi!V24=0,0,1000000*SER_hh_emi!V24/SER_hh_num!V24)</f>
        <v>1943.2718009912112</v>
      </c>
      <c r="W24" s="133">
        <f>IF(SER_hh_emi!W24=0,0,1000000*SER_hh_emi!W24/SER_hh_num!W24)</f>
        <v>1803.6211283641098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1960.617145681746</v>
      </c>
      <c r="C29" s="131">
        <f>IF(SER_hh_emi!C29=0,0,1000000*SER_hh_emi!C29/SER_hh_num!C29)</f>
        <v>2003.1984736818663</v>
      </c>
      <c r="D29" s="131">
        <f>IF(SER_hh_emi!D29=0,0,1000000*SER_hh_emi!D29/SER_hh_num!D29)</f>
        <v>2271.236992705607</v>
      </c>
      <c r="E29" s="131">
        <f>IF(SER_hh_emi!E29=0,0,1000000*SER_hh_emi!E29/SER_hh_num!E29)</f>
        <v>2476.0342552120524</v>
      </c>
      <c r="F29" s="131">
        <f>IF(SER_hh_emi!F29=0,0,1000000*SER_hh_emi!F29/SER_hh_num!F29)</f>
        <v>2460.082768485493</v>
      </c>
      <c r="G29" s="131">
        <f>IF(SER_hh_emi!G29=0,0,1000000*SER_hh_emi!G29/SER_hh_num!G29)</f>
        <v>2764.7986464374076</v>
      </c>
      <c r="H29" s="131">
        <f>IF(SER_hh_emi!H29=0,0,1000000*SER_hh_emi!H29/SER_hh_num!H29)</f>
        <v>3017.1619899066709</v>
      </c>
      <c r="I29" s="131">
        <f>IF(SER_hh_emi!I29=0,0,1000000*SER_hh_emi!I29/SER_hh_num!I29)</f>
        <v>3165.1392432996681</v>
      </c>
      <c r="J29" s="131">
        <f>IF(SER_hh_emi!J29=0,0,1000000*SER_hh_emi!J29/SER_hh_num!J29)</f>
        <v>3264.1752923003146</v>
      </c>
      <c r="K29" s="131">
        <f>IF(SER_hh_emi!K29=0,0,1000000*SER_hh_emi!K29/SER_hh_num!K29)</f>
        <v>3391.0112418410754</v>
      </c>
      <c r="L29" s="131">
        <f>IF(SER_hh_emi!L29=0,0,1000000*SER_hh_emi!L29/SER_hh_num!L29)</f>
        <v>3598.0899060382885</v>
      </c>
      <c r="M29" s="131">
        <f>IF(SER_hh_emi!M29=0,0,1000000*SER_hh_emi!M29/SER_hh_num!M29)</f>
        <v>3724.0071785801933</v>
      </c>
      <c r="N29" s="131">
        <f>IF(SER_hh_emi!N29=0,0,1000000*SER_hh_emi!N29/SER_hh_num!N29)</f>
        <v>3867.1316807908765</v>
      </c>
      <c r="O29" s="131">
        <f>IF(SER_hh_emi!O29=0,0,1000000*SER_hh_emi!O29/SER_hh_num!O29)</f>
        <v>3890.5821931164833</v>
      </c>
      <c r="P29" s="131">
        <f>IF(SER_hh_emi!P29=0,0,1000000*SER_hh_emi!P29/SER_hh_num!P29)</f>
        <v>3824.2714854011551</v>
      </c>
      <c r="Q29" s="131">
        <f>IF(SER_hh_emi!Q29=0,0,1000000*SER_hh_emi!Q29/SER_hh_num!Q29)</f>
        <v>3768.4180250184481</v>
      </c>
      <c r="R29" s="131">
        <f>IF(SER_hh_emi!R29=0,0,1000000*SER_hh_emi!R29/SER_hh_num!R29)</f>
        <v>3572.2801752338696</v>
      </c>
      <c r="S29" s="131">
        <f>IF(SER_hh_emi!S29=0,0,1000000*SER_hh_emi!S29/SER_hh_num!S29)</f>
        <v>3441.4410623467916</v>
      </c>
      <c r="T29" s="131">
        <f>IF(SER_hh_emi!T29=0,0,1000000*SER_hh_emi!T29/SER_hh_num!T29)</f>
        <v>3464.5242182770653</v>
      </c>
      <c r="U29" s="131">
        <f>IF(SER_hh_emi!U29=0,0,1000000*SER_hh_emi!U29/SER_hh_num!U29)</f>
        <v>3398.1833573850436</v>
      </c>
      <c r="V29" s="131">
        <f>IF(SER_hh_emi!V29=0,0,1000000*SER_hh_emi!V29/SER_hh_num!V29)</f>
        <v>3347.5249070177902</v>
      </c>
      <c r="W29" s="131">
        <f>IF(SER_hh_emi!W29=0,0,1000000*SER_hh_emi!W29/SER_hh_num!W29)</f>
        <v>3414.1251733632562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8022.6511188605382</v>
      </c>
      <c r="C30" s="133">
        <f>IF(SER_hh_emi!C30=0,0,1000000*SER_hh_emi!C30/SER_hh_num!C30)</f>
        <v>6861.8566715583056</v>
      </c>
      <c r="D30" s="133">
        <f>IF(SER_hh_emi!D30=0,0,1000000*SER_hh_emi!D30/SER_hh_num!D30)</f>
        <v>8018.422901861145</v>
      </c>
      <c r="E30" s="133">
        <f>IF(SER_hh_emi!E30=0,0,1000000*SER_hh_emi!E30/SER_hh_num!E30)</f>
        <v>8200.9968113281502</v>
      </c>
      <c r="F30" s="133">
        <f>IF(SER_hh_emi!F30=0,0,1000000*SER_hh_emi!F30/SER_hh_num!F30)</f>
        <v>5725.0148036066321</v>
      </c>
      <c r="G30" s="133">
        <f>IF(SER_hh_emi!G30=0,0,1000000*SER_hh_emi!G30/SER_hh_num!G30)</f>
        <v>7052.1865039789545</v>
      </c>
      <c r="H30" s="133">
        <f>IF(SER_hh_emi!H30=0,0,1000000*SER_hh_emi!H30/SER_hh_num!H30)</f>
        <v>7111.4164794820754</v>
      </c>
      <c r="I30" s="133">
        <f>IF(SER_hh_emi!I30=0,0,1000000*SER_hh_emi!I30/SER_hh_num!I30)</f>
        <v>7383.0922624168088</v>
      </c>
      <c r="J30" s="133">
        <f>IF(SER_hh_emi!J30=0,0,1000000*SER_hh_emi!J30/SER_hh_num!J30)</f>
        <v>6480.3456155612148</v>
      </c>
      <c r="K30" s="133">
        <f>IF(SER_hh_emi!K30=0,0,1000000*SER_hh_emi!K30/SER_hh_num!K30)</f>
        <v>6747.2038800621731</v>
      </c>
      <c r="L30" s="133">
        <f>IF(SER_hh_emi!L30=0,0,1000000*SER_hh_emi!L30/SER_hh_num!L30)</f>
        <v>7722.0663762259246</v>
      </c>
      <c r="M30" s="133">
        <f>IF(SER_hh_emi!M30=0,0,1000000*SER_hh_emi!M30/SER_hh_num!M30)</f>
        <v>7063.5308046625123</v>
      </c>
      <c r="N30" s="133">
        <f>IF(SER_hh_emi!N30=0,0,1000000*SER_hh_emi!N30/SER_hh_num!N30)</f>
        <v>7257.2731846083107</v>
      </c>
      <c r="O30" s="133">
        <f>IF(SER_hh_emi!O30=0,0,1000000*SER_hh_emi!O30/SER_hh_num!O30)</f>
        <v>5945.8381833294816</v>
      </c>
      <c r="P30" s="133">
        <f>IF(SER_hh_emi!P30=0,0,1000000*SER_hh_emi!P30/SER_hh_num!P30)</f>
        <v>6590.3348786775923</v>
      </c>
      <c r="Q30" s="133">
        <f>IF(SER_hh_emi!Q30=0,0,1000000*SER_hh_emi!Q30/SER_hh_num!Q30)</f>
        <v>7764.7449647827025</v>
      </c>
      <c r="R30" s="133">
        <f>IF(SER_hh_emi!R30=0,0,1000000*SER_hh_emi!R30/SER_hh_num!R30)</f>
        <v>6403.0324492469836</v>
      </c>
      <c r="S30" s="133">
        <f>IF(SER_hh_emi!S30=0,0,1000000*SER_hh_emi!S30/SER_hh_num!S30)</f>
        <v>5560.8384244508152</v>
      </c>
      <c r="T30" s="133">
        <f>IF(SER_hh_emi!T30=0,0,1000000*SER_hh_emi!T30/SER_hh_num!T30)</f>
        <v>6832.7723793342229</v>
      </c>
      <c r="U30" s="133">
        <f>IF(SER_hh_emi!U30=0,0,1000000*SER_hh_emi!U30/SER_hh_num!U30)</f>
        <v>5926.3604120005593</v>
      </c>
      <c r="V30" s="133">
        <f>IF(SER_hh_emi!V30=0,0,1000000*SER_hh_emi!V30/SER_hh_num!V30)</f>
        <v>8146.7946727082126</v>
      </c>
      <c r="W30" s="133">
        <f>IF(SER_hh_emi!W30=0,0,1000000*SER_hh_emi!W30/SER_hh_num!W30)</f>
        <v>5535.1646179012841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4756.5630314640084</v>
      </c>
      <c r="C31" s="133">
        <f>IF(SER_hh_emi!C31=0,0,1000000*SER_hh_emi!C31/SER_hh_num!C31)</f>
        <v>7013.8122112591655</v>
      </c>
      <c r="D31" s="133">
        <f>IF(SER_hh_emi!D31=0,0,1000000*SER_hh_emi!D31/SER_hh_num!D31)</f>
        <v>5818.12644327409</v>
      </c>
      <c r="E31" s="133">
        <f>IF(SER_hh_emi!E31=0,0,1000000*SER_hh_emi!E31/SER_hh_num!E31)</f>
        <v>6111.7936922505214</v>
      </c>
      <c r="F31" s="133">
        <f>IF(SER_hh_emi!F31=0,0,1000000*SER_hh_emi!F31/SER_hh_num!F31)</f>
        <v>6564.8696752100641</v>
      </c>
      <c r="G31" s="133">
        <f>IF(SER_hh_emi!G31=0,0,1000000*SER_hh_emi!G31/SER_hh_num!G31)</f>
        <v>6272.9833789021886</v>
      </c>
      <c r="H31" s="133">
        <f>IF(SER_hh_emi!H31=0,0,1000000*SER_hh_emi!H31/SER_hh_num!H31)</f>
        <v>6316.7215666814591</v>
      </c>
      <c r="I31" s="133">
        <f>IF(SER_hh_emi!I31=0,0,1000000*SER_hh_emi!I31/SER_hh_num!I31)</f>
        <v>6176.5759928740226</v>
      </c>
      <c r="J31" s="133">
        <f>IF(SER_hh_emi!J31=0,0,1000000*SER_hh_emi!J31/SER_hh_num!J31)</f>
        <v>6186.9278097870447</v>
      </c>
      <c r="K31" s="133">
        <f>IF(SER_hh_emi!K31=0,0,1000000*SER_hh_emi!K31/SER_hh_num!K31)</f>
        <v>6136.7911354256948</v>
      </c>
      <c r="L31" s="133">
        <f>IF(SER_hh_emi!L31=0,0,1000000*SER_hh_emi!L31/SER_hh_num!L31)</f>
        <v>6137.2257202436795</v>
      </c>
      <c r="M31" s="133">
        <f>IF(SER_hh_emi!M31=0,0,1000000*SER_hh_emi!M31/SER_hh_num!M31)</f>
        <v>6198.5993138925942</v>
      </c>
      <c r="N31" s="133">
        <f>IF(SER_hh_emi!N31=0,0,1000000*SER_hh_emi!N31/SER_hh_num!N31)</f>
        <v>6201.6120447014782</v>
      </c>
      <c r="O31" s="133">
        <f>IF(SER_hh_emi!O31=0,0,1000000*SER_hh_emi!O31/SER_hh_num!O31)</f>
        <v>6231.9128939576076</v>
      </c>
      <c r="P31" s="133">
        <f>IF(SER_hh_emi!P31=0,0,1000000*SER_hh_emi!P31/SER_hh_num!P31)</f>
        <v>6057.6925721546859</v>
      </c>
      <c r="Q31" s="133">
        <f>IF(SER_hh_emi!Q31=0,0,1000000*SER_hh_emi!Q31/SER_hh_num!Q31)</f>
        <v>5878.3330673517903</v>
      </c>
      <c r="R31" s="133">
        <f>IF(SER_hh_emi!R31=0,0,1000000*SER_hh_emi!R31/SER_hh_num!R31)</f>
        <v>5812.7113567967581</v>
      </c>
      <c r="S31" s="133">
        <f>IF(SER_hh_emi!S31=0,0,1000000*SER_hh_emi!S31/SER_hh_num!S31)</f>
        <v>5763.6067683078827</v>
      </c>
      <c r="T31" s="133">
        <f>IF(SER_hh_emi!T31=0,0,1000000*SER_hh_emi!T31/SER_hh_num!T31)</f>
        <v>5743.4745871980285</v>
      </c>
      <c r="U31" s="133">
        <f>IF(SER_hh_emi!U31=0,0,1000000*SER_hh_emi!U31/SER_hh_num!U31)</f>
        <v>5707.0944687046731</v>
      </c>
      <c r="V31" s="133">
        <f>IF(SER_hh_emi!V31=0,0,1000000*SER_hh_emi!V31/SER_hh_num!V31)</f>
        <v>5383.8192360039748</v>
      </c>
      <c r="W31" s="133">
        <f>IF(SER_hh_emi!W31=0,0,1000000*SER_hh_emi!W31/SER_hh_num!W31)</f>
        <v>5711.6838394081542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410.03934749507118</v>
      </c>
      <c r="C3" s="126">
        <f>IF(SER_hh_fech!C3=0,0,SER_hh_fech!C3/SER_summary!C$26)</f>
        <v>424.80689684983867</v>
      </c>
      <c r="D3" s="126">
        <f>IF(SER_hh_fech!D3=0,0,SER_hh_fech!D3/SER_summary!D$26)</f>
        <v>379.36054282098718</v>
      </c>
      <c r="E3" s="126">
        <f>IF(SER_hh_fech!E3=0,0,SER_hh_fech!E3/SER_summary!E$26)</f>
        <v>379.38159670786047</v>
      </c>
      <c r="F3" s="126">
        <f>IF(SER_hh_fech!F3=0,0,SER_hh_fech!F3/SER_summary!F$26)</f>
        <v>435.20287268544735</v>
      </c>
      <c r="G3" s="126">
        <f>IF(SER_hh_fech!G3=0,0,SER_hh_fech!G3/SER_summary!G$26)</f>
        <v>416.72904361845212</v>
      </c>
      <c r="H3" s="126">
        <f>IF(SER_hh_fech!H3=0,0,SER_hh_fech!H3/SER_summary!H$26)</f>
        <v>366.51062793525716</v>
      </c>
      <c r="I3" s="126">
        <f>IF(SER_hh_fech!I3=0,0,SER_hh_fech!I3/SER_summary!I$26)</f>
        <v>306.68791682409585</v>
      </c>
      <c r="J3" s="126">
        <f>IF(SER_hh_fech!J3=0,0,SER_hh_fech!J3/SER_summary!J$26)</f>
        <v>300.52439175895927</v>
      </c>
      <c r="K3" s="126">
        <f>IF(SER_hh_fech!K3=0,0,SER_hh_fech!K3/SER_summary!K$26)</f>
        <v>322.58236543844072</v>
      </c>
      <c r="L3" s="126">
        <f>IF(SER_hh_fech!L3=0,0,SER_hh_fech!L3/SER_summary!L$26)</f>
        <v>341.52853744048161</v>
      </c>
      <c r="M3" s="126">
        <f>IF(SER_hh_fech!M3=0,0,SER_hh_fech!M3/SER_summary!M$26)</f>
        <v>340.42380220377305</v>
      </c>
      <c r="N3" s="126">
        <f>IF(SER_hh_fech!N3=0,0,SER_hh_fech!N3/SER_summary!N$26)</f>
        <v>248.69541903035653</v>
      </c>
      <c r="O3" s="126">
        <f>IF(SER_hh_fech!O3=0,0,SER_hh_fech!O3/SER_summary!O$26)</f>
        <v>244.85428583100924</v>
      </c>
      <c r="P3" s="126">
        <f>IF(SER_hh_fech!P3=0,0,SER_hh_fech!P3/SER_summary!P$26)</f>
        <v>209.72825025151408</v>
      </c>
      <c r="Q3" s="126">
        <f>IF(SER_hh_fech!Q3=0,0,SER_hh_fech!Q3/SER_summary!Q$26)</f>
        <v>222.20899103239819</v>
      </c>
      <c r="R3" s="126">
        <f>IF(SER_hh_fech!R3=0,0,SER_hh_fech!R3/SER_summary!R$26)</f>
        <v>219.40410565624344</v>
      </c>
      <c r="S3" s="126">
        <f>IF(SER_hh_fech!S3=0,0,SER_hh_fech!S3/SER_summary!S$26)</f>
        <v>212.95558977953004</v>
      </c>
      <c r="T3" s="126">
        <f>IF(SER_hh_fech!T3=0,0,SER_hh_fech!T3/SER_summary!T$26)</f>
        <v>204.3889451124887</v>
      </c>
      <c r="U3" s="126">
        <f>IF(SER_hh_fech!U3=0,0,SER_hh_fech!U3/SER_summary!U$26)</f>
        <v>197.54192649605895</v>
      </c>
      <c r="V3" s="126">
        <f>IF(SER_hh_fech!V3=0,0,SER_hh_fech!V3/SER_summary!V$26)</f>
        <v>192.274164944728</v>
      </c>
      <c r="W3" s="126">
        <f>IF(SER_hh_fech!W3=0,0,SER_hh_fech!W3/SER_summary!W$26)</f>
        <v>200.19751915952003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347.10035905826487</v>
      </c>
      <c r="C4" s="131">
        <f>IF(SER_hh_fech!C4=0,0,SER_hh_fech!C4/SER_summary!C$26)</f>
        <v>362.32177211573253</v>
      </c>
      <c r="D4" s="131">
        <f>IF(SER_hh_fech!D4=0,0,SER_hh_fech!D4/SER_summary!D$26)</f>
        <v>316.39668712015475</v>
      </c>
      <c r="E4" s="131">
        <f>IF(SER_hh_fech!E4=0,0,SER_hh_fech!E4/SER_summary!E$26)</f>
        <v>316.57733583899449</v>
      </c>
      <c r="F4" s="131">
        <f>IF(SER_hh_fech!F4=0,0,SER_hh_fech!F4/SER_summary!F$26)</f>
        <v>372.94811602841617</v>
      </c>
      <c r="G4" s="131">
        <f>IF(SER_hh_fech!G4=0,0,SER_hh_fech!G4/SER_summary!G$26)</f>
        <v>355.03085601020831</v>
      </c>
      <c r="H4" s="131">
        <f>IF(SER_hh_fech!H4=0,0,SER_hh_fech!H4/SER_summary!H$26)</f>
        <v>304.45983393344204</v>
      </c>
      <c r="I4" s="131">
        <f>IF(SER_hh_fech!I4=0,0,SER_hh_fech!I4/SER_summary!I$26)</f>
        <v>245.27730984172487</v>
      </c>
      <c r="J4" s="131">
        <f>IF(SER_hh_fech!J4=0,0,SER_hh_fech!J4/SER_summary!J$26)</f>
        <v>238.98154822739389</v>
      </c>
      <c r="K4" s="131">
        <f>IF(SER_hh_fech!K4=0,0,SER_hh_fech!K4/SER_summary!K$26)</f>
        <v>260.39530867000207</v>
      </c>
      <c r="L4" s="131">
        <f>IF(SER_hh_fech!L4=0,0,SER_hh_fech!L4/SER_summary!L$26)</f>
        <v>278.57144662302403</v>
      </c>
      <c r="M4" s="131">
        <f>IF(SER_hh_fech!M4=0,0,SER_hh_fech!M4/SER_summary!M$26)</f>
        <v>277.75888451892212</v>
      </c>
      <c r="N4" s="131">
        <f>IF(SER_hh_fech!N4=0,0,SER_hh_fech!N4/SER_summary!N$26)</f>
        <v>185.56597432992055</v>
      </c>
      <c r="O4" s="131">
        <f>IF(SER_hh_fech!O4=0,0,SER_hh_fech!O4/SER_summary!O$26)</f>
        <v>182.88495608667628</v>
      </c>
      <c r="P4" s="131">
        <f>IF(SER_hh_fech!P4=0,0,SER_hh_fech!P4/SER_summary!P$26)</f>
        <v>149.9612735351038</v>
      </c>
      <c r="Q4" s="131">
        <f>IF(SER_hh_fech!Q4=0,0,SER_hh_fech!Q4/SER_summary!Q$26)</f>
        <v>161.73969489360502</v>
      </c>
      <c r="R4" s="131">
        <f>IF(SER_hh_fech!R4=0,0,SER_hh_fech!R4/SER_summary!R$26)</f>
        <v>160.66898077688839</v>
      </c>
      <c r="S4" s="131">
        <f>IF(SER_hh_fech!S4=0,0,SER_hh_fech!S4/SER_summary!S$26)</f>
        <v>155.14570518341154</v>
      </c>
      <c r="T4" s="131">
        <f>IF(SER_hh_fech!T4=0,0,SER_hh_fech!T4/SER_summary!T$26)</f>
        <v>146.80763246409418</v>
      </c>
      <c r="U4" s="131">
        <f>IF(SER_hh_fech!U4=0,0,SER_hh_fech!U4/SER_summary!U$26)</f>
        <v>141.193949883127</v>
      </c>
      <c r="V4" s="131">
        <f>IF(SER_hh_fech!V4=0,0,SER_hh_fech!V4/SER_summary!V$26)</f>
        <v>140.56453768609967</v>
      </c>
      <c r="W4" s="131">
        <f>IF(SER_hh_fech!W4=0,0,SER_hh_fech!W4/SER_summary!W$26)</f>
        <v>146.50150796709664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427.68422053929345</v>
      </c>
      <c r="C5" s="133">
        <f>IF(SER_hh_fech!C5=0,0,SER_hh_fech!C5/SER_summary!C$26)</f>
        <v>325.11090928101868</v>
      </c>
      <c r="D5" s="133">
        <f>IF(SER_hh_fech!D5=0,0,SER_hh_fech!D5/SER_summary!D$26)</f>
        <v>318.71147930929817</v>
      </c>
      <c r="E5" s="133">
        <f>IF(SER_hh_fech!E5=0,0,SER_hh_fech!E5/SER_summary!E$26)</f>
        <v>396.82311165856896</v>
      </c>
      <c r="F5" s="133">
        <f>IF(SER_hh_fech!F5=0,0,SER_hh_fech!F5/SER_summary!F$26)</f>
        <v>354.153741292468</v>
      </c>
      <c r="G5" s="133">
        <f>IF(SER_hh_fech!G5=0,0,SER_hh_fech!G5/SER_summary!G$26)</f>
        <v>196.54432728310692</v>
      </c>
      <c r="H5" s="133">
        <f>IF(SER_hh_fech!H5=0,0,SER_hh_fech!H5/SER_summary!H$26)</f>
        <v>378.78062951732824</v>
      </c>
      <c r="I5" s="133">
        <f>IF(SER_hh_fech!I5=0,0,SER_hh_fech!I5/SER_summary!I$26)</f>
        <v>314.27240929770858</v>
      </c>
      <c r="J5" s="133">
        <f>IF(SER_hh_fech!J5=0,0,SER_hh_fech!J5/SER_summary!J$26)</f>
        <v>305.75483927061225</v>
      </c>
      <c r="K5" s="133">
        <f>IF(SER_hh_fech!K5=0,0,SER_hh_fech!K5/SER_summary!K$26)</f>
        <v>289.6273054193698</v>
      </c>
      <c r="L5" s="133">
        <f>IF(SER_hh_fech!L5=0,0,SER_hh_fech!L5/SER_summary!L$26)</f>
        <v>323.55487028084696</v>
      </c>
      <c r="M5" s="133">
        <f>IF(SER_hh_fech!M5=0,0,SER_hh_fech!M5/SER_summary!M$26)</f>
        <v>368.52066933290251</v>
      </c>
      <c r="N5" s="133">
        <f>IF(SER_hh_fech!N5=0,0,SER_hh_fech!N5/SER_summary!N$26)</f>
        <v>100.94686128146135</v>
      </c>
      <c r="O5" s="133">
        <f>IF(SER_hh_fech!O5=0,0,SER_hh_fech!O5/SER_summary!O$26)</f>
        <v>206.77839265281273</v>
      </c>
      <c r="P5" s="133">
        <f>IF(SER_hh_fech!P5=0,0,SER_hh_fech!P5/SER_summary!P$26)</f>
        <v>159.00960796572789</v>
      </c>
      <c r="Q5" s="133">
        <f>IF(SER_hh_fech!Q5=0,0,SER_hh_fech!Q5/SER_summary!Q$26)</f>
        <v>185.05265000469802</v>
      </c>
      <c r="R5" s="133">
        <f>IF(SER_hh_fech!R5=0,0,SER_hh_fech!R5/SER_summary!R$26)</f>
        <v>195.77499384570163</v>
      </c>
      <c r="S5" s="133">
        <f>IF(SER_hh_fech!S5=0,0,SER_hh_fech!S5/SER_summary!S$26)</f>
        <v>125.47539164375253</v>
      </c>
      <c r="T5" s="133">
        <f>IF(SER_hh_fech!T5=0,0,SER_hh_fech!T5/SER_summary!T$26)</f>
        <v>149.63273269905534</v>
      </c>
      <c r="U5" s="133">
        <f>IF(SER_hh_fech!U5=0,0,SER_hh_fech!U5/SER_summary!U$26)</f>
        <v>165.49241845402886</v>
      </c>
      <c r="V5" s="133">
        <f>IF(SER_hh_fech!V5=0,0,SER_hh_fech!V5/SER_summary!V$26)</f>
        <v>147.50091096497403</v>
      </c>
      <c r="W5" s="133">
        <f>IF(SER_hh_fech!W5=0,0,SER_hh_fech!W5/SER_summary!W$26)</f>
        <v>159.68689249203595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415.48963306031555</v>
      </c>
      <c r="C7" s="133">
        <f>IF(SER_hh_fech!C7=0,0,SER_hh_fech!C7/SER_summary!C$26)</f>
        <v>497.25676059643956</v>
      </c>
      <c r="D7" s="133">
        <f>IF(SER_hh_fech!D7=0,0,SER_hh_fech!D7/SER_summary!D$26)</f>
        <v>332.37010564480704</v>
      </c>
      <c r="E7" s="133">
        <f>IF(SER_hh_fech!E7=0,0,SER_hh_fech!E7/SER_summary!E$26)</f>
        <v>336.45363647710656</v>
      </c>
      <c r="F7" s="133">
        <f>IF(SER_hh_fech!F7=0,0,SER_hh_fech!F7/SER_summary!F$26)</f>
        <v>400.08939450837755</v>
      </c>
      <c r="G7" s="133">
        <f>IF(SER_hh_fech!G7=0,0,SER_hh_fech!G7/SER_summary!G$26)</f>
        <v>520.44404258606596</v>
      </c>
      <c r="H7" s="133">
        <f>IF(SER_hh_fech!H7=0,0,SER_hh_fech!H7/SER_summary!H$26)</f>
        <v>535.09923895953568</v>
      </c>
      <c r="I7" s="133">
        <f>IF(SER_hh_fech!I7=0,0,SER_hh_fech!I7/SER_summary!I$26)</f>
        <v>0</v>
      </c>
      <c r="J7" s="133">
        <f>IF(SER_hh_fech!J7=0,0,SER_hh_fech!J7/SER_summary!J$26)</f>
        <v>0</v>
      </c>
      <c r="K7" s="133">
        <f>IF(SER_hh_fech!K7=0,0,SER_hh_fech!K7/SER_summary!K$26)</f>
        <v>0</v>
      </c>
      <c r="L7" s="133">
        <f>IF(SER_hh_fech!L7=0,0,SER_hh_fech!L7/SER_summary!L$26)</f>
        <v>0</v>
      </c>
      <c r="M7" s="133">
        <f>IF(SER_hh_fech!M7=0,0,SER_hh_fech!M7/SER_summary!M$26)</f>
        <v>0</v>
      </c>
      <c r="N7" s="133">
        <f>IF(SER_hh_fech!N7=0,0,SER_hh_fech!N7/SER_summary!N$26)</f>
        <v>298.88703659435129</v>
      </c>
      <c r="O7" s="133">
        <f>IF(SER_hh_fech!O7=0,0,SER_hh_fech!O7/SER_summary!O$26)</f>
        <v>115.82082569798224</v>
      </c>
      <c r="P7" s="133">
        <f>IF(SER_hh_fech!P7=0,0,SER_hh_fech!P7/SER_summary!P$26)</f>
        <v>150.40781339949984</v>
      </c>
      <c r="Q7" s="133">
        <f>IF(SER_hh_fech!Q7=0,0,SER_hh_fech!Q7/SER_summary!Q$26)</f>
        <v>187.85055022800373</v>
      </c>
      <c r="R7" s="133">
        <f>IF(SER_hh_fech!R7=0,0,SER_hh_fech!R7/SER_summary!R$26)</f>
        <v>189.33793603681545</v>
      </c>
      <c r="S7" s="133">
        <f>IF(SER_hh_fech!S7=0,0,SER_hh_fech!S7/SER_summary!S$26)</f>
        <v>159.64427256150637</v>
      </c>
      <c r="T7" s="133">
        <f>IF(SER_hh_fech!T7=0,0,SER_hh_fech!T7/SER_summary!T$26)</f>
        <v>171.51576666192432</v>
      </c>
      <c r="U7" s="133">
        <f>IF(SER_hh_fech!U7=0,0,SER_hh_fech!U7/SER_summary!U$26)</f>
        <v>149.14394649025311</v>
      </c>
      <c r="V7" s="133">
        <f>IF(SER_hh_fech!V7=0,0,SER_hh_fech!V7/SER_summary!V$26)</f>
        <v>149.19852862306004</v>
      </c>
      <c r="W7" s="133">
        <f>IF(SER_hh_fech!W7=0,0,SER_hh_fech!W7/SER_summary!W$26)</f>
        <v>173.43048499921528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13.185750666103672</v>
      </c>
      <c r="S8" s="133">
        <f>IF(SER_hh_fech!S8=0,0,SER_hh_fech!S8/SER_summary!S$26)</f>
        <v>31.598554581771943</v>
      </c>
      <c r="T8" s="133">
        <f>IF(SER_hh_fech!T8=0,0,SER_hh_fech!T8/SER_summary!T$26)</f>
        <v>41.874505747958956</v>
      </c>
      <c r="U8" s="133">
        <f>IF(SER_hh_fech!U8=0,0,SER_hh_fech!U8/SER_summary!U$26)</f>
        <v>35.682118277964015</v>
      </c>
      <c r="V8" s="133">
        <f>IF(SER_hh_fech!V8=0,0,SER_hh_fech!V8/SER_summary!V$26)</f>
        <v>47.21465492604149</v>
      </c>
      <c r="W8" s="133">
        <f>IF(SER_hh_fech!W8=0,0,SER_hh_fech!W8/SER_summary!W$26)</f>
        <v>38.513301628912416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376.35913061601957</v>
      </c>
      <c r="C9" s="133">
        <f>IF(SER_hh_fech!C9=0,0,SER_hh_fech!C9/SER_summary!C$26)</f>
        <v>391.63745551594462</v>
      </c>
      <c r="D9" s="133">
        <f>IF(SER_hh_fech!D9=0,0,SER_hh_fech!D9/SER_summary!D$26)</f>
        <v>337.05167864574179</v>
      </c>
      <c r="E9" s="133">
        <f>IF(SER_hh_fech!E9=0,0,SER_hh_fech!E9/SER_summary!E$26)</f>
        <v>330.19142013463869</v>
      </c>
      <c r="F9" s="133">
        <f>IF(SER_hh_fech!F9=0,0,SER_hh_fech!F9/SER_summary!F$26)</f>
        <v>405.52617090067548</v>
      </c>
      <c r="G9" s="133">
        <f>IF(SER_hh_fech!G9=0,0,SER_hh_fech!G9/SER_summary!G$26)</f>
        <v>379.08542887420754</v>
      </c>
      <c r="H9" s="133">
        <f>IF(SER_hh_fech!H9=0,0,SER_hh_fech!H9/SER_summary!H$26)</f>
        <v>329.3562125047136</v>
      </c>
      <c r="I9" s="133">
        <f>IF(SER_hh_fech!I9=0,0,SER_hh_fech!I9/SER_summary!I$26)</f>
        <v>256.34509091104496</v>
      </c>
      <c r="J9" s="133">
        <f>IF(SER_hh_fech!J9=0,0,SER_hh_fech!J9/SER_summary!J$26)</f>
        <v>249.8869530638853</v>
      </c>
      <c r="K9" s="133">
        <f>IF(SER_hh_fech!K9=0,0,SER_hh_fech!K9/SER_summary!K$26)</f>
        <v>278.34983522903906</v>
      </c>
      <c r="L9" s="133">
        <f>IF(SER_hh_fech!L9=0,0,SER_hh_fech!L9/SER_summary!L$26)</f>
        <v>296.11372597855313</v>
      </c>
      <c r="M9" s="133">
        <f>IF(SER_hh_fech!M9=0,0,SER_hh_fech!M9/SER_summary!M$26)</f>
        <v>280.14831247973621</v>
      </c>
      <c r="N9" s="133">
        <f>IF(SER_hh_fech!N9=0,0,SER_hh_fech!N9/SER_summary!N$26)</f>
        <v>197.95090666164018</v>
      </c>
      <c r="O9" s="133">
        <f>IF(SER_hh_fech!O9=0,0,SER_hh_fech!O9/SER_summary!O$26)</f>
        <v>191.66177679817321</v>
      </c>
      <c r="P9" s="133">
        <f>IF(SER_hh_fech!P9=0,0,SER_hh_fech!P9/SER_summary!P$26)</f>
        <v>156.35084759822863</v>
      </c>
      <c r="Q9" s="133">
        <f>IF(SER_hh_fech!Q9=0,0,SER_hh_fech!Q9/SER_summary!Q$26)</f>
        <v>165.84151524179592</v>
      </c>
      <c r="R9" s="133">
        <f>IF(SER_hh_fech!R9=0,0,SER_hh_fech!R9/SER_summary!R$26)</f>
        <v>165.13160116148842</v>
      </c>
      <c r="S9" s="133">
        <f>IF(SER_hh_fech!S9=0,0,SER_hh_fech!S9/SER_summary!S$26)</f>
        <v>159.56794388397637</v>
      </c>
      <c r="T9" s="133">
        <f>IF(SER_hh_fech!T9=0,0,SER_hh_fech!T9/SER_summary!T$26)</f>
        <v>149.29144506001239</v>
      </c>
      <c r="U9" s="133">
        <f>IF(SER_hh_fech!U9=0,0,SER_hh_fech!U9/SER_summary!U$26)</f>
        <v>143.00104188183693</v>
      </c>
      <c r="V9" s="133">
        <f>IF(SER_hh_fech!V9=0,0,SER_hh_fech!V9/SER_summary!V$26)</f>
        <v>145.51640876640408</v>
      </c>
      <c r="W9" s="133">
        <f>IF(SER_hh_fech!W9=0,0,SER_hh_fech!W9/SER_summary!W$26)</f>
        <v>150.56418194919948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437.24936754030625</v>
      </c>
      <c r="C10" s="133">
        <f>IF(SER_hh_fech!C10=0,0,SER_hh_fech!C10/SER_summary!C$26)</f>
        <v>374.54218248594196</v>
      </c>
      <c r="D10" s="133">
        <f>IF(SER_hh_fech!D10=0,0,SER_hh_fech!D10/SER_summary!D$26)</f>
        <v>398.80320047772972</v>
      </c>
      <c r="E10" s="133">
        <f>IF(SER_hh_fech!E10=0,0,SER_hh_fech!E10/SER_summary!E$26)</f>
        <v>481.18750618935502</v>
      </c>
      <c r="F10" s="133">
        <f>IF(SER_hh_fech!F10=0,0,SER_hh_fech!F10/SER_summary!F$26)</f>
        <v>463.52036971979123</v>
      </c>
      <c r="G10" s="133">
        <f>IF(SER_hh_fech!G10=0,0,SER_hh_fech!G10/SER_summary!G$26)</f>
        <v>347.09129295903017</v>
      </c>
      <c r="H10" s="133">
        <f>IF(SER_hh_fech!H10=0,0,SER_hh_fech!H10/SER_summary!H$26)</f>
        <v>359.20603477614554</v>
      </c>
      <c r="I10" s="133">
        <f>IF(SER_hh_fech!I10=0,0,SER_hh_fech!I10/SER_summary!I$26)</f>
        <v>322.19369867471721</v>
      </c>
      <c r="J10" s="133">
        <f>IF(SER_hh_fech!J10=0,0,SER_hh_fech!J10/SER_summary!J$26)</f>
        <v>309.31932977092828</v>
      </c>
      <c r="K10" s="133">
        <f>IF(SER_hh_fech!K10=0,0,SER_hh_fech!K10/SER_summary!K$26)</f>
        <v>327.36658598636211</v>
      </c>
      <c r="L10" s="133">
        <f>IF(SER_hh_fech!L10=0,0,SER_hh_fech!L10/SER_summary!L$26)</f>
        <v>331.85515456329324</v>
      </c>
      <c r="M10" s="133">
        <f>IF(SER_hh_fech!M10=0,0,SER_hh_fech!M10/SER_summary!M$26)</f>
        <v>308.18766439627842</v>
      </c>
      <c r="N10" s="133">
        <f>IF(SER_hh_fech!N10=0,0,SER_hh_fech!N10/SER_summary!N$26)</f>
        <v>250.78670258029291</v>
      </c>
      <c r="O10" s="133">
        <f>IF(SER_hh_fech!O10=0,0,SER_hh_fech!O10/SER_summary!O$26)</f>
        <v>224.6849221312844</v>
      </c>
      <c r="P10" s="133">
        <f>IF(SER_hh_fech!P10=0,0,SER_hh_fech!P10/SER_summary!P$26)</f>
        <v>181.31497170916759</v>
      </c>
      <c r="Q10" s="133">
        <f>IF(SER_hh_fech!Q10=0,0,SER_hh_fech!Q10/SER_summary!Q$26)</f>
        <v>218.9961752178537</v>
      </c>
      <c r="R10" s="133">
        <f>IF(SER_hh_fech!R10=0,0,SER_hh_fech!R10/SER_summary!R$26)</f>
        <v>195.59140720044005</v>
      </c>
      <c r="S10" s="133">
        <f>IF(SER_hh_fech!S10=0,0,SER_hh_fech!S10/SER_summary!S$26)</f>
        <v>199.19152755860048</v>
      </c>
      <c r="T10" s="133">
        <f>IF(SER_hh_fech!T10=0,0,SER_hh_fech!T10/SER_summary!T$26)</f>
        <v>185.65125485719946</v>
      </c>
      <c r="U10" s="133">
        <f>IF(SER_hh_fech!U10=0,0,SER_hh_fech!U10/SER_summary!U$26)</f>
        <v>205.49700657334836</v>
      </c>
      <c r="V10" s="133">
        <f>IF(SER_hh_fech!V10=0,0,SER_hh_fech!V10/SER_summary!V$26)</f>
        <v>192.33752224518096</v>
      </c>
      <c r="W10" s="133">
        <f>IF(SER_hh_fech!W10=0,0,SER_hh_fech!W10/SER_summary!W$26)</f>
        <v>182.29190057669203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261.84927617352849</v>
      </c>
      <c r="C11" s="133">
        <f>IF(SER_hh_fech!C11=0,0,SER_hh_fech!C11/SER_summary!C$26)</f>
        <v>256.45157316175016</v>
      </c>
      <c r="D11" s="133">
        <f>IF(SER_hh_fech!D11=0,0,SER_hh_fech!D11/SER_summary!D$26)</f>
        <v>252.49482102645166</v>
      </c>
      <c r="E11" s="133">
        <f>IF(SER_hh_fech!E11=0,0,SER_hh_fech!E11/SER_summary!E$26)</f>
        <v>260.40458302643668</v>
      </c>
      <c r="F11" s="133">
        <f>IF(SER_hh_fech!F11=0,0,SER_hh_fech!F11/SER_summary!F$26)</f>
        <v>249.54457730060324</v>
      </c>
      <c r="G11" s="133">
        <f>IF(SER_hh_fech!G11=0,0,SER_hh_fech!G11/SER_summary!G$26)</f>
        <v>245.88675374957157</v>
      </c>
      <c r="H11" s="133">
        <f>IF(SER_hh_fech!H11=0,0,SER_hh_fech!H11/SER_summary!H$26)</f>
        <v>226.0300499159932</v>
      </c>
      <c r="I11" s="133">
        <f>IF(SER_hh_fech!I11=0,0,SER_hh_fech!I11/SER_summary!I$26)</f>
        <v>199.6113543027831</v>
      </c>
      <c r="J11" s="133">
        <f>IF(SER_hh_fech!J11=0,0,SER_hh_fech!J11/SER_summary!J$26)</f>
        <v>208.57046269021797</v>
      </c>
      <c r="K11" s="133">
        <f>IF(SER_hh_fech!K11=0,0,SER_hh_fech!K11/SER_summary!K$26)</f>
        <v>211.94902978392062</v>
      </c>
      <c r="L11" s="133">
        <f>IF(SER_hh_fech!L11=0,0,SER_hh_fech!L11/SER_summary!L$26)</f>
        <v>206.77238366096478</v>
      </c>
      <c r="M11" s="133">
        <f>IF(SER_hh_fech!M11=0,0,SER_hh_fech!M11/SER_summary!M$26)</f>
        <v>206.03679330220331</v>
      </c>
      <c r="N11" s="133">
        <f>IF(SER_hh_fech!N11=0,0,SER_hh_fech!N11/SER_summary!N$26)</f>
        <v>198.8595522881316</v>
      </c>
      <c r="O11" s="133">
        <f>IF(SER_hh_fech!O11=0,0,SER_hh_fech!O11/SER_summary!O$26)</f>
        <v>211.39781845790503</v>
      </c>
      <c r="P11" s="133">
        <f>IF(SER_hh_fech!P11=0,0,SER_hh_fech!P11/SER_summary!P$26)</f>
        <v>81.186962499517946</v>
      </c>
      <c r="Q11" s="133">
        <f>IF(SER_hh_fech!Q11=0,0,SER_hh_fech!Q11/SER_summary!Q$26)</f>
        <v>103.45203394994223</v>
      </c>
      <c r="R11" s="133">
        <f>IF(SER_hh_fech!R11=0,0,SER_hh_fech!R11/SER_summary!R$26)</f>
        <v>114.17382979905581</v>
      </c>
      <c r="S11" s="133">
        <f>IF(SER_hh_fech!S11=0,0,SER_hh_fech!S11/SER_summary!S$26)</f>
        <v>144.53105215539617</v>
      </c>
      <c r="T11" s="133">
        <f>IF(SER_hh_fech!T11=0,0,SER_hh_fech!T11/SER_summary!T$26)</f>
        <v>130.23996616615293</v>
      </c>
      <c r="U11" s="133">
        <f>IF(SER_hh_fech!U11=0,0,SER_hh_fech!U11/SER_summary!U$26)</f>
        <v>131.79975354377174</v>
      </c>
      <c r="V11" s="133">
        <f>IF(SER_hh_fech!V11=0,0,SER_hh_fech!V11/SER_summary!V$26)</f>
        <v>116.54339583867535</v>
      </c>
      <c r="W11" s="133">
        <f>IF(SER_hh_fech!W11=0,0,SER_hh_fech!W11/SER_summary!W$26)</f>
        <v>144.90576219469392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241.14328251534255</v>
      </c>
      <c r="C12" s="133">
        <f>IF(SER_hh_fech!C12=0,0,SER_hh_fech!C12/SER_summary!C$26)</f>
        <v>270.34766238994587</v>
      </c>
      <c r="D12" s="133">
        <f>IF(SER_hh_fech!D12=0,0,SER_hh_fech!D12/SER_summary!D$26)</f>
        <v>229.67406906520176</v>
      </c>
      <c r="E12" s="133">
        <f>IF(SER_hh_fech!E12=0,0,SER_hh_fech!E12/SER_summary!E$26)</f>
        <v>256.07137125457507</v>
      </c>
      <c r="F12" s="133">
        <f>IF(SER_hh_fech!F12=0,0,SER_hh_fech!F12/SER_summary!F$26)</f>
        <v>225.55229741519386</v>
      </c>
      <c r="G12" s="133">
        <f>IF(SER_hh_fech!G12=0,0,SER_hh_fech!G12/SER_summary!G$26)</f>
        <v>261.33541076733371</v>
      </c>
      <c r="H12" s="133">
        <f>IF(SER_hh_fech!H12=0,0,SER_hh_fech!H12/SER_summary!H$26)</f>
        <v>209.95788004515845</v>
      </c>
      <c r="I12" s="133">
        <f>IF(SER_hh_fech!I12=0,0,SER_hh_fech!I12/SER_summary!I$26)</f>
        <v>197.98457302778229</v>
      </c>
      <c r="J12" s="133">
        <f>IF(SER_hh_fech!J12=0,0,SER_hh_fech!J12/SER_summary!J$26)</f>
        <v>213.35652441031314</v>
      </c>
      <c r="K12" s="133">
        <f>IF(SER_hh_fech!K12=0,0,SER_hh_fech!K12/SER_summary!K$26)</f>
        <v>204.75543774963347</v>
      </c>
      <c r="L12" s="133">
        <f>IF(SER_hh_fech!L12=0,0,SER_hh_fech!L12/SER_summary!L$26)</f>
        <v>218.10421488436836</v>
      </c>
      <c r="M12" s="133">
        <f>IF(SER_hh_fech!M12=0,0,SER_hh_fech!M12/SER_summary!M$26)</f>
        <v>216.88430464825279</v>
      </c>
      <c r="N12" s="133">
        <f>IF(SER_hh_fech!N12=0,0,SER_hh_fech!N12/SER_summary!N$26)</f>
        <v>150.26232103551234</v>
      </c>
      <c r="O12" s="133">
        <f>IF(SER_hh_fech!O12=0,0,SER_hh_fech!O12/SER_summary!O$26)</f>
        <v>140.46826480981346</v>
      </c>
      <c r="P12" s="133">
        <f>IF(SER_hh_fech!P12=0,0,SER_hh_fech!P12/SER_summary!P$26)</f>
        <v>119.38540106529688</v>
      </c>
      <c r="Q12" s="133">
        <f>IF(SER_hh_fech!Q12=0,0,SER_hh_fech!Q12/SER_summary!Q$26)</f>
        <v>137.03886246698039</v>
      </c>
      <c r="R12" s="133">
        <f>IF(SER_hh_fech!R12=0,0,SER_hh_fech!R12/SER_summary!R$26)</f>
        <v>140.00143760881659</v>
      </c>
      <c r="S12" s="133">
        <f>IF(SER_hh_fech!S12=0,0,SER_hh_fech!S12/SER_summary!S$26)</f>
        <v>135.82912869621617</v>
      </c>
      <c r="T12" s="133">
        <f>IF(SER_hh_fech!T12=0,0,SER_hh_fech!T12/SER_summary!T$26)</f>
        <v>127.16246963351145</v>
      </c>
      <c r="U12" s="133">
        <f>IF(SER_hh_fech!U12=0,0,SER_hh_fech!U12/SER_summary!U$26)</f>
        <v>121.95279974513075</v>
      </c>
      <c r="V12" s="133">
        <f>IF(SER_hh_fech!V12=0,0,SER_hh_fech!V12/SER_summary!V$26)</f>
        <v>122.84774080399917</v>
      </c>
      <c r="W12" s="133">
        <f>IF(SER_hh_fech!W12=0,0,SER_hh_fech!W12/SER_summary!W$26)</f>
        <v>130.37493693986121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135.69861915187528</v>
      </c>
      <c r="C13" s="133">
        <f>IF(SER_hh_fech!C13=0,0,SER_hh_fech!C13/SER_summary!C$26)</f>
        <v>145.69224327568435</v>
      </c>
      <c r="D13" s="133">
        <f>IF(SER_hh_fech!D13=0,0,SER_hh_fech!D13/SER_summary!D$26)</f>
        <v>124.33008996991845</v>
      </c>
      <c r="E13" s="133">
        <f>IF(SER_hh_fech!E13=0,0,SER_hh_fech!E13/SER_summary!E$26)</f>
        <v>93.036564830047993</v>
      </c>
      <c r="F13" s="133">
        <f>IF(SER_hh_fech!F13=0,0,SER_hh_fech!F13/SER_summary!F$26)</f>
        <v>99.950228902391572</v>
      </c>
      <c r="G13" s="133">
        <f>IF(SER_hh_fech!G13=0,0,SER_hh_fech!G13/SER_summary!G$26)</f>
        <v>94.864240903986783</v>
      </c>
      <c r="H13" s="133">
        <f>IF(SER_hh_fech!H13=0,0,SER_hh_fech!H13/SER_summary!H$26)</f>
        <v>81.279596181012693</v>
      </c>
      <c r="I13" s="133">
        <f>IF(SER_hh_fech!I13=0,0,SER_hh_fech!I13/SER_summary!I$26)</f>
        <v>88.219209187229808</v>
      </c>
      <c r="J13" s="133">
        <f>IF(SER_hh_fech!J13=0,0,SER_hh_fech!J13/SER_summary!J$26)</f>
        <v>76.477350016870432</v>
      </c>
      <c r="K13" s="133">
        <f>IF(SER_hh_fech!K13=0,0,SER_hh_fech!K13/SER_summary!K$26)</f>
        <v>81.648740500081459</v>
      </c>
      <c r="L13" s="133">
        <f>IF(SER_hh_fech!L13=0,0,SER_hh_fech!L13/SER_summary!L$26)</f>
        <v>64.483981025025216</v>
      </c>
      <c r="M13" s="133">
        <f>IF(SER_hh_fech!M13=0,0,SER_hh_fech!M13/SER_summary!M$26)</f>
        <v>45.413225242235349</v>
      </c>
      <c r="N13" s="133">
        <f>IF(SER_hh_fech!N13=0,0,SER_hh_fech!N13/SER_summary!N$26)</f>
        <v>43.925272371700039</v>
      </c>
      <c r="O13" s="133">
        <f>IF(SER_hh_fech!O13=0,0,SER_hh_fech!O13/SER_summary!O$26)</f>
        <v>42.620232816909571</v>
      </c>
      <c r="P13" s="133">
        <f>IF(SER_hh_fech!P13=0,0,SER_hh_fech!P13/SER_summary!P$26)</f>
        <v>45.474513273225689</v>
      </c>
      <c r="Q13" s="133">
        <f>IF(SER_hh_fech!Q13=0,0,SER_hh_fech!Q13/SER_summary!Q$26)</f>
        <v>35.599479302066221</v>
      </c>
      <c r="R13" s="133">
        <f>IF(SER_hh_fech!R13=0,0,SER_hh_fech!R13/SER_summary!R$26)</f>
        <v>32.005510298657377</v>
      </c>
      <c r="S13" s="133">
        <f>IF(SER_hh_fech!S13=0,0,SER_hh_fech!S13/SER_summary!S$26)</f>
        <v>29.352156545749281</v>
      </c>
      <c r="T13" s="133">
        <f>IF(SER_hh_fech!T13=0,0,SER_hh_fech!T13/SER_summary!T$26)</f>
        <v>30.98294937902261</v>
      </c>
      <c r="U13" s="133">
        <f>IF(SER_hh_fech!U13=0,0,SER_hh_fech!U13/SER_summary!U$26)</f>
        <v>27.607459666625605</v>
      </c>
      <c r="V13" s="133">
        <f>IF(SER_hh_fech!V13=0,0,SER_hh_fech!V13/SER_summary!V$26)</f>
        <v>36.034074357430754</v>
      </c>
      <c r="W13" s="133">
        <f>IF(SER_hh_fech!W13=0,0,SER_hh_fech!W13/SER_summary!W$26)</f>
        <v>24.810592517652417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287.18929187324676</v>
      </c>
      <c r="C14" s="65">
        <f>IF(SER_hh_fech!C14=0,0,SER_hh_fech!C14/SER_summary!C$26)</f>
        <v>293.93284562878438</v>
      </c>
      <c r="D14" s="65">
        <f>IF(SER_hh_fech!D14=0,0,SER_hh_fech!D14/SER_summary!D$26)</f>
        <v>263.5922785955305</v>
      </c>
      <c r="E14" s="65">
        <f>IF(SER_hh_fech!E14=0,0,SER_hh_fech!E14/SER_summary!E$26)</f>
        <v>229.3450809762204</v>
      </c>
      <c r="F14" s="65">
        <f>IF(SER_hh_fech!F14=0,0,SER_hh_fech!F14/SER_summary!F$26)</f>
        <v>256.15629664628949</v>
      </c>
      <c r="G14" s="65">
        <f>IF(SER_hh_fech!G14=0,0,SER_hh_fech!G14/SER_summary!G$26)</f>
        <v>281.86548691543732</v>
      </c>
      <c r="H14" s="65">
        <f>IF(SER_hh_fech!H14=0,0,SER_hh_fech!H14/SER_summary!H$26)</f>
        <v>241.37748368438403</v>
      </c>
      <c r="I14" s="65">
        <f>IF(SER_hh_fech!I14=0,0,SER_hh_fech!I14/SER_summary!I$26)</f>
        <v>230.43207985366058</v>
      </c>
      <c r="J14" s="65">
        <f>IF(SER_hh_fech!J14=0,0,SER_hh_fech!J14/SER_summary!J$26)</f>
        <v>211.4990213352969</v>
      </c>
      <c r="K14" s="65">
        <f>IF(SER_hh_fech!K14=0,0,SER_hh_fech!K14/SER_summary!K$26)</f>
        <v>235.90164124522883</v>
      </c>
      <c r="L14" s="65">
        <f>IF(SER_hh_fech!L14=0,0,SER_hh_fech!L14/SER_summary!L$26)</f>
        <v>258.83390973976708</v>
      </c>
      <c r="M14" s="65">
        <f>IF(SER_hh_fech!M14=0,0,SER_hh_fech!M14/SER_summary!M$26)</f>
        <v>323.45076640834827</v>
      </c>
      <c r="N14" s="65">
        <f>IF(SER_hh_fech!N14=0,0,SER_hh_fech!N14/SER_summary!N$26)</f>
        <v>78.558366487788035</v>
      </c>
      <c r="O14" s="65">
        <f>IF(SER_hh_fech!O14=0,0,SER_hh_fech!O14/SER_summary!O$26)</f>
        <v>101.09690105658987</v>
      </c>
      <c r="P14" s="65">
        <f>IF(SER_hh_fech!P14=0,0,SER_hh_fech!P14/SER_summary!P$26)</f>
        <v>139.81340395848417</v>
      </c>
      <c r="Q14" s="65">
        <f>IF(SER_hh_fech!Q14=0,0,SER_hh_fech!Q14/SER_summary!Q$26)</f>
        <v>147.9025809271958</v>
      </c>
      <c r="R14" s="65">
        <f>IF(SER_hh_fech!R14=0,0,SER_hh_fech!R14/SER_summary!R$26)</f>
        <v>142.6078803005322</v>
      </c>
      <c r="S14" s="65">
        <f>IF(SER_hh_fech!S14=0,0,SER_hh_fech!S14/SER_summary!S$26)</f>
        <v>140.16979499511297</v>
      </c>
      <c r="T14" s="65">
        <f>IF(SER_hh_fech!T14=0,0,SER_hh_fech!T14/SER_summary!T$26)</f>
        <v>143.09310284931217</v>
      </c>
      <c r="U14" s="65">
        <f>IF(SER_hh_fech!U14=0,0,SER_hh_fech!U14/SER_summary!U$26)</f>
        <v>140.26170585940187</v>
      </c>
      <c r="V14" s="65">
        <f>IF(SER_hh_fech!V14=0,0,SER_hh_fech!V14/SER_summary!V$26)</f>
        <v>128.73563484474423</v>
      </c>
      <c r="W14" s="65">
        <f>IF(SER_hh_fech!W14=0,0,SER_hh_fech!W14/SER_summary!W$26)</f>
        <v>132.68329756911774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3.0855725581572937</v>
      </c>
      <c r="C15" s="135">
        <f>IF(SER_hh_fech!C15=0,0,SER_hh_fech!C15/SER_summary!C$26)</f>
        <v>3.2231964378539981</v>
      </c>
      <c r="D15" s="135">
        <f>IF(SER_hh_fech!D15=0,0,SER_hh_fech!D15/SER_summary!D$26)</f>
        <v>2.819296518508136</v>
      </c>
      <c r="E15" s="135">
        <f>IF(SER_hh_fech!E15=0,0,SER_hh_fech!E15/SER_summary!E$26)</f>
        <v>2.8467202724332661</v>
      </c>
      <c r="F15" s="135">
        <f>IF(SER_hh_fech!F15=0,0,SER_hh_fech!F15/SER_summary!F$26)</f>
        <v>3.503970429458827</v>
      </c>
      <c r="G15" s="135">
        <f>IF(SER_hh_fech!G15=0,0,SER_hh_fech!G15/SER_summary!G$26)</f>
        <v>3.2925164996963763</v>
      </c>
      <c r="H15" s="135">
        <f>IF(SER_hh_fech!H15=0,0,SER_hh_fech!H15/SER_summary!H$26)</f>
        <v>2.8142464831944416</v>
      </c>
      <c r="I15" s="135">
        <f>IF(SER_hh_fech!I15=0,0,SER_hh_fech!I15/SER_summary!I$26)</f>
        <v>2.1519613949758996</v>
      </c>
      <c r="J15" s="135">
        <f>IF(SER_hh_fech!J15=0,0,SER_hh_fech!J15/SER_summary!J$26)</f>
        <v>2.0688799880434168</v>
      </c>
      <c r="K15" s="135">
        <f>IF(SER_hh_fech!K15=0,0,SER_hh_fech!K15/SER_summary!K$26)</f>
        <v>2.2954542455472078</v>
      </c>
      <c r="L15" s="135">
        <f>IF(SER_hh_fech!L15=0,0,SER_hh_fech!L15/SER_summary!L$26)</f>
        <v>2.4936138452631353</v>
      </c>
      <c r="M15" s="135">
        <f>IF(SER_hh_fech!M15=0,0,SER_hh_fech!M15/SER_summary!M$26)</f>
        <v>2.4330879740327287</v>
      </c>
      <c r="N15" s="135">
        <f>IF(SER_hh_fech!N15=0,0,SER_hh_fech!N15/SER_summary!N$26)</f>
        <v>1.7872866921257897</v>
      </c>
      <c r="O15" s="135">
        <f>IF(SER_hh_fech!O15=0,0,SER_hh_fech!O15/SER_summary!O$26)</f>
        <v>1.7526209568138418</v>
      </c>
      <c r="P15" s="135">
        <f>IF(SER_hh_fech!P15=0,0,SER_hh_fech!P15/SER_summary!P$26)</f>
        <v>1.4378179877828809</v>
      </c>
      <c r="Q15" s="135">
        <f>IF(SER_hh_fech!Q15=0,0,SER_hh_fech!Q15/SER_summary!Q$26)</f>
        <v>1.5328692059745912</v>
      </c>
      <c r="R15" s="135">
        <f>IF(SER_hh_fech!R15=0,0,SER_hh_fech!R15/SER_summary!R$26)</f>
        <v>1.5253393726556443</v>
      </c>
      <c r="S15" s="135">
        <f>IF(SER_hh_fech!S15=0,0,SER_hh_fech!S15/SER_summary!S$26)</f>
        <v>1.4735660459397923</v>
      </c>
      <c r="T15" s="135">
        <f>IF(SER_hh_fech!T15=0,0,SER_hh_fech!T15/SER_summary!T$26)</f>
        <v>1.3961841160898791</v>
      </c>
      <c r="U15" s="135">
        <f>IF(SER_hh_fech!U15=0,0,SER_hh_fech!U15/SER_summary!U$26)</f>
        <v>1.3494494425439099</v>
      </c>
      <c r="V15" s="135">
        <f>IF(SER_hh_fech!V15=0,0,SER_hh_fech!V15/SER_summary!V$26)</f>
        <v>1.3875981790175678</v>
      </c>
      <c r="W15" s="135">
        <f>IF(SER_hh_fech!W15=0,0,SER_hh_fech!W15/SER_summary!W$26)</f>
        <v>1.4570673304974826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14.016417473531867</v>
      </c>
      <c r="C16" s="131">
        <f>IF(SER_hh_fech!C16=0,0,SER_hh_fech!C16/SER_summary!C$26)</f>
        <v>12.40159788369262</v>
      </c>
      <c r="D16" s="131">
        <f>IF(SER_hh_fech!D16=0,0,SER_hh_fech!D16/SER_summary!D$26)</f>
        <v>12.600506736796762</v>
      </c>
      <c r="E16" s="131">
        <f>IF(SER_hh_fech!E16=0,0,SER_hh_fech!E16/SER_summary!E$26)</f>
        <v>13.895527796178111</v>
      </c>
      <c r="F16" s="131">
        <f>IF(SER_hh_fech!F16=0,0,SER_hh_fech!F16/SER_summary!F$26)</f>
        <v>10.647726605468533</v>
      </c>
      <c r="G16" s="131">
        <f>IF(SER_hh_fech!G16=0,0,SER_hh_fech!G16/SER_summary!G$26)</f>
        <v>10.21479113399662</v>
      </c>
      <c r="H16" s="131">
        <f>IF(SER_hh_fech!H16=0,0,SER_hh_fech!H16/SER_summary!H$26)</f>
        <v>10.805385914613408</v>
      </c>
      <c r="I16" s="131">
        <f>IF(SER_hh_fech!I16=0,0,SER_hh_fech!I16/SER_summary!I$26)</f>
        <v>11.260100844238297</v>
      </c>
      <c r="J16" s="131">
        <f>IF(SER_hh_fech!J16=0,0,SER_hh_fech!J16/SER_summary!J$26)</f>
        <v>9.1850649060872982</v>
      </c>
      <c r="K16" s="131">
        <f>IF(SER_hh_fech!K16=0,0,SER_hh_fech!K16/SER_summary!K$26)</f>
        <v>9.1793377378704797</v>
      </c>
      <c r="L16" s="131">
        <f>IF(SER_hh_fech!L16=0,0,SER_hh_fech!L16/SER_summary!L$26)</f>
        <v>9.4940629252016269</v>
      </c>
      <c r="M16" s="131">
        <f>IF(SER_hh_fech!M16=0,0,SER_hh_fech!M16/SER_summary!M$26)</f>
        <v>9.1706343771722096</v>
      </c>
      <c r="N16" s="131">
        <f>IF(SER_hh_fech!N16=0,0,SER_hh_fech!N16/SER_summary!N$26)</f>
        <v>11.384210390780993</v>
      </c>
      <c r="O16" s="131">
        <f>IF(SER_hh_fech!O16=0,0,SER_hh_fech!O16/SER_summary!O$26)</f>
        <v>9.1679482682921964</v>
      </c>
      <c r="P16" s="131">
        <f>IF(SER_hh_fech!P16=0,0,SER_hh_fech!P16/SER_summary!P$26)</f>
        <v>7.9065356994302087</v>
      </c>
      <c r="Q16" s="131">
        <f>IF(SER_hh_fech!Q16=0,0,SER_hh_fech!Q16/SER_summary!Q$26)</f>
        <v>11.172200119045529</v>
      </c>
      <c r="R16" s="131">
        <f>IF(SER_hh_fech!R16=0,0,SER_hh_fech!R16/SER_summary!R$26)</f>
        <v>7.604596963821777</v>
      </c>
      <c r="S16" s="131">
        <f>IF(SER_hh_fech!S16=0,0,SER_hh_fech!S16/SER_summary!S$26)</f>
        <v>8.9052920844081207</v>
      </c>
      <c r="T16" s="131">
        <f>IF(SER_hh_fech!T16=0,0,SER_hh_fech!T16/SER_summary!T$26)</f>
        <v>8.2544318543693969</v>
      </c>
      <c r="U16" s="131">
        <f>IF(SER_hh_fech!U16=0,0,SER_hh_fech!U16/SER_summary!U$26)</f>
        <v>8.6455487035532972</v>
      </c>
      <c r="V16" s="131">
        <f>IF(SER_hh_fech!V16=0,0,SER_hh_fech!V16/SER_summary!V$26)</f>
        <v>7.0607206240166773</v>
      </c>
      <c r="W16" s="131">
        <f>IF(SER_hh_fech!W16=0,0,SER_hh_fech!W16/SER_summary!W$26)</f>
        <v>8.7320170633455891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19.816883589070571</v>
      </c>
      <c r="C17" s="133">
        <f>IF(SER_hh_fech!C17=0,0,SER_hh_fech!C17/SER_summary!C$26)</f>
        <v>18.059791577439924</v>
      </c>
      <c r="D17" s="133">
        <f>IF(SER_hh_fech!D17=0,0,SER_hh_fech!D17/SER_summary!D$26)</f>
        <v>19.031777034840356</v>
      </c>
      <c r="E17" s="133">
        <f>IF(SER_hh_fech!E17=0,0,SER_hh_fech!E17/SER_summary!E$26)</f>
        <v>21.787792058643788</v>
      </c>
      <c r="F17" s="133">
        <f>IF(SER_hh_fech!F17=0,0,SER_hh_fech!F17/SER_summary!F$26)</f>
        <v>17.429092500638852</v>
      </c>
      <c r="G17" s="133">
        <f>IF(SER_hh_fech!G17=0,0,SER_hh_fech!G17/SER_summary!G$26)</f>
        <v>17.424098337237197</v>
      </c>
      <c r="H17" s="133">
        <f>IF(SER_hh_fech!H17=0,0,SER_hh_fech!H17/SER_summary!H$26)</f>
        <v>19.312964760691333</v>
      </c>
      <c r="I17" s="133">
        <f>IF(SER_hh_fech!I17=0,0,SER_hh_fech!I17/SER_summary!I$26)</f>
        <v>21.123750117918714</v>
      </c>
      <c r="J17" s="133">
        <f>IF(SER_hh_fech!J17=0,0,SER_hh_fech!J17/SER_summary!J$26)</f>
        <v>18.136307839549602</v>
      </c>
      <c r="K17" s="133">
        <f>IF(SER_hh_fech!K17=0,0,SER_hh_fech!K17/SER_summary!K$26)</f>
        <v>18.379667819881618</v>
      </c>
      <c r="L17" s="133">
        <f>IF(SER_hh_fech!L17=0,0,SER_hh_fech!L17/SER_summary!L$26)</f>
        <v>19.374734121440916</v>
      </c>
      <c r="M17" s="133">
        <f>IF(SER_hh_fech!M17=0,0,SER_hh_fech!M17/SER_summary!M$26)</f>
        <v>19.181859187107435</v>
      </c>
      <c r="N17" s="133">
        <f>IF(SER_hh_fech!N17=0,0,SER_hh_fech!N17/SER_summary!N$26)</f>
        <v>24.441036425548422</v>
      </c>
      <c r="O17" s="133">
        <f>IF(SER_hh_fech!O17=0,0,SER_hh_fech!O17/SER_summary!O$26)</f>
        <v>20.147719746580563</v>
      </c>
      <c r="P17" s="133">
        <f>IF(SER_hh_fech!P17=0,0,SER_hh_fech!P17/SER_summary!P$26)</f>
        <v>17.849790420622064</v>
      </c>
      <c r="Q17" s="133">
        <f>IF(SER_hh_fech!Q17=0,0,SER_hh_fech!Q17/SER_summary!Q$26)</f>
        <v>25.790902714440854</v>
      </c>
      <c r="R17" s="133">
        <f>IF(SER_hh_fech!R17=0,0,SER_hh_fech!R17/SER_summary!R$26)</f>
        <v>17.948176759691066</v>
      </c>
      <c r="S17" s="133">
        <f>IF(SER_hh_fech!S17=0,0,SER_hh_fech!S17/SER_summary!S$26)</f>
        <v>21.276011945021555</v>
      </c>
      <c r="T17" s="133">
        <f>IF(SER_hh_fech!T17=0,0,SER_hh_fech!T17/SER_summary!T$26)</f>
        <v>19.994814687018604</v>
      </c>
      <c r="U17" s="133">
        <f>IF(SER_hh_fech!U17=0,0,SER_hh_fech!U17/SER_summary!U$26)</f>
        <v>20.907384740112153</v>
      </c>
      <c r="V17" s="133">
        <f>IF(SER_hh_fech!V17=0,0,SER_hh_fech!V17/SER_summary!V$26)</f>
        <v>14.536162589048542</v>
      </c>
      <c r="W17" s="133">
        <f>IF(SER_hh_fech!W17=0,0,SER_hh_fech!W17/SER_summary!W$26)</f>
        <v>18.222781845551587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14.000370097436123</v>
      </c>
      <c r="C18" s="133">
        <f>IF(SER_hh_fech!C18=0,0,SER_hh_fech!C18/SER_summary!C$26)</f>
        <v>12.384626445705402</v>
      </c>
      <c r="D18" s="133">
        <f>IF(SER_hh_fech!D18=0,0,SER_hh_fech!D18/SER_summary!D$26)</f>
        <v>12.57907922534509</v>
      </c>
      <c r="E18" s="133">
        <f>IF(SER_hh_fech!E18=0,0,SER_hh_fech!E18/SER_summary!E$26)</f>
        <v>13.867575564201665</v>
      </c>
      <c r="F18" s="133">
        <f>IF(SER_hh_fech!F18=0,0,SER_hh_fech!F18/SER_summary!F$26)</f>
        <v>10.625000162932782</v>
      </c>
      <c r="G18" s="133">
        <f>IF(SER_hh_fech!G18=0,0,SER_hh_fech!G18/SER_summary!G$26)</f>
        <v>10.189949583471375</v>
      </c>
      <c r="H18" s="133">
        <f>IF(SER_hh_fech!H18=0,0,SER_hh_fech!H18/SER_summary!H$26)</f>
        <v>10.774036218633249</v>
      </c>
      <c r="I18" s="133">
        <f>IF(SER_hh_fech!I18=0,0,SER_hh_fech!I18/SER_summary!I$26)</f>
        <v>11.221990399385129</v>
      </c>
      <c r="J18" s="133">
        <f>IF(SER_hh_fech!J18=0,0,SER_hh_fech!J18/SER_summary!J$26)</f>
        <v>9.1513696795770922</v>
      </c>
      <c r="K18" s="133">
        <f>IF(SER_hh_fech!K18=0,0,SER_hh_fech!K18/SER_summary!K$26)</f>
        <v>9.143279886293131</v>
      </c>
      <c r="L18" s="133">
        <f>IF(SER_hh_fech!L18=0,0,SER_hh_fech!L18/SER_summary!L$26)</f>
        <v>9.4513175850976783</v>
      </c>
      <c r="M18" s="133">
        <f>IF(SER_hh_fech!M18=0,0,SER_hh_fech!M18/SER_summary!M$26)</f>
        <v>9.1228377837936119</v>
      </c>
      <c r="N18" s="133">
        <f>IF(SER_hh_fech!N18=0,0,SER_hh_fech!N18/SER_summary!N$26)</f>
        <v>11.314959698148428</v>
      </c>
      <c r="O18" s="133">
        <f>IF(SER_hh_fech!O18=0,0,SER_hh_fech!O18/SER_summary!O$26)</f>
        <v>9.1040434001315482</v>
      </c>
      <c r="P18" s="133">
        <f>IF(SER_hh_fech!P18=0,0,SER_hh_fech!P18/SER_summary!P$26)</f>
        <v>7.8462997570560207</v>
      </c>
      <c r="Q18" s="133">
        <f>IF(SER_hh_fech!Q18=0,0,SER_hh_fech!Q18/SER_summary!Q$26)</f>
        <v>11.076853497712234</v>
      </c>
      <c r="R18" s="133">
        <f>IF(SER_hh_fech!R18=0,0,SER_hh_fech!R18/SER_summary!R$26)</f>
        <v>7.5335169120635035</v>
      </c>
      <c r="S18" s="133">
        <f>IF(SER_hh_fech!S18=0,0,SER_hh_fech!S18/SER_summary!S$26)</f>
        <v>8.8077629557342902</v>
      </c>
      <c r="T18" s="133">
        <f>IF(SER_hh_fech!T18=0,0,SER_hh_fech!T18/SER_summary!T$26)</f>
        <v>8.1563252420526577</v>
      </c>
      <c r="U18" s="133">
        <f>IF(SER_hh_fech!U18=0,0,SER_hh_fech!U18/SER_summary!U$26)</f>
        <v>8.525004648008137</v>
      </c>
      <c r="V18" s="133">
        <f>IF(SER_hh_fech!V18=0,0,SER_hh_fech!V18/SER_summary!V$26)</f>
        <v>6.9769766136525373</v>
      </c>
      <c r="W18" s="133">
        <f>IF(SER_hh_fech!W18=0,0,SER_hh_fech!W18/SER_summary!W$26)</f>
        <v>8.6225917741824656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30.672562984684184</v>
      </c>
      <c r="C19" s="131">
        <f>IF(SER_hh_fech!C19=0,0,SER_hh_fech!C19/SER_summary!C$26)</f>
        <v>30.547759756332574</v>
      </c>
      <c r="D19" s="131">
        <f>IF(SER_hh_fech!D19=0,0,SER_hh_fech!D19/SER_summary!D$26)</f>
        <v>30.846251632663726</v>
      </c>
      <c r="E19" s="131">
        <f>IF(SER_hh_fech!E19=0,0,SER_hh_fech!E19/SER_summary!E$26)</f>
        <v>30.34819536195506</v>
      </c>
      <c r="F19" s="131">
        <f>IF(SER_hh_fech!F19=0,0,SER_hh_fech!F19/SER_summary!F$26)</f>
        <v>30.762088681613559</v>
      </c>
      <c r="G19" s="131">
        <f>IF(SER_hh_fech!G19=0,0,SER_hh_fech!G19/SER_summary!G$26)</f>
        <v>30.167888035956693</v>
      </c>
      <c r="H19" s="131">
        <f>IF(SER_hh_fech!H19=0,0,SER_hh_fech!H19/SER_summary!H$26)</f>
        <v>29.910595211479517</v>
      </c>
      <c r="I19" s="131">
        <f>IF(SER_hh_fech!I19=0,0,SER_hh_fech!I19/SER_summary!I$26)</f>
        <v>29.58566755837515</v>
      </c>
      <c r="J19" s="131">
        <f>IF(SER_hh_fech!J19=0,0,SER_hh_fech!J19/SER_summary!J$26)</f>
        <v>29.870425661266889</v>
      </c>
      <c r="K19" s="131">
        <f>IF(SER_hh_fech!K19=0,0,SER_hh_fech!K19/SER_summary!K$26)</f>
        <v>30.13636828608719</v>
      </c>
      <c r="L19" s="131">
        <f>IF(SER_hh_fech!L19=0,0,SER_hh_fech!L19/SER_summary!L$26)</f>
        <v>29.953354449861063</v>
      </c>
      <c r="M19" s="131">
        <f>IF(SER_hh_fech!M19=0,0,SER_hh_fech!M19/SER_summary!M$26)</f>
        <v>29.757346861536615</v>
      </c>
      <c r="N19" s="131">
        <f>IF(SER_hh_fech!N19=0,0,SER_hh_fech!N19/SER_summary!N$26)</f>
        <v>29.556226001570153</v>
      </c>
      <c r="O19" s="131">
        <f>IF(SER_hh_fech!O19=0,0,SER_hh_fech!O19/SER_summary!O$26)</f>
        <v>29.168793013653389</v>
      </c>
      <c r="P19" s="131">
        <f>IF(SER_hh_fech!P19=0,0,SER_hh_fech!P19/SER_summary!P$26)</f>
        <v>28.279923033505597</v>
      </c>
      <c r="Q19" s="131">
        <f>IF(SER_hh_fech!Q19=0,0,SER_hh_fech!Q19/SER_summary!Q$26)</f>
        <v>28.092182919608934</v>
      </c>
      <c r="R19" s="131">
        <f>IF(SER_hh_fech!R19=0,0,SER_hh_fech!R19/SER_summary!R$26)</f>
        <v>27.873116477463583</v>
      </c>
      <c r="S19" s="131">
        <f>IF(SER_hh_fech!S19=0,0,SER_hh_fech!S19/SER_summary!S$26)</f>
        <v>27.270029841100179</v>
      </c>
      <c r="T19" s="131">
        <f>IF(SER_hh_fech!T19=0,0,SER_hh_fech!T19/SER_summary!T$26)</f>
        <v>26.914982479635277</v>
      </c>
      <c r="U19" s="131">
        <f>IF(SER_hh_fech!U19=0,0,SER_hh_fech!U19/SER_summary!U$26)</f>
        <v>25.96963622043835</v>
      </c>
      <c r="V19" s="131">
        <f>IF(SER_hh_fech!V19=0,0,SER_hh_fech!V19/SER_summary!V$26)</f>
        <v>23.21408827783192</v>
      </c>
      <c r="W19" s="131">
        <f>IF(SER_hh_fech!W19=0,0,SER_hh_fech!W19/SER_summary!W$26)</f>
        <v>23.427248875586471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0</v>
      </c>
      <c r="C22" s="133">
        <f>IF(SER_hh_fech!C22=0,0,SER_hh_fech!C22/SER_summary!C$26)</f>
        <v>0</v>
      </c>
      <c r="D22" s="133">
        <f>IF(SER_hh_fech!D22=0,0,SER_hh_fech!D22/SER_summary!D$26)</f>
        <v>0</v>
      </c>
      <c r="E22" s="133">
        <f>IF(SER_hh_fech!E22=0,0,SER_hh_fech!E22/SER_summary!E$26)</f>
        <v>0</v>
      </c>
      <c r="F22" s="133">
        <f>IF(SER_hh_fech!F22=0,0,SER_hh_fech!F22/SER_summary!F$26)</f>
        <v>0</v>
      </c>
      <c r="G22" s="133">
        <f>IF(SER_hh_fech!G22=0,0,SER_hh_fech!G22/SER_summary!G$26)</f>
        <v>0</v>
      </c>
      <c r="H22" s="133">
        <f>IF(SER_hh_fech!H22=0,0,SER_hh_fech!H22/SER_summary!H$26)</f>
        <v>0</v>
      </c>
      <c r="I22" s="133">
        <f>IF(SER_hh_fech!I22=0,0,SER_hh_fech!I22/SER_summary!I$26)</f>
        <v>0</v>
      </c>
      <c r="J22" s="133">
        <f>IF(SER_hh_fech!J22=0,0,SER_hh_fech!J22/SER_summary!J$26)</f>
        <v>0</v>
      </c>
      <c r="K22" s="133">
        <f>IF(SER_hh_fech!K22=0,0,SER_hh_fech!K22/SER_summary!K$26)</f>
        <v>0</v>
      </c>
      <c r="L22" s="133">
        <f>IF(SER_hh_fech!L22=0,0,SER_hh_fech!L22/SER_summary!L$26)</f>
        <v>0</v>
      </c>
      <c r="M22" s="133">
        <f>IF(SER_hh_fech!M22=0,0,SER_hh_fech!M22/SER_summary!M$26)</f>
        <v>0</v>
      </c>
      <c r="N22" s="133">
        <f>IF(SER_hh_fech!N22=0,0,SER_hh_fech!N22/SER_summary!N$26)</f>
        <v>0</v>
      </c>
      <c r="O22" s="133">
        <f>IF(SER_hh_fech!O22=0,0,SER_hh_fech!O22/SER_summary!O$26)</f>
        <v>0</v>
      </c>
      <c r="P22" s="133">
        <f>IF(SER_hh_fech!P22=0,0,SER_hh_fech!P22/SER_summary!P$26)</f>
        <v>0</v>
      </c>
      <c r="Q22" s="133">
        <f>IF(SER_hh_fech!Q22=0,0,SER_hh_fech!Q22/SER_summary!Q$26)</f>
        <v>0</v>
      </c>
      <c r="R22" s="133">
        <f>IF(SER_hh_fech!R22=0,0,SER_hh_fech!R22/SER_summary!R$26)</f>
        <v>0</v>
      </c>
      <c r="S22" s="133">
        <f>IF(SER_hh_fech!S22=0,0,SER_hh_fech!S22/SER_summary!S$26)</f>
        <v>0</v>
      </c>
      <c r="T22" s="133">
        <f>IF(SER_hh_fech!T22=0,0,SER_hh_fech!T22/SER_summary!T$26)</f>
        <v>0</v>
      </c>
      <c r="U22" s="133">
        <f>IF(SER_hh_fech!U22=0,0,SER_hh_fech!U22/SER_summary!U$26)</f>
        <v>0</v>
      </c>
      <c r="V22" s="133">
        <f>IF(SER_hh_fech!V22=0,0,SER_hh_fech!V22/SER_summary!V$26)</f>
        <v>0</v>
      </c>
      <c r="W22" s="133">
        <f>IF(SER_hh_fech!W22=0,0,SER_hh_fech!W22/SER_summary!W$26)</f>
        <v>0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34.886679405315085</v>
      </c>
      <c r="C23" s="133">
        <f>IF(SER_hh_fech!C23=0,0,SER_hh_fech!C23/SER_summary!C$26)</f>
        <v>34.737326997700244</v>
      </c>
      <c r="D23" s="133">
        <f>IF(SER_hh_fech!D23=0,0,SER_hh_fech!D23/SER_summary!D$26)</f>
        <v>34.783278867903768</v>
      </c>
      <c r="E23" s="133">
        <f>IF(SER_hh_fech!E23=0,0,SER_hh_fech!E23/SER_summary!E$26)</f>
        <v>34.565622099389643</v>
      </c>
      <c r="F23" s="133">
        <f>IF(SER_hh_fech!F23=0,0,SER_hh_fech!F23/SER_summary!F$26)</f>
        <v>34.948982141938806</v>
      </c>
      <c r="G23" s="133">
        <f>IF(SER_hh_fech!G23=0,0,SER_hh_fech!G23/SER_summary!G$26)</f>
        <v>33.422956204968465</v>
      </c>
      <c r="H23" s="133">
        <f>IF(SER_hh_fech!H23=0,0,SER_hh_fech!H23/SER_summary!H$26)</f>
        <v>32.350320475220769</v>
      </c>
      <c r="I23" s="133">
        <f>IF(SER_hh_fech!I23=0,0,SER_hh_fech!I23/SER_summary!I$26)</f>
        <v>31.840007101437106</v>
      </c>
      <c r="J23" s="133">
        <f>IF(SER_hh_fech!J23=0,0,SER_hh_fech!J23/SER_summary!J$26)</f>
        <v>32.213913155070394</v>
      </c>
      <c r="K23" s="133">
        <f>IF(SER_hh_fech!K23=0,0,SER_hh_fech!K23/SER_summary!K$26)</f>
        <v>32.901870858869209</v>
      </c>
      <c r="L23" s="133">
        <f>IF(SER_hh_fech!L23=0,0,SER_hh_fech!L23/SER_summary!L$26)</f>
        <v>32.448498743854699</v>
      </c>
      <c r="M23" s="133">
        <f>IF(SER_hh_fech!M23=0,0,SER_hh_fech!M23/SER_summary!M$26)</f>
        <v>31.300355060488695</v>
      </c>
      <c r="N23" s="133">
        <f>IF(SER_hh_fech!N23=0,0,SER_hh_fech!N23/SER_summary!N$26)</f>
        <v>30.400978709624965</v>
      </c>
      <c r="O23" s="133">
        <f>IF(SER_hh_fech!O23=0,0,SER_hh_fech!O23/SER_summary!O$26)</f>
        <v>31.466020644506131</v>
      </c>
      <c r="P23" s="133">
        <f>IF(SER_hh_fech!P23=0,0,SER_hh_fech!P23/SER_summary!P$26)</f>
        <v>29.897987583749824</v>
      </c>
      <c r="Q23" s="133">
        <f>IF(SER_hh_fech!Q23=0,0,SER_hh_fech!Q23/SER_summary!Q$26)</f>
        <v>29.600194707490065</v>
      </c>
      <c r="R23" s="133">
        <f>IF(SER_hh_fech!R23=0,0,SER_hh_fech!R23/SER_summary!R$26)</f>
        <v>29.375855117559734</v>
      </c>
      <c r="S23" s="133">
        <f>IF(SER_hh_fech!S23=0,0,SER_hh_fech!S23/SER_summary!S$26)</f>
        <v>28.744731406727599</v>
      </c>
      <c r="T23" s="133">
        <f>IF(SER_hh_fech!T23=0,0,SER_hh_fech!T23/SER_summary!T$26)</f>
        <v>28.570333209339996</v>
      </c>
      <c r="U23" s="133">
        <f>IF(SER_hh_fech!U23=0,0,SER_hh_fech!U23/SER_summary!U$26)</f>
        <v>27.180695027131421</v>
      </c>
      <c r="V23" s="133">
        <f>IF(SER_hh_fech!V23=0,0,SER_hh_fech!V23/SER_summary!V$26)</f>
        <v>24.507687517173832</v>
      </c>
      <c r="W23" s="133">
        <f>IF(SER_hh_fech!W23=0,0,SER_hh_fech!W23/SER_summary!W$26)</f>
        <v>24.093705512346482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37.156959578624132</v>
      </c>
      <c r="O24" s="133">
        <f>IF(SER_hh_fech!O24=0,0,SER_hh_fech!O24/SER_summary!O$26)</f>
        <v>29.038517824532718</v>
      </c>
      <c r="P24" s="133">
        <f>IF(SER_hh_fech!P24=0,0,SER_hh_fech!P24/SER_summary!P$26)</f>
        <v>26.294730015046504</v>
      </c>
      <c r="Q24" s="133">
        <f>IF(SER_hh_fech!Q24=0,0,SER_hh_fech!Q24/SER_summary!Q$26)</f>
        <v>25.89793799893906</v>
      </c>
      <c r="R24" s="133">
        <f>IF(SER_hh_fech!R24=0,0,SER_hh_fech!R24/SER_summary!R$26)</f>
        <v>25.777317567041639</v>
      </c>
      <c r="S24" s="133">
        <f>IF(SER_hh_fech!S24=0,0,SER_hh_fech!S24/SER_summary!S$26)</f>
        <v>25.920116482309894</v>
      </c>
      <c r="T24" s="133">
        <f>IF(SER_hh_fech!T24=0,0,SER_hh_fech!T24/SER_summary!T$26)</f>
        <v>25.551024328023502</v>
      </c>
      <c r="U24" s="133">
        <f>IF(SER_hh_fech!U24=0,0,SER_hh_fech!U24/SER_summary!U$26)</f>
        <v>25.792770026878284</v>
      </c>
      <c r="V24" s="133">
        <f>IF(SER_hh_fech!V24=0,0,SER_hh_fech!V24/SER_summary!V$26)</f>
        <v>24.372567631931158</v>
      </c>
      <c r="W24" s="133">
        <f>IF(SER_hh_fech!W24=0,0,SER_hh_fech!W24/SER_summary!W$26)</f>
        <v>22.704211585819856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23.481623128249588</v>
      </c>
      <c r="C25" s="133">
        <f>IF(SER_hh_fech!C25=0,0,SER_hh_fech!C25/SER_summary!C$26)</f>
        <v>23.44661035397009</v>
      </c>
      <c r="D25" s="133">
        <f>IF(SER_hh_fech!D25=0,0,SER_hh_fech!D25/SER_summary!D$26)</f>
        <v>23.436474774552259</v>
      </c>
      <c r="E25" s="133">
        <f>IF(SER_hh_fech!E25=0,0,SER_hh_fech!E25/SER_summary!E$26)</f>
        <v>23.227764950389098</v>
      </c>
      <c r="F25" s="133">
        <f>IF(SER_hh_fech!F25=0,0,SER_hh_fech!F25/SER_summary!F$26)</f>
        <v>23.085265008629136</v>
      </c>
      <c r="G25" s="133">
        <f>IF(SER_hh_fech!G25=0,0,SER_hh_fech!G25/SER_summary!G$26)</f>
        <v>23.675115385029418</v>
      </c>
      <c r="H25" s="133">
        <f>IF(SER_hh_fech!H25=0,0,SER_hh_fech!H25/SER_summary!H$26)</f>
        <v>23.209306105393214</v>
      </c>
      <c r="I25" s="133">
        <f>IF(SER_hh_fech!I25=0,0,SER_hh_fech!I25/SER_summary!I$26)</f>
        <v>22.932216679164473</v>
      </c>
      <c r="J25" s="133">
        <f>IF(SER_hh_fech!J25=0,0,SER_hh_fech!J25/SER_summary!J$26)</f>
        <v>23.707430131474712</v>
      </c>
      <c r="K25" s="133">
        <f>IF(SER_hh_fech!K25=0,0,SER_hh_fech!K25/SER_summary!K$26)</f>
        <v>23.70074851643372</v>
      </c>
      <c r="L25" s="133">
        <f>IF(SER_hh_fech!L25=0,0,SER_hh_fech!L25/SER_summary!L$26)</f>
        <v>23.624646227266879</v>
      </c>
      <c r="M25" s="133">
        <f>IF(SER_hh_fech!M25=0,0,SER_hh_fech!M25/SER_summary!M$26)</f>
        <v>23.606299675145888</v>
      </c>
      <c r="N25" s="133">
        <f>IF(SER_hh_fech!N25=0,0,SER_hh_fech!N25/SER_summary!N$26)</f>
        <v>23.903318438514344</v>
      </c>
      <c r="O25" s="133">
        <f>IF(SER_hh_fech!O25=0,0,SER_hh_fech!O25/SER_summary!O$26)</f>
        <v>23.269017175242958</v>
      </c>
      <c r="P25" s="133">
        <f>IF(SER_hh_fech!P25=0,0,SER_hh_fech!P25/SER_summary!P$26)</f>
        <v>22.863238925267389</v>
      </c>
      <c r="Q25" s="133">
        <f>IF(SER_hh_fech!Q25=0,0,SER_hh_fech!Q25/SER_summary!Q$26)</f>
        <v>23.08229783913422</v>
      </c>
      <c r="R25" s="133">
        <f>IF(SER_hh_fech!R25=0,0,SER_hh_fech!R25/SER_summary!R$26)</f>
        <v>22.954733323499923</v>
      </c>
      <c r="S25" s="133">
        <f>IF(SER_hh_fech!S25=0,0,SER_hh_fech!S25/SER_summary!S$26)</f>
        <v>22.933295042431034</v>
      </c>
      <c r="T25" s="133">
        <f>IF(SER_hh_fech!T25=0,0,SER_hh_fech!T25/SER_summary!T$26)</f>
        <v>22.739344295970671</v>
      </c>
      <c r="U25" s="133">
        <f>IF(SER_hh_fech!U25=0,0,SER_hh_fech!U25/SER_summary!U$26)</f>
        <v>23.247004361743986</v>
      </c>
      <c r="V25" s="133">
        <f>IF(SER_hh_fech!V25=0,0,SER_hh_fech!V25/SER_summary!V$26)</f>
        <v>19.941213673689028</v>
      </c>
      <c r="W25" s="133">
        <f>IF(SER_hh_fech!W25=0,0,SER_hh_fech!W25/SER_summary!W$26)</f>
        <v>21.044506032456123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28.63044661293176</v>
      </c>
      <c r="C26" s="65">
        <f>IF(SER_hh_fech!C26=0,0,SER_hh_fech!C26/SER_summary!C$26)</f>
        <v>28.483422319549188</v>
      </c>
      <c r="D26" s="65">
        <f>IF(SER_hh_fech!D26=0,0,SER_hh_fech!D26/SER_summary!D$26)</f>
        <v>28.900495462207655</v>
      </c>
      <c r="E26" s="65">
        <f>IF(SER_hh_fech!E26=0,0,SER_hh_fech!E26/SER_summary!E$26)</f>
        <v>27.99676964624781</v>
      </c>
      <c r="F26" s="65">
        <f>IF(SER_hh_fech!F26=0,0,SER_hh_fech!F26/SER_summary!F$26)</f>
        <v>28.381900676673421</v>
      </c>
      <c r="G26" s="65">
        <f>IF(SER_hh_fech!G26=0,0,SER_hh_fech!G26/SER_summary!G$26)</f>
        <v>28.375242438482374</v>
      </c>
      <c r="H26" s="65">
        <f>IF(SER_hh_fech!H26=0,0,SER_hh_fech!H26/SER_summary!H$26)</f>
        <v>28.894864391759022</v>
      </c>
      <c r="I26" s="65">
        <f>IF(SER_hh_fech!I26=0,0,SER_hh_fech!I26/SER_summary!I$26)</f>
        <v>28.603638610538052</v>
      </c>
      <c r="J26" s="65">
        <f>IF(SER_hh_fech!J26=0,0,SER_hh_fech!J26/SER_summary!J$26)</f>
        <v>28.535279804853346</v>
      </c>
      <c r="K26" s="65">
        <f>IF(SER_hh_fech!K26=0,0,SER_hh_fech!K26/SER_summary!K$26)</f>
        <v>28.066258437454149</v>
      </c>
      <c r="L26" s="65">
        <f>IF(SER_hh_fech!L26=0,0,SER_hh_fech!L26/SER_summary!L$26)</f>
        <v>27.992529169185477</v>
      </c>
      <c r="M26" s="65">
        <f>IF(SER_hh_fech!M26=0,0,SER_hh_fech!M26/SER_summary!M$26)</f>
        <v>29.134032801756284</v>
      </c>
      <c r="N26" s="65">
        <f>IF(SER_hh_fech!N26=0,0,SER_hh_fech!N26/SER_summary!N$26)</f>
        <v>29.566750288485107</v>
      </c>
      <c r="O26" s="65">
        <f>IF(SER_hh_fech!O26=0,0,SER_hh_fech!O26/SER_summary!O$26)</f>
        <v>26.448602661751906</v>
      </c>
      <c r="P26" s="65">
        <f>IF(SER_hh_fech!P26=0,0,SER_hh_fech!P26/SER_summary!P$26)</f>
        <v>26.759043957089968</v>
      </c>
      <c r="Q26" s="65">
        <f>IF(SER_hh_fech!Q26=0,0,SER_hh_fech!Q26/SER_summary!Q$26)</f>
        <v>26.673729918642845</v>
      </c>
      <c r="R26" s="65">
        <f>IF(SER_hh_fech!R26=0,0,SER_hh_fech!R26/SER_summary!R$26)</f>
        <v>26.421457110094202</v>
      </c>
      <c r="S26" s="65">
        <f>IF(SER_hh_fech!S26=0,0,SER_hh_fech!S26/SER_summary!S$26)</f>
        <v>25.514808321729248</v>
      </c>
      <c r="T26" s="65">
        <f>IF(SER_hh_fech!T26=0,0,SER_hh_fech!T26/SER_summary!T$26)</f>
        <v>24.548052796395655</v>
      </c>
      <c r="U26" s="65">
        <f>IF(SER_hh_fech!U26=0,0,SER_hh_fech!U26/SER_summary!U$26)</f>
        <v>23.975753433403973</v>
      </c>
      <c r="V26" s="65">
        <f>IF(SER_hh_fech!V26=0,0,SER_hh_fech!V26/SER_summary!V$26)</f>
        <v>21.109244844769496</v>
      </c>
      <c r="W26" s="65">
        <f>IF(SER_hh_fech!W26=0,0,SER_hh_fech!W26/SER_summary!W$26)</f>
        <v>22.694034699453905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3.2254990270236864E-3</v>
      </c>
      <c r="H27" s="146">
        <f>IF(SER_hh_fech!H27=0,0,SER_hh_fech!H27/SER_summary!H$26)</f>
        <v>6.3633744801633021E-3</v>
      </c>
      <c r="I27" s="146">
        <f>IF(SER_hh_fech!I27=0,0,SER_hh_fech!I27/SER_summary!I$26)</f>
        <v>9.3510812792953202E-3</v>
      </c>
      <c r="J27" s="146">
        <f>IF(SER_hh_fech!J27=0,0,SER_hh_fech!J27/SER_summary!J$26)</f>
        <v>1.2544187948884736E-2</v>
      </c>
      <c r="K27" s="146">
        <f>IF(SER_hh_fech!K27=0,0,SER_hh_fech!K27/SER_summary!K$26)</f>
        <v>1.5750394234898147E-2</v>
      </c>
      <c r="L27" s="146">
        <f>IF(SER_hh_fech!L27=0,0,SER_hh_fech!L27/SER_summary!L$26)</f>
        <v>2.2038495922496612E-2</v>
      </c>
      <c r="M27" s="146">
        <f>IF(SER_hh_fech!M27=0,0,SER_hh_fech!M27/SER_summary!M$26)</f>
        <v>2.5079195594197641E-2</v>
      </c>
      <c r="N27" s="146">
        <f>IF(SER_hh_fech!N27=0,0,SER_hh_fech!N27/SER_summary!N$26)</f>
        <v>2.4898586431844949E-2</v>
      </c>
      <c r="O27" s="146">
        <f>IF(SER_hh_fech!O27=0,0,SER_hh_fech!O27/SER_summary!O$26)</f>
        <v>2.4639258143362871E-2</v>
      </c>
      <c r="P27" s="146">
        <f>IF(SER_hh_fech!P27=0,0,SER_hh_fech!P27/SER_summary!P$26)</f>
        <v>2.687782191208583E-2</v>
      </c>
      <c r="Q27" s="146">
        <f>IF(SER_hh_fech!Q27=0,0,SER_hh_fech!Q27/SER_summary!Q$26)</f>
        <v>2.6858763461722428E-2</v>
      </c>
      <c r="R27" s="146">
        <f>IF(SER_hh_fech!R27=0,0,SER_hh_fech!R27/SER_summary!R$26)</f>
        <v>2.6603409837569921E-2</v>
      </c>
      <c r="S27" s="146">
        <f>IF(SER_hh_fech!S27=0,0,SER_hh_fech!S27/SER_summary!S$26)</f>
        <v>2.9154618643580477E-2</v>
      </c>
      <c r="T27" s="146">
        <f>IF(SER_hh_fech!T27=0,0,SER_hh_fech!T27/SER_summary!T$26)</f>
        <v>2.8759738862538065E-2</v>
      </c>
      <c r="U27" s="146">
        <f>IF(SER_hh_fech!U27=0,0,SER_hh_fech!U27/SER_summary!U$26)</f>
        <v>3.1275201857930784E-2</v>
      </c>
      <c r="V27" s="146">
        <f>IF(SER_hh_fech!V27=0,0,SER_hh_fech!V27/SER_summary!V$26)</f>
        <v>3.0946124700649918E-2</v>
      </c>
      <c r="W27" s="146">
        <f>IF(SER_hh_fech!W27=0,0,SER_hh_fech!W27/SER_summary!W$26)</f>
        <v>3.0638542030168432E-2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14.664970163687615</v>
      </c>
      <c r="H28" s="147">
        <f>IF(SER_hh_fech!H28=0,0,SER_hh_fech!H28/SER_summary!H$26)</f>
        <v>13.39300496575207</v>
      </c>
      <c r="I28" s="147">
        <f>IF(SER_hh_fech!I28=0,0,SER_hh_fech!I28/SER_summary!I$26)</f>
        <v>14.219119497608087</v>
      </c>
      <c r="J28" s="147">
        <f>IF(SER_hh_fech!J28=0,0,SER_hh_fech!J28/SER_summary!J$26)</f>
        <v>13.835557159281977</v>
      </c>
      <c r="K28" s="147">
        <f>IF(SER_hh_fech!K28=0,0,SER_hh_fech!K28/SER_summary!K$26)</f>
        <v>14.387868169003179</v>
      </c>
      <c r="L28" s="147">
        <f>IF(SER_hh_fech!L28=0,0,SER_hh_fech!L28/SER_summary!L$26)</f>
        <v>14.545360461323913</v>
      </c>
      <c r="M28" s="147">
        <f>IF(SER_hh_fech!M28=0,0,SER_hh_fech!M28/SER_summary!M$26)</f>
        <v>13.852719240293599</v>
      </c>
      <c r="N28" s="147">
        <f>IF(SER_hh_fech!N28=0,0,SER_hh_fech!N28/SER_summary!N$26)</f>
        <v>15.698822530125065</v>
      </c>
      <c r="O28" s="147">
        <f>IF(SER_hh_fech!O28=0,0,SER_hh_fech!O28/SER_summary!O$26)</f>
        <v>15.388417269632736</v>
      </c>
      <c r="P28" s="147">
        <f>IF(SER_hh_fech!P28=0,0,SER_hh_fech!P28/SER_summary!P$26)</f>
        <v>15.048935629042143</v>
      </c>
      <c r="Q28" s="147">
        <f>IF(SER_hh_fech!Q28=0,0,SER_hh_fech!Q28/SER_summary!Q$26)</f>
        <v>13.63803051049319</v>
      </c>
      <c r="R28" s="147">
        <f>IF(SER_hh_fech!R28=0,0,SER_hh_fech!R28/SER_summary!R$26)</f>
        <v>13.992930120667751</v>
      </c>
      <c r="S28" s="147">
        <f>IF(SER_hh_fech!S28=0,0,SER_hh_fech!S28/SER_summary!S$26)</f>
        <v>14.275694163600805</v>
      </c>
      <c r="T28" s="147">
        <f>IF(SER_hh_fech!T28=0,0,SER_hh_fech!T28/SER_summary!T$26)</f>
        <v>14.270222888563284</v>
      </c>
      <c r="U28" s="147">
        <f>IF(SER_hh_fech!U28=0,0,SER_hh_fech!U28/SER_summary!U$26)</f>
        <v>14.170067792602561</v>
      </c>
      <c r="V28" s="147">
        <f>IF(SER_hh_fech!V28=0,0,SER_hh_fech!V28/SER_summary!V$26)</f>
        <v>12.624336523685264</v>
      </c>
      <c r="W28" s="147">
        <f>IF(SER_hh_fech!W28=0,0,SER_hh_fech!W28/SER_summary!W$26)</f>
        <v>14.038748663789118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29.991855801219863</v>
      </c>
      <c r="C29" s="131">
        <f>IF(SER_hh_fech!C29=0,0,SER_hh_fech!C29/SER_summary!C$26)</f>
        <v>29.889179498693373</v>
      </c>
      <c r="D29" s="131">
        <f>IF(SER_hh_fech!D29=0,0,SER_hh_fech!D29/SER_summary!D$26)</f>
        <v>29.94821206700389</v>
      </c>
      <c r="E29" s="131">
        <f>IF(SER_hh_fech!E29=0,0,SER_hh_fech!E29/SER_summary!E$26)</f>
        <v>30.02363955768185</v>
      </c>
      <c r="F29" s="131">
        <f>IF(SER_hh_fech!F29=0,0,SER_hh_fech!F29/SER_summary!F$26)</f>
        <v>29.532636186609949</v>
      </c>
      <c r="G29" s="131">
        <f>IF(SER_hh_fech!G29=0,0,SER_hh_fech!G29/SER_summary!G$26)</f>
        <v>29.598643047454051</v>
      </c>
      <c r="H29" s="131">
        <f>IF(SER_hh_fech!H29=0,0,SER_hh_fech!H29/SER_summary!H$26)</f>
        <v>29.974305471199319</v>
      </c>
      <c r="I29" s="131">
        <f>IF(SER_hh_fech!I29=0,0,SER_hh_fech!I29/SER_summary!I$26)</f>
        <v>29.458626434539941</v>
      </c>
      <c r="J29" s="131">
        <f>IF(SER_hh_fech!J29=0,0,SER_hh_fech!J29/SER_summary!J$26)</f>
        <v>29.643076966144946</v>
      </c>
      <c r="K29" s="131">
        <f>IF(SER_hh_fech!K29=0,0,SER_hh_fech!K29/SER_summary!K$26)</f>
        <v>29.926779182579338</v>
      </c>
      <c r="L29" s="131">
        <f>IF(SER_hh_fech!L29=0,0,SER_hh_fech!L29/SER_summary!L$26)</f>
        <v>30.720353455622785</v>
      </c>
      <c r="M29" s="131">
        <f>IF(SER_hh_fech!M29=0,0,SER_hh_fech!M29/SER_summary!M$26)</f>
        <v>30.664442055243214</v>
      </c>
      <c r="N29" s="131">
        <f>IF(SER_hh_fech!N29=0,0,SER_hh_fech!N29/SER_summary!N$26)</f>
        <v>30.71636932033919</v>
      </c>
      <c r="O29" s="131">
        <f>IF(SER_hh_fech!O29=0,0,SER_hh_fech!O29/SER_summary!O$26)</f>
        <v>30.492138785445551</v>
      </c>
      <c r="P29" s="131">
        <f>IF(SER_hh_fech!P29=0,0,SER_hh_fech!P29/SER_summary!P$26)</f>
        <v>29.473287630861076</v>
      </c>
      <c r="Q29" s="131">
        <f>IF(SER_hh_fech!Q29=0,0,SER_hh_fech!Q29/SER_summary!Q$26)</f>
        <v>29.488855470277464</v>
      </c>
      <c r="R29" s="131">
        <f>IF(SER_hh_fech!R29=0,0,SER_hh_fech!R29/SER_summary!R$26)</f>
        <v>28.867024834163715</v>
      </c>
      <c r="S29" s="131">
        <f>IF(SER_hh_fech!S29=0,0,SER_hh_fech!S29/SER_summary!S$26)</f>
        <v>28.200737604081922</v>
      </c>
      <c r="T29" s="131">
        <f>IF(SER_hh_fech!T29=0,0,SER_hh_fech!T29/SER_summary!T$26)</f>
        <v>28.439754689363184</v>
      </c>
      <c r="U29" s="131">
        <f>IF(SER_hh_fech!U29=0,0,SER_hh_fech!U29/SER_summary!U$26)</f>
        <v>27.989923807508486</v>
      </c>
      <c r="V29" s="131">
        <f>IF(SER_hh_fech!V29=0,0,SER_hh_fech!V29/SER_summary!V$26)</f>
        <v>26.561335332159647</v>
      </c>
      <c r="W29" s="131">
        <f>IF(SER_hh_fech!W29=0,0,SER_hh_fech!W29/SER_summary!W$26)</f>
        <v>27.858584857654854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39.241313605977858</v>
      </c>
      <c r="C30" s="133">
        <f>IF(SER_hh_fech!C30=0,0,SER_hh_fech!C30/SER_summary!C$26)</f>
        <v>33.563502335888089</v>
      </c>
      <c r="D30" s="133">
        <f>IF(SER_hh_fech!D30=0,0,SER_hh_fech!D30/SER_summary!D$26)</f>
        <v>39.22063206482531</v>
      </c>
      <c r="E30" s="133">
        <f>IF(SER_hh_fech!E30=0,0,SER_hh_fech!E30/SER_summary!E$26)</f>
        <v>40.113658563362819</v>
      </c>
      <c r="F30" s="133">
        <f>IF(SER_hh_fech!F30=0,0,SER_hh_fech!F30/SER_summary!F$26)</f>
        <v>28.002850676012166</v>
      </c>
      <c r="G30" s="133">
        <f>IF(SER_hh_fech!G30=0,0,SER_hh_fech!G30/SER_summary!G$26)</f>
        <v>34.494465496561169</v>
      </c>
      <c r="H30" s="133">
        <f>IF(SER_hh_fech!H30=0,0,SER_hh_fech!H30/SER_summary!H$26)</f>
        <v>34.784177963070931</v>
      </c>
      <c r="I30" s="133">
        <f>IF(SER_hh_fech!I30=0,0,SER_hh_fech!I30/SER_summary!I$26)</f>
        <v>36.113029790146975</v>
      </c>
      <c r="J30" s="133">
        <f>IF(SER_hh_fech!J30=0,0,SER_hh_fech!J30/SER_summary!J$26)</f>
        <v>31.697411592226782</v>
      </c>
      <c r="K30" s="133">
        <f>IF(SER_hh_fech!K30=0,0,SER_hh_fech!K30/SER_summary!K$26)</f>
        <v>33.002699419215887</v>
      </c>
      <c r="L30" s="133">
        <f>IF(SER_hh_fech!L30=0,0,SER_hh_fech!L30/SER_summary!L$26)</f>
        <v>37.771058951233215</v>
      </c>
      <c r="M30" s="133">
        <f>IF(SER_hh_fech!M30=0,0,SER_hh_fech!M30/SER_summary!M$26)</f>
        <v>34.549954044444995</v>
      </c>
      <c r="N30" s="133">
        <f>IF(SER_hh_fech!N30=0,0,SER_hh_fech!N30/SER_summary!N$26)</f>
        <v>35.497609049951627</v>
      </c>
      <c r="O30" s="133">
        <f>IF(SER_hh_fech!O30=0,0,SER_hh_fech!O30/SER_summary!O$26)</f>
        <v>29.082967381431985</v>
      </c>
      <c r="P30" s="133">
        <f>IF(SER_hh_fech!P30=0,0,SER_hh_fech!P30/SER_summary!P$26)</f>
        <v>32.23540372267022</v>
      </c>
      <c r="Q30" s="133">
        <f>IF(SER_hh_fech!Q30=0,0,SER_hh_fech!Q30/SER_summary!Q$26)</f>
        <v>37.979813370814014</v>
      </c>
      <c r="R30" s="133">
        <f>IF(SER_hh_fech!R30=0,0,SER_hh_fech!R30/SER_summary!R$26)</f>
        <v>31.319248543596203</v>
      </c>
      <c r="S30" s="133">
        <f>IF(SER_hh_fech!S30=0,0,SER_hh_fech!S30/SER_summary!S$26)</f>
        <v>27.199812293101363</v>
      </c>
      <c r="T30" s="133">
        <f>IF(SER_hh_fech!T30=0,0,SER_hh_fech!T30/SER_summary!T$26)</f>
        <v>33.421241901617179</v>
      </c>
      <c r="U30" s="133">
        <f>IF(SER_hh_fech!U30=0,0,SER_hh_fech!U30/SER_summary!U$26)</f>
        <v>28.987695466732013</v>
      </c>
      <c r="V30" s="133">
        <f>IF(SER_hh_fech!V30=0,0,SER_hh_fech!V30/SER_summary!V$26)</f>
        <v>39.848538830722397</v>
      </c>
      <c r="W30" s="133">
        <f>IF(SER_hh_fech!W30=0,0,SER_hh_fech!W30/SER_summary!W$26)</f>
        <v>27.074233618503275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26.168895003763165</v>
      </c>
      <c r="C31" s="133">
        <f>IF(SER_hh_fech!C31=0,0,SER_hh_fech!C31/SER_summary!C$26)</f>
        <v>38.587466226861004</v>
      </c>
      <c r="D31" s="133">
        <f>IF(SER_hh_fech!D31=0,0,SER_hh_fech!D31/SER_summary!D$26)</f>
        <v>32.024687509703256</v>
      </c>
      <c r="E31" s="133">
        <f>IF(SER_hh_fech!E31=0,0,SER_hh_fech!E31/SER_summary!E$26)</f>
        <v>33.631258727629294</v>
      </c>
      <c r="F31" s="133">
        <f>IF(SER_hh_fech!F31=0,0,SER_hh_fech!F31/SER_summary!F$26)</f>
        <v>36.135133860946596</v>
      </c>
      <c r="G31" s="133">
        <f>IF(SER_hh_fech!G31=0,0,SER_hh_fech!G31/SER_summary!G$26)</f>
        <v>34.526871864554415</v>
      </c>
      <c r="H31" s="133">
        <f>IF(SER_hh_fech!H31=0,0,SER_hh_fech!H31/SER_summary!H$26)</f>
        <v>34.792031976210566</v>
      </c>
      <c r="I31" s="133">
        <f>IF(SER_hh_fech!I31=0,0,SER_hh_fech!I31/SER_summary!I$26)</f>
        <v>34.053532602691789</v>
      </c>
      <c r="J31" s="133">
        <f>IF(SER_hh_fech!J31=0,0,SER_hh_fech!J31/SER_summary!J$26)</f>
        <v>34.09011376862248</v>
      </c>
      <c r="K31" s="133">
        <f>IF(SER_hh_fech!K31=0,0,SER_hh_fech!K31/SER_summary!K$26)</f>
        <v>33.830650233854151</v>
      </c>
      <c r="L31" s="133">
        <f>IF(SER_hh_fech!L31=0,0,SER_hh_fech!L31/SER_summary!L$26)</f>
        <v>33.816993881951568</v>
      </c>
      <c r="M31" s="133">
        <f>IF(SER_hh_fech!M31=0,0,SER_hh_fech!M31/SER_summary!M$26)</f>
        <v>34.149654937751421</v>
      </c>
      <c r="N31" s="133">
        <f>IF(SER_hh_fech!N31=0,0,SER_hh_fech!N31/SER_summary!N$26)</f>
        <v>34.171320523731382</v>
      </c>
      <c r="O31" s="133">
        <f>IF(SER_hh_fech!O31=0,0,SER_hh_fech!O31/SER_summary!O$26)</f>
        <v>34.40322964168697</v>
      </c>
      <c r="P31" s="133">
        <f>IF(SER_hh_fech!P31=0,0,SER_hh_fech!P31/SER_summary!P$26)</f>
        <v>33.361175866758828</v>
      </c>
      <c r="Q31" s="133">
        <f>IF(SER_hh_fech!Q31=0,0,SER_hh_fech!Q31/SER_summary!Q$26)</f>
        <v>32.399882387646073</v>
      </c>
      <c r="R31" s="133">
        <f>IF(SER_hh_fech!R31=0,0,SER_hh_fech!R31/SER_summary!R$26)</f>
        <v>32.059829523657697</v>
      </c>
      <c r="S31" s="133">
        <f>IF(SER_hh_fech!S31=0,0,SER_hh_fech!S31/SER_summary!S$26)</f>
        <v>31.792766048427648</v>
      </c>
      <c r="T31" s="133">
        <f>IF(SER_hh_fech!T31=0,0,SER_hh_fech!T31/SER_summary!T$26)</f>
        <v>31.679310968064321</v>
      </c>
      <c r="U31" s="133">
        <f>IF(SER_hh_fech!U31=0,0,SER_hh_fech!U31/SER_summary!U$26)</f>
        <v>31.489686214902687</v>
      </c>
      <c r="V31" s="133">
        <f>IF(SER_hh_fech!V31=0,0,SER_hh_fech!V31/SER_summary!V$26)</f>
        <v>29.703741382069925</v>
      </c>
      <c r="W31" s="133">
        <f>IF(SER_hh_fech!W31=0,0,SER_hh_fech!W31/SER_summary!W$26)</f>
        <v>31.509322951392122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27.820024970753302</v>
      </c>
      <c r="C33" s="68">
        <f>IF(SER_hh_fech!C33=0,0,SER_hh_fech!C33/SER_summary!C$26)</f>
        <v>27.652815184763902</v>
      </c>
      <c r="D33" s="68">
        <f>IF(SER_hh_fech!D33=0,0,SER_hh_fech!D33/SER_summary!D$26)</f>
        <v>27.11404323909251</v>
      </c>
      <c r="E33" s="68">
        <f>IF(SER_hh_fech!E33=0,0,SER_hh_fech!E33/SER_summary!E$26)</f>
        <v>26.567259055902554</v>
      </c>
      <c r="F33" s="68">
        <f>IF(SER_hh_fech!F33=0,0,SER_hh_fech!F33/SER_summary!F$26)</f>
        <v>26.86741760815293</v>
      </c>
      <c r="G33" s="68">
        <f>IF(SER_hh_fech!G33=0,0,SER_hh_fech!G33/SER_summary!G$26)</f>
        <v>25.913781563560306</v>
      </c>
      <c r="H33" s="68">
        <f>IF(SER_hh_fech!H33=0,0,SER_hh_fech!H33/SER_summary!H$26)</f>
        <v>25.76636396835567</v>
      </c>
      <c r="I33" s="68">
        <f>IF(SER_hh_fech!I33=0,0,SER_hh_fech!I33/SER_summary!I$26)</f>
        <v>24.592253144160303</v>
      </c>
      <c r="J33" s="68">
        <f>IF(SER_hh_fech!J33=0,0,SER_hh_fech!J33/SER_summary!J$26)</f>
        <v>25.14795271783526</v>
      </c>
      <c r="K33" s="68">
        <f>IF(SER_hh_fech!K33=0,0,SER_hh_fech!K33/SER_summary!K$26)</f>
        <v>25.389745331710742</v>
      </c>
      <c r="L33" s="68">
        <f>IF(SER_hh_fech!L33=0,0,SER_hh_fech!L33/SER_summary!L$26)</f>
        <v>25.984669499259748</v>
      </c>
      <c r="M33" s="68">
        <f>IF(SER_hh_fech!M33=0,0,SER_hh_fech!M33/SER_summary!M$26)</f>
        <v>25.556099002896143</v>
      </c>
      <c r="N33" s="68">
        <f>IF(SER_hh_fech!N33=0,0,SER_hh_fech!N33/SER_summary!N$26)</f>
        <v>25.030857605630953</v>
      </c>
      <c r="O33" s="68">
        <f>IF(SER_hh_fech!O33=0,0,SER_hh_fech!O33/SER_summary!O$26)</f>
        <v>24.703594018189261</v>
      </c>
      <c r="P33" s="68">
        <f>IF(SER_hh_fech!P33=0,0,SER_hh_fech!P33/SER_summary!P$26)</f>
        <v>23.103453964475403</v>
      </c>
      <c r="Q33" s="68">
        <f>IF(SER_hh_fech!Q33=0,0,SER_hh_fech!Q33/SER_summary!Q$26)</f>
        <v>23.879690276240094</v>
      </c>
      <c r="R33" s="68">
        <f>IF(SER_hh_fech!R33=0,0,SER_hh_fech!R33/SER_summary!R$26)</f>
        <v>23.970445135507518</v>
      </c>
      <c r="S33" s="68">
        <f>IF(SER_hh_fech!S33=0,0,SER_hh_fech!S33/SER_summary!S$26)</f>
        <v>23.351925612747689</v>
      </c>
      <c r="T33" s="68">
        <f>IF(SER_hh_fech!T33=0,0,SER_hh_fech!T33/SER_summary!T$26)</f>
        <v>23.492176902017853</v>
      </c>
      <c r="U33" s="68">
        <f>IF(SER_hh_fech!U33=0,0,SER_hh_fech!U33/SER_summary!U$26)</f>
        <v>23.186149054706419</v>
      </c>
      <c r="V33" s="68">
        <f>IF(SER_hh_fech!V33=0,0,SER_hh_fech!V33/SER_summary!V$26)</f>
        <v>20.638669440260259</v>
      </c>
      <c r="W33" s="68">
        <f>IF(SER_hh_fech!W33=0,0,SER_hh_fech!W33/SER_summary!W$26)</f>
        <v>22.975037782594978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236.67489613300964</v>
      </c>
      <c r="C3" s="126">
        <f>IF(SER_hh_tesh!C3=0,0,SER_hh_tesh!C3/SER_summary!C$26)</f>
        <v>247.34170658940184</v>
      </c>
      <c r="D3" s="126">
        <f>IF(SER_hh_tesh!D3=0,0,SER_hh_tesh!D3/SER_summary!D$26)</f>
        <v>223.77659957973651</v>
      </c>
      <c r="E3" s="126">
        <f>IF(SER_hh_tesh!E3=0,0,SER_hh_tesh!E3/SER_summary!E$26)</f>
        <v>226.56711817910633</v>
      </c>
      <c r="F3" s="126">
        <f>IF(SER_hh_tesh!F3=0,0,SER_hh_tesh!F3/SER_summary!F$26)</f>
        <v>257.46270131157382</v>
      </c>
      <c r="G3" s="126">
        <f>IF(SER_hh_tesh!G3=0,0,SER_hh_tesh!G3/SER_summary!G$26)</f>
        <v>252.16911690646759</v>
      </c>
      <c r="H3" s="126">
        <f>IF(SER_hh_tesh!H3=0,0,SER_hh_tesh!H3/SER_summary!H$26)</f>
        <v>226.28695633824375</v>
      </c>
      <c r="I3" s="126">
        <f>IF(SER_hh_tesh!I3=0,0,SER_hh_tesh!I3/SER_summary!I$26)</f>
        <v>196.1364525436141</v>
      </c>
      <c r="J3" s="126">
        <f>IF(SER_hh_tesh!J3=0,0,SER_hh_tesh!J3/SER_summary!J$26)</f>
        <v>195.15156423515214</v>
      </c>
      <c r="K3" s="126">
        <f>IF(SER_hh_tesh!K3=0,0,SER_hh_tesh!K3/SER_summary!K$26)</f>
        <v>210.91635638180537</v>
      </c>
      <c r="L3" s="126">
        <f>IF(SER_hh_tesh!L3=0,0,SER_hh_tesh!L3/SER_summary!L$26)</f>
        <v>225.73104762464789</v>
      </c>
      <c r="M3" s="126">
        <f>IF(SER_hh_tesh!M3=0,0,SER_hh_tesh!M3/SER_summary!M$26)</f>
        <v>228.76372117945587</v>
      </c>
      <c r="N3" s="126">
        <f>IF(SER_hh_tesh!N3=0,0,SER_hh_tesh!N3/SER_summary!N$26)</f>
        <v>170.9089412673809</v>
      </c>
      <c r="O3" s="126">
        <f>IF(SER_hh_tesh!O3=0,0,SER_hh_tesh!O3/SER_summary!O$26)</f>
        <v>170.16624812007828</v>
      </c>
      <c r="P3" s="126">
        <f>IF(SER_hh_tesh!P3=0,0,SER_hh_tesh!P3/SER_summary!P$26)</f>
        <v>146.62488495212941</v>
      </c>
      <c r="Q3" s="126">
        <f>IF(SER_hh_tesh!Q3=0,0,SER_hh_tesh!Q3/SER_summary!Q$26)</f>
        <v>158.82511346341991</v>
      </c>
      <c r="R3" s="126">
        <f>IF(SER_hh_tesh!R3=0,0,SER_hh_tesh!R3/SER_summary!R$26)</f>
        <v>157.06731151616015</v>
      </c>
      <c r="S3" s="126">
        <f>IF(SER_hh_tesh!S3=0,0,SER_hh_tesh!S3/SER_summary!S$26)</f>
        <v>155.91493600622192</v>
      </c>
      <c r="T3" s="126">
        <f>IF(SER_hh_tesh!T3=0,0,SER_hh_tesh!T3/SER_summary!T$26)</f>
        <v>151.90147880154316</v>
      </c>
      <c r="U3" s="126">
        <f>IF(SER_hh_tesh!U3=0,0,SER_hh_tesh!U3/SER_summary!U$26)</f>
        <v>149.39829838317979</v>
      </c>
      <c r="V3" s="126">
        <f>IF(SER_hh_tesh!V3=0,0,SER_hh_tesh!V3/SER_summary!V$26)</f>
        <v>145.9756233502149</v>
      </c>
      <c r="W3" s="126">
        <f>IF(SER_hh_tesh!W3=0,0,SER_hh_tesh!W3/SER_summary!W$26)</f>
        <v>154.77899562808082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192.19131594698891</v>
      </c>
      <c r="C4" s="131">
        <f>IF(SER_hh_tesh!C4=0,0,SER_hh_tesh!C4/SER_summary!C$26)</f>
        <v>203.2129112977502</v>
      </c>
      <c r="D4" s="131">
        <f>IF(SER_hh_tesh!D4=0,0,SER_hh_tesh!D4/SER_summary!D$26)</f>
        <v>179.19782970493947</v>
      </c>
      <c r="E4" s="131">
        <f>IF(SER_hh_tesh!E4=0,0,SER_hh_tesh!E4/SER_summary!E$26)</f>
        <v>181.6319167585678</v>
      </c>
      <c r="F4" s="131">
        <f>IF(SER_hh_tesh!F4=0,0,SER_hh_tesh!F4/SER_summary!F$26)</f>
        <v>213.31448857944432</v>
      </c>
      <c r="G4" s="131">
        <f>IF(SER_hh_tesh!G4=0,0,SER_hh_tesh!G4/SER_summary!G$26)</f>
        <v>208.31602528057221</v>
      </c>
      <c r="H4" s="131">
        <f>IF(SER_hh_tesh!H4=0,0,SER_hh_tesh!H4/SER_summary!H$26)</f>
        <v>181.64684269062872</v>
      </c>
      <c r="I4" s="131">
        <f>IF(SER_hh_tesh!I4=0,0,SER_hh_tesh!I4/SER_summary!I$26)</f>
        <v>151.41165116108016</v>
      </c>
      <c r="J4" s="131">
        <f>IF(SER_hh_tesh!J4=0,0,SER_hh_tesh!J4/SER_summary!J$26)</f>
        <v>150.59046598733579</v>
      </c>
      <c r="K4" s="131">
        <f>IF(SER_hh_tesh!K4=0,0,SER_hh_tesh!K4/SER_summary!K$26)</f>
        <v>165.63888405435097</v>
      </c>
      <c r="L4" s="131">
        <f>IF(SER_hh_tesh!L4=0,0,SER_hh_tesh!L4/SER_summary!L$26)</f>
        <v>179.41906442663637</v>
      </c>
      <c r="M4" s="131">
        <f>IF(SER_hh_tesh!M4=0,0,SER_hh_tesh!M4/SER_summary!M$26)</f>
        <v>182.49069125671616</v>
      </c>
      <c r="N4" s="131">
        <f>IF(SER_hh_tesh!N4=0,0,SER_hh_tesh!N4/SER_summary!N$26)</f>
        <v>122.7236428508396</v>
      </c>
      <c r="O4" s="131">
        <f>IF(SER_hh_tesh!O4=0,0,SER_hh_tesh!O4/SER_summary!O$26)</f>
        <v>123.55294454138598</v>
      </c>
      <c r="P4" s="131">
        <f>IF(SER_hh_tesh!P4=0,0,SER_hh_tesh!P4/SER_summary!P$26)</f>
        <v>101.78390445904925</v>
      </c>
      <c r="Q4" s="131">
        <f>IF(SER_hh_tesh!Q4=0,0,SER_hh_tesh!Q4/SER_summary!Q$26)</f>
        <v>110.99477450268795</v>
      </c>
      <c r="R4" s="131">
        <f>IF(SER_hh_tesh!R4=0,0,SER_hh_tesh!R4/SER_summary!R$26)</f>
        <v>111.83094586945748</v>
      </c>
      <c r="S4" s="131">
        <f>IF(SER_hh_tesh!S4=0,0,SER_hh_tesh!S4/SER_summary!S$26)</f>
        <v>109.80364591828106</v>
      </c>
      <c r="T4" s="131">
        <f>IF(SER_hh_tesh!T4=0,0,SER_hh_tesh!T4/SER_summary!T$26)</f>
        <v>105.57818183354023</v>
      </c>
      <c r="U4" s="131">
        <f>IF(SER_hh_tesh!U4=0,0,SER_hh_tesh!U4/SER_summary!U$26)</f>
        <v>102.8749856683867</v>
      </c>
      <c r="V4" s="131">
        <f>IF(SER_hh_tesh!V4=0,0,SER_hh_tesh!V4/SER_summary!V$26)</f>
        <v>103.60704714106005</v>
      </c>
      <c r="W4" s="131">
        <f>IF(SER_hh_tesh!W4=0,0,SER_hh_tesh!W4/SER_summary!W$26)</f>
        <v>108.97823590746465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224.26023251375636</v>
      </c>
      <c r="C5" s="133">
        <f>IF(SER_hh_tesh!C5=0,0,SER_hh_tesh!C5/SER_summary!C$26)</f>
        <v>170.47495466674917</v>
      </c>
      <c r="D5" s="133">
        <f>IF(SER_hh_tesh!D5=0,0,SER_hh_tesh!D5/SER_summary!D$26)</f>
        <v>167.119353537477</v>
      </c>
      <c r="E5" s="133">
        <f>IF(SER_hh_tesh!E5=0,0,SER_hh_tesh!E5/SER_summary!E$26)</f>
        <v>208.07792060966833</v>
      </c>
      <c r="F5" s="133">
        <f>IF(SER_hh_tesh!F5=0,0,SER_hh_tesh!F5/SER_summary!F$26)</f>
        <v>185.70383603986306</v>
      </c>
      <c r="G5" s="133">
        <f>IF(SER_hh_tesh!G5=0,0,SER_hh_tesh!G5/SER_summary!G$26)</f>
        <v>103.05986150293288</v>
      </c>
      <c r="H5" s="133">
        <f>IF(SER_hh_tesh!H5=0,0,SER_hh_tesh!H5/SER_summary!H$26)</f>
        <v>198.61717586903274</v>
      </c>
      <c r="I5" s="133">
        <f>IF(SER_hh_tesh!I5=0,0,SER_hh_tesh!I5/SER_summary!I$26)</f>
        <v>164.79168554054078</v>
      </c>
      <c r="J5" s="133">
        <f>IF(SER_hh_tesh!J5=0,0,SER_hh_tesh!J5/SER_summary!J$26)</f>
        <v>160.32541780608895</v>
      </c>
      <c r="K5" s="133">
        <f>IF(SER_hh_tesh!K5=0,0,SER_hh_tesh!K5/SER_summary!K$26)</f>
        <v>151.8687941626155</v>
      </c>
      <c r="L5" s="133">
        <f>IF(SER_hh_tesh!L5=0,0,SER_hh_tesh!L5/SER_summary!L$26)</f>
        <v>169.65903102210555</v>
      </c>
      <c r="M5" s="133">
        <f>IF(SER_hh_tesh!M5=0,0,SER_hh_tesh!M5/SER_summary!M$26)</f>
        <v>196.30510719153349</v>
      </c>
      <c r="N5" s="133">
        <f>IF(SER_hh_tesh!N5=0,0,SER_hh_tesh!N5/SER_summary!N$26)</f>
        <v>60.330819763135779</v>
      </c>
      <c r="O5" s="133">
        <f>IF(SER_hh_tesh!O5=0,0,SER_hh_tesh!O5/SER_summary!O$26)</f>
        <v>137.2580309047062</v>
      </c>
      <c r="P5" s="133">
        <f>IF(SER_hh_tesh!P5=0,0,SER_hh_tesh!P5/SER_summary!P$26)</f>
        <v>105.72459751438977</v>
      </c>
      <c r="Q5" s="133">
        <f>IF(SER_hh_tesh!Q5=0,0,SER_hh_tesh!Q5/SER_summary!Q$26)</f>
        <v>123.22675360777441</v>
      </c>
      <c r="R5" s="133">
        <f>IF(SER_hh_tesh!R5=0,0,SER_hh_tesh!R5/SER_summary!R$26)</f>
        <v>130.36987765446648</v>
      </c>
      <c r="S5" s="133">
        <f>IF(SER_hh_tesh!S5=0,0,SER_hh_tesh!S5/SER_summary!S$26)</f>
        <v>83.55618424963339</v>
      </c>
      <c r="T5" s="133">
        <f>IF(SER_hh_tesh!T5=0,0,SER_hh_tesh!T5/SER_summary!T$26)</f>
        <v>99.642965998272828</v>
      </c>
      <c r="U5" s="133">
        <f>IF(SER_hh_tesh!U5=0,0,SER_hh_tesh!U5/SER_summary!U$26)</f>
        <v>110.20419882427807</v>
      </c>
      <c r="V5" s="133">
        <f>IF(SER_hh_tesh!V5=0,0,SER_hh_tesh!V5/SER_summary!V$26)</f>
        <v>98.223349870626151</v>
      </c>
      <c r="W5" s="133">
        <f>IF(SER_hh_tesh!W5=0,0,SER_hh_tesh!W5/SER_summary!W$26)</f>
        <v>106.33820095336823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188.57250220823519</v>
      </c>
      <c r="C7" s="133">
        <f>IF(SER_hh_tesh!C7=0,0,SER_hh_tesh!C7/SER_summary!C$26)</f>
        <v>225.68301137857699</v>
      </c>
      <c r="D7" s="133">
        <f>IF(SER_hh_tesh!D7=0,0,SER_hh_tesh!D7/SER_summary!D$26)</f>
        <v>150.84819811029612</v>
      </c>
      <c r="E7" s="133">
        <f>IF(SER_hh_tesh!E7=0,0,SER_hh_tesh!E7/SER_summary!E$26)</f>
        <v>152.7015334660291</v>
      </c>
      <c r="F7" s="133">
        <f>IF(SER_hh_tesh!F7=0,0,SER_hh_tesh!F7/SER_summary!F$26)</f>
        <v>181.58301008311855</v>
      </c>
      <c r="G7" s="133">
        <f>IF(SER_hh_tesh!G7=0,0,SER_hh_tesh!G7/SER_summary!G$26)</f>
        <v>236.20670062681643</v>
      </c>
      <c r="H7" s="133">
        <f>IF(SER_hh_tesh!H7=0,0,SER_hh_tesh!H7/SER_summary!H$26)</f>
        <v>242.85805081849995</v>
      </c>
      <c r="I7" s="133">
        <f>IF(SER_hh_tesh!I7=0,0,SER_hh_tesh!I7/SER_summary!I$26)</f>
        <v>0</v>
      </c>
      <c r="J7" s="133">
        <f>IF(SER_hh_tesh!J7=0,0,SER_hh_tesh!J7/SER_summary!J$26)</f>
        <v>0</v>
      </c>
      <c r="K7" s="133">
        <f>IF(SER_hh_tesh!K7=0,0,SER_hh_tesh!K7/SER_summary!K$26)</f>
        <v>0</v>
      </c>
      <c r="L7" s="133">
        <f>IF(SER_hh_tesh!L7=0,0,SER_hh_tesh!L7/SER_summary!L$26)</f>
        <v>0</v>
      </c>
      <c r="M7" s="133">
        <f>IF(SER_hh_tesh!M7=0,0,SER_hh_tesh!M7/SER_summary!M$26)</f>
        <v>0</v>
      </c>
      <c r="N7" s="133">
        <f>IF(SER_hh_tesh!N7=0,0,SER_hh_tesh!N7/SER_summary!N$26)</f>
        <v>178.85229517566938</v>
      </c>
      <c r="O7" s="133">
        <f>IF(SER_hh_tesh!O7=0,0,SER_hh_tesh!O7/SER_summary!O$26)</f>
        <v>70.153175343976372</v>
      </c>
      <c r="P7" s="133">
        <f>IF(SER_hh_tesh!P7=0,0,SER_hh_tesh!P7/SER_summary!P$26)</f>
        <v>93.413417394093884</v>
      </c>
      <c r="Q7" s="133">
        <f>IF(SER_hh_tesh!Q7=0,0,SER_hh_tesh!Q7/SER_summary!Q$26)</f>
        <v>119.18758261143202</v>
      </c>
      <c r="R7" s="133">
        <f>IF(SER_hh_tesh!R7=0,0,SER_hh_tesh!R7/SER_summary!R$26)</f>
        <v>121.76207658416843</v>
      </c>
      <c r="S7" s="133">
        <f>IF(SER_hh_tesh!S7=0,0,SER_hh_tesh!S7/SER_summary!S$26)</f>
        <v>103.19121737739071</v>
      </c>
      <c r="T7" s="133">
        <f>IF(SER_hh_tesh!T7=0,0,SER_hh_tesh!T7/SER_summary!T$26)</f>
        <v>111.39628739618088</v>
      </c>
      <c r="U7" s="133">
        <f>IF(SER_hh_tesh!U7=0,0,SER_hh_tesh!U7/SER_summary!U$26)</f>
        <v>97.11017405608213</v>
      </c>
      <c r="V7" s="133">
        <f>IF(SER_hh_tesh!V7=0,0,SER_hh_tesh!V7/SER_summary!V$26)</f>
        <v>97.560941091319819</v>
      </c>
      <c r="W7" s="133">
        <f>IF(SER_hh_tesh!W7=0,0,SER_hh_tesh!W7/SER_summary!W$26)</f>
        <v>114.36202789981562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33.828183904023973</v>
      </c>
      <c r="S8" s="133">
        <f>IF(SER_hh_tesh!S8=0,0,SER_hh_tesh!S8/SER_summary!S$26)</f>
        <v>81.573053628464308</v>
      </c>
      <c r="T8" s="133">
        <f>IF(SER_hh_tesh!T8=0,0,SER_hh_tesh!T8/SER_summary!T$26)</f>
        <v>108.70142734600722</v>
      </c>
      <c r="U8" s="133">
        <f>IF(SER_hh_tesh!U8=0,0,SER_hh_tesh!U8/SER_summary!U$26)</f>
        <v>92.945058890598204</v>
      </c>
      <c r="V8" s="133">
        <f>IF(SER_hh_tesh!V8=0,0,SER_hh_tesh!V8/SER_summary!V$26)</f>
        <v>123.47552481632684</v>
      </c>
      <c r="W8" s="133">
        <f>IF(SER_hh_tesh!W8=0,0,SER_hh_tesh!W8/SER_summary!W$26)</f>
        <v>100.795974922864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187.75963225653408</v>
      </c>
      <c r="C9" s="133">
        <f>IF(SER_hh_tesh!C9=0,0,SER_hh_tesh!C9/SER_summary!C$26)</f>
        <v>198.92626686203766</v>
      </c>
      <c r="D9" s="133">
        <f>IF(SER_hh_tesh!D9=0,0,SER_hh_tesh!D9/SER_summary!D$26)</f>
        <v>174.84879183667266</v>
      </c>
      <c r="E9" s="133">
        <f>IF(SER_hh_tesh!E9=0,0,SER_hh_tesh!E9/SER_summary!E$26)</f>
        <v>175.18564314162569</v>
      </c>
      <c r="F9" s="133">
        <f>IF(SER_hh_tesh!F9=0,0,SER_hh_tesh!F9/SER_summary!F$26)</f>
        <v>219.14063130124208</v>
      </c>
      <c r="G9" s="133">
        <f>IF(SER_hh_tesh!G9=0,0,SER_hh_tesh!G9/SER_summary!G$26)</f>
        <v>207.79217071178408</v>
      </c>
      <c r="H9" s="133">
        <f>IF(SER_hh_tesh!H9=0,0,SER_hh_tesh!H9/SER_summary!H$26)</f>
        <v>182.50364710580916</v>
      </c>
      <c r="I9" s="133">
        <f>IF(SER_hh_tesh!I9=0,0,SER_hh_tesh!I9/SER_summary!I$26)</f>
        <v>143.56487342503178</v>
      </c>
      <c r="J9" s="133">
        <f>IF(SER_hh_tesh!J9=0,0,SER_hh_tesh!J9/SER_summary!J$26)</f>
        <v>141.57534348215324</v>
      </c>
      <c r="K9" s="133">
        <f>IF(SER_hh_tesh!K9=0,0,SER_hh_tesh!K9/SER_summary!K$26)</f>
        <v>160.70305316817598</v>
      </c>
      <c r="L9" s="133">
        <f>IF(SER_hh_tesh!L9=0,0,SER_hh_tesh!L9/SER_summary!L$26)</f>
        <v>175.51176290221164</v>
      </c>
      <c r="M9" s="133">
        <f>IF(SER_hh_tesh!M9=0,0,SER_hh_tesh!M9/SER_summary!M$26)</f>
        <v>171.01844098612395</v>
      </c>
      <c r="N9" s="133">
        <f>IF(SER_hh_tesh!N9=0,0,SER_hh_tesh!N9/SER_summary!N$26)</f>
        <v>124.82345536589708</v>
      </c>
      <c r="O9" s="133">
        <f>IF(SER_hh_tesh!O9=0,0,SER_hh_tesh!O9/SER_summary!O$26)</f>
        <v>124.07953684738308</v>
      </c>
      <c r="P9" s="133">
        <f>IF(SER_hh_tesh!P9=0,0,SER_hh_tesh!P9/SER_summary!P$26)</f>
        <v>102.26393856199611</v>
      </c>
      <c r="Q9" s="133">
        <f>IF(SER_hh_tesh!Q9=0,0,SER_hh_tesh!Q9/SER_summary!Q$26)</f>
        <v>109.19172206732777</v>
      </c>
      <c r="R9" s="133">
        <f>IF(SER_hh_tesh!R9=0,0,SER_hh_tesh!R9/SER_summary!R$26)</f>
        <v>109.82769055434855</v>
      </c>
      <c r="S9" s="133">
        <f>IF(SER_hh_tesh!S9=0,0,SER_hh_tesh!S9/SER_summary!S$26)</f>
        <v>107.66352583870834</v>
      </c>
      <c r="T9" s="133">
        <f>IF(SER_hh_tesh!T9=0,0,SER_hh_tesh!T9/SER_summary!T$26)</f>
        <v>102.25275579122599</v>
      </c>
      <c r="U9" s="133">
        <f>IF(SER_hh_tesh!U9=0,0,SER_hh_tesh!U9/SER_summary!U$26)</f>
        <v>99.384113820780883</v>
      </c>
      <c r="V9" s="133">
        <f>IF(SER_hh_tesh!V9=0,0,SER_hh_tesh!V9/SER_summary!V$26)</f>
        <v>102.44731627828597</v>
      </c>
      <c r="W9" s="133">
        <f>IF(SER_hh_tesh!W9=0,0,SER_hh_tesh!W9/SER_summary!W$26)</f>
        <v>107.16611661750871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195.90440857047244</v>
      </c>
      <c r="C10" s="133">
        <f>IF(SER_hh_tesh!C10=0,0,SER_hh_tesh!C10/SER_summary!C$26)</f>
        <v>170.31828684269539</v>
      </c>
      <c r="D10" s="133">
        <f>IF(SER_hh_tesh!D10=0,0,SER_hh_tesh!D10/SER_summary!D$26)</f>
        <v>183.99714224901041</v>
      </c>
      <c r="E10" s="133">
        <f>IF(SER_hh_tesh!E10=0,0,SER_hh_tesh!E10/SER_summary!E$26)</f>
        <v>224.48975099388878</v>
      </c>
      <c r="F10" s="133">
        <f>IF(SER_hh_tesh!F10=0,0,SER_hh_tesh!F10/SER_summary!F$26)</f>
        <v>217.81276849993009</v>
      </c>
      <c r="G10" s="133">
        <f>IF(SER_hh_tesh!G10=0,0,SER_hh_tesh!G10/SER_summary!G$26)</f>
        <v>163.79541280205609</v>
      </c>
      <c r="H10" s="133">
        <f>IF(SER_hh_tesh!H10=0,0,SER_hh_tesh!H10/SER_summary!H$26)</f>
        <v>169.78669392263487</v>
      </c>
      <c r="I10" s="133">
        <f>IF(SER_hh_tesh!I10=0,0,SER_hh_tesh!I10/SER_summary!I$26)</f>
        <v>154.48102197060291</v>
      </c>
      <c r="J10" s="133">
        <f>IF(SER_hh_tesh!J10=0,0,SER_hh_tesh!J10/SER_summary!J$26)</f>
        <v>151.80119826268248</v>
      </c>
      <c r="K10" s="133">
        <f>IF(SER_hh_tesh!K10=0,0,SER_hh_tesh!K10/SER_summary!K$26)</f>
        <v>164.03200206314116</v>
      </c>
      <c r="L10" s="133">
        <f>IF(SER_hh_tesh!L10=0,0,SER_hh_tesh!L10/SER_summary!L$26)</f>
        <v>170.12747308173968</v>
      </c>
      <c r="M10" s="133">
        <f>IF(SER_hh_tesh!M10=0,0,SER_hh_tesh!M10/SER_summary!M$26)</f>
        <v>161.67619926161925</v>
      </c>
      <c r="N10" s="133">
        <f>IF(SER_hh_tesh!N10=0,0,SER_hh_tesh!N10/SER_summary!N$26)</f>
        <v>134.46063406152982</v>
      </c>
      <c r="O10" s="133">
        <f>IF(SER_hh_tesh!O10=0,0,SER_hh_tesh!O10/SER_summary!O$26)</f>
        <v>122.20132430407283</v>
      </c>
      <c r="P10" s="133">
        <f>IF(SER_hh_tesh!P10=0,0,SER_hh_tesh!P10/SER_summary!P$26)</f>
        <v>98.634348607642053</v>
      </c>
      <c r="Q10" s="133">
        <f>IF(SER_hh_tesh!Q10=0,0,SER_hh_tesh!Q10/SER_summary!Q$26)</f>
        <v>119.16084746236027</v>
      </c>
      <c r="R10" s="133">
        <f>IF(SER_hh_tesh!R10=0,0,SER_hh_tesh!R10/SER_summary!R$26)</f>
        <v>106.44419267653902</v>
      </c>
      <c r="S10" s="133">
        <f>IF(SER_hh_tesh!S10=0,0,SER_hh_tesh!S10/SER_summary!S$26)</f>
        <v>108.43851783977505</v>
      </c>
      <c r="T10" s="133">
        <f>IF(SER_hh_tesh!T10=0,0,SER_hh_tesh!T10/SER_summary!T$26)</f>
        <v>101.09285794559254</v>
      </c>
      <c r="U10" s="133">
        <f>IF(SER_hh_tesh!U10=0,0,SER_hh_tesh!U10/SER_summary!U$26)</f>
        <v>111.9281444789774</v>
      </c>
      <c r="V10" s="133">
        <f>IF(SER_hh_tesh!V10=0,0,SER_hh_tesh!V10/SER_summary!V$26)</f>
        <v>104.76869377719822</v>
      </c>
      <c r="W10" s="133">
        <f>IF(SER_hh_tesh!W10=0,0,SER_hh_tesh!W10/SER_summary!W$26)</f>
        <v>99.304469270083004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195.49482891380191</v>
      </c>
      <c r="C11" s="133">
        <f>IF(SER_hh_tesh!C11=0,0,SER_hh_tesh!C11/SER_summary!C$26)</f>
        <v>192.42750042866902</v>
      </c>
      <c r="D11" s="133">
        <f>IF(SER_hh_tesh!D11=0,0,SER_hh_tesh!D11/SER_summary!D$26)</f>
        <v>190.51154955700576</v>
      </c>
      <c r="E11" s="133">
        <f>IF(SER_hh_tesh!E11=0,0,SER_hh_tesh!E11/SER_summary!E$26)</f>
        <v>196.99868731425383</v>
      </c>
      <c r="F11" s="133">
        <f>IF(SER_hh_tesh!F11=0,0,SER_hh_tesh!F11/SER_summary!F$26)</f>
        <v>188.9971992460336</v>
      </c>
      <c r="G11" s="133">
        <f>IF(SER_hh_tesh!G11=0,0,SER_hh_tesh!G11/SER_summary!G$26)</f>
        <v>187.16993076651966</v>
      </c>
      <c r="H11" s="133">
        <f>IF(SER_hh_tesh!H11=0,0,SER_hh_tesh!H11/SER_summary!H$26)</f>
        <v>173.81986744251054</v>
      </c>
      <c r="I11" s="133">
        <f>IF(SER_hh_tesh!I11=0,0,SER_hh_tesh!I11/SER_summary!I$26)</f>
        <v>155.11360515928911</v>
      </c>
      <c r="J11" s="133">
        <f>IF(SER_hh_tesh!J11=0,0,SER_hh_tesh!J11/SER_summary!J$26)</f>
        <v>163.358890846912</v>
      </c>
      <c r="K11" s="133">
        <f>IF(SER_hh_tesh!K11=0,0,SER_hh_tesh!K11/SER_summary!K$26)</f>
        <v>166.90484098168054</v>
      </c>
      <c r="L11" s="133">
        <f>IF(SER_hh_tesh!L11=0,0,SER_hh_tesh!L11/SER_summary!L$26)</f>
        <v>163.79089548713466</v>
      </c>
      <c r="M11" s="133">
        <f>IF(SER_hh_tesh!M11=0,0,SER_hh_tesh!M11/SER_summary!M$26)</f>
        <v>164.20808698806619</v>
      </c>
      <c r="N11" s="133">
        <f>IF(SER_hh_tesh!N11=0,0,SER_hh_tesh!N11/SER_summary!N$26)</f>
        <v>159.38958126531384</v>
      </c>
      <c r="O11" s="133">
        <f>IF(SER_hh_tesh!O11=0,0,SER_hh_tesh!O11/SER_summary!O$26)</f>
        <v>170.13897170607208</v>
      </c>
      <c r="P11" s="133">
        <f>IF(SER_hh_tesh!P11=0,0,SER_hh_tesh!P11/SER_summary!P$26)</f>
        <v>65.356122838211874</v>
      </c>
      <c r="Q11" s="133">
        <f>IF(SER_hh_tesh!Q11=0,0,SER_hh_tesh!Q11/SER_summary!Q$26)</f>
        <v>83.279864354474455</v>
      </c>
      <c r="R11" s="133">
        <f>IF(SER_hh_tesh!R11=0,0,SER_hh_tesh!R11/SER_summary!R$26)</f>
        <v>91.918745632170896</v>
      </c>
      <c r="S11" s="133">
        <f>IF(SER_hh_tesh!S11=0,0,SER_hh_tesh!S11/SER_summary!S$26)</f>
        <v>116.57268948296917</v>
      </c>
      <c r="T11" s="133">
        <f>IF(SER_hh_tesh!T11=0,0,SER_hh_tesh!T11/SER_summary!T$26)</f>
        <v>105.21195487697825</v>
      </c>
      <c r="U11" s="133">
        <f>IF(SER_hh_tesh!U11=0,0,SER_hh_tesh!U11/SER_summary!U$26)</f>
        <v>106.60220965443355</v>
      </c>
      <c r="V11" s="133">
        <f>IF(SER_hh_tesh!V11=0,0,SER_hh_tesh!V11/SER_summary!V$26)</f>
        <v>94.326572444277318</v>
      </c>
      <c r="W11" s="133">
        <f>IF(SER_hh_tesh!W11=0,0,SER_hh_tesh!W11/SER_summary!W$26)</f>
        <v>117.54886997552174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187.07852505576156</v>
      </c>
      <c r="C12" s="133">
        <f>IF(SER_hh_tesh!C12=0,0,SER_hh_tesh!C12/SER_summary!C$26)</f>
        <v>210.28113415758918</v>
      </c>
      <c r="D12" s="133">
        <f>IF(SER_hh_tesh!D12=0,0,SER_hh_tesh!D12/SER_summary!D$26)</f>
        <v>178.82313196765179</v>
      </c>
      <c r="E12" s="133">
        <f>IF(SER_hh_tesh!E12=0,0,SER_hh_tesh!E12/SER_summary!E$26)</f>
        <v>199.62699571081359</v>
      </c>
      <c r="F12" s="133">
        <f>IF(SER_hh_tesh!F12=0,0,SER_hh_tesh!F12/SER_summary!F$26)</f>
        <v>175.91425741636502</v>
      </c>
      <c r="G12" s="133">
        <f>IF(SER_hh_tesh!G12=0,0,SER_hh_tesh!G12/SER_summary!G$26)</f>
        <v>204.37760647586472</v>
      </c>
      <c r="H12" s="133">
        <f>IF(SER_hh_tesh!H12=0,0,SER_hh_tesh!H12/SER_summary!H$26)</f>
        <v>165.15023386198254</v>
      </c>
      <c r="I12" s="133">
        <f>IF(SER_hh_tesh!I12=0,0,SER_hh_tesh!I12/SER_summary!I$26)</f>
        <v>156.86908614798676</v>
      </c>
      <c r="J12" s="133">
        <f>IF(SER_hh_tesh!J12=0,0,SER_hh_tesh!J12/SER_summary!J$26)</f>
        <v>169.95164308029274</v>
      </c>
      <c r="K12" s="133">
        <f>IF(SER_hh_tesh!K12=0,0,SER_hh_tesh!K12/SER_summary!K$26)</f>
        <v>163.60661307683219</v>
      </c>
      <c r="L12" s="133">
        <f>IF(SER_hh_tesh!L12=0,0,SER_hh_tesh!L12/SER_summary!L$26)</f>
        <v>174.81206727997935</v>
      </c>
      <c r="M12" s="133">
        <f>IF(SER_hh_tesh!M12=0,0,SER_hh_tesh!M12/SER_summary!M$26)</f>
        <v>174.49474096798536</v>
      </c>
      <c r="N12" s="133">
        <f>IF(SER_hh_tesh!N12=0,0,SER_hh_tesh!N12/SER_summary!N$26)</f>
        <v>121.62772937821873</v>
      </c>
      <c r="O12" s="133">
        <f>IF(SER_hh_tesh!O12=0,0,SER_hh_tesh!O12/SER_summary!O$26)</f>
        <v>114.44502837742027</v>
      </c>
      <c r="P12" s="133">
        <f>IF(SER_hh_tesh!P12=0,0,SER_hh_tesh!P12/SER_summary!P$26)</f>
        <v>97.58062638949815</v>
      </c>
      <c r="Q12" s="133">
        <f>IF(SER_hh_tesh!Q12=0,0,SER_hh_tesh!Q12/SER_summary!Q$26)</f>
        <v>112.54864326790771</v>
      </c>
      <c r="R12" s="133">
        <f>IF(SER_hh_tesh!R12=0,0,SER_hh_tesh!R12/SER_summary!R$26)</f>
        <v>115.50359178897172</v>
      </c>
      <c r="S12" s="133">
        <f>IF(SER_hh_tesh!S12=0,0,SER_hh_tesh!S12/SER_summary!S$26)</f>
        <v>112.4975204736964</v>
      </c>
      <c r="T12" s="133">
        <f>IF(SER_hh_tesh!T12=0,0,SER_hh_tesh!T12/SER_summary!T$26)</f>
        <v>105.60598434673111</v>
      </c>
      <c r="U12" s="133">
        <f>IF(SER_hh_tesh!U12=0,0,SER_hh_tesh!U12/SER_summary!U$26)</f>
        <v>101.57621448193372</v>
      </c>
      <c r="V12" s="133">
        <f>IF(SER_hh_tesh!V12=0,0,SER_hh_tesh!V12/SER_summary!V$26)</f>
        <v>102.69040557914221</v>
      </c>
      <c r="W12" s="133">
        <f>IF(SER_hh_tesh!W12=0,0,SER_hh_tesh!W12/SER_summary!W$26)</f>
        <v>109.5439876648169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183.03221557283135</v>
      </c>
      <c r="C13" s="133">
        <f>IF(SER_hh_tesh!C13=0,0,SER_hh_tesh!C13/SER_summary!C$26)</f>
        <v>197.91314377076026</v>
      </c>
      <c r="D13" s="133">
        <f>IF(SER_hh_tesh!D13=0,0,SER_hh_tesh!D13/SER_summary!D$26)</f>
        <v>173.61878490143889</v>
      </c>
      <c r="E13" s="133">
        <f>IF(SER_hh_tesh!E13=0,0,SER_hh_tesh!E13/SER_summary!E$26)</f>
        <v>136.73490827255515</v>
      </c>
      <c r="F13" s="133">
        <f>IF(SER_hh_tesh!F13=0,0,SER_hh_tesh!F13/SER_summary!F$26)</f>
        <v>158.51706828425202</v>
      </c>
      <c r="G13" s="133">
        <f>IF(SER_hh_tesh!G13=0,0,SER_hh_tesh!G13/SER_summary!G$26)</f>
        <v>163.53205267892514</v>
      </c>
      <c r="H13" s="133">
        <f>IF(SER_hh_tesh!H13=0,0,SER_hh_tesh!H13/SER_summary!H$26)</f>
        <v>149.53382919878871</v>
      </c>
      <c r="I13" s="133">
        <f>IF(SER_hh_tesh!I13=0,0,SER_hh_tesh!I13/SER_summary!I$26)</f>
        <v>171.50996246665466</v>
      </c>
      <c r="J13" s="133">
        <f>IF(SER_hh_tesh!J13=0,0,SER_hh_tesh!J13/SER_summary!J$26)</f>
        <v>153.95008406998051</v>
      </c>
      <c r="K13" s="133">
        <f>IF(SER_hh_tesh!K13=0,0,SER_hh_tesh!K13/SER_summary!K$26)</f>
        <v>169.5151772386549</v>
      </c>
      <c r="L13" s="133">
        <f>IF(SER_hh_tesh!L13=0,0,SER_hh_tesh!L13/SER_summary!L$26)</f>
        <v>141.5569545012676</v>
      </c>
      <c r="M13" s="133">
        <f>IF(SER_hh_tesh!M13=0,0,SER_hh_tesh!M13/SER_summary!M$26)</f>
        <v>107.81921788126741</v>
      </c>
      <c r="N13" s="133">
        <f>IF(SER_hh_tesh!N13=0,0,SER_hh_tesh!N13/SER_summary!N$26)</f>
        <v>114.12024827357692</v>
      </c>
      <c r="O13" s="133">
        <f>IF(SER_hh_tesh!O13=0,0,SER_hh_tesh!O13/SER_summary!O$26)</f>
        <v>116.97933432574648</v>
      </c>
      <c r="P13" s="133">
        <f>IF(SER_hh_tesh!P13=0,0,SER_hh_tesh!P13/SER_summary!P$26)</f>
        <v>130.06180598694795</v>
      </c>
      <c r="Q13" s="133">
        <f>IF(SER_hh_tesh!Q13=0,0,SER_hh_tesh!Q13/SER_summary!Q$26)</f>
        <v>103.12592902993892</v>
      </c>
      <c r="R13" s="133">
        <f>IF(SER_hh_tesh!R13=0,0,SER_hh_tesh!R13/SER_summary!R$26)</f>
        <v>95.24142920951013</v>
      </c>
      <c r="S13" s="133">
        <f>IF(SER_hh_tesh!S13=0,0,SER_hh_tesh!S13/SER_summary!S$26)</f>
        <v>90.625950937144623</v>
      </c>
      <c r="T13" s="133">
        <f>IF(SER_hh_tesh!T13=0,0,SER_hh_tesh!T13/SER_summary!T$26)</f>
        <v>100.22167688264348</v>
      </c>
      <c r="U13" s="133">
        <f>IF(SER_hh_tesh!U13=0,0,SER_hh_tesh!U13/SER_summary!U$26)</f>
        <v>91.736756304190749</v>
      </c>
      <c r="V13" s="133">
        <f>IF(SER_hh_tesh!V13=0,0,SER_hh_tesh!V13/SER_summary!V$26)</f>
        <v>122.50717198831248</v>
      </c>
      <c r="W13" s="133">
        <f>IF(SER_hh_tesh!W13=0,0,SER_hh_tesh!W13/SER_summary!W$26)</f>
        <v>85.447464068686017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197.95637484581221</v>
      </c>
      <c r="C14" s="65">
        <f>IF(SER_hh_tesh!C14=0,0,SER_hh_tesh!C14/SER_summary!C$26)</f>
        <v>202.8377804944347</v>
      </c>
      <c r="D14" s="65">
        <f>IF(SER_hh_tesh!D14=0,0,SER_hh_tesh!D14/SER_summary!D$26)</f>
        <v>181.91914754044157</v>
      </c>
      <c r="E14" s="65">
        <f>IF(SER_hh_tesh!E14=0,0,SER_hh_tesh!E14/SER_summary!E$26)</f>
        <v>158.59073625601368</v>
      </c>
      <c r="F14" s="65">
        <f>IF(SER_hh_tesh!F14=0,0,SER_hh_tesh!F14/SER_summary!F$26)</f>
        <v>179.15427897566539</v>
      </c>
      <c r="G14" s="65">
        <f>IF(SER_hh_tesh!G14=0,0,SER_hh_tesh!G14/SER_summary!G$26)</f>
        <v>200.54793687278186</v>
      </c>
      <c r="H14" s="65">
        <f>IF(SER_hh_tesh!H14=0,0,SER_hh_tesh!H14/SER_summary!H$26)</f>
        <v>174.05799344907612</v>
      </c>
      <c r="I14" s="65">
        <f>IF(SER_hh_tesh!I14=0,0,SER_hh_tesh!I14/SER_summary!I$26)</f>
        <v>167.84815071480753</v>
      </c>
      <c r="J14" s="65">
        <f>IF(SER_hh_tesh!J14=0,0,SER_hh_tesh!J14/SER_summary!J$26)</f>
        <v>154.97564567302115</v>
      </c>
      <c r="K14" s="65">
        <f>IF(SER_hh_tesh!K14=0,0,SER_hh_tesh!K14/SER_summary!K$26)</f>
        <v>173.67081572999672</v>
      </c>
      <c r="L14" s="65">
        <f>IF(SER_hh_tesh!L14=0,0,SER_hh_tesh!L14/SER_summary!L$26)</f>
        <v>191.00791767737996</v>
      </c>
      <c r="M14" s="65">
        <f>IF(SER_hh_tesh!M14=0,0,SER_hh_tesh!M14/SER_summary!M$26)</f>
        <v>239.26545115092711</v>
      </c>
      <c r="N14" s="65">
        <f>IF(SER_hh_tesh!N14=0,0,SER_hh_tesh!N14/SER_summary!N$26)</f>
        <v>58.258776327528281</v>
      </c>
      <c r="O14" s="65">
        <f>IF(SER_hh_tesh!O14=0,0,SER_hh_tesh!O14/SER_summary!O$26)</f>
        <v>75.189246168312266</v>
      </c>
      <c r="P14" s="65">
        <f>IF(SER_hh_tesh!P14=0,0,SER_hh_tesh!P14/SER_summary!P$26)</f>
        <v>104.16300383632935</v>
      </c>
      <c r="Q14" s="65">
        <f>IF(SER_hh_tesh!Q14=0,0,SER_hh_tesh!Q14/SER_summary!Q$26)</f>
        <v>111.8287303323948</v>
      </c>
      <c r="R14" s="65">
        <f>IF(SER_hh_tesh!R14=0,0,SER_hh_tesh!R14/SER_summary!R$26)</f>
        <v>109.30854568024807</v>
      </c>
      <c r="S14" s="65">
        <f>IF(SER_hh_tesh!S14=0,0,SER_hh_tesh!S14/SER_summary!S$26)</f>
        <v>108.82067977839087</v>
      </c>
      <c r="T14" s="65">
        <f>IF(SER_hh_tesh!T14=0,0,SER_hh_tesh!T14/SER_summary!T$26)</f>
        <v>112.39807647159367</v>
      </c>
      <c r="U14" s="65">
        <f>IF(SER_hh_tesh!U14=0,0,SER_hh_tesh!U14/SER_summary!U$26)</f>
        <v>111.28646310727102</v>
      </c>
      <c r="V14" s="65">
        <f>IF(SER_hh_tesh!V14=0,0,SER_hh_tesh!V14/SER_summary!V$26)</f>
        <v>103.17463473157156</v>
      </c>
      <c r="W14" s="65">
        <f>IF(SER_hh_tesh!W14=0,0,SER_hh_tesh!W14/SER_summary!W$26)</f>
        <v>107.52738198925084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3.0855725581572937</v>
      </c>
      <c r="C15" s="135">
        <f>IF(SER_hh_tesh!C15=0,0,SER_hh_tesh!C15/SER_summary!C$26)</f>
        <v>3.2231964378539981</v>
      </c>
      <c r="D15" s="135">
        <f>IF(SER_hh_tesh!D15=0,0,SER_hh_tesh!D15/SER_summary!D$26)</f>
        <v>2.819296518508136</v>
      </c>
      <c r="E15" s="135">
        <f>IF(SER_hh_tesh!E15=0,0,SER_hh_tesh!E15/SER_summary!E$26)</f>
        <v>2.8467202724332661</v>
      </c>
      <c r="F15" s="135">
        <f>IF(SER_hh_tesh!F15=0,0,SER_hh_tesh!F15/SER_summary!F$26)</f>
        <v>3.503970429458827</v>
      </c>
      <c r="G15" s="135">
        <f>IF(SER_hh_tesh!G15=0,0,SER_hh_tesh!G15/SER_summary!G$26)</f>
        <v>3.2925164996963763</v>
      </c>
      <c r="H15" s="135">
        <f>IF(SER_hh_tesh!H15=0,0,SER_hh_tesh!H15/SER_summary!H$26)</f>
        <v>2.8142464831944416</v>
      </c>
      <c r="I15" s="135">
        <f>IF(SER_hh_tesh!I15=0,0,SER_hh_tesh!I15/SER_summary!I$26)</f>
        <v>2.1519613949758996</v>
      </c>
      <c r="J15" s="135">
        <f>IF(SER_hh_tesh!J15=0,0,SER_hh_tesh!J15/SER_summary!J$26)</f>
        <v>2.0688799880434168</v>
      </c>
      <c r="K15" s="135">
        <f>IF(SER_hh_tesh!K15=0,0,SER_hh_tesh!K15/SER_summary!K$26)</f>
        <v>2.2954542455472078</v>
      </c>
      <c r="L15" s="135">
        <f>IF(SER_hh_tesh!L15=0,0,SER_hh_tesh!L15/SER_summary!L$26)</f>
        <v>2.4936138452631353</v>
      </c>
      <c r="M15" s="135">
        <f>IF(SER_hh_tesh!M15=0,0,SER_hh_tesh!M15/SER_summary!M$26)</f>
        <v>2.4330879740327287</v>
      </c>
      <c r="N15" s="135">
        <f>IF(SER_hh_tesh!N15=0,0,SER_hh_tesh!N15/SER_summary!N$26)</f>
        <v>1.7872866921257897</v>
      </c>
      <c r="O15" s="135">
        <f>IF(SER_hh_tesh!O15=0,0,SER_hh_tesh!O15/SER_summary!O$26)</f>
        <v>1.7526209568138418</v>
      </c>
      <c r="P15" s="135">
        <f>IF(SER_hh_tesh!P15=0,0,SER_hh_tesh!P15/SER_summary!P$26)</f>
        <v>1.4378179877828809</v>
      </c>
      <c r="Q15" s="135">
        <f>IF(SER_hh_tesh!Q15=0,0,SER_hh_tesh!Q15/SER_summary!Q$26)</f>
        <v>1.5328692059745912</v>
      </c>
      <c r="R15" s="135">
        <f>IF(SER_hh_tesh!R15=0,0,SER_hh_tesh!R15/SER_summary!R$26)</f>
        <v>1.5253393726556443</v>
      </c>
      <c r="S15" s="135">
        <f>IF(SER_hh_tesh!S15=0,0,SER_hh_tesh!S15/SER_summary!S$26)</f>
        <v>1.4735660459397923</v>
      </c>
      <c r="T15" s="135">
        <f>IF(SER_hh_tesh!T15=0,0,SER_hh_tesh!T15/SER_summary!T$26)</f>
        <v>1.3961841160898791</v>
      </c>
      <c r="U15" s="135">
        <f>IF(SER_hh_tesh!U15=0,0,SER_hh_tesh!U15/SER_summary!U$26)</f>
        <v>1.3494494425439099</v>
      </c>
      <c r="V15" s="135">
        <f>IF(SER_hh_tesh!V15=0,0,SER_hh_tesh!V15/SER_summary!V$26)</f>
        <v>1.3875981790175678</v>
      </c>
      <c r="W15" s="135">
        <f>IF(SER_hh_tesh!W15=0,0,SER_hh_tesh!W15/SER_summary!W$26)</f>
        <v>1.4570673304974826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24.226832115813465</v>
      </c>
      <c r="C16" s="131">
        <f>IF(SER_hh_tesh!C16=0,0,SER_hh_tesh!C16/SER_summary!C$26)</f>
        <v>22.184560284498694</v>
      </c>
      <c r="D16" s="131">
        <f>IF(SER_hh_tesh!D16=0,0,SER_hh_tesh!D16/SER_summary!D$26)</f>
        <v>23.500352775340694</v>
      </c>
      <c r="E16" s="131">
        <f>IF(SER_hh_tesh!E16=0,0,SER_hh_tesh!E16/SER_summary!E$26)</f>
        <v>27.006658555078964</v>
      </c>
      <c r="F16" s="131">
        <f>IF(SER_hh_tesh!F16=0,0,SER_hh_tesh!F16/SER_summary!F$26)</f>
        <v>21.6559753740204</v>
      </c>
      <c r="G16" s="131">
        <f>IF(SER_hh_tesh!G16=0,0,SER_hh_tesh!G16/SER_summary!G$26)</f>
        <v>21.716227761342616</v>
      </c>
      <c r="H16" s="131">
        <f>IF(SER_hh_tesh!H16=0,0,SER_hh_tesh!H16/SER_summary!H$26)</f>
        <v>24.148729974582505</v>
      </c>
      <c r="I16" s="131">
        <f>IF(SER_hh_tesh!I16=0,0,SER_hh_tesh!I16/SER_summary!I$26)</f>
        <v>26.482378718240998</v>
      </c>
      <c r="J16" s="131">
        <f>IF(SER_hh_tesh!J16=0,0,SER_hh_tesh!J16/SER_summary!J$26)</f>
        <v>22.785476040556773</v>
      </c>
      <c r="K16" s="131">
        <f>IF(SER_hh_tesh!K16=0,0,SER_hh_tesh!K16/SER_summary!K$26)</f>
        <v>23.104918708678635</v>
      </c>
      <c r="L16" s="131">
        <f>IF(SER_hh_tesh!L16=0,0,SER_hh_tesh!L16/SER_summary!L$26)</f>
        <v>24.379549249723201</v>
      </c>
      <c r="M16" s="131">
        <f>IF(SER_hh_tesh!M16=0,0,SER_hh_tesh!M16/SER_summary!M$26)</f>
        <v>24.177249705476431</v>
      </c>
      <c r="N16" s="131">
        <f>IF(SER_hh_tesh!N16=0,0,SER_hh_tesh!N16/SER_summary!N$26)</f>
        <v>30.910571896850001</v>
      </c>
      <c r="O16" s="131">
        <f>IF(SER_hh_tesh!O16=0,0,SER_hh_tesh!O16/SER_summary!O$26)</f>
        <v>25.609899243755532</v>
      </c>
      <c r="P16" s="131">
        <f>IF(SER_hh_tesh!P16=0,0,SER_hh_tesh!P16/SER_summary!P$26)</f>
        <v>22.840666539699132</v>
      </c>
      <c r="Q16" s="131">
        <f>IF(SER_hh_tesh!Q16=0,0,SER_hh_tesh!Q16/SER_summary!Q$26)</f>
        <v>33.384778990903499</v>
      </c>
      <c r="R16" s="131">
        <f>IF(SER_hh_tesh!R16=0,0,SER_hh_tesh!R16/SER_summary!R$26)</f>
        <v>23.528434590527759</v>
      </c>
      <c r="S16" s="131">
        <f>IF(SER_hh_tesh!S16=0,0,SER_hh_tesh!S16/SER_summary!S$26)</f>
        <v>28.389925495404007</v>
      </c>
      <c r="T16" s="131">
        <f>IF(SER_hh_tesh!T16=0,0,SER_hh_tesh!T16/SER_summary!T$26)</f>
        <v>27.116321862786283</v>
      </c>
      <c r="U16" s="131">
        <f>IF(SER_hh_tesh!U16=0,0,SER_hh_tesh!U16/SER_summary!U$26)</f>
        <v>29.06870872405154</v>
      </c>
      <c r="V16" s="131">
        <f>IF(SER_hh_tesh!V16=0,0,SER_hh_tesh!V16/SER_summary!V$26)</f>
        <v>24.285985612751979</v>
      </c>
      <c r="W16" s="131">
        <f>IF(SER_hh_tesh!W16=0,0,SER_hh_tesh!W16/SER_summary!W$26)</f>
        <v>30.695112078524375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24.226832115813465</v>
      </c>
      <c r="C17" s="133">
        <f>IF(SER_hh_tesh!C17=0,0,SER_hh_tesh!C17/SER_summary!C$26)</f>
        <v>22.184646527475753</v>
      </c>
      <c r="D17" s="133">
        <f>IF(SER_hh_tesh!D17=0,0,SER_hh_tesh!D17/SER_summary!D$26)</f>
        <v>23.500370302100126</v>
      </c>
      <c r="E17" s="133">
        <f>IF(SER_hh_tesh!E17=0,0,SER_hh_tesh!E17/SER_summary!E$26)</f>
        <v>27.00663206930685</v>
      </c>
      <c r="F17" s="133">
        <f>IF(SER_hh_tesh!F17=0,0,SER_hh_tesh!F17/SER_summary!F$26)</f>
        <v>21.655937837670372</v>
      </c>
      <c r="G17" s="133">
        <f>IF(SER_hh_tesh!G17=0,0,SER_hh_tesh!G17/SER_summary!G$26)</f>
        <v>21.716191048896345</v>
      </c>
      <c r="H17" s="133">
        <f>IF(SER_hh_tesh!H17=0,0,SER_hh_tesh!H17/SER_summary!H$26)</f>
        <v>24.148706486081768</v>
      </c>
      <c r="I17" s="133">
        <f>IF(SER_hh_tesh!I17=0,0,SER_hh_tesh!I17/SER_summary!I$26)</f>
        <v>26.482376649367296</v>
      </c>
      <c r="J17" s="133">
        <f>IF(SER_hh_tesh!J17=0,0,SER_hh_tesh!J17/SER_summary!J$26)</f>
        <v>22.78548966259083</v>
      </c>
      <c r="K17" s="133">
        <f>IF(SER_hh_tesh!K17=0,0,SER_hh_tesh!K17/SER_summary!K$26)</f>
        <v>23.104943382642809</v>
      </c>
      <c r="L17" s="133">
        <f>IF(SER_hh_tesh!L17=0,0,SER_hh_tesh!L17/SER_summary!L$26)</f>
        <v>24.379587523647061</v>
      </c>
      <c r="M17" s="133">
        <f>IF(SER_hh_tesh!M17=0,0,SER_hh_tesh!M17/SER_summary!M$26)</f>
        <v>24.177299099823919</v>
      </c>
      <c r="N17" s="133">
        <f>IF(SER_hh_tesh!N17=0,0,SER_hh_tesh!N17/SER_summary!N$26)</f>
        <v>30.910549024446734</v>
      </c>
      <c r="O17" s="133">
        <f>IF(SER_hh_tesh!O17=0,0,SER_hh_tesh!O17/SER_summary!O$26)</f>
        <v>25.609834922927849</v>
      </c>
      <c r="P17" s="133">
        <f>IF(SER_hh_tesh!P17=0,0,SER_hh_tesh!P17/SER_summary!P$26)</f>
        <v>22.840594899839765</v>
      </c>
      <c r="Q17" s="133">
        <f>IF(SER_hh_tesh!Q17=0,0,SER_hh_tesh!Q17/SER_summary!Q$26)</f>
        <v>33.384691830900202</v>
      </c>
      <c r="R17" s="133">
        <f>IF(SER_hh_tesh!R17=0,0,SER_hh_tesh!R17/SER_summary!R$26)</f>
        <v>23.528412520851443</v>
      </c>
      <c r="S17" s="133">
        <f>IF(SER_hh_tesh!S17=0,0,SER_hh_tesh!S17/SER_summary!S$26)</f>
        <v>28.389949176866665</v>
      </c>
      <c r="T17" s="133">
        <f>IF(SER_hh_tesh!T17=0,0,SER_hh_tesh!T17/SER_summary!T$26)</f>
        <v>27.11638276925207</v>
      </c>
      <c r="U17" s="133">
        <f>IF(SER_hh_tesh!U17=0,0,SER_hh_tesh!U17/SER_summary!U$26)</f>
        <v>29.068790090337497</v>
      </c>
      <c r="V17" s="133">
        <f>IF(SER_hh_tesh!V17=0,0,SER_hh_tesh!V17/SER_summary!V$26)</f>
        <v>20.639433781028654</v>
      </c>
      <c r="W17" s="133">
        <f>IF(SER_hh_tesh!W17=0,0,SER_hh_tesh!W17/SER_summary!W$26)</f>
        <v>26.293421442674504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24.226832115813465</v>
      </c>
      <c r="C18" s="133">
        <f>IF(SER_hh_tesh!C18=0,0,SER_hh_tesh!C18/SER_summary!C$26)</f>
        <v>22.184560025817667</v>
      </c>
      <c r="D18" s="133">
        <f>IF(SER_hh_tesh!D18=0,0,SER_hh_tesh!D18/SER_summary!D$26)</f>
        <v>23.500352716945564</v>
      </c>
      <c r="E18" s="133">
        <f>IF(SER_hh_tesh!E18=0,0,SER_hh_tesh!E18/SER_summary!E$26)</f>
        <v>27.00665864888429</v>
      </c>
      <c r="F18" s="133">
        <f>IF(SER_hh_tesh!F18=0,0,SER_hh_tesh!F18/SER_summary!F$26)</f>
        <v>21.65597549981625</v>
      </c>
      <c r="G18" s="133">
        <f>IF(SER_hh_tesh!G18=0,0,SER_hh_tesh!G18/SER_summary!G$26)</f>
        <v>21.716227887844937</v>
      </c>
      <c r="H18" s="133">
        <f>IF(SER_hh_tesh!H18=0,0,SER_hh_tesh!H18/SER_summary!H$26)</f>
        <v>24.148730061135609</v>
      </c>
      <c r="I18" s="133">
        <f>IF(SER_hh_tesh!I18=0,0,SER_hh_tesh!I18/SER_summary!I$26)</f>
        <v>26.482378726234558</v>
      </c>
      <c r="J18" s="133">
        <f>IF(SER_hh_tesh!J18=0,0,SER_hh_tesh!J18/SER_summary!J$26)</f>
        <v>22.785475989279256</v>
      </c>
      <c r="K18" s="133">
        <f>IF(SER_hh_tesh!K18=0,0,SER_hh_tesh!K18/SER_summary!K$26)</f>
        <v>23.104918611976657</v>
      </c>
      <c r="L18" s="133">
        <f>IF(SER_hh_tesh!L18=0,0,SER_hh_tesh!L18/SER_summary!L$26)</f>
        <v>24.379549084144177</v>
      </c>
      <c r="M18" s="133">
        <f>IF(SER_hh_tesh!M18=0,0,SER_hh_tesh!M18/SER_summary!M$26)</f>
        <v>24.177249469652988</v>
      </c>
      <c r="N18" s="133">
        <f>IF(SER_hh_tesh!N18=0,0,SER_hh_tesh!N18/SER_summary!N$26)</f>
        <v>30.910572018160476</v>
      </c>
      <c r="O18" s="133">
        <f>IF(SER_hh_tesh!O18=0,0,SER_hh_tesh!O18/SER_summary!O$26)</f>
        <v>25.609899618117968</v>
      </c>
      <c r="P18" s="133">
        <f>IF(SER_hh_tesh!P18=0,0,SER_hh_tesh!P18/SER_summary!P$26)</f>
        <v>22.840666973691278</v>
      </c>
      <c r="Q18" s="133">
        <f>IF(SER_hh_tesh!Q18=0,0,SER_hh_tesh!Q18/SER_summary!Q$26)</f>
        <v>33.384779559381563</v>
      </c>
      <c r="R18" s="133">
        <f>IF(SER_hh_tesh!R18=0,0,SER_hh_tesh!R18/SER_summary!R$26)</f>
        <v>23.528434742188381</v>
      </c>
      <c r="S18" s="133">
        <f>IF(SER_hh_tesh!S18=0,0,SER_hh_tesh!S18/SER_summary!S$26)</f>
        <v>28.38992530870247</v>
      </c>
      <c r="T18" s="133">
        <f>IF(SER_hh_tesh!T18=0,0,SER_hh_tesh!T18/SER_summary!T$26)</f>
        <v>27.116321353831239</v>
      </c>
      <c r="U18" s="133">
        <f>IF(SER_hh_tesh!U18=0,0,SER_hh_tesh!U18/SER_summary!U$26)</f>
        <v>29.068707924153212</v>
      </c>
      <c r="V18" s="133">
        <f>IF(SER_hh_tesh!V18=0,0,SER_hh_tesh!V18/SER_summary!V$26)</f>
        <v>24.326836290988489</v>
      </c>
      <c r="W18" s="133">
        <f>IF(SER_hh_tesh!W18=0,0,SER_hh_tesh!W18/SER_summary!W$26)</f>
        <v>30.745862074092443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18.072380554868147</v>
      </c>
      <c r="C19" s="131">
        <f>IF(SER_hh_tesh!C19=0,0,SER_hh_tesh!C19/SER_summary!C$26)</f>
        <v>18.097202350468656</v>
      </c>
      <c r="D19" s="131">
        <f>IF(SER_hh_tesh!D19=0,0,SER_hh_tesh!D19/SER_summary!D$26)</f>
        <v>18.360913836236634</v>
      </c>
      <c r="E19" s="131">
        <f>IF(SER_hh_tesh!E19=0,0,SER_hh_tesh!E19/SER_summary!E$26)</f>
        <v>18.163610103567038</v>
      </c>
      <c r="F19" s="131">
        <f>IF(SER_hh_tesh!F19=0,0,SER_hh_tesh!F19/SER_summary!F$26)</f>
        <v>18.499689053322552</v>
      </c>
      <c r="G19" s="131">
        <f>IF(SER_hh_tesh!G19=0,0,SER_hh_tesh!G19/SER_summary!G$26)</f>
        <v>18.32335410365695</v>
      </c>
      <c r="H19" s="131">
        <f>IF(SER_hh_tesh!H19=0,0,SER_hh_tesh!H19/SER_summary!H$26)</f>
        <v>18.31240096673816</v>
      </c>
      <c r="I19" s="131">
        <f>IF(SER_hh_tesh!I19=0,0,SER_hh_tesh!I19/SER_summary!I$26)</f>
        <v>18.22444982928581</v>
      </c>
      <c r="J19" s="131">
        <f>IF(SER_hh_tesh!J19=0,0,SER_hh_tesh!J19/SER_summary!J$26)</f>
        <v>18.515401940165578</v>
      </c>
      <c r="K19" s="131">
        <f>IF(SER_hh_tesh!K19=0,0,SER_hh_tesh!K19/SER_summary!K$26)</f>
        <v>18.781064317323775</v>
      </c>
      <c r="L19" s="131">
        <f>IF(SER_hh_tesh!L19=0,0,SER_hh_tesh!L19/SER_summary!L$26)</f>
        <v>18.830974576005186</v>
      </c>
      <c r="M19" s="131">
        <f>IF(SER_hh_tesh!M19=0,0,SER_hh_tesh!M19/SER_summary!M$26)</f>
        <v>18.933188487971631</v>
      </c>
      <c r="N19" s="131">
        <f>IF(SER_hh_tesh!N19=0,0,SER_hh_tesh!N19/SER_summary!N$26)</f>
        <v>19.115022360638719</v>
      </c>
      <c r="O19" s="131">
        <f>IF(SER_hh_tesh!O19=0,0,SER_hh_tesh!O19/SER_summary!O$26)</f>
        <v>19.064098958334448</v>
      </c>
      <c r="P19" s="131">
        <f>IF(SER_hh_tesh!P19=0,0,SER_hh_tesh!P19/SER_summary!P$26)</f>
        <v>18.66258136463518</v>
      </c>
      <c r="Q19" s="131">
        <f>IF(SER_hh_tesh!Q19=0,0,SER_hh_tesh!Q19/SER_summary!Q$26)</f>
        <v>18.729185344535654</v>
      </c>
      <c r="R19" s="131">
        <f>IF(SER_hh_tesh!R19=0,0,SER_hh_tesh!R19/SER_summary!R$26)</f>
        <v>18.853501874258818</v>
      </c>
      <c r="S19" s="131">
        <f>IF(SER_hh_tesh!S19=0,0,SER_hh_tesh!S19/SER_summary!S$26)</f>
        <v>18.804964820864214</v>
      </c>
      <c r="T19" s="131">
        <f>IF(SER_hh_tesh!T19=0,0,SER_hh_tesh!T19/SER_summary!T$26)</f>
        <v>18.917954663248253</v>
      </c>
      <c r="U19" s="131">
        <f>IF(SER_hh_tesh!U19=0,0,SER_hh_tesh!U19/SER_summary!U$26)</f>
        <v>18.644523803351234</v>
      </c>
      <c r="V19" s="131">
        <f>IF(SER_hh_tesh!V19=0,0,SER_hh_tesh!V19/SER_summary!V$26)</f>
        <v>16.966512236953228</v>
      </c>
      <c r="W19" s="131">
        <f>IF(SER_hh_tesh!W19=0,0,SER_hh_tesh!W19/SER_summary!W$26)</f>
        <v>17.486227698023754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0</v>
      </c>
      <c r="C22" s="133">
        <f>IF(SER_hh_tesh!C22=0,0,SER_hh_tesh!C22/SER_summary!C$26)</f>
        <v>0</v>
      </c>
      <c r="D22" s="133">
        <f>IF(SER_hh_tesh!D22=0,0,SER_hh_tesh!D22/SER_summary!D$26)</f>
        <v>0</v>
      </c>
      <c r="E22" s="133">
        <f>IF(SER_hh_tesh!E22=0,0,SER_hh_tesh!E22/SER_summary!E$26)</f>
        <v>0</v>
      </c>
      <c r="F22" s="133">
        <f>IF(SER_hh_tesh!F22=0,0,SER_hh_tesh!F22/SER_summary!F$26)</f>
        <v>0</v>
      </c>
      <c r="G22" s="133">
        <f>IF(SER_hh_tesh!G22=0,0,SER_hh_tesh!G22/SER_summary!G$26)</f>
        <v>0</v>
      </c>
      <c r="H22" s="133">
        <f>IF(SER_hh_tesh!H22=0,0,SER_hh_tesh!H22/SER_summary!H$26)</f>
        <v>0</v>
      </c>
      <c r="I22" s="133">
        <f>IF(SER_hh_tesh!I22=0,0,SER_hh_tesh!I22/SER_summary!I$26)</f>
        <v>0</v>
      </c>
      <c r="J22" s="133">
        <f>IF(SER_hh_tesh!J22=0,0,SER_hh_tesh!J22/SER_summary!J$26)</f>
        <v>0</v>
      </c>
      <c r="K22" s="133">
        <f>IF(SER_hh_tesh!K22=0,0,SER_hh_tesh!K22/SER_summary!K$26)</f>
        <v>0</v>
      </c>
      <c r="L22" s="133">
        <f>IF(SER_hh_tesh!L22=0,0,SER_hh_tesh!L22/SER_summary!L$26)</f>
        <v>0</v>
      </c>
      <c r="M22" s="133">
        <f>IF(SER_hh_tesh!M22=0,0,SER_hh_tesh!M22/SER_summary!M$26)</f>
        <v>0</v>
      </c>
      <c r="N22" s="133">
        <f>IF(SER_hh_tesh!N22=0,0,SER_hh_tesh!N22/SER_summary!N$26)</f>
        <v>0</v>
      </c>
      <c r="O22" s="133">
        <f>IF(SER_hh_tesh!O22=0,0,SER_hh_tesh!O22/SER_summary!O$26)</f>
        <v>0</v>
      </c>
      <c r="P22" s="133">
        <f>IF(SER_hh_tesh!P22=0,0,SER_hh_tesh!P22/SER_summary!P$26)</f>
        <v>0</v>
      </c>
      <c r="Q22" s="133">
        <f>IF(SER_hh_tesh!Q22=0,0,SER_hh_tesh!Q22/SER_summary!Q$26)</f>
        <v>0</v>
      </c>
      <c r="R22" s="133">
        <f>IF(SER_hh_tesh!R22=0,0,SER_hh_tesh!R22/SER_summary!R$26)</f>
        <v>0</v>
      </c>
      <c r="S22" s="133">
        <f>IF(SER_hh_tesh!S22=0,0,SER_hh_tesh!S22/SER_summary!S$26)</f>
        <v>0</v>
      </c>
      <c r="T22" s="133">
        <f>IF(SER_hh_tesh!T22=0,0,SER_hh_tesh!T22/SER_summary!T$26)</f>
        <v>0</v>
      </c>
      <c r="U22" s="133">
        <f>IF(SER_hh_tesh!U22=0,0,SER_hh_tesh!U22/SER_summary!U$26)</f>
        <v>0</v>
      </c>
      <c r="V22" s="133">
        <f>IF(SER_hh_tesh!V22=0,0,SER_hh_tesh!V22/SER_summary!V$26)</f>
        <v>0</v>
      </c>
      <c r="W22" s="133">
        <f>IF(SER_hh_tesh!W22=0,0,SER_hh_tesh!W22/SER_summary!W$26)</f>
        <v>0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17.951660322482763</v>
      </c>
      <c r="C23" s="133">
        <f>IF(SER_hh_tesh!C23=0,0,SER_hh_tesh!C23/SER_summary!C$26)</f>
        <v>18.040300992199917</v>
      </c>
      <c r="D23" s="133">
        <f>IF(SER_hh_tesh!D23=0,0,SER_hh_tesh!D23/SER_summary!D$26)</f>
        <v>18.289795703305316</v>
      </c>
      <c r="E23" s="133">
        <f>IF(SER_hh_tesh!E23=0,0,SER_hh_tesh!E23/SER_summary!E$26)</f>
        <v>18.409118761969054</v>
      </c>
      <c r="F23" s="133">
        <f>IF(SER_hh_tesh!F23=0,0,SER_hh_tesh!F23/SER_summary!F$26)</f>
        <v>18.849802610381836</v>
      </c>
      <c r="G23" s="133">
        <f>IF(SER_hh_tesh!G23=0,0,SER_hh_tesh!G23/SER_summary!G$26)</f>
        <v>18.249341655394257</v>
      </c>
      <c r="H23" s="133">
        <f>IF(SER_hh_tesh!H23=0,0,SER_hh_tesh!H23/SER_summary!H$26)</f>
        <v>17.89499857708833</v>
      </c>
      <c r="I23" s="133">
        <f>IF(SER_hh_tesh!I23=0,0,SER_hh_tesh!I23/SER_summary!I$26)</f>
        <v>17.888811129728374</v>
      </c>
      <c r="J23" s="133">
        <f>IF(SER_hh_tesh!J23=0,0,SER_hh_tesh!J23/SER_summary!J$26)</f>
        <v>18.339680989259449</v>
      </c>
      <c r="K23" s="133">
        <f>IF(SER_hh_tesh!K23=0,0,SER_hh_tesh!K23/SER_summary!K$26)</f>
        <v>19.005280045104563</v>
      </c>
      <c r="L23" s="133">
        <f>IF(SER_hh_tesh!L23=0,0,SER_hh_tesh!L23/SER_summary!L$26)</f>
        <v>19.026807816181378</v>
      </c>
      <c r="M23" s="133">
        <f>IF(SER_hh_tesh!M23=0,0,SER_hh_tesh!M23/SER_summary!M$26)</f>
        <v>18.662476268940697</v>
      </c>
      <c r="N23" s="133">
        <f>IF(SER_hh_tesh!N23=0,0,SER_hh_tesh!N23/SER_summary!N$26)</f>
        <v>18.441925206593002</v>
      </c>
      <c r="O23" s="133">
        <f>IF(SER_hh_tesh!O23=0,0,SER_hh_tesh!O23/SER_summary!O$26)</f>
        <v>19.504933659332305</v>
      </c>
      <c r="P23" s="133">
        <f>IF(SER_hh_tesh!P23=0,0,SER_hh_tesh!P23/SER_summary!P$26)</f>
        <v>18.815297801309779</v>
      </c>
      <c r="Q23" s="133">
        <f>IF(SER_hh_tesh!Q23=0,0,SER_hh_tesh!Q23/SER_summary!Q$26)</f>
        <v>18.834535835411607</v>
      </c>
      <c r="R23" s="133">
        <f>IF(SER_hh_tesh!R23=0,0,SER_hh_tesh!R23/SER_summary!R$26)</f>
        <v>18.973038905664076</v>
      </c>
      <c r="S23" s="133">
        <f>IF(SER_hh_tesh!S23=0,0,SER_hh_tesh!S23/SER_summary!S$26)</f>
        <v>18.940994475959048</v>
      </c>
      <c r="T23" s="133">
        <f>IF(SER_hh_tesh!T23=0,0,SER_hh_tesh!T23/SER_summary!T$26)</f>
        <v>19.243985651573794</v>
      </c>
      <c r="U23" s="133">
        <f>IF(SER_hh_tesh!U23=0,0,SER_hh_tesh!U23/SER_summary!U$26)</f>
        <v>18.693314985203319</v>
      </c>
      <c r="V23" s="133">
        <f>IF(SER_hh_tesh!V23=0,0,SER_hh_tesh!V23/SER_summary!V$26)</f>
        <v>17.212475665302218</v>
      </c>
      <c r="W23" s="133">
        <f>IF(SER_hh_tesh!W23=0,0,SER_hh_tesh!W23/SER_summary!W$26)</f>
        <v>17.256558912527424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26.850954062465384</v>
      </c>
      <c r="O24" s="133">
        <f>IF(SER_hh_tesh!O24=0,0,SER_hh_tesh!O24/SER_summary!O$26)</f>
        <v>21.039202240723444</v>
      </c>
      <c r="P24" s="133">
        <f>IF(SER_hh_tesh!P24=0,0,SER_hh_tesh!P24/SER_summary!P$26)</f>
        <v>19.089832805053121</v>
      </c>
      <c r="Q24" s="133">
        <f>IF(SER_hh_tesh!Q24=0,0,SER_hh_tesh!Q24/SER_summary!Q$26)</f>
        <v>18.802960416802133</v>
      </c>
      <c r="R24" s="133">
        <f>IF(SER_hh_tesh!R24=0,0,SER_hh_tesh!R24/SER_summary!R$26)</f>
        <v>18.715755733312484</v>
      </c>
      <c r="S24" s="133">
        <f>IF(SER_hh_tesh!S24=0,0,SER_hh_tesh!S24/SER_summary!S$26)</f>
        <v>18.819903502341965</v>
      </c>
      <c r="T24" s="133">
        <f>IF(SER_hh_tesh!T24=0,0,SER_hh_tesh!T24/SER_summary!T$26)</f>
        <v>18.552599986856109</v>
      </c>
      <c r="U24" s="133">
        <f>IF(SER_hh_tesh!U24=0,0,SER_hh_tesh!U24/SER_summary!U$26)</f>
        <v>18.741663507846333</v>
      </c>
      <c r="V24" s="133">
        <f>IF(SER_hh_tesh!V24=0,0,SER_hh_tesh!V24/SER_summary!V$26)</f>
        <v>17.755216631971873</v>
      </c>
      <c r="W24" s="133">
        <f>IF(SER_hh_tesh!W24=0,0,SER_hh_tesh!W24/SER_summary!W$26)</f>
        <v>16.543973021109387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18.086813620261964</v>
      </c>
      <c r="C25" s="133">
        <f>IF(SER_hh_tesh!C25=0,0,SER_hh_tesh!C25/SER_summary!C$26)</f>
        <v>18.103452273580753</v>
      </c>
      <c r="D25" s="133">
        <f>IF(SER_hh_tesh!D25=0,0,SER_hh_tesh!D25/SER_summary!D$26)</f>
        <v>18.145300031126759</v>
      </c>
      <c r="E25" s="133">
        <f>IF(SER_hh_tesh!E25=0,0,SER_hh_tesh!E25/SER_summary!E$26)</f>
        <v>18.042547111538507</v>
      </c>
      <c r="F25" s="133">
        <f>IF(SER_hh_tesh!F25=0,0,SER_hh_tesh!F25/SER_summary!F$26)</f>
        <v>17.996420501188872</v>
      </c>
      <c r="G25" s="133">
        <f>IF(SER_hh_tesh!G25=0,0,SER_hh_tesh!G25/SER_summary!G$26)</f>
        <v>18.534386511127163</v>
      </c>
      <c r="H25" s="133">
        <f>IF(SER_hh_tesh!H25=0,0,SER_hh_tesh!H25/SER_summary!H$26)</f>
        <v>18.245183039821924</v>
      </c>
      <c r="I25" s="133">
        <f>IF(SER_hh_tesh!I25=0,0,SER_hh_tesh!I25/SER_summary!I$26)</f>
        <v>18.103684088117504</v>
      </c>
      <c r="J25" s="133">
        <f>IF(SER_hh_tesh!J25=0,0,SER_hh_tesh!J25/SER_summary!J$26)</f>
        <v>18.794786855424647</v>
      </c>
      <c r="K25" s="133">
        <f>IF(SER_hh_tesh!K25=0,0,SER_hh_tesh!K25/SER_summary!K$26)</f>
        <v>18.865644539558346</v>
      </c>
      <c r="L25" s="133">
        <f>IF(SER_hh_tesh!L25=0,0,SER_hh_tesh!L25/SER_summary!L$26)</f>
        <v>18.882205844666785</v>
      </c>
      <c r="M25" s="133">
        <f>IF(SER_hh_tesh!M25=0,0,SER_hh_tesh!M25/SER_summary!M$26)</f>
        <v>18.948221966140814</v>
      </c>
      <c r="N25" s="133">
        <f>IF(SER_hh_tesh!N25=0,0,SER_hh_tesh!N25/SER_summary!N$26)</f>
        <v>19.27903223457897</v>
      </c>
      <c r="O25" s="133">
        <f>IF(SER_hh_tesh!O25=0,0,SER_hh_tesh!O25/SER_summary!O$26)</f>
        <v>18.854821702681829</v>
      </c>
      <c r="P25" s="133">
        <f>IF(SER_hh_tesh!P25=0,0,SER_hh_tesh!P25/SER_summary!P$26)</f>
        <v>18.561488545703018</v>
      </c>
      <c r="Q25" s="133">
        <f>IF(SER_hh_tesh!Q25=0,0,SER_hh_tesh!Q25/SER_summary!Q$26)</f>
        <v>18.792492209027369</v>
      </c>
      <c r="R25" s="133">
        <f>IF(SER_hh_tesh!R25=0,0,SER_hh_tesh!R25/SER_summary!R$26)</f>
        <v>18.753648700320429</v>
      </c>
      <c r="S25" s="133">
        <f>IF(SER_hh_tesh!S25=0,0,SER_hh_tesh!S25/SER_summary!S$26)</f>
        <v>18.819924314543059</v>
      </c>
      <c r="T25" s="133">
        <f>IF(SER_hh_tesh!T25=0,0,SER_hh_tesh!T25/SER_summary!T$26)</f>
        <v>18.742348650934503</v>
      </c>
      <c r="U25" s="133">
        <f>IF(SER_hh_tesh!U25=0,0,SER_hh_tesh!U25/SER_summary!U$26)</f>
        <v>19.255399032305704</v>
      </c>
      <c r="V25" s="133">
        <f>IF(SER_hh_tesh!V25=0,0,SER_hh_tesh!V25/SER_summary!V$26)</f>
        <v>16.591666377891688</v>
      </c>
      <c r="W25" s="133">
        <f>IF(SER_hh_tesh!W25=0,0,SER_hh_tesh!W25/SER_summary!W$26)</f>
        <v>17.605577773273605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18.171287454064984</v>
      </c>
      <c r="C26" s="65">
        <f>IF(SER_hh_tesh!C26=0,0,SER_hh_tesh!C26/SER_summary!C$26)</f>
        <v>18.143760657049992</v>
      </c>
      <c r="D26" s="65">
        <f>IF(SER_hh_tesh!D26=0,0,SER_hh_tesh!D26/SER_summary!D$26)</f>
        <v>18.467716917836078</v>
      </c>
      <c r="E26" s="65">
        <f>IF(SER_hh_tesh!E26=0,0,SER_hh_tesh!E26/SER_summary!E$26)</f>
        <v>17.96746390837254</v>
      </c>
      <c r="F26" s="65">
        <f>IF(SER_hh_tesh!F26=0,0,SER_hh_tesh!F26/SER_summary!F$26)</f>
        <v>18.271696700618701</v>
      </c>
      <c r="G26" s="65">
        <f>IF(SER_hh_tesh!G26=0,0,SER_hh_tesh!G26/SER_summary!G$26)</f>
        <v>18.34316626784771</v>
      </c>
      <c r="H26" s="65">
        <f>IF(SER_hh_tesh!H26=0,0,SER_hh_tesh!H26/SER_summary!H$26)</f>
        <v>18.746785512836535</v>
      </c>
      <c r="I26" s="65">
        <f>IF(SER_hh_tesh!I26=0,0,SER_hh_tesh!I26/SER_summary!I$26)</f>
        <v>18.620050571383153</v>
      </c>
      <c r="J26" s="65">
        <f>IF(SER_hh_tesh!J26=0,0,SER_hh_tesh!J26/SER_summary!J$26)</f>
        <v>18.631309619154081</v>
      </c>
      <c r="K26" s="65">
        <f>IF(SER_hh_tesh!K26=0,0,SER_hh_tesh!K26/SER_summary!K$26)</f>
        <v>18.388732677693888</v>
      </c>
      <c r="L26" s="65">
        <f>IF(SER_hh_tesh!L26=0,0,SER_hh_tesh!L26/SER_summary!L$26)</f>
        <v>18.435784496841634</v>
      </c>
      <c r="M26" s="65">
        <f>IF(SER_hh_tesh!M26=0,0,SER_hh_tesh!M26/SER_summary!M$26)</f>
        <v>19.329178431986552</v>
      </c>
      <c r="N26" s="65">
        <f>IF(SER_hh_tesh!N26=0,0,SER_hh_tesh!N26/SER_summary!N$26)</f>
        <v>19.812223499613062</v>
      </c>
      <c r="O26" s="65">
        <f>IF(SER_hh_tesh!O26=0,0,SER_hh_tesh!O26/SER_summary!O$26)</f>
        <v>17.903547282497616</v>
      </c>
      <c r="P26" s="65">
        <f>IF(SER_hh_tesh!P26=0,0,SER_hh_tesh!P26/SER_summary!P$26)</f>
        <v>18.171811714517691</v>
      </c>
      <c r="Q26" s="65">
        <f>IF(SER_hh_tesh!Q26=0,0,SER_hh_tesh!Q26/SER_summary!Q$26)</f>
        <v>18.308984670169576</v>
      </c>
      <c r="R26" s="65">
        <f>IF(SER_hh_tesh!R26=0,0,SER_hh_tesh!R26/SER_summary!R$26)</f>
        <v>18.497682380746308</v>
      </c>
      <c r="S26" s="65">
        <f>IF(SER_hh_tesh!S26=0,0,SER_hh_tesh!S26/SER_summary!S$26)</f>
        <v>18.327722608304342</v>
      </c>
      <c r="T26" s="65">
        <f>IF(SER_hh_tesh!T26=0,0,SER_hh_tesh!T26/SER_summary!T$26)</f>
        <v>18.070414148197425</v>
      </c>
      <c r="U26" s="65">
        <f>IF(SER_hh_tesh!U26=0,0,SER_hh_tesh!U26/SER_summary!U$26)</f>
        <v>18.114169183428018</v>
      </c>
      <c r="V26" s="65">
        <f>IF(SER_hh_tesh!V26=0,0,SER_hh_tesh!V26/SER_summary!V$26)</f>
        <v>16.313563915219948</v>
      </c>
      <c r="W26" s="65">
        <f>IF(SER_hh_tesh!W26=0,0,SER_hh_tesh!W26/SER_summary!W$26)</f>
        <v>17.94668818909712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3.2254990270236864E-3</v>
      </c>
      <c r="H27" s="146">
        <f>IF(SER_hh_tesh!H27=0,0,SER_hh_tesh!H27/SER_summary!H$26)</f>
        <v>6.3633744801633021E-3</v>
      </c>
      <c r="I27" s="146">
        <f>IF(SER_hh_tesh!I27=0,0,SER_hh_tesh!I27/SER_summary!I$26)</f>
        <v>9.3510812792953202E-3</v>
      </c>
      <c r="J27" s="146">
        <f>IF(SER_hh_tesh!J27=0,0,SER_hh_tesh!J27/SER_summary!J$26)</f>
        <v>1.2544187948884736E-2</v>
      </c>
      <c r="K27" s="146">
        <f>IF(SER_hh_tesh!K27=0,0,SER_hh_tesh!K27/SER_summary!K$26)</f>
        <v>1.5750394234898147E-2</v>
      </c>
      <c r="L27" s="146">
        <f>IF(SER_hh_tesh!L27=0,0,SER_hh_tesh!L27/SER_summary!L$26)</f>
        <v>2.2038495922496612E-2</v>
      </c>
      <c r="M27" s="146">
        <f>IF(SER_hh_tesh!M27=0,0,SER_hh_tesh!M27/SER_summary!M$26)</f>
        <v>2.5079195594197641E-2</v>
      </c>
      <c r="N27" s="146">
        <f>IF(SER_hh_tesh!N27=0,0,SER_hh_tesh!N27/SER_summary!N$26)</f>
        <v>2.4898586431844949E-2</v>
      </c>
      <c r="O27" s="146">
        <f>IF(SER_hh_tesh!O27=0,0,SER_hh_tesh!O27/SER_summary!O$26)</f>
        <v>2.4639258143362871E-2</v>
      </c>
      <c r="P27" s="146">
        <f>IF(SER_hh_tesh!P27=0,0,SER_hh_tesh!P27/SER_summary!P$26)</f>
        <v>2.687782191208583E-2</v>
      </c>
      <c r="Q27" s="146">
        <f>IF(SER_hh_tesh!Q27=0,0,SER_hh_tesh!Q27/SER_summary!Q$26)</f>
        <v>2.6858763461722428E-2</v>
      </c>
      <c r="R27" s="146">
        <f>IF(SER_hh_tesh!R27=0,0,SER_hh_tesh!R27/SER_summary!R$26)</f>
        <v>2.6603409837569921E-2</v>
      </c>
      <c r="S27" s="146">
        <f>IF(SER_hh_tesh!S27=0,0,SER_hh_tesh!S27/SER_summary!S$26)</f>
        <v>2.9154618643580477E-2</v>
      </c>
      <c r="T27" s="146">
        <f>IF(SER_hh_tesh!T27=0,0,SER_hh_tesh!T27/SER_summary!T$26)</f>
        <v>2.8759738862538065E-2</v>
      </c>
      <c r="U27" s="146">
        <f>IF(SER_hh_tesh!U27=0,0,SER_hh_tesh!U27/SER_summary!U$26)</f>
        <v>3.1275201857930784E-2</v>
      </c>
      <c r="V27" s="146">
        <f>IF(SER_hh_tesh!V27=0,0,SER_hh_tesh!V27/SER_summary!V$26)</f>
        <v>3.0946124700649918E-2</v>
      </c>
      <c r="W27" s="146">
        <f>IF(SER_hh_tesh!W27=0,0,SER_hh_tesh!W27/SER_summary!W$26)</f>
        <v>3.0638542030168432E-2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14.664970163687615</v>
      </c>
      <c r="H28" s="147">
        <f>IF(SER_hh_tesh!H28=0,0,SER_hh_tesh!H28/SER_summary!H$26)</f>
        <v>13.39300496575207</v>
      </c>
      <c r="I28" s="147">
        <f>IF(SER_hh_tesh!I28=0,0,SER_hh_tesh!I28/SER_summary!I$26)</f>
        <v>14.219119497608087</v>
      </c>
      <c r="J28" s="147">
        <f>IF(SER_hh_tesh!J28=0,0,SER_hh_tesh!J28/SER_summary!J$26)</f>
        <v>13.835557159281977</v>
      </c>
      <c r="K28" s="147">
        <f>IF(SER_hh_tesh!K28=0,0,SER_hh_tesh!K28/SER_summary!K$26)</f>
        <v>14.387868169003179</v>
      </c>
      <c r="L28" s="147">
        <f>IF(SER_hh_tesh!L28=0,0,SER_hh_tesh!L28/SER_summary!L$26)</f>
        <v>14.545360461323913</v>
      </c>
      <c r="M28" s="147">
        <f>IF(SER_hh_tesh!M28=0,0,SER_hh_tesh!M28/SER_summary!M$26)</f>
        <v>13.852719240293599</v>
      </c>
      <c r="N28" s="147">
        <f>IF(SER_hh_tesh!N28=0,0,SER_hh_tesh!N28/SER_summary!N$26)</f>
        <v>15.698822530125065</v>
      </c>
      <c r="O28" s="147">
        <f>IF(SER_hh_tesh!O28=0,0,SER_hh_tesh!O28/SER_summary!O$26)</f>
        <v>15.388417269632736</v>
      </c>
      <c r="P28" s="147">
        <f>IF(SER_hh_tesh!P28=0,0,SER_hh_tesh!P28/SER_summary!P$26)</f>
        <v>15.048935629042143</v>
      </c>
      <c r="Q28" s="147">
        <f>IF(SER_hh_tesh!Q28=0,0,SER_hh_tesh!Q28/SER_summary!Q$26)</f>
        <v>13.63803051049319</v>
      </c>
      <c r="R28" s="147">
        <f>IF(SER_hh_tesh!R28=0,0,SER_hh_tesh!R28/SER_summary!R$26)</f>
        <v>13.992930120667751</v>
      </c>
      <c r="S28" s="147">
        <f>IF(SER_hh_tesh!S28=0,0,SER_hh_tesh!S28/SER_summary!S$26)</f>
        <v>14.275694163600805</v>
      </c>
      <c r="T28" s="147">
        <f>IF(SER_hh_tesh!T28=0,0,SER_hh_tesh!T28/SER_summary!T$26)</f>
        <v>14.270222888563284</v>
      </c>
      <c r="U28" s="147">
        <f>IF(SER_hh_tesh!U28=0,0,SER_hh_tesh!U28/SER_summary!U$26)</f>
        <v>14.170067792602561</v>
      </c>
      <c r="V28" s="147">
        <f>IF(SER_hh_tesh!V28=0,0,SER_hh_tesh!V28/SER_summary!V$26)</f>
        <v>12.624336523685264</v>
      </c>
      <c r="W28" s="147">
        <f>IF(SER_hh_tesh!W28=0,0,SER_hh_tesh!W28/SER_summary!W$26)</f>
        <v>14.038748663789118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22.479694510661343</v>
      </c>
      <c r="C29" s="131">
        <f>IF(SER_hh_tesh!C29=0,0,SER_hh_tesh!C29/SER_summary!C$26)</f>
        <v>22.367702637640942</v>
      </c>
      <c r="D29" s="131">
        <f>IF(SER_hh_tesh!D29=0,0,SER_hh_tesh!D29/SER_summary!D$26)</f>
        <v>22.171869761953182</v>
      </c>
      <c r="E29" s="131">
        <f>IF(SER_hh_tesh!E29=0,0,SER_hh_tesh!E29/SER_summary!E$26)</f>
        <v>22.044048899373564</v>
      </c>
      <c r="F29" s="131">
        <f>IF(SER_hh_tesh!F29=0,0,SER_hh_tesh!F29/SER_summary!F$26)</f>
        <v>21.662095239808902</v>
      </c>
      <c r="G29" s="131">
        <f>IF(SER_hh_tesh!G29=0,0,SER_hh_tesh!G29/SER_summary!G$26)</f>
        <v>21.423114831702254</v>
      </c>
      <c r="H29" s="131">
        <f>IF(SER_hh_tesh!H29=0,0,SER_hh_tesh!H29/SER_summary!H$26)</f>
        <v>21.487203204316781</v>
      </c>
      <c r="I29" s="131">
        <f>IF(SER_hh_tesh!I29=0,0,SER_hh_tesh!I29/SER_summary!I$26)</f>
        <v>20.935073087316113</v>
      </c>
      <c r="J29" s="131">
        <f>IF(SER_hh_tesh!J29=0,0,SER_hh_tesh!J29/SER_summary!J$26)</f>
        <v>21.011491430223248</v>
      </c>
      <c r="K29" s="131">
        <f>IF(SER_hh_tesh!K29=0,0,SER_hh_tesh!K29/SER_summary!K$26)</f>
        <v>21.150406684415518</v>
      </c>
      <c r="L29" s="131">
        <f>IF(SER_hh_tesh!L29=0,0,SER_hh_tesh!L29/SER_summary!L$26)</f>
        <v>21.617570956065357</v>
      </c>
      <c r="M29" s="131">
        <f>IF(SER_hh_tesh!M29=0,0,SER_hh_tesh!M29/SER_summary!M$26)</f>
        <v>21.426108303918628</v>
      </c>
      <c r="N29" s="131">
        <f>IF(SER_hh_tesh!N29=0,0,SER_hh_tesh!N29/SER_summary!N$26)</f>
        <v>21.3133175069873</v>
      </c>
      <c r="O29" s="131">
        <f>IF(SER_hh_tesh!O29=0,0,SER_hh_tesh!O29/SER_summary!O$26)</f>
        <v>21.100887389293469</v>
      </c>
      <c r="P29" s="131">
        <f>IF(SER_hh_tesh!P29=0,0,SER_hh_tesh!P29/SER_summary!P$26)</f>
        <v>20.36096395427505</v>
      </c>
      <c r="Q29" s="131">
        <f>IF(SER_hh_tesh!Q29=0,0,SER_hh_tesh!Q29/SER_summary!Q$26)</f>
        <v>20.470459071829868</v>
      </c>
      <c r="R29" s="131">
        <f>IF(SER_hh_tesh!R29=0,0,SER_hh_tesh!R29/SER_summary!R$26)</f>
        <v>20.210434042667675</v>
      </c>
      <c r="S29" s="131">
        <f>IF(SER_hh_tesh!S29=0,0,SER_hh_tesh!S29/SER_summary!S$26)</f>
        <v>19.849258052361144</v>
      </c>
      <c r="T29" s="131">
        <f>IF(SER_hh_tesh!T29=0,0,SER_hh_tesh!T29/SER_summary!T$26)</f>
        <v>20.090903417100538</v>
      </c>
      <c r="U29" s="131">
        <f>IF(SER_hh_tesh!U29=0,0,SER_hh_tesh!U29/SER_summary!U$26)</f>
        <v>19.848276517000929</v>
      </c>
      <c r="V29" s="131">
        <f>IF(SER_hh_tesh!V29=0,0,SER_hh_tesh!V29/SER_summary!V$26)</f>
        <v>18.749196016607108</v>
      </c>
      <c r="W29" s="131">
        <f>IF(SER_hh_tesh!W29=0,0,SER_hh_tesh!W29/SER_summary!W$26)</f>
        <v>19.842186320329169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24.012044366606037</v>
      </c>
      <c r="C30" s="133">
        <f>IF(SER_hh_tesh!C30=0,0,SER_hh_tesh!C30/SER_summary!C$26)</f>
        <v>20.547741913366757</v>
      </c>
      <c r="D30" s="133">
        <f>IF(SER_hh_tesh!D30=0,0,SER_hh_tesh!D30/SER_summary!D$26)</f>
        <v>24.027438441099079</v>
      </c>
      <c r="E30" s="133">
        <f>IF(SER_hh_tesh!E30=0,0,SER_hh_tesh!E30/SER_summary!E$26)</f>
        <v>24.57826602611685</v>
      </c>
      <c r="F30" s="133">
        <f>IF(SER_hh_tesh!F30=0,0,SER_hh_tesh!F30/SER_summary!F$26)</f>
        <v>17.161082383718469</v>
      </c>
      <c r="G30" s="133">
        <f>IF(SER_hh_tesh!G30=0,0,SER_hh_tesh!G30/SER_summary!G$26)</f>
        <v>21.142952153628396</v>
      </c>
      <c r="H30" s="133">
        <f>IF(SER_hh_tesh!H30=0,0,SER_hh_tesh!H30/SER_summary!H$26)</f>
        <v>21.346123552548978</v>
      </c>
      <c r="I30" s="133">
        <f>IF(SER_hh_tesh!I30=0,0,SER_hh_tesh!I30/SER_summary!I$26)</f>
        <v>22.209479463263637</v>
      </c>
      <c r="J30" s="133">
        <f>IF(SER_hh_tesh!J30=0,0,SER_hh_tesh!J30/SER_summary!J$26)</f>
        <v>19.536703767175919</v>
      </c>
      <c r="K30" s="133">
        <f>IF(SER_hh_tesh!K30=0,0,SER_hh_tesh!K30/SER_summary!K$26)</f>
        <v>20.397617092716345</v>
      </c>
      <c r="L30" s="133">
        <f>IF(SER_hh_tesh!L30=0,0,SER_hh_tesh!L30/SER_summary!L$26)</f>
        <v>23.387737002813104</v>
      </c>
      <c r="M30" s="133">
        <f>IF(SER_hh_tesh!M30=0,0,SER_hh_tesh!M30/SER_summary!M$26)</f>
        <v>21.394271432626457</v>
      </c>
      <c r="N30" s="133">
        <f>IF(SER_hh_tesh!N30=0,0,SER_hh_tesh!N30/SER_summary!N$26)</f>
        <v>21.98240554733562</v>
      </c>
      <c r="O30" s="133">
        <f>IF(SER_hh_tesh!O30=0,0,SER_hh_tesh!O30/SER_summary!O$26)</f>
        <v>18.011638381774418</v>
      </c>
      <c r="P30" s="133">
        <f>IF(SER_hh_tesh!P30=0,0,SER_hh_tesh!P30/SER_summary!P$26)</f>
        <v>19.965713973772189</v>
      </c>
      <c r="Q30" s="133">
        <f>IF(SER_hh_tesh!Q30=0,0,SER_hh_tesh!Q30/SER_summary!Q$26)</f>
        <v>23.524662535033922</v>
      </c>
      <c r="R30" s="133">
        <f>IF(SER_hh_tesh!R30=0,0,SER_hh_tesh!R30/SER_summary!R$26)</f>
        <v>19.400545267127669</v>
      </c>
      <c r="S30" s="133">
        <f>IF(SER_hh_tesh!S30=0,0,SER_hh_tesh!S30/SER_summary!S$26)</f>
        <v>16.853549652793287</v>
      </c>
      <c r="T30" s="133">
        <f>IF(SER_hh_tesh!T30=0,0,SER_hh_tesh!T30/SER_summary!T$26)</f>
        <v>20.729977040326645</v>
      </c>
      <c r="U30" s="133">
        <f>IF(SER_hh_tesh!U30=0,0,SER_hh_tesh!U30/SER_summary!U$26)</f>
        <v>18.001451434021455</v>
      </c>
      <c r="V30" s="133">
        <f>IF(SER_hh_tesh!V30=0,0,SER_hh_tesh!V30/SER_summary!V$26)</f>
        <v>24.774399754008094</v>
      </c>
      <c r="W30" s="133">
        <f>IF(SER_hh_tesh!W30=0,0,SER_hh_tesh!W30/SER_summary!W$26)</f>
        <v>16.847708588465309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16.261063299116433</v>
      </c>
      <c r="C31" s="133">
        <f>IF(SER_hh_tesh!C31=0,0,SER_hh_tesh!C31/SER_summary!C$26)</f>
        <v>24.07191276139076</v>
      </c>
      <c r="D31" s="133">
        <f>IF(SER_hh_tesh!D31=0,0,SER_hh_tesh!D31/SER_summary!D$26)</f>
        <v>20.032517228310578</v>
      </c>
      <c r="E31" s="133">
        <f>IF(SER_hh_tesh!E31=0,0,SER_hh_tesh!E31/SER_summary!E$26)</f>
        <v>21.070813890555367</v>
      </c>
      <c r="F31" s="133">
        <f>IF(SER_hh_tesh!F31=0,0,SER_hh_tesh!F31/SER_summary!F$26)</f>
        <v>22.661954258814799</v>
      </c>
      <c r="G31" s="133">
        <f>IF(SER_hh_tesh!G31=0,0,SER_hh_tesh!G31/SER_summary!G$26)</f>
        <v>21.666971580545219</v>
      </c>
      <c r="H31" s="133">
        <f>IF(SER_hh_tesh!H31=0,0,SER_hh_tesh!H31/SER_summary!H$26)</f>
        <v>21.843470208435029</v>
      </c>
      <c r="I31" s="133">
        <f>IF(SER_hh_tesh!I31=0,0,SER_hh_tesh!I31/SER_summary!I$26)</f>
        <v>21.387558750012847</v>
      </c>
      <c r="J31" s="133">
        <f>IF(SER_hh_tesh!J31=0,0,SER_hh_tesh!J31/SER_summary!J$26)</f>
        <v>21.417192081281868</v>
      </c>
      <c r="K31" s="133">
        <f>IF(SER_hh_tesh!K31=0,0,SER_hh_tesh!K31/SER_summary!K$26)</f>
        <v>21.260292819369266</v>
      </c>
      <c r="L31" s="133">
        <f>IF(SER_hh_tesh!L31=0,0,SER_hh_tesh!L31/SER_summary!L$26)</f>
        <v>21.25679201578906</v>
      </c>
      <c r="M31" s="133">
        <f>IF(SER_hh_tesh!M31=0,0,SER_hh_tesh!M31/SER_summary!M$26)</f>
        <v>21.469613738585011</v>
      </c>
      <c r="N31" s="133">
        <f>IF(SER_hh_tesh!N31=0,0,SER_hh_tesh!N31/SER_summary!N$26)</f>
        <v>21.487129867745523</v>
      </c>
      <c r="O31" s="133">
        <f>IF(SER_hh_tesh!O31=0,0,SER_hh_tesh!O31/SER_summary!O$26)</f>
        <v>21.637016966888428</v>
      </c>
      <c r="P31" s="133">
        <f>IF(SER_hh_tesh!P31=0,0,SER_hh_tesh!P31/SER_summary!P$26)</f>
        <v>20.985097038038177</v>
      </c>
      <c r="Q31" s="133">
        <f>IF(SER_hh_tesh!Q31=0,0,SER_hh_tesh!Q31/SER_summary!Q$26)</f>
        <v>20.383001402322094</v>
      </c>
      <c r="R31" s="133">
        <f>IF(SER_hh_tesh!R31=0,0,SER_hh_tesh!R31/SER_summary!R$26)</f>
        <v>20.172520256071806</v>
      </c>
      <c r="S31" s="133">
        <f>IF(SER_hh_tesh!S31=0,0,SER_hh_tesh!S31/SER_summary!S$26)</f>
        <v>20.009871547432692</v>
      </c>
      <c r="T31" s="133">
        <f>IF(SER_hh_tesh!T31=0,0,SER_hh_tesh!T31/SER_summary!T$26)</f>
        <v>19.945912624030434</v>
      </c>
      <c r="U31" s="133">
        <f>IF(SER_hh_tesh!U31=0,0,SER_hh_tesh!U31/SER_summary!U$26)</f>
        <v>19.836639363646896</v>
      </c>
      <c r="V31" s="133">
        <f>IF(SER_hh_tesh!V31=0,0,SER_hh_tesh!V31/SER_summary!V$26)</f>
        <v>18.72368789162778</v>
      </c>
      <c r="W31" s="133">
        <f>IF(SER_hh_tesh!W31=0,0,SER_hh_tesh!W31/SER_summary!W$26)</f>
        <v>19.878302914603253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22.685860292770496</v>
      </c>
      <c r="C33" s="68">
        <f>IF(SER_hh_tesh!C33=0,0,SER_hh_tesh!C33/SER_summary!C$26)</f>
        <v>22.591765761241273</v>
      </c>
      <c r="D33" s="68">
        <f>IF(SER_hh_tesh!D33=0,0,SER_hh_tesh!D33/SER_summary!D$26)</f>
        <v>22.186460441556292</v>
      </c>
      <c r="E33" s="68">
        <f>IF(SER_hh_tesh!E33=0,0,SER_hh_tesh!E33/SER_summary!E$26)</f>
        <v>21.785009168680809</v>
      </c>
      <c r="F33" s="68">
        <f>IF(SER_hh_tesh!F33=0,0,SER_hh_tesh!F33/SER_summary!F$26)</f>
        <v>22.071756261038608</v>
      </c>
      <c r="G33" s="68">
        <f>IF(SER_hh_tesh!G33=0,0,SER_hh_tesh!G33/SER_summary!G$26)</f>
        <v>21.333060147771196</v>
      </c>
      <c r="H33" s="68">
        <f>IF(SER_hh_tesh!H33=0,0,SER_hh_tesh!H33/SER_summary!H$26)</f>
        <v>21.25999443840114</v>
      </c>
      <c r="I33" s="68">
        <f>IF(SER_hh_tesh!I33=0,0,SER_hh_tesh!I33/SER_summary!I$26)</f>
        <v>20.351207032750906</v>
      </c>
      <c r="J33" s="68">
        <f>IF(SER_hh_tesh!J33=0,0,SER_hh_tesh!J33/SER_summary!J$26)</f>
        <v>20.877386583744546</v>
      </c>
      <c r="K33" s="68">
        <f>IF(SER_hh_tesh!K33=0,0,SER_hh_tesh!K33/SER_summary!K$26)</f>
        <v>21.163371595388842</v>
      </c>
      <c r="L33" s="68">
        <f>IF(SER_hh_tesh!L33=0,0,SER_hh_tesh!L33/SER_summary!L$26)</f>
        <v>21.72364605595714</v>
      </c>
      <c r="M33" s="68">
        <f>IF(SER_hh_tesh!M33=0,0,SER_hh_tesh!M33/SER_summary!M$26)</f>
        <v>21.37575431400402</v>
      </c>
      <c r="N33" s="68">
        <f>IF(SER_hh_tesh!N33=0,0,SER_hh_tesh!N33/SER_summary!N$26)</f>
        <v>20.958825726992469</v>
      </c>
      <c r="O33" s="68">
        <f>IF(SER_hh_tesh!O33=0,0,SER_hh_tesh!O33/SER_summary!O$26)</f>
        <v>20.732327561966962</v>
      </c>
      <c r="P33" s="68">
        <f>IF(SER_hh_tesh!P33=0,0,SER_hh_tesh!P33/SER_summary!P$26)</f>
        <v>19.455790625478087</v>
      </c>
      <c r="Q33" s="68">
        <f>IF(SER_hh_tesh!Q33=0,0,SER_hh_tesh!Q33/SER_summary!Q$26)</f>
        <v>20.183343406157611</v>
      </c>
      <c r="R33" s="68">
        <f>IF(SER_hh_tesh!R33=0,0,SER_hh_tesh!R33/SER_summary!R$26)</f>
        <v>20.36444493763673</v>
      </c>
      <c r="S33" s="68">
        <f>IF(SER_hh_tesh!S33=0,0,SER_hh_tesh!S33/SER_summary!S$26)</f>
        <v>19.959700172361554</v>
      </c>
      <c r="T33" s="68">
        <f>IF(SER_hh_tesh!T33=0,0,SER_hh_tesh!T33/SER_summary!T$26)</f>
        <v>20.211141893036938</v>
      </c>
      <c r="U33" s="68">
        <f>IF(SER_hh_tesh!U33=0,0,SER_hh_tesh!U33/SER_summary!U$26)</f>
        <v>20.089987630044405</v>
      </c>
      <c r="V33" s="68">
        <f>IF(SER_hh_tesh!V33=0,0,SER_hh_tesh!V33/SER_summary!V$26)</f>
        <v>18.008063308508156</v>
      </c>
      <c r="W33" s="68">
        <f>IF(SER_hh_tesh!W33=0,0,SER_hh_tesh!W33/SER_summary!W$26)</f>
        <v>20.183064401084156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58.730803834370505</v>
      </c>
      <c r="C3" s="126">
        <f>IF(SER_hh_emih!C3=0,0,SER_hh_emih!C3/SER_summary!C$26)</f>
        <v>61.434439430774532</v>
      </c>
      <c r="D3" s="126">
        <f>IF(SER_hh_emih!D3=0,0,SER_hh_emih!D3/SER_summary!D$26)</f>
        <v>55.083131119263491</v>
      </c>
      <c r="E3" s="126">
        <f>IF(SER_hh_emih!E3=0,0,SER_hh_emih!E3/SER_summary!E$26)</f>
        <v>55.855675885020993</v>
      </c>
      <c r="F3" s="126">
        <f>IF(SER_hh_emih!F3=0,0,SER_hh_emih!F3/SER_summary!F$26)</f>
        <v>68.510515209956921</v>
      </c>
      <c r="G3" s="126">
        <f>IF(SER_hh_emih!G3=0,0,SER_hh_emih!G3/SER_summary!G$26)</f>
        <v>63.50309300102186</v>
      </c>
      <c r="H3" s="126">
        <f>IF(SER_hh_emih!H3=0,0,SER_hh_emih!H3/SER_summary!H$26)</f>
        <v>54.061498253116</v>
      </c>
      <c r="I3" s="126">
        <f>IF(SER_hh_emih!I3=0,0,SER_hh_emih!I3/SER_summary!I$26)</f>
        <v>41.155450743419514</v>
      </c>
      <c r="J3" s="126">
        <f>IF(SER_hh_emih!J3=0,0,SER_hh_emih!J3/SER_summary!J$26)</f>
        <v>38.970780438843086</v>
      </c>
      <c r="K3" s="126">
        <f>IF(SER_hh_emih!K3=0,0,SER_hh_emih!K3/SER_summary!K$26)</f>
        <v>42.56331597398038</v>
      </c>
      <c r="L3" s="126">
        <f>IF(SER_hh_emih!L3=0,0,SER_hh_emih!L3/SER_summary!L$26)</f>
        <v>46.435683071587327</v>
      </c>
      <c r="M3" s="126">
        <f>IF(SER_hh_emih!M3=0,0,SER_hh_emih!M3/SER_summary!M$26)</f>
        <v>46.427960493718601</v>
      </c>
      <c r="N3" s="126">
        <f>IF(SER_hh_emih!N3=0,0,SER_hh_emih!N3/SER_summary!N$26)</f>
        <v>37.688964410213011</v>
      </c>
      <c r="O3" s="126">
        <f>IF(SER_hh_emih!O3=0,0,SER_hh_emih!O3/SER_summary!O$26)</f>
        <v>37.586521640544554</v>
      </c>
      <c r="P3" s="126">
        <f>IF(SER_hh_emih!P3=0,0,SER_hh_emih!P3/SER_summary!P$26)</f>
        <v>32.519289370221507</v>
      </c>
      <c r="Q3" s="126">
        <f>IF(SER_hh_emih!Q3=0,0,SER_hh_emih!Q3/SER_summary!Q$26)</f>
        <v>33.541904541846627</v>
      </c>
      <c r="R3" s="126">
        <f>IF(SER_hh_emih!R3=0,0,SER_hh_emih!R3/SER_summary!R$26)</f>
        <v>32.340004504530349</v>
      </c>
      <c r="S3" s="126">
        <f>IF(SER_hh_emih!S3=0,0,SER_hh_emih!S3/SER_summary!S$26)</f>
        <v>30.352787042924561</v>
      </c>
      <c r="T3" s="126">
        <f>IF(SER_hh_emih!T3=0,0,SER_hh_emih!T3/SER_summary!T$26)</f>
        <v>28.572768932607019</v>
      </c>
      <c r="U3" s="126">
        <f>IF(SER_hh_emih!U3=0,0,SER_hh_emih!U3/SER_summary!U$26)</f>
        <v>27.087571988248843</v>
      </c>
      <c r="V3" s="126">
        <f>IF(SER_hh_emih!V3=0,0,SER_hh_emih!V3/SER_summary!V$26)</f>
        <v>27.038860572478388</v>
      </c>
      <c r="W3" s="126">
        <f>IF(SER_hh_emih!W3=0,0,SER_hh_emih!W3/SER_summary!W$26)</f>
        <v>28.001503350183658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53.655679663961436</v>
      </c>
      <c r="C4" s="131">
        <f>IF(SER_hh_emih!C4=0,0,SER_hh_emih!C4/SER_summary!C$26)</f>
        <v>56.324071643181064</v>
      </c>
      <c r="D4" s="131">
        <f>IF(SER_hh_emih!D4=0,0,SER_hh_emih!D4/SER_summary!D$26)</f>
        <v>49.593667938522103</v>
      </c>
      <c r="E4" s="131">
        <f>IF(SER_hh_emih!E4=0,0,SER_hh_emih!E4/SER_summary!E$26)</f>
        <v>50.116161909025259</v>
      </c>
      <c r="F4" s="131">
        <f>IF(SER_hh_emih!F4=0,0,SER_hh_emih!F4/SER_summary!F$26)</f>
        <v>62.667913326693025</v>
      </c>
      <c r="G4" s="131">
        <f>IF(SER_hh_emih!G4=0,0,SER_hh_emih!G4/SER_summary!G$26)</f>
        <v>57.418514554093733</v>
      </c>
      <c r="H4" s="131">
        <f>IF(SER_hh_emih!H4=0,0,SER_hh_emih!H4/SER_summary!H$26)</f>
        <v>47.716994169903913</v>
      </c>
      <c r="I4" s="131">
        <f>IF(SER_hh_emih!I4=0,0,SER_hh_emih!I4/SER_summary!I$26)</f>
        <v>34.548391231594508</v>
      </c>
      <c r="J4" s="131">
        <f>IF(SER_hh_emih!J4=0,0,SER_hh_emih!J4/SER_summary!J$26)</f>
        <v>32.087659360554049</v>
      </c>
      <c r="K4" s="131">
        <f>IF(SER_hh_emih!K4=0,0,SER_hh_emih!K4/SER_summary!K$26)</f>
        <v>35.310766247572467</v>
      </c>
      <c r="L4" s="131">
        <f>IF(SER_hh_emih!L4=0,0,SER_hh_emih!L4/SER_summary!L$26)</f>
        <v>38.861518282017819</v>
      </c>
      <c r="M4" s="131">
        <f>IF(SER_hh_emih!M4=0,0,SER_hh_emih!M4/SER_summary!M$26)</f>
        <v>38.709278090604109</v>
      </c>
      <c r="N4" s="131">
        <f>IF(SER_hh_emih!N4=0,0,SER_hh_emih!N4/SER_summary!N$26)</f>
        <v>29.843058106277898</v>
      </c>
      <c r="O4" s="131">
        <f>IF(SER_hh_emih!O4=0,0,SER_hh_emih!O4/SER_summary!O$26)</f>
        <v>29.442911174762219</v>
      </c>
      <c r="P4" s="131">
        <f>IF(SER_hh_emih!P4=0,0,SER_hh_emih!P4/SER_summary!P$26)</f>
        <v>24.511149590900878</v>
      </c>
      <c r="Q4" s="131">
        <f>IF(SER_hh_emih!Q4=0,0,SER_hh_emih!Q4/SER_summary!Q$26)</f>
        <v>25.599796084103346</v>
      </c>
      <c r="R4" s="131">
        <f>IF(SER_hh_emih!R4=0,0,SER_hh_emih!R4/SER_summary!R$26)</f>
        <v>24.665105765712838</v>
      </c>
      <c r="S4" s="131">
        <f>IF(SER_hh_emih!S4=0,0,SER_hh_emih!S4/SER_summary!S$26)</f>
        <v>22.889448546039873</v>
      </c>
      <c r="T4" s="131">
        <f>IF(SER_hh_emih!T4=0,0,SER_hh_emih!T4/SER_summary!T$26)</f>
        <v>21.072646797054524</v>
      </c>
      <c r="U4" s="131">
        <f>IF(SER_hh_emih!U4=0,0,SER_hh_emih!U4/SER_summary!U$26)</f>
        <v>19.838174225693866</v>
      </c>
      <c r="V4" s="131">
        <f>IF(SER_hh_emih!V4=0,0,SER_hh_emih!V4/SER_summary!V$26)</f>
        <v>20.177841018099567</v>
      </c>
      <c r="W4" s="131">
        <f>IF(SER_hh_emih!W4=0,0,SER_hh_emih!W4/SER_summary!W$26)</f>
        <v>21.143097105773858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153.47083215680829</v>
      </c>
      <c r="C5" s="133">
        <f>IF(SER_hh_emih!C5=0,0,SER_hh_emih!C5/SER_summary!C$26)</f>
        <v>119.59921524681084</v>
      </c>
      <c r="D5" s="133">
        <f>IF(SER_hh_emih!D5=0,0,SER_hh_emih!D5/SER_summary!D$26)</f>
        <v>117.22673916829275</v>
      </c>
      <c r="E5" s="133">
        <f>IF(SER_hh_emih!E5=0,0,SER_hh_emih!E5/SER_summary!E$26)</f>
        <v>146.56262714832977</v>
      </c>
      <c r="F5" s="133">
        <f>IF(SER_hh_emih!F5=0,0,SER_hh_emih!F5/SER_summary!F$26)</f>
        <v>133.73823095895094</v>
      </c>
      <c r="G5" s="133">
        <f>IF(SER_hh_emih!G5=0,0,SER_hh_emih!G5/SER_summary!G$26)</f>
        <v>72.757861336012837</v>
      </c>
      <c r="H5" s="133">
        <f>IF(SER_hh_emih!H5=0,0,SER_hh_emih!H5/SER_summary!H$26)</f>
        <v>133.24549666180147</v>
      </c>
      <c r="I5" s="133">
        <f>IF(SER_hh_emih!I5=0,0,SER_hh_emih!I5/SER_summary!I$26)</f>
        <v>110.71756566128417</v>
      </c>
      <c r="J5" s="133">
        <f>IF(SER_hh_emih!J5=0,0,SER_hh_emih!J5/SER_summary!J$26)</f>
        <v>106.99057534750774</v>
      </c>
      <c r="K5" s="133">
        <f>IF(SER_hh_emih!K5=0,0,SER_hh_emih!K5/SER_summary!K$26)</f>
        <v>101.2459526369081</v>
      </c>
      <c r="L5" s="133">
        <f>IF(SER_hh_emih!L5=0,0,SER_hh_emih!L5/SER_summary!L$26)</f>
        <v>113.09225898146376</v>
      </c>
      <c r="M5" s="133">
        <f>IF(SER_hh_emih!M5=0,0,SER_hh_emih!M5/SER_summary!M$26)</f>
        <v>128.85191288323321</v>
      </c>
      <c r="N5" s="133">
        <f>IF(SER_hh_emih!N5=0,0,SER_hh_emih!N5/SER_summary!N$26)</f>
        <v>34.911462505580587</v>
      </c>
      <c r="O5" s="133">
        <f>IF(SER_hh_emih!O5=0,0,SER_hh_emih!O5/SER_summary!O$26)</f>
        <v>71.512239315048745</v>
      </c>
      <c r="P5" s="133">
        <f>IF(SER_hh_emih!P5=0,0,SER_hh_emih!P5/SER_summary!P$26)</f>
        <v>54.780532493563243</v>
      </c>
      <c r="Q5" s="133">
        <f>IF(SER_hh_emih!Q5=0,0,SER_hh_emih!Q5/SER_summary!Q$26)</f>
        <v>63.619611428504221</v>
      </c>
      <c r="R5" s="133">
        <f>IF(SER_hh_emih!R5=0,0,SER_hh_emih!R5/SER_summary!R$26)</f>
        <v>67.293993045949833</v>
      </c>
      <c r="S5" s="133">
        <f>IF(SER_hh_emih!S5=0,0,SER_hh_emih!S5/SER_summary!S$26)</f>
        <v>46.370760824284332</v>
      </c>
      <c r="T5" s="133">
        <f>IF(SER_hh_emih!T5=0,0,SER_hh_emih!T5/SER_summary!T$26)</f>
        <v>55.189170022065284</v>
      </c>
      <c r="U5" s="133">
        <f>IF(SER_hh_emih!U5=0,0,SER_hh_emih!U5/SER_summary!U$26)</f>
        <v>60.733152434150497</v>
      </c>
      <c r="V5" s="133">
        <f>IF(SER_hh_emih!V5=0,0,SER_hh_emih!V5/SER_summary!V$26)</f>
        <v>53.289372056323423</v>
      </c>
      <c r="W5" s="133">
        <f>IF(SER_hh_emih!W5=0,0,SER_hh_emih!W5/SER_summary!W$26)</f>
        <v>57.610210838165877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114.99085822710975</v>
      </c>
      <c r="C7" s="133">
        <f>IF(SER_hh_emih!C7=0,0,SER_hh_emih!C7/SER_summary!C$26)</f>
        <v>137.96537613010659</v>
      </c>
      <c r="D7" s="133">
        <f>IF(SER_hh_emih!D7=0,0,SER_hh_emih!D7/SER_summary!D$26)</f>
        <v>92.611606236869008</v>
      </c>
      <c r="E7" s="133">
        <f>IF(SER_hh_emih!E7=0,0,SER_hh_emih!E7/SER_summary!E$26)</f>
        <v>90.384632872022067</v>
      </c>
      <c r="F7" s="133">
        <f>IF(SER_hh_emih!F7=0,0,SER_hh_emih!F7/SER_summary!F$26)</f>
        <v>106.90063803415059</v>
      </c>
      <c r="G7" s="133">
        <f>IF(SER_hh_emih!G7=0,0,SER_hh_emih!G7/SER_summary!G$26)</f>
        <v>138.4010952435099</v>
      </c>
      <c r="H7" s="133">
        <f>IF(SER_hh_emih!H7=0,0,SER_hh_emih!H7/SER_summary!H$26)</f>
        <v>142.34866631315018</v>
      </c>
      <c r="I7" s="133">
        <f>IF(SER_hh_emih!I7=0,0,SER_hh_emih!I7/SER_summary!I$26)</f>
        <v>0</v>
      </c>
      <c r="J7" s="133">
        <f>IF(SER_hh_emih!J7=0,0,SER_hh_emih!J7/SER_summary!J$26)</f>
        <v>0</v>
      </c>
      <c r="K7" s="133">
        <f>IF(SER_hh_emih!K7=0,0,SER_hh_emih!K7/SER_summary!K$26)</f>
        <v>0</v>
      </c>
      <c r="L7" s="133">
        <f>IF(SER_hh_emih!L7=0,0,SER_hh_emih!L7/SER_summary!L$26)</f>
        <v>0</v>
      </c>
      <c r="M7" s="133">
        <f>IF(SER_hh_emih!M7=0,0,SER_hh_emih!M7/SER_summary!M$26)</f>
        <v>0</v>
      </c>
      <c r="N7" s="133">
        <f>IF(SER_hh_emih!N7=0,0,SER_hh_emih!N7/SER_summary!N$26)</f>
        <v>81.467617747950342</v>
      </c>
      <c r="O7" s="133">
        <f>IF(SER_hh_emih!O7=0,0,SER_hh_emih!O7/SER_summary!O$26)</f>
        <v>31.866778800220676</v>
      </c>
      <c r="P7" s="133">
        <f>IF(SER_hh_emih!P7=0,0,SER_hh_emih!P7/SER_summary!P$26)</f>
        <v>40.701142595224368</v>
      </c>
      <c r="Q7" s="133">
        <f>IF(SER_hh_emih!Q7=0,0,SER_hh_emih!Q7/SER_summary!Q$26)</f>
        <v>50.525203853443458</v>
      </c>
      <c r="R7" s="133">
        <f>IF(SER_hh_emih!R7=0,0,SER_hh_emih!R7/SER_summary!R$26)</f>
        <v>50.480163676470191</v>
      </c>
      <c r="S7" s="133">
        <f>IF(SER_hh_emih!S7=0,0,SER_hh_emih!S7/SER_summary!S$26)</f>
        <v>42.454766219861469</v>
      </c>
      <c r="T7" s="133">
        <f>IF(SER_hh_emih!T7=0,0,SER_hh_emih!T7/SER_summary!T$26)</f>
        <v>45.529575979867303</v>
      </c>
      <c r="U7" s="133">
        <f>IF(SER_hh_emih!U7=0,0,SER_hh_emih!U7/SER_summary!U$26)</f>
        <v>39.412401568415213</v>
      </c>
      <c r="V7" s="133">
        <f>IF(SER_hh_emih!V7=0,0,SER_hh_emih!V7/SER_summary!V$26)</f>
        <v>39.436392426091246</v>
      </c>
      <c r="W7" s="133">
        <f>IF(SER_hh_emih!W7=0,0,SER_hh_emih!W7/SER_summary!W$26)</f>
        <v>45.5902849221129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2.6563169820487289</v>
      </c>
      <c r="S8" s="133">
        <f>IF(SER_hh_emih!S8=0,0,SER_hh_emih!S8/SER_summary!S$26)</f>
        <v>6.3648875616978744</v>
      </c>
      <c r="T8" s="133">
        <f>IF(SER_hh_emih!T8=0,0,SER_hh_emih!T8/SER_summary!T$26)</f>
        <v>8.4354093243074324</v>
      </c>
      <c r="U8" s="133">
        <f>IF(SER_hh_emih!U8=0,0,SER_hh_emih!U8/SER_summary!U$26)</f>
        <v>7.1854644888444614</v>
      </c>
      <c r="V8" s="133">
        <f>IF(SER_hh_emih!V8=0,0,SER_hh_emih!V8/SER_summary!V$26)</f>
        <v>9.5085353481038393</v>
      </c>
      <c r="W8" s="133">
        <f>IF(SER_hh_emih!W8=0,0,SER_hh_emih!W8/SER_summary!W$26)</f>
        <v>7.756991755369838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76.009490019211327</v>
      </c>
      <c r="C9" s="133">
        <f>IF(SER_hh_emih!C9=0,0,SER_hh_emih!C9/SER_summary!C$26)</f>
        <v>79.095100516000187</v>
      </c>
      <c r="D9" s="133">
        <f>IF(SER_hh_emih!D9=0,0,SER_hh_emih!D9/SER_summary!D$26)</f>
        <v>68.03810978932836</v>
      </c>
      <c r="E9" s="133">
        <f>IF(SER_hh_emih!E9=0,0,SER_hh_emih!E9/SER_summary!E$26)</f>
        <v>66.672822155585081</v>
      </c>
      <c r="F9" s="133">
        <f>IF(SER_hh_emih!F9=0,0,SER_hh_emih!F9/SER_summary!F$26)</f>
        <v>81.86020324259438</v>
      </c>
      <c r="G9" s="133">
        <f>IF(SER_hh_emih!G9=0,0,SER_hh_emih!G9/SER_summary!G$26)</f>
        <v>76.526435661815398</v>
      </c>
      <c r="H9" s="133">
        <f>IF(SER_hh_emih!H9=0,0,SER_hh_emih!H9/SER_summary!H$26)</f>
        <v>66.440866948168463</v>
      </c>
      <c r="I9" s="133">
        <f>IF(SER_hh_emih!I9=0,0,SER_hh_emih!I9/SER_summary!I$26)</f>
        <v>51.661631078380189</v>
      </c>
      <c r="J9" s="133">
        <f>IF(SER_hh_emih!J9=0,0,SER_hh_emih!J9/SER_summary!J$26)</f>
        <v>50.390384265628818</v>
      </c>
      <c r="K9" s="133">
        <f>IF(SER_hh_emih!K9=0,0,SER_hh_emih!K9/SER_summary!K$26)</f>
        <v>56.102143719215263</v>
      </c>
      <c r="L9" s="133">
        <f>IF(SER_hh_emih!L9=0,0,SER_hh_emih!L9/SER_summary!L$26)</f>
        <v>59.710832617886275</v>
      </c>
      <c r="M9" s="133">
        <f>IF(SER_hh_emih!M9=0,0,SER_hh_emih!M9/SER_summary!M$26)</f>
        <v>56.500559105711247</v>
      </c>
      <c r="N9" s="133">
        <f>IF(SER_hh_emih!N9=0,0,SER_hh_emih!N9/SER_summary!N$26)</f>
        <v>39.91699303513402</v>
      </c>
      <c r="O9" s="133">
        <f>IF(SER_hh_emih!O9=0,0,SER_hh_emih!O9/SER_summary!O$26)</f>
        <v>38.575819465121846</v>
      </c>
      <c r="P9" s="133">
        <f>IF(SER_hh_emih!P9=0,0,SER_hh_emih!P9/SER_summary!P$26)</f>
        <v>31.544497243296028</v>
      </c>
      <c r="Q9" s="133">
        <f>IF(SER_hh_emih!Q9=0,0,SER_hh_emih!Q9/SER_summary!Q$26)</f>
        <v>33.43193421787403</v>
      </c>
      <c r="R9" s="133">
        <f>IF(SER_hh_emih!R9=0,0,SER_hh_emih!R9/SER_summary!R$26)</f>
        <v>33.266356049471383</v>
      </c>
      <c r="S9" s="133">
        <f>IF(SER_hh_emih!S9=0,0,SER_hh_emih!S9/SER_summary!S$26)</f>
        <v>32.141724035019841</v>
      </c>
      <c r="T9" s="133">
        <f>IF(SER_hh_emih!T9=0,0,SER_hh_emih!T9/SER_summary!T$26)</f>
        <v>30.074013417100257</v>
      </c>
      <c r="U9" s="133">
        <f>IF(SER_hh_emih!U9=0,0,SER_hh_emih!U9/SER_summary!U$26)</f>
        <v>28.796746322772641</v>
      </c>
      <c r="V9" s="133">
        <f>IF(SER_hh_emih!V9=0,0,SER_hh_emih!V9/SER_summary!V$26)</f>
        <v>29.305475570071835</v>
      </c>
      <c r="W9" s="133">
        <f>IF(SER_hh_emih!W9=0,0,SER_hh_emih!W9/SER_summary!W$26)</f>
        <v>30.325240076461487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12.333305656401485</v>
      </c>
      <c r="O10" s="133">
        <f>IF(SER_hh_emih!O10=0,0,SER_hh_emih!O10/SER_summary!O$26)</f>
        <v>10.470891013693066</v>
      </c>
      <c r="P10" s="133">
        <f>IF(SER_hh_emih!P10=0,0,SER_hh_emih!P10/SER_summary!P$26)</f>
        <v>7.0231428237631546</v>
      </c>
      <c r="Q10" s="133">
        <f>IF(SER_hh_emih!Q10=0,0,SER_hh_emih!Q10/SER_summary!Q$26)</f>
        <v>13.843869277500403</v>
      </c>
      <c r="R10" s="133">
        <f>IF(SER_hh_emih!R10=0,0,SER_hh_emih!R10/SER_summary!R$26)</f>
        <v>8.5266288281505904</v>
      </c>
      <c r="S10" s="133">
        <f>IF(SER_hh_emih!S10=0,0,SER_hh_emih!S10/SER_summary!S$26)</f>
        <v>10.613423604028535</v>
      </c>
      <c r="T10" s="133">
        <f>IF(SER_hh_emih!T10=0,0,SER_hh_emih!T10/SER_summary!T$26)</f>
        <v>13.844389337771188</v>
      </c>
      <c r="U10" s="133">
        <f>IF(SER_hh_emih!U10=0,0,SER_hh_emih!U10/SER_summary!U$26)</f>
        <v>15.984987248083355</v>
      </c>
      <c r="V10" s="133">
        <f>IF(SER_hh_emih!V10=0,0,SER_hh_emih!V10/SER_summary!V$26)</f>
        <v>17.039379359070971</v>
      </c>
      <c r="W10" s="133">
        <f>IF(SER_hh_emih!W10=0,0,SER_hh_emih!W10/SER_summary!W$26)</f>
        <v>16.0902855777314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1.1041854282791983E-2</v>
      </c>
      <c r="C16" s="131">
        <f>IF(SER_hh_emih!C16=0,0,SER_hh_emih!C16/SER_summary!C$26)</f>
        <v>1.0907324521343286E-2</v>
      </c>
      <c r="D16" s="131">
        <f>IF(SER_hh_emih!D16=0,0,SER_hh_emih!D16/SER_summary!D$26)</f>
        <v>1.2757497602930682E-2</v>
      </c>
      <c r="E16" s="131">
        <f>IF(SER_hh_emih!E16=0,0,SER_hh_emih!E16/SER_summary!E$26)</f>
        <v>1.552657677272558E-2</v>
      </c>
      <c r="F16" s="131">
        <f>IF(SER_hh_emih!F16=0,0,SER_hh_emih!F16/SER_summary!F$26)</f>
        <v>1.1751409675908349E-2</v>
      </c>
      <c r="G16" s="131">
        <f>IF(SER_hh_emih!G16=0,0,SER_hh_emih!G16/SER_summary!G$26)</f>
        <v>1.2078582570904486E-2</v>
      </c>
      <c r="H16" s="131">
        <f>IF(SER_hh_emih!H16=0,0,SER_hh_emih!H16/SER_summary!H$26)</f>
        <v>1.4303698039851973E-2</v>
      </c>
      <c r="I16" s="131">
        <f>IF(SER_hh_emih!I16=0,0,SER_hh_emih!I16/SER_summary!I$26)</f>
        <v>1.6384974320262844E-2</v>
      </c>
      <c r="J16" s="131">
        <f>IF(SER_hh_emih!J16=0,0,SER_hh_emih!J16/SER_summary!J$26)</f>
        <v>1.371532980010798E-2</v>
      </c>
      <c r="K16" s="131">
        <f>IF(SER_hh_emih!K16=0,0,SER_hh_emih!K16/SER_summary!K$26)</f>
        <v>1.4461849156817495E-2</v>
      </c>
      <c r="L16" s="131">
        <f>IF(SER_hh_emih!L16=0,0,SER_hh_emih!L16/SER_summary!L$26)</f>
        <v>1.6828983905938354E-2</v>
      </c>
      <c r="M16" s="131">
        <f>IF(SER_hh_emih!M16=0,0,SER_hh_emih!M16/SER_summary!M$26)</f>
        <v>1.8382164366583326E-2</v>
      </c>
      <c r="N16" s="131">
        <f>IF(SER_hh_emih!N16=0,0,SER_hh_emih!N16/SER_summary!N$26)</f>
        <v>2.6002141911104681E-2</v>
      </c>
      <c r="O16" s="131">
        <f>IF(SER_hh_emih!O16=0,0,SER_hh_emih!O16/SER_summary!O$26)</f>
        <v>2.3465284527080937E-2</v>
      </c>
      <c r="P16" s="131">
        <f>IF(SER_hh_emih!P16=0,0,SER_hh_emih!P16/SER_summary!P$26)</f>
        <v>2.1685060061653653E-2</v>
      </c>
      <c r="Q16" s="131">
        <f>IF(SER_hh_emih!Q16=0,0,SER_hh_emih!Q16/SER_summary!Q$26)</f>
        <v>3.3690533912165678E-2</v>
      </c>
      <c r="R16" s="131">
        <f>IF(SER_hh_emih!R16=0,0,SER_hh_emih!R16/SER_summary!R$26)</f>
        <v>2.4677321704140498E-2</v>
      </c>
      <c r="S16" s="131">
        <f>IF(SER_hh_emih!S16=0,0,SER_hh_emih!S16/SER_summary!S$26)</f>
        <v>3.352298032993932E-2</v>
      </c>
      <c r="T16" s="131">
        <f>IF(SER_hh_emih!T16=0,0,SER_hh_emih!T16/SER_summary!T$26)</f>
        <v>3.3379193489151311E-2</v>
      </c>
      <c r="U16" s="131">
        <f>IF(SER_hh_emih!U16=0,0,SER_hh_emih!U16/SER_summary!U$26)</f>
        <v>4.0986949602889684E-2</v>
      </c>
      <c r="V16" s="131">
        <f>IF(SER_hh_emih!V16=0,0,SER_hh_emih!V16/SER_summary!V$26)</f>
        <v>3.2431370511462172E-2</v>
      </c>
      <c r="W16" s="131">
        <f>IF(SER_hh_emih!W16=0,0,SER_hh_emih!W16/SER_summary!W$26)</f>
        <v>4.1834552356835635E-2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4.0022178096486929</v>
      </c>
      <c r="C17" s="133">
        <f>IF(SER_hh_emih!C17=0,0,SER_hh_emih!C17/SER_summary!C$26)</f>
        <v>3.6473555069797672</v>
      </c>
      <c r="D17" s="133">
        <f>IF(SER_hh_emih!D17=0,0,SER_hh_emih!D17/SER_summary!D$26)</f>
        <v>3.8418029561083324</v>
      </c>
      <c r="E17" s="133">
        <f>IF(SER_hh_emih!E17=0,0,SER_hh_emih!E17/SER_summary!E$26)</f>
        <v>4.3994286238464113</v>
      </c>
      <c r="F17" s="133">
        <f>IF(SER_hh_emih!F17=0,0,SER_hh_emih!F17/SER_summary!F$26)</f>
        <v>3.518266284189397</v>
      </c>
      <c r="G17" s="133">
        <f>IF(SER_hh_emih!G17=0,0,SER_hh_emih!G17/SER_summary!G$26)</f>
        <v>3.517423880758531</v>
      </c>
      <c r="H17" s="133">
        <f>IF(SER_hh_emih!H17=0,0,SER_hh_emih!H17/SER_summary!H$26)</f>
        <v>3.8959948934359168</v>
      </c>
      <c r="I17" s="133">
        <f>IF(SER_hh_emih!I17=0,0,SER_hh_emih!I17/SER_summary!I$26)</f>
        <v>4.2571027270520156</v>
      </c>
      <c r="J17" s="133">
        <f>IF(SER_hh_emih!J17=0,0,SER_hh_emih!J17/SER_summary!J$26)</f>
        <v>3.6572358420049129</v>
      </c>
      <c r="K17" s="133">
        <f>IF(SER_hh_emih!K17=0,0,SER_hh_emih!K17/SER_summary!K$26)</f>
        <v>3.7044705440330721</v>
      </c>
      <c r="L17" s="133">
        <f>IF(SER_hh_emih!L17=0,0,SER_hh_emih!L17/SER_summary!L$26)</f>
        <v>3.9068824057997187</v>
      </c>
      <c r="M17" s="133">
        <f>IF(SER_hh_emih!M17=0,0,SER_hh_emih!M17/SER_summary!M$26)</f>
        <v>3.8686143034932141</v>
      </c>
      <c r="N17" s="133">
        <f>IF(SER_hh_emih!N17=0,0,SER_hh_emih!N17/SER_summary!N$26)</f>
        <v>4.9285587887591706</v>
      </c>
      <c r="O17" s="133">
        <f>IF(SER_hh_emih!O17=0,0,SER_hh_emih!O17/SER_summary!O$26)</f>
        <v>4.0551371930376998</v>
      </c>
      <c r="P17" s="133">
        <f>IF(SER_hh_emih!P17=0,0,SER_hh_emih!P17/SER_summary!P$26)</f>
        <v>3.6012767015092519</v>
      </c>
      <c r="Q17" s="133">
        <f>IF(SER_hh_emih!Q17=0,0,SER_hh_emih!Q17/SER_summary!Q$26)</f>
        <v>5.1991792387547529</v>
      </c>
      <c r="R17" s="133">
        <f>IF(SER_hh_emih!R17=0,0,SER_hh_emih!R17/SER_summary!R$26)</f>
        <v>3.6157248783825029</v>
      </c>
      <c r="S17" s="133">
        <f>IF(SER_hh_emih!S17=0,0,SER_hh_emih!S17/SER_summary!S$26)</f>
        <v>4.2856208324643319</v>
      </c>
      <c r="T17" s="133">
        <f>IF(SER_hh_emih!T17=0,0,SER_hh_emih!T17/SER_summary!T$26)</f>
        <v>4.0278552125214508</v>
      </c>
      <c r="U17" s="133">
        <f>IF(SER_hh_emih!U17=0,0,SER_hh_emih!U17/SER_summary!U$26)</f>
        <v>4.2102116649689103</v>
      </c>
      <c r="V17" s="133">
        <f>IF(SER_hh_emih!V17=0,0,SER_hh_emih!V17/SER_summary!V$26)</f>
        <v>2.9274303925393723</v>
      </c>
      <c r="W17" s="133">
        <f>IF(SER_hh_emih!W17=0,0,SER_hh_emih!W17/SER_summary!W$26)</f>
        <v>3.6702635857563197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2.8948688145773609</v>
      </c>
      <c r="C19" s="131">
        <f>IF(SER_hh_emih!C19=0,0,SER_hh_emih!C19/SER_summary!C$26)</f>
        <v>2.8827903069122751</v>
      </c>
      <c r="D19" s="131">
        <f>IF(SER_hh_emih!D19=0,0,SER_hh_emih!D19/SER_summary!D$26)</f>
        <v>2.9636701015250342</v>
      </c>
      <c r="E19" s="131">
        <f>IF(SER_hh_emih!E19=0,0,SER_hh_emih!E19/SER_summary!E$26)</f>
        <v>2.9856468608444802</v>
      </c>
      <c r="F19" s="131">
        <f>IF(SER_hh_emih!F19=0,0,SER_hh_emih!F19/SER_summary!F$26)</f>
        <v>3.10701338735704</v>
      </c>
      <c r="G19" s="131">
        <f>IF(SER_hh_emih!G19=0,0,SER_hh_emih!G19/SER_summary!G$26)</f>
        <v>3.010295844189935</v>
      </c>
      <c r="H19" s="131">
        <f>IF(SER_hh_emih!H19=0,0,SER_hh_emih!H19/SER_summary!H$26)</f>
        <v>2.9892347572058782</v>
      </c>
      <c r="I19" s="131">
        <f>IF(SER_hh_emih!I19=0,0,SER_hh_emih!I19/SER_summary!I$26)</f>
        <v>3.0867948239574674</v>
      </c>
      <c r="J19" s="131">
        <f>IF(SER_hh_emih!J19=0,0,SER_hh_emih!J19/SER_summary!J$26)</f>
        <v>3.2532293883883292</v>
      </c>
      <c r="K19" s="131">
        <f>IF(SER_hh_emih!K19=0,0,SER_hh_emih!K19/SER_summary!K$26)</f>
        <v>3.481413284279494</v>
      </c>
      <c r="L19" s="131">
        <f>IF(SER_hh_emih!L19=0,0,SER_hh_emih!L19/SER_summary!L$26)</f>
        <v>3.5722396378295929</v>
      </c>
      <c r="M19" s="131">
        <f>IF(SER_hh_emih!M19=0,0,SER_hh_emih!M19/SER_summary!M$26)</f>
        <v>3.5764003885710665</v>
      </c>
      <c r="N19" s="131">
        <f>IF(SER_hh_emih!N19=0,0,SER_hh_emih!N19/SER_summary!N$26)</f>
        <v>3.5425681293792466</v>
      </c>
      <c r="O19" s="131">
        <f>IF(SER_hh_emih!O19=0,0,SER_hh_emih!O19/SER_summary!O$26)</f>
        <v>3.814833037686685</v>
      </c>
      <c r="P19" s="131">
        <f>IF(SER_hh_emih!P19=0,0,SER_hh_emih!P19/SER_summary!P$26)</f>
        <v>3.7534261336030448</v>
      </c>
      <c r="Q19" s="131">
        <f>IF(SER_hh_emih!Q19=0,0,SER_hh_emih!Q19/SER_summary!Q$26)</f>
        <v>3.7462675799642211</v>
      </c>
      <c r="R19" s="131">
        <f>IF(SER_hh_emih!R19=0,0,SER_hh_emih!R19/SER_summary!R$26)</f>
        <v>3.6992247163049088</v>
      </c>
      <c r="S19" s="131">
        <f>IF(SER_hh_emih!S19=0,0,SER_hh_emih!S19/SER_summary!S$26)</f>
        <v>3.6307097482540072</v>
      </c>
      <c r="T19" s="131">
        <f>IF(SER_hh_emih!T19=0,0,SER_hh_emih!T19/SER_summary!T$26)</f>
        <v>3.6416469770394273</v>
      </c>
      <c r="U19" s="131">
        <f>IF(SER_hh_emih!U19=0,0,SER_hh_emih!U19/SER_summary!U$26)</f>
        <v>3.4623154346738358</v>
      </c>
      <c r="V19" s="131">
        <f>IF(SER_hh_emih!V19=0,0,SER_hh_emih!V19/SER_summary!V$26)</f>
        <v>3.1326632324951671</v>
      </c>
      <c r="W19" s="131">
        <f>IF(SER_hh_emih!W19=0,0,SER_hh_emih!W19/SER_summary!W$26)</f>
        <v>3.0533868187881628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0</v>
      </c>
      <c r="C22" s="133">
        <f>IF(SER_hh_emih!C22=0,0,SER_hh_emih!C22/SER_summary!C$26)</f>
        <v>0</v>
      </c>
      <c r="D22" s="133">
        <f>IF(SER_hh_emih!D22=0,0,SER_hh_emih!D22/SER_summary!D$26)</f>
        <v>0</v>
      </c>
      <c r="E22" s="133">
        <f>IF(SER_hh_emih!E22=0,0,SER_hh_emih!E22/SER_summary!E$26)</f>
        <v>0</v>
      </c>
      <c r="F22" s="133">
        <f>IF(SER_hh_emih!F22=0,0,SER_hh_emih!F22/SER_summary!F$26)</f>
        <v>0</v>
      </c>
      <c r="G22" s="133">
        <f>IF(SER_hh_emih!G22=0,0,SER_hh_emih!G22/SER_summary!G$26)</f>
        <v>0</v>
      </c>
      <c r="H22" s="133">
        <f>IF(SER_hh_emih!H22=0,0,SER_hh_emih!H22/SER_summary!H$26)</f>
        <v>0</v>
      </c>
      <c r="I22" s="133">
        <f>IF(SER_hh_emih!I22=0,0,SER_hh_emih!I22/SER_summary!I$26)</f>
        <v>0</v>
      </c>
      <c r="J22" s="133">
        <f>IF(SER_hh_emih!J22=0,0,SER_hh_emih!J22/SER_summary!J$26)</f>
        <v>0</v>
      </c>
      <c r="K22" s="133">
        <f>IF(SER_hh_emih!K22=0,0,SER_hh_emih!K22/SER_summary!K$26)</f>
        <v>0</v>
      </c>
      <c r="L22" s="133">
        <f>IF(SER_hh_emih!L22=0,0,SER_hh_emih!L22/SER_summary!L$26)</f>
        <v>0</v>
      </c>
      <c r="M22" s="133">
        <f>IF(SER_hh_emih!M22=0,0,SER_hh_emih!M22/SER_summary!M$26)</f>
        <v>0</v>
      </c>
      <c r="N22" s="133">
        <f>IF(SER_hh_emih!N22=0,0,SER_hh_emih!N22/SER_summary!N$26)</f>
        <v>0</v>
      </c>
      <c r="O22" s="133">
        <f>IF(SER_hh_emih!O22=0,0,SER_hh_emih!O22/SER_summary!O$26)</f>
        <v>0</v>
      </c>
      <c r="P22" s="133">
        <f>IF(SER_hh_emih!P22=0,0,SER_hh_emih!P22/SER_summary!P$26)</f>
        <v>0</v>
      </c>
      <c r="Q22" s="133">
        <f>IF(SER_hh_emih!Q22=0,0,SER_hh_emih!Q22/SER_summary!Q$26)</f>
        <v>0</v>
      </c>
      <c r="R22" s="133">
        <f>IF(SER_hh_emih!R22=0,0,SER_hh_emih!R22/SER_summary!R$26)</f>
        <v>0</v>
      </c>
      <c r="S22" s="133">
        <f>IF(SER_hh_emih!S22=0,0,SER_hh_emih!S22/SER_summary!S$26)</f>
        <v>0</v>
      </c>
      <c r="T22" s="133">
        <f>IF(SER_hh_emih!T22=0,0,SER_hh_emih!T22/SER_summary!T$26)</f>
        <v>0</v>
      </c>
      <c r="U22" s="133">
        <f>IF(SER_hh_emih!U22=0,0,SER_hh_emih!U22/SER_summary!U$26)</f>
        <v>0</v>
      </c>
      <c r="V22" s="133">
        <f>IF(SER_hh_emih!V22=0,0,SER_hh_emih!V22/SER_summary!V$26)</f>
        <v>0</v>
      </c>
      <c r="W22" s="133">
        <f>IF(SER_hh_emih!W22=0,0,SER_hh_emih!W22/SER_summary!W$26)</f>
        <v>0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7.0457137726974359</v>
      </c>
      <c r="C23" s="133">
        <f>IF(SER_hh_emih!C23=0,0,SER_hh_emih!C23/SER_summary!C$26)</f>
        <v>7.0155505604555435</v>
      </c>
      <c r="D23" s="133">
        <f>IF(SER_hh_emih!D23=0,0,SER_hh_emih!D23/SER_summary!D$26)</f>
        <v>7.0214412103096677</v>
      </c>
      <c r="E23" s="133">
        <f>IF(SER_hh_emih!E23=0,0,SER_hh_emih!E23/SER_summary!E$26)</f>
        <v>6.9795501469724712</v>
      </c>
      <c r="F23" s="133">
        <f>IF(SER_hh_emih!F23=0,0,SER_hh_emih!F23/SER_summary!F$26)</f>
        <v>7.0548610337694644</v>
      </c>
      <c r="G23" s="133">
        <f>IF(SER_hh_emih!G23=0,0,SER_hh_emih!G23/SER_summary!G$26)</f>
        <v>6.747132737976937</v>
      </c>
      <c r="H23" s="133">
        <f>IF(SER_hh_emih!H23=0,0,SER_hh_emih!H23/SER_summary!H$26)</f>
        <v>6.5260142569619566</v>
      </c>
      <c r="I23" s="133">
        <f>IF(SER_hh_emih!I23=0,0,SER_hh_emih!I23/SER_summary!I$26)</f>
        <v>6.4167669236866827</v>
      </c>
      <c r="J23" s="133">
        <f>IF(SER_hh_emih!J23=0,0,SER_hh_emih!J23/SER_summary!J$26)</f>
        <v>6.49602327244589</v>
      </c>
      <c r="K23" s="133">
        <f>IF(SER_hh_emih!K23=0,0,SER_hh_emih!K23/SER_summary!K$26)</f>
        <v>6.6314588835178476</v>
      </c>
      <c r="L23" s="133">
        <f>IF(SER_hh_emih!L23=0,0,SER_hh_emih!L23/SER_summary!L$26)</f>
        <v>6.5431849563648123</v>
      </c>
      <c r="M23" s="133">
        <f>IF(SER_hh_emih!M23=0,0,SER_hh_emih!M23/SER_summary!M$26)</f>
        <v>6.312683255062649</v>
      </c>
      <c r="N23" s="133">
        <f>IF(SER_hh_emih!N23=0,0,SER_hh_emih!N23/SER_summary!N$26)</f>
        <v>6.1303869523953951</v>
      </c>
      <c r="O23" s="133">
        <f>IF(SER_hh_emih!O23=0,0,SER_hh_emih!O23/SER_summary!O$26)</f>
        <v>6.3331747829222618</v>
      </c>
      <c r="P23" s="133">
        <f>IF(SER_hh_emih!P23=0,0,SER_hh_emih!P23/SER_summary!P$26)</f>
        <v>6.0320554790927803</v>
      </c>
      <c r="Q23" s="133">
        <f>IF(SER_hh_emih!Q23=0,0,SER_hh_emih!Q23/SER_summary!Q$26)</f>
        <v>5.9670931060552137</v>
      </c>
      <c r="R23" s="133">
        <f>IF(SER_hh_emih!R23=0,0,SER_hh_emih!R23/SER_summary!R$26)</f>
        <v>5.9178718593224344</v>
      </c>
      <c r="S23" s="133">
        <f>IF(SER_hh_emih!S23=0,0,SER_hh_emih!S23/SER_summary!S$26)</f>
        <v>5.7900427983679981</v>
      </c>
      <c r="T23" s="133">
        <f>IF(SER_hh_emih!T23=0,0,SER_hh_emih!T23/SER_summary!T$26)</f>
        <v>5.7553504417036336</v>
      </c>
      <c r="U23" s="133">
        <f>IF(SER_hh_emih!U23=0,0,SER_hh_emih!U23/SER_summary!U$26)</f>
        <v>5.4734956422185821</v>
      </c>
      <c r="V23" s="133">
        <f>IF(SER_hh_emih!V23=0,0,SER_hh_emih!V23/SER_summary!V$26)</f>
        <v>4.9355907275476127</v>
      </c>
      <c r="W23" s="133">
        <f>IF(SER_hh_emih!W23=0,0,SER_hh_emih!W23/SER_summary!W$26)</f>
        <v>4.8527305401226952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1.8273223222391759</v>
      </c>
      <c r="O24" s="133">
        <f>IF(SER_hh_emih!O24=0,0,SER_hh_emih!O24/SER_summary!O$26)</f>
        <v>1.3532690687726809</v>
      </c>
      <c r="P24" s="133">
        <f>IF(SER_hh_emih!P24=0,0,SER_hh_emih!P24/SER_summary!P$26)</f>
        <v>1.0185129372778992</v>
      </c>
      <c r="Q24" s="133">
        <f>IF(SER_hh_emih!Q24=0,0,SER_hh_emih!Q24/SER_summary!Q$26)</f>
        <v>1.6371412325236523</v>
      </c>
      <c r="R24" s="133">
        <f>IF(SER_hh_emih!R24=0,0,SER_hh_emih!R24/SER_summary!R$26)</f>
        <v>1.1237386254616373</v>
      </c>
      <c r="S24" s="133">
        <f>IF(SER_hh_emih!S24=0,0,SER_hh_emih!S24/SER_summary!S$26)</f>
        <v>1.3810887413953112</v>
      </c>
      <c r="T24" s="133">
        <f>IF(SER_hh_emih!T24=0,0,SER_hh_emih!T24/SER_summary!T$26)</f>
        <v>1.9053915312778884</v>
      </c>
      <c r="U24" s="133">
        <f>IF(SER_hh_emih!U24=0,0,SER_hh_emih!U24/SER_summary!U$26)</f>
        <v>2.0063411474815536</v>
      </c>
      <c r="V24" s="133">
        <f>IF(SER_hh_emih!V24=0,0,SER_hh_emih!V24/SER_summary!V$26)</f>
        <v>2.1591908899902346</v>
      </c>
      <c r="W24" s="133">
        <f>IF(SER_hh_emih!W24=0,0,SER_hh_emih!W24/SER_summary!W$26)</f>
        <v>2.0040234759601221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2.1784634952019402</v>
      </c>
      <c r="C29" s="131">
        <f>IF(SER_hh_emih!C29=0,0,SER_hh_emih!C29/SER_summary!C$26)</f>
        <v>2.2257760818687404</v>
      </c>
      <c r="D29" s="131">
        <f>IF(SER_hh_emih!D29=0,0,SER_hh_emih!D29/SER_summary!D$26)</f>
        <v>2.5235966585617855</v>
      </c>
      <c r="E29" s="131">
        <f>IF(SER_hh_emih!E29=0,0,SER_hh_emih!E29/SER_summary!E$26)</f>
        <v>2.7511491724578359</v>
      </c>
      <c r="F29" s="131">
        <f>IF(SER_hh_emih!F29=0,0,SER_hh_emih!F29/SER_summary!F$26)</f>
        <v>2.7334252983172145</v>
      </c>
      <c r="G29" s="131">
        <f>IF(SER_hh_emih!G29=0,0,SER_hh_emih!G29/SER_summary!G$26)</f>
        <v>3.0719984960415636</v>
      </c>
      <c r="H29" s="131">
        <f>IF(SER_hh_emih!H29=0,0,SER_hh_emih!H29/SER_summary!H$26)</f>
        <v>3.3524022110074116</v>
      </c>
      <c r="I29" s="131">
        <f>IF(SER_hh_emih!I29=0,0,SER_hh_emih!I29/SER_summary!I$26)</f>
        <v>3.5168213814440761</v>
      </c>
      <c r="J29" s="131">
        <f>IF(SER_hh_emih!J29=0,0,SER_hh_emih!J29/SER_summary!J$26)</f>
        <v>3.6268614358892379</v>
      </c>
      <c r="K29" s="131">
        <f>IF(SER_hh_emih!K29=0,0,SER_hh_emih!K29/SER_summary!K$26)</f>
        <v>3.7677902687123064</v>
      </c>
      <c r="L29" s="131">
        <f>IF(SER_hh_emih!L29=0,0,SER_hh_emih!L29/SER_summary!L$26)</f>
        <v>3.9978776733758763</v>
      </c>
      <c r="M29" s="131">
        <f>IF(SER_hh_emih!M29=0,0,SER_hh_emih!M29/SER_summary!M$26)</f>
        <v>4.1377857539779939</v>
      </c>
      <c r="N29" s="131">
        <f>IF(SER_hh_emih!N29=0,0,SER_hh_emih!N29/SER_summary!N$26)</f>
        <v>4.2968129786565292</v>
      </c>
      <c r="O29" s="131">
        <f>IF(SER_hh_emih!O29=0,0,SER_hh_emih!O29/SER_summary!O$26)</f>
        <v>4.3228691034627591</v>
      </c>
      <c r="P29" s="131">
        <f>IF(SER_hh_emih!P29=0,0,SER_hh_emih!P29/SER_summary!P$26)</f>
        <v>4.2491905393346165</v>
      </c>
      <c r="Q29" s="131">
        <f>IF(SER_hh_emih!Q29=0,0,SER_hh_emih!Q29/SER_summary!Q$26)</f>
        <v>4.187131138909387</v>
      </c>
      <c r="R29" s="131">
        <f>IF(SER_hh_emih!R29=0,0,SER_hh_emih!R29/SER_summary!R$26)</f>
        <v>3.9692001947042996</v>
      </c>
      <c r="S29" s="131">
        <f>IF(SER_hh_emih!S29=0,0,SER_hh_emih!S29/SER_summary!S$26)</f>
        <v>3.8238234026075464</v>
      </c>
      <c r="T29" s="131">
        <f>IF(SER_hh_emih!T29=0,0,SER_hh_emih!T29/SER_summary!T$26)</f>
        <v>3.8494713536411842</v>
      </c>
      <c r="U29" s="131">
        <f>IF(SER_hh_emih!U29=0,0,SER_hh_emih!U29/SER_summary!U$26)</f>
        <v>3.7757592859833817</v>
      </c>
      <c r="V29" s="131">
        <f>IF(SER_hh_emih!V29=0,0,SER_hh_emih!V29/SER_summary!V$26)</f>
        <v>3.7194721189086559</v>
      </c>
      <c r="W29" s="131">
        <f>IF(SER_hh_emih!W29=0,0,SER_hh_emih!W29/SER_summary!W$26)</f>
        <v>3.7934724148480625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8.9140567987339328</v>
      </c>
      <c r="C30" s="133">
        <f>IF(SER_hh_emih!C30=0,0,SER_hh_emih!C30/SER_summary!C$26)</f>
        <v>7.6242851906203395</v>
      </c>
      <c r="D30" s="133">
        <f>IF(SER_hh_emih!D30=0,0,SER_hh_emih!D30/SER_summary!D$26)</f>
        <v>8.9093587798457161</v>
      </c>
      <c r="E30" s="133">
        <f>IF(SER_hh_emih!E30=0,0,SER_hh_emih!E30/SER_summary!E$26)</f>
        <v>9.1122186792535</v>
      </c>
      <c r="F30" s="133">
        <f>IF(SER_hh_emih!F30=0,0,SER_hh_emih!F30/SER_summary!F$26)</f>
        <v>6.3611275595629246</v>
      </c>
      <c r="G30" s="133">
        <f>IF(SER_hh_emih!G30=0,0,SER_hh_emih!G30/SER_summary!G$26)</f>
        <v>7.8357627821988372</v>
      </c>
      <c r="H30" s="133">
        <f>IF(SER_hh_emih!H30=0,0,SER_hh_emih!H30/SER_summary!H$26)</f>
        <v>7.9015738660911943</v>
      </c>
      <c r="I30" s="133">
        <f>IF(SER_hh_emih!I30=0,0,SER_hh_emih!I30/SER_summary!I$26)</f>
        <v>8.2034358471297892</v>
      </c>
      <c r="J30" s="133">
        <f>IF(SER_hh_emih!J30=0,0,SER_hh_emih!J30/SER_summary!J$26)</f>
        <v>7.2003840172902374</v>
      </c>
      <c r="K30" s="133">
        <f>IF(SER_hh_emih!K30=0,0,SER_hh_emih!K30/SER_summary!K$26)</f>
        <v>7.4968932000690822</v>
      </c>
      <c r="L30" s="133">
        <f>IF(SER_hh_emih!L30=0,0,SER_hh_emih!L30/SER_summary!L$26)</f>
        <v>8.5800737513621392</v>
      </c>
      <c r="M30" s="133">
        <f>IF(SER_hh_emih!M30=0,0,SER_hh_emih!M30/SER_summary!M$26)</f>
        <v>7.8483675607361265</v>
      </c>
      <c r="N30" s="133">
        <f>IF(SER_hh_emih!N30=0,0,SER_hh_emih!N30/SER_summary!N$26)</f>
        <v>8.0636368717870113</v>
      </c>
      <c r="O30" s="133">
        <f>IF(SER_hh_emih!O30=0,0,SER_hh_emih!O30/SER_summary!O$26)</f>
        <v>6.6064868703660906</v>
      </c>
      <c r="P30" s="133">
        <f>IF(SER_hh_emih!P30=0,0,SER_hh_emih!P30/SER_summary!P$26)</f>
        <v>7.3225943096417696</v>
      </c>
      <c r="Q30" s="133">
        <f>IF(SER_hh_emih!Q30=0,0,SER_hh_emih!Q30/SER_summary!Q$26)</f>
        <v>8.6274944053141134</v>
      </c>
      <c r="R30" s="133">
        <f>IF(SER_hh_emih!R30=0,0,SER_hh_emih!R30/SER_summary!R$26)</f>
        <v>7.1144804991633155</v>
      </c>
      <c r="S30" s="133">
        <f>IF(SER_hh_emih!S30=0,0,SER_hh_emih!S30/SER_summary!S$26)</f>
        <v>6.178709360500906</v>
      </c>
      <c r="T30" s="133">
        <f>IF(SER_hh_emih!T30=0,0,SER_hh_emih!T30/SER_summary!T$26)</f>
        <v>7.5919693103713595</v>
      </c>
      <c r="U30" s="133">
        <f>IF(SER_hh_emih!U30=0,0,SER_hh_emih!U30/SER_summary!U$26)</f>
        <v>6.5848449022228435</v>
      </c>
      <c r="V30" s="133">
        <f>IF(SER_hh_emih!V30=0,0,SER_hh_emih!V30/SER_summary!V$26)</f>
        <v>9.051994080786903</v>
      </c>
      <c r="W30" s="133">
        <f>IF(SER_hh_emih!W30=0,0,SER_hh_emih!W30/SER_summary!W$26)</f>
        <v>6.1501829087792048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5.2850700349600102</v>
      </c>
      <c r="C31" s="133">
        <f>IF(SER_hh_emih!C31=0,0,SER_hh_emih!C31/SER_summary!C$26)</f>
        <v>7.7931246791768505</v>
      </c>
      <c r="D31" s="133">
        <f>IF(SER_hh_emih!D31=0,0,SER_hh_emih!D31/SER_summary!D$26)</f>
        <v>6.4645849369712112</v>
      </c>
      <c r="E31" s="133">
        <f>IF(SER_hh_emih!E31=0,0,SER_hh_emih!E31/SER_summary!E$26)</f>
        <v>6.7908818802783575</v>
      </c>
      <c r="F31" s="133">
        <f>IF(SER_hh_emih!F31=0,0,SER_hh_emih!F31/SER_summary!F$26)</f>
        <v>7.2942996391222934</v>
      </c>
      <c r="G31" s="133">
        <f>IF(SER_hh_emih!G31=0,0,SER_hh_emih!G31/SER_summary!G$26)</f>
        <v>6.9699815321135423</v>
      </c>
      <c r="H31" s="133">
        <f>IF(SER_hh_emih!H31=0,0,SER_hh_emih!H31/SER_summary!H$26)</f>
        <v>7.0185795185349535</v>
      </c>
      <c r="I31" s="133">
        <f>IF(SER_hh_emih!I31=0,0,SER_hh_emih!I31/SER_summary!I$26)</f>
        <v>6.8628622143044709</v>
      </c>
      <c r="J31" s="133">
        <f>IF(SER_hh_emih!J31=0,0,SER_hh_emih!J31/SER_summary!J$26)</f>
        <v>6.8743642330967152</v>
      </c>
      <c r="K31" s="133">
        <f>IF(SER_hh_emih!K31=0,0,SER_hh_emih!K31/SER_summary!K$26)</f>
        <v>6.8186568171396615</v>
      </c>
      <c r="L31" s="133">
        <f>IF(SER_hh_emih!L31=0,0,SER_hh_emih!L31/SER_summary!L$26)</f>
        <v>6.8191396891596439</v>
      </c>
      <c r="M31" s="133">
        <f>IF(SER_hh_emih!M31=0,0,SER_hh_emih!M31/SER_summary!M$26)</f>
        <v>6.8873325709917728</v>
      </c>
      <c r="N31" s="133">
        <f>IF(SER_hh_emih!N31=0,0,SER_hh_emih!N31/SER_summary!N$26)</f>
        <v>6.8906800496683092</v>
      </c>
      <c r="O31" s="133">
        <f>IF(SER_hh_emih!O31=0,0,SER_hh_emih!O31/SER_summary!O$26)</f>
        <v>6.9243476599528977</v>
      </c>
      <c r="P31" s="133">
        <f>IF(SER_hh_emih!P31=0,0,SER_hh_emih!P31/SER_summary!P$26)</f>
        <v>6.7307695246163179</v>
      </c>
      <c r="Q31" s="133">
        <f>IF(SER_hh_emih!Q31=0,0,SER_hh_emih!Q31/SER_summary!Q$26)</f>
        <v>6.5314811859464337</v>
      </c>
      <c r="R31" s="133">
        <f>IF(SER_hh_emih!R31=0,0,SER_hh_emih!R31/SER_summary!R$26)</f>
        <v>6.4585681742186205</v>
      </c>
      <c r="S31" s="133">
        <f>IF(SER_hh_emih!S31=0,0,SER_hh_emih!S31/SER_summary!S$26)</f>
        <v>6.4040075203420921</v>
      </c>
      <c r="T31" s="133">
        <f>IF(SER_hh_emih!T31=0,0,SER_hh_emih!T31/SER_summary!T$26)</f>
        <v>6.3816384302200326</v>
      </c>
      <c r="U31" s="133">
        <f>IF(SER_hh_emih!U31=0,0,SER_hh_emih!U31/SER_summary!U$26)</f>
        <v>6.3412160763385259</v>
      </c>
      <c r="V31" s="133">
        <f>IF(SER_hh_emih!V31=0,0,SER_hh_emih!V31/SER_summary!V$26)</f>
        <v>5.9820213733377496</v>
      </c>
      <c r="W31" s="133">
        <f>IF(SER_hh_emih!W31=0,0,SER_hh_emih!W31/SER_summary!W$26)</f>
        <v>6.3463153771201712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1999.3299083498994</v>
      </c>
      <c r="D3" s="125">
        <f t="shared" si="0"/>
        <v>2291.2383689571161</v>
      </c>
      <c r="E3" s="125">
        <f t="shared" si="0"/>
        <v>3644.1263639952795</v>
      </c>
      <c r="F3" s="125">
        <f t="shared" si="0"/>
        <v>1806.6436877149652</v>
      </c>
      <c r="G3" s="125">
        <f t="shared" si="0"/>
        <v>2579.2024487312115</v>
      </c>
      <c r="H3" s="125">
        <f t="shared" si="0"/>
        <v>1701.907528137599</v>
      </c>
      <c r="I3" s="125">
        <f t="shared" si="0"/>
        <v>2283.4410056151041</v>
      </c>
      <c r="J3" s="125">
        <f t="shared" si="0"/>
        <v>396.02793783558553</v>
      </c>
      <c r="K3" s="125">
        <f t="shared" si="0"/>
        <v>393.46820047192074</v>
      </c>
      <c r="L3" s="125">
        <f t="shared" si="0"/>
        <v>415.35848501111218</v>
      </c>
      <c r="M3" s="125">
        <f t="shared" si="0"/>
        <v>825.39045585135932</v>
      </c>
      <c r="N3" s="125">
        <f t="shared" si="0"/>
        <v>1107.9240056884578</v>
      </c>
      <c r="O3" s="125">
        <f t="shared" si="0"/>
        <v>1440.395455149664</v>
      </c>
      <c r="P3" s="125">
        <f t="shared" si="0"/>
        <v>3547.6736012260239</v>
      </c>
      <c r="Q3" s="125">
        <f t="shared" si="0"/>
        <v>486.54868233263142</v>
      </c>
      <c r="R3" s="125">
        <f t="shared" si="0"/>
        <v>1523.0633120775042</v>
      </c>
      <c r="S3" s="125">
        <f t="shared" si="0"/>
        <v>1993.4116547492713</v>
      </c>
      <c r="T3" s="125">
        <f t="shared" si="0"/>
        <v>1996.5931737116362</v>
      </c>
      <c r="U3" s="125">
        <f t="shared" si="0"/>
        <v>1794.6469335257721</v>
      </c>
      <c r="V3" s="125">
        <f t="shared" si="0"/>
        <v>1711.29228550127</v>
      </c>
      <c r="W3" s="125">
        <f t="shared" si="0"/>
        <v>1664.2260782986955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1999.3299083498994</v>
      </c>
      <c r="D4" s="140">
        <f t="shared" si="1"/>
        <v>2291.2383689571161</v>
      </c>
      <c r="E4" s="140">
        <f t="shared" si="1"/>
        <v>3644.1263639952795</v>
      </c>
      <c r="F4" s="140">
        <f t="shared" si="1"/>
        <v>1806.6436877149652</v>
      </c>
      <c r="G4" s="140">
        <f t="shared" si="1"/>
        <v>2579.2024487312115</v>
      </c>
      <c r="H4" s="140">
        <f t="shared" si="1"/>
        <v>1701.907528137599</v>
      </c>
      <c r="I4" s="140">
        <f t="shared" si="1"/>
        <v>2283.4410056151041</v>
      </c>
      <c r="J4" s="140">
        <f t="shared" si="1"/>
        <v>396.02793783558553</v>
      </c>
      <c r="K4" s="140">
        <f t="shared" si="1"/>
        <v>393.46820047192074</v>
      </c>
      <c r="L4" s="140">
        <f t="shared" si="1"/>
        <v>415.35848501111218</v>
      </c>
      <c r="M4" s="140">
        <f t="shared" si="1"/>
        <v>825.39045585135932</v>
      </c>
      <c r="N4" s="140">
        <f t="shared" si="1"/>
        <v>1107.9240056884578</v>
      </c>
      <c r="O4" s="140">
        <f t="shared" si="1"/>
        <v>1440.395455149664</v>
      </c>
      <c r="P4" s="140">
        <f t="shared" si="1"/>
        <v>3547.6736012260239</v>
      </c>
      <c r="Q4" s="140">
        <f t="shared" si="1"/>
        <v>486.54868233263142</v>
      </c>
      <c r="R4" s="140">
        <f t="shared" ref="R4:W4" si="2">SUM(R5:R14)</f>
        <v>1523.0633120775042</v>
      </c>
      <c r="S4" s="140">
        <f t="shared" si="2"/>
        <v>1993.4116547492713</v>
      </c>
      <c r="T4" s="140">
        <f t="shared" si="2"/>
        <v>1996.5931737116362</v>
      </c>
      <c r="U4" s="140">
        <f t="shared" si="2"/>
        <v>1794.6469335257721</v>
      </c>
      <c r="V4" s="140">
        <f t="shared" si="2"/>
        <v>1711.29228550127</v>
      </c>
      <c r="W4" s="140">
        <f t="shared" si="2"/>
        <v>1664.2260782986955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0.63436734158778607</v>
      </c>
      <c r="N5" s="141">
        <v>4.3336612627771132</v>
      </c>
      <c r="O5" s="141">
        <v>11.347805440645333</v>
      </c>
      <c r="P5" s="141">
        <v>13.555512865497967</v>
      </c>
      <c r="Q5" s="141">
        <v>1.4904781118173083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0</v>
      </c>
      <c r="D7" s="141">
        <v>0</v>
      </c>
      <c r="E7" s="141">
        <v>0</v>
      </c>
      <c r="F7" s="141">
        <v>0</v>
      </c>
      <c r="G7" s="141">
        <v>0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38.744954849394709</v>
      </c>
      <c r="O7" s="141">
        <v>32.362240840382519</v>
      </c>
      <c r="P7" s="141">
        <v>210.8427522358991</v>
      </c>
      <c r="Q7" s="141">
        <v>40.494457688221466</v>
      </c>
      <c r="R7" s="141">
        <v>89.328822255410998</v>
      </c>
      <c r="S7" s="141">
        <v>41.223741900808726</v>
      </c>
      <c r="T7" s="141">
        <v>38.917082343293544</v>
      </c>
      <c r="U7" s="141">
        <v>15.940896543787581</v>
      </c>
      <c r="V7" s="141">
        <v>27.755623843898338</v>
      </c>
      <c r="W7" s="141">
        <v>59.922027687787178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0.24945827979954149</v>
      </c>
      <c r="S8" s="141">
        <v>0.41052805525140429</v>
      </c>
      <c r="T8" s="141">
        <v>0.69820979392330518</v>
      </c>
      <c r="U8" s="141">
        <v>0.58195174389047943</v>
      </c>
      <c r="V8" s="141">
        <v>0.72406042235926071</v>
      </c>
      <c r="W8" s="141">
        <v>0.10513739521406576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1595.5024413469378</v>
      </c>
      <c r="D9" s="141">
        <v>2084.2416486962229</v>
      </c>
      <c r="E9" s="141">
        <v>3362.5274758256473</v>
      </c>
      <c r="F9" s="141">
        <v>1533.4165609590191</v>
      </c>
      <c r="G9" s="141">
        <v>1471.7673739732061</v>
      </c>
      <c r="H9" s="141">
        <v>520.86858423512444</v>
      </c>
      <c r="I9" s="141">
        <v>450.97375924477421</v>
      </c>
      <c r="J9" s="141">
        <v>93.308676970273268</v>
      </c>
      <c r="K9" s="141">
        <v>243.3556789587962</v>
      </c>
      <c r="L9" s="141">
        <v>370.4269835045402</v>
      </c>
      <c r="M9" s="141">
        <v>733.51136395326091</v>
      </c>
      <c r="N9" s="141">
        <v>909.03139693260732</v>
      </c>
      <c r="O9" s="141">
        <v>1154.63550599429</v>
      </c>
      <c r="P9" s="141">
        <v>2573.5630316436113</v>
      </c>
      <c r="Q9" s="141">
        <v>136.63671763749329</v>
      </c>
      <c r="R9" s="141">
        <v>618.05450076411319</v>
      </c>
      <c r="S9" s="141">
        <v>1025.9848474761625</v>
      </c>
      <c r="T9" s="141">
        <v>1159.7006711084516</v>
      </c>
      <c r="U9" s="141">
        <v>1161.8509924037116</v>
      </c>
      <c r="V9" s="141">
        <v>1188.3834733129961</v>
      </c>
      <c r="W9" s="141">
        <v>1087.6539653795339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32.883456433977472</v>
      </c>
      <c r="D10" s="141">
        <v>34.758166557478461</v>
      </c>
      <c r="E10" s="141">
        <v>34.721097085485212</v>
      </c>
      <c r="F10" s="141">
        <v>8.7277048146839782</v>
      </c>
      <c r="G10" s="141">
        <v>0</v>
      </c>
      <c r="H10" s="141">
        <v>0</v>
      </c>
      <c r="I10" s="141">
        <v>23.850682909371823</v>
      </c>
      <c r="J10" s="141">
        <v>9.6379870973440216</v>
      </c>
      <c r="K10" s="141">
        <v>7.3526227957192436</v>
      </c>
      <c r="L10" s="141">
        <v>8.4419653807490018</v>
      </c>
      <c r="M10" s="141">
        <v>17.713541023558705</v>
      </c>
      <c r="N10" s="141">
        <v>26.356944559296551</v>
      </c>
      <c r="O10" s="141">
        <v>31.819428907938722</v>
      </c>
      <c r="P10" s="141">
        <v>49.344215205815438</v>
      </c>
      <c r="Q10" s="141">
        <v>8.5991913273797635</v>
      </c>
      <c r="R10" s="141">
        <v>4.9777750597694759</v>
      </c>
      <c r="S10" s="141">
        <v>21.953001850137152</v>
      </c>
      <c r="T10" s="141">
        <v>15.364372933072204</v>
      </c>
      <c r="U10" s="141">
        <v>17.896488363786947</v>
      </c>
      <c r="V10" s="141">
        <v>0</v>
      </c>
      <c r="W10" s="141">
        <v>0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76.207073566678119</v>
      </c>
      <c r="D11" s="141">
        <v>91.03926980125776</v>
      </c>
      <c r="E11" s="141">
        <v>46.096419774422436</v>
      </c>
      <c r="F11" s="141">
        <v>0</v>
      </c>
      <c r="G11" s="141">
        <v>73.83218575893649</v>
      </c>
      <c r="H11" s="141">
        <v>135.22216184127709</v>
      </c>
      <c r="I11" s="141">
        <v>215.5310550788565</v>
      </c>
      <c r="J11" s="141">
        <v>42.825374687374868</v>
      </c>
      <c r="K11" s="141">
        <v>21.220204355190162</v>
      </c>
      <c r="L11" s="141">
        <v>23.878407835568133</v>
      </c>
      <c r="M11" s="141">
        <v>48.122397506674581</v>
      </c>
      <c r="N11" s="141">
        <v>44.955466686324087</v>
      </c>
      <c r="O11" s="141">
        <v>28.683947079614747</v>
      </c>
      <c r="P11" s="141">
        <v>0</v>
      </c>
      <c r="Q11" s="141">
        <v>0</v>
      </c>
      <c r="R11" s="141">
        <v>0</v>
      </c>
      <c r="S11" s="141">
        <v>51.561910881449691</v>
      </c>
      <c r="T11" s="141">
        <v>45.068699487316891</v>
      </c>
      <c r="U11" s="141">
        <v>44.795061952641376</v>
      </c>
      <c r="V11" s="141">
        <v>22.145678739251522</v>
      </c>
      <c r="W11" s="141">
        <v>67.451230148429048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256.07580512558343</v>
      </c>
      <c r="D12" s="141">
        <v>81.136981694467181</v>
      </c>
      <c r="E12" s="141">
        <v>127.88626945324243</v>
      </c>
      <c r="F12" s="141">
        <v>0</v>
      </c>
      <c r="G12" s="141">
        <v>215.67441963154593</v>
      </c>
      <c r="H12" s="141">
        <v>340.02520228320157</v>
      </c>
      <c r="I12" s="141">
        <v>631.21415007430255</v>
      </c>
      <c r="J12" s="141">
        <v>110.23064235659218</v>
      </c>
      <c r="K12" s="141">
        <v>27.935440130957918</v>
      </c>
      <c r="L12" s="141">
        <v>12.292322901761766</v>
      </c>
      <c r="M12" s="141">
        <v>24.27017481332377</v>
      </c>
      <c r="N12" s="141">
        <v>81.808737365361011</v>
      </c>
      <c r="O12" s="141">
        <v>176.73990218781509</v>
      </c>
      <c r="P12" s="141">
        <v>595.42542604499522</v>
      </c>
      <c r="Q12" s="141">
        <v>155.96632158910688</v>
      </c>
      <c r="R12" s="141">
        <v>382.35159072476938</v>
      </c>
      <c r="S12" s="141">
        <v>326.49032383157407</v>
      </c>
      <c r="T12" s="141">
        <v>193.16309187053059</v>
      </c>
      <c r="U12" s="141">
        <v>164.99078315482168</v>
      </c>
      <c r="V12" s="141">
        <v>188.16104397375955</v>
      </c>
      <c r="W12" s="141">
        <v>256.65874128959922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3.2699603477630644E-2</v>
      </c>
      <c r="D13" s="141">
        <v>6.2302207689939083E-2</v>
      </c>
      <c r="E13" s="141">
        <v>0.1623403921397111</v>
      </c>
      <c r="F13" s="141">
        <v>0.20499216815770605</v>
      </c>
      <c r="G13" s="141">
        <v>0.64557429352763451</v>
      </c>
      <c r="H13" s="141">
        <v>0.67225523284693955</v>
      </c>
      <c r="I13" s="141">
        <v>1.1023440006947678</v>
      </c>
      <c r="J13" s="141">
        <v>0.19425565743224738</v>
      </c>
      <c r="K13" s="141">
        <v>0.16472708512064482</v>
      </c>
      <c r="L13" s="141">
        <v>0.31880538849303763</v>
      </c>
      <c r="M13" s="141">
        <v>1.1386112129535402</v>
      </c>
      <c r="N13" s="141">
        <v>2.6928440326968466</v>
      </c>
      <c r="O13" s="141">
        <v>4.8066246989776094</v>
      </c>
      <c r="P13" s="141">
        <v>15.815519797312536</v>
      </c>
      <c r="Q13" s="141">
        <v>0.76392085648628894</v>
      </c>
      <c r="R13" s="141">
        <v>5.249933495315088</v>
      </c>
      <c r="S13" s="141">
        <v>11.393975116170003</v>
      </c>
      <c r="T13" s="141">
        <v>26.409274378877811</v>
      </c>
      <c r="U13" s="141">
        <v>24.573018261446869</v>
      </c>
      <c r="V13" s="141">
        <v>33.572687008726682</v>
      </c>
      <c r="W13" s="141">
        <v>22.477997772567498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38.628432273244933</v>
      </c>
      <c r="D14" s="142">
        <v>0</v>
      </c>
      <c r="E14" s="142">
        <v>72.732761464342474</v>
      </c>
      <c r="F14" s="142">
        <v>264.29442977310441</v>
      </c>
      <c r="G14" s="142">
        <v>817.28289507399518</v>
      </c>
      <c r="H14" s="142">
        <v>705.11932454514908</v>
      </c>
      <c r="I14" s="142">
        <v>960.76901430710427</v>
      </c>
      <c r="J14" s="142">
        <v>139.83100106656894</v>
      </c>
      <c r="K14" s="142">
        <v>93.439527146136513</v>
      </c>
      <c r="L14" s="142">
        <v>0</v>
      </c>
      <c r="M14" s="142">
        <v>0</v>
      </c>
      <c r="N14" s="142">
        <v>0</v>
      </c>
      <c r="O14" s="142">
        <v>0</v>
      </c>
      <c r="P14" s="142">
        <v>89.127143432892296</v>
      </c>
      <c r="Q14" s="142">
        <v>142.59759512212642</v>
      </c>
      <c r="R14" s="142">
        <v>422.85123149832646</v>
      </c>
      <c r="S14" s="142">
        <v>514.39332563771791</v>
      </c>
      <c r="T14" s="142">
        <v>517.27177179617013</v>
      </c>
      <c r="U14" s="142">
        <v>364.01774110168543</v>
      </c>
      <c r="V14" s="142">
        <v>250.54971820027865</v>
      </c>
      <c r="W14" s="142">
        <v>169.95697862556483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1960.6687764731769</v>
      </c>
      <c r="D15" s="144">
        <f t="shared" si="3"/>
        <v>2291.1760667494264</v>
      </c>
      <c r="E15" s="144">
        <f t="shared" si="3"/>
        <v>3571.2312621387973</v>
      </c>
      <c r="F15" s="144">
        <f t="shared" si="3"/>
        <v>1542.144265773703</v>
      </c>
      <c r="G15" s="144">
        <f t="shared" si="3"/>
        <v>1761.2739793636886</v>
      </c>
      <c r="H15" s="144">
        <f t="shared" si="3"/>
        <v>996.11594835960307</v>
      </c>
      <c r="I15" s="144">
        <f t="shared" si="3"/>
        <v>1321.5696473073051</v>
      </c>
      <c r="J15" s="144">
        <f t="shared" si="3"/>
        <v>256.00268111158437</v>
      </c>
      <c r="K15" s="144">
        <f t="shared" si="3"/>
        <v>299.86394624066355</v>
      </c>
      <c r="L15" s="144">
        <f t="shared" si="3"/>
        <v>415.03967962261913</v>
      </c>
      <c r="M15" s="144">
        <f t="shared" si="3"/>
        <v>824.25184463840583</v>
      </c>
      <c r="N15" s="144">
        <f t="shared" si="3"/>
        <v>1105.2311616557608</v>
      </c>
      <c r="O15" s="144">
        <f t="shared" si="3"/>
        <v>1435.5888304506864</v>
      </c>
      <c r="P15" s="144">
        <f t="shared" si="3"/>
        <v>3442.7309379958192</v>
      </c>
      <c r="Q15" s="144">
        <f t="shared" si="3"/>
        <v>343.1871663540187</v>
      </c>
      <c r="R15" s="144">
        <f t="shared" ref="R15:W15" si="4">SUM(R5:R12)</f>
        <v>1094.9621470838624</v>
      </c>
      <c r="S15" s="144">
        <f t="shared" si="4"/>
        <v>1467.6243539953834</v>
      </c>
      <c r="T15" s="144">
        <f t="shared" si="4"/>
        <v>1452.9121275365883</v>
      </c>
      <c r="U15" s="144">
        <f t="shared" si="4"/>
        <v>1406.0561741626398</v>
      </c>
      <c r="V15" s="144">
        <f t="shared" si="4"/>
        <v>1427.1698802922647</v>
      </c>
      <c r="W15" s="144">
        <f t="shared" si="4"/>
        <v>1471.7911019005633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1999.3299083498998</v>
      </c>
      <c r="D16" s="140">
        <f t="shared" si="5"/>
        <v>2291.238368957117</v>
      </c>
      <c r="E16" s="140">
        <f t="shared" si="5"/>
        <v>2579.1772133639834</v>
      </c>
      <c r="F16" s="140">
        <f t="shared" si="5"/>
        <v>1806.6436877149649</v>
      </c>
      <c r="G16" s="140">
        <f t="shared" si="5"/>
        <v>2579.202448731211</v>
      </c>
      <c r="H16" s="140">
        <f t="shared" si="5"/>
        <v>1701.9075281375995</v>
      </c>
      <c r="I16" s="140">
        <f t="shared" si="5"/>
        <v>2283.4410056151041</v>
      </c>
      <c r="J16" s="140">
        <f t="shared" si="5"/>
        <v>396.02793783558553</v>
      </c>
      <c r="K16" s="140">
        <f t="shared" si="5"/>
        <v>393.46820047192068</v>
      </c>
      <c r="L16" s="140">
        <f t="shared" si="5"/>
        <v>415.35848501111212</v>
      </c>
      <c r="M16" s="140">
        <f t="shared" si="5"/>
        <v>825.39045585135932</v>
      </c>
      <c r="N16" s="140">
        <f t="shared" si="5"/>
        <v>1107.9240056884578</v>
      </c>
      <c r="O16" s="140">
        <f t="shared" si="5"/>
        <v>1440.395455149664</v>
      </c>
      <c r="P16" s="140">
        <f t="shared" si="5"/>
        <v>3547.6736012260235</v>
      </c>
      <c r="Q16" s="140">
        <f t="shared" si="5"/>
        <v>486.54868233263147</v>
      </c>
      <c r="R16" s="140">
        <f t="shared" ref="R16:W16" si="6">SUM(R17:R18)</f>
        <v>1523.063312077504</v>
      </c>
      <c r="S16" s="140">
        <f t="shared" si="6"/>
        <v>1993.4116547492711</v>
      </c>
      <c r="T16" s="140">
        <f t="shared" si="6"/>
        <v>1996.5931737116364</v>
      </c>
      <c r="U16" s="140">
        <f t="shared" si="6"/>
        <v>1794.6469335257723</v>
      </c>
      <c r="V16" s="140">
        <f t="shared" si="6"/>
        <v>1711.2922855012703</v>
      </c>
      <c r="W16" s="140">
        <f t="shared" si="6"/>
        <v>1664.2260782986955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8.471217671483565</v>
      </c>
      <c r="D17" s="141">
        <v>10.837314046578271</v>
      </c>
      <c r="E17" s="141">
        <v>10.974220166685367</v>
      </c>
      <c r="F17" s="141">
        <v>3.5409853222291181</v>
      </c>
      <c r="G17" s="141">
        <v>9.4078073759013083</v>
      </c>
      <c r="H17" s="141">
        <v>7.7048220954391118</v>
      </c>
      <c r="I17" s="141">
        <v>9.8802374995408595</v>
      </c>
      <c r="J17" s="141">
        <v>1.09567124596937</v>
      </c>
      <c r="K17" s="141">
        <v>2.1480094977073634</v>
      </c>
      <c r="L17" s="141">
        <v>3.049079191215895</v>
      </c>
      <c r="M17" s="141">
        <v>6.1048031604555515</v>
      </c>
      <c r="N17" s="141">
        <v>8.4978158061632136</v>
      </c>
      <c r="O17" s="141">
        <v>11.262114575366809</v>
      </c>
      <c r="P17" s="141">
        <v>20.364066097509944</v>
      </c>
      <c r="Q17" s="141">
        <v>3.9305452569458126</v>
      </c>
      <c r="R17" s="141">
        <v>11.454369328041475</v>
      </c>
      <c r="S17" s="141">
        <v>25.773991038990076</v>
      </c>
      <c r="T17" s="141">
        <v>18.76080922835051</v>
      </c>
      <c r="U17" s="141">
        <v>32.400142276260098</v>
      </c>
      <c r="V17" s="141">
        <v>33.24578450696454</v>
      </c>
      <c r="W17" s="141">
        <v>17.539394857783059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1990.8586906784162</v>
      </c>
      <c r="D18" s="141">
        <v>2280.4010549105387</v>
      </c>
      <c r="E18" s="141">
        <v>2568.2029931972979</v>
      </c>
      <c r="F18" s="141">
        <v>1803.1027023927359</v>
      </c>
      <c r="G18" s="141">
        <v>2569.7946413553095</v>
      </c>
      <c r="H18" s="141">
        <v>1694.2027060421603</v>
      </c>
      <c r="I18" s="141">
        <v>2273.5607681155634</v>
      </c>
      <c r="J18" s="141">
        <v>394.93226658961618</v>
      </c>
      <c r="K18" s="141">
        <v>391.32019097421329</v>
      </c>
      <c r="L18" s="141">
        <v>412.30940581989626</v>
      </c>
      <c r="M18" s="141">
        <v>819.28565269090382</v>
      </c>
      <c r="N18" s="141">
        <v>1099.4261898822945</v>
      </c>
      <c r="O18" s="141">
        <v>1429.1333405742973</v>
      </c>
      <c r="P18" s="141">
        <v>3527.3095351285137</v>
      </c>
      <c r="Q18" s="141">
        <v>482.61813707568564</v>
      </c>
      <c r="R18" s="141">
        <v>1511.6089427494626</v>
      </c>
      <c r="S18" s="141">
        <v>1967.637663710281</v>
      </c>
      <c r="T18" s="141">
        <v>1977.8323644832858</v>
      </c>
      <c r="U18" s="141">
        <v>1762.2467912495122</v>
      </c>
      <c r="V18" s="141">
        <v>1678.0465009943057</v>
      </c>
      <c r="W18" s="141">
        <v>1646.6866834409125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1999.3299083498996</v>
      </c>
      <c r="D19" s="140">
        <f t="shared" si="7"/>
        <v>2291.238368957117</v>
      </c>
      <c r="E19" s="140">
        <f t="shared" si="7"/>
        <v>3644.1263639952795</v>
      </c>
      <c r="F19" s="140">
        <f t="shared" si="7"/>
        <v>1806.6436877149652</v>
      </c>
      <c r="G19" s="140">
        <f t="shared" si="7"/>
        <v>2579.202448731211</v>
      </c>
      <c r="H19" s="140">
        <f t="shared" si="7"/>
        <v>1701.9075281375992</v>
      </c>
      <c r="I19" s="140">
        <f t="shared" si="7"/>
        <v>2283.4410056151041</v>
      </c>
      <c r="J19" s="140">
        <f t="shared" si="7"/>
        <v>396.02793783558548</v>
      </c>
      <c r="K19" s="140">
        <f t="shared" si="7"/>
        <v>393.46820047192062</v>
      </c>
      <c r="L19" s="140">
        <f t="shared" si="7"/>
        <v>415.35848501111218</v>
      </c>
      <c r="M19" s="140">
        <f t="shared" si="7"/>
        <v>825.39045585135909</v>
      </c>
      <c r="N19" s="140">
        <f t="shared" si="7"/>
        <v>1107.924005688458</v>
      </c>
      <c r="O19" s="140">
        <f t="shared" si="7"/>
        <v>1440.395455149664</v>
      </c>
      <c r="P19" s="140">
        <f t="shared" si="7"/>
        <v>3547.6736012260244</v>
      </c>
      <c r="Q19" s="140">
        <f t="shared" si="7"/>
        <v>486.54868233263142</v>
      </c>
      <c r="R19" s="140">
        <f t="shared" ref="R19:W19" si="8">SUM(R20:R26)</f>
        <v>1523.0633120775042</v>
      </c>
      <c r="S19" s="140">
        <f t="shared" si="8"/>
        <v>1993.4116547492711</v>
      </c>
      <c r="T19" s="140">
        <f t="shared" si="8"/>
        <v>1996.5931737116362</v>
      </c>
      <c r="U19" s="140">
        <f t="shared" si="8"/>
        <v>1794.6469335257721</v>
      </c>
      <c r="V19" s="140">
        <f t="shared" si="8"/>
        <v>1711.29228550127</v>
      </c>
      <c r="W19" s="140">
        <f t="shared" si="8"/>
        <v>1664.2260782986955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0</v>
      </c>
      <c r="D22" s="141">
        <v>0</v>
      </c>
      <c r="E22" s="141">
        <v>0</v>
      </c>
      <c r="F22" s="141">
        <v>0</v>
      </c>
      <c r="G22" s="141">
        <v>0</v>
      </c>
      <c r="H22" s="141">
        <v>0</v>
      </c>
      <c r="I22" s="141">
        <v>0</v>
      </c>
      <c r="J22" s="141">
        <v>0</v>
      </c>
      <c r="K22" s="141">
        <v>0</v>
      </c>
      <c r="L22" s="141">
        <v>0</v>
      </c>
      <c r="M22" s="141">
        <v>0</v>
      </c>
      <c r="N22" s="141">
        <v>0</v>
      </c>
      <c r="O22" s="141">
        <v>0</v>
      </c>
      <c r="P22" s="141">
        <v>0</v>
      </c>
      <c r="Q22" s="141">
        <v>0</v>
      </c>
      <c r="R22" s="141">
        <v>0</v>
      </c>
      <c r="S22" s="141">
        <v>0</v>
      </c>
      <c r="T22" s="141">
        <v>0</v>
      </c>
      <c r="U22" s="141">
        <v>0</v>
      </c>
      <c r="V22" s="141">
        <v>0</v>
      </c>
      <c r="W22" s="141">
        <v>0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822.40040167169991</v>
      </c>
      <c r="D23" s="141">
        <v>1205.7468431251798</v>
      </c>
      <c r="E23" s="141">
        <v>1702.2915896958871</v>
      </c>
      <c r="F23" s="141">
        <v>1010.0977972900165</v>
      </c>
      <c r="G23" s="141">
        <v>1237.9672895006411</v>
      </c>
      <c r="H23" s="141">
        <v>950.10661894193061</v>
      </c>
      <c r="I23" s="141">
        <v>1544.5507859958789</v>
      </c>
      <c r="J23" s="141">
        <v>276.03837775509169</v>
      </c>
      <c r="K23" s="141">
        <v>291.0170256959309</v>
      </c>
      <c r="L23" s="141">
        <v>280.55923060767719</v>
      </c>
      <c r="M23" s="141">
        <v>542.20464844106471</v>
      </c>
      <c r="N23" s="141">
        <v>560.68239094186606</v>
      </c>
      <c r="O23" s="141">
        <v>1027.088138481568</v>
      </c>
      <c r="P23" s="141">
        <v>2920.9200179920449</v>
      </c>
      <c r="Q23" s="141">
        <v>280.91552217961748</v>
      </c>
      <c r="R23" s="141">
        <v>810.9163629517916</v>
      </c>
      <c r="S23" s="141">
        <v>1109.7936676415893</v>
      </c>
      <c r="T23" s="141">
        <v>1223.3167531802392</v>
      </c>
      <c r="U23" s="141">
        <v>1030.9867354634755</v>
      </c>
      <c r="V23" s="141">
        <v>1057.062706521516</v>
      </c>
      <c r="W23" s="141">
        <v>941.98231126309395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188.77156247545972</v>
      </c>
      <c r="O24" s="141">
        <v>76.40615780163877</v>
      </c>
      <c r="P24" s="141">
        <v>132.03527694652436</v>
      </c>
      <c r="Q24" s="141">
        <v>0.40281608900244126</v>
      </c>
      <c r="R24" s="141">
        <v>0</v>
      </c>
      <c r="S24" s="141">
        <v>0</v>
      </c>
      <c r="T24" s="141">
        <v>0</v>
      </c>
      <c r="U24" s="141">
        <v>3.2062947028371127</v>
      </c>
      <c r="V24" s="141">
        <v>10.230088963722212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157.88976506033043</v>
      </c>
      <c r="D25" s="141">
        <v>186.08287638396718</v>
      </c>
      <c r="E25" s="141">
        <v>295.05906004201933</v>
      </c>
      <c r="F25" s="141">
        <v>193.76216635518819</v>
      </c>
      <c r="G25" s="141">
        <v>308.6667662366068</v>
      </c>
      <c r="H25" s="141">
        <v>220.80910437783118</v>
      </c>
      <c r="I25" s="141">
        <v>285.28630932527034</v>
      </c>
      <c r="J25" s="141">
        <v>66.436848955881104</v>
      </c>
      <c r="K25" s="141">
        <v>56.756427515576931</v>
      </c>
      <c r="L25" s="141">
        <v>52.397693349602164</v>
      </c>
      <c r="M25" s="141">
        <v>89.720058792338875</v>
      </c>
      <c r="N25" s="141">
        <v>115.56994102576014</v>
      </c>
      <c r="O25" s="141">
        <v>139.19992927546232</v>
      </c>
      <c r="P25" s="141">
        <v>278.03155228230776</v>
      </c>
      <c r="Q25" s="141">
        <v>63.730404389424287</v>
      </c>
      <c r="R25" s="141">
        <v>157.16101343711637</v>
      </c>
      <c r="S25" s="141">
        <v>194.33061829525587</v>
      </c>
      <c r="T25" s="141">
        <v>167.30595583558747</v>
      </c>
      <c r="U25" s="141">
        <v>165.08100127209886</v>
      </c>
      <c r="V25" s="141">
        <v>119.91199910934745</v>
      </c>
      <c r="W25" s="141">
        <v>148.14471512150988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1019.0397416178694</v>
      </c>
      <c r="D26" s="142">
        <v>899.40864944796976</v>
      </c>
      <c r="E26" s="142">
        <v>1646.7757142573732</v>
      </c>
      <c r="F26" s="142">
        <v>602.78372406976041</v>
      </c>
      <c r="G26" s="142">
        <v>1032.5683929939632</v>
      </c>
      <c r="H26" s="142">
        <v>530.99180481783742</v>
      </c>
      <c r="I26" s="142">
        <v>453.60391029395493</v>
      </c>
      <c r="J26" s="142">
        <v>53.552711124612721</v>
      </c>
      <c r="K26" s="142">
        <v>45.694747260412782</v>
      </c>
      <c r="L26" s="142">
        <v>82.401561053832864</v>
      </c>
      <c r="M26" s="142">
        <v>193.46574861795563</v>
      </c>
      <c r="N26" s="142">
        <v>242.90011124537199</v>
      </c>
      <c r="O26" s="142">
        <v>197.70122959099501</v>
      </c>
      <c r="P26" s="142">
        <v>216.68675400514701</v>
      </c>
      <c r="Q26" s="142">
        <v>141.49993967458718</v>
      </c>
      <c r="R26" s="142">
        <v>554.9859356885961</v>
      </c>
      <c r="S26" s="142">
        <v>689.28736881242594</v>
      </c>
      <c r="T26" s="142">
        <v>605.9704646958096</v>
      </c>
      <c r="U26" s="142">
        <v>595.37290208736067</v>
      </c>
      <c r="V26" s="142">
        <v>524.08749090668448</v>
      </c>
      <c r="W26" s="142">
        <v>574.09905191409166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20.064396942988861</v>
      </c>
      <c r="H27" s="151">
        <v>23.2799964394037</v>
      </c>
      <c r="I27" s="151">
        <v>17.949726477230659</v>
      </c>
      <c r="J27" s="151">
        <v>18.331258335375768</v>
      </c>
      <c r="K27" s="151">
        <v>13.59662782548595</v>
      </c>
      <c r="L27" s="151">
        <v>30.449331902961251</v>
      </c>
      <c r="M27" s="151">
        <v>25.673120397481142</v>
      </c>
      <c r="N27" s="151">
        <v>0</v>
      </c>
      <c r="O27" s="151">
        <v>2.8348886816292005</v>
      </c>
      <c r="P27" s="151">
        <v>23.584608565634994</v>
      </c>
      <c r="Q27" s="151">
        <v>17.1856798206177</v>
      </c>
      <c r="R27" s="151">
        <v>1.743050961424599E-6</v>
      </c>
      <c r="S27" s="151">
        <v>22.343097034360916</v>
      </c>
      <c r="T27" s="151">
        <v>9.0865417969535045</v>
      </c>
      <c r="U27" s="151">
        <v>34.224758516813935</v>
      </c>
      <c r="V27" s="151">
        <v>43.473072982680108</v>
      </c>
      <c r="W27" s="151">
        <v>1.0141197243926455E-13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1999.3299083498994</v>
      </c>
      <c r="D29" s="140">
        <f t="shared" si="9"/>
        <v>2291.2383689571166</v>
      </c>
      <c r="E29" s="140">
        <f t="shared" si="9"/>
        <v>3644.1263639952795</v>
      </c>
      <c r="F29" s="140">
        <f t="shared" si="9"/>
        <v>1806.6436877149649</v>
      </c>
      <c r="G29" s="140">
        <f t="shared" si="9"/>
        <v>2579.2024487312115</v>
      </c>
      <c r="H29" s="140">
        <f t="shared" si="9"/>
        <v>1701.9075281375995</v>
      </c>
      <c r="I29" s="140">
        <f t="shared" si="9"/>
        <v>2283.4410056151041</v>
      </c>
      <c r="J29" s="140">
        <f t="shared" si="9"/>
        <v>396.02793783558559</v>
      </c>
      <c r="K29" s="140">
        <f t="shared" si="9"/>
        <v>393.46820047192068</v>
      </c>
      <c r="L29" s="140">
        <f t="shared" si="9"/>
        <v>415.35848501111218</v>
      </c>
      <c r="M29" s="140">
        <f t="shared" si="9"/>
        <v>825.39045585135921</v>
      </c>
      <c r="N29" s="140">
        <f t="shared" si="9"/>
        <v>1107.9240056884578</v>
      </c>
      <c r="O29" s="140">
        <f t="shared" si="9"/>
        <v>1440.3954551496645</v>
      </c>
      <c r="P29" s="140">
        <f t="shared" si="9"/>
        <v>3547.6736012260235</v>
      </c>
      <c r="Q29" s="140">
        <f t="shared" si="9"/>
        <v>486.54868233263136</v>
      </c>
      <c r="R29" s="140">
        <f t="shared" ref="R29:W29" si="10">SUM(R30:R33)</f>
        <v>1523.0633120775037</v>
      </c>
      <c r="S29" s="140">
        <f t="shared" si="10"/>
        <v>1993.4116547492713</v>
      </c>
      <c r="T29" s="140">
        <f t="shared" si="10"/>
        <v>1996.5931737116362</v>
      </c>
      <c r="U29" s="140">
        <f t="shared" si="10"/>
        <v>1794.6469335257721</v>
      </c>
      <c r="V29" s="140">
        <f t="shared" si="10"/>
        <v>1711.2922855012703</v>
      </c>
      <c r="W29" s="140">
        <f t="shared" si="10"/>
        <v>1664.2260782986957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144.7705343134792</v>
      </c>
      <c r="D30" s="141">
        <v>201.15386518438842</v>
      </c>
      <c r="E30" s="141">
        <v>0</v>
      </c>
      <c r="F30" s="141">
        <v>0</v>
      </c>
      <c r="G30" s="141">
        <v>0</v>
      </c>
      <c r="H30" s="141">
        <v>121.89410111708719</v>
      </c>
      <c r="I30" s="141">
        <v>280.30631285578067</v>
      </c>
      <c r="J30" s="141">
        <v>46.340825883195059</v>
      </c>
      <c r="K30" s="141">
        <v>54.819307504675606</v>
      </c>
      <c r="L30" s="141">
        <v>46.496626806015193</v>
      </c>
      <c r="M30" s="141">
        <v>0</v>
      </c>
      <c r="N30" s="141">
        <v>0</v>
      </c>
      <c r="O30" s="141">
        <v>0</v>
      </c>
      <c r="P30" s="141">
        <v>53.676964747218449</v>
      </c>
      <c r="Q30" s="141">
        <v>11.280079417579586</v>
      </c>
      <c r="R30" s="141">
        <v>24.920602876076764</v>
      </c>
      <c r="S30" s="141">
        <v>78.706091110318113</v>
      </c>
      <c r="T30" s="141">
        <v>224.1727445563528</v>
      </c>
      <c r="U30" s="141">
        <v>190.38806063857461</v>
      </c>
      <c r="V30" s="141">
        <v>164.29596181084491</v>
      </c>
      <c r="W30" s="141">
        <v>103.19391564420427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655.91973798789104</v>
      </c>
      <c r="D31" s="141">
        <v>1106.4474410331713</v>
      </c>
      <c r="E31" s="141">
        <v>1870.9624172871834</v>
      </c>
      <c r="F31" s="141">
        <v>1127.5116818034035</v>
      </c>
      <c r="G31" s="141">
        <v>1558.5254176733879</v>
      </c>
      <c r="H31" s="141">
        <v>967.29739976939516</v>
      </c>
      <c r="I31" s="141">
        <v>1016.8507086976883</v>
      </c>
      <c r="J31" s="141">
        <v>180.82685946428086</v>
      </c>
      <c r="K31" s="141">
        <v>145.75709225066467</v>
      </c>
      <c r="L31" s="141">
        <v>205.72402533060443</v>
      </c>
      <c r="M31" s="141">
        <v>729.90426168388626</v>
      </c>
      <c r="N31" s="141">
        <v>859.14170012494105</v>
      </c>
      <c r="O31" s="141">
        <v>951.04438877178495</v>
      </c>
      <c r="P31" s="141">
        <v>2009.5755353677175</v>
      </c>
      <c r="Q31" s="141">
        <v>260.48735400727912</v>
      </c>
      <c r="R31" s="141">
        <v>703.84359179296303</v>
      </c>
      <c r="S31" s="141">
        <v>942.34311644783816</v>
      </c>
      <c r="T31" s="141">
        <v>911.5838443000963</v>
      </c>
      <c r="U31" s="141">
        <v>877.67337544346287</v>
      </c>
      <c r="V31" s="141">
        <v>906.22906539597841</v>
      </c>
      <c r="W31" s="141">
        <v>997.56552593262768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1198.6396360485292</v>
      </c>
      <c r="D33" s="153">
        <v>983.63706273955688</v>
      </c>
      <c r="E33" s="153">
        <v>1773.1639467080959</v>
      </c>
      <c r="F33" s="153">
        <v>679.13200591156146</v>
      </c>
      <c r="G33" s="153">
        <v>1020.6770310578235</v>
      </c>
      <c r="H33" s="153">
        <v>612.716027251117</v>
      </c>
      <c r="I33" s="153">
        <v>986.28398406163535</v>
      </c>
      <c r="J33" s="153">
        <v>168.86025248810967</v>
      </c>
      <c r="K33" s="153">
        <v>192.89180071658038</v>
      </c>
      <c r="L33" s="153">
        <v>163.13783287449252</v>
      </c>
      <c r="M33" s="153">
        <v>95.486194167472988</v>
      </c>
      <c r="N33" s="153">
        <v>248.7823055635167</v>
      </c>
      <c r="O33" s="153">
        <v>489.35106637787942</v>
      </c>
      <c r="P33" s="153">
        <v>1484.4211011110874</v>
      </c>
      <c r="Q33" s="153">
        <v>214.78124890777264</v>
      </c>
      <c r="R33" s="153">
        <v>794.2991174084641</v>
      </c>
      <c r="S33" s="153">
        <v>972.36244719111505</v>
      </c>
      <c r="T33" s="153">
        <v>860.83658485518708</v>
      </c>
      <c r="U33" s="153">
        <v>726.58549744373454</v>
      </c>
      <c r="V33" s="153">
        <v>640.76725829444706</v>
      </c>
      <c r="W33" s="153">
        <v>563.46663672186378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60.628105239312994</v>
      </c>
      <c r="D3" s="126">
        <f t="shared" si="0"/>
        <v>62.938962763804625</v>
      </c>
      <c r="E3" s="126">
        <f t="shared" si="0"/>
        <v>97.848880847516895</v>
      </c>
      <c r="F3" s="126">
        <f t="shared" si="0"/>
        <v>55.753886746256605</v>
      </c>
      <c r="G3" s="126">
        <f t="shared" si="0"/>
        <v>71.157793888077975</v>
      </c>
      <c r="H3" s="126">
        <f t="shared" si="0"/>
        <v>38.9268378811133</v>
      </c>
      <c r="I3" s="126">
        <f t="shared" si="0"/>
        <v>46.517574285547312</v>
      </c>
      <c r="J3" s="126">
        <f t="shared" si="0"/>
        <v>7.8153667368966957</v>
      </c>
      <c r="K3" s="126">
        <f t="shared" si="0"/>
        <v>8.3439379434224694</v>
      </c>
      <c r="L3" s="126">
        <f t="shared" si="0"/>
        <v>9.3091332056379823</v>
      </c>
      <c r="M3" s="126">
        <f t="shared" si="0"/>
        <v>17.653894492279587</v>
      </c>
      <c r="N3" s="126">
        <f t="shared" si="0"/>
        <v>18.730780442685806</v>
      </c>
      <c r="O3" s="126">
        <f t="shared" si="0"/>
        <v>22.144557211480908</v>
      </c>
      <c r="P3" s="126">
        <f t="shared" si="0"/>
        <v>45.025845453826854</v>
      </c>
      <c r="Q3" s="126">
        <f t="shared" si="0"/>
        <v>6.1916446286092981</v>
      </c>
      <c r="R3" s="126">
        <f t="shared" ref="R3:W3" si="1">SUM(R4,R16,R19,R29)</f>
        <v>18.194761466993825</v>
      </c>
      <c r="S3" s="126">
        <f t="shared" si="1"/>
        <v>22.597337688145988</v>
      </c>
      <c r="T3" s="126">
        <f t="shared" si="1"/>
        <v>21.304645039234355</v>
      </c>
      <c r="U3" s="126">
        <f t="shared" si="1"/>
        <v>17.894394068680747</v>
      </c>
      <c r="V3" s="126">
        <f t="shared" si="1"/>
        <v>15.743995614280367</v>
      </c>
      <c r="W3" s="126">
        <f t="shared" si="1"/>
        <v>14.62168773868977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49.782922139998831</v>
      </c>
      <c r="D4" s="131">
        <f t="shared" si="2"/>
        <v>50.545336845435685</v>
      </c>
      <c r="E4" s="131">
        <f t="shared" si="2"/>
        <v>79.059183476853761</v>
      </c>
      <c r="F4" s="131">
        <f t="shared" si="2"/>
        <v>45.906531241161041</v>
      </c>
      <c r="G4" s="131">
        <f t="shared" si="2"/>
        <v>57.680026378390416</v>
      </c>
      <c r="H4" s="131">
        <f t="shared" si="2"/>
        <v>29.938393022447531</v>
      </c>
      <c r="I4" s="131">
        <f t="shared" si="2"/>
        <v>34.620789692878112</v>
      </c>
      <c r="J4" s="131">
        <f t="shared" si="2"/>
        <v>5.8149387799418522</v>
      </c>
      <c r="K4" s="131">
        <f t="shared" si="2"/>
        <v>6.3570647238247178</v>
      </c>
      <c r="L4" s="131">
        <f t="shared" si="2"/>
        <v>7.1821411319898951</v>
      </c>
      <c r="M4" s="131">
        <f t="shared" si="2"/>
        <v>13.349685647034189</v>
      </c>
      <c r="N4" s="131">
        <f t="shared" si="2"/>
        <v>12.831662675665658</v>
      </c>
      <c r="O4" s="131">
        <f t="shared" si="2"/>
        <v>15.001769166633153</v>
      </c>
      <c r="P4" s="131">
        <f t="shared" si="2"/>
        <v>28.730825313766424</v>
      </c>
      <c r="Q4" s="131">
        <f t="shared" si="2"/>
        <v>3.9451717105725845</v>
      </c>
      <c r="R4" s="131">
        <f t="shared" ref="R4:W4" si="3">SUM(R5:R15)</f>
        <v>11.64030115872443</v>
      </c>
      <c r="S4" s="131">
        <f t="shared" si="3"/>
        <v>14.033653171983426</v>
      </c>
      <c r="T4" s="131">
        <f t="shared" si="3"/>
        <v>12.731746267166002</v>
      </c>
      <c r="U4" s="131">
        <f t="shared" si="3"/>
        <v>10.35495473705179</v>
      </c>
      <c r="V4" s="131">
        <f t="shared" si="3"/>
        <v>9.0794780465640148</v>
      </c>
      <c r="W4" s="131">
        <f t="shared" si="3"/>
        <v>7.9030613743006279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1.1981208184132206E-2</v>
      </c>
      <c r="N5" s="133">
        <v>2.4451243253260257E-2</v>
      </c>
      <c r="O5" s="133">
        <v>0.14191817585898819</v>
      </c>
      <c r="P5" s="133">
        <v>0.1265725845204102</v>
      </c>
      <c r="Q5" s="133">
        <v>1.5362726285411859E-2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0</v>
      </c>
      <c r="D7" s="133">
        <v>0</v>
      </c>
      <c r="E7" s="133">
        <v>0</v>
      </c>
      <c r="F7" s="133">
        <v>0</v>
      </c>
      <c r="G7" s="133">
        <v>0</v>
      </c>
      <c r="H7" s="133">
        <v>0</v>
      </c>
      <c r="I7" s="133">
        <v>0</v>
      </c>
      <c r="J7" s="133">
        <v>0</v>
      </c>
      <c r="K7" s="133">
        <v>0</v>
      </c>
      <c r="L7" s="133">
        <v>0</v>
      </c>
      <c r="M7" s="133">
        <v>0</v>
      </c>
      <c r="N7" s="133">
        <v>0.7233397368491612</v>
      </c>
      <c r="O7" s="133">
        <v>0.22104791999029921</v>
      </c>
      <c r="P7" s="133">
        <v>1.835355061149851</v>
      </c>
      <c r="Q7" s="133">
        <v>0.41221108651537403</v>
      </c>
      <c r="R7" s="133">
        <v>0.87294965812585112</v>
      </c>
      <c r="S7" s="133">
        <v>0.31963314894843997</v>
      </c>
      <c r="T7" s="133">
        <v>0.30362773932238191</v>
      </c>
      <c r="U7" s="133">
        <v>0.10011952864270161</v>
      </c>
      <c r="V7" s="133">
        <v>0.16019995209332122</v>
      </c>
      <c r="W7" s="133">
        <v>0.34176144349123355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1.8285293702970885E-4</v>
      </c>
      <c r="S8" s="133">
        <v>6.8505560464346481E-4</v>
      </c>
      <c r="T8" s="133">
        <v>1.4593456185681435E-3</v>
      </c>
      <c r="U8" s="133">
        <v>9.6427993338879525E-4</v>
      </c>
      <c r="V8" s="133">
        <v>1.4603737496655541E-3</v>
      </c>
      <c r="W8" s="133">
        <v>1.4449901073720605E-4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41.093214744677915</v>
      </c>
      <c r="D9" s="133">
        <v>46.082667169454957</v>
      </c>
      <c r="E9" s="133">
        <v>72.725092896264201</v>
      </c>
      <c r="F9" s="133">
        <v>40.42738087377306</v>
      </c>
      <c r="G9" s="133">
        <v>35.812972944698345</v>
      </c>
      <c r="H9" s="133">
        <v>10.812352485745365</v>
      </c>
      <c r="I9" s="133">
        <v>7.1409225177678728</v>
      </c>
      <c r="J9" s="133">
        <v>1.4092807847158531</v>
      </c>
      <c r="K9" s="133">
        <v>4.0260606463367399</v>
      </c>
      <c r="L9" s="133">
        <v>6.4426273395409197</v>
      </c>
      <c r="M9" s="133">
        <v>11.907273040427985</v>
      </c>
      <c r="N9" s="133">
        <v>10.24992279547266</v>
      </c>
      <c r="O9" s="133">
        <v>12.227731866421259</v>
      </c>
      <c r="P9" s="133">
        <v>21.200641775322122</v>
      </c>
      <c r="Q9" s="133">
        <v>1.1254417025855301</v>
      </c>
      <c r="R9" s="133">
        <v>4.8242486918613894</v>
      </c>
      <c r="S9" s="133">
        <v>7.3875877247216488</v>
      </c>
      <c r="T9" s="133">
        <v>7.4290668477232051</v>
      </c>
      <c r="U9" s="133">
        <v>6.7239863495122743</v>
      </c>
      <c r="V9" s="133">
        <v>6.5204492180600102</v>
      </c>
      <c r="W9" s="133">
        <v>5.2675350008717023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0.79235685021540936</v>
      </c>
      <c r="D10" s="133">
        <v>0.89449239336755237</v>
      </c>
      <c r="E10" s="133">
        <v>1.076534162498797</v>
      </c>
      <c r="F10" s="133">
        <v>0.25877026941150455</v>
      </c>
      <c r="G10" s="133">
        <v>0</v>
      </c>
      <c r="H10" s="133">
        <v>0</v>
      </c>
      <c r="I10" s="133">
        <v>0.47571503768664147</v>
      </c>
      <c r="J10" s="133">
        <v>0.184894331956482</v>
      </c>
      <c r="K10" s="133">
        <v>0.14884049383304773</v>
      </c>
      <c r="L10" s="133">
        <v>0.17268825765111287</v>
      </c>
      <c r="M10" s="133">
        <v>0.33503109671735454</v>
      </c>
      <c r="N10" s="133">
        <v>0.4025743851445257</v>
      </c>
      <c r="O10" s="133">
        <v>0.42760974800920692</v>
      </c>
      <c r="P10" s="133">
        <v>0.51758437657082035</v>
      </c>
      <c r="Q10" s="133">
        <v>0.10422398298039033</v>
      </c>
      <c r="R10" s="133">
        <v>5.1267075271845805E-2</v>
      </c>
      <c r="S10" s="133">
        <v>0.21838890570068412</v>
      </c>
      <c r="T10" s="133">
        <v>0.1339384501733519</v>
      </c>
      <c r="U10" s="133">
        <v>0.16096254402271487</v>
      </c>
      <c r="V10" s="133">
        <v>0</v>
      </c>
      <c r="W10" s="133">
        <v>0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1.4135491216056872</v>
      </c>
      <c r="D11" s="133">
        <v>1.6508383955111794</v>
      </c>
      <c r="E11" s="133">
        <v>0.85221951761735515</v>
      </c>
      <c r="F11" s="133">
        <v>0</v>
      </c>
      <c r="G11" s="133">
        <v>1.2555959802742556</v>
      </c>
      <c r="H11" s="133">
        <v>2.0998853378381641</v>
      </c>
      <c r="I11" s="133">
        <v>2.9360812867186796</v>
      </c>
      <c r="J11" s="133">
        <v>0.60031702775294482</v>
      </c>
      <c r="K11" s="133">
        <v>0.29632215415511465</v>
      </c>
      <c r="L11" s="133">
        <v>0.31825226587733751</v>
      </c>
      <c r="M11" s="133">
        <v>0.62417077568562207</v>
      </c>
      <c r="N11" s="133">
        <v>0.54779718467251814</v>
      </c>
      <c r="O11" s="133">
        <v>0.35972123616817986</v>
      </c>
      <c r="P11" s="133">
        <v>0</v>
      </c>
      <c r="Q11" s="133">
        <v>0</v>
      </c>
      <c r="R11" s="133">
        <v>0</v>
      </c>
      <c r="S11" s="133">
        <v>0.36593416480262903</v>
      </c>
      <c r="T11" s="133">
        <v>0.2722937882266393</v>
      </c>
      <c r="U11" s="133">
        <v>0.25600396775435241</v>
      </c>
      <c r="V11" s="133">
        <v>0.1029625888960901</v>
      </c>
      <c r="W11" s="133">
        <v>0.33236903330465817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5.1496861076992699</v>
      </c>
      <c r="D12" s="133">
        <v>1.3691913702616472</v>
      </c>
      <c r="E12" s="133">
        <v>2.3742792488353981</v>
      </c>
      <c r="F12" s="133">
        <v>0</v>
      </c>
      <c r="G12" s="133">
        <v>3.9650375291476125</v>
      </c>
      <c r="H12" s="133">
        <v>4.9629628490422144</v>
      </c>
      <c r="I12" s="133">
        <v>8.5991954708095655</v>
      </c>
      <c r="J12" s="133">
        <v>1.5888967836729087</v>
      </c>
      <c r="K12" s="133">
        <v>0.37772572879104477</v>
      </c>
      <c r="L12" s="133">
        <v>0.17260986831242339</v>
      </c>
      <c r="M12" s="133">
        <v>0.32948608369560312</v>
      </c>
      <c r="N12" s="133">
        <v>0.74717787261160651</v>
      </c>
      <c r="O12" s="133">
        <v>1.4609050821201965</v>
      </c>
      <c r="P12" s="133">
        <v>4.0502448365597958</v>
      </c>
      <c r="Q12" s="133">
        <v>1.1628424723442872</v>
      </c>
      <c r="R12" s="133">
        <v>2.7847231493494755</v>
      </c>
      <c r="S12" s="133">
        <v>2.1900947525780232</v>
      </c>
      <c r="T12" s="133">
        <v>1.1393281836283826</v>
      </c>
      <c r="U12" s="133">
        <v>0.86874886255811956</v>
      </c>
      <c r="V12" s="133">
        <v>0.92016999546785516</v>
      </c>
      <c r="W12" s="133">
        <v>1.130674540076297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3.5331612100990154E-4</v>
      </c>
      <c r="D13" s="133">
        <v>5.4018474350472153E-4</v>
      </c>
      <c r="E13" s="133">
        <v>1.018693865192584E-3</v>
      </c>
      <c r="F13" s="133">
        <v>1.371374084612216E-3</v>
      </c>
      <c r="G13" s="133">
        <v>4.1178411340348263E-3</v>
      </c>
      <c r="H13" s="133">
        <v>3.6130509006162869E-3</v>
      </c>
      <c r="I13" s="133">
        <v>6.279245149412473E-3</v>
      </c>
      <c r="J13" s="133">
        <v>9.1220693009911029E-4</v>
      </c>
      <c r="K13" s="133">
        <v>7.8279145224100519E-4</v>
      </c>
      <c r="L13" s="133">
        <v>1.1616722682105526E-3</v>
      </c>
      <c r="M13" s="133">
        <v>2.8962027204103235E-3</v>
      </c>
      <c r="N13" s="133">
        <v>6.6181106268187809E-3</v>
      </c>
      <c r="O13" s="133">
        <v>1.1025366627479287E-2</v>
      </c>
      <c r="P13" s="133">
        <v>3.7412234735429623E-2</v>
      </c>
      <c r="Q13" s="133">
        <v>1.3063445819726459E-3</v>
      </c>
      <c r="R13" s="133">
        <v>7.7808255820486297E-3</v>
      </c>
      <c r="S13" s="133">
        <v>1.5156550590546491E-2</v>
      </c>
      <c r="T13" s="133">
        <v>3.6736449529618E-2</v>
      </c>
      <c r="U13" s="133">
        <v>2.9156156610656122E-2</v>
      </c>
      <c r="V13" s="133">
        <v>4.8952824730499882E-2</v>
      </c>
      <c r="W13" s="133">
        <v>1.9187204569287231E-2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0.82700032975615656</v>
      </c>
      <c r="D14" s="65">
        <v>0</v>
      </c>
      <c r="E14" s="65">
        <v>1.1785739944323841</v>
      </c>
      <c r="F14" s="65">
        <v>4.7567880222274077</v>
      </c>
      <c r="G14" s="65">
        <v>16.216649763995235</v>
      </c>
      <c r="H14" s="65">
        <v>11.911710835898711</v>
      </c>
      <c r="I14" s="65">
        <v>15.338469141975825</v>
      </c>
      <c r="J14" s="65">
        <v>2.0061534942693053</v>
      </c>
      <c r="K14" s="65">
        <v>1.4590372129932649</v>
      </c>
      <c r="L14" s="65">
        <v>0</v>
      </c>
      <c r="M14" s="65">
        <v>0</v>
      </c>
      <c r="N14" s="65">
        <v>0</v>
      </c>
      <c r="O14" s="65">
        <v>0</v>
      </c>
      <c r="P14" s="65">
        <v>0.67841950460144185</v>
      </c>
      <c r="Q14" s="65">
        <v>1.1014055678856458</v>
      </c>
      <c r="R14" s="65">
        <v>3.0220005127003806</v>
      </c>
      <c r="S14" s="65">
        <v>3.4338380623927032</v>
      </c>
      <c r="T14" s="65">
        <v>3.3164563139201042</v>
      </c>
      <c r="U14" s="65">
        <v>2.1275548092635308</v>
      </c>
      <c r="V14" s="65">
        <v>1.2402735028962248</v>
      </c>
      <c r="W14" s="65">
        <v>0.73814130895805841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0.50676166992338134</v>
      </c>
      <c r="D15" s="135">
        <v>0.5476073320968452</v>
      </c>
      <c r="E15" s="135">
        <v>0.85146496334043875</v>
      </c>
      <c r="F15" s="135">
        <v>0.46222070166446011</v>
      </c>
      <c r="G15" s="135">
        <v>0.42565231914092799</v>
      </c>
      <c r="H15" s="135">
        <v>0.14786846302246712</v>
      </c>
      <c r="I15" s="135">
        <v>0.12412699277011827</v>
      </c>
      <c r="J15" s="135">
        <v>2.448415064425814E-2</v>
      </c>
      <c r="K15" s="135">
        <v>4.8295696263264597E-2</v>
      </c>
      <c r="L15" s="135">
        <v>7.4801728339891169E-2</v>
      </c>
      <c r="M15" s="135">
        <v>0.1388472396030819</v>
      </c>
      <c r="N15" s="135">
        <v>0.12978134703510805</v>
      </c>
      <c r="O15" s="135">
        <v>0.1518097714375434</v>
      </c>
      <c r="P15" s="135">
        <v>0.2845949403065528</v>
      </c>
      <c r="Q15" s="135">
        <v>2.2377827393972566E-2</v>
      </c>
      <c r="R15" s="135">
        <v>7.7148392896408707E-2</v>
      </c>
      <c r="S15" s="135">
        <v>0.10233480664410625</v>
      </c>
      <c r="T15" s="135">
        <v>9.8839149023751391E-2</v>
      </c>
      <c r="U15" s="135">
        <v>8.7458238754053161E-2</v>
      </c>
      <c r="V15" s="135">
        <v>8.5009590670347482E-2</v>
      </c>
      <c r="W15" s="135">
        <v>7.324834401865378E-2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1.5445696745645145</v>
      </c>
      <c r="D16" s="131">
        <f t="shared" si="4"/>
        <v>1.8076579972845364</v>
      </c>
      <c r="E16" s="131">
        <f t="shared" si="4"/>
        <v>2.25507563882748</v>
      </c>
      <c r="F16" s="131">
        <f t="shared" si="4"/>
        <v>1.2202236770685531</v>
      </c>
      <c r="G16" s="131">
        <f t="shared" si="4"/>
        <v>1.6902197734464068</v>
      </c>
      <c r="H16" s="131">
        <f t="shared" si="4"/>
        <v>1.1954606648443669</v>
      </c>
      <c r="I16" s="131">
        <f t="shared" si="4"/>
        <v>1.6969043999678877</v>
      </c>
      <c r="J16" s="131">
        <f t="shared" si="4"/>
        <v>0.2419200610214923</v>
      </c>
      <c r="K16" s="131">
        <f t="shared" si="4"/>
        <v>0.23368419229672496</v>
      </c>
      <c r="L16" s="131">
        <f t="shared" si="4"/>
        <v>0.24903809618706088</v>
      </c>
      <c r="M16" s="131">
        <f t="shared" si="4"/>
        <v>0.46714474150411328</v>
      </c>
      <c r="N16" s="131">
        <f t="shared" si="4"/>
        <v>0.75905513863112506</v>
      </c>
      <c r="O16" s="131">
        <f t="shared" si="4"/>
        <v>0.77060875955398667</v>
      </c>
      <c r="P16" s="131">
        <f t="shared" si="4"/>
        <v>1.6079170273962728</v>
      </c>
      <c r="Q16" s="131">
        <f t="shared" si="4"/>
        <v>0.30325444597563167</v>
      </c>
      <c r="R16" s="131">
        <f t="shared" ref="R16:W16" si="5">SUM(R17:R18)</f>
        <v>0.63918081651100067</v>
      </c>
      <c r="S16" s="131">
        <f t="shared" si="5"/>
        <v>0.98105934674839268</v>
      </c>
      <c r="T16" s="131">
        <f t="shared" si="5"/>
        <v>0.89705631313054446</v>
      </c>
      <c r="U16" s="131">
        <f t="shared" si="5"/>
        <v>0.83706487752573955</v>
      </c>
      <c r="V16" s="131">
        <f t="shared" si="5"/>
        <v>0.63440142026952051</v>
      </c>
      <c r="W16" s="131">
        <f t="shared" si="5"/>
        <v>0.69902318722720624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1.1563789402157422E-2</v>
      </c>
      <c r="D17" s="133">
        <v>1.5546543352238901E-2</v>
      </c>
      <c r="E17" s="133">
        <v>1.7961108445959485E-2</v>
      </c>
      <c r="F17" s="133">
        <v>4.6033447170515948E-3</v>
      </c>
      <c r="G17" s="133">
        <v>1.2181197445955895E-2</v>
      </c>
      <c r="H17" s="133">
        <v>1.0980874423797421E-2</v>
      </c>
      <c r="I17" s="133">
        <v>1.5309046051215689E-2</v>
      </c>
      <c r="J17" s="133">
        <v>1.4360516720430534E-3</v>
      </c>
      <c r="K17" s="133">
        <v>2.801759541864908E-3</v>
      </c>
      <c r="L17" s="133">
        <v>4.1112334600357809E-3</v>
      </c>
      <c r="M17" s="133">
        <v>7.9994903576430538E-3</v>
      </c>
      <c r="N17" s="133">
        <v>1.3869701476031962E-2</v>
      </c>
      <c r="O17" s="133">
        <v>1.4756037890025785E-2</v>
      </c>
      <c r="P17" s="133">
        <v>2.309929278439686E-2</v>
      </c>
      <c r="Q17" s="133">
        <v>6.1731389286328328E-3</v>
      </c>
      <c r="R17" s="133">
        <v>1.214105568306504E-2</v>
      </c>
      <c r="S17" s="133">
        <v>3.1952484903983829E-2</v>
      </c>
      <c r="T17" s="133">
        <v>2.114335965623667E-2</v>
      </c>
      <c r="U17" s="133">
        <v>3.7334752904732253E-2</v>
      </c>
      <c r="V17" s="133">
        <v>2.5979816267272016E-2</v>
      </c>
      <c r="W17" s="133">
        <v>1.5658651125310737E-2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1.5330058851623571</v>
      </c>
      <c r="D18" s="133">
        <v>1.7921114539322975</v>
      </c>
      <c r="E18" s="133">
        <v>2.2371145303815205</v>
      </c>
      <c r="F18" s="133">
        <v>1.2156203323515014</v>
      </c>
      <c r="G18" s="133">
        <v>1.678038576000451</v>
      </c>
      <c r="H18" s="133">
        <v>1.1844797904205695</v>
      </c>
      <c r="I18" s="133">
        <v>1.6815953539166719</v>
      </c>
      <c r="J18" s="133">
        <v>0.24048400934944925</v>
      </c>
      <c r="K18" s="133">
        <v>0.23088243275486006</v>
      </c>
      <c r="L18" s="133">
        <v>0.2449268627270251</v>
      </c>
      <c r="M18" s="133">
        <v>0.4591452511464702</v>
      </c>
      <c r="N18" s="133">
        <v>0.74518543715509311</v>
      </c>
      <c r="O18" s="133">
        <v>0.75585272166396089</v>
      </c>
      <c r="P18" s="133">
        <v>1.5848177346118759</v>
      </c>
      <c r="Q18" s="133">
        <v>0.29708130704699881</v>
      </c>
      <c r="R18" s="133">
        <v>0.62703976082793567</v>
      </c>
      <c r="S18" s="133">
        <v>0.94910686184440884</v>
      </c>
      <c r="T18" s="133">
        <v>0.87591295347430775</v>
      </c>
      <c r="U18" s="133">
        <v>0.79973012462100734</v>
      </c>
      <c r="V18" s="133">
        <v>0.60842160400224854</v>
      </c>
      <c r="W18" s="133">
        <v>0.68336453610189551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4.4592301850166223</v>
      </c>
      <c r="D19" s="131">
        <f t="shared" si="6"/>
        <v>5.2191800352160431</v>
      </c>
      <c r="E19" s="131">
        <f t="shared" si="6"/>
        <v>8.0882476377933799</v>
      </c>
      <c r="F19" s="131">
        <f t="shared" si="6"/>
        <v>4.0889349887648416</v>
      </c>
      <c r="G19" s="131">
        <f t="shared" si="6"/>
        <v>5.6114334464053668</v>
      </c>
      <c r="H19" s="131">
        <f t="shared" si="6"/>
        <v>3.6610100987492808</v>
      </c>
      <c r="I19" s="131">
        <f t="shared" si="6"/>
        <v>4.8901399106935814</v>
      </c>
      <c r="J19" s="131">
        <f t="shared" si="6"/>
        <v>0.84353152404282927</v>
      </c>
      <c r="K19" s="131">
        <f t="shared" si="6"/>
        <v>0.8561894916720495</v>
      </c>
      <c r="L19" s="131">
        <f t="shared" si="6"/>
        <v>0.87835728921629252</v>
      </c>
      <c r="M19" s="131">
        <f t="shared" si="6"/>
        <v>1.7226823068254609</v>
      </c>
      <c r="N19" s="131">
        <f t="shared" si="6"/>
        <v>2.3929586740358202</v>
      </c>
      <c r="O19" s="131">
        <f t="shared" si="6"/>
        <v>2.9175587682593958</v>
      </c>
      <c r="P19" s="131">
        <f t="shared" si="6"/>
        <v>6.751124838735385</v>
      </c>
      <c r="Q19" s="131">
        <f t="shared" si="6"/>
        <v>0.86720436709597659</v>
      </c>
      <c r="R19" s="131">
        <f t="shared" ref="R19:W19" si="7">SUM(R20:R27)</f>
        <v>2.668931838795396</v>
      </c>
      <c r="S19" s="131">
        <f t="shared" si="7"/>
        <v>3.3938153813199774</v>
      </c>
      <c r="T19" s="131">
        <f t="shared" si="7"/>
        <v>3.3557549507020528</v>
      </c>
      <c r="U19" s="131">
        <f t="shared" si="7"/>
        <v>2.8909751019453909</v>
      </c>
      <c r="V19" s="131">
        <f t="shared" si="7"/>
        <v>2.4688511738434005</v>
      </c>
      <c r="W19" s="131">
        <f t="shared" si="7"/>
        <v>2.4223676444673701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2.0135867272415631</v>
      </c>
      <c r="D23" s="133">
        <v>2.9563754963275106</v>
      </c>
      <c r="E23" s="133">
        <v>4.1478324071686696</v>
      </c>
      <c r="F23" s="133">
        <v>2.4874158710030176</v>
      </c>
      <c r="G23" s="133">
        <v>2.908672199901476</v>
      </c>
      <c r="H23" s="133">
        <v>2.1575140168809228</v>
      </c>
      <c r="I23" s="133">
        <v>3.4578476158554601</v>
      </c>
      <c r="J23" s="133">
        <v>0.62004581621805388</v>
      </c>
      <c r="K23" s="133">
        <v>0.66563552168060081</v>
      </c>
      <c r="L23" s="133">
        <v>0.62683032439707942</v>
      </c>
      <c r="M23" s="133">
        <v>1.1693262127494983</v>
      </c>
      <c r="N23" s="133">
        <v>1.1624012377845854</v>
      </c>
      <c r="O23" s="133">
        <v>2.1564338485080601</v>
      </c>
      <c r="P23" s="133">
        <v>5.6494248031979595</v>
      </c>
      <c r="Q23" s="133">
        <v>0.51843529093687901</v>
      </c>
      <c r="R23" s="133">
        <v>1.4787308397763455</v>
      </c>
      <c r="S23" s="133">
        <v>1.9622820174657334</v>
      </c>
      <c r="T23" s="133">
        <v>2.1466065410617743</v>
      </c>
      <c r="U23" s="133">
        <v>1.7159444921288789</v>
      </c>
      <c r="V23" s="133">
        <v>1.5857719964168004</v>
      </c>
      <c r="W23" s="133">
        <v>1.3944738917965376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0.52256426051923555</v>
      </c>
      <c r="O24" s="133">
        <v>0.16229433366339061</v>
      </c>
      <c r="P24" s="133">
        <v>0.25053374359559349</v>
      </c>
      <c r="Q24" s="133">
        <v>5.9259714706218572E-4</v>
      </c>
      <c r="R24" s="133">
        <v>0</v>
      </c>
      <c r="S24" s="133">
        <v>0</v>
      </c>
      <c r="T24" s="133">
        <v>0</v>
      </c>
      <c r="U24" s="133">
        <v>5.1724698132442366E-3</v>
      </c>
      <c r="V24" s="133">
        <v>1.5453517737793588E-2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0.27743979529888857</v>
      </c>
      <c r="D25" s="133">
        <v>0.32627312117974411</v>
      </c>
      <c r="E25" s="133">
        <v>0.51203011909764928</v>
      </c>
      <c r="F25" s="133">
        <v>0.33372778837900191</v>
      </c>
      <c r="G25" s="133">
        <v>0.54421165102998748</v>
      </c>
      <c r="H25" s="133">
        <v>0.38095175301755968</v>
      </c>
      <c r="I25" s="133">
        <v>0.4857864226252806</v>
      </c>
      <c r="J25" s="133">
        <v>0.11607109505800703</v>
      </c>
      <c r="K25" s="133">
        <v>9.878004971198609E-2</v>
      </c>
      <c r="L25" s="133">
        <v>8.9884015551567914E-2</v>
      </c>
      <c r="M25" s="133">
        <v>0.15440546001062833</v>
      </c>
      <c r="N25" s="133">
        <v>0.20155905820386921</v>
      </c>
      <c r="O25" s="133">
        <v>0.23410613899809976</v>
      </c>
      <c r="P25" s="133">
        <v>0.45290711075887896</v>
      </c>
      <c r="Q25" s="133">
        <v>0.10316086046437754</v>
      </c>
      <c r="R25" s="133">
        <v>0.25303532641562138</v>
      </c>
      <c r="S25" s="133">
        <v>0.30936291252052112</v>
      </c>
      <c r="T25" s="133">
        <v>0.2623278986444888</v>
      </c>
      <c r="U25" s="133">
        <v>0.26122787200129732</v>
      </c>
      <c r="V25" s="133">
        <v>0.16152900761693897</v>
      </c>
      <c r="W25" s="133">
        <v>0.20819430963218141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2.1682036624761705</v>
      </c>
      <c r="D26" s="65">
        <v>1.9365314177087889</v>
      </c>
      <c r="E26" s="65">
        <v>3.4283851115270609</v>
      </c>
      <c r="F26" s="65">
        <v>1.267791329382822</v>
      </c>
      <c r="G26" s="65">
        <v>2.1357928845193754</v>
      </c>
      <c r="H26" s="65">
        <v>1.0984760298955767</v>
      </c>
      <c r="I26" s="65">
        <v>0.92686488086936714</v>
      </c>
      <c r="J26" s="65">
        <v>8.7949122327262097E-2</v>
      </c>
      <c r="K26" s="65">
        <v>7.6763770904843487E-2</v>
      </c>
      <c r="L26" s="65">
        <v>0.12781479563994327</v>
      </c>
      <c r="M26" s="65">
        <v>0.37190754398972636</v>
      </c>
      <c r="N26" s="65">
        <v>0.50643411752812983</v>
      </c>
      <c r="O26" s="65">
        <v>0.36051843146537382</v>
      </c>
      <c r="P26" s="65">
        <v>0.37123354674881337</v>
      </c>
      <c r="Q26" s="65">
        <v>0.22747453108643789</v>
      </c>
      <c r="R26" s="65">
        <v>0.93716567080229995</v>
      </c>
      <c r="S26" s="65">
        <v>1.0985916753621963</v>
      </c>
      <c r="T26" s="65">
        <v>0.93724581085505942</v>
      </c>
      <c r="U26" s="65">
        <v>0.87300932033625278</v>
      </c>
      <c r="V26" s="65">
        <v>0.66571637079124346</v>
      </c>
      <c r="W26" s="65">
        <v>0.81969944303865105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2.275671095452789E-2</v>
      </c>
      <c r="H27" s="148">
        <v>2.4068298955221969E-2</v>
      </c>
      <c r="I27" s="148">
        <v>1.9640991343474242E-2</v>
      </c>
      <c r="J27" s="148">
        <v>1.9465490439506308E-2</v>
      </c>
      <c r="K27" s="148">
        <v>1.5010149374619204E-2</v>
      </c>
      <c r="L27" s="148">
        <v>3.3828153627701973E-2</v>
      </c>
      <c r="M27" s="148">
        <v>2.7043090075607852E-2</v>
      </c>
      <c r="N27" s="148">
        <v>0</v>
      </c>
      <c r="O27" s="148">
        <v>4.2060156244716042E-3</v>
      </c>
      <c r="P27" s="148">
        <v>2.7025634434138961E-2</v>
      </c>
      <c r="Q27" s="148">
        <v>1.7541087461219948E-2</v>
      </c>
      <c r="R27" s="148">
        <v>1.8011296494744583E-9</v>
      </c>
      <c r="S27" s="148">
        <v>2.3578775971526533E-2</v>
      </c>
      <c r="T27" s="148">
        <v>9.5747001407304431E-3</v>
      </c>
      <c r="U27" s="148">
        <v>3.5620947665717786E-2</v>
      </c>
      <c r="V27" s="148">
        <v>4.0380281280624174E-2</v>
      </c>
      <c r="W27" s="148">
        <v>1.0482435574704929E-16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4.841383239733025</v>
      </c>
      <c r="D29" s="131">
        <f t="shared" si="8"/>
        <v>5.3667878858683586</v>
      </c>
      <c r="E29" s="131">
        <f t="shared" si="8"/>
        <v>8.446374094042266</v>
      </c>
      <c r="F29" s="131">
        <f t="shared" si="8"/>
        <v>4.5381968392621683</v>
      </c>
      <c r="G29" s="131">
        <f t="shared" si="8"/>
        <v>6.1761142898357768</v>
      </c>
      <c r="H29" s="131">
        <f t="shared" si="8"/>
        <v>4.1319740950721249</v>
      </c>
      <c r="I29" s="131">
        <f t="shared" si="8"/>
        <v>5.3097402820077289</v>
      </c>
      <c r="J29" s="131">
        <f t="shared" si="8"/>
        <v>0.91497637189052194</v>
      </c>
      <c r="K29" s="131">
        <f t="shared" si="8"/>
        <v>0.89699953562897716</v>
      </c>
      <c r="L29" s="131">
        <f t="shared" si="8"/>
        <v>0.9995966882447338</v>
      </c>
      <c r="M29" s="131">
        <f t="shared" si="8"/>
        <v>2.1143817969158256</v>
      </c>
      <c r="N29" s="131">
        <f t="shared" si="8"/>
        <v>2.7471039543532054</v>
      </c>
      <c r="O29" s="131">
        <f t="shared" si="8"/>
        <v>3.4546205170343729</v>
      </c>
      <c r="P29" s="131">
        <f t="shared" si="8"/>
        <v>7.9359782739287752</v>
      </c>
      <c r="Q29" s="131">
        <f t="shared" si="8"/>
        <v>1.0760141049651051</v>
      </c>
      <c r="R29" s="131">
        <f t="shared" ref="R29:W29" si="9">SUM(R30:R33)</f>
        <v>3.2463476529629958</v>
      </c>
      <c r="S29" s="131">
        <f t="shared" si="9"/>
        <v>4.1888097880941935</v>
      </c>
      <c r="T29" s="131">
        <f t="shared" si="9"/>
        <v>4.3200875082357548</v>
      </c>
      <c r="U29" s="131">
        <f t="shared" si="9"/>
        <v>3.8113993521578298</v>
      </c>
      <c r="V29" s="131">
        <f t="shared" si="9"/>
        <v>3.5612649736034308</v>
      </c>
      <c r="W29" s="131">
        <f t="shared" si="9"/>
        <v>3.5972355326945671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0.37234366880764097</v>
      </c>
      <c r="D30" s="133">
        <v>0.60481545971212147</v>
      </c>
      <c r="E30" s="133">
        <v>0</v>
      </c>
      <c r="F30" s="133">
        <v>0</v>
      </c>
      <c r="G30" s="133">
        <v>0</v>
      </c>
      <c r="H30" s="133">
        <v>0.32527418356973592</v>
      </c>
      <c r="I30" s="133">
        <v>0.77805950467147234</v>
      </c>
      <c r="J30" s="133">
        <v>0.11312358985035662</v>
      </c>
      <c r="K30" s="133">
        <v>0.13968559595115626</v>
      </c>
      <c r="L30" s="133">
        <v>0.13581666674510348</v>
      </c>
      <c r="M30" s="133">
        <v>0</v>
      </c>
      <c r="N30" s="133">
        <v>0</v>
      </c>
      <c r="O30" s="133">
        <v>0</v>
      </c>
      <c r="P30" s="133">
        <v>0.13383354397364555</v>
      </c>
      <c r="Q30" s="133">
        <v>3.3138110573236561E-2</v>
      </c>
      <c r="R30" s="133">
        <v>6.0331081773777051E-2</v>
      </c>
      <c r="S30" s="133">
        <v>0.16532548268147504</v>
      </c>
      <c r="T30" s="133">
        <v>0.57837013267021442</v>
      </c>
      <c r="U30" s="133">
        <v>0.42592638357347118</v>
      </c>
      <c r="V30" s="133">
        <v>0.50515561623533389</v>
      </c>
      <c r="W30" s="133">
        <v>0.21549763962668009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1.9461801530906939</v>
      </c>
      <c r="D31" s="133">
        <v>2.7313376198676629</v>
      </c>
      <c r="E31" s="133">
        <v>4.8567349109588527</v>
      </c>
      <c r="F31" s="133">
        <v>3.1470643994649392</v>
      </c>
      <c r="G31" s="133">
        <v>4.1580529115932556</v>
      </c>
      <c r="H31" s="133">
        <v>2.6010672860563187</v>
      </c>
      <c r="I31" s="133">
        <v>2.676590975814106</v>
      </c>
      <c r="J31" s="133">
        <v>0.47652493793445128</v>
      </c>
      <c r="K31" s="133">
        <v>0.38120591179705776</v>
      </c>
      <c r="L31" s="133">
        <v>0.53783393399376445</v>
      </c>
      <c r="M31" s="133">
        <v>1.9271004738405275</v>
      </c>
      <c r="N31" s="133">
        <v>2.2701650607466264</v>
      </c>
      <c r="O31" s="133">
        <v>2.5305353057898587</v>
      </c>
      <c r="P31" s="133">
        <v>5.1859645595220032</v>
      </c>
      <c r="Q31" s="133">
        <v>0.65293358250733979</v>
      </c>
      <c r="R31" s="133">
        <v>1.7447250532448575</v>
      </c>
      <c r="S31" s="133">
        <v>2.3142777404037522</v>
      </c>
      <c r="T31" s="133">
        <v>2.2284187503056918</v>
      </c>
      <c r="U31" s="133">
        <v>2.1306414714051236</v>
      </c>
      <c r="V31" s="133">
        <v>2.073703116713089</v>
      </c>
      <c r="W31" s="133">
        <v>2.420417948735198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2.5228594178346899</v>
      </c>
      <c r="D33" s="68">
        <v>2.0306348062885746</v>
      </c>
      <c r="E33" s="68">
        <v>3.5896391830834125</v>
      </c>
      <c r="F33" s="68">
        <v>1.3911324397972296</v>
      </c>
      <c r="G33" s="68">
        <v>2.0180613782425207</v>
      </c>
      <c r="H33" s="68">
        <v>1.2056326254460703</v>
      </c>
      <c r="I33" s="68">
        <v>1.8550898015221504</v>
      </c>
      <c r="J33" s="68">
        <v>0.32532784410571397</v>
      </c>
      <c r="K33" s="68">
        <v>0.37610802788076314</v>
      </c>
      <c r="L33" s="68">
        <v>0.32594608750586584</v>
      </c>
      <c r="M33" s="68">
        <v>0.18728132307529832</v>
      </c>
      <c r="N33" s="68">
        <v>0.47693889360657915</v>
      </c>
      <c r="O33" s="68">
        <v>0.92408521124451437</v>
      </c>
      <c r="P33" s="68">
        <v>2.6161801704331258</v>
      </c>
      <c r="Q33" s="68">
        <v>0.38994241188452866</v>
      </c>
      <c r="R33" s="68">
        <v>1.4412915179443611</v>
      </c>
      <c r="S33" s="68">
        <v>1.7092065650089661</v>
      </c>
      <c r="T33" s="68">
        <v>1.5132986252598482</v>
      </c>
      <c r="U33" s="68">
        <v>1.2548314971792347</v>
      </c>
      <c r="V33" s="68">
        <v>0.98240624065500748</v>
      </c>
      <c r="W33" s="68">
        <v>0.96131994433268886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40.859934325283994</v>
      </c>
      <c r="D3" s="126">
        <f t="shared" si="0"/>
        <v>42.205509777244885</v>
      </c>
      <c r="E3" s="126">
        <f t="shared" si="0"/>
        <v>65.472333166836378</v>
      </c>
      <c r="F3" s="126">
        <f t="shared" si="0"/>
        <v>37.619862225051975</v>
      </c>
      <c r="G3" s="126">
        <f t="shared" si="0"/>
        <v>51.024306262793793</v>
      </c>
      <c r="H3" s="126">
        <f t="shared" si="0"/>
        <v>29.768056725274182</v>
      </c>
      <c r="I3" s="126">
        <f t="shared" si="0"/>
        <v>37.027878575446117</v>
      </c>
      <c r="J3" s="126">
        <f t="shared" si="0"/>
        <v>6.164759005789036</v>
      </c>
      <c r="K3" s="126">
        <f t="shared" si="0"/>
        <v>6.2561223171440838</v>
      </c>
      <c r="L3" s="126">
        <f t="shared" si="0"/>
        <v>6.8224220130037585</v>
      </c>
      <c r="M3" s="126">
        <f t="shared" si="0"/>
        <v>13.008621087262366</v>
      </c>
      <c r="N3" s="126">
        <f t="shared" si="0"/>
        <v>14.700550193127967</v>
      </c>
      <c r="O3" s="126">
        <f t="shared" si="0"/>
        <v>17.602760111658721</v>
      </c>
      <c r="P3" s="126">
        <f t="shared" si="0"/>
        <v>36.957954396706562</v>
      </c>
      <c r="Q3" s="126">
        <f t="shared" si="0"/>
        <v>5.5292989693491386</v>
      </c>
      <c r="R3" s="126">
        <f t="shared" ref="R3:W3" si="1">SUM(R4,R16,R19,R29)</f>
        <v>15.837725340761247</v>
      </c>
      <c r="S3" s="126">
        <f t="shared" si="1"/>
        <v>20.276626623793291</v>
      </c>
      <c r="T3" s="126">
        <f t="shared" si="1"/>
        <v>19.172458394122327</v>
      </c>
      <c r="U3" s="126">
        <f t="shared" si="1"/>
        <v>16.375990138516737</v>
      </c>
      <c r="V3" s="126">
        <f t="shared" si="1"/>
        <v>14.202191512765527</v>
      </c>
      <c r="W3" s="126">
        <f t="shared" si="1"/>
        <v>13.518793267068261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31.108895058645654</v>
      </c>
      <c r="D4" s="131">
        <f t="shared" si="2"/>
        <v>31.076559151535093</v>
      </c>
      <c r="E4" s="131">
        <f t="shared" si="2"/>
        <v>49.05213861464847</v>
      </c>
      <c r="F4" s="131">
        <f t="shared" si="2"/>
        <v>28.959385676345335</v>
      </c>
      <c r="G4" s="131">
        <f t="shared" si="2"/>
        <v>38.912214427688433</v>
      </c>
      <c r="H4" s="131">
        <f t="shared" si="2"/>
        <v>21.508812037996549</v>
      </c>
      <c r="I4" s="131">
        <f t="shared" si="2"/>
        <v>25.721501021631848</v>
      </c>
      <c r="J4" s="131">
        <f t="shared" si="2"/>
        <v>4.3148974641459503</v>
      </c>
      <c r="K4" s="131">
        <f t="shared" si="2"/>
        <v>4.4058377733333343</v>
      </c>
      <c r="L4" s="131">
        <f t="shared" si="2"/>
        <v>4.8295210590065798</v>
      </c>
      <c r="M4" s="131">
        <f t="shared" si="2"/>
        <v>9.1076455575237585</v>
      </c>
      <c r="N4" s="131">
        <f t="shared" si="2"/>
        <v>8.8954190033060048</v>
      </c>
      <c r="O4" s="131">
        <f t="shared" si="2"/>
        <v>10.729812334045016</v>
      </c>
      <c r="P4" s="131">
        <f t="shared" si="2"/>
        <v>21.140821251310214</v>
      </c>
      <c r="Q4" s="131">
        <f t="shared" si="2"/>
        <v>3.0579936416341127</v>
      </c>
      <c r="R4" s="131">
        <f t="shared" ref="R4:W4" si="3">SUM(R5:R15)</f>
        <v>9.1284365381867048</v>
      </c>
      <c r="S4" s="131">
        <f t="shared" si="3"/>
        <v>11.044627254960345</v>
      </c>
      <c r="T4" s="131">
        <f t="shared" si="3"/>
        <v>10.121503677629544</v>
      </c>
      <c r="U4" s="131">
        <f t="shared" si="3"/>
        <v>8.2401038490923852</v>
      </c>
      <c r="V4" s="131">
        <f t="shared" si="3"/>
        <v>7.3123301366338724</v>
      </c>
      <c r="W4" s="131">
        <f t="shared" si="3"/>
        <v>6.319141070361697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7.8662490346010742E-3</v>
      </c>
      <c r="N5" s="133">
        <v>1.6174215834884539E-2</v>
      </c>
      <c r="O5" s="133">
        <v>9.4522834797931707E-2</v>
      </c>
      <c r="P5" s="133">
        <v>8.4869338451929024E-2</v>
      </c>
      <c r="Q5" s="133">
        <v>1.0383255524361161E-2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0</v>
      </c>
      <c r="D7" s="133">
        <v>0</v>
      </c>
      <c r="E7" s="133">
        <v>0</v>
      </c>
      <c r="F7" s="133">
        <v>0</v>
      </c>
      <c r="G7" s="133">
        <v>0</v>
      </c>
      <c r="H7" s="133">
        <v>0</v>
      </c>
      <c r="I7" s="133">
        <v>0</v>
      </c>
      <c r="J7" s="133">
        <v>0</v>
      </c>
      <c r="K7" s="133">
        <v>0</v>
      </c>
      <c r="L7" s="133">
        <v>0</v>
      </c>
      <c r="M7" s="133">
        <v>0</v>
      </c>
      <c r="N7" s="133">
        <v>0.43284236613720783</v>
      </c>
      <c r="O7" s="133">
        <v>0.13735012936381696</v>
      </c>
      <c r="P7" s="133">
        <v>1.188731994160555</v>
      </c>
      <c r="Q7" s="133">
        <v>0.275963983487089</v>
      </c>
      <c r="R7" s="133">
        <v>0.59371869749624129</v>
      </c>
      <c r="S7" s="133">
        <v>0.21982904950268731</v>
      </c>
      <c r="T7" s="133">
        <v>0.21051729437320613</v>
      </c>
      <c r="U7" s="133">
        <v>6.9852523407469141E-2</v>
      </c>
      <c r="V7" s="133">
        <v>0.11237488086092223</v>
      </c>
      <c r="W7" s="133">
        <v>0.24056795799720315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4.6911115930115763E-4</v>
      </c>
      <c r="S8" s="133">
        <v>1.7762004265314435E-3</v>
      </c>
      <c r="T8" s="133">
        <v>3.8098271672230878E-3</v>
      </c>
      <c r="U8" s="133">
        <v>2.5311598905415271E-3</v>
      </c>
      <c r="V8" s="133">
        <v>3.8577696065498785E-3</v>
      </c>
      <c r="W8" s="133">
        <v>3.843847188299129E-4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24.32226916834415</v>
      </c>
      <c r="D9" s="133">
        <v>27.629450930608389</v>
      </c>
      <c r="E9" s="133">
        <v>44.162137366269334</v>
      </c>
      <c r="F9" s="133">
        <v>24.85627347402918</v>
      </c>
      <c r="G9" s="133">
        <v>22.290801138918724</v>
      </c>
      <c r="H9" s="133">
        <v>6.8116992763321234</v>
      </c>
      <c r="I9" s="133">
        <v>4.5528386685058653</v>
      </c>
      <c r="J9" s="133">
        <v>0.90933575836445379</v>
      </c>
      <c r="K9" s="133">
        <v>2.6294445086832758</v>
      </c>
      <c r="L9" s="133">
        <v>4.2596542348413093</v>
      </c>
      <c r="M9" s="133">
        <v>7.9953939451411609</v>
      </c>
      <c r="N9" s="133">
        <v>7.0180604714835706</v>
      </c>
      <c r="O9" s="133">
        <v>8.5743942194851126</v>
      </c>
      <c r="P9" s="133">
        <v>15.25566536233843</v>
      </c>
      <c r="Q9" s="133">
        <v>0.82737195887973125</v>
      </c>
      <c r="R9" s="133">
        <v>3.589248365124369</v>
      </c>
      <c r="S9" s="133">
        <v>5.5468372677097877</v>
      </c>
      <c r="T9" s="133">
        <v>5.6184185031689724</v>
      </c>
      <c r="U9" s="133">
        <v>5.1156578630510987</v>
      </c>
      <c r="V9" s="133">
        <v>4.9864601245603559</v>
      </c>
      <c r="W9" s="133">
        <v>4.0426426161353639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0.4291650136321376</v>
      </c>
      <c r="D10" s="133">
        <v>0.48472772664141817</v>
      </c>
      <c r="E10" s="133">
        <v>0.58367178933741859</v>
      </c>
      <c r="F10" s="133">
        <v>0.14037077127021419</v>
      </c>
      <c r="G10" s="133">
        <v>0</v>
      </c>
      <c r="H10" s="133">
        <v>0</v>
      </c>
      <c r="I10" s="133">
        <v>0.25845299057309434</v>
      </c>
      <c r="J10" s="133">
        <v>0.10050408323328514</v>
      </c>
      <c r="K10" s="133">
        <v>8.0947966677796315E-2</v>
      </c>
      <c r="L10" s="133">
        <v>9.3966026227983362E-2</v>
      </c>
      <c r="M10" s="133">
        <v>0.18238899908582848</v>
      </c>
      <c r="N10" s="133">
        <v>0.21924954555107792</v>
      </c>
      <c r="O10" s="133">
        <v>0.23296361802258564</v>
      </c>
      <c r="P10" s="133">
        <v>0.2820663028334634</v>
      </c>
      <c r="Q10" s="133">
        <v>5.6818777572363373E-2</v>
      </c>
      <c r="R10" s="133">
        <v>2.7963400608989816E-2</v>
      </c>
      <c r="S10" s="133">
        <v>0.11918909926522961</v>
      </c>
      <c r="T10" s="133">
        <v>7.3142001852723834E-2</v>
      </c>
      <c r="U10" s="133">
        <v>8.7947139124123191E-2</v>
      </c>
      <c r="V10" s="133">
        <v>0</v>
      </c>
      <c r="W10" s="133">
        <v>0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1.1236858330402515</v>
      </c>
      <c r="D11" s="133">
        <v>1.3145964826862842</v>
      </c>
      <c r="E11" s="133">
        <v>0.67981711366774256</v>
      </c>
      <c r="F11" s="133">
        <v>0</v>
      </c>
      <c r="G11" s="133">
        <v>1.0050604698473016</v>
      </c>
      <c r="H11" s="133">
        <v>1.6837859816143368</v>
      </c>
      <c r="I11" s="133">
        <v>2.3583444814015588</v>
      </c>
      <c r="J11" s="133">
        <v>0.48302166254411305</v>
      </c>
      <c r="K11" s="133">
        <v>0.23883383206345579</v>
      </c>
      <c r="L11" s="133">
        <v>0.25694964996579378</v>
      </c>
      <c r="M11" s="133">
        <v>0.50481403573488237</v>
      </c>
      <c r="N11" s="133">
        <v>0.44382190134296567</v>
      </c>
      <c r="O11" s="133">
        <v>0.29195903820187885</v>
      </c>
      <c r="P11" s="133">
        <v>0</v>
      </c>
      <c r="Q11" s="133">
        <v>0</v>
      </c>
      <c r="R11" s="133">
        <v>0</v>
      </c>
      <c r="S11" s="133">
        <v>0.29880838804144377</v>
      </c>
      <c r="T11" s="133">
        <v>0.22261332903359082</v>
      </c>
      <c r="U11" s="133">
        <v>0.2095340333006793</v>
      </c>
      <c r="V11" s="133">
        <v>8.4365045600670943E-2</v>
      </c>
      <c r="W11" s="133">
        <v>0.27261358277911124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4.1262049155858129</v>
      </c>
      <c r="D12" s="133">
        <v>1.0993559550634464</v>
      </c>
      <c r="E12" s="133">
        <v>1.9104363695615407</v>
      </c>
      <c r="F12" s="133">
        <v>0</v>
      </c>
      <c r="G12" s="133">
        <v>3.2042345148559059</v>
      </c>
      <c r="H12" s="133">
        <v>4.0196122810744352</v>
      </c>
      <c r="I12" s="133">
        <v>6.9805481039240291</v>
      </c>
      <c r="J12" s="133">
        <v>1.2928771650644357</v>
      </c>
      <c r="K12" s="133">
        <v>0.30812376752768683</v>
      </c>
      <c r="L12" s="133">
        <v>0.14117648356945575</v>
      </c>
      <c r="M12" s="133">
        <v>0.27046963761715842</v>
      </c>
      <c r="N12" s="133">
        <v>0.61636823227141202</v>
      </c>
      <c r="O12" s="133">
        <v>1.2128806425509422</v>
      </c>
      <c r="P12" s="133">
        <v>3.3876249464563002</v>
      </c>
      <c r="Q12" s="133">
        <v>0.97937568106640993</v>
      </c>
      <c r="R12" s="133">
        <v>2.3577958632044393</v>
      </c>
      <c r="S12" s="133">
        <v>1.8638410506638754</v>
      </c>
      <c r="T12" s="133">
        <v>0.97438138996628998</v>
      </c>
      <c r="U12" s="133">
        <v>0.74646166037704298</v>
      </c>
      <c r="V12" s="133">
        <v>0.79414563469201604</v>
      </c>
      <c r="W12" s="133">
        <v>0.97978285938730136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4.9602145966244702E-4</v>
      </c>
      <c r="D13" s="133">
        <v>8.2072443870963188E-4</v>
      </c>
      <c r="E13" s="133">
        <v>1.6687061202391937E-3</v>
      </c>
      <c r="F13" s="133">
        <v>2.413125065432268E-3</v>
      </c>
      <c r="G13" s="133">
        <v>7.7597387771668053E-3</v>
      </c>
      <c r="H13" s="133">
        <v>7.2706988561569257E-3</v>
      </c>
      <c r="I13" s="133">
        <v>1.3459470610985175E-2</v>
      </c>
      <c r="J13" s="133">
        <v>2.078195798480521E-3</v>
      </c>
      <c r="K13" s="133">
        <v>1.8918298520477599E-3</v>
      </c>
      <c r="L13" s="133">
        <v>2.9729360621466865E-3</v>
      </c>
      <c r="M13" s="133">
        <v>7.8654513070437991E-3</v>
      </c>
      <c r="N13" s="133">
        <v>1.9120923649778094E-2</v>
      </c>
      <c r="O13" s="133">
        <v>3.3932080185204237E-2</v>
      </c>
      <c r="P13" s="133">
        <v>0.12221828062042493</v>
      </c>
      <c r="Q13" s="133">
        <v>4.4701325814890469E-3</v>
      </c>
      <c r="R13" s="133">
        <v>2.7086724576134719E-2</v>
      </c>
      <c r="S13" s="133">
        <v>5.3332595054275948E-2</v>
      </c>
      <c r="T13" s="133">
        <v>0.13015268972031854</v>
      </c>
      <c r="U13" s="133">
        <v>0.10385574175469643</v>
      </c>
      <c r="V13" s="133">
        <v>0.17550563706799444</v>
      </c>
      <c r="W13" s="133">
        <v>6.929769269929846E-2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0.60031243666025969</v>
      </c>
      <c r="D14" s="65">
        <v>0</v>
      </c>
      <c r="E14" s="65">
        <v>0.86294230635175673</v>
      </c>
      <c r="F14" s="65">
        <v>3.4981076043160511</v>
      </c>
      <c r="G14" s="65">
        <v>11.978706246148406</v>
      </c>
      <c r="H14" s="65">
        <v>8.8385753370970317</v>
      </c>
      <c r="I14" s="65">
        <v>11.433730313846194</v>
      </c>
      <c r="J14" s="65">
        <v>1.5025964484969234</v>
      </c>
      <c r="K14" s="65">
        <v>1.098300172265807</v>
      </c>
      <c r="L14" s="65">
        <v>0</v>
      </c>
      <c r="M14" s="65">
        <v>0</v>
      </c>
      <c r="N14" s="65">
        <v>0</v>
      </c>
      <c r="O14" s="65">
        <v>0</v>
      </c>
      <c r="P14" s="65">
        <v>0.53505008614256111</v>
      </c>
      <c r="Q14" s="65">
        <v>0.88123202512869647</v>
      </c>
      <c r="R14" s="65">
        <v>2.4550059831208197</v>
      </c>
      <c r="S14" s="65">
        <v>2.838678797652407</v>
      </c>
      <c r="T14" s="65">
        <v>2.7896294933234684</v>
      </c>
      <c r="U14" s="65">
        <v>1.8168054894326819</v>
      </c>
      <c r="V14" s="65">
        <v>1.0706114535750162</v>
      </c>
      <c r="W14" s="65">
        <v>0.64060363262593489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0.50676166992338134</v>
      </c>
      <c r="D15" s="135">
        <v>0.5476073320968452</v>
      </c>
      <c r="E15" s="135">
        <v>0.85146496334043875</v>
      </c>
      <c r="F15" s="135">
        <v>0.46222070166446011</v>
      </c>
      <c r="G15" s="135">
        <v>0.42565231914092799</v>
      </c>
      <c r="H15" s="135">
        <v>0.14786846302246712</v>
      </c>
      <c r="I15" s="135">
        <v>0.12412699277011827</v>
      </c>
      <c r="J15" s="135">
        <v>2.448415064425814E-2</v>
      </c>
      <c r="K15" s="135">
        <v>4.8295696263264597E-2</v>
      </c>
      <c r="L15" s="135">
        <v>7.4801728339891169E-2</v>
      </c>
      <c r="M15" s="135">
        <v>0.1388472396030819</v>
      </c>
      <c r="N15" s="135">
        <v>0.12978134703510805</v>
      </c>
      <c r="O15" s="135">
        <v>0.1518097714375434</v>
      </c>
      <c r="P15" s="135">
        <v>0.2845949403065528</v>
      </c>
      <c r="Q15" s="135">
        <v>2.2377827393972566E-2</v>
      </c>
      <c r="R15" s="135">
        <v>7.7148392896408707E-2</v>
      </c>
      <c r="S15" s="135">
        <v>0.10233480664410625</v>
      </c>
      <c r="T15" s="135">
        <v>9.8839149023751391E-2</v>
      </c>
      <c r="U15" s="135">
        <v>8.7458238754053161E-2</v>
      </c>
      <c r="V15" s="135">
        <v>8.5009590670347482E-2</v>
      </c>
      <c r="W15" s="135">
        <v>7.324834401865378E-2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3.4087436604353289</v>
      </c>
      <c r="D16" s="131">
        <f t="shared" si="4"/>
        <v>4.110868455733673</v>
      </c>
      <c r="E16" s="131">
        <f t="shared" si="4"/>
        <v>5.2857413989203366</v>
      </c>
      <c r="F16" s="131">
        <f t="shared" si="4"/>
        <v>2.9506112003533218</v>
      </c>
      <c r="G16" s="131">
        <f t="shared" si="4"/>
        <v>4.1987118514111916</v>
      </c>
      <c r="H16" s="131">
        <f t="shared" si="4"/>
        <v>3.0510634632846867</v>
      </c>
      <c r="I16" s="131">
        <f t="shared" si="4"/>
        <v>4.4522183637395294</v>
      </c>
      <c r="J16" s="131">
        <f t="shared" si="4"/>
        <v>0.65339291256583143</v>
      </c>
      <c r="K16" s="131">
        <f t="shared" si="4"/>
        <v>0.64645565596511023</v>
      </c>
      <c r="L16" s="131">
        <f t="shared" si="4"/>
        <v>0.70611581762900966</v>
      </c>
      <c r="M16" s="131">
        <f t="shared" si="4"/>
        <v>1.3664594917766844</v>
      </c>
      <c r="N16" s="131">
        <f t="shared" si="4"/>
        <v>2.3022202413648043</v>
      </c>
      <c r="O16" s="131">
        <f t="shared" si="4"/>
        <v>2.4372018880719382</v>
      </c>
      <c r="P16" s="131">
        <f t="shared" si="4"/>
        <v>5.3300316997616504</v>
      </c>
      <c r="Q16" s="131">
        <f t="shared" si="4"/>
        <v>1.0387543976215368</v>
      </c>
      <c r="R16" s="131">
        <f t="shared" ref="R16:W16" si="5">SUM(R17:R18)</f>
        <v>2.2406978337102941</v>
      </c>
      <c r="S16" s="131">
        <f t="shared" si="5"/>
        <v>3.4704953346565275</v>
      </c>
      <c r="T16" s="131">
        <f t="shared" si="5"/>
        <v>3.2373252597958539</v>
      </c>
      <c r="U16" s="131">
        <f t="shared" si="5"/>
        <v>3.0210538513888814</v>
      </c>
      <c r="V16" s="131">
        <f t="shared" si="5"/>
        <v>2.3250365140597076</v>
      </c>
      <c r="W16" s="131">
        <f t="shared" si="5"/>
        <v>2.6237101660704947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1.4449712456900608E-2</v>
      </c>
      <c r="D17" s="133">
        <v>1.9470680189508049E-2</v>
      </c>
      <c r="E17" s="133">
        <v>2.2533649762024589E-2</v>
      </c>
      <c r="F17" s="133">
        <v>5.782758433558936E-3</v>
      </c>
      <c r="G17" s="133">
        <v>1.5315554552475661E-2</v>
      </c>
      <c r="H17" s="133">
        <v>1.3815262344661492E-2</v>
      </c>
      <c r="I17" s="133">
        <v>1.9269516845291254E-2</v>
      </c>
      <c r="J17" s="133">
        <v>1.8084008989825799E-3</v>
      </c>
      <c r="K17" s="133">
        <v>3.5308362444728923E-3</v>
      </c>
      <c r="L17" s="133">
        <v>5.1872441739648639E-3</v>
      </c>
      <c r="M17" s="133">
        <v>1.0132795758933562E-2</v>
      </c>
      <c r="N17" s="133">
        <v>1.7741585137691432E-2</v>
      </c>
      <c r="O17" s="133">
        <v>1.9192432673022057E-2</v>
      </c>
      <c r="P17" s="133">
        <v>3.0740149568229829E-2</v>
      </c>
      <c r="Q17" s="133">
        <v>8.4153768864166992E-3</v>
      </c>
      <c r="R17" s="133">
        <v>1.6879202836661788E-2</v>
      </c>
      <c r="S17" s="133">
        <v>4.5280724736368745E-2</v>
      </c>
      <c r="T17" s="133">
        <v>3.0629882284388957E-2</v>
      </c>
      <c r="U17" s="133">
        <v>5.5335498873904418E-2</v>
      </c>
      <c r="V17" s="133">
        <v>3.9346885685937943E-2</v>
      </c>
      <c r="W17" s="133">
        <v>2.4128529474689152E-2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3.3942939479784284</v>
      </c>
      <c r="D18" s="133">
        <v>4.0913977755441646</v>
      </c>
      <c r="E18" s="133">
        <v>5.2632077491583118</v>
      </c>
      <c r="F18" s="133">
        <v>2.9448284419197628</v>
      </c>
      <c r="G18" s="133">
        <v>4.1833962968587164</v>
      </c>
      <c r="H18" s="133">
        <v>3.037248200940025</v>
      </c>
      <c r="I18" s="133">
        <v>4.432948846894238</v>
      </c>
      <c r="J18" s="133">
        <v>0.65158451166684883</v>
      </c>
      <c r="K18" s="133">
        <v>0.64292481972063731</v>
      </c>
      <c r="L18" s="133">
        <v>0.70092857345504478</v>
      </c>
      <c r="M18" s="133">
        <v>1.3563266960177507</v>
      </c>
      <c r="N18" s="133">
        <v>2.2844786562271127</v>
      </c>
      <c r="O18" s="133">
        <v>2.418009455398916</v>
      </c>
      <c r="P18" s="133">
        <v>5.2992915501934208</v>
      </c>
      <c r="Q18" s="133">
        <v>1.03033902073512</v>
      </c>
      <c r="R18" s="133">
        <v>2.2238186308736321</v>
      </c>
      <c r="S18" s="133">
        <v>3.4252146099201588</v>
      </c>
      <c r="T18" s="133">
        <v>3.2066953775114651</v>
      </c>
      <c r="U18" s="133">
        <v>2.9657183525149771</v>
      </c>
      <c r="V18" s="133">
        <v>2.2856896283737695</v>
      </c>
      <c r="W18" s="133">
        <v>2.5995816365958055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2.7946599605348963</v>
      </c>
      <c r="D19" s="131">
        <f t="shared" si="6"/>
        <v>3.2399731513132166</v>
      </c>
      <c r="E19" s="131">
        <f t="shared" si="6"/>
        <v>5.0943857108993171</v>
      </c>
      <c r="F19" s="131">
        <f t="shared" si="6"/>
        <v>2.5725369875130424</v>
      </c>
      <c r="G19" s="131">
        <f t="shared" si="6"/>
        <v>3.6151494261221493</v>
      </c>
      <c r="H19" s="131">
        <f t="shared" si="6"/>
        <v>2.3636675500369084</v>
      </c>
      <c r="I19" s="131">
        <f t="shared" si="6"/>
        <v>3.1361082002721448</v>
      </c>
      <c r="J19" s="131">
        <f t="shared" si="6"/>
        <v>0.55389251505940129</v>
      </c>
      <c r="K19" s="131">
        <f t="shared" si="6"/>
        <v>0.56158157008061016</v>
      </c>
      <c r="L19" s="131">
        <f t="shared" si="6"/>
        <v>0.58996750831522249</v>
      </c>
      <c r="M19" s="131">
        <f t="shared" si="6"/>
        <v>1.163865410940172</v>
      </c>
      <c r="N19" s="131">
        <f t="shared" si="6"/>
        <v>1.6708209360340396</v>
      </c>
      <c r="O19" s="131">
        <f t="shared" si="6"/>
        <v>2.0582020237329228</v>
      </c>
      <c r="P19" s="131">
        <f t="shared" si="6"/>
        <v>4.9057531726332231</v>
      </c>
      <c r="Q19" s="131">
        <f t="shared" si="6"/>
        <v>0.66566442271308313</v>
      </c>
      <c r="R19" s="131">
        <f t="shared" ref="R19:W19" si="7">SUM(R20:R27)</f>
        <v>2.0806709573863014</v>
      </c>
      <c r="S19" s="131">
        <f t="shared" si="7"/>
        <v>2.6977349740105692</v>
      </c>
      <c r="T19" s="131">
        <f t="shared" si="7"/>
        <v>2.7005458688250559</v>
      </c>
      <c r="U19" s="131">
        <f t="shared" si="7"/>
        <v>2.372699954829335</v>
      </c>
      <c r="V19" s="131">
        <f t="shared" si="7"/>
        <v>2.0437986169088096</v>
      </c>
      <c r="W19" s="131">
        <f t="shared" si="7"/>
        <v>2.0267694834636547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1.1458834222343226</v>
      </c>
      <c r="D23" s="133">
        <v>1.6996478598890341</v>
      </c>
      <c r="E23" s="133">
        <v>2.4098703620737512</v>
      </c>
      <c r="F23" s="133">
        <v>1.4604366982327535</v>
      </c>
      <c r="G23" s="133">
        <v>1.726283233609343</v>
      </c>
      <c r="H23" s="133">
        <v>1.2946512251050912</v>
      </c>
      <c r="I23" s="133">
        <v>2.0985160202823443</v>
      </c>
      <c r="J23" s="133">
        <v>0.38078892420013388</v>
      </c>
      <c r="K23" s="133">
        <v>0.4139925150158697</v>
      </c>
      <c r="L23" s="133">
        <v>0.39514199153139662</v>
      </c>
      <c r="M23" s="133">
        <v>0.75202871482736822</v>
      </c>
      <c r="N23" s="133">
        <v>0.7687411042194815</v>
      </c>
      <c r="O23" s="133">
        <v>1.4789916569317425</v>
      </c>
      <c r="P23" s="133">
        <v>4.0358029722926636</v>
      </c>
      <c r="Q23" s="133">
        <v>0.38349736517846622</v>
      </c>
      <c r="R23" s="133">
        <v>1.1184925796476597</v>
      </c>
      <c r="S23" s="133">
        <v>1.514084198072299</v>
      </c>
      <c r="T23" s="133">
        <v>1.6849705833318287</v>
      </c>
      <c r="U23" s="133">
        <v>1.3659000682498603</v>
      </c>
      <c r="V23" s="133">
        <v>1.275415548336134</v>
      </c>
      <c r="W23" s="133">
        <v>1.1275176492551482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0.3776237106859579</v>
      </c>
      <c r="O24" s="133">
        <v>0.1186061944784242</v>
      </c>
      <c r="P24" s="133">
        <v>0.18488595124491564</v>
      </c>
      <c r="Q24" s="133">
        <v>4.4236859375677731E-4</v>
      </c>
      <c r="R24" s="133">
        <v>0</v>
      </c>
      <c r="S24" s="133">
        <v>0</v>
      </c>
      <c r="T24" s="133">
        <v>0</v>
      </c>
      <c r="U24" s="133">
        <v>4.1396955660659178E-3</v>
      </c>
      <c r="V24" s="133">
        <v>1.2536824365300625E-2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0.22076206281641486</v>
      </c>
      <c r="D25" s="133">
        <v>0.26022029426969567</v>
      </c>
      <c r="E25" s="133">
        <v>0.40934006246573429</v>
      </c>
      <c r="F25" s="133">
        <v>0.26743068346563176</v>
      </c>
      <c r="G25" s="133">
        <v>0.43715871719028521</v>
      </c>
      <c r="H25" s="133">
        <v>0.30677029758288932</v>
      </c>
      <c r="I25" s="133">
        <v>0.39217989694554067</v>
      </c>
      <c r="J25" s="133">
        <v>9.3952037109755138E-2</v>
      </c>
      <c r="K25" s="133">
        <v>8.0178257620948795E-2</v>
      </c>
      <c r="L25" s="133">
        <v>7.3171579935855907E-2</v>
      </c>
      <c r="M25" s="133">
        <v>0.12620557776353264</v>
      </c>
      <c r="N25" s="133">
        <v>0.16564662439815109</v>
      </c>
      <c r="O25" s="133">
        <v>0.19376260329154429</v>
      </c>
      <c r="P25" s="133">
        <v>0.3779423457294207</v>
      </c>
      <c r="Q25" s="133">
        <v>8.674868769071567E-2</v>
      </c>
      <c r="R25" s="133">
        <v>0.21402513604631584</v>
      </c>
      <c r="S25" s="133">
        <v>0.26315069768679578</v>
      </c>
      <c r="T25" s="133">
        <v>0.22435485072033362</v>
      </c>
      <c r="U25" s="133">
        <v>0.22457044299364906</v>
      </c>
      <c r="V25" s="133">
        <v>0.13953998857976446</v>
      </c>
      <c r="W25" s="133">
        <v>0.1806576397738105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1.4280144754841591</v>
      </c>
      <c r="D26" s="65">
        <v>1.2801049971544869</v>
      </c>
      <c r="E26" s="65">
        <v>2.2751752863598318</v>
      </c>
      <c r="F26" s="65">
        <v>0.84466960581465744</v>
      </c>
      <c r="G26" s="65">
        <v>1.4289507643679935</v>
      </c>
      <c r="H26" s="65">
        <v>0.73817772839370577</v>
      </c>
      <c r="I26" s="65">
        <v>0.62577129170078571</v>
      </c>
      <c r="J26" s="65">
        <v>5.9686063310006025E-2</v>
      </c>
      <c r="K26" s="65">
        <v>5.240064806917244E-2</v>
      </c>
      <c r="L26" s="65">
        <v>8.7825783220268017E-2</v>
      </c>
      <c r="M26" s="65">
        <v>0.25858802827366345</v>
      </c>
      <c r="N26" s="65">
        <v>0.35880949673044921</v>
      </c>
      <c r="O26" s="65">
        <v>0.26263555340674027</v>
      </c>
      <c r="P26" s="65">
        <v>0.28009626893208389</v>
      </c>
      <c r="Q26" s="65">
        <v>0.17743491378892456</v>
      </c>
      <c r="R26" s="65">
        <v>0.7481532398911962</v>
      </c>
      <c r="S26" s="65">
        <v>0.89692130227994749</v>
      </c>
      <c r="T26" s="65">
        <v>0.78164573463216291</v>
      </c>
      <c r="U26" s="65">
        <v>0.74246880035404206</v>
      </c>
      <c r="V26" s="65">
        <v>0.57592597434698622</v>
      </c>
      <c r="W26" s="65">
        <v>0.71859419443469585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2.275671095452789E-2</v>
      </c>
      <c r="H27" s="148">
        <v>2.4068298955221969E-2</v>
      </c>
      <c r="I27" s="148">
        <v>1.9640991343474242E-2</v>
      </c>
      <c r="J27" s="148">
        <v>1.9465490439506308E-2</v>
      </c>
      <c r="K27" s="148">
        <v>1.5010149374619204E-2</v>
      </c>
      <c r="L27" s="148">
        <v>3.3828153627701973E-2</v>
      </c>
      <c r="M27" s="148">
        <v>2.7043090075607852E-2</v>
      </c>
      <c r="N27" s="148">
        <v>0</v>
      </c>
      <c r="O27" s="148">
        <v>4.2060156244716042E-3</v>
      </c>
      <c r="P27" s="148">
        <v>2.7025634434138961E-2</v>
      </c>
      <c r="Q27" s="148">
        <v>1.7541087461219948E-2</v>
      </c>
      <c r="R27" s="148">
        <v>1.8011296494744583E-9</v>
      </c>
      <c r="S27" s="148">
        <v>2.3578775971526533E-2</v>
      </c>
      <c r="T27" s="148">
        <v>9.5747001407304431E-3</v>
      </c>
      <c r="U27" s="148">
        <v>3.5620947665717786E-2</v>
      </c>
      <c r="V27" s="148">
        <v>4.0380281280624174E-2</v>
      </c>
      <c r="W27" s="148">
        <v>1.0482435574704929E-16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3.5476356456681177</v>
      </c>
      <c r="D29" s="131">
        <f t="shared" si="8"/>
        <v>3.7781090186629056</v>
      </c>
      <c r="E29" s="131">
        <f t="shared" si="8"/>
        <v>6.0400674423682528</v>
      </c>
      <c r="F29" s="131">
        <f t="shared" si="8"/>
        <v>3.1373283608402804</v>
      </c>
      <c r="G29" s="131">
        <f t="shared" si="8"/>
        <v>4.2982305575720181</v>
      </c>
      <c r="H29" s="131">
        <f t="shared" si="8"/>
        <v>2.8445136739560373</v>
      </c>
      <c r="I29" s="131">
        <f t="shared" si="8"/>
        <v>3.71805098980259</v>
      </c>
      <c r="J29" s="131">
        <f t="shared" si="8"/>
        <v>0.64257611401785319</v>
      </c>
      <c r="K29" s="131">
        <f t="shared" si="8"/>
        <v>0.64224731776502897</v>
      </c>
      <c r="L29" s="131">
        <f t="shared" si="8"/>
        <v>0.696817628052947</v>
      </c>
      <c r="M29" s="131">
        <f t="shared" si="8"/>
        <v>1.3706506270217509</v>
      </c>
      <c r="N29" s="131">
        <f t="shared" si="8"/>
        <v>1.8320900124231199</v>
      </c>
      <c r="O29" s="131">
        <f t="shared" si="8"/>
        <v>2.3775438658088444</v>
      </c>
      <c r="P29" s="131">
        <f t="shared" si="8"/>
        <v>5.5813482730014741</v>
      </c>
      <c r="Q29" s="131">
        <f t="shared" si="8"/>
        <v>0.76688650738040653</v>
      </c>
      <c r="R29" s="131">
        <f t="shared" ref="R29:W29" si="9">SUM(R30:R33)</f>
        <v>2.3879200114779464</v>
      </c>
      <c r="S29" s="131">
        <f t="shared" si="9"/>
        <v>3.0637690601658516</v>
      </c>
      <c r="T29" s="131">
        <f t="shared" si="9"/>
        <v>3.1130835878718726</v>
      </c>
      <c r="U29" s="131">
        <f t="shared" si="9"/>
        <v>2.7421324832061371</v>
      </c>
      <c r="V29" s="131">
        <f t="shared" si="9"/>
        <v>2.5210262451631378</v>
      </c>
      <c r="W29" s="131">
        <f t="shared" si="9"/>
        <v>2.5491725471724149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0.23020093019434384</v>
      </c>
      <c r="D30" s="133">
        <v>0.37402329334620232</v>
      </c>
      <c r="E30" s="133">
        <v>0</v>
      </c>
      <c r="F30" s="133">
        <v>0</v>
      </c>
      <c r="G30" s="133">
        <v>0</v>
      </c>
      <c r="H30" s="133">
        <v>0.20135596633663094</v>
      </c>
      <c r="I30" s="133">
        <v>0.48176367746468218</v>
      </c>
      <c r="J30" s="133">
        <v>7.0061245816477616E-2</v>
      </c>
      <c r="K30" s="133">
        <v>8.6531807342340505E-2</v>
      </c>
      <c r="L30" s="133">
        <v>8.4153550415419595E-2</v>
      </c>
      <c r="M30" s="133">
        <v>0</v>
      </c>
      <c r="N30" s="133">
        <v>0</v>
      </c>
      <c r="O30" s="133">
        <v>0</v>
      </c>
      <c r="P30" s="133">
        <v>8.293456858219217E-2</v>
      </c>
      <c r="Q30" s="133">
        <v>2.0535172441981719E-2</v>
      </c>
      <c r="R30" s="133">
        <v>3.7414097658064936E-2</v>
      </c>
      <c r="S30" s="133">
        <v>0.1026508437708097</v>
      </c>
      <c r="T30" s="133">
        <v>0.35962048692589682</v>
      </c>
      <c r="U30" s="133">
        <v>0.26522229445249745</v>
      </c>
      <c r="V30" s="133">
        <v>0.31498714121100696</v>
      </c>
      <c r="W30" s="133">
        <v>0.13454195330942414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1.2218674497151261</v>
      </c>
      <c r="D31" s="133">
        <v>1.715256636478542</v>
      </c>
      <c r="E31" s="133">
        <v>3.0507679107303232</v>
      </c>
      <c r="F31" s="133">
        <v>1.9773393244520434</v>
      </c>
      <c r="G31" s="133">
        <v>2.6132135287238181</v>
      </c>
      <c r="H31" s="133">
        <v>1.6351004936460451</v>
      </c>
      <c r="I31" s="133">
        <v>1.6829887227031479</v>
      </c>
      <c r="J31" s="133">
        <v>0.29970105110415479</v>
      </c>
      <c r="K31" s="133">
        <v>0.23980693169166414</v>
      </c>
      <c r="L31" s="133">
        <v>0.33841182606992409</v>
      </c>
      <c r="M31" s="133">
        <v>1.2126987367196989</v>
      </c>
      <c r="N31" s="133">
        <v>1.4285847254378561</v>
      </c>
      <c r="O31" s="133">
        <v>1.5924322629842849</v>
      </c>
      <c r="P31" s="133">
        <v>3.2634586288446394</v>
      </c>
      <c r="Q31" s="133">
        <v>0.41088243265827912</v>
      </c>
      <c r="R31" s="133">
        <v>1.0987505762076439</v>
      </c>
      <c r="S31" s="133">
        <v>1.4592044920340301</v>
      </c>
      <c r="T31" s="133">
        <v>1.4070622989766752</v>
      </c>
      <c r="U31" s="133">
        <v>1.3472984699030075</v>
      </c>
      <c r="V31" s="133">
        <v>1.313082988900796</v>
      </c>
      <c r="W31" s="133">
        <v>1.5345587903257834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2.0955672657586479</v>
      </c>
      <c r="D33" s="68">
        <v>1.6888290888381612</v>
      </c>
      <c r="E33" s="68">
        <v>2.9892995316379296</v>
      </c>
      <c r="F33" s="68">
        <v>1.1599890363882368</v>
      </c>
      <c r="G33" s="68">
        <v>1.6850170288482003</v>
      </c>
      <c r="H33" s="68">
        <v>1.0080572139733612</v>
      </c>
      <c r="I33" s="68">
        <v>1.5532985896347598</v>
      </c>
      <c r="J33" s="68">
        <v>0.27281381709722086</v>
      </c>
      <c r="K33" s="68">
        <v>0.31590857873102435</v>
      </c>
      <c r="L33" s="68">
        <v>0.27425225156760336</v>
      </c>
      <c r="M33" s="68">
        <v>0.15795189030205198</v>
      </c>
      <c r="N33" s="68">
        <v>0.40350528698526378</v>
      </c>
      <c r="O33" s="68">
        <v>0.78511160282455961</v>
      </c>
      <c r="P33" s="68">
        <v>2.2349550755746423</v>
      </c>
      <c r="Q33" s="68">
        <v>0.3354689022801457</v>
      </c>
      <c r="R33" s="68">
        <v>1.2517553376122375</v>
      </c>
      <c r="S33" s="68">
        <v>1.5019137243610119</v>
      </c>
      <c r="T33" s="68">
        <v>1.3464008019693006</v>
      </c>
      <c r="U33" s="68">
        <v>1.1296117188506323</v>
      </c>
      <c r="V33" s="68">
        <v>0.89295611505133454</v>
      </c>
      <c r="W33" s="68">
        <v>0.88007180353720749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0.67394377845061282</v>
      </c>
      <c r="D3" s="127">
        <f>IF(SER_hh_tes_in!D3=0,"",SER_hh_tes_in!D3/SER_hh_fec_in!D3)</f>
        <v>0.67057841317837419</v>
      </c>
      <c r="E3" s="127">
        <f>IF(SER_hh_tes_in!E3=0,"",SER_hh_tes_in!E3/SER_hh_fec_in!E3)</f>
        <v>0.66911683199387217</v>
      </c>
      <c r="F3" s="127">
        <f>IF(SER_hh_tes_in!F3=0,"",SER_hh_tes_in!F3/SER_hh_fec_in!F3)</f>
        <v>0.67474869323936104</v>
      </c>
      <c r="G3" s="127">
        <f>IF(SER_hh_tes_in!G3=0,"",SER_hh_tes_in!G3/SER_hh_fec_in!G3)</f>
        <v>0.71705857468049727</v>
      </c>
      <c r="H3" s="127">
        <f>IF(SER_hh_tes_in!H3=0,"",SER_hh_tes_in!H3/SER_hh_fec_in!H3)</f>
        <v>0.7647180800091955</v>
      </c>
      <c r="I3" s="127">
        <f>IF(SER_hh_tes_in!I3=0,"",SER_hh_tes_in!I3/SER_hh_fec_in!I3)</f>
        <v>0.79599762335308233</v>
      </c>
      <c r="J3" s="127">
        <f>IF(SER_hh_tes_in!J3=0,"",SER_hh_tes_in!J3/SER_hh_fec_in!J3)</f>
        <v>0.78879970874366434</v>
      </c>
      <c r="K3" s="127">
        <f>IF(SER_hh_tes_in!K3=0,"",SER_hh_tes_in!K3/SER_hh_fec_in!K3)</f>
        <v>0.7497805424207149</v>
      </c>
      <c r="L3" s="127">
        <f>IF(SER_hh_tes_in!L3=0,"",SER_hh_tes_in!L3/SER_hh_fec_in!L3)</f>
        <v>0.73287403481044056</v>
      </c>
      <c r="M3" s="127">
        <f>IF(SER_hh_tes_in!M3=0,"",SER_hh_tes_in!M3/SER_hh_fec_in!M3)</f>
        <v>0.73686976507938828</v>
      </c>
      <c r="N3" s="127">
        <f>IF(SER_hh_tes_in!N3=0,"",SER_hh_tes_in!N3/SER_hh_fec_in!N3)</f>
        <v>0.78483383210379754</v>
      </c>
      <c r="O3" s="127">
        <f>IF(SER_hh_tes_in!O3=0,"",SER_hh_tes_in!O3/SER_hh_fec_in!O3)</f>
        <v>0.7949023294325579</v>
      </c>
      <c r="P3" s="127">
        <f>IF(SER_hh_tes_in!P3=0,"",SER_hh_tes_in!P3/SER_hh_fec_in!P3)</f>
        <v>0.820816444959512</v>
      </c>
      <c r="Q3" s="127">
        <f>IF(SER_hh_tes_in!Q3=0,"",SER_hh_tes_in!Q3/SER_hh_fec_in!Q3)</f>
        <v>0.89302589231305274</v>
      </c>
      <c r="R3" s="127">
        <f>IF(SER_hh_tes_in!R3=0,"",SER_hh_tes_in!R3/SER_hh_fec_in!R3)</f>
        <v>0.87045523347429676</v>
      </c>
      <c r="S3" s="127">
        <f>IF(SER_hh_tes_in!S3=0,"",SER_hh_tes_in!S3/SER_hh_fec_in!S3)</f>
        <v>0.89730157169930314</v>
      </c>
      <c r="T3" s="127">
        <f>IF(SER_hh_tes_in!T3=0,"",SER_hh_tes_in!T3/SER_hh_fec_in!T3)</f>
        <v>0.89991916592905341</v>
      </c>
      <c r="U3" s="127">
        <f>IF(SER_hh_tes_in!U3=0,"",SER_hh_tes_in!U3/SER_hh_fec_in!U3)</f>
        <v>0.915146390297643</v>
      </c>
      <c r="V3" s="127">
        <f>IF(SER_hh_tes_in!V3=0,"",SER_hh_tes_in!V3/SER_hh_fec_in!V3)</f>
        <v>0.9020703422886901</v>
      </c>
      <c r="W3" s="127">
        <f>IF(SER_hh_tes_in!W3=0,"",SER_hh_tes_in!W3/SER_hh_fec_in!W3)</f>
        <v>0.92457132915626483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0.62489090076234699</v>
      </c>
      <c r="D4" s="136">
        <f>IF(SER_hh_tes_in!D4=0,"",SER_hh_tes_in!D4/SER_hh_fec_in!D4)</f>
        <v>0.61482544367179048</v>
      </c>
      <c r="E4" s="136">
        <f>IF(SER_hh_tes_in!E4=0,"",SER_hh_tes_in!E4/SER_hh_fec_in!E4)</f>
        <v>0.62044833322885906</v>
      </c>
      <c r="F4" s="136">
        <f>IF(SER_hh_tes_in!F4=0,"",SER_hh_tes_in!F4/SER_hh_fec_in!F4)</f>
        <v>0.63083367210240371</v>
      </c>
      <c r="G4" s="136">
        <f>IF(SER_hh_tes_in!G4=0,"",SER_hh_tes_in!G4/SER_hh_fec_in!G4)</f>
        <v>0.67462199431771985</v>
      </c>
      <c r="H4" s="136">
        <f>IF(SER_hh_tes_in!H4=0,"",SER_hh_tes_in!H4/SER_hh_fec_in!H4)</f>
        <v>0.71843575645056967</v>
      </c>
      <c r="I4" s="136">
        <f>IF(SER_hh_tes_in!I4=0,"",SER_hh_tes_in!I4/SER_hh_fec_in!I4)</f>
        <v>0.74294957595733446</v>
      </c>
      <c r="J4" s="136">
        <f>IF(SER_hh_tes_in!J4=0,"",SER_hh_tes_in!J4/SER_hh_fec_in!J4)</f>
        <v>0.7420366107773706</v>
      </c>
      <c r="K4" s="136">
        <f>IF(SER_hh_tes_in!K4=0,"",SER_hh_tes_in!K4/SER_hh_fec_in!K4)</f>
        <v>0.69306165105120543</v>
      </c>
      <c r="L4" s="136">
        <f>IF(SER_hh_tes_in!L4=0,"",SER_hh_tes_in!L4/SER_hh_fec_in!L4)</f>
        <v>0.67243471970990154</v>
      </c>
      <c r="M4" s="136">
        <f>IF(SER_hh_tes_in!M4=0,"",SER_hh_tes_in!M4/SER_hh_fec_in!M4)</f>
        <v>0.68223670566708394</v>
      </c>
      <c r="N4" s="136">
        <f>IF(SER_hh_tes_in!N4=0,"",SER_hh_tes_in!N4/SER_hh_fec_in!N4)</f>
        <v>0.69323977945395487</v>
      </c>
      <c r="O4" s="136">
        <f>IF(SER_hh_tes_in!O4=0,"",SER_hh_tes_in!O4/SER_hh_fec_in!O4)</f>
        <v>0.71523646410386066</v>
      </c>
      <c r="P4" s="136">
        <f>IF(SER_hh_tes_in!P4=0,"",SER_hh_tes_in!P4/SER_hh_fec_in!P4)</f>
        <v>0.73582366745241234</v>
      </c>
      <c r="Q4" s="136">
        <f>IF(SER_hh_tes_in!Q4=0,"",SER_hh_tes_in!Q4/SER_hh_fec_in!Q4)</f>
        <v>0.7751230785314257</v>
      </c>
      <c r="R4" s="136">
        <f>IF(SER_hh_tes_in!R4=0,"",SER_hh_tes_in!R4/SER_hh_fec_in!R4)</f>
        <v>0.78420965348864036</v>
      </c>
      <c r="S4" s="136">
        <f>IF(SER_hh_tes_in!S4=0,"",SER_hh_tes_in!S4/SER_hh_fec_in!S4)</f>
        <v>0.78701013339916881</v>
      </c>
      <c r="T4" s="136">
        <f>IF(SER_hh_tes_in!T4=0,"",SER_hh_tes_in!T4/SER_hh_fec_in!T4)</f>
        <v>0.79498157324513818</v>
      </c>
      <c r="U4" s="136">
        <f>IF(SER_hh_tes_in!U4=0,"",SER_hh_tes_in!U4/SER_hh_fec_in!U4)</f>
        <v>0.79576435226779818</v>
      </c>
      <c r="V4" s="136">
        <f>IF(SER_hh_tes_in!V4=0,"",SER_hh_tes_in!V4/SER_hh_fec_in!V4)</f>
        <v>0.80536899799004502</v>
      </c>
      <c r="W4" s="136">
        <f>IF(SER_hh_tes_in!W4=0,"",SER_hh_tes_in!W4/SER_hh_fec_in!W4)</f>
        <v>0.79958142434657509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>
        <f>IF(SER_hh_tes_in!M5=0,"",SER_hh_tes_in!M5/SER_hh_fec_in!M5)</f>
        <v>0.65654889838397579</v>
      </c>
      <c r="N5" s="137">
        <f>IF(SER_hh_tes_in!N5=0,"",SER_hh_tes_in!N5/SER_hh_fec_in!N5)</f>
        <v>0.66148848413783279</v>
      </c>
      <c r="O5" s="137">
        <f>IF(SER_hh_tes_in!O5=0,"",SER_hh_tes_in!O5/SER_hh_fec_in!O5)</f>
        <v>0.66603755456842162</v>
      </c>
      <c r="P5" s="137">
        <f>IF(SER_hh_tes_in!P5=0,"",SER_hh_tes_in!P5/SER_hh_fec_in!P5)</f>
        <v>0.67051912365938604</v>
      </c>
      <c r="Q5" s="137">
        <f>IF(SER_hh_tes_in!Q5=0,"",SER_hh_tes_in!Q5/SER_hh_fec_in!Q5)</f>
        <v>0.6758732357433781</v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 t="str">
        <f>IF(SER_hh_tes_in!C7=0,"",SER_hh_tes_in!C7/SER_hh_fec_in!C7)</f>
        <v/>
      </c>
      <c r="D7" s="137" t="str">
        <f>IF(SER_hh_tes_in!D7=0,"",SER_hh_tes_in!D7/SER_hh_fec_in!D7)</f>
        <v/>
      </c>
      <c r="E7" s="137" t="str">
        <f>IF(SER_hh_tes_in!E7=0,"",SER_hh_tes_in!E7/SER_hh_fec_in!E7)</f>
        <v/>
      </c>
      <c r="F7" s="137" t="str">
        <f>IF(SER_hh_tes_in!F7=0,"",SER_hh_tes_in!F7/SER_hh_fec_in!F7)</f>
        <v/>
      </c>
      <c r="G7" s="137" t="str">
        <f>IF(SER_hh_tes_in!G7=0,"",SER_hh_tes_in!G7/SER_hh_fec_in!G7)</f>
        <v/>
      </c>
      <c r="H7" s="137" t="str">
        <f>IF(SER_hh_tes_in!H7=0,"",SER_hh_tes_in!H7/SER_hh_fec_in!H7)</f>
        <v/>
      </c>
      <c r="I7" s="137" t="str">
        <f>IF(SER_hh_tes_in!I7=0,"",SER_hh_tes_in!I7/SER_hh_fec_in!I7)</f>
        <v/>
      </c>
      <c r="J7" s="137" t="str">
        <f>IF(SER_hh_tes_in!J7=0,"",SER_hh_tes_in!J7/SER_hh_fec_in!J7)</f>
        <v/>
      </c>
      <c r="K7" s="137" t="str">
        <f>IF(SER_hh_tes_in!K7=0,"",SER_hh_tes_in!K7/SER_hh_fec_in!K7)</f>
        <v/>
      </c>
      <c r="L7" s="137" t="str">
        <f>IF(SER_hh_tes_in!L7=0,"",SER_hh_tes_in!L7/SER_hh_fec_in!L7)</f>
        <v/>
      </c>
      <c r="M7" s="137" t="str">
        <f>IF(SER_hh_tes_in!M7=0,"",SER_hh_tes_in!M7/SER_hh_fec_in!M7)</f>
        <v/>
      </c>
      <c r="N7" s="137">
        <f>IF(SER_hh_tes_in!N7=0,"",SER_hh_tes_in!N7/SER_hh_fec_in!N7)</f>
        <v>0.59839428706440456</v>
      </c>
      <c r="O7" s="137">
        <f>IF(SER_hh_tes_in!O7=0,"",SER_hh_tes_in!O7/SER_hh_fec_in!O7)</f>
        <v>0.6213590671644621</v>
      </c>
      <c r="P7" s="137">
        <f>IF(SER_hh_tes_in!P7=0,"",SER_hh_tes_in!P7/SER_hh_fec_in!P7)</f>
        <v>0.64768502799442729</v>
      </c>
      <c r="Q7" s="137">
        <f>IF(SER_hh_tes_in!Q7=0,"",SER_hh_tes_in!Q7/SER_hh_fec_in!Q7)</f>
        <v>0.66947249240662166</v>
      </c>
      <c r="R7" s="137">
        <f>IF(SER_hh_tes_in!R7=0,"",SER_hh_tes_in!R7/SER_hh_fec_in!R7)</f>
        <v>0.68012936596012308</v>
      </c>
      <c r="S7" s="137">
        <f>IF(SER_hh_tes_in!S7=0,"",SER_hh_tes_in!S7/SER_hh_fec_in!S7)</f>
        <v>0.68775422770104466</v>
      </c>
      <c r="T7" s="137">
        <f>IF(SER_hh_tes_in!T7=0,"",SER_hh_tes_in!T7/SER_hh_fec_in!T7)</f>
        <v>0.69334012380761367</v>
      </c>
      <c r="U7" s="137">
        <f>IF(SER_hh_tes_in!U7=0,"",SER_hh_tes_in!U7/SER_hh_fec_in!U7)</f>
        <v>0.69769129314175171</v>
      </c>
      <c r="V7" s="137">
        <f>IF(SER_hh_tes_in!V7=0,"",SER_hh_tes_in!V7/SER_hh_fec_in!V7)</f>
        <v>0.70146638243350123</v>
      </c>
      <c r="W7" s="137">
        <f>IF(SER_hh_tes_in!W7=0,"",SER_hh_tes_in!W7/SER_hh_fec_in!W7)</f>
        <v>0.70390608004139565</v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>
        <f>IF(SER_hh_tes_in!R8=0,"",SER_hh_tes_in!R8/SER_hh_fec_in!R8)</f>
        <v>2.5655106607608893</v>
      </c>
      <c r="S8" s="137">
        <f>IF(SER_hh_tes_in!S8=0,"",SER_hh_tes_in!S8/SER_hh_fec_in!S8)</f>
        <v>2.5927828551316821</v>
      </c>
      <c r="T8" s="137">
        <f>IF(SER_hh_tes_in!T8=0,"",SER_hh_tes_in!T8/SER_hh_fec_in!T8)</f>
        <v>2.6106407685392243</v>
      </c>
      <c r="U8" s="137">
        <f>IF(SER_hh_tes_in!U8=0,"",SER_hh_tes_in!U8/SER_hh_fec_in!U8)</f>
        <v>2.6249222895743594</v>
      </c>
      <c r="V8" s="137">
        <f>IF(SER_hh_tes_in!V8=0,"",SER_hh_tes_in!V8/SER_hh_fec_in!V8)</f>
        <v>2.6416317106722587</v>
      </c>
      <c r="W8" s="137">
        <f>IF(SER_hh_tes_in!W8=0,"",SER_hh_tes_in!W8/SER_hh_fec_in!W8)</f>
        <v>2.6601200718873872</v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0.59188041917538681</v>
      </c>
      <c r="D9" s="137">
        <f>IF(SER_hh_tes_in!D9=0,"",SER_hh_tes_in!D9/SER_hh_fec_in!D9)</f>
        <v>0.59956275597090569</v>
      </c>
      <c r="E9" s="137">
        <f>IF(SER_hh_tes_in!E9=0,"",SER_hh_tes_in!E9/SER_hh_fec_in!E9)</f>
        <v>0.6072475896216819</v>
      </c>
      <c r="F9" s="137">
        <f>IF(SER_hh_tes_in!F9=0,"",SER_hh_tes_in!F9/SER_hh_fec_in!F9)</f>
        <v>0.61483759117708481</v>
      </c>
      <c r="G9" s="137">
        <f>IF(SER_hh_tes_in!G9=0,"",SER_hh_tes_in!G9/SER_hh_fec_in!G9)</f>
        <v>0.62242252753882565</v>
      </c>
      <c r="H9" s="137">
        <f>IF(SER_hh_tes_in!H9=0,"",SER_hh_tes_in!H9/SER_hh_fec_in!H9)</f>
        <v>0.62999234304582974</v>
      </c>
      <c r="I9" s="137">
        <f>IF(SER_hh_tes_in!I9=0,"",SER_hh_tes_in!I9/SER_hh_fec_in!I9)</f>
        <v>0.63757009786587104</v>
      </c>
      <c r="J9" s="137">
        <f>IF(SER_hh_tes_in!J9=0,"",SER_hh_tes_in!J9/SER_hh_fec_in!J9)</f>
        <v>0.645248106854589</v>
      </c>
      <c r="K9" s="137">
        <f>IF(SER_hh_tes_in!K9=0,"",SER_hh_tes_in!K9/SER_hh_fec_in!K9)</f>
        <v>0.65310603581587201</v>
      </c>
      <c r="L9" s="137">
        <f>IF(SER_hh_tes_in!L9=0,"",SER_hh_tes_in!L9/SER_hh_fec_in!L9)</f>
        <v>0.66116725527459086</v>
      </c>
      <c r="M9" s="137">
        <f>IF(SER_hh_tes_in!M9=0,"",SER_hh_tes_in!M9/SER_hh_fec_in!M9)</f>
        <v>0.67147145429477628</v>
      </c>
      <c r="N9" s="137">
        <f>IF(SER_hh_tes_in!N9=0,"",SER_hh_tes_in!N9/SER_hh_fec_in!N9)</f>
        <v>0.68469398370331269</v>
      </c>
      <c r="O9" s="137">
        <f>IF(SER_hh_tes_in!O9=0,"",SER_hh_tes_in!O9/SER_hh_fec_in!O9)</f>
        <v>0.70122524055596713</v>
      </c>
      <c r="P9" s="137">
        <f>IF(SER_hh_tes_in!P9=0,"",SER_hh_tes_in!P9/SER_hh_fec_in!P9)</f>
        <v>0.71958507313190223</v>
      </c>
      <c r="Q9" s="137">
        <f>IF(SER_hh_tes_in!Q9=0,"",SER_hh_tes_in!Q9/SER_hh_fec_in!Q9)</f>
        <v>0.73515310209224594</v>
      </c>
      <c r="R9" s="137">
        <f>IF(SER_hh_tes_in!R9=0,"",SER_hh_tes_in!R9/SER_hh_fec_in!R9)</f>
        <v>0.74400152114452711</v>
      </c>
      <c r="S9" s="137">
        <f>IF(SER_hh_tes_in!S9=0,"",SER_hh_tes_in!S9/SER_hh_fec_in!S9)</f>
        <v>0.75083200015994156</v>
      </c>
      <c r="T9" s="137">
        <f>IF(SER_hh_tes_in!T9=0,"",SER_hh_tes_in!T9/SER_hh_fec_in!T9)</f>
        <v>0.75627513095953036</v>
      </c>
      <c r="U9" s="137">
        <f>IF(SER_hh_tes_in!U9=0,"",SER_hh_tes_in!U9/SER_hh_fec_in!U9)</f>
        <v>0.760807294533274</v>
      </c>
      <c r="V9" s="137">
        <f>IF(SER_hh_tes_in!V9=0,"",SER_hh_tes_in!V9/SER_hh_fec_in!V9)</f>
        <v>0.76474180808725745</v>
      </c>
      <c r="W9" s="137">
        <f>IF(SER_hh_tes_in!W9=0,"",SER_hh_tes_in!W9/SER_hh_fec_in!W9)</f>
        <v>0.76746383563969933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0.54163097538118743</v>
      </c>
      <c r="D10" s="137">
        <f>IF(SER_hh_tes_in!D10=0,"",SER_hh_tes_in!D10/SER_hh_fec_in!D10)</f>
        <v>0.54190256981004936</v>
      </c>
      <c r="E10" s="137">
        <f>IF(SER_hh_tes_in!E10=0,"",SER_hh_tes_in!E10/SER_hh_fec_in!E10)</f>
        <v>0.54217674614489608</v>
      </c>
      <c r="F10" s="137">
        <f>IF(SER_hh_tes_in!F10=0,"",SER_hh_tes_in!F10/SER_hh_fec_in!F10)</f>
        <v>0.54245324082030544</v>
      </c>
      <c r="G10" s="137" t="str">
        <f>IF(SER_hh_tes_in!G10=0,"",SER_hh_tes_in!G10/SER_hh_fec_in!G10)</f>
        <v/>
      </c>
      <c r="H10" s="137" t="str">
        <f>IF(SER_hh_tes_in!H10=0,"",SER_hh_tes_in!H10/SER_hh_fec_in!H10)</f>
        <v/>
      </c>
      <c r="I10" s="137">
        <f>IF(SER_hh_tes_in!I10=0,"",SER_hh_tes_in!I10/SER_hh_fec_in!I10)</f>
        <v>0.54329371598158316</v>
      </c>
      <c r="J10" s="137">
        <f>IF(SER_hh_tes_in!J10=0,"",SER_hh_tes_in!J10/SER_hh_fec_in!J10)</f>
        <v>0.54357579364271946</v>
      </c>
      <c r="K10" s="137">
        <f>IF(SER_hh_tes_in!K10=0,"",SER_hh_tes_in!K10/SER_hh_fec_in!K10)</f>
        <v>0.54385714930907514</v>
      </c>
      <c r="L10" s="137">
        <f>IF(SER_hh_tes_in!L10=0,"",SER_hh_tes_in!L10/SER_hh_fec_in!L10)</f>
        <v>0.54413674389966726</v>
      </c>
      <c r="M10" s="137">
        <f>IF(SER_hh_tes_in!M10=0,"",SER_hh_tes_in!M10/SER_hh_fec_in!M10)</f>
        <v>0.54439423943891108</v>
      </c>
      <c r="N10" s="137">
        <f>IF(SER_hh_tes_in!N10=0,"",SER_hh_tes_in!N10/SER_hh_fec_in!N10)</f>
        <v>0.54461871803484596</v>
      </c>
      <c r="O10" s="137">
        <f>IF(SER_hh_tes_in!O10=0,"",SER_hh_tes_in!O10/SER_hh_fec_in!O10)</f>
        <v>0.54480427330569103</v>
      </c>
      <c r="P10" s="137">
        <f>IF(SER_hh_tes_in!P10=0,"",SER_hh_tes_in!P10/SER_hh_fec_in!P10)</f>
        <v>0.54496680271196063</v>
      </c>
      <c r="Q10" s="137">
        <f>IF(SER_hh_tes_in!Q10=0,"",SER_hh_tes_in!Q10/SER_hh_fec_in!Q10)</f>
        <v>0.54516029753971107</v>
      </c>
      <c r="R10" s="137">
        <f>IF(SER_hh_tes_in!R10=0,"",SER_hh_tes_in!R10/SER_hh_fec_in!R10)</f>
        <v>0.54544559955317751</v>
      </c>
      <c r="S10" s="137">
        <f>IF(SER_hh_tes_in!S10=0,"",SER_hh_tes_in!S10/SER_hh_fec_in!S10)</f>
        <v>0.54576535782722335</v>
      </c>
      <c r="T10" s="137">
        <f>IF(SER_hh_tes_in!T10=0,"",SER_hh_tes_in!T10/SER_hh_fec_in!T10)</f>
        <v>0.54608666710760556</v>
      </c>
      <c r="U10" s="137">
        <f>IF(SER_hh_tes_in!U10=0,"",SER_hh_tes_in!U10/SER_hh_fec_in!U10)</f>
        <v>0.54638263614740201</v>
      </c>
      <c r="V10" s="137" t="str">
        <f>IF(SER_hh_tes_in!V10=0,"",SER_hh_tes_in!V10/SER_hh_fec_in!V10)</f>
        <v/>
      </c>
      <c r="W10" s="137" t="str">
        <f>IF(SER_hh_tes_in!W10=0,"",SER_hh_tes_in!W10/SER_hh_fec_in!W10)</f>
        <v/>
      </c>
      <c r="DA10" s="164" t="s">
        <v>668</v>
      </c>
    </row>
    <row r="11" spans="1:105" ht="12" customHeight="1" x14ac:dyDescent="0.25">
      <c r="A11" s="132" t="s">
        <v>25</v>
      </c>
      <c r="B11" s="137"/>
      <c r="C11" s="137">
        <f>IF(SER_hh_tes_in!C11=0,"",SER_hh_tes_in!C11/SER_hh_fec_in!C11)</f>
        <v>0.79493935928015536</v>
      </c>
      <c r="D11" s="137">
        <f>IF(SER_hh_tes_in!D11=0,"",SER_hh_tes_in!D11/SER_hh_fec_in!D11)</f>
        <v>0.7963205158426313</v>
      </c>
      <c r="E11" s="137">
        <f>IF(SER_hh_tes_in!E11=0,"",SER_hh_tes_in!E11/SER_hh_fec_in!E11)</f>
        <v>0.7977018826890786</v>
      </c>
      <c r="F11" s="137" t="str">
        <f>IF(SER_hh_tes_in!F11=0,"",SER_hh_tes_in!F11/SER_hh_fec_in!F11)</f>
        <v/>
      </c>
      <c r="G11" s="137">
        <f>IF(SER_hh_tes_in!G11=0,"",SER_hh_tes_in!G11/SER_hh_fec_in!G11)</f>
        <v>0.80046486739131617</v>
      </c>
      <c r="H11" s="137">
        <f>IF(SER_hh_tes_in!H11=0,"",SER_hh_tes_in!H11/SER_hh_fec_in!H11)</f>
        <v>0.80184663003923706</v>
      </c>
      <c r="I11" s="137">
        <f>IF(SER_hh_tes_in!I11=0,"",SER_hh_tes_in!I11/SER_hh_fec_in!I11)</f>
        <v>0.80322860680645847</v>
      </c>
      <c r="J11" s="137">
        <f>IF(SER_hh_tes_in!J11=0,"",SER_hh_tes_in!J11/SER_hh_fec_in!J11)</f>
        <v>0.80461096423021394</v>
      </c>
      <c r="K11" s="137">
        <f>IF(SER_hh_tes_in!K11=0,"",SER_hh_tes_in!K11/SER_hh_fec_in!K11)</f>
        <v>0.8059938439109563</v>
      </c>
      <c r="L11" s="137">
        <f>IF(SER_hh_tes_in!L11=0,"",SER_hh_tes_in!L11/SER_hh_fec_in!L11)</f>
        <v>0.80737728373261197</v>
      </c>
      <c r="M11" s="137">
        <f>IF(SER_hh_tes_in!M11=0,"",SER_hh_tes_in!M11/SER_hh_fec_in!M11)</f>
        <v>0.80877550728062853</v>
      </c>
      <c r="N11" s="137">
        <f>IF(SER_hh_tes_in!N11=0,"",SER_hh_tes_in!N11/SER_hh_fec_in!N11)</f>
        <v>0.81019383407070533</v>
      </c>
      <c r="O11" s="137">
        <f>IF(SER_hh_tes_in!O11=0,"",SER_hh_tes_in!O11/SER_hh_fec_in!O11)</f>
        <v>0.81162580589314925</v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>
        <f>IF(SER_hh_tes_in!S11=0,"",SER_hh_tes_in!S11/SER_hh_fec_in!S11)</f>
        <v>0.81656324219579135</v>
      </c>
      <c r="T11" s="137">
        <f>IF(SER_hh_tes_in!T11=0,"",SER_hh_tes_in!T11/SER_hh_fec_in!T11)</f>
        <v>0.81754831971525643</v>
      </c>
      <c r="U11" s="137">
        <f>IF(SER_hh_tes_in!U11=0,"",SER_hh_tes_in!U11/SER_hh_fec_in!U11)</f>
        <v>0.81847963193186457</v>
      </c>
      <c r="V11" s="137">
        <f>IF(SER_hh_tes_in!V11=0,"",SER_hh_tes_in!V11/SER_hh_fec_in!V11)</f>
        <v>0.81937572185381036</v>
      </c>
      <c r="W11" s="137">
        <f>IF(SER_hh_tes_in!W11=0,"",SER_hh_tes_in!W11/SER_hh_fec_in!W11)</f>
        <v>0.82021354416982184</v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0.80125367435827688</v>
      </c>
      <c r="D12" s="137">
        <f>IF(SER_hh_tes_in!D12=0,"",SER_hh_tes_in!D12/SER_hh_fec_in!D12)</f>
        <v>0.80292352036469794</v>
      </c>
      <c r="E12" s="137">
        <f>IF(SER_hh_tes_in!E12=0,"",SER_hh_tes_in!E12/SER_hh_fec_in!E12)</f>
        <v>0.80463844785680716</v>
      </c>
      <c r="F12" s="137" t="str">
        <f>IF(SER_hh_tes_in!F12=0,"",SER_hh_tes_in!F12/SER_hh_fec_in!F12)</f>
        <v/>
      </c>
      <c r="G12" s="137">
        <f>IF(SER_hh_tes_in!G12=0,"",SER_hh_tes_in!G12/SER_hh_fec_in!G12)</f>
        <v>0.80812211518833699</v>
      </c>
      <c r="H12" s="137">
        <f>IF(SER_hh_tes_in!H12=0,"",SER_hh_tes_in!H12/SER_hh_fec_in!H12)</f>
        <v>0.80992189612101706</v>
      </c>
      <c r="I12" s="137">
        <f>IF(SER_hh_tes_in!I12=0,"",SER_hh_tes_in!I12/SER_hh_fec_in!I12)</f>
        <v>0.81176758077193123</v>
      </c>
      <c r="J12" s="137">
        <f>IF(SER_hh_tes_in!J12=0,"",SER_hh_tes_in!J12/SER_hh_fec_in!J12)</f>
        <v>0.8136948720330397</v>
      </c>
      <c r="K12" s="137">
        <f>IF(SER_hh_tes_in!K12=0,"",SER_hh_tes_in!K12/SER_hh_fec_in!K12)</f>
        <v>0.81573412675348556</v>
      </c>
      <c r="L12" s="137">
        <f>IF(SER_hh_tes_in!L12=0,"",SER_hh_tes_in!L12/SER_hh_fec_in!L12)</f>
        <v>0.8178934666349823</v>
      </c>
      <c r="M12" s="137">
        <f>IF(SER_hh_tes_in!M12=0,"",SER_hh_tes_in!M12/SER_hh_fec_in!M12)</f>
        <v>0.82088334227503446</v>
      </c>
      <c r="N12" s="137">
        <f>IF(SER_hh_tes_in!N12=0,"",SER_hh_tes_in!N12/SER_hh_fec_in!N12)</f>
        <v>0.82492838032933669</v>
      </c>
      <c r="O12" s="137">
        <f>IF(SER_hh_tes_in!O12=0,"",SER_hh_tes_in!O12/SER_hh_fec_in!O12)</f>
        <v>0.83022549335696816</v>
      </c>
      <c r="P12" s="137">
        <f>IF(SER_hh_tes_in!P12=0,"",SER_hh_tes_in!P12/SER_hh_fec_in!P12)</f>
        <v>0.83640004077721064</v>
      </c>
      <c r="Q12" s="137">
        <f>IF(SER_hh_tes_in!Q12=0,"",SER_hh_tes_in!Q12/SER_hh_fec_in!Q12)</f>
        <v>0.84222558459873875</v>
      </c>
      <c r="R12" s="137">
        <f>IF(SER_hh_tes_in!R12=0,"",SER_hh_tes_in!R12/SER_hh_fec_in!R12)</f>
        <v>0.8466895043965974</v>
      </c>
      <c r="S12" s="137">
        <f>IF(SER_hh_tes_in!S12=0,"",SER_hh_tes_in!S12/SER_hh_fec_in!S12)</f>
        <v>0.85103215213400918</v>
      </c>
      <c r="T12" s="137">
        <f>IF(SER_hh_tes_in!T12=0,"",SER_hh_tes_in!T12/SER_hh_fec_in!T12)</f>
        <v>0.85522451210081385</v>
      </c>
      <c r="U12" s="137">
        <f>IF(SER_hh_tes_in!U12=0,"",SER_hh_tes_in!U12/SER_hh_fec_in!U12)</f>
        <v>0.85923756858686473</v>
      </c>
      <c r="V12" s="137">
        <f>IF(SER_hh_tes_in!V12=0,"",SER_hh_tes_in!V12/SER_hh_fec_in!V12)</f>
        <v>0.86304230588200959</v>
      </c>
      <c r="W12" s="137">
        <f>IF(SER_hh_tes_in!W12=0,"",SER_hh_tes_in!W12/SER_hh_fec_in!W12)</f>
        <v>0.86654720227554294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1.4039027096885461</v>
      </c>
      <c r="D13" s="137">
        <f>IF(SER_hh_tes_in!D13=0,"",SER_hh_tes_in!D13/SER_hh_fec_in!D13)</f>
        <v>1.5193402786327643</v>
      </c>
      <c r="E13" s="137">
        <f>IF(SER_hh_tes_in!E13=0,"",SER_hh_tes_in!E13/SER_hh_fec_in!E13)</f>
        <v>1.6380839987916536</v>
      </c>
      <c r="F13" s="137">
        <f>IF(SER_hh_tes_in!F13=0,"",SER_hh_tes_in!F13/SER_hh_fec_in!F13)</f>
        <v>1.7596402706666492</v>
      </c>
      <c r="G13" s="137">
        <f>IF(SER_hh_tes_in!G13=0,"",SER_hh_tes_in!G13/SER_hh_fec_in!G13)</f>
        <v>1.8844191712572216</v>
      </c>
      <c r="H13" s="137">
        <f>IF(SER_hh_tes_in!H13=0,"",SER_hh_tes_in!H13/SER_hh_fec_in!H13)</f>
        <v>2.0123433231778565</v>
      </c>
      <c r="I13" s="137">
        <f>IF(SER_hh_tes_in!I13=0,"",SER_hh_tes_in!I13/SER_hh_fec_in!I13)</f>
        <v>2.1434854494006386</v>
      </c>
      <c r="J13" s="137">
        <f>IF(SER_hh_tes_in!J13=0,"",SER_hh_tes_in!J13/SER_hh_fec_in!J13)</f>
        <v>2.2782065449280542</v>
      </c>
      <c r="K13" s="137">
        <f>IF(SER_hh_tes_in!K13=0,"",SER_hh_tes_in!K13/SER_hh_fec_in!K13)</f>
        <v>2.4167737736938202</v>
      </c>
      <c r="L13" s="137">
        <f>IF(SER_hh_tes_in!L13=0,"",SER_hh_tes_in!L13/SER_hh_fec_in!L13)</f>
        <v>2.5591865653522197</v>
      </c>
      <c r="M13" s="137">
        <f>IF(SER_hh_tes_in!M13=0,"",SER_hh_tes_in!M13/SER_hh_fec_in!M13)</f>
        <v>2.7157806501643815</v>
      </c>
      <c r="N13" s="137">
        <f>IF(SER_hh_tes_in!N13=0,"",SER_hh_tes_in!N13/SER_hh_fec_in!N13)</f>
        <v>2.8891816302214357</v>
      </c>
      <c r="O13" s="137">
        <f>IF(SER_hh_tes_in!O13=0,"",SER_hh_tes_in!O13/SER_hh_fec_in!O13)</f>
        <v>3.0776373549912579</v>
      </c>
      <c r="P13" s="137">
        <f>IF(SER_hh_tes_in!P13=0,"",SER_hh_tes_in!P13/SER_hh_fec_in!P13)</f>
        <v>3.2667997911571813</v>
      </c>
      <c r="Q13" s="137">
        <f>IF(SER_hh_tes_in!Q13=0,"",SER_hh_tes_in!Q13/SER_hh_fec_in!Q13)</f>
        <v>3.4218632994511466</v>
      </c>
      <c r="R13" s="137">
        <f>IF(SER_hh_tes_in!R13=0,"",SER_hh_tes_in!R13/SER_hh_fec_in!R13)</f>
        <v>3.4812147233613993</v>
      </c>
      <c r="S13" s="137">
        <f>IF(SER_hh_tes_in!S13=0,"",SER_hh_tes_in!S13/SER_hh_fec_in!S13)</f>
        <v>3.5187818452267616</v>
      </c>
      <c r="T13" s="137">
        <f>IF(SER_hh_tes_in!T13=0,"",SER_hh_tes_in!T13/SER_hh_fec_in!T13)</f>
        <v>3.5428761185913094</v>
      </c>
      <c r="U13" s="137">
        <f>IF(SER_hh_tes_in!U13=0,"",SER_hh_tes_in!U13/SER_hh_fec_in!U13)</f>
        <v>3.5620518555157838</v>
      </c>
      <c r="V13" s="137">
        <f>IF(SER_hh_tes_in!V13=0,"",SER_hh_tes_in!V13/SER_hh_fec_in!V13)</f>
        <v>3.5851993839825607</v>
      </c>
      <c r="W13" s="137">
        <f>IF(SER_hh_tes_in!W13=0,"",SER_hh_tes_in!W13/SER_hh_fec_in!W13)</f>
        <v>3.6116617430671787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0.72589141147895742</v>
      </c>
      <c r="D14" s="138" t="str">
        <f>IF(SER_hh_tes_in!D14=0,"",SER_hh_tes_in!D14/SER_hh_fec_in!D14)</f>
        <v/>
      </c>
      <c r="E14" s="138">
        <f>IF(SER_hh_tes_in!E14=0,"",SER_hh_tes_in!E14/SER_hh_fec_in!E14)</f>
        <v>0.7321918780053861</v>
      </c>
      <c r="F14" s="138">
        <f>IF(SER_hh_tes_in!F14=0,"",SER_hh_tes_in!F14/SER_hh_fec_in!F14)</f>
        <v>0.73539278773201067</v>
      </c>
      <c r="G14" s="138">
        <f>IF(SER_hh_tes_in!G14=0,"",SER_hh_tes_in!G14/SER_hh_fec_in!G14)</f>
        <v>0.73866713658353411</v>
      </c>
      <c r="H14" s="138">
        <f>IF(SER_hh_tes_in!H14=0,"",SER_hh_tes_in!H14/SER_hh_fec_in!H14)</f>
        <v>0.74200721112704726</v>
      </c>
      <c r="I14" s="138">
        <f>IF(SER_hh_tes_in!I14=0,"",SER_hh_tes_in!I14/SER_hh_fec_in!I14)</f>
        <v>0.74542838714955084</v>
      </c>
      <c r="J14" s="138">
        <f>IF(SER_hh_tes_in!J14=0,"",SER_hh_tes_in!J14/SER_hh_fec_in!J14)</f>
        <v>0.74899375984398897</v>
      </c>
      <c r="K14" s="138">
        <f>IF(SER_hh_tes_in!K14=0,"",SER_hh_tes_in!K14/SER_hh_fec_in!K14)</f>
        <v>0.75275679227715275</v>
      </c>
      <c r="L14" s="138" t="str">
        <f>IF(SER_hh_tes_in!L14=0,"",SER_hh_tes_in!L14/SER_hh_fec_in!L14)</f>
        <v/>
      </c>
      <c r="M14" s="138" t="str">
        <f>IF(SER_hh_tes_in!M14=0,"",SER_hh_tes_in!M14/SER_hh_fec_in!M14)</f>
        <v/>
      </c>
      <c r="N14" s="138" t="str">
        <f>IF(SER_hh_tes_in!N14=0,"",SER_hh_tes_in!N14/SER_hh_fec_in!N14)</f>
        <v/>
      </c>
      <c r="O14" s="138" t="str">
        <f>IF(SER_hh_tes_in!O14=0,"",SER_hh_tes_in!O14/SER_hh_fec_in!O14)</f>
        <v/>
      </c>
      <c r="P14" s="138">
        <f>IF(SER_hh_tes_in!P14=0,"",SER_hh_tes_in!P14/SER_hh_fec_in!P14)</f>
        <v>0.78867143782502613</v>
      </c>
      <c r="Q14" s="138">
        <f>IF(SER_hh_tes_in!Q14=0,"",SER_hh_tes_in!Q14/SER_hh_fec_in!Q14)</f>
        <v>0.80009766685707462</v>
      </c>
      <c r="R14" s="138">
        <f>IF(SER_hh_tes_in!R14=0,"",SER_hh_tes_in!R14/SER_hh_fec_in!R14)</f>
        <v>0.81237775202330809</v>
      </c>
      <c r="S14" s="138">
        <f>IF(SER_hh_tes_in!S14=0,"",SER_hh_tes_in!S14/SER_hh_fec_in!S14)</f>
        <v>0.82667812112095107</v>
      </c>
      <c r="T14" s="138">
        <f>IF(SER_hh_tes_in!T14=0,"",SER_hh_tes_in!T14/SER_hh_fec_in!T14)</f>
        <v>0.84114766765194682</v>
      </c>
      <c r="U14" s="138">
        <f>IF(SER_hh_tes_in!U14=0,"",SER_hh_tes_in!U14/SER_hh_fec_in!U14)</f>
        <v>0.85394062776769686</v>
      </c>
      <c r="V14" s="138">
        <f>IF(SER_hh_tes_in!V14=0,"",SER_hh_tes_in!V14/SER_hh_fec_in!V14)</f>
        <v>0.86320593891184305</v>
      </c>
      <c r="W14" s="138">
        <f>IF(SER_hh_tes_in!W14=0,"",SER_hh_tes_in!W14/SER_hh_fec_in!W14)</f>
        <v>0.86786042841877364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2.2069212652361641</v>
      </c>
      <c r="D16" s="136">
        <f>IF(SER_hh_tes_in!D16=0,"",SER_hh_tes_in!D16/SER_hh_fec_in!D16)</f>
        <v>2.2741406072990684</v>
      </c>
      <c r="E16" s="136">
        <f>IF(SER_hh_tes_in!E16=0,"",SER_hh_tes_in!E16/SER_hh_fec_in!E16)</f>
        <v>2.343930867732952</v>
      </c>
      <c r="F16" s="136">
        <f>IF(SER_hh_tes_in!F16=0,"",SER_hh_tes_in!F16/SER_hh_fec_in!F16)</f>
        <v>2.4180904335849518</v>
      </c>
      <c r="G16" s="136">
        <f>IF(SER_hh_tes_in!G16=0,"",SER_hh_tes_in!G16/SER_hh_fec_in!G16)</f>
        <v>2.4841218386943238</v>
      </c>
      <c r="H16" s="136">
        <f>IF(SER_hh_tes_in!H16=0,"",SER_hh_tes_in!H16/SER_hh_fec_in!H16)</f>
        <v>2.5522073230923867</v>
      </c>
      <c r="I16" s="136">
        <f>IF(SER_hh_tes_in!I16=0,"",SER_hh_tes_in!I16/SER_hh_fec_in!I16)</f>
        <v>2.6237296360500824</v>
      </c>
      <c r="J16" s="136">
        <f>IF(SER_hh_tes_in!J16=0,"",SER_hh_tes_in!J16/SER_hh_fec_in!J16)</f>
        <v>2.7008628792788856</v>
      </c>
      <c r="K16" s="136">
        <f>IF(SER_hh_tes_in!K16=0,"",SER_hh_tes_in!K16/SER_hh_fec_in!K16)</f>
        <v>2.7663645093471314</v>
      </c>
      <c r="L16" s="136">
        <f>IF(SER_hh_tes_in!L16=0,"",SER_hh_tes_in!L16/SER_hh_fec_in!L16)</f>
        <v>2.8353726937368746</v>
      </c>
      <c r="M16" s="136">
        <f>IF(SER_hh_tes_in!M16=0,"",SER_hh_tes_in!M16/SER_hh_fec_in!M16)</f>
        <v>2.9251308435517358</v>
      </c>
      <c r="N16" s="136">
        <f>IF(SER_hh_tes_in!N16=0,"",SER_hh_tes_in!N16/SER_hh_fec_in!N16)</f>
        <v>3.0330079123324465</v>
      </c>
      <c r="O16" s="136">
        <f>IF(SER_hh_tes_in!O16=0,"",SER_hh_tes_in!O16/SER_hh_fec_in!O16)</f>
        <v>3.1626968391619932</v>
      </c>
      <c r="P16" s="136">
        <f>IF(SER_hh_tes_in!P16=0,"",SER_hh_tes_in!P16/SER_hh_fec_in!P16)</f>
        <v>3.3148673774496067</v>
      </c>
      <c r="Q16" s="136">
        <f>IF(SER_hh_tes_in!Q16=0,"",SER_hh_tes_in!Q16/SER_hh_fec_in!Q16)</f>
        <v>3.4253558732820917</v>
      </c>
      <c r="R16" s="136">
        <f>IF(SER_hh_tes_in!R16=0,"",SER_hh_tes_in!R16/SER_hh_fec_in!R16)</f>
        <v>3.5055774138236053</v>
      </c>
      <c r="S16" s="136">
        <f>IF(SER_hh_tes_in!S16=0,"",SER_hh_tes_in!S16/SER_hh_fec_in!S16)</f>
        <v>3.5374978549045797</v>
      </c>
      <c r="T16" s="136">
        <f>IF(SER_hh_tes_in!T16=0,"",SER_hh_tes_in!T16/SER_hh_fec_in!T16)</f>
        <v>3.6088317003179498</v>
      </c>
      <c r="U16" s="136">
        <f>IF(SER_hh_tes_in!U16=0,"",SER_hh_tes_in!U16/SER_hh_fec_in!U16)</f>
        <v>3.609103586234252</v>
      </c>
      <c r="V16" s="136">
        <f>IF(SER_hh_tes_in!V16=0,"",SER_hh_tes_in!V16/SER_hh_fec_in!V16)</f>
        <v>3.6649295537073892</v>
      </c>
      <c r="W16" s="136">
        <f>IF(SER_hh_tes_in!W16=0,"",SER_hh_tes_in!W16/SER_hh_fec_in!W16)</f>
        <v>3.7533950432715759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1.2495655147615166</v>
      </c>
      <c r="D17" s="137">
        <f>IF(SER_hh_tes_in!D17=0,"",SER_hh_tes_in!D17/SER_hh_fec_in!D17)</f>
        <v>1.2524121760290863</v>
      </c>
      <c r="E17" s="137">
        <f>IF(SER_hh_tes_in!E17=0,"",SER_hh_tes_in!E17/SER_hh_fec_in!E17)</f>
        <v>1.2545801296074095</v>
      </c>
      <c r="F17" s="137">
        <f>IF(SER_hh_tes_in!F17=0,"",SER_hh_tes_in!F17/SER_hh_fec_in!F17)</f>
        <v>1.2562079941870496</v>
      </c>
      <c r="G17" s="137">
        <f>IF(SER_hh_tes_in!G17=0,"",SER_hh_tes_in!G17/SER_hh_fec_in!G17)</f>
        <v>1.2573110829559995</v>
      </c>
      <c r="H17" s="137">
        <f>IF(SER_hh_tes_in!H17=0,"",SER_hh_tes_in!H17/SER_hh_fec_in!H17)</f>
        <v>1.2581204202391634</v>
      </c>
      <c r="I17" s="137">
        <f>IF(SER_hh_tes_in!I17=0,"",SER_hh_tes_in!I17/SER_hh_fec_in!I17)</f>
        <v>1.2587013443441215</v>
      </c>
      <c r="J17" s="137">
        <f>IF(SER_hh_tes_in!J17=0,"",SER_hh_tes_in!J17/SER_hh_fec_in!J17)</f>
        <v>1.2592867890399722</v>
      </c>
      <c r="K17" s="137">
        <f>IF(SER_hh_tes_in!K17=0,"",SER_hh_tes_in!K17/SER_hh_fec_in!K17)</f>
        <v>1.2602210117298989</v>
      </c>
      <c r="L17" s="137">
        <f>IF(SER_hh_tes_in!L17=0,"",SER_hh_tes_in!L17/SER_hh_fec_in!L17)</f>
        <v>1.2617245467543257</v>
      </c>
      <c r="M17" s="137">
        <f>IF(SER_hh_tes_in!M17=0,"",SER_hh_tes_in!M17/SER_hh_fec_in!M17)</f>
        <v>1.2666801640997363</v>
      </c>
      <c r="N17" s="137">
        <f>IF(SER_hh_tes_in!N17=0,"",SER_hh_tes_in!N17/SER_hh_fec_in!N17)</f>
        <v>1.2791612832006816</v>
      </c>
      <c r="O17" s="137">
        <f>IF(SER_hh_tes_in!O17=0,"",SER_hh_tes_in!O17/SER_hh_fec_in!O17)</f>
        <v>1.3006494572635257</v>
      </c>
      <c r="P17" s="137">
        <f>IF(SER_hh_tes_in!P17=0,"",SER_hh_tes_in!P17/SER_hh_fec_in!P17)</f>
        <v>1.3307831480015797</v>
      </c>
      <c r="Q17" s="137">
        <f>IF(SER_hh_tes_in!Q17=0,"",SER_hh_tes_in!Q17/SER_hh_fec_in!Q17)</f>
        <v>1.3632249304132307</v>
      </c>
      <c r="R17" s="137">
        <f>IF(SER_hh_tes_in!R17=0,"",SER_hh_tes_in!R17/SER_hh_fec_in!R17)</f>
        <v>1.3902582507883359</v>
      </c>
      <c r="S17" s="137">
        <f>IF(SER_hh_tes_in!S17=0,"",SER_hh_tes_in!S17/SER_hh_fec_in!S17)</f>
        <v>1.4171268642309305</v>
      </c>
      <c r="T17" s="137">
        <f>IF(SER_hh_tes_in!T17=0,"",SER_hh_tes_in!T17/SER_hh_fec_in!T17)</f>
        <v>1.4486762171381804</v>
      </c>
      <c r="U17" s="137">
        <f>IF(SER_hh_tes_in!U17=0,"",SER_hh_tes_in!U17/SER_hh_fec_in!U17)</f>
        <v>1.4821445052845263</v>
      </c>
      <c r="V17" s="137">
        <f>IF(SER_hh_tes_in!V17=0,"",SER_hh_tes_in!V17/SER_hh_fec_in!V17)</f>
        <v>1.5145174731472233</v>
      </c>
      <c r="W17" s="137">
        <f>IF(SER_hh_tes_in!W17=0,"",SER_hh_tes_in!W17/SER_hh_fec_in!W17)</f>
        <v>1.5409072774913322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2.2141428032541093</v>
      </c>
      <c r="D18" s="137">
        <f>IF(SER_hh_tes_in!D18=0,"",SER_hh_tes_in!D18/SER_hh_fec_in!D18)</f>
        <v>2.2830040880363289</v>
      </c>
      <c r="E18" s="137">
        <f>IF(SER_hh_tes_in!E18=0,"",SER_hh_tes_in!E18/SER_hh_fec_in!E18)</f>
        <v>2.3526769316815965</v>
      </c>
      <c r="F18" s="137">
        <f>IF(SER_hh_tes_in!F18=0,"",SER_hh_tes_in!F18/SER_hh_fec_in!F18)</f>
        <v>2.4224902821617613</v>
      </c>
      <c r="G18" s="137">
        <f>IF(SER_hh_tes_in!G18=0,"",SER_hh_tes_in!G18/SER_hh_fec_in!G18)</f>
        <v>2.4930274885752044</v>
      </c>
      <c r="H18" s="137">
        <f>IF(SER_hh_tes_in!H18=0,"",SER_hh_tes_in!H18/SER_hh_fec_in!H18)</f>
        <v>2.564204324551286</v>
      </c>
      <c r="I18" s="137">
        <f>IF(SER_hh_tes_in!I18=0,"",SER_hh_tes_in!I18/SER_hh_fec_in!I18)</f>
        <v>2.636156692850796</v>
      </c>
      <c r="J18" s="137">
        <f>IF(SER_hh_tes_in!J18=0,"",SER_hh_tes_in!J18/SER_hh_fec_in!J18)</f>
        <v>2.709471259355237</v>
      </c>
      <c r="K18" s="137">
        <f>IF(SER_hh_tes_in!K18=0,"",SER_hh_tes_in!K18/SER_hh_fec_in!K18)</f>
        <v>2.7846415686518005</v>
      </c>
      <c r="L18" s="137">
        <f>IF(SER_hh_tes_in!L18=0,"",SER_hh_tes_in!L18/SER_hh_fec_in!L18)</f>
        <v>2.8617872521244876</v>
      </c>
      <c r="M18" s="137">
        <f>IF(SER_hh_tes_in!M18=0,"",SER_hh_tes_in!M18/SER_hh_fec_in!M18)</f>
        <v>2.9540253168927451</v>
      </c>
      <c r="N18" s="137">
        <f>IF(SER_hh_tes_in!N18=0,"",SER_hh_tes_in!N18/SER_hh_fec_in!N18)</f>
        <v>3.0656512356824965</v>
      </c>
      <c r="O18" s="137">
        <f>IF(SER_hh_tes_in!O18=0,"",SER_hh_tes_in!O18/SER_hh_fec_in!O18)</f>
        <v>3.1990484205386265</v>
      </c>
      <c r="P18" s="137">
        <f>IF(SER_hh_tes_in!P18=0,"",SER_hh_tes_in!P18/SER_hh_fec_in!P18)</f>
        <v>3.3437861240814701</v>
      </c>
      <c r="Q18" s="137">
        <f>IF(SER_hh_tes_in!Q18=0,"",SER_hh_tes_in!Q18/SER_hh_fec_in!Q18)</f>
        <v>3.4682054922160366</v>
      </c>
      <c r="R18" s="137">
        <f>IF(SER_hh_tes_in!R18=0,"",SER_hh_tes_in!R18/SER_hh_fec_in!R18)</f>
        <v>3.5465352754302679</v>
      </c>
      <c r="S18" s="137">
        <f>IF(SER_hh_tes_in!S18=0,"",SER_hh_tes_in!S18/SER_hh_fec_in!S18)</f>
        <v>3.608881936923209</v>
      </c>
      <c r="T18" s="137">
        <f>IF(SER_hh_tes_in!T18=0,"",SER_hh_tes_in!T18/SER_hh_fec_in!T18)</f>
        <v>3.6609749459602252</v>
      </c>
      <c r="U18" s="137">
        <f>IF(SER_hh_tes_in!U18=0,"",SER_hh_tes_in!U18/SER_hh_fec_in!U18)</f>
        <v>3.7083989476080235</v>
      </c>
      <c r="V18" s="137">
        <f>IF(SER_hh_tes_in!V18=0,"",SER_hh_tes_in!V18/SER_hh_fec_in!V18)</f>
        <v>3.7567529051209076</v>
      </c>
      <c r="W18" s="137">
        <f>IF(SER_hh_tes_in!W18=0,"",SER_hh_tes_in!W18/SER_hh_fec_in!W18)</f>
        <v>3.8040921049613639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0.62671354574275673</v>
      </c>
      <c r="D19" s="136">
        <f>IF(SER_hh_tes_in!D19=0,"",SER_hh_tes_in!D19/SER_hh_fec_in!D19)</f>
        <v>0.62078202504066349</v>
      </c>
      <c r="E19" s="136">
        <f>IF(SER_hh_tes_in!E19=0,"",SER_hh_tes_in!E19/SER_hh_fec_in!E19)</f>
        <v>0.62985036302488351</v>
      </c>
      <c r="F19" s="136">
        <f>IF(SER_hh_tes_in!F19=0,"",SER_hh_tes_in!F19/SER_hh_fec_in!F19)</f>
        <v>0.62914597433845176</v>
      </c>
      <c r="G19" s="136">
        <f>IF(SER_hh_tes_in!G19=0,"",SER_hh_tes_in!G19/SER_hh_fec_in!G19)</f>
        <v>0.6442470467930046</v>
      </c>
      <c r="H19" s="136">
        <f>IF(SER_hh_tes_in!H19=0,"",SER_hh_tes_in!H19/SER_hh_fec_in!H19)</f>
        <v>0.64563262222205109</v>
      </c>
      <c r="I19" s="136">
        <f>IF(SER_hh_tes_in!I19=0,"",SER_hh_tes_in!I19/SER_hh_fec_in!I19)</f>
        <v>0.64131257132627562</v>
      </c>
      <c r="J19" s="136">
        <f>IF(SER_hh_tes_in!J19=0,"",SER_hh_tes_in!J19/SER_hh_fec_in!J19)</f>
        <v>0.65663522852677414</v>
      </c>
      <c r="K19" s="136">
        <f>IF(SER_hh_tes_in!K19=0,"",SER_hh_tes_in!K19/SER_hh_fec_in!K19)</f>
        <v>0.65590803851598256</v>
      </c>
      <c r="L19" s="136">
        <f>IF(SER_hh_tes_in!L19=0,"",SER_hh_tes_in!L19/SER_hh_fec_in!L19)</f>
        <v>0.67167144345283047</v>
      </c>
      <c r="M19" s="136">
        <f>IF(SER_hh_tes_in!M19=0,"",SER_hh_tes_in!M19/SER_hh_fec_in!M19)</f>
        <v>0.67561233219195815</v>
      </c>
      <c r="N19" s="136">
        <f>IF(SER_hh_tes_in!N19=0,"",SER_hh_tes_in!N19/SER_hh_fec_in!N19)</f>
        <v>0.69822389921014949</v>
      </c>
      <c r="O19" s="136">
        <f>IF(SER_hh_tes_in!O19=0,"",SER_hh_tes_in!O19/SER_hh_fec_in!O19)</f>
        <v>0.7054534928737145</v>
      </c>
      <c r="P19" s="136">
        <f>IF(SER_hh_tes_in!P19=0,"",SER_hh_tes_in!P19/SER_hh_fec_in!P19)</f>
        <v>0.72665715563218125</v>
      </c>
      <c r="Q19" s="136">
        <f>IF(SER_hh_tes_in!Q19=0,"",SER_hh_tes_in!Q19/SER_hh_fec_in!Q19)</f>
        <v>0.76759809794570799</v>
      </c>
      <c r="R19" s="136">
        <f>IF(SER_hh_tes_in!R19=0,"",SER_hh_tes_in!R19/SER_hh_fec_in!R19)</f>
        <v>0.77958939495637247</v>
      </c>
      <c r="S19" s="136">
        <f>IF(SER_hh_tes_in!S19=0,"",SER_hh_tes_in!S19/SER_hh_fec_in!S19)</f>
        <v>0.7948973856560585</v>
      </c>
      <c r="T19" s="136">
        <f>IF(SER_hh_tes_in!T19=0,"",SER_hh_tes_in!T19/SER_hh_fec_in!T19)</f>
        <v>0.80475061752053101</v>
      </c>
      <c r="U19" s="136">
        <f>IF(SER_hh_tes_in!U19=0,"",SER_hh_tes_in!U19/SER_hh_fec_in!U19)</f>
        <v>0.82072652691913572</v>
      </c>
      <c r="V19" s="136">
        <f>IF(SER_hh_tes_in!V19=0,"",SER_hh_tes_in!V19/SER_hh_fec_in!V19)</f>
        <v>0.8278338680606302</v>
      </c>
      <c r="W19" s="136">
        <f>IF(SER_hh_tes_in!W19=0,"",SER_hh_tes_in!W19/SER_hh_fec_in!W19)</f>
        <v>0.8366894629280357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 t="str">
        <f>IF(SER_hh_tes_in!C22=0,"",SER_hh_tes_in!C22/SER_hh_fec_in!C22)</f>
        <v/>
      </c>
      <c r="D22" s="137" t="str">
        <f>IF(SER_hh_tes_in!D22=0,"",SER_hh_tes_in!D22/SER_hh_fec_in!D22)</f>
        <v/>
      </c>
      <c r="E22" s="137" t="str">
        <f>IF(SER_hh_tes_in!E22=0,"",SER_hh_tes_in!E22/SER_hh_fec_in!E22)</f>
        <v/>
      </c>
      <c r="F22" s="137" t="str">
        <f>IF(SER_hh_tes_in!F22=0,"",SER_hh_tes_in!F22/SER_hh_fec_in!F22)</f>
        <v/>
      </c>
      <c r="G22" s="137" t="str">
        <f>IF(SER_hh_tes_in!G22=0,"",SER_hh_tes_in!G22/SER_hh_fec_in!G22)</f>
        <v/>
      </c>
      <c r="H22" s="137" t="str">
        <f>IF(SER_hh_tes_in!H22=0,"",SER_hh_tes_in!H22/SER_hh_fec_in!H22)</f>
        <v/>
      </c>
      <c r="I22" s="137" t="str">
        <f>IF(SER_hh_tes_in!I22=0,"",SER_hh_tes_in!I22/SER_hh_fec_in!I22)</f>
        <v/>
      </c>
      <c r="J22" s="137" t="str">
        <f>IF(SER_hh_tes_in!J22=0,"",SER_hh_tes_in!J22/SER_hh_fec_in!J22)</f>
        <v/>
      </c>
      <c r="K22" s="137" t="str">
        <f>IF(SER_hh_tes_in!K22=0,"",SER_hh_tes_in!K22/SER_hh_fec_in!K22)</f>
        <v/>
      </c>
      <c r="L22" s="137" t="str">
        <f>IF(SER_hh_tes_in!L22=0,"",SER_hh_tes_in!L22/SER_hh_fec_in!L22)</f>
        <v/>
      </c>
      <c r="M22" s="137" t="str">
        <f>IF(SER_hh_tes_in!M22=0,"",SER_hh_tes_in!M22/SER_hh_fec_in!M22)</f>
        <v/>
      </c>
      <c r="N22" s="137" t="str">
        <f>IF(SER_hh_tes_in!N22=0,"",SER_hh_tes_in!N22/SER_hh_fec_in!N22)</f>
        <v/>
      </c>
      <c r="O22" s="137" t="str">
        <f>IF(SER_hh_tes_in!O22=0,"",SER_hh_tes_in!O22/SER_hh_fec_in!O22)</f>
        <v/>
      </c>
      <c r="P22" s="137" t="str">
        <f>IF(SER_hh_tes_in!P22=0,"",SER_hh_tes_in!P22/SER_hh_fec_in!P22)</f>
        <v/>
      </c>
      <c r="Q22" s="137" t="str">
        <f>IF(SER_hh_tes_in!Q22=0,"",SER_hh_tes_in!Q22/SER_hh_fec_in!Q22)</f>
        <v/>
      </c>
      <c r="R22" s="137" t="str">
        <f>IF(SER_hh_tes_in!R22=0,"",SER_hh_tes_in!R22/SER_hh_fec_in!R22)</f>
        <v/>
      </c>
      <c r="S22" s="137" t="str">
        <f>IF(SER_hh_tes_in!S22=0,"",SER_hh_tes_in!S22/SER_hh_fec_in!S22)</f>
        <v/>
      </c>
      <c r="T22" s="137" t="str">
        <f>IF(SER_hh_tes_in!T22=0,"",SER_hh_tes_in!T22/SER_hh_fec_in!T22)</f>
        <v/>
      </c>
      <c r="U22" s="137" t="str">
        <f>IF(SER_hh_tes_in!U22=0,"",SER_hh_tes_in!U22/SER_hh_fec_in!U22)</f>
        <v/>
      </c>
      <c r="V22" s="137" t="str">
        <f>IF(SER_hh_tes_in!V22=0,"",SER_hh_tes_in!V22/SER_hh_fec_in!V22)</f>
        <v/>
      </c>
      <c r="W22" s="137" t="str">
        <f>IF(SER_hh_tes_in!W22=0,"",SER_hh_tes_in!W22/SER_hh_fec_in!W22)</f>
        <v/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0.56907577246701568</v>
      </c>
      <c r="D23" s="137">
        <f>IF(SER_hh_tes_in!D23=0,"",SER_hh_tes_in!D23/SER_hh_fec_in!D23)</f>
        <v>0.57490933137566003</v>
      </c>
      <c r="E23" s="137">
        <f>IF(SER_hh_tes_in!E23=0,"",SER_hh_tes_in!E23/SER_hh_fec_in!E23)</f>
        <v>0.58099511395609649</v>
      </c>
      <c r="F23" s="137">
        <f>IF(SER_hh_tes_in!F23=0,"",SER_hh_tes_in!F23/SER_hh_fec_in!F23)</f>
        <v>0.58713008759723462</v>
      </c>
      <c r="G23" s="137">
        <f>IF(SER_hh_tes_in!G23=0,"",SER_hh_tes_in!G23/SER_hh_fec_in!G23)</f>
        <v>0.59349528409142027</v>
      </c>
      <c r="H23" s="137">
        <f>IF(SER_hh_tes_in!H23=0,"",SER_hh_tes_in!H23/SER_hh_fec_in!H23)</f>
        <v>0.60006619422883012</v>
      </c>
      <c r="I23" s="137">
        <f>IF(SER_hh_tes_in!I23=0,"",SER_hh_tes_in!I23/SER_hh_fec_in!I23)</f>
        <v>0.60688504914441654</v>
      </c>
      <c r="J23" s="137">
        <f>IF(SER_hh_tes_in!J23=0,"",SER_hh_tes_in!J23/SER_hh_fec_in!J23)</f>
        <v>0.61413030172954253</v>
      </c>
      <c r="K23" s="137">
        <f>IF(SER_hh_tes_in!K23=0,"",SER_hh_tes_in!K23/SER_hh_fec_in!K23)</f>
        <v>0.62195075462712501</v>
      </c>
      <c r="L23" s="137">
        <f>IF(SER_hh_tes_in!L23=0,"",SER_hh_tes_in!L23/SER_hh_fec_in!L23)</f>
        <v>0.63038110338944808</v>
      </c>
      <c r="M23" s="137">
        <f>IF(SER_hh_tes_in!M23=0,"",SER_hh_tes_in!M23/SER_hh_fec_in!M23)</f>
        <v>0.64312995520649752</v>
      </c>
      <c r="N23" s="137">
        <f>IF(SER_hh_tes_in!N23=0,"",SER_hh_tes_in!N23/SER_hh_fec_in!N23)</f>
        <v>0.66133885549246429</v>
      </c>
      <c r="O23" s="137">
        <f>IF(SER_hh_tes_in!O23=0,"",SER_hh_tes_in!O23/SER_hh_fec_in!O23)</f>
        <v>0.68585069648901609</v>
      </c>
      <c r="P23" s="137">
        <f>IF(SER_hh_tes_in!P23=0,"",SER_hh_tes_in!P23/SER_hh_fec_in!P23)</f>
        <v>0.7143741377012619</v>
      </c>
      <c r="Q23" s="137">
        <f>IF(SER_hh_tes_in!Q23=0,"",SER_hh_tes_in!Q23/SER_hh_fec_in!Q23)</f>
        <v>0.73972079424885862</v>
      </c>
      <c r="R23" s="137">
        <f>IF(SER_hh_tes_in!R23=0,"",SER_hh_tes_in!R23/SER_hh_fec_in!R23)</f>
        <v>0.7563868620044667</v>
      </c>
      <c r="S23" s="137">
        <f>IF(SER_hh_tes_in!S23=0,"",SER_hh_tes_in!S23/SER_hh_fec_in!S23)</f>
        <v>0.77159357553901597</v>
      </c>
      <c r="T23" s="137">
        <f>IF(SER_hh_tes_in!T23=0,"",SER_hh_tes_in!T23/SER_hh_fec_in!T23)</f>
        <v>0.78494617019959001</v>
      </c>
      <c r="U23" s="137">
        <f>IF(SER_hh_tes_in!U23=0,"",SER_hh_tes_in!U23/SER_hh_fec_in!U23)</f>
        <v>0.79600480931365236</v>
      </c>
      <c r="V23" s="137">
        <f>IF(SER_hh_tes_in!V23=0,"",SER_hh_tes_in!V23/SER_hh_fec_in!V23)</f>
        <v>0.80428684023810126</v>
      </c>
      <c r="W23" s="137">
        <f>IF(SER_hh_tes_in!W23=0,"",SER_hh_tes_in!W23/SER_hh_fec_in!W23)</f>
        <v>0.80856131899503503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>
        <f>IF(SER_hh_tes_in!N24=0,"",SER_hh_tes_in!N24/SER_hh_fec_in!N24)</f>
        <v>0.72263593057577191</v>
      </c>
      <c r="O24" s="137">
        <f>IF(SER_hh_tes_in!O24=0,"",SER_hh_tes_in!O24/SER_hh_fec_in!O24)</f>
        <v>0.73080921435261847</v>
      </c>
      <c r="P24" s="137">
        <f>IF(SER_hh_tes_in!P24=0,"",SER_hh_tes_in!P24/SER_hh_fec_in!P24)</f>
        <v>0.73796826164604323</v>
      </c>
      <c r="Q24" s="137">
        <f>IF(SER_hh_tes_in!Q24=0,"",SER_hh_tes_in!Q24/SER_hh_fec_in!Q24)</f>
        <v>0.74649126468095572</v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>
        <f>IF(SER_hh_tes_in!U24=0,"",SER_hh_tes_in!U24/SER_hh_fec_in!U24)</f>
        <v>0.80033247472341451</v>
      </c>
      <c r="V24" s="137">
        <f>IF(SER_hh_tes_in!V24=0,"",SER_hh_tes_in!V24/SER_hh_fec_in!V24)</f>
        <v>0.81126023071369635</v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0.7957115978210183</v>
      </c>
      <c r="D25" s="137">
        <f>IF(SER_hh_tes_in!D25=0,"",SER_hh_tes_in!D25/SER_hh_fec_in!D25)</f>
        <v>0.79755357514215863</v>
      </c>
      <c r="E25" s="137">
        <f>IF(SER_hh_tes_in!E25=0,"",SER_hh_tes_in!E25/SER_hh_fec_in!E25)</f>
        <v>0.79944528104540868</v>
      </c>
      <c r="F25" s="137">
        <f>IF(SER_hh_tes_in!F25=0,"",SER_hh_tes_in!F25/SER_hh_fec_in!F25)</f>
        <v>0.80134376811894648</v>
      </c>
      <c r="G25" s="137">
        <f>IF(SER_hh_tes_in!G25=0,"",SER_hh_tes_in!G25/SER_hh_fec_in!G25)</f>
        <v>0.80328805229161959</v>
      </c>
      <c r="H25" s="137">
        <f>IF(SER_hh_tes_in!H25=0,"",SER_hh_tes_in!H25/SER_hh_fec_in!H25)</f>
        <v>0.80527335851043835</v>
      </c>
      <c r="I25" s="137">
        <f>IF(SER_hh_tes_in!I25=0,"",SER_hh_tes_in!I25/SER_hh_fec_in!I25)</f>
        <v>0.80730930030141068</v>
      </c>
      <c r="J25" s="137">
        <f>IF(SER_hh_tes_in!J25=0,"",SER_hh_tes_in!J25/SER_hh_fec_in!J25)</f>
        <v>0.80943526088732254</v>
      </c>
      <c r="K25" s="137">
        <f>IF(SER_hh_tes_in!K25=0,"",SER_hh_tes_in!K25/SER_hh_fec_in!K25)</f>
        <v>0.81168472636656175</v>
      </c>
      <c r="L25" s="137">
        <f>IF(SER_hh_tes_in!L25=0,"",SER_hh_tes_in!L25/SER_hh_fec_in!L25)</f>
        <v>0.81406665564330716</v>
      </c>
      <c r="M25" s="137">
        <f>IF(SER_hh_tes_in!M25=0,"",SER_hh_tes_in!M25/SER_hh_fec_in!M25)</f>
        <v>0.81736473408936072</v>
      </c>
      <c r="N25" s="137">
        <f>IF(SER_hh_tes_in!N25=0,"",SER_hh_tes_in!N25/SER_hh_fec_in!N25)</f>
        <v>0.82182674335879224</v>
      </c>
      <c r="O25" s="137">
        <f>IF(SER_hh_tes_in!O25=0,"",SER_hh_tes_in!O25/SER_hh_fec_in!O25)</f>
        <v>0.82766989418042158</v>
      </c>
      <c r="P25" s="137">
        <f>IF(SER_hh_tes_in!P25=0,"",SER_hh_tes_in!P25/SER_hh_fec_in!P25)</f>
        <v>0.83448092721739497</v>
      </c>
      <c r="Q25" s="137">
        <f>IF(SER_hh_tes_in!Q25=0,"",SER_hh_tes_in!Q25/SER_hh_fec_in!Q25)</f>
        <v>0.84090698061471525</v>
      </c>
      <c r="R25" s="137">
        <f>IF(SER_hh_tes_in!R25=0,"",SER_hh_tes_in!R25/SER_hh_fec_in!R25)</f>
        <v>0.84583105085797539</v>
      </c>
      <c r="S25" s="137">
        <f>IF(SER_hh_tes_in!S25=0,"",SER_hh_tes_in!S25/SER_hh_fec_in!S25)</f>
        <v>0.85062134805619294</v>
      </c>
      <c r="T25" s="137">
        <f>IF(SER_hh_tes_in!T25=0,"",SER_hh_tes_in!T25/SER_hh_fec_in!T25)</f>
        <v>0.85524586549745174</v>
      </c>
      <c r="U25" s="137">
        <f>IF(SER_hh_tes_in!U25=0,"",SER_hh_tes_in!U25/SER_hh_fec_in!U25)</f>
        <v>0.85967259646985061</v>
      </c>
      <c r="V25" s="137">
        <f>IF(SER_hh_tes_in!V25=0,"",SER_hh_tes_in!V25/SER_hh_fec_in!V25)</f>
        <v>0.86386953426148205</v>
      </c>
      <c r="W25" s="137">
        <f>IF(SER_hh_tes_in!W25=0,"",SER_hh_tes_in!W25/SER_hh_fec_in!W25)</f>
        <v>0.86773572290702772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0.65861639300678632</v>
      </c>
      <c r="D26" s="138">
        <f>IF(SER_hh_tes_in!D26=0,"",SER_hh_tes_in!D26/SER_hh_fec_in!D26)</f>
        <v>0.66102981105725911</v>
      </c>
      <c r="E26" s="138">
        <f>IF(SER_hh_tes_in!E26=0,"",SER_hh_tes_in!E26/SER_hh_fec_in!E26)</f>
        <v>0.66362885508694502</v>
      </c>
      <c r="F26" s="138">
        <f>IF(SER_hh_tes_in!F26=0,"",SER_hh_tes_in!F26/SER_hh_fec_in!F26)</f>
        <v>0.66625286530856309</v>
      </c>
      <c r="G26" s="138">
        <f>IF(SER_hh_tes_in!G26=0,"",SER_hh_tes_in!G26/SER_hh_fec_in!G26)</f>
        <v>0.66904931406284507</v>
      </c>
      <c r="H26" s="138">
        <f>IF(SER_hh_tes_in!H26=0,"",SER_hh_tes_in!H26/SER_hh_fec_in!H26)</f>
        <v>0.67200167168315761</v>
      </c>
      <c r="I26" s="138">
        <f>IF(SER_hh_tes_in!I26=0,"",SER_hh_tes_in!I26/SER_hh_fec_in!I26)</f>
        <v>0.67514834644919752</v>
      </c>
      <c r="J26" s="138">
        <f>IF(SER_hh_tes_in!J26=0,"",SER_hh_tes_in!J26/SER_hh_fec_in!J26)</f>
        <v>0.67864308057460621</v>
      </c>
      <c r="K26" s="138">
        <f>IF(SER_hh_tes_in!K26=0,"",SER_hh_tes_in!K26/SER_hh_fec_in!K26)</f>
        <v>0.68262212045482207</v>
      </c>
      <c r="L26" s="138">
        <f>IF(SER_hh_tes_in!L26=0,"",SER_hh_tes_in!L26/SER_hh_fec_in!L26)</f>
        <v>0.68713315059138325</v>
      </c>
      <c r="M26" s="138">
        <f>IF(SER_hh_tes_in!M26=0,"",SER_hh_tes_in!M26/SER_hh_fec_in!M26)</f>
        <v>0.69530191697538335</v>
      </c>
      <c r="N26" s="138">
        <f>IF(SER_hh_tes_in!N26=0,"",SER_hh_tes_in!N26/SER_hh_fec_in!N26)</f>
        <v>0.70850182543343199</v>
      </c>
      <c r="O26" s="138">
        <f>IF(SER_hh_tes_in!O26=0,"",SER_hh_tes_in!O26/SER_hh_fec_in!O26)</f>
        <v>0.728494108717893</v>
      </c>
      <c r="P26" s="138">
        <f>IF(SER_hh_tes_in!P26=0,"",SER_hh_tes_in!P26/SER_hh_fec_in!P26)</f>
        <v>0.75450150285476381</v>
      </c>
      <c r="Q26" s="138">
        <f>IF(SER_hh_tes_in!Q26=0,"",SER_hh_tes_in!Q26/SER_hh_fec_in!Q26)</f>
        <v>0.78002101132588419</v>
      </c>
      <c r="R26" s="138">
        <f>IF(SER_hh_tes_in!R26=0,"",SER_hh_tes_in!R26/SER_hh_fec_in!R26)</f>
        <v>0.79831481583262465</v>
      </c>
      <c r="S26" s="138">
        <f>IF(SER_hh_tes_in!S26=0,"",SER_hh_tes_in!S26/SER_hh_fec_in!S26)</f>
        <v>0.8164282712084453</v>
      </c>
      <c r="T26" s="138">
        <f>IF(SER_hh_tes_in!T26=0,"",SER_hh_tes_in!T26/SER_hh_fec_in!T26)</f>
        <v>0.83398157194115285</v>
      </c>
      <c r="U26" s="138">
        <f>IF(SER_hh_tes_in!U26=0,"",SER_hh_tes_in!U26/SER_hh_fec_in!U26)</f>
        <v>0.85047064568344921</v>
      </c>
      <c r="V26" s="138">
        <f>IF(SER_hh_tes_in!V26=0,"",SER_hh_tes_in!V26/SER_hh_fec_in!V26)</f>
        <v>0.86512214452900416</v>
      </c>
      <c r="W26" s="138">
        <f>IF(SER_hh_tes_in!W26=0,"",SER_hh_tes_in!W26/SER_hh_fec_in!W26)</f>
        <v>0.8766557065975854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 t="str">
        <f>IF(SER_hh_tes_in!N27=0,"",SER_hh_tes_in!N27/SER_hh_fec_in!N27)</f>
        <v/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0.73277314973803842</v>
      </c>
      <c r="D29" s="136">
        <f>IF(SER_hh_tes_in!D29=0,"",SER_hh_tes_in!D29/SER_hh_fec_in!D29)</f>
        <v>0.7039795682276343</v>
      </c>
      <c r="E29" s="136">
        <f>IF(SER_hh_tes_in!E29=0,"",SER_hh_tes_in!E29/SER_hh_fec_in!E29)</f>
        <v>0.71510773440980724</v>
      </c>
      <c r="F29" s="136">
        <f>IF(SER_hh_tes_in!F29=0,"",SER_hh_tes_in!F29/SER_hh_fec_in!F29)</f>
        <v>0.69131606053261352</v>
      </c>
      <c r="G29" s="136">
        <f>IF(SER_hh_tes_in!G29=0,"",SER_hh_tes_in!G29/SER_hh_fec_in!G29)</f>
        <v>0.6959441415528449</v>
      </c>
      <c r="H29" s="136">
        <f>IF(SER_hh_tes_in!H29=0,"",SER_hh_tes_in!H29/SER_hh_fec_in!H29)</f>
        <v>0.68841517601682478</v>
      </c>
      <c r="I29" s="136">
        <f>IF(SER_hh_tes_in!I29=0,"",SER_hh_tes_in!I29/SER_hh_fec_in!I29)</f>
        <v>0.7002321756492228</v>
      </c>
      <c r="J29" s="136">
        <f>IF(SER_hh_tes_in!J29=0,"",SER_hh_tes_in!J29/SER_hh_fec_in!J29)</f>
        <v>0.702287112278281</v>
      </c>
      <c r="K29" s="136">
        <f>IF(SER_hh_tes_in!K29=0,"",SER_hh_tes_in!K29/SER_hh_fec_in!K29)</f>
        <v>0.71599515078308751</v>
      </c>
      <c r="L29" s="136">
        <f>IF(SER_hh_tes_in!L29=0,"",SER_hh_tes_in!L29/SER_hh_fec_in!L29)</f>
        <v>0.69709877618396365</v>
      </c>
      <c r="M29" s="136">
        <f>IF(SER_hh_tes_in!M29=0,"",SER_hh_tes_in!M29/SER_hh_fec_in!M29)</f>
        <v>0.6482512425244441</v>
      </c>
      <c r="N29" s="136">
        <f>IF(SER_hh_tes_in!N29=0,"",SER_hh_tes_in!N29/SER_hh_fec_in!N29)</f>
        <v>0.66691688515095826</v>
      </c>
      <c r="O29" s="136">
        <f>IF(SER_hh_tes_in!O29=0,"",SER_hh_tes_in!O29/SER_hh_fec_in!O29)</f>
        <v>0.68822142810923048</v>
      </c>
      <c r="P29" s="136">
        <f>IF(SER_hh_tes_in!P29=0,"",SER_hh_tes_in!P29/SER_hh_fec_in!P29)</f>
        <v>0.70329681865905347</v>
      </c>
      <c r="Q29" s="136">
        <f>IF(SER_hh_tes_in!Q29=0,"",SER_hh_tes_in!Q29/SER_hh_fec_in!Q29)</f>
        <v>0.71271045968795776</v>
      </c>
      <c r="R29" s="136">
        <f>IF(SER_hh_tes_in!R29=0,"",SER_hh_tes_in!R29/SER_hh_fec_in!R29)</f>
        <v>0.73557125322004624</v>
      </c>
      <c r="S29" s="136">
        <f>IF(SER_hh_tes_in!S29=0,"",SER_hh_tes_in!S29/SER_hh_fec_in!S29)</f>
        <v>0.73141756612438402</v>
      </c>
      <c r="T29" s="136">
        <f>IF(SER_hh_tes_in!T29=0,"",SER_hh_tes_in!T29/SER_hh_fec_in!T29)</f>
        <v>0.72060660390261388</v>
      </c>
      <c r="U29" s="136">
        <f>IF(SER_hh_tes_in!U29=0,"",SER_hh_tes_in!U29/SER_hh_fec_in!U29)</f>
        <v>0.7194555673242885</v>
      </c>
      <c r="V29" s="136">
        <f>IF(SER_hh_tes_in!V29=0,"",SER_hh_tes_in!V29/SER_hh_fec_in!V29)</f>
        <v>0.70790190110798246</v>
      </c>
      <c r="W29" s="136">
        <f>IF(SER_hh_tes_in!W29=0,"",SER_hh_tes_in!W29/SER_hh_fec_in!W29)</f>
        <v>0.70864766123971767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0.61824854154635711</v>
      </c>
      <c r="D30" s="137">
        <f>IF(SER_hh_tes_in!D30=0,"",SER_hh_tes_in!D30/SER_hh_fec_in!D30)</f>
        <v>0.61840894993694273</v>
      </c>
      <c r="E30" s="137" t="str">
        <f>IF(SER_hh_tes_in!E30=0,"",SER_hh_tes_in!E30/SER_hh_fec_in!E30)</f>
        <v/>
      </c>
      <c r="F30" s="137" t="str">
        <f>IF(SER_hh_tes_in!F30=0,"",SER_hh_tes_in!F30/SER_hh_fec_in!F30)</f>
        <v/>
      </c>
      <c r="G30" s="137" t="str">
        <f>IF(SER_hh_tes_in!G30=0,"",SER_hh_tes_in!G30/SER_hh_fec_in!G30)</f>
        <v/>
      </c>
      <c r="H30" s="137">
        <f>IF(SER_hh_tes_in!H30=0,"",SER_hh_tes_in!H30/SER_hh_fec_in!H30)</f>
        <v>0.61903457608237145</v>
      </c>
      <c r="I30" s="137">
        <f>IF(SER_hh_tes_in!I30=0,"",SER_hh_tes_in!I30/SER_hh_fec_in!I30)</f>
        <v>0.61918616066274001</v>
      </c>
      <c r="J30" s="137">
        <f>IF(SER_hh_tes_in!J30=0,"",SER_hh_tes_in!J30/SER_hh_fec_in!J30)</f>
        <v>0.61933365011804165</v>
      </c>
      <c r="K30" s="137">
        <f>IF(SER_hh_tes_in!K30=0,"",SER_hh_tes_in!K30/SER_hh_fec_in!K30)</f>
        <v>0.61947552110239057</v>
      </c>
      <c r="L30" s="137">
        <f>IF(SER_hh_tes_in!L30=0,"",SER_hh_tes_in!L30/SER_hh_fec_in!L30)</f>
        <v>0.61961136605830835</v>
      </c>
      <c r="M30" s="137" t="str">
        <f>IF(SER_hh_tes_in!M30=0,"",SER_hh_tes_in!M30/SER_hh_fec_in!M30)</f>
        <v/>
      </c>
      <c r="N30" s="137" t="str">
        <f>IF(SER_hh_tes_in!N30=0,"",SER_hh_tes_in!N30/SER_hh_fec_in!N30)</f>
        <v/>
      </c>
      <c r="O30" s="137" t="str">
        <f>IF(SER_hh_tes_in!O30=0,"",SER_hh_tes_in!O30/SER_hh_fec_in!O30)</f>
        <v/>
      </c>
      <c r="P30" s="137">
        <f>IF(SER_hh_tes_in!P30=0,"",SER_hh_tes_in!P30/SER_hh_fec_in!P30)</f>
        <v>0.61968446863010374</v>
      </c>
      <c r="Q30" s="137">
        <f>IF(SER_hh_tes_in!Q30=0,"",SER_hh_tes_in!Q30/SER_hh_fec_in!Q30)</f>
        <v>0.61968446863010374</v>
      </c>
      <c r="R30" s="137">
        <f>IF(SER_hh_tes_in!R30=0,"",SER_hh_tes_in!R30/SER_hh_fec_in!R30)</f>
        <v>0.62014630863667031</v>
      </c>
      <c r="S30" s="137">
        <f>IF(SER_hh_tes_in!S30=0,"",SER_hh_tes_in!S30/SER_hh_fec_in!S30)</f>
        <v>0.62090152168847634</v>
      </c>
      <c r="T30" s="137">
        <f>IF(SER_hh_tes_in!T30=0,"",SER_hh_tes_in!T30/SER_hh_fec_in!T30)</f>
        <v>0.62178260358224924</v>
      </c>
      <c r="U30" s="137">
        <f>IF(SER_hh_tes_in!U30=0,"",SER_hh_tes_in!U30/SER_hh_fec_in!U30)</f>
        <v>0.62269515268651421</v>
      </c>
      <c r="V30" s="137">
        <f>IF(SER_hh_tes_in!V30=0,"",SER_hh_tes_in!V30/SER_hh_fec_in!V30)</f>
        <v>0.62354476736979547</v>
      </c>
      <c r="W30" s="137">
        <f>IF(SER_hh_tes_in!W30=0,"",SER_hh_tes_in!W30/SER_hh_fec_in!W30)</f>
        <v>0.62433144763209247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0.62782854288936207</v>
      </c>
      <c r="D31" s="137">
        <f>IF(SER_hh_tes_in!D31=0,"",SER_hh_tes_in!D31/SER_hh_fec_in!D31)</f>
        <v>0.62799143687027914</v>
      </c>
      <c r="E31" s="137">
        <f>IF(SER_hh_tes_in!E31=0,"",SER_hh_tes_in!E31/SER_hh_fec_in!E31)</f>
        <v>0.628152033549638</v>
      </c>
      <c r="F31" s="137">
        <f>IF(SER_hh_tes_in!F31=0,"",SER_hh_tes_in!F31/SER_hh_fec_in!F31)</f>
        <v>0.62831231696060263</v>
      </c>
      <c r="G31" s="137">
        <f>IF(SER_hh_tes_in!G31=0,"",SER_hh_tes_in!G31/SER_hh_fec_in!G31)</f>
        <v>0.62847048469195743</v>
      </c>
      <c r="H31" s="137">
        <f>IF(SER_hh_tes_in!H31=0,"",SER_hh_tes_in!H31/SER_hh_fec_in!H31)</f>
        <v>0.62862675733588913</v>
      </c>
      <c r="I31" s="137">
        <f>IF(SER_hh_tes_in!I31=0,"",SER_hh_tes_in!I31/SER_hh_fec_in!I31)</f>
        <v>0.62878069077822163</v>
      </c>
      <c r="J31" s="137">
        <f>IF(SER_hh_tes_in!J31=0,"",SER_hh_tes_in!J31/SER_hh_fec_in!J31)</f>
        <v>0.62893046563993338</v>
      </c>
      <c r="K31" s="137">
        <f>IF(SER_hh_tes_in!K31=0,"",SER_hh_tes_in!K31/SER_hh_fec_in!K31)</f>
        <v>0.62907453497030219</v>
      </c>
      <c r="L31" s="137">
        <f>IF(SER_hh_tes_in!L31=0,"",SER_hh_tes_in!L31/SER_hh_fec_in!L31)</f>
        <v>0.6292124848965881</v>
      </c>
      <c r="M31" s="137">
        <f>IF(SER_hh_tes_in!M31=0,"",SER_hh_tes_in!M31/SER_hh_fec_in!M31)</f>
        <v>0.62928672022113408</v>
      </c>
      <c r="N31" s="137">
        <f>IF(SER_hh_tes_in!N31=0,"",SER_hh_tes_in!N31/SER_hh_fec_in!N31)</f>
        <v>0.62928672022113408</v>
      </c>
      <c r="O31" s="137">
        <f>IF(SER_hh_tes_in!O31=0,"",SER_hh_tes_in!O31/SER_hh_fec_in!O31)</f>
        <v>0.62928672022113408</v>
      </c>
      <c r="P31" s="137">
        <f>IF(SER_hh_tes_in!P31=0,"",SER_hh_tes_in!P31/SER_hh_fec_in!P31)</f>
        <v>0.62928672022113408</v>
      </c>
      <c r="Q31" s="137">
        <f>IF(SER_hh_tes_in!Q31=0,"",SER_hh_tes_in!Q31/SER_hh_fec_in!Q31)</f>
        <v>0.62928672022113408</v>
      </c>
      <c r="R31" s="137">
        <f>IF(SER_hh_tes_in!R31=0,"",SER_hh_tes_in!R31/SER_hh_fec_in!R31)</f>
        <v>0.62975571661802898</v>
      </c>
      <c r="S31" s="137">
        <f>IF(SER_hh_tes_in!S31=0,"",SER_hh_tes_in!S31/SER_hh_fec_in!S31)</f>
        <v>0.63052263198947556</v>
      </c>
      <c r="T31" s="137">
        <f>IF(SER_hh_tes_in!T31=0,"",SER_hh_tes_in!T31/SER_hh_fec_in!T31)</f>
        <v>0.63141736658949588</v>
      </c>
      <c r="U31" s="137">
        <f>IF(SER_hh_tes_in!U31=0,"",SER_hh_tes_in!U31/SER_hh_fec_in!U31)</f>
        <v>0.63234405599665999</v>
      </c>
      <c r="V31" s="137">
        <f>IF(SER_hh_tes_in!V31=0,"",SER_hh_tes_in!V31/SER_hh_fec_in!V31)</f>
        <v>0.63320683578953696</v>
      </c>
      <c r="W31" s="137">
        <f>IF(SER_hh_tes_in!W31=0,"",SER_hh_tes_in!W31/SER_hh_fec_in!W31)</f>
        <v>0.63400570596812633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0.83063180252715918</v>
      </c>
      <c r="D33" s="150">
        <f>IF(SER_hh_tes_in!D33=0,"",SER_hh_tes_in!D33/SER_hh_fec_in!D33)</f>
        <v>0.83167543647341613</v>
      </c>
      <c r="E33" s="150">
        <f>IF(SER_hh_tes_in!E33=0,"",SER_hh_tes_in!E33/SER_hh_fec_in!E33)</f>
        <v>0.83275766147342811</v>
      </c>
      <c r="F33" s="150">
        <f>IF(SER_hh_tes_in!F33=0,"",SER_hh_tes_in!F33/SER_hh_fec_in!F33)</f>
        <v>0.83384514888986128</v>
      </c>
      <c r="G33" s="150">
        <f>IF(SER_hh_tes_in!G33=0,"",SER_hh_tes_in!G33/SER_hh_fec_in!G33)</f>
        <v>0.8349681763969139</v>
      </c>
      <c r="H33" s="150">
        <f>IF(SER_hh_tes_in!H33=0,"",SER_hh_tes_in!H33/SER_hh_fec_in!H33)</f>
        <v>0.83612303839272062</v>
      </c>
      <c r="I33" s="150">
        <f>IF(SER_hh_tes_in!I33=0,"",SER_hh_tes_in!I33/SER_hh_fec_in!I33)</f>
        <v>0.83731719529708859</v>
      </c>
      <c r="J33" s="150">
        <f>IF(SER_hh_tes_in!J33=0,"",SER_hh_tes_in!J33/SER_hh_fec_in!J33)</f>
        <v>0.83858120981667683</v>
      </c>
      <c r="K33" s="150">
        <f>IF(SER_hh_tes_in!K33=0,"",SER_hh_tes_in!K33/SER_hh_fec_in!K33)</f>
        <v>0.83994106829109294</v>
      </c>
      <c r="L33" s="150">
        <f>IF(SER_hh_tes_in!L33=0,"",SER_hh_tes_in!L33/SER_hh_fec_in!L33)</f>
        <v>0.84140372313156797</v>
      </c>
      <c r="M33" s="150">
        <f>IF(SER_hh_tes_in!M33=0,"",SER_hh_tes_in!M33/SER_hh_fec_in!M33)</f>
        <v>0.84339371224190807</v>
      </c>
      <c r="N33" s="150">
        <f>IF(SER_hh_tes_in!N33=0,"",SER_hh_tes_in!N33/SER_hh_fec_in!N33)</f>
        <v>0.84603141491352174</v>
      </c>
      <c r="O33" s="150">
        <f>IF(SER_hh_tes_in!O33=0,"",SER_hh_tes_in!O33/SER_hh_fec_in!O33)</f>
        <v>0.84960953088645186</v>
      </c>
      <c r="P33" s="150">
        <f>IF(SER_hh_tes_in!P33=0,"",SER_hh_tes_in!P33/SER_hh_fec_in!P33)</f>
        <v>0.85428178870594795</v>
      </c>
      <c r="Q33" s="150">
        <f>IF(SER_hh_tes_in!Q33=0,"",SER_hh_tes_in!Q33/SER_hh_fec_in!Q33)</f>
        <v>0.86030370653676447</v>
      </c>
      <c r="R33" s="150">
        <f>IF(SER_hh_tes_in!R33=0,"",SER_hh_tes_in!R33/SER_hh_fec_in!R33)</f>
        <v>0.86849559719712421</v>
      </c>
      <c r="S33" s="150">
        <f>IF(SER_hh_tes_in!S33=0,"",SER_hh_tes_in!S33/SER_hh_fec_in!S33)</f>
        <v>0.87871984294252536</v>
      </c>
      <c r="T33" s="150">
        <f>IF(SER_hh_tes_in!T33=0,"",SER_hh_tes_in!T33/SER_hh_fec_in!T33)</f>
        <v>0.88971256531612219</v>
      </c>
      <c r="U33" s="150">
        <f>IF(SER_hh_tes_in!U33=0,"",SER_hh_tes_in!U33/SER_hh_fec_in!U33)</f>
        <v>0.90020988586110018</v>
      </c>
      <c r="V33" s="150">
        <f>IF(SER_hh_tes_in!V33=0,"",SER_hh_tes_in!V33/SER_hh_fec_in!V33)</f>
        <v>0.90894792612063091</v>
      </c>
      <c r="W33" s="150">
        <f>IF(SER_hh_tes_in!W33=0,"",SER_hh_tes_in!W33/SER_hh_fec_in!W33)</f>
        <v>0.91548272635508388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106.83105379992331</v>
      </c>
      <c r="D3" s="126">
        <f t="shared" si="0"/>
        <v>123.17366594925161</v>
      </c>
      <c r="E3" s="126">
        <f t="shared" si="0"/>
        <v>191.97200182443356</v>
      </c>
      <c r="F3" s="126">
        <f t="shared" si="0"/>
        <v>108.1480090359608</v>
      </c>
      <c r="G3" s="126">
        <f t="shared" si="0"/>
        <v>100.69993350754507</v>
      </c>
      <c r="H3" s="126">
        <f t="shared" si="0"/>
        <v>37.416283413309955</v>
      </c>
      <c r="I3" s="126">
        <f t="shared" si="0"/>
        <v>33.206368473529039</v>
      </c>
      <c r="J3" s="126">
        <f t="shared" si="0"/>
        <v>6.1790018110855929</v>
      </c>
      <c r="K3" s="126">
        <f t="shared" si="0"/>
        <v>12.266771355117031</v>
      </c>
      <c r="L3" s="126">
        <f t="shared" si="0"/>
        <v>18.208842548372058</v>
      </c>
      <c r="M3" s="126">
        <f t="shared" si="0"/>
        <v>35.259391401172095</v>
      </c>
      <c r="N3" s="126">
        <f t="shared" si="0"/>
        <v>35.041165141057284</v>
      </c>
      <c r="O3" s="126">
        <f t="shared" si="0"/>
        <v>41.225877374601595</v>
      </c>
      <c r="P3" s="126">
        <f t="shared" si="0"/>
        <v>82.206568126301164</v>
      </c>
      <c r="Q3" s="126">
        <f t="shared" si="0"/>
        <v>6.9147704525614584</v>
      </c>
      <c r="R3" s="126">
        <f t="shared" ref="R3:W3" si="1">SUM(R4,R16,R19,R29)</f>
        <v>21.776037820058363</v>
      </c>
      <c r="S3" s="126">
        <f t="shared" si="1"/>
        <v>28.961872524348934</v>
      </c>
      <c r="T3" s="126">
        <f t="shared" si="1"/>
        <v>30.289151953956889</v>
      </c>
      <c r="U3" s="126">
        <f t="shared" si="1"/>
        <v>26.429044867411562</v>
      </c>
      <c r="V3" s="126">
        <f t="shared" si="1"/>
        <v>25.750220830813674</v>
      </c>
      <c r="W3" s="126">
        <f t="shared" si="1"/>
        <v>22.925911076624118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96.519529107582827</v>
      </c>
      <c r="D4" s="131">
        <f t="shared" si="2"/>
        <v>108.18649907154162</v>
      </c>
      <c r="E4" s="131">
        <f t="shared" si="2"/>
        <v>170.78394992104097</v>
      </c>
      <c r="F4" s="131">
        <f t="shared" si="2"/>
        <v>94.90940536765136</v>
      </c>
      <c r="G4" s="131">
        <f t="shared" si="2"/>
        <v>84.080344741077354</v>
      </c>
      <c r="H4" s="131">
        <f t="shared" si="2"/>
        <v>25.367013557492633</v>
      </c>
      <c r="I4" s="131">
        <f t="shared" si="2"/>
        <v>16.736981816541892</v>
      </c>
      <c r="J4" s="131">
        <f t="shared" si="2"/>
        <v>3.305075111485472</v>
      </c>
      <c r="K4" s="131">
        <f t="shared" si="2"/>
        <v>9.4373163887956988</v>
      </c>
      <c r="L4" s="131">
        <f t="shared" si="2"/>
        <v>15.1090554134509</v>
      </c>
      <c r="M4" s="131">
        <f t="shared" si="2"/>
        <v>27.977808703407462</v>
      </c>
      <c r="N4" s="131">
        <f t="shared" si="2"/>
        <v>26.659702284813047</v>
      </c>
      <c r="O4" s="131">
        <f t="shared" si="2"/>
        <v>30.132242788865547</v>
      </c>
      <c r="P4" s="131">
        <f t="shared" si="2"/>
        <v>56.261717735441266</v>
      </c>
      <c r="Q4" s="131">
        <f t="shared" si="2"/>
        <v>4.0660553925722756</v>
      </c>
      <c r="R4" s="131">
        <f t="shared" ref="R4:W4" si="3">SUM(R5:R15)</f>
        <v>14.035953318094005</v>
      </c>
      <c r="S4" s="131">
        <f t="shared" si="3"/>
        <v>18.431864774364335</v>
      </c>
      <c r="T4" s="131">
        <f t="shared" si="3"/>
        <v>18.461805947243356</v>
      </c>
      <c r="U4" s="131">
        <f t="shared" si="3"/>
        <v>16.203042669780242</v>
      </c>
      <c r="V4" s="131">
        <f t="shared" si="3"/>
        <v>15.767818657594056</v>
      </c>
      <c r="W4" s="131">
        <f t="shared" si="3"/>
        <v>13.383887183757622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4.8720232059595477E-2</v>
      </c>
      <c r="N5" s="133">
        <v>9.834581495280853E-2</v>
      </c>
      <c r="O5" s="133">
        <v>0.57081181995141284</v>
      </c>
      <c r="P5" s="133">
        <v>0.50713343650582077</v>
      </c>
      <c r="Q5" s="133">
        <v>6.1424794351415853E-2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0</v>
      </c>
      <c r="D7" s="133">
        <v>0</v>
      </c>
      <c r="E7" s="133">
        <v>0</v>
      </c>
      <c r="F7" s="133">
        <v>0</v>
      </c>
      <c r="G7" s="133">
        <v>0</v>
      </c>
      <c r="H7" s="133">
        <v>0</v>
      </c>
      <c r="I7" s="133">
        <v>0</v>
      </c>
      <c r="J7" s="133">
        <v>0</v>
      </c>
      <c r="K7" s="133">
        <v>0</v>
      </c>
      <c r="L7" s="133">
        <v>0</v>
      </c>
      <c r="M7" s="133">
        <v>0</v>
      </c>
      <c r="N7" s="133">
        <v>2.292978467361912</v>
      </c>
      <c r="O7" s="133">
        <v>0.70732279829766065</v>
      </c>
      <c r="P7" s="133">
        <v>5.776117405497911</v>
      </c>
      <c r="Q7" s="133">
        <v>1.2894217325029977</v>
      </c>
      <c r="R7" s="133">
        <v>2.706774209167409</v>
      </c>
      <c r="S7" s="133">
        <v>0.98856365541356472</v>
      </c>
      <c r="T7" s="133">
        <v>0.93736928231075811</v>
      </c>
      <c r="U7" s="133">
        <v>0.30769878360719721</v>
      </c>
      <c r="V7" s="133">
        <v>0.49246428085569638</v>
      </c>
      <c r="W7" s="133">
        <v>1.0448396567914606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4.2840713444029712E-4</v>
      </c>
      <c r="S8" s="133">
        <v>1.6048300858716353E-3</v>
      </c>
      <c r="T8" s="133">
        <v>3.4189625256629132E-3</v>
      </c>
      <c r="U8" s="133">
        <v>2.258328227192226E-3</v>
      </c>
      <c r="V8" s="133">
        <v>3.4204286696402461E-3</v>
      </c>
      <c r="W8" s="133">
        <v>3.3847544466700572E-4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96.519529107582827</v>
      </c>
      <c r="D9" s="133">
        <v>108.18649907154162</v>
      </c>
      <c r="E9" s="133">
        <v>170.78394992104097</v>
      </c>
      <c r="F9" s="133">
        <v>94.90940536765136</v>
      </c>
      <c r="G9" s="133">
        <v>84.080344741077354</v>
      </c>
      <c r="H9" s="133">
        <v>25.367013557492633</v>
      </c>
      <c r="I9" s="133">
        <v>16.736981816541892</v>
      </c>
      <c r="J9" s="133">
        <v>3.305075111485472</v>
      </c>
      <c r="K9" s="133">
        <v>9.4373163887956988</v>
      </c>
      <c r="L9" s="133">
        <v>15.1090554134509</v>
      </c>
      <c r="M9" s="133">
        <v>27.929088471347868</v>
      </c>
      <c r="N9" s="133">
        <v>24.038127364347808</v>
      </c>
      <c r="O9" s="133">
        <v>28.622348949995278</v>
      </c>
      <c r="P9" s="133">
        <v>49.745304391347673</v>
      </c>
      <c r="Q9" s="133">
        <v>2.6385842445237571</v>
      </c>
      <c r="R9" s="133">
        <v>11.302758333993278</v>
      </c>
      <c r="S9" s="133">
        <v>17.306366026768895</v>
      </c>
      <c r="T9" s="133">
        <v>17.404856553399327</v>
      </c>
      <c r="U9" s="133">
        <v>15.747468807106493</v>
      </c>
      <c r="V9" s="133">
        <v>15.271933948068719</v>
      </c>
      <c r="W9" s="133">
        <v>12.338709051521494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0.23025063815051791</v>
      </c>
      <c r="O10" s="133">
        <v>0.23175922062119778</v>
      </c>
      <c r="P10" s="133">
        <v>0.23316250208985864</v>
      </c>
      <c r="Q10" s="133">
        <v>7.6624621194104861E-2</v>
      </c>
      <c r="R10" s="133">
        <v>2.5992367798877848E-2</v>
      </c>
      <c r="S10" s="133">
        <v>0.13533026209600618</v>
      </c>
      <c r="T10" s="133">
        <v>0.11616114900760777</v>
      </c>
      <c r="U10" s="133">
        <v>0.14561675083936026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2.7160968416082464E-2</v>
      </c>
      <c r="D16" s="131">
        <f t="shared" si="4"/>
        <v>3.6498019781665524E-2</v>
      </c>
      <c r="E16" s="131">
        <f t="shared" si="4"/>
        <v>4.2178963590140742E-2</v>
      </c>
      <c r="F16" s="131">
        <f t="shared" si="4"/>
        <v>1.0807049587551245E-2</v>
      </c>
      <c r="G16" s="131">
        <f t="shared" si="4"/>
        <v>2.8598555115674145E-2</v>
      </c>
      <c r="H16" s="131">
        <f t="shared" si="4"/>
        <v>2.5762385267112473E-2</v>
      </c>
      <c r="I16" s="131">
        <f t="shared" si="4"/>
        <v>3.5881529977430923E-2</v>
      </c>
      <c r="J16" s="131">
        <f t="shared" si="4"/>
        <v>3.3678587628181988E-3</v>
      </c>
      <c r="K16" s="131">
        <f t="shared" si="4"/>
        <v>6.5674845871894231E-3</v>
      </c>
      <c r="L16" s="131">
        <f t="shared" si="4"/>
        <v>9.6415407708092468E-3</v>
      </c>
      <c r="M16" s="131">
        <f t="shared" si="4"/>
        <v>1.8763193987888657E-2</v>
      </c>
      <c r="N16" s="131">
        <f t="shared" si="4"/>
        <v>3.2527235301089384E-2</v>
      </c>
      <c r="O16" s="131">
        <f t="shared" si="4"/>
        <v>3.4540540324366938E-2</v>
      </c>
      <c r="P16" s="131">
        <f t="shared" si="4"/>
        <v>5.4200309734124721E-2</v>
      </c>
      <c r="Q16" s="131">
        <f t="shared" si="4"/>
        <v>1.4472848374933036E-2</v>
      </c>
      <c r="R16" s="131">
        <f t="shared" ref="R16:W16" si="5">SUM(R17:R18)</f>
        <v>2.8445344979156115E-2</v>
      </c>
      <c r="S16" s="131">
        <f t="shared" si="5"/>
        <v>7.4852769241936429E-2</v>
      </c>
      <c r="T16" s="131">
        <f t="shared" si="5"/>
        <v>4.95347732651659E-2</v>
      </c>
      <c r="U16" s="131">
        <f t="shared" si="5"/>
        <v>8.7437395947560961E-2</v>
      </c>
      <c r="V16" s="131">
        <f t="shared" si="5"/>
        <v>6.0848880920321875E-2</v>
      </c>
      <c r="W16" s="131">
        <f t="shared" si="5"/>
        <v>3.6678928634079448E-2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2.7160968416082464E-2</v>
      </c>
      <c r="D17" s="133">
        <v>3.6498019781665524E-2</v>
      </c>
      <c r="E17" s="133">
        <v>4.2178963590140742E-2</v>
      </c>
      <c r="F17" s="133">
        <v>1.0807049587551245E-2</v>
      </c>
      <c r="G17" s="133">
        <v>2.8598555115674145E-2</v>
      </c>
      <c r="H17" s="133">
        <v>2.5762385267112473E-2</v>
      </c>
      <c r="I17" s="133">
        <v>3.5881529977430923E-2</v>
      </c>
      <c r="J17" s="133">
        <v>3.3678587628181988E-3</v>
      </c>
      <c r="K17" s="133">
        <v>6.5674845871894231E-3</v>
      </c>
      <c r="L17" s="133">
        <v>9.6415407708092468E-3</v>
      </c>
      <c r="M17" s="133">
        <v>1.8763193987888657E-2</v>
      </c>
      <c r="N17" s="133">
        <v>3.2527235301089384E-2</v>
      </c>
      <c r="O17" s="133">
        <v>3.4540540324366938E-2</v>
      </c>
      <c r="P17" s="133">
        <v>5.4200309734124721E-2</v>
      </c>
      <c r="Q17" s="133">
        <v>1.4472848374933036E-2</v>
      </c>
      <c r="R17" s="133">
        <v>2.8445344979156115E-2</v>
      </c>
      <c r="S17" s="133">
        <v>7.4852769241936429E-2</v>
      </c>
      <c r="T17" s="133">
        <v>4.95347732651659E-2</v>
      </c>
      <c r="U17" s="133">
        <v>8.7437395947560961E-2</v>
      </c>
      <c r="V17" s="133">
        <v>6.0848880920321875E-2</v>
      </c>
      <c r="W17" s="133">
        <v>3.6678928634079448E-2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4.7295020342940024</v>
      </c>
      <c r="D19" s="131">
        <f t="shared" si="6"/>
        <v>6.9405686461777671</v>
      </c>
      <c r="E19" s="131">
        <f t="shared" si="6"/>
        <v>9.7405609796498958</v>
      </c>
      <c r="F19" s="131">
        <f t="shared" si="6"/>
        <v>5.8395858479199543</v>
      </c>
      <c r="G19" s="131">
        <f t="shared" si="6"/>
        <v>6.8288706911920389</v>
      </c>
      <c r="H19" s="131">
        <f t="shared" si="6"/>
        <v>5.0617742428257415</v>
      </c>
      <c r="I19" s="131">
        <f t="shared" si="6"/>
        <v>8.1045456699670151</v>
      </c>
      <c r="J19" s="131">
        <f t="shared" si="6"/>
        <v>1.4541445660711081</v>
      </c>
      <c r="K19" s="131">
        <f t="shared" si="6"/>
        <v>1.560287727766011</v>
      </c>
      <c r="L19" s="131">
        <f t="shared" si="6"/>
        <v>1.4700235799796757</v>
      </c>
      <c r="M19" s="131">
        <f t="shared" si="6"/>
        <v>2.7427115458648319</v>
      </c>
      <c r="N19" s="131">
        <f t="shared" si="6"/>
        <v>3.0249426546328744</v>
      </c>
      <c r="O19" s="131">
        <f t="shared" si="6"/>
        <v>5.1356844266989095</v>
      </c>
      <c r="P19" s="131">
        <f t="shared" si="6"/>
        <v>13.368702912798613</v>
      </c>
      <c r="Q19" s="131">
        <f t="shared" si="6"/>
        <v>1.215900842683713</v>
      </c>
      <c r="R19" s="131">
        <f t="shared" ref="R19:W19" si="7">SUM(R20:R27)</f>
        <v>3.4645264766742643</v>
      </c>
      <c r="S19" s="131">
        <f t="shared" si="7"/>
        <v>4.5968957807926465</v>
      </c>
      <c r="T19" s="131">
        <f t="shared" si="7"/>
        <v>5.0290809989439076</v>
      </c>
      <c r="U19" s="131">
        <f t="shared" si="7"/>
        <v>4.0233939760256368</v>
      </c>
      <c r="V19" s="131">
        <f t="shared" si="7"/>
        <v>3.7300533713290642</v>
      </c>
      <c r="W19" s="131">
        <f t="shared" si="7"/>
        <v>3.2664249270243086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4.7295020342940024</v>
      </c>
      <c r="D23" s="133">
        <v>6.9405686461777671</v>
      </c>
      <c r="E23" s="133">
        <v>9.7405609796498958</v>
      </c>
      <c r="F23" s="133">
        <v>5.8395858479199543</v>
      </c>
      <c r="G23" s="133">
        <v>6.8288706911920389</v>
      </c>
      <c r="H23" s="133">
        <v>5.0617742428257415</v>
      </c>
      <c r="I23" s="133">
        <v>8.1045456699670151</v>
      </c>
      <c r="J23" s="133">
        <v>1.4541445660711081</v>
      </c>
      <c r="K23" s="133">
        <v>1.560287727766011</v>
      </c>
      <c r="L23" s="133">
        <v>1.4700235799796757</v>
      </c>
      <c r="M23" s="133">
        <v>2.7427115458648319</v>
      </c>
      <c r="N23" s="133">
        <v>2.7260643382292815</v>
      </c>
      <c r="O23" s="133">
        <v>5.0477228952881381</v>
      </c>
      <c r="P23" s="133">
        <v>13.255841943343336</v>
      </c>
      <c r="Q23" s="133">
        <v>1.2154651701003414</v>
      </c>
      <c r="R23" s="133">
        <v>3.4645264766742643</v>
      </c>
      <c r="S23" s="133">
        <v>4.5968957807926465</v>
      </c>
      <c r="T23" s="133">
        <v>5.0290809989439076</v>
      </c>
      <c r="U23" s="133">
        <v>4.0187146374093619</v>
      </c>
      <c r="V23" s="133">
        <v>3.7141314004711812</v>
      </c>
      <c r="W23" s="133">
        <v>3.2664249270243086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0.29887831640359303</v>
      </c>
      <c r="O24" s="133">
        <v>8.7961531410771704E-2</v>
      </c>
      <c r="P24" s="133">
        <v>0.11286096945527647</v>
      </c>
      <c r="Q24" s="133">
        <v>4.3567258337162787E-4</v>
      </c>
      <c r="R24" s="133">
        <v>0</v>
      </c>
      <c r="S24" s="133">
        <v>0</v>
      </c>
      <c r="T24" s="133">
        <v>0</v>
      </c>
      <c r="U24" s="133">
        <v>4.6793386162746519E-3</v>
      </c>
      <c r="V24" s="133">
        <v>1.5921970857883022E-2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5.5548616896304042</v>
      </c>
      <c r="D29" s="131">
        <f t="shared" si="8"/>
        <v>8.0101002117505722</v>
      </c>
      <c r="E29" s="131">
        <f t="shared" si="8"/>
        <v>11.405311960152559</v>
      </c>
      <c r="F29" s="131">
        <f t="shared" si="8"/>
        <v>7.3882107708019342</v>
      </c>
      <c r="G29" s="131">
        <f t="shared" si="8"/>
        <v>9.7621195201599917</v>
      </c>
      <c r="H29" s="131">
        <f t="shared" si="8"/>
        <v>6.9617332277244675</v>
      </c>
      <c r="I29" s="131">
        <f t="shared" si="8"/>
        <v>8.3289594570426999</v>
      </c>
      <c r="J29" s="131">
        <f t="shared" si="8"/>
        <v>1.4164142747661956</v>
      </c>
      <c r="K29" s="131">
        <f t="shared" si="8"/>
        <v>1.2625997539681326</v>
      </c>
      <c r="L29" s="131">
        <f t="shared" si="8"/>
        <v>1.6201220141706725</v>
      </c>
      <c r="M29" s="131">
        <f t="shared" si="8"/>
        <v>4.520107957911911</v>
      </c>
      <c r="N29" s="131">
        <f t="shared" si="8"/>
        <v>5.3239929663102741</v>
      </c>
      <c r="O29" s="131">
        <f t="shared" si="8"/>
        <v>5.9234096187127703</v>
      </c>
      <c r="P29" s="131">
        <f t="shared" si="8"/>
        <v>12.521947168327154</v>
      </c>
      <c r="Q29" s="131">
        <f t="shared" si="8"/>
        <v>1.6183413689305357</v>
      </c>
      <c r="R29" s="131">
        <f t="shared" ref="R29:W29" si="9">SUM(R30:R33)</f>
        <v>4.2471126803109378</v>
      </c>
      <c r="S29" s="131">
        <f t="shared" si="9"/>
        <v>5.8582591999500142</v>
      </c>
      <c r="T29" s="131">
        <f t="shared" si="9"/>
        <v>6.7487302345044622</v>
      </c>
      <c r="U29" s="131">
        <f t="shared" si="9"/>
        <v>6.1151708256581232</v>
      </c>
      <c r="V29" s="131">
        <f t="shared" si="9"/>
        <v>6.1914999209702319</v>
      </c>
      <c r="W29" s="131">
        <f t="shared" si="9"/>
        <v>6.2389200372081071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0.9836838661877777</v>
      </c>
      <c r="D30" s="133">
        <v>1.5978443024020303</v>
      </c>
      <c r="E30" s="133">
        <v>0</v>
      </c>
      <c r="F30" s="133">
        <v>0</v>
      </c>
      <c r="G30" s="133">
        <v>0</v>
      </c>
      <c r="H30" s="133">
        <v>0.85933236756672526</v>
      </c>
      <c r="I30" s="133">
        <v>2.0555326860540268</v>
      </c>
      <c r="J30" s="133">
        <v>0.29885790881683355</v>
      </c>
      <c r="K30" s="133">
        <v>0.36903129712395799</v>
      </c>
      <c r="L30" s="133">
        <v>0.35881008602721998</v>
      </c>
      <c r="M30" s="133">
        <v>0</v>
      </c>
      <c r="N30" s="133">
        <v>0</v>
      </c>
      <c r="O30" s="133">
        <v>0</v>
      </c>
      <c r="P30" s="133">
        <v>0.35357093188449024</v>
      </c>
      <c r="Q30" s="133">
        <v>8.7546606690604947E-2</v>
      </c>
      <c r="R30" s="133">
        <v>0.15938692327055382</v>
      </c>
      <c r="S30" s="133">
        <v>0.43676856519209467</v>
      </c>
      <c r="T30" s="133">
        <v>1.5279791650935657</v>
      </c>
      <c r="U30" s="133">
        <v>1.1252424757123531</v>
      </c>
      <c r="V30" s="133">
        <v>1.3345558719881347</v>
      </c>
      <c r="W30" s="133">
        <v>0.569316921598649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4.5711778234426266</v>
      </c>
      <c r="D31" s="133">
        <v>6.4122559093485423</v>
      </c>
      <c r="E31" s="133">
        <v>11.405311960152559</v>
      </c>
      <c r="F31" s="133">
        <v>7.3882107708019342</v>
      </c>
      <c r="G31" s="133">
        <v>9.7621195201599917</v>
      </c>
      <c r="H31" s="133">
        <v>6.1024008601577417</v>
      </c>
      <c r="I31" s="133">
        <v>6.2734267709886726</v>
      </c>
      <c r="J31" s="133">
        <v>1.1175563659493621</v>
      </c>
      <c r="K31" s="133">
        <v>0.89356845684417463</v>
      </c>
      <c r="L31" s="133">
        <v>1.2613119281434526</v>
      </c>
      <c r="M31" s="133">
        <v>4.520107957911911</v>
      </c>
      <c r="N31" s="133">
        <v>5.3239929663102741</v>
      </c>
      <c r="O31" s="133">
        <v>5.9234096187127703</v>
      </c>
      <c r="P31" s="133">
        <v>12.168376236442663</v>
      </c>
      <c r="Q31" s="133">
        <v>1.5307947622399307</v>
      </c>
      <c r="R31" s="133">
        <v>4.087725757040384</v>
      </c>
      <c r="S31" s="133">
        <v>5.4214906347579195</v>
      </c>
      <c r="T31" s="133">
        <v>5.2207510694108965</v>
      </c>
      <c r="U31" s="133">
        <v>4.9899283499457701</v>
      </c>
      <c r="V31" s="133">
        <v>4.856944048982097</v>
      </c>
      <c r="W31" s="133">
        <v>5.6696031156094584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352670.59277633281</v>
      </c>
      <c r="D3" s="126">
        <f>IF(SER_hh_fec_in!D3=0,0,11630*1000*SER_hh_fec_in!D3/SER_hh_num_in!D3)</f>
        <v>319469.22103797394</v>
      </c>
      <c r="E3" s="126">
        <f>IF(SER_hh_fec_in!E3=0,0,11630*1000*SER_hh_fec_in!E3/SER_hh_num_in!E3)</f>
        <v>312278.54651258071</v>
      </c>
      <c r="F3" s="126">
        <f>IF(SER_hh_fec_in!F3=0,0,11630*1000*SER_hh_fec_in!F3/SER_hh_num_in!F3)</f>
        <v>358907.35249465826</v>
      </c>
      <c r="G3" s="126">
        <f>IF(SER_hh_fec_in!G3=0,0,11630*1000*SER_hh_fec_in!G3/SER_hh_num_in!G3)</f>
        <v>320860.87050880847</v>
      </c>
      <c r="H3" s="126">
        <f>IF(SER_hh_fec_in!H3=0,0,11630*1000*SER_hh_fec_in!H3/SER_hh_num_in!H3)</f>
        <v>266006.88760849374</v>
      </c>
      <c r="I3" s="126">
        <f>IF(SER_hh_fec_in!I3=0,0,11630*1000*SER_hh_fec_in!I3/SER_hh_num_in!I3)</f>
        <v>236922.86667821443</v>
      </c>
      <c r="J3" s="126">
        <f>IF(SER_hh_fec_in!J3=0,0,11630*1000*SER_hh_fec_in!J3/SER_hh_num_in!J3)</f>
        <v>229510.86644761785</v>
      </c>
      <c r="K3" s="126">
        <f>IF(SER_hh_fec_in!K3=0,0,11630*1000*SER_hh_fec_in!K3/SER_hh_num_in!K3)</f>
        <v>246627.2958414804</v>
      </c>
      <c r="L3" s="126">
        <f>IF(SER_hh_fec_in!L3=0,0,11630*1000*SER_hh_fec_in!L3/SER_hh_num_in!L3)</f>
        <v>260654.88749717799</v>
      </c>
      <c r="M3" s="126">
        <f>IF(SER_hh_fec_in!M3=0,0,11630*1000*SER_hh_fec_in!M3/SER_hh_num_in!M3)</f>
        <v>248748.68795694647</v>
      </c>
      <c r="N3" s="126">
        <f>IF(SER_hh_fec_in!N3=0,0,11630*1000*SER_hh_fec_in!N3/SER_hh_num_in!N3)</f>
        <v>196619.05999867924</v>
      </c>
      <c r="O3" s="126">
        <f>IF(SER_hh_fec_in!O3=0,0,11630*1000*SER_hh_fec_in!O3/SER_hh_num_in!O3)</f>
        <v>178798.95375174118</v>
      </c>
      <c r="P3" s="126">
        <f>IF(SER_hh_fec_in!P3=0,0,11630*1000*SER_hh_fec_in!P3/SER_hh_num_in!P3)</f>
        <v>147603.93471570787</v>
      </c>
      <c r="Q3" s="126">
        <f>IF(SER_hh_fec_in!Q3=0,0,11630*1000*SER_hh_fec_in!Q3/SER_hh_num_in!Q3)</f>
        <v>147999.22319283345</v>
      </c>
      <c r="R3" s="126">
        <f>IF(SER_hh_fec_in!R3=0,0,11630*1000*SER_hh_fec_in!R3/SER_hh_num_in!R3)</f>
        <v>138933.8671499496</v>
      </c>
      <c r="S3" s="126">
        <f>IF(SER_hh_fec_in!S3=0,0,11630*1000*SER_hh_fec_in!S3/SER_hh_num_in!S3)</f>
        <v>131837.81517831716</v>
      </c>
      <c r="T3" s="126">
        <f>IF(SER_hh_fec_in!T3=0,0,11630*1000*SER_hh_fec_in!T3/SER_hh_num_in!T3)</f>
        <v>124097.90089870401</v>
      </c>
      <c r="U3" s="126">
        <f>IF(SER_hh_fec_in!U3=0,0,11630*1000*SER_hh_fec_in!U3/SER_hh_num_in!U3)</f>
        <v>115962.5323126369</v>
      </c>
      <c r="V3" s="126">
        <f>IF(SER_hh_fec_in!V3=0,0,11630*1000*SER_hh_fec_in!V3/SER_hh_num_in!V3)</f>
        <v>106996.7243733857</v>
      </c>
      <c r="W3" s="126">
        <f>IF(SER_hh_fec_in!W3=0,0,11630*1000*SER_hh_fec_in!W3/SER_hh_num_in!W3)</f>
        <v>102179.76428707386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289584.71639431949</v>
      </c>
      <c r="D4" s="131">
        <f>IF(SER_hh_fec_in!D4=0,0,11630*1000*SER_hh_fec_in!D4/SER_hh_num_in!D4)</f>
        <v>256560.93904362305</v>
      </c>
      <c r="E4" s="131">
        <f>IF(SER_hh_fec_in!E4=0,0,11630*1000*SER_hh_fec_in!E4/SER_hh_num_in!E4)</f>
        <v>252312.40961352136</v>
      </c>
      <c r="F4" s="131">
        <f>IF(SER_hh_fec_in!F4=0,0,11630*1000*SER_hh_fec_in!F4/SER_hh_num_in!F4)</f>
        <v>295516.46623245801</v>
      </c>
      <c r="G4" s="131">
        <f>IF(SER_hh_fec_in!G4=0,0,11630*1000*SER_hh_fec_in!G4/SER_hh_num_in!G4)</f>
        <v>260087.65116932825</v>
      </c>
      <c r="H4" s="131">
        <f>IF(SER_hh_fec_in!H4=0,0,11630*1000*SER_hh_fec_in!H4/SER_hh_num_in!H4)</f>
        <v>204584.27093984521</v>
      </c>
      <c r="I4" s="131">
        <f>IF(SER_hh_fec_in!I4=0,0,11630*1000*SER_hh_fec_in!I4/SER_hh_num_in!I4)</f>
        <v>176330.27660362565</v>
      </c>
      <c r="J4" s="131">
        <f>IF(SER_hh_fec_in!J4=0,0,11630*1000*SER_hh_fec_in!J4/SER_hh_num_in!J4)</f>
        <v>170765.06869775432</v>
      </c>
      <c r="K4" s="131">
        <f>IF(SER_hh_fec_in!K4=0,0,11630*1000*SER_hh_fec_in!K4/SER_hh_num_in!K4)</f>
        <v>187899.96917008181</v>
      </c>
      <c r="L4" s="131">
        <f>IF(SER_hh_fec_in!L4=0,0,11630*1000*SER_hh_fec_in!L4/SER_hh_num_in!L4)</f>
        <v>201099.30187849136</v>
      </c>
      <c r="M4" s="131">
        <f>IF(SER_hh_fec_in!M4=0,0,11630*1000*SER_hh_fec_in!M4/SER_hh_num_in!M4)</f>
        <v>188101.08958052588</v>
      </c>
      <c r="N4" s="131">
        <f>IF(SER_hh_fec_in!N4=0,0,11630*1000*SER_hh_fec_in!N4/SER_hh_num_in!N4)</f>
        <v>134695.37274378267</v>
      </c>
      <c r="O4" s="131">
        <f>IF(SER_hh_fec_in!O4=0,0,11630*1000*SER_hh_fec_in!O4/SER_hh_num_in!O4)</f>
        <v>121126.857755751</v>
      </c>
      <c r="P4" s="131">
        <f>IF(SER_hh_fec_in!P4=0,0,11630*1000*SER_hh_fec_in!P4/SER_hh_num_in!P4)</f>
        <v>94185.524362678072</v>
      </c>
      <c r="Q4" s="131">
        <f>IF(SER_hh_fec_in!Q4=0,0,11630*1000*SER_hh_fec_in!Q4/SER_hh_num_in!Q4)</f>
        <v>94301.657079797544</v>
      </c>
      <c r="R4" s="131">
        <f>IF(SER_hh_fec_in!R4=0,0,11630*1000*SER_hh_fec_in!R4/SER_hh_num_in!R4)</f>
        <v>88884.487862364185</v>
      </c>
      <c r="S4" s="131">
        <f>IF(SER_hh_fec_in!S4=0,0,11630*1000*SER_hh_fec_in!S4/SER_hh_num_in!S4)</f>
        <v>81875.404912637445</v>
      </c>
      <c r="T4" s="131">
        <f>IF(SER_hh_fec_in!T4=0,0,11630*1000*SER_hh_fec_in!T4/SER_hh_num_in!T4)</f>
        <v>74161.432101803875</v>
      </c>
      <c r="U4" s="131">
        <f>IF(SER_hh_fec_in!U4=0,0,11630*1000*SER_hh_fec_in!U4/SER_hh_num_in!U4)</f>
        <v>67104.075649753926</v>
      </c>
      <c r="V4" s="131">
        <f>IF(SER_hh_fec_in!V4=0,0,11630*1000*SER_hh_fec_in!V4/SER_hh_num_in!V4)</f>
        <v>61704.438555690038</v>
      </c>
      <c r="W4" s="131">
        <f>IF(SER_hh_fec_in!W4=0,0,11630*1000*SER_hh_fec_in!W4/SER_hh_num_in!W4)</f>
        <v>55228.436197248324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219654.20040806904</v>
      </c>
      <c r="N5" s="133">
        <f>IF(SER_hh_fec_in!N5=0,0,11630*1000*SER_hh_fec_in!N5/SER_hh_num_in!N5)</f>
        <v>65618.40942159541</v>
      </c>
      <c r="O5" s="133">
        <f>IF(SER_hh_fec_in!O5=0,0,11630*1000*SER_hh_fec_in!O5/SER_hh_num_in!O5)</f>
        <v>145447.36371036785</v>
      </c>
      <c r="P5" s="133">
        <f>IF(SER_hh_fec_in!P5=0,0,11630*1000*SER_hh_fec_in!P5/SER_hh_num_in!P5)</f>
        <v>108593.39462685057</v>
      </c>
      <c r="Q5" s="133">
        <f>IF(SER_hh_fec_in!Q5=0,0,11630*1000*SER_hh_fec_in!Q5/SER_hh_num_in!Q5)</f>
        <v>119873.2844734588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0</v>
      </c>
      <c r="D7" s="133">
        <f>IF(SER_hh_fec_in!D7=0,0,11630*1000*SER_hh_fec_in!D7/SER_hh_num_in!D7)</f>
        <v>0</v>
      </c>
      <c r="E7" s="133">
        <f>IF(SER_hh_fec_in!E7=0,0,11630*1000*SER_hh_fec_in!E7/SER_hh_num_in!E7)</f>
        <v>0</v>
      </c>
      <c r="F7" s="133">
        <f>IF(SER_hh_fec_in!F7=0,0,11630*1000*SER_hh_fec_in!F7/SER_hh_num_in!F7)</f>
        <v>0</v>
      </c>
      <c r="G7" s="133">
        <f>IF(SER_hh_fec_in!G7=0,0,11630*1000*SER_hh_fec_in!G7/SER_hh_num_in!G7)</f>
        <v>0</v>
      </c>
      <c r="H7" s="133">
        <f>IF(SER_hh_fec_in!H7=0,0,11630*1000*SER_hh_fec_in!H7/SER_hh_num_in!H7)</f>
        <v>0</v>
      </c>
      <c r="I7" s="133">
        <f>IF(SER_hh_fec_in!I7=0,0,11630*1000*SER_hh_fec_in!I7/SER_hh_num_in!I7)</f>
        <v>0</v>
      </c>
      <c r="J7" s="133">
        <f>IF(SER_hh_fec_in!J7=0,0,11630*1000*SER_hh_fec_in!J7/SER_hh_num_in!J7)</f>
        <v>0</v>
      </c>
      <c r="K7" s="133">
        <f>IF(SER_hh_fec_in!K7=0,0,11630*1000*SER_hh_fec_in!K7/SER_hh_num_in!K7)</f>
        <v>0</v>
      </c>
      <c r="L7" s="133">
        <f>IF(SER_hh_fec_in!L7=0,0,11630*1000*SER_hh_fec_in!L7/SER_hh_num_in!L7)</f>
        <v>0</v>
      </c>
      <c r="M7" s="133">
        <f>IF(SER_hh_fec_in!M7=0,0,11630*1000*SER_hh_fec_in!M7/SER_hh_num_in!M7)</f>
        <v>0</v>
      </c>
      <c r="N7" s="133">
        <f>IF(SER_hh_fec_in!N7=0,0,11630*1000*SER_hh_fec_in!N7/SER_hh_num_in!N7)</f>
        <v>217123.52414025765</v>
      </c>
      <c r="O7" s="133">
        <f>IF(SER_hh_fec_in!O7=0,0,11630*1000*SER_hh_fec_in!O7/SER_hh_num_in!O7)</f>
        <v>79437.864706799868</v>
      </c>
      <c r="P7" s="133">
        <f>IF(SER_hh_fec_in!P7=0,0,11630*1000*SER_hh_fec_in!P7/SER_hh_num_in!P7)</f>
        <v>101237.43469868459</v>
      </c>
      <c r="Q7" s="133">
        <f>IF(SER_hh_fec_in!Q7=0,0,11630*1000*SER_hh_fec_in!Q7/SER_hh_num_in!Q7)</f>
        <v>118386.94008657448</v>
      </c>
      <c r="R7" s="133">
        <f>IF(SER_hh_fec_in!R7=0,0,11630*1000*SER_hh_fec_in!R7/SER_hh_num_in!R7)</f>
        <v>113652.05840255751</v>
      </c>
      <c r="S7" s="133">
        <f>IF(SER_hh_fec_in!S7=0,0,11630*1000*SER_hh_fec_in!S7/SER_hh_num_in!S7)</f>
        <v>90174.57782495553</v>
      </c>
      <c r="T7" s="133">
        <f>IF(SER_hh_fec_in!T7=0,0,11630*1000*SER_hh_fec_in!T7/SER_hh_num_in!T7)</f>
        <v>90736.262733422016</v>
      </c>
      <c r="U7" s="133">
        <f>IF(SER_hh_fec_in!U7=0,0,11630*1000*SER_hh_fec_in!U7/SER_hh_num_in!U7)</f>
        <v>73044.205193615722</v>
      </c>
      <c r="V7" s="133">
        <f>IF(SER_hh_fec_in!V7=0,0,11630*1000*SER_hh_fec_in!V7/SER_hh_num_in!V7)</f>
        <v>67126.051762475734</v>
      </c>
      <c r="W7" s="133">
        <f>IF(SER_hh_fec_in!W7=0,0,11630*1000*SER_hh_fec_in!W7/SER_hh_num_in!W7)</f>
        <v>66330.95943469106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8524.7908362247217</v>
      </c>
      <c r="S8" s="133">
        <f>IF(SER_hh_fec_in!S8=0,0,11630*1000*SER_hh_fec_in!S8/SER_hh_num_in!S8)</f>
        <v>19407.191737783778</v>
      </c>
      <c r="T8" s="133">
        <f>IF(SER_hh_fec_in!T8=0,0,11630*1000*SER_hh_fec_in!T8/SER_hh_num_in!T8)</f>
        <v>24308.151635311802</v>
      </c>
      <c r="U8" s="133">
        <f>IF(SER_hh_fec_in!U8=0,0,11630*1000*SER_hh_fec_in!U8/SER_hh_num_in!U8)</f>
        <v>19270.628094246622</v>
      </c>
      <c r="V8" s="133">
        <f>IF(SER_hh_fec_in!V8=0,0,11630*1000*SER_hh_fec_in!V8/SER_hh_num_in!V8)</f>
        <v>23456.808553724935</v>
      </c>
      <c r="W8" s="133">
        <f>IF(SER_hh_fec_in!W8=0,0,11630*1000*SER_hh_fec_in!W8/SER_hh_num_in!W8)</f>
        <v>15984.070096582327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299538.29909350985</v>
      </c>
      <c r="D9" s="133">
        <f>IF(SER_hh_fec_in!D9=0,0,11630*1000*SER_hh_fec_in!D9/SER_hh_num_in!D9)</f>
        <v>257139.77048487353</v>
      </c>
      <c r="E9" s="133">
        <f>IF(SER_hh_fec_in!E9=0,0,11630*1000*SER_hh_fec_in!E9/SER_hh_num_in!E9)</f>
        <v>251534.84587538533</v>
      </c>
      <c r="F9" s="133">
        <f>IF(SER_hh_fec_in!F9=0,0,11630*1000*SER_hh_fec_in!F9/SER_hh_num_in!F9)</f>
        <v>306616.25257779256</v>
      </c>
      <c r="G9" s="133">
        <f>IF(SER_hh_fec_in!G9=0,0,11630*1000*SER_hh_fec_in!G9/SER_hh_num_in!G9)</f>
        <v>282996.40467123466</v>
      </c>
      <c r="H9" s="133">
        <f>IF(SER_hh_fec_in!H9=0,0,11630*1000*SER_hh_fec_in!H9/SER_hh_num_in!H9)</f>
        <v>241419.16639851531</v>
      </c>
      <c r="I9" s="133">
        <f>IF(SER_hh_fec_in!I9=0,0,11630*1000*SER_hh_fec_in!I9/SER_hh_num_in!I9)</f>
        <v>184154.6812406973</v>
      </c>
      <c r="J9" s="133">
        <f>IF(SER_hh_fec_in!J9=0,0,11630*1000*SER_hh_fec_in!J9/SER_hh_num_in!J9)</f>
        <v>175652.8552158869</v>
      </c>
      <c r="K9" s="133">
        <f>IF(SER_hh_fec_in!K9=0,0,11630*1000*SER_hh_fec_in!K9/SER_hh_num_in!K9)</f>
        <v>192405.96939109909</v>
      </c>
      <c r="L9" s="133">
        <f>IF(SER_hh_fec_in!L9=0,0,11630*1000*SER_hh_fec_in!L9/SER_hh_num_in!L9)</f>
        <v>202274.0223997276</v>
      </c>
      <c r="M9" s="133">
        <f>IF(SER_hh_fec_in!M9=0,0,11630*1000*SER_hh_fec_in!M9/SER_hh_num_in!M9)</f>
        <v>188792.69260919243</v>
      </c>
      <c r="N9" s="133">
        <f>IF(SER_hh_fec_in!N9=0,0,11630*1000*SER_hh_fec_in!N9/SER_hh_num_in!N9)</f>
        <v>131135.84691749062</v>
      </c>
      <c r="O9" s="133">
        <f>IF(SER_hh_fec_in!O9=0,0,11630*1000*SER_hh_fec_in!O9/SER_hh_num_in!O9)</f>
        <v>123163.12885599284</v>
      </c>
      <c r="P9" s="133">
        <f>IF(SER_hh_fec_in!P9=0,0,11630*1000*SER_hh_fec_in!P9/SER_hh_num_in!P9)</f>
        <v>95806.26579389743</v>
      </c>
      <c r="Q9" s="133">
        <f>IF(SER_hh_fec_in!Q9=0,0,11630*1000*SER_hh_fec_in!Q9/SER_hh_num_in!Q9)</f>
        <v>95793.335988906314</v>
      </c>
      <c r="R9" s="133">
        <f>IF(SER_hh_fec_in!R9=0,0,11630*1000*SER_hh_fec_in!R9/SER_hh_num_in!R9)</f>
        <v>90778.421995120123</v>
      </c>
      <c r="S9" s="133">
        <f>IF(SER_hh_fec_in!S9=0,0,11630*1000*SER_hh_fec_in!S9/SER_hh_num_in!S9)</f>
        <v>83741.631711094989</v>
      </c>
      <c r="T9" s="133">
        <f>IF(SER_hh_fec_in!T9=0,0,11630*1000*SER_hh_fec_in!T9/SER_hh_num_in!T9)</f>
        <v>74502.024178738284</v>
      </c>
      <c r="U9" s="133">
        <f>IF(SER_hh_fec_in!U9=0,0,11630*1000*SER_hh_fec_in!U9/SER_hh_num_in!U9)</f>
        <v>67306.360072080046</v>
      </c>
      <c r="V9" s="133">
        <f>IF(SER_hh_fec_in!V9=0,0,11630*1000*SER_hh_fec_in!V9/SER_hh_num_in!V9)</f>
        <v>63811.746047452049</v>
      </c>
      <c r="W9" s="133">
        <f>IF(SER_hh_fec_in!W9=0,0,11630*1000*SER_hh_fec_in!W9/SER_hh_num_in!W9)</f>
        <v>56324.377063031148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280235.44868244202</v>
      </c>
      <c r="D10" s="133">
        <f>IF(SER_hh_fec_in!D10=0,0,11630*1000*SER_hh_fec_in!D10/SER_hh_num_in!D10)</f>
        <v>299295.03092925274</v>
      </c>
      <c r="E10" s="133">
        <f>IF(SER_hh_fec_in!E10=0,0,11630*1000*SER_hh_fec_in!E10/SER_hh_num_in!E10)</f>
        <v>360590.34307112667</v>
      </c>
      <c r="F10" s="133">
        <f>IF(SER_hh_fec_in!F10=0,0,11630*1000*SER_hh_fec_in!F10/SER_hh_num_in!F10)</f>
        <v>344821.26712081855</v>
      </c>
      <c r="G10" s="133">
        <f>IF(SER_hh_fec_in!G10=0,0,11630*1000*SER_hh_fec_in!G10/SER_hh_num_in!G10)</f>
        <v>0</v>
      </c>
      <c r="H10" s="133">
        <f>IF(SER_hh_fec_in!H10=0,0,11630*1000*SER_hh_fec_in!H10/SER_hh_num_in!H10)</f>
        <v>0</v>
      </c>
      <c r="I10" s="133">
        <f>IF(SER_hh_fec_in!I10=0,0,11630*1000*SER_hh_fec_in!I10/SER_hh_num_in!I10)</f>
        <v>231966.77048277258</v>
      </c>
      <c r="J10" s="133">
        <f>IF(SER_hh_fec_in!J10=0,0,11630*1000*SER_hh_fec_in!J10/SER_hh_num_in!J10)</f>
        <v>223108.93954677097</v>
      </c>
      <c r="K10" s="133">
        <f>IF(SER_hh_fec_in!K10=0,0,11630*1000*SER_hh_fec_in!K10/SER_hh_num_in!K10)</f>
        <v>235428.22627677242</v>
      </c>
      <c r="L10" s="133">
        <f>IF(SER_hh_fec_in!L10=0,0,11630*1000*SER_hh_fec_in!L10/SER_hh_num_in!L10)</f>
        <v>237902.47245769366</v>
      </c>
      <c r="M10" s="133">
        <f>IF(SER_hh_fec_in!M10=0,0,11630*1000*SER_hh_fec_in!M10/SER_hh_num_in!M10)</f>
        <v>219967.96968153759</v>
      </c>
      <c r="N10" s="133">
        <f>IF(SER_hh_fec_in!N10=0,0,11630*1000*SER_hh_fec_in!N10/SER_hh_num_in!N10)</f>
        <v>177635.92015370511</v>
      </c>
      <c r="O10" s="133">
        <f>IF(SER_hh_fec_in!O10=0,0,11630*1000*SER_hh_fec_in!O10/SER_hh_num_in!O10)</f>
        <v>156291.34588604522</v>
      </c>
      <c r="P10" s="133">
        <f>IF(SER_hh_fec_in!P10=0,0,11630*1000*SER_hh_fec_in!P10/SER_hh_num_in!P10)</f>
        <v>121990.11118955267</v>
      </c>
      <c r="Q10" s="133">
        <f>IF(SER_hh_fec_in!Q10=0,0,11630*1000*SER_hh_fec_in!Q10/SER_hh_num_in!Q10)</f>
        <v>140958.01290088086</v>
      </c>
      <c r="R10" s="133">
        <f>IF(SER_hh_fec_in!R10=0,0,11630*1000*SER_hh_fec_in!R10/SER_hh_num_in!R10)</f>
        <v>119779.63613309171</v>
      </c>
      <c r="S10" s="133">
        <f>IF(SER_hh_fec_in!S10=0,0,11630*1000*SER_hh_fec_in!S10/SER_hh_num_in!S10)</f>
        <v>115695.47484382361</v>
      </c>
      <c r="T10" s="133">
        <f>IF(SER_hh_fec_in!T10=0,0,11630*1000*SER_hh_fec_in!T10/SER_hh_num_in!T10)</f>
        <v>101384.16857632274</v>
      </c>
      <c r="U10" s="133">
        <f>IF(SER_hh_fec_in!U10=0,0,11630*1000*SER_hh_fec_in!U10/SER_hh_num_in!U10)</f>
        <v>104601.21275926416</v>
      </c>
      <c r="V10" s="133">
        <f>IF(SER_hh_fec_in!V10=0,0,11630*1000*SER_hh_fec_in!V10/SER_hh_num_in!V10)</f>
        <v>0</v>
      </c>
      <c r="W10" s="133">
        <f>IF(SER_hh_fec_in!W10=0,0,11630*1000*SER_hh_fec_in!W10/SER_hh_num_in!W10)</f>
        <v>0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215722.4456321653</v>
      </c>
      <c r="D11" s="133">
        <f>IF(SER_hh_fec_in!D11=0,0,11630*1000*SER_hh_fec_in!D11/SER_hh_num_in!D11)</f>
        <v>210889.76857687588</v>
      </c>
      <c r="E11" s="133">
        <f>IF(SER_hh_fec_in!E11=0,0,11630*1000*SER_hh_fec_in!E11/SER_hh_num_in!E11)</f>
        <v>215012.64172774952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197780.69822106176</v>
      </c>
      <c r="H11" s="133">
        <f>IF(SER_hh_fec_in!H11=0,0,11630*1000*SER_hh_fec_in!H11/SER_hh_num_in!H11)</f>
        <v>180604.02338282275</v>
      </c>
      <c r="I11" s="133">
        <f>IF(SER_hh_fec_in!I11=0,0,11630*1000*SER_hh_fec_in!I11/SER_hh_num_in!I11)</f>
        <v>158430.18701896575</v>
      </c>
      <c r="J11" s="133">
        <f>IF(SER_hh_fec_in!J11=0,0,11630*1000*SER_hh_fec_in!J11/SER_hh_num_in!J11)</f>
        <v>163026.87562532836</v>
      </c>
      <c r="K11" s="133">
        <f>IF(SER_hh_fec_in!K11=0,0,11630*1000*SER_hh_fec_in!K11/SER_hh_num_in!K11)</f>
        <v>162403.08505705246</v>
      </c>
      <c r="L11" s="133">
        <f>IF(SER_hh_fec_in!L11=0,0,11630*1000*SER_hh_fec_in!L11/SER_hh_num_in!L11)</f>
        <v>155005.05216433213</v>
      </c>
      <c r="M11" s="133">
        <f>IF(SER_hh_fec_in!M11=0,0,11630*1000*SER_hh_fec_in!M11/SER_hh_num_in!M11)</f>
        <v>150846.72620928637</v>
      </c>
      <c r="N11" s="133">
        <f>IF(SER_hh_fec_in!N11=0,0,11630*1000*SER_hh_fec_in!N11/SER_hh_num_in!N11)</f>
        <v>141715.38474272972</v>
      </c>
      <c r="O11" s="133">
        <f>IF(SER_hh_fec_in!O11=0,0,11630*1000*SER_hh_fec_in!O11/SER_hh_num_in!O11)</f>
        <v>145850.14973790423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82537.948340190007</v>
      </c>
      <c r="T11" s="133">
        <f>IF(SER_hh_fec_in!T11=0,0,11630*1000*SER_hh_fec_in!T11/SER_hh_num_in!T11)</f>
        <v>70265.545558220518</v>
      </c>
      <c r="U11" s="133">
        <f>IF(SER_hh_fec_in!U11=0,0,11630*1000*SER_hh_fec_in!U11/SER_hh_num_in!U11)</f>
        <v>66465.498990286767</v>
      </c>
      <c r="V11" s="133">
        <f>IF(SER_hh_fec_in!V11=0,0,11630*1000*SER_hh_fec_in!V11/SER_hh_num_in!V11)</f>
        <v>54071.718593981524</v>
      </c>
      <c r="W11" s="133">
        <f>IF(SER_hh_fec_in!W11=0,0,11630*1000*SER_hh_fec_in!W11/SER_hh_num_in!W11)</f>
        <v>57307.358944041458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233879.37569178446</v>
      </c>
      <c r="D12" s="133">
        <f>IF(SER_hh_fec_in!D12=0,0,11630*1000*SER_hh_fec_in!D12/SER_hh_num_in!D12)</f>
        <v>196256.93861901213</v>
      </c>
      <c r="E12" s="133">
        <f>IF(SER_hh_fec_in!E12=0,0,11630*1000*SER_hh_fec_in!E12/SER_hh_num_in!E12)</f>
        <v>215917.37550880277</v>
      </c>
      <c r="F12" s="133">
        <f>IF(SER_hh_fec_in!F12=0,0,11630*1000*SER_hh_fec_in!F12/SER_hh_num_in!F12)</f>
        <v>0</v>
      </c>
      <c r="G12" s="133">
        <f>IF(SER_hh_fec_in!G12=0,0,11630*1000*SER_hh_fec_in!G12/SER_hh_num_in!G12)</f>
        <v>213810.17991269415</v>
      </c>
      <c r="H12" s="133">
        <f>IF(SER_hh_fec_in!H12=0,0,11630*1000*SER_hh_fec_in!H12/SER_hh_num_in!H12)</f>
        <v>169749.94073023889</v>
      </c>
      <c r="I12" s="133">
        <f>IF(SER_hh_fec_in!I12=0,0,11630*1000*SER_hh_fec_in!I12/SER_hh_num_in!I12)</f>
        <v>158438.53201602475</v>
      </c>
      <c r="J12" s="133">
        <f>IF(SER_hh_fec_in!J12=0,0,11630*1000*SER_hh_fec_in!J12/SER_hh_num_in!J12)</f>
        <v>167638.22834613849</v>
      </c>
      <c r="K12" s="133">
        <f>IF(SER_hh_fec_in!K12=0,0,11630*1000*SER_hh_fec_in!K12/SER_hh_num_in!K12)</f>
        <v>157253.6607709146</v>
      </c>
      <c r="L12" s="133">
        <f>IF(SER_hh_fec_in!L12=0,0,11630*1000*SER_hh_fec_in!L12/SER_hh_num_in!L12)</f>
        <v>163309.47246640999</v>
      </c>
      <c r="M12" s="133">
        <f>IF(SER_hh_fec_in!M12=0,0,11630*1000*SER_hh_fec_in!M12/SER_hh_num_in!M12)</f>
        <v>157886.0961181139</v>
      </c>
      <c r="N12" s="133">
        <f>IF(SER_hh_fec_in!N12=0,0,11630*1000*SER_hh_fec_in!N12/SER_hh_num_in!N12)</f>
        <v>106219.44474787013</v>
      </c>
      <c r="O12" s="133">
        <f>IF(SER_hh_fec_in!O12=0,0,11630*1000*SER_hh_fec_in!O12/SER_hh_num_in!O12)</f>
        <v>96131.806653388776</v>
      </c>
      <c r="P12" s="133">
        <f>IF(SER_hh_fec_in!P12=0,0,11630*1000*SER_hh_fec_in!P12/SER_hh_num_in!P12)</f>
        <v>79110.406423307213</v>
      </c>
      <c r="Q12" s="133">
        <f>IF(SER_hh_fec_in!Q12=0,0,11630*1000*SER_hh_fec_in!Q12/SER_hh_num_in!Q12)</f>
        <v>86710.116745541061</v>
      </c>
      <c r="R12" s="133">
        <f>IF(SER_hh_fec_in!R12=0,0,11630*1000*SER_hh_fec_in!R12/SER_hh_num_in!R12)</f>
        <v>84703.008991133669</v>
      </c>
      <c r="S12" s="133">
        <f>IF(SER_hh_fec_in!S12=0,0,11630*1000*SER_hh_fec_in!S12/SER_hh_num_in!S12)</f>
        <v>78013.956657478106</v>
      </c>
      <c r="T12" s="133">
        <f>IF(SER_hh_fec_in!T12=0,0,11630*1000*SER_hh_fec_in!T12/SER_hh_num_in!T12)</f>
        <v>68596.88694815099</v>
      </c>
      <c r="U12" s="133">
        <f>IF(SER_hh_fec_in!U12=0,0,11630*1000*SER_hh_fec_in!U12/SER_hh_num_in!U12)</f>
        <v>61237.052630207276</v>
      </c>
      <c r="V12" s="133">
        <f>IF(SER_hh_fec_in!V12=0,0,11630*1000*SER_hh_fec_in!V12/SER_hh_num_in!V12)</f>
        <v>56874.562456103136</v>
      </c>
      <c r="W12" s="133">
        <f>IF(SER_hh_fec_in!W12=0,0,11630*1000*SER_hh_fec_in!W12/SER_hh_num_in!W12)</f>
        <v>51234.354361030339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125661.04938110677</v>
      </c>
      <c r="D13" s="133">
        <f>IF(SER_hh_fec_in!D13=0,0,11630*1000*SER_hh_fec_in!D13/SER_hh_num_in!D13)</f>
        <v>100836.69262934355</v>
      </c>
      <c r="E13" s="133">
        <f>IF(SER_hh_fec_in!E13=0,0,11630*1000*SER_hh_fec_in!E13/SER_hh_num_in!E13)</f>
        <v>72978.816276320198</v>
      </c>
      <c r="F13" s="133">
        <f>IF(SER_hh_fec_in!F13=0,0,11630*1000*SER_hh_fec_in!F13/SER_hh_num_in!F13)</f>
        <v>77803.365598679899</v>
      </c>
      <c r="G13" s="133">
        <f>IF(SER_hh_fec_in!G13=0,0,11630*1000*SER_hh_fec_in!G13/SER_hh_num_in!G13)</f>
        <v>74182.774730907127</v>
      </c>
      <c r="H13" s="133">
        <f>IF(SER_hh_fec_in!H13=0,0,11630*1000*SER_hh_fec_in!H13/SER_hh_num_in!H13)</f>
        <v>62505.697123721111</v>
      </c>
      <c r="I13" s="133">
        <f>IF(SER_hh_fec_in!I13=0,0,11630*1000*SER_hh_fec_in!I13/SER_hh_num_in!I13)</f>
        <v>66247.578833504231</v>
      </c>
      <c r="J13" s="133">
        <f>IF(SER_hh_fec_in!J13=0,0,11630*1000*SER_hh_fec_in!J13/SER_hh_num_in!J13)</f>
        <v>54613.424068500324</v>
      </c>
      <c r="K13" s="133">
        <f>IF(SER_hh_fec_in!K13=0,0,11630*1000*SER_hh_fec_in!K13/SER_hh_num_in!K13)</f>
        <v>55266.349082151799</v>
      </c>
      <c r="L13" s="133">
        <f>IF(SER_hh_fec_in!L13=0,0,11630*1000*SER_hh_fec_in!L13/SER_hh_num_in!L13)</f>
        <v>42377.729382650556</v>
      </c>
      <c r="M13" s="133">
        <f>IF(SER_hh_fec_in!M13=0,0,11630*1000*SER_hh_fec_in!M13/SER_hh_num_in!M13)</f>
        <v>29582.387082768393</v>
      </c>
      <c r="N13" s="133">
        <f>IF(SER_hh_fec_in!N13=0,0,11630*1000*SER_hh_fec_in!N13/SER_hh_num_in!N13)</f>
        <v>28582.653007504257</v>
      </c>
      <c r="O13" s="133">
        <f>IF(SER_hh_fec_in!O13=0,0,11630*1000*SER_hh_fec_in!O13/SER_hh_num_in!O13)</f>
        <v>26676.726790185665</v>
      </c>
      <c r="P13" s="133">
        <f>IF(SER_hh_fec_in!P13=0,0,11630*1000*SER_hh_fec_in!P13/SER_hh_num_in!P13)</f>
        <v>27511.222871535461</v>
      </c>
      <c r="Q13" s="133">
        <f>IF(SER_hh_fec_in!Q13=0,0,11630*1000*SER_hh_fec_in!Q13/SER_hh_num_in!Q13)</f>
        <v>19887.907705808993</v>
      </c>
      <c r="R13" s="133">
        <f>IF(SER_hh_fec_in!R13=0,0,11630*1000*SER_hh_fec_in!R13/SER_hh_num_in!R13)</f>
        <v>17236.599587400015</v>
      </c>
      <c r="S13" s="133">
        <f>IF(SER_hh_fec_in!S13=0,0,11630*1000*SER_hh_fec_in!S13/SER_hh_num_in!S13)</f>
        <v>15470.516792501803</v>
      </c>
      <c r="T13" s="133">
        <f>IF(SER_hh_fec_in!T13=0,0,11630*1000*SER_hh_fec_in!T13/SER_hh_num_in!T13)</f>
        <v>16177.835933696408</v>
      </c>
      <c r="U13" s="133">
        <f>IF(SER_hh_fec_in!U13=0,0,11630*1000*SER_hh_fec_in!U13/SER_hh_num_in!U13)</f>
        <v>13799.122996377295</v>
      </c>
      <c r="V13" s="133">
        <f>IF(SER_hh_fec_in!V13=0,0,11630*1000*SER_hh_fec_in!V13/SER_hh_num_in!V13)</f>
        <v>16957.872673930677</v>
      </c>
      <c r="W13" s="133">
        <f>IF(SER_hh_fec_in!W13=0,0,11630*1000*SER_hh_fec_in!W13/SER_hh_num_in!W13)</f>
        <v>9927.3605860546359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248987.94149939626</v>
      </c>
      <c r="D14" s="65">
        <f>IF(SER_hh_fec_in!D14=0,0,11630*1000*SER_hh_fec_in!D14/SER_hh_num_in!D14)</f>
        <v>0</v>
      </c>
      <c r="E14" s="65">
        <f>IF(SER_hh_fec_in!E14=0,0,11630*1000*SER_hh_fec_in!E14/SER_hh_num_in!E14)</f>
        <v>188454.49119883133</v>
      </c>
      <c r="F14" s="65">
        <f>IF(SER_hh_fec_in!F14=0,0,11630*1000*SER_hh_fec_in!F14/SER_hh_num_in!F14)</f>
        <v>209317.48257425617</v>
      </c>
      <c r="G14" s="65">
        <f>IF(SER_hh_fec_in!G14=0,0,11630*1000*SER_hh_fec_in!G14/SER_hh_num_in!G14)</f>
        <v>230764.20403756172</v>
      </c>
      <c r="H14" s="65">
        <f>IF(SER_hh_fec_in!H14=0,0,11630*1000*SER_hh_fec_in!H14/SER_hh_num_in!H14)</f>
        <v>196467.73560044685</v>
      </c>
      <c r="I14" s="65">
        <f>IF(SER_hh_fec_in!I14=0,0,11630*1000*SER_hh_fec_in!I14/SER_hh_num_in!I14)</f>
        <v>185670.43010835344</v>
      </c>
      <c r="J14" s="65">
        <f>IF(SER_hh_fec_in!J14=0,0,11630*1000*SER_hh_fec_in!J14/SER_hh_num_in!J14)</f>
        <v>166855.45380058195</v>
      </c>
      <c r="K14" s="65">
        <f>IF(SER_hh_fec_in!K14=0,0,11630*1000*SER_hh_fec_in!K14/SER_hh_num_in!K14)</f>
        <v>181599.83580153721</v>
      </c>
      <c r="L14" s="65">
        <f>IF(SER_hh_fec_in!L14=0,0,11630*1000*SER_hh_fec_in!L14/SER_hh_num_in!L14)</f>
        <v>0</v>
      </c>
      <c r="M14" s="65">
        <f>IF(SER_hh_fec_in!M14=0,0,11630*1000*SER_hh_fec_in!M14/SER_hh_num_in!M14)</f>
        <v>0</v>
      </c>
      <c r="N14" s="65">
        <f>IF(SER_hh_fec_in!N14=0,0,11630*1000*SER_hh_fec_in!N14/SER_hh_num_in!N14)</f>
        <v>0</v>
      </c>
      <c r="O14" s="65">
        <f>IF(SER_hh_fec_in!O14=0,0,11630*1000*SER_hh_fec_in!O14/SER_hh_num_in!O14)</f>
        <v>0</v>
      </c>
      <c r="P14" s="65">
        <f>IF(SER_hh_fec_in!P14=0,0,11630*1000*SER_hh_fec_in!P14/SER_hh_num_in!P14)</f>
        <v>88525.431587017112</v>
      </c>
      <c r="Q14" s="65">
        <f>IF(SER_hh_fec_in!Q14=0,0,11630*1000*SER_hh_fec_in!Q14/SER_hh_num_in!Q14)</f>
        <v>89828.631005590316</v>
      </c>
      <c r="R14" s="65">
        <f>IF(SER_hh_fec_in!R14=0,0,11630*1000*SER_hh_fec_in!R14/SER_hh_num_in!R14)</f>
        <v>83116.385491346329</v>
      </c>
      <c r="S14" s="65">
        <f>IF(SER_hh_fec_in!S14=0,0,11630*1000*SER_hh_fec_in!S14/SER_hh_num_in!S14)</f>
        <v>77636.18747602751</v>
      </c>
      <c r="T14" s="65">
        <f>IF(SER_hh_fec_in!T14=0,0,11630*1000*SER_hh_fec_in!T14/SER_hh_num_in!T14)</f>
        <v>74565.033380730078</v>
      </c>
      <c r="U14" s="65">
        <f>IF(SER_hh_fec_in!U14=0,0,11630*1000*SER_hh_fec_in!U14/SER_hh_num_in!U14)</f>
        <v>67973.232175030105</v>
      </c>
      <c r="V14" s="65">
        <f>IF(SER_hh_fec_in!V14=0,0,11630*1000*SER_hh_fec_in!V14/SER_hh_num_in!V14)</f>
        <v>57570.93219778785</v>
      </c>
      <c r="W14" s="65">
        <f>IF(SER_hh_fec_in!W14=0,0,11630*1000*SER_hh_fec_in!W14/SER_hh_num_in!W14)</f>
        <v>50510.332041704882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3005.9326143859535</v>
      </c>
      <c r="D15" s="135">
        <f>IF(SER_hh_fec_in!D15=0,0,11630*1000*SER_hh_fec_in!D15/SER_hh_num_in!D15)</f>
        <v>2779.6524958126747</v>
      </c>
      <c r="E15" s="135">
        <f>IF(SER_hh_fec_in!E15=0,0,11630*1000*SER_hh_fec_in!E15/SER_hh_num_in!E15)</f>
        <v>2772.8636979165303</v>
      </c>
      <c r="F15" s="135">
        <f>IF(SER_hh_fec_in!F15=0,0,11630*1000*SER_hh_fec_in!F15/SER_hh_num_in!F15)</f>
        <v>3485.8131496930264</v>
      </c>
      <c r="G15" s="135">
        <f>IF(SER_hh_fec_in!G15=0,0,11630*1000*SER_hh_fec_in!G15/SER_hh_num_in!G15)</f>
        <v>2810.6566778426181</v>
      </c>
      <c r="H15" s="135">
        <f>IF(SER_hh_fec_in!H15=0,0,11630*1000*SER_hh_fec_in!H15/SER_hh_num_in!H15)</f>
        <v>1726.4157127323376</v>
      </c>
      <c r="I15" s="135">
        <f>IF(SER_hh_fec_in!I15=0,0,11630*1000*SER_hh_fec_in!I15/SER_hh_num_in!I15)</f>
        <v>1092.3351098883063</v>
      </c>
      <c r="J15" s="135">
        <f>IF(SER_hh_fec_in!J15=0,0,11630*1000*SER_hh_fec_in!J15/SER_hh_num_in!J15)</f>
        <v>1112.2956632966172</v>
      </c>
      <c r="K15" s="135">
        <f>IF(SER_hh_fec_in!K15=0,0,11630*1000*SER_hh_fec_in!K15/SER_hh_num_in!K15)</f>
        <v>1873.1126385263312</v>
      </c>
      <c r="L15" s="135">
        <f>IF(SER_hh_fec_in!L15=0,0,11630*1000*SER_hh_fec_in!L15/SER_hh_num_in!L15)</f>
        <v>2096.0504339824656</v>
      </c>
      <c r="M15" s="135">
        <f>IF(SER_hh_fec_in!M15=0,0,11630*1000*SER_hh_fec_in!M15/SER_hh_num_in!M15)</f>
        <v>1959.1019505600773</v>
      </c>
      <c r="N15" s="135">
        <f>IF(SER_hh_fec_in!N15=0,0,11630*1000*SER_hh_fec_in!N15/SER_hh_num_in!N15)</f>
        <v>1365.6483081395568</v>
      </c>
      <c r="O15" s="135">
        <f>IF(SER_hh_fec_in!O15=0,0,11630*1000*SER_hh_fec_in!O15/SER_hh_num_in!O15)</f>
        <v>1229.8421416836718</v>
      </c>
      <c r="P15" s="135">
        <f>IF(SER_hh_fec_in!P15=0,0,11630*1000*SER_hh_fec_in!P15/SER_hh_num_in!P15)</f>
        <v>961.39931216699347</v>
      </c>
      <c r="Q15" s="135">
        <f>IF(SER_hh_fec_in!Q15=0,0,11630*1000*SER_hh_fec_in!Q15/SER_hh_num_in!Q15)</f>
        <v>758.34459474930588</v>
      </c>
      <c r="R15" s="135">
        <f>IF(SER_hh_fec_in!R15=0,0,11630*1000*SER_hh_fec_in!R15/SER_hh_num_in!R15)</f>
        <v>819.42175971542008</v>
      </c>
      <c r="S15" s="135">
        <f>IF(SER_hh_fec_in!S15=0,0,11630*1000*SER_hh_fec_in!S15/SER_hh_num_in!S15)</f>
        <v>810.93898314711362</v>
      </c>
      <c r="T15" s="135">
        <f>IF(SER_hh_fec_in!T15=0,0,11630*1000*SER_hh_fec_in!T15/SER_hh_num_in!T15)</f>
        <v>791.16918453644132</v>
      </c>
      <c r="U15" s="135">
        <f>IF(SER_hh_fec_in!U15=0,0,11630*1000*SER_hh_fec_in!U15/SER_hh_num_in!U15)</f>
        <v>723.39877694814265</v>
      </c>
      <c r="V15" s="135">
        <f>IF(SER_hh_fec_in!V15=0,0,11630*1000*SER_hh_fec_in!V15/SER_hh_num_in!V15)</f>
        <v>692.742716300653</v>
      </c>
      <c r="W15" s="135">
        <f>IF(SER_hh_fec_in!W15=0,0,11630*1000*SER_hh_fec_in!W15/SER_hh_num_in!W15)</f>
        <v>578.80377170162956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8984.6829381004609</v>
      </c>
      <c r="D16" s="131">
        <f>IF(SER_hh_fec_in!D16=0,0,11630*1000*SER_hh_fec_in!D16/SER_hh_num_in!D16)</f>
        <v>9175.4148294871829</v>
      </c>
      <c r="E16" s="131">
        <f>IF(SER_hh_fec_in!E16=0,0,11630*1000*SER_hh_fec_in!E16/SER_hh_num_in!E16)</f>
        <v>10168.56443352208</v>
      </c>
      <c r="F16" s="131">
        <f>IF(SER_hh_fec_in!F16=0,0,11630*1000*SER_hh_fec_in!F16/SER_hh_num_in!F16)</f>
        <v>7855.0084119001021</v>
      </c>
      <c r="G16" s="131">
        <f>IF(SER_hh_fec_in!G16=0,0,11630*1000*SER_hh_fec_in!G16/SER_hh_num_in!G16)</f>
        <v>7621.4474652238796</v>
      </c>
      <c r="H16" s="131">
        <f>IF(SER_hh_fec_in!H16=0,0,11630*1000*SER_hh_fec_in!H16/SER_hh_num_in!H16)</f>
        <v>8169.1909238772168</v>
      </c>
      <c r="I16" s="131">
        <f>IF(SER_hh_fec_in!I16=0,0,11630*1000*SER_hh_fec_in!I16/SER_hh_num_in!I16)</f>
        <v>8642.6573417474392</v>
      </c>
      <c r="J16" s="131">
        <f>IF(SER_hh_fec_in!J16=0,0,11630*1000*SER_hh_fec_in!J16/SER_hh_num_in!J16)</f>
        <v>7104.3733052187272</v>
      </c>
      <c r="K16" s="131">
        <f>IF(SER_hh_fec_in!K16=0,0,11630*1000*SER_hh_fec_in!K16/SER_hh_num_in!K16)</f>
        <v>6907.1583247420767</v>
      </c>
      <c r="L16" s="131">
        <f>IF(SER_hh_fec_in!L16=0,0,11630*1000*SER_hh_fec_in!L16/SER_hh_num_in!L16)</f>
        <v>6973.0441610649477</v>
      </c>
      <c r="M16" s="131">
        <f>IF(SER_hh_fec_in!M16=0,0,11630*1000*SER_hh_fec_in!M16/SER_hh_num_in!M16)</f>
        <v>6582.2100379014091</v>
      </c>
      <c r="N16" s="131">
        <f>IF(SER_hh_fec_in!N16=0,0,11630*1000*SER_hh_fec_in!N16/SER_hh_num_in!N16)</f>
        <v>7967.8851771015024</v>
      </c>
      <c r="O16" s="131">
        <f>IF(SER_hh_fec_in!O16=0,0,11630*1000*SER_hh_fec_in!O16/SER_hh_num_in!O16)</f>
        <v>6222.0273200470856</v>
      </c>
      <c r="P16" s="131">
        <f>IF(SER_hh_fec_in!P16=0,0,11630*1000*SER_hh_fec_in!P16/SER_hh_num_in!P16)</f>
        <v>5271.0810324140821</v>
      </c>
      <c r="Q16" s="131">
        <f>IF(SER_hh_fec_in!Q16=0,0,11630*1000*SER_hh_fec_in!Q16/SER_hh_num_in!Q16)</f>
        <v>7248.7077547677918</v>
      </c>
      <c r="R16" s="131">
        <f>IF(SER_hh_fec_in!R16=0,0,11630*1000*SER_hh_fec_in!R16/SER_hh_num_in!R16)</f>
        <v>4880.7379424583378</v>
      </c>
      <c r="S16" s="131">
        <f>IF(SER_hh_fec_in!S16=0,0,11630*1000*SER_hh_fec_in!S16/SER_hh_num_in!S16)</f>
        <v>5723.7150066321383</v>
      </c>
      <c r="T16" s="131">
        <f>IF(SER_hh_fec_in!T16=0,0,11630*1000*SER_hh_fec_in!T16/SER_hh_num_in!T16)</f>
        <v>5225.2832770703508</v>
      </c>
      <c r="U16" s="131">
        <f>IF(SER_hh_fec_in!U16=0,0,11630*1000*SER_hh_fec_in!U16/SER_hh_num_in!U16)</f>
        <v>5424.5012452108313</v>
      </c>
      <c r="V16" s="131">
        <f>IF(SER_hh_fec_in!V16=0,0,11630*1000*SER_hh_fec_in!V16/SER_hh_num_in!V16)</f>
        <v>4311.4134156067566</v>
      </c>
      <c r="W16" s="131">
        <f>IF(SER_hh_fec_in!W16=0,0,11630*1000*SER_hh_fec_in!W16/SER_hh_num_in!W16)</f>
        <v>4884.9370728303784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15875.742539329427</v>
      </c>
      <c r="D17" s="133">
        <f>IF(SER_hh_fec_in!D17=0,0,11630*1000*SER_hh_fec_in!D17/SER_hh_num_in!D17)</f>
        <v>16683.681806159842</v>
      </c>
      <c r="E17" s="133">
        <f>IF(SER_hh_fec_in!E17=0,0,11630*1000*SER_hh_fec_in!E17/SER_hh_num_in!E17)</f>
        <v>19034.399533976259</v>
      </c>
      <c r="F17" s="133">
        <f>IF(SER_hh_fec_in!F17=0,0,11630*1000*SER_hh_fec_in!F17/SER_hh_num_in!F17)</f>
        <v>15119.209538436477</v>
      </c>
      <c r="G17" s="133">
        <f>IF(SER_hh_fec_in!G17=0,0,11630*1000*SER_hh_fec_in!G17/SER_hh_num_in!G17)</f>
        <v>15058.485004631033</v>
      </c>
      <c r="H17" s="133">
        <f>IF(SER_hh_fec_in!H17=0,0,11630*1000*SER_hh_fec_in!H17/SER_hh_num_in!H17)</f>
        <v>16575.018600930554</v>
      </c>
      <c r="I17" s="133">
        <f>IF(SER_hh_fec_in!I17=0,0,11630*1000*SER_hh_fec_in!I17/SER_hh_num_in!I17)</f>
        <v>18020.235402632003</v>
      </c>
      <c r="J17" s="133">
        <f>IF(SER_hh_fec_in!J17=0,0,11630*1000*SER_hh_fec_in!J17/SER_hh_num_in!J17)</f>
        <v>15242.967274444294</v>
      </c>
      <c r="K17" s="133">
        <f>IF(SER_hh_fec_in!K17=0,0,11630*1000*SER_hh_fec_in!K17/SER_hh_num_in!K17)</f>
        <v>15169.608657069384</v>
      </c>
      <c r="L17" s="133">
        <f>IF(SER_hh_fec_in!L17=0,0,11630*1000*SER_hh_fec_in!L17/SER_hh_num_in!L17)</f>
        <v>15681.339231189097</v>
      </c>
      <c r="M17" s="133">
        <f>IF(SER_hh_fec_in!M17=0,0,11630*1000*SER_hh_fec_in!M17/SER_hh_num_in!M17)</f>
        <v>15239.48773025572</v>
      </c>
      <c r="N17" s="133">
        <f>IF(SER_hh_fec_in!N17=0,0,11630*1000*SER_hh_fec_in!N17/SER_hh_num_in!N17)</f>
        <v>18981.892741104399</v>
      </c>
      <c r="O17" s="133">
        <f>IF(SER_hh_fec_in!O17=0,0,11630*1000*SER_hh_fec_in!O17/SER_hh_num_in!O17)</f>
        <v>15238.054941863387</v>
      </c>
      <c r="P17" s="133">
        <f>IF(SER_hh_fec_in!P17=0,0,11630*1000*SER_hh_fec_in!P17/SER_hh_num_in!P17)</f>
        <v>13192.098954902947</v>
      </c>
      <c r="Q17" s="133">
        <f>IF(SER_hh_fec_in!Q17=0,0,11630*1000*SER_hh_fec_in!Q17/SER_hh_num_in!Q17)</f>
        <v>18265.558859328918</v>
      </c>
      <c r="R17" s="133">
        <f>IF(SER_hh_fec_in!R17=0,0,11630*1000*SER_hh_fec_in!R17/SER_hh_num_in!R17)</f>
        <v>12327.215366486666</v>
      </c>
      <c r="S17" s="133">
        <f>IF(SER_hh_fec_in!S17=0,0,11630*1000*SER_hh_fec_in!S17/SER_hh_num_in!S17)</f>
        <v>14417.922271765208</v>
      </c>
      <c r="T17" s="133">
        <f>IF(SER_hh_fec_in!T17=0,0,11630*1000*SER_hh_fec_in!T17/SER_hh_num_in!T17)</f>
        <v>13106.965153211158</v>
      </c>
      <c r="U17" s="133">
        <f>IF(SER_hh_fec_in!U17=0,0,11630*1000*SER_hh_fec_in!U17/SER_hh_num_in!U17)</f>
        <v>13401.27375305327</v>
      </c>
      <c r="V17" s="133">
        <f>IF(SER_hh_fec_in!V17=0,0,11630*1000*SER_hh_fec_in!V17/SER_hh_num_in!V17)</f>
        <v>9088.227805996823</v>
      </c>
      <c r="W17" s="133">
        <f>IF(SER_hh_fec_in!W17=0,0,11630*1000*SER_hh_fec_in!W17/SER_hh_num_in!W17)</f>
        <v>10382.918798737974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8955.361085101802</v>
      </c>
      <c r="D18" s="133">
        <f>IF(SER_hh_fec_in!D18=0,0,11630*1000*SER_hh_fec_in!D18/SER_hh_num_in!D18)</f>
        <v>9139.7327519874671</v>
      </c>
      <c r="E18" s="133">
        <f>IF(SER_hh_fec_in!E18=0,0,11630*1000*SER_hh_fec_in!E18/SER_hh_num_in!E18)</f>
        <v>10130.679723235695</v>
      </c>
      <c r="F18" s="133">
        <f>IF(SER_hh_fec_in!F18=0,0,11630*1000*SER_hh_fec_in!F18/SER_hh_num_in!F18)</f>
        <v>7840.742763286381</v>
      </c>
      <c r="G18" s="133">
        <f>IF(SER_hh_fec_in!G18=0,0,11630*1000*SER_hh_fec_in!G18/SER_hh_num_in!G18)</f>
        <v>7594.2210808692189</v>
      </c>
      <c r="H18" s="133">
        <f>IF(SER_hh_fec_in!H18=0,0,11630*1000*SER_hh_fec_in!H18/SER_hh_num_in!H18)</f>
        <v>8130.9632628153877</v>
      </c>
      <c r="I18" s="133">
        <f>IF(SER_hh_fec_in!I18=0,0,11630*1000*SER_hh_fec_in!I18/SER_hh_num_in!I18)</f>
        <v>8601.905099840651</v>
      </c>
      <c r="J18" s="133">
        <f>IF(SER_hh_fec_in!J18=0,0,11630*1000*SER_hh_fec_in!J18/SER_hh_num_in!J18)</f>
        <v>7081.7941843185699</v>
      </c>
      <c r="K18" s="133">
        <f>IF(SER_hh_fec_in!K18=0,0,11630*1000*SER_hh_fec_in!K18/SER_hh_num_in!K18)</f>
        <v>6861.8046164552907</v>
      </c>
      <c r="L18" s="133">
        <f>IF(SER_hh_fec_in!L18=0,0,11630*1000*SER_hh_fec_in!L18/SER_hh_num_in!L18)</f>
        <v>6908.6452390066861</v>
      </c>
      <c r="M18" s="133">
        <f>IF(SER_hh_fec_in!M18=0,0,11630*1000*SER_hh_fec_in!M18/SER_hh_num_in!M18)</f>
        <v>6517.701430868392</v>
      </c>
      <c r="N18" s="133">
        <f>IF(SER_hh_fec_in!N18=0,0,11630*1000*SER_hh_fec_in!N18/SER_hh_num_in!N18)</f>
        <v>7882.7543984936146</v>
      </c>
      <c r="O18" s="133">
        <f>IF(SER_hh_fec_in!O18=0,0,11630*1000*SER_hh_fec_in!O18/SER_hh_num_in!O18)</f>
        <v>6150.9775913697276</v>
      </c>
      <c r="P18" s="133">
        <f>IF(SER_hh_fec_in!P18=0,0,11630*1000*SER_hh_fec_in!P18/SER_hh_num_in!P18)</f>
        <v>5225.3509565795976</v>
      </c>
      <c r="Q18" s="133">
        <f>IF(SER_hh_fec_in!Q18=0,0,11630*1000*SER_hh_fec_in!Q18/SER_hh_num_in!Q18)</f>
        <v>7158.9841647720004</v>
      </c>
      <c r="R18" s="133">
        <f>IF(SER_hh_fec_in!R18=0,0,11630*1000*SER_hh_fec_in!R18/SER_hh_num_in!R18)</f>
        <v>4824.3115082162903</v>
      </c>
      <c r="S18" s="133">
        <f>IF(SER_hh_fec_in!S18=0,0,11630*1000*SER_hh_fec_in!S18/SER_hh_num_in!S18)</f>
        <v>5609.8300041870662</v>
      </c>
      <c r="T18" s="133">
        <f>IF(SER_hh_fec_in!T18=0,0,11630*1000*SER_hh_fec_in!T18/SER_hh_num_in!T18)</f>
        <v>5150.5212634982572</v>
      </c>
      <c r="U18" s="133">
        <f>IF(SER_hh_fec_in!U18=0,0,11630*1000*SER_hh_fec_in!U18/SER_hh_num_in!U18)</f>
        <v>5277.8426923663656</v>
      </c>
      <c r="V18" s="133">
        <f>IF(SER_hh_fec_in!V18=0,0,11630*1000*SER_hh_fec_in!V18/SER_hh_num_in!V18)</f>
        <v>4216.7742373965129</v>
      </c>
      <c r="W18" s="133">
        <f>IF(SER_hh_fec_in!W18=0,0,11630*1000*SER_hh_fec_in!W18/SER_hh_num_in!W18)</f>
        <v>4826.3762832270595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25939.114317829346</v>
      </c>
      <c r="D19" s="131">
        <f>IF(SER_hh_fec_in!D19=0,0,11630*1000*SER_hh_fec_in!D19/SER_hh_num_in!D19)</f>
        <v>26491.815357120806</v>
      </c>
      <c r="E19" s="131">
        <f>IF(SER_hh_fec_in!E19=0,0,11630*1000*SER_hh_fec_in!E19/SER_hh_num_in!E19)</f>
        <v>25813.133418459816</v>
      </c>
      <c r="F19" s="131">
        <f>IF(SER_hh_fec_in!F19=0,0,11630*1000*SER_hh_fec_in!F19/SER_hh_num_in!F19)</f>
        <v>26321.910757888065</v>
      </c>
      <c r="G19" s="131">
        <f>IF(SER_hh_fec_in!G19=0,0,11630*1000*SER_hh_fec_in!G19/SER_hh_num_in!G19)</f>
        <v>25302.771798234873</v>
      </c>
      <c r="H19" s="131">
        <f>IF(SER_hh_fec_in!H19=0,0,11630*1000*SER_hh_fec_in!H19/SER_hh_num_in!H19)</f>
        <v>25017.544575436968</v>
      </c>
      <c r="I19" s="131">
        <f>IF(SER_hh_fec_in!I19=0,0,11630*1000*SER_hh_fec_in!I19/SER_hh_num_in!I19)</f>
        <v>24906.414057343387</v>
      </c>
      <c r="J19" s="131">
        <f>IF(SER_hh_fec_in!J19=0,0,11630*1000*SER_hh_fec_in!J19/SER_hh_num_in!J19)</f>
        <v>24771.66555024945</v>
      </c>
      <c r="K19" s="131">
        <f>IF(SER_hh_fec_in!K19=0,0,11630*1000*SER_hh_fec_in!K19/SER_hh_num_in!K19)</f>
        <v>25306.959434594864</v>
      </c>
      <c r="L19" s="131">
        <f>IF(SER_hh_fec_in!L19=0,0,11630*1000*SER_hh_fec_in!L19/SER_hh_num_in!L19)</f>
        <v>24593.924627089753</v>
      </c>
      <c r="M19" s="131">
        <f>IF(SER_hh_fec_in!M19=0,0,11630*1000*SER_hh_fec_in!M19/SER_hh_num_in!M19)</f>
        <v>24273.112302607104</v>
      </c>
      <c r="N19" s="131">
        <f>IF(SER_hh_fec_in!N19=0,0,11630*1000*SER_hh_fec_in!N19/SER_hh_num_in!N19)</f>
        <v>25119.15008262964</v>
      </c>
      <c r="O19" s="131">
        <f>IF(SER_hh_fec_in!O19=0,0,11630*1000*SER_hh_fec_in!O19/SER_hh_num_in!O19)</f>
        <v>23556.869992575168</v>
      </c>
      <c r="P19" s="131">
        <f>IF(SER_hh_fec_in!P19=0,0,11630*1000*SER_hh_fec_in!P19/SER_hh_num_in!P19)</f>
        <v>22131.568655966177</v>
      </c>
      <c r="Q19" s="131">
        <f>IF(SER_hh_fec_in!Q19=0,0,11630*1000*SER_hh_fec_in!Q19/SER_hh_num_in!Q19)</f>
        <v>20728.833836263781</v>
      </c>
      <c r="R19" s="131">
        <f>IF(SER_hh_fec_in!R19=0,0,11630*1000*SER_hh_fec_in!R19/SER_hh_num_in!R19)</f>
        <v>20379.768220436879</v>
      </c>
      <c r="S19" s="131">
        <f>IF(SER_hh_fec_in!S19=0,0,11630*1000*SER_hh_fec_in!S19/SER_hh_num_in!S19)</f>
        <v>19800.261923178048</v>
      </c>
      <c r="T19" s="131">
        <f>IF(SER_hh_fec_in!T19=0,0,11630*1000*SER_hh_fec_in!T19/SER_hh_num_in!T19)</f>
        <v>19547.011674949023</v>
      </c>
      <c r="U19" s="131">
        <f>IF(SER_hh_fec_in!U19=0,0,11630*1000*SER_hh_fec_in!U19/SER_hh_num_in!U19)</f>
        <v>18734.626743306482</v>
      </c>
      <c r="V19" s="131">
        <f>IF(SER_hh_fec_in!V19=0,0,11630*1000*SER_hh_fec_in!V19/SER_hh_num_in!V19)</f>
        <v>16778.39571595348</v>
      </c>
      <c r="W19" s="131">
        <f>IF(SER_hh_fec_in!W19=0,0,11630*1000*SER_hh_fec_in!W19/SER_hh_num_in!W19)</f>
        <v>16928.070093670998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0</v>
      </c>
      <c r="D22" s="133">
        <f>IF(SER_hh_fec_in!D22=0,0,11630*1000*SER_hh_fec_in!D22/SER_hh_num_in!D22)</f>
        <v>0</v>
      </c>
      <c r="E22" s="133">
        <f>IF(SER_hh_fec_in!E22=0,0,11630*1000*SER_hh_fec_in!E22/SER_hh_num_in!E22)</f>
        <v>0</v>
      </c>
      <c r="F22" s="133">
        <f>IF(SER_hh_fec_in!F22=0,0,11630*1000*SER_hh_fec_in!F22/SER_hh_num_in!F22)</f>
        <v>0</v>
      </c>
      <c r="G22" s="133">
        <f>IF(SER_hh_fec_in!G22=0,0,11630*1000*SER_hh_fec_in!G22/SER_hh_num_in!G22)</f>
        <v>0</v>
      </c>
      <c r="H22" s="133">
        <f>IF(SER_hh_fec_in!H22=0,0,11630*1000*SER_hh_fec_in!H22/SER_hh_num_in!H22)</f>
        <v>0</v>
      </c>
      <c r="I22" s="133">
        <f>IF(SER_hh_fec_in!I22=0,0,11630*1000*SER_hh_fec_in!I22/SER_hh_num_in!I22)</f>
        <v>0</v>
      </c>
      <c r="J22" s="133">
        <f>IF(SER_hh_fec_in!J22=0,0,11630*1000*SER_hh_fec_in!J22/SER_hh_num_in!J22)</f>
        <v>0</v>
      </c>
      <c r="K22" s="133">
        <f>IF(SER_hh_fec_in!K22=0,0,11630*1000*SER_hh_fec_in!K22/SER_hh_num_in!K22)</f>
        <v>0</v>
      </c>
      <c r="L22" s="133">
        <f>IF(SER_hh_fec_in!L22=0,0,11630*1000*SER_hh_fec_in!L22/SER_hh_num_in!L22)</f>
        <v>0</v>
      </c>
      <c r="M22" s="133">
        <f>IF(SER_hh_fec_in!M22=0,0,11630*1000*SER_hh_fec_in!M22/SER_hh_num_in!M22)</f>
        <v>0</v>
      </c>
      <c r="N22" s="133">
        <f>IF(SER_hh_fec_in!N22=0,0,11630*1000*SER_hh_fec_in!N22/SER_hh_num_in!N22)</f>
        <v>0</v>
      </c>
      <c r="O22" s="133">
        <f>IF(SER_hh_fec_in!O22=0,0,11630*1000*SER_hh_fec_in!O22/SER_hh_num_in!O22)</f>
        <v>0</v>
      </c>
      <c r="P22" s="133">
        <f>IF(SER_hh_fec_in!P22=0,0,11630*1000*SER_hh_fec_in!P22/SER_hh_num_in!P22)</f>
        <v>0</v>
      </c>
      <c r="Q22" s="133">
        <f>IF(SER_hh_fec_in!Q22=0,0,11630*1000*SER_hh_fec_in!Q22/SER_hh_num_in!Q22)</f>
        <v>0</v>
      </c>
      <c r="R22" s="133">
        <f>IF(SER_hh_fec_in!R22=0,0,11630*1000*SER_hh_fec_in!R22/SER_hh_num_in!R22)</f>
        <v>0</v>
      </c>
      <c r="S22" s="133">
        <f>IF(SER_hh_fec_in!S22=0,0,11630*1000*SER_hh_fec_in!S22/SER_hh_num_in!S22)</f>
        <v>0</v>
      </c>
      <c r="T22" s="133">
        <f>IF(SER_hh_fec_in!T22=0,0,11630*1000*SER_hh_fec_in!T22/SER_hh_num_in!T22)</f>
        <v>0</v>
      </c>
      <c r="U22" s="133">
        <f>IF(SER_hh_fec_in!U22=0,0,11630*1000*SER_hh_fec_in!U22/SER_hh_num_in!U22)</f>
        <v>0</v>
      </c>
      <c r="V22" s="133">
        <f>IF(SER_hh_fec_in!V22=0,0,11630*1000*SER_hh_fec_in!V22/SER_hh_num_in!V22)</f>
        <v>0</v>
      </c>
      <c r="W22" s="133">
        <f>IF(SER_hh_fec_in!W22=0,0,11630*1000*SER_hh_fec_in!W22/SER_hh_num_in!W22)</f>
        <v>0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28475.197227794873</v>
      </c>
      <c r="D23" s="133">
        <f>IF(SER_hh_fec_in!D23=0,0,11630*1000*SER_hh_fec_in!D23/SER_hh_num_in!D23)</f>
        <v>28515.643410827794</v>
      </c>
      <c r="E23" s="133">
        <f>IF(SER_hh_fec_in!E23=0,0,11630*1000*SER_hh_fec_in!E23/SER_hh_num_in!E23)</f>
        <v>28337.854212150305</v>
      </c>
      <c r="F23" s="133">
        <f>IF(SER_hh_fec_in!F23=0,0,11630*1000*SER_hh_fec_in!F23/SER_hh_num_in!F23)</f>
        <v>28639.451206979698</v>
      </c>
      <c r="G23" s="133">
        <f>IF(SER_hh_fec_in!G23=0,0,11630*1000*SER_hh_fec_in!G23/SER_hh_num_in!G23)</f>
        <v>27325.324321371456</v>
      </c>
      <c r="H23" s="133">
        <f>IF(SER_hh_fec_in!H23=0,0,11630*1000*SER_hh_fec_in!H23/SER_hh_num_in!H23)</f>
        <v>26409.549745341494</v>
      </c>
      <c r="I23" s="133">
        <f>IF(SER_hh_fec_in!I23=0,0,11630*1000*SER_hh_fec_in!I23/SER_hh_num_in!I23)</f>
        <v>26036.546118792561</v>
      </c>
      <c r="J23" s="133">
        <f>IF(SER_hh_fec_in!J23=0,0,11630*1000*SER_hh_fec_in!J23/SER_hh_num_in!J23)</f>
        <v>26123.660417298455</v>
      </c>
      <c r="K23" s="133">
        <f>IF(SER_hh_fec_in!K23=0,0,11630*1000*SER_hh_fec_in!K23/SER_hh_num_in!K23)</f>
        <v>26600.990435638385</v>
      </c>
      <c r="L23" s="133">
        <f>IF(SER_hh_fec_in!L23=0,0,11630*1000*SER_hh_fec_in!L23/SER_hh_num_in!L23)</f>
        <v>25983.948761722007</v>
      </c>
      <c r="M23" s="133">
        <f>IF(SER_hh_fec_in!M23=0,0,11630*1000*SER_hh_fec_in!M23/SER_hh_num_in!M23)</f>
        <v>25081.422472819038</v>
      </c>
      <c r="N23" s="133">
        <f>IF(SER_hh_fec_in!N23=0,0,11630*1000*SER_hh_fec_in!N23/SER_hh_num_in!N23)</f>
        <v>24111.202017108484</v>
      </c>
      <c r="O23" s="133">
        <f>IF(SER_hh_fec_in!O23=0,0,11630*1000*SER_hh_fec_in!O23/SER_hh_num_in!O23)</f>
        <v>24417.890459942071</v>
      </c>
      <c r="P23" s="133">
        <f>IF(SER_hh_fec_in!P23=0,0,11630*1000*SER_hh_fec_in!P23/SER_hh_num_in!P23)</f>
        <v>22493.875236734129</v>
      </c>
      <c r="Q23" s="133">
        <f>IF(SER_hh_fec_in!Q23=0,0,11630*1000*SER_hh_fec_in!Q23/SER_hh_num_in!Q23)</f>
        <v>21463.400764806087</v>
      </c>
      <c r="R23" s="133">
        <f>IF(SER_hh_fec_in!R23=0,0,11630*1000*SER_hh_fec_in!R23/SER_hh_num_in!R23)</f>
        <v>21207.66142145449</v>
      </c>
      <c r="S23" s="133">
        <f>IF(SER_hh_fec_in!S23=0,0,11630*1000*SER_hh_fec_in!S23/SER_hh_num_in!S23)</f>
        <v>20563.588105187035</v>
      </c>
      <c r="T23" s="133">
        <f>IF(SER_hh_fec_in!T23=0,0,11630*1000*SER_hh_fec_in!T23/SER_hh_num_in!T23)</f>
        <v>20407.661390761787</v>
      </c>
      <c r="U23" s="133">
        <f>IF(SER_hh_fec_in!U23=0,0,11630*1000*SER_hh_fec_in!U23/SER_hh_num_in!U23)</f>
        <v>19356.635499764732</v>
      </c>
      <c r="V23" s="133">
        <f>IF(SER_hh_fec_in!V23=0,0,11630*1000*SER_hh_fec_in!V23/SER_hh_num_in!V23)</f>
        <v>17446.957691863288</v>
      </c>
      <c r="W23" s="133">
        <f>IF(SER_hh_fec_in!W23=0,0,11630*1000*SER_hh_fec_in!W23/SER_hh_num_in!W23)</f>
        <v>17216.598621525653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32194.586250928412</v>
      </c>
      <c r="O24" s="133">
        <f>IF(SER_hh_fec_in!O24=0,0,11630*1000*SER_hh_fec_in!O24/SER_hh_num_in!O24)</f>
        <v>24703.285112247195</v>
      </c>
      <c r="P24" s="133">
        <f>IF(SER_hh_fec_in!P24=0,0,11630*1000*SER_hh_fec_in!P24/SER_hh_num_in!P24)</f>
        <v>22067.643628276961</v>
      </c>
      <c r="Q24" s="133">
        <f>IF(SER_hh_fec_in!Q24=0,0,11630*1000*SER_hh_fec_in!Q24/SER_hh_num_in!Q24)</f>
        <v>17109.308710584923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18761.788763459939</v>
      </c>
      <c r="V24" s="133">
        <f>IF(SER_hh_fec_in!V24=0,0,11630*1000*SER_hh_fec_in!V24/SER_hh_num_in!V24)</f>
        <v>17568.215870641539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20435.93400809207</v>
      </c>
      <c r="D25" s="133">
        <f>IF(SER_hh_fec_in!D25=0,0,11630*1000*SER_hh_fec_in!D25/SER_hh_num_in!D25)</f>
        <v>20391.754862444515</v>
      </c>
      <c r="E25" s="133">
        <f>IF(SER_hh_fec_in!E25=0,0,11630*1000*SER_hh_fec_in!E25/SER_hh_num_in!E25)</f>
        <v>20182.096032765858</v>
      </c>
      <c r="F25" s="133">
        <f>IF(SER_hh_fec_in!F25=0,0,11630*1000*SER_hh_fec_in!F25/SER_hh_num_in!F25)</f>
        <v>20031.021802950992</v>
      </c>
      <c r="G25" s="133">
        <f>IF(SER_hh_fec_in!G25=0,0,11630*1000*SER_hh_fec_in!G25/SER_hh_num_in!G25)</f>
        <v>20504.901057690011</v>
      </c>
      <c r="H25" s="133">
        <f>IF(SER_hh_fec_in!H25=0,0,11630*1000*SER_hh_fec_in!H25/SER_hh_num_in!H25)</f>
        <v>20064.702042417368</v>
      </c>
      <c r="I25" s="133">
        <f>IF(SER_hh_fec_in!I25=0,0,11630*1000*SER_hh_fec_in!I25/SER_hh_num_in!I25)</f>
        <v>19803.600489957233</v>
      </c>
      <c r="J25" s="133">
        <f>IF(SER_hh_fec_in!J25=0,0,11630*1000*SER_hh_fec_in!J25/SER_hh_num_in!J25)</f>
        <v>20318.646304568989</v>
      </c>
      <c r="K25" s="133">
        <f>IF(SER_hh_fec_in!K25=0,0,11630*1000*SER_hh_fec_in!K25/SER_hh_num_in!K25)</f>
        <v>20241.090365229633</v>
      </c>
      <c r="L25" s="133">
        <f>IF(SER_hh_fec_in!L25=0,0,11630*1000*SER_hh_fec_in!L25/SER_hh_num_in!L25)</f>
        <v>19950.32670407946</v>
      </c>
      <c r="M25" s="133">
        <f>IF(SER_hh_fec_in!M25=0,0,11630*1000*SER_hh_fec_in!M25/SER_hh_num_in!M25)</f>
        <v>20014.872082060469</v>
      </c>
      <c r="N25" s="133">
        <f>IF(SER_hh_fec_in!N25=0,0,11630*1000*SER_hh_fec_in!N25/SER_hh_num_in!N25)</f>
        <v>20283.231315212837</v>
      </c>
      <c r="O25" s="133">
        <f>IF(SER_hh_fec_in!O25=0,0,11630*1000*SER_hh_fec_in!O25/SER_hh_num_in!O25)</f>
        <v>19559.308763440873</v>
      </c>
      <c r="P25" s="133">
        <f>IF(SER_hh_fec_in!P25=0,0,11630*1000*SER_hh_fec_in!P25/SER_hh_num_in!P25)</f>
        <v>18945.006978119662</v>
      </c>
      <c r="Q25" s="133">
        <f>IF(SER_hh_fec_in!Q25=0,0,11630*1000*SER_hh_fec_in!Q25/SER_hh_num_in!Q25)</f>
        <v>18825.564009755515</v>
      </c>
      <c r="R25" s="133">
        <f>IF(SER_hh_fec_in!R25=0,0,11630*1000*SER_hh_fec_in!R25/SER_hh_num_in!R25)</f>
        <v>18724.7510171545</v>
      </c>
      <c r="S25" s="133">
        <f>IF(SER_hh_fec_in!S25=0,0,11630*1000*SER_hh_fec_in!S25/SER_hh_num_in!S25)</f>
        <v>18514.275846882821</v>
      </c>
      <c r="T25" s="133">
        <f>IF(SER_hh_fec_in!T25=0,0,11630*1000*SER_hh_fec_in!T25/SER_hh_num_in!T25)</f>
        <v>18235.295007868794</v>
      </c>
      <c r="U25" s="133">
        <f>IF(SER_hh_fec_in!U25=0,0,11630*1000*SER_hh_fec_in!U25/SER_hh_num_in!U25)</f>
        <v>18403.57235517064</v>
      </c>
      <c r="V25" s="133">
        <f>IF(SER_hh_fec_in!V25=0,0,11630*1000*SER_hh_fec_in!V25/SER_hh_num_in!V25)</f>
        <v>15666.341755105974</v>
      </c>
      <c r="W25" s="133">
        <f>IF(SER_hh_fec_in!W25=0,0,11630*1000*SER_hh_fec_in!W25/SER_hh_num_in!W25)</f>
        <v>16344.152533799763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24745.068876865953</v>
      </c>
      <c r="D26" s="65">
        <f>IF(SER_hh_fec_in!D26=0,0,11630*1000*SER_hh_fec_in!D26/SER_hh_num_in!D26)</f>
        <v>25040.742494278282</v>
      </c>
      <c r="E26" s="65">
        <f>IF(SER_hh_fec_in!E26=0,0,11630*1000*SER_hh_fec_in!E26/SER_hh_num_in!E26)</f>
        <v>24212.23394409868</v>
      </c>
      <c r="F26" s="65">
        <f>IF(SER_hh_fec_in!F26=0,0,11630*1000*SER_hh_fec_in!F26/SER_hh_num_in!F26)</f>
        <v>24460.536295130361</v>
      </c>
      <c r="G26" s="65">
        <f>IF(SER_hh_fec_in!G26=0,0,11630*1000*SER_hh_fec_in!G26/SER_hh_num_in!G26)</f>
        <v>24055.812104550398</v>
      </c>
      <c r="H26" s="65">
        <f>IF(SER_hh_fec_in!H26=0,0,11630*1000*SER_hh_fec_in!H26/SER_hh_num_in!H26)</f>
        <v>24059.271935596553</v>
      </c>
      <c r="I26" s="65">
        <f>IF(SER_hh_fec_in!I26=0,0,11630*1000*SER_hh_fec_in!I26/SER_hh_num_in!I26)</f>
        <v>23763.989506892034</v>
      </c>
      <c r="J26" s="65">
        <f>IF(SER_hh_fec_in!J26=0,0,11630*1000*SER_hh_fec_in!J26/SER_hh_num_in!J26)</f>
        <v>19099.841468081326</v>
      </c>
      <c r="K26" s="65">
        <f>IF(SER_hh_fec_in!K26=0,0,11630*1000*SER_hh_fec_in!K26/SER_hh_num_in!K26)</f>
        <v>19537.533505448806</v>
      </c>
      <c r="L26" s="65">
        <f>IF(SER_hh_fec_in!L26=0,0,11630*1000*SER_hh_fec_in!L26/SER_hh_num_in!L26)</f>
        <v>18039.537774307704</v>
      </c>
      <c r="M26" s="65">
        <f>IF(SER_hh_fec_in!M26=0,0,11630*1000*SER_hh_fec_in!M26/SER_hh_num_in!M26)</f>
        <v>22356.850075523322</v>
      </c>
      <c r="N26" s="65">
        <f>IF(SER_hh_fec_in!N26=0,0,11630*1000*SER_hh_fec_in!N26/SER_hh_num_in!N26)</f>
        <v>24247.946024620727</v>
      </c>
      <c r="O26" s="65">
        <f>IF(SER_hh_fec_in!O26=0,0,11630*1000*SER_hh_fec_in!O26/SER_hh_num_in!O26)</f>
        <v>21207.907338848814</v>
      </c>
      <c r="P26" s="65">
        <f>IF(SER_hh_fec_in!P26=0,0,11630*1000*SER_hh_fec_in!P26/SER_hh_num_in!P26)</f>
        <v>19924.827285871594</v>
      </c>
      <c r="Q26" s="65">
        <f>IF(SER_hh_fec_in!Q26=0,0,11630*1000*SER_hh_fec_in!Q26/SER_hh_num_in!Q26)</f>
        <v>18696.324554054907</v>
      </c>
      <c r="R26" s="65">
        <f>IF(SER_hh_fec_in!R26=0,0,11630*1000*SER_hh_fec_in!R26/SER_hh_num_in!R26)</f>
        <v>19638.762084858194</v>
      </c>
      <c r="S26" s="65">
        <f>IF(SER_hh_fec_in!S26=0,0,11630*1000*SER_hh_fec_in!S26/SER_hh_num_in!S26)</f>
        <v>18535.986241087223</v>
      </c>
      <c r="T26" s="65">
        <f>IF(SER_hh_fec_in!T26=0,0,11630*1000*SER_hh_fec_in!T26/SER_hh_num_in!T26)</f>
        <v>17987.953894281141</v>
      </c>
      <c r="U26" s="65">
        <f>IF(SER_hh_fec_in!U26=0,0,11630*1000*SER_hh_fec_in!U26/SER_hh_num_in!U26)</f>
        <v>17053.343139928173</v>
      </c>
      <c r="V26" s="65">
        <f>IF(SER_hh_fec_in!V26=0,0,11630*1000*SER_hh_fec_in!V26/SER_hh_num_in!V26)</f>
        <v>14772.879579529403</v>
      </c>
      <c r="W26" s="65">
        <f>IF(SER_hh_fec_in!W26=0,0,11630*1000*SER_hh_fec_in!W26/SER_hh_num_in!W26)</f>
        <v>16605.330544886612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102.61332860138762</v>
      </c>
      <c r="H27" s="146">
        <f>IF(SER_hh_fec_in!H27=0,0,11630*1000*SER_hh_fec_in!H27/SER_hh_num_in!H19)</f>
        <v>164.4709317171552</v>
      </c>
      <c r="I27" s="146">
        <f>IF(SER_hh_fec_in!I27=0,0,11630*1000*SER_hh_fec_in!I27/SER_hh_num_in!I19)</f>
        <v>100.03531020197008</v>
      </c>
      <c r="J27" s="146">
        <f>IF(SER_hh_fec_in!J27=0,0,11630*1000*SER_hh_fec_in!J27/SER_hh_num_in!J19)</f>
        <v>571.63556452283308</v>
      </c>
      <c r="K27" s="146">
        <f>IF(SER_hh_fec_in!K27=0,0,11630*1000*SER_hh_fec_in!K27/SER_hh_num_in!K19)</f>
        <v>443.66491883574514</v>
      </c>
      <c r="L27" s="146">
        <f>IF(SER_hh_fec_in!L27=0,0,11630*1000*SER_hh_fec_in!L27/SER_hh_num_in!L19)</f>
        <v>947.18524091219342</v>
      </c>
      <c r="M27" s="146">
        <f>IF(SER_hh_fec_in!M27=0,0,11630*1000*SER_hh_fec_in!M27/SER_hh_num_in!M19)</f>
        <v>381.04528026667441</v>
      </c>
      <c r="N27" s="146">
        <f>IF(SER_hh_fec_in!N27=0,0,11630*1000*SER_hh_fec_in!N27/SER_hh_num_in!N19)</f>
        <v>0</v>
      </c>
      <c r="O27" s="146">
        <f>IF(SER_hh_fec_in!O27=0,0,11630*1000*SER_hh_fec_in!O27/SER_hh_num_in!O19)</f>
        <v>33.960091680185258</v>
      </c>
      <c r="P27" s="146">
        <f>IF(SER_hh_fec_in!P27=0,0,11630*1000*SER_hh_fec_in!P27/SER_hh_num_in!P19)</f>
        <v>88.595559738194581</v>
      </c>
      <c r="Q27" s="146">
        <f>IF(SER_hh_fec_in!Q27=0,0,11630*1000*SER_hh_fec_in!Q27/SER_hh_num_in!Q19)</f>
        <v>419.28558144675122</v>
      </c>
      <c r="R27" s="146">
        <f>IF(SER_hh_fec_in!R27=0,0,11630*1000*SER_hh_fec_in!R27/SER_hh_num_in!R19)</f>
        <v>1.3753294204700804E-5</v>
      </c>
      <c r="S27" s="146">
        <f>IF(SER_hh_fec_in!S27=0,0,11630*1000*SER_hh_fec_in!S27/SER_hh_num_in!S19)</f>
        <v>137.56374098421975</v>
      </c>
      <c r="T27" s="146">
        <f>IF(SER_hh_fec_in!T27=0,0,11630*1000*SER_hh_fec_in!T27/SER_hh_num_in!T19)</f>
        <v>55.771883878421818</v>
      </c>
      <c r="U27" s="146">
        <f>IF(SER_hh_fec_in!U27=0,0,11630*1000*SER_hh_fec_in!U27/SER_hh_num_in!U19)</f>
        <v>230.83739403739867</v>
      </c>
      <c r="V27" s="146">
        <f>IF(SER_hh_fec_in!V27=0,0,11630*1000*SER_hh_fec_in!V27/SER_hh_num_in!V19)</f>
        <v>274.42575138828357</v>
      </c>
      <c r="W27" s="146">
        <f>IF(SER_hh_fec_in!W27=0,0,11630*1000*SER_hh_fec_in!W27/SER_hh_num_in!W19)</f>
        <v>7.3253704724087236E-13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13190.555846416315</v>
      </c>
      <c r="H28" s="147">
        <f>IF(SER_hh_fec_in!H27=0,0,11630*1000*SER_hh_fec_in!H27/SER_hh_num_in!H27)</f>
        <v>12023.812700222272</v>
      </c>
      <c r="I28" s="147">
        <f>IF(SER_hh_fec_in!I27=0,0,11630*1000*SER_hh_fec_in!I27/SER_hh_num_in!I27)</f>
        <v>12725.805577837837</v>
      </c>
      <c r="J28" s="147">
        <f>IF(SER_hh_fec_in!J27=0,0,11630*1000*SER_hh_fec_in!J27/SER_hh_num_in!J27)</f>
        <v>12349.59704727863</v>
      </c>
      <c r="K28" s="147">
        <f>IF(SER_hh_fec_in!K27=0,0,11630*1000*SER_hh_fec_in!K27/SER_hh_num_in!K27)</f>
        <v>12839.068588727971</v>
      </c>
      <c r="L28" s="147">
        <f>IF(SER_hh_fec_in!L27=0,0,11630*1000*SER_hh_fec_in!L27/SER_hh_num_in!L27)</f>
        <v>12920.52738444199</v>
      </c>
      <c r="M28" s="147">
        <f>IF(SER_hh_fec_in!M27=0,0,11630*1000*SER_hh_fec_in!M27/SER_hh_num_in!M27)</f>
        <v>12250.600344248642</v>
      </c>
      <c r="N28" s="147">
        <f>IF(SER_hh_fec_in!N27=0,0,11630*1000*SER_hh_fec_in!N27/SER_hh_num_in!N27)</f>
        <v>0</v>
      </c>
      <c r="O28" s="147">
        <f>IF(SER_hh_fec_in!O27=0,0,11630*1000*SER_hh_fec_in!O27/SER_hh_num_in!O27)</f>
        <v>17254.985012142675</v>
      </c>
      <c r="P28" s="147">
        <f>IF(SER_hh_fec_in!P27=0,0,11630*1000*SER_hh_fec_in!P27/SER_hh_num_in!P27)</f>
        <v>13326.832522758627</v>
      </c>
      <c r="Q28" s="147">
        <f>IF(SER_hh_fec_in!Q27=0,0,11630*1000*SER_hh_fec_in!Q27/SER_hh_num_in!Q27)</f>
        <v>11870.513666223742</v>
      </c>
      <c r="R28" s="147">
        <f>IF(SER_hh_fec_in!R27=0,0,11630*1000*SER_hh_fec_in!R27/SER_hh_num_in!R27)</f>
        <v>12017.51313470939</v>
      </c>
      <c r="S28" s="147">
        <f>IF(SER_hh_fec_in!S27=0,0,11630*1000*SER_hh_fec_in!S27/SER_hh_num_in!S27)</f>
        <v>12273.194003818513</v>
      </c>
      <c r="T28" s="147">
        <f>IF(SER_hh_fec_in!T27=0,0,11630*1000*SER_hh_fec_in!T27/SER_hh_num_in!T27)</f>
        <v>12254.801125113325</v>
      </c>
      <c r="U28" s="147">
        <f>IF(SER_hh_fec_in!U27=0,0,11630*1000*SER_hh_fec_in!U27/SER_hh_num_in!U27)</f>
        <v>12104.442494423285</v>
      </c>
      <c r="V28" s="147">
        <f>IF(SER_hh_fec_in!V27=0,0,11630*1000*SER_hh_fec_in!V27/SER_hh_num_in!V27)</f>
        <v>10802.610422335665</v>
      </c>
      <c r="W28" s="147">
        <f>IF(SER_hh_fec_in!W27=0,0,11630*1000*SER_hh_fec_in!W27/SER_hh_num_in!W27)</f>
        <v>12021.334641413314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28162.07912608347</v>
      </c>
      <c r="D29" s="131">
        <f>IF(SER_hh_fec_in!D29=0,0,11630*1000*SER_hh_fec_in!D29/SER_hh_num_in!D29)</f>
        <v>27241.051807742835</v>
      </c>
      <c r="E29" s="131">
        <f>IF(SER_hh_fec_in!E29=0,0,11630*1000*SER_hh_fec_in!E29/SER_hh_num_in!E29)</f>
        <v>26956.071470039398</v>
      </c>
      <c r="F29" s="131">
        <f>IF(SER_hh_fec_in!F29=0,0,11630*1000*SER_hh_fec_in!F29/SER_hh_num_in!F29)</f>
        <v>29213.967092412095</v>
      </c>
      <c r="G29" s="131">
        <f>IF(SER_hh_fec_in!G29=0,0,11630*1000*SER_hh_fec_in!G29/SER_hh_num_in!G29)</f>
        <v>27849.000076021399</v>
      </c>
      <c r="H29" s="131">
        <f>IF(SER_hh_fec_in!H29=0,0,11630*1000*SER_hh_fec_in!H29/SER_hh_num_in!H29)</f>
        <v>28235.881169334349</v>
      </c>
      <c r="I29" s="131">
        <f>IF(SER_hh_fec_in!I29=0,0,11630*1000*SER_hh_fec_in!I29/SER_hh_num_in!I29)</f>
        <v>27043.518675497951</v>
      </c>
      <c r="J29" s="131">
        <f>IF(SER_hh_fec_in!J29=0,0,11630*1000*SER_hh_fec_in!J29/SER_hh_num_in!J29)</f>
        <v>26869.758894395338</v>
      </c>
      <c r="K29" s="131">
        <f>IF(SER_hh_fec_in!K29=0,0,11630*1000*SER_hh_fec_in!K29/SER_hh_num_in!K29)</f>
        <v>26513.208912061695</v>
      </c>
      <c r="L29" s="131">
        <f>IF(SER_hh_fec_in!L29=0,0,11630*1000*SER_hh_fec_in!L29/SER_hh_num_in!L29)</f>
        <v>27988.616830531919</v>
      </c>
      <c r="M29" s="131">
        <f>IF(SER_hh_fec_in!M29=0,0,11630*1000*SER_hh_fec_in!M29/SER_hh_num_in!M29)</f>
        <v>29792.276035912149</v>
      </c>
      <c r="N29" s="131">
        <f>IF(SER_hh_fec_in!N29=0,0,11630*1000*SER_hh_fec_in!N29/SER_hh_num_in!N29)</f>
        <v>28836.651995165463</v>
      </c>
      <c r="O29" s="131">
        <f>IF(SER_hh_fec_in!O29=0,0,11630*1000*SER_hh_fec_in!O29/SER_hh_num_in!O29)</f>
        <v>27893.198683367922</v>
      </c>
      <c r="P29" s="131">
        <f>IF(SER_hh_fec_in!P29=0,0,11630*1000*SER_hh_fec_in!P29/SER_hh_num_in!P29)</f>
        <v>26015.760664649566</v>
      </c>
      <c r="Q29" s="131">
        <f>IF(SER_hh_fec_in!Q29=0,0,11630*1000*SER_hh_fec_in!Q29/SER_hh_num_in!Q29)</f>
        <v>25720.024522004329</v>
      </c>
      <c r="R29" s="131">
        <f>IF(SER_hh_fec_in!R29=0,0,11630*1000*SER_hh_fec_in!R29/SER_hh_num_in!R29)</f>
        <v>24788.873124690181</v>
      </c>
      <c r="S29" s="131">
        <f>IF(SER_hh_fec_in!S29=0,0,11630*1000*SER_hh_fec_in!S29/SER_hh_num_in!S29)</f>
        <v>24438.433335869548</v>
      </c>
      <c r="T29" s="131">
        <f>IF(SER_hh_fec_in!T29=0,0,11630*1000*SER_hh_fec_in!T29/SER_hh_num_in!T29)</f>
        <v>25164.173844880763</v>
      </c>
      <c r="U29" s="131">
        <f>IF(SER_hh_fec_in!U29=0,0,11630*1000*SER_hh_fec_in!U29/SER_hh_num_in!U29)</f>
        <v>24699.32867436569</v>
      </c>
      <c r="V29" s="131">
        <f>IF(SER_hh_fec_in!V29=0,0,11630*1000*SER_hh_fec_in!V29/SER_hh_num_in!V29)</f>
        <v>24202.476686135422</v>
      </c>
      <c r="W29" s="131">
        <f>IF(SER_hh_fec_in!W29=0,0,11630*1000*SER_hh_fec_in!W29/SER_hh_num_in!W29)</f>
        <v>25138.320923324158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29911.866311525224</v>
      </c>
      <c r="D30" s="133">
        <f>IF(SER_hh_fec_in!D30=0,0,11630*1000*SER_hh_fec_in!D30/SER_hh_num_in!D30)</f>
        <v>34968.275603375696</v>
      </c>
      <c r="E30" s="133">
        <f>IF(SER_hh_fec_in!E30=0,0,11630*1000*SER_hh_fec_in!E30/SER_hh_num_in!E30)</f>
        <v>0</v>
      </c>
      <c r="F30" s="133">
        <f>IF(SER_hh_fec_in!F30=0,0,11630*1000*SER_hh_fec_in!F30/SER_hh_num_in!F30)</f>
        <v>0</v>
      </c>
      <c r="G30" s="133">
        <f>IF(SER_hh_fec_in!G30=0,0,11630*1000*SER_hh_fec_in!G30/SER_hh_num_in!G30)</f>
        <v>0</v>
      </c>
      <c r="H30" s="133">
        <f>IF(SER_hh_fec_in!H30=0,0,11630*1000*SER_hh_fec_in!H30/SER_hh_num_in!H30)</f>
        <v>31034.633507672948</v>
      </c>
      <c r="I30" s="133">
        <f>IF(SER_hh_fec_in!I30=0,0,11630*1000*SER_hh_fec_in!I30/SER_hh_num_in!I30)</f>
        <v>32281.941662815505</v>
      </c>
      <c r="J30" s="133">
        <f>IF(SER_hh_fec_in!J30=0,0,11630*1000*SER_hh_fec_in!J30/SER_hh_num_in!J30)</f>
        <v>28390.243913126804</v>
      </c>
      <c r="K30" s="133">
        <f>IF(SER_hh_fec_in!K30=0,0,11630*1000*SER_hh_fec_in!K30/SER_hh_num_in!K30)</f>
        <v>29634.513000248826</v>
      </c>
      <c r="L30" s="133">
        <f>IF(SER_hh_fec_in!L30=0,0,11630*1000*SER_hh_fec_in!L30/SER_hh_num_in!L30)</f>
        <v>33971.234963677191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0</v>
      </c>
      <c r="O30" s="133">
        <f>IF(SER_hh_fec_in!O30=0,0,11630*1000*SER_hh_fec_in!O30/SER_hh_num_in!O30)</f>
        <v>0</v>
      </c>
      <c r="P30" s="133">
        <f>IF(SER_hh_fec_in!P30=0,0,11630*1000*SER_hh_fec_in!P30/SER_hh_num_in!P30)</f>
        <v>28997.245349908782</v>
      </c>
      <c r="Q30" s="133">
        <f>IF(SER_hh_fec_in!Q30=0,0,11630*1000*SER_hh_fec_in!Q30/SER_hh_num_in!Q30)</f>
        <v>34166.091540642476</v>
      </c>
      <c r="R30" s="133">
        <f>IF(SER_hh_fec_in!R30=0,0,11630*1000*SER_hh_fec_in!R30/SER_hh_num_in!R30)</f>
        <v>28155.437672119737</v>
      </c>
      <c r="S30" s="133">
        <f>IF(SER_hh_fec_in!S30=0,0,11630*1000*SER_hh_fec_in!S30/SER_hh_num_in!S30)</f>
        <v>24429.308284292249</v>
      </c>
      <c r="T30" s="133">
        <f>IF(SER_hh_fec_in!T30=0,0,11630*1000*SER_hh_fec_in!T30/SER_hh_num_in!T30)</f>
        <v>30005.630953336935</v>
      </c>
      <c r="U30" s="133">
        <f>IF(SER_hh_fec_in!U30=0,0,11630*1000*SER_hh_fec_in!U30/SER_hh_num_in!U30)</f>
        <v>26018.038233831528</v>
      </c>
      <c r="V30" s="133">
        <f>IF(SER_hh_fec_in!V30=0,0,11630*1000*SER_hh_fec_in!V30/SER_hh_num_in!V30)</f>
        <v>35758.394497734618</v>
      </c>
      <c r="W30" s="133">
        <f>IF(SER_hh_fec_in!W30=0,0,11630*1000*SER_hh_fec_in!W30/SER_hh_num_in!W30)</f>
        <v>24286.679434661502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34507.385385104266</v>
      </c>
      <c r="D31" s="133">
        <f>IF(SER_hh_fec_in!D31=0,0,11630*1000*SER_hh_fec_in!D31/SER_hh_num_in!D31)</f>
        <v>28709.412974374252</v>
      </c>
      <c r="E31" s="133">
        <f>IF(SER_hh_fec_in!E31=0,0,11630*1000*SER_hh_fec_in!E31/SER_hh_num_in!E31)</f>
        <v>30189.717598042738</v>
      </c>
      <c r="F31" s="133">
        <f>IF(SER_hh_fec_in!F31=0,0,11630*1000*SER_hh_fec_in!F31/SER_hh_num_in!F31)</f>
        <v>32461.179388613196</v>
      </c>
      <c r="G31" s="133">
        <f>IF(SER_hh_fec_in!G31=0,0,11630*1000*SER_hh_fec_in!G31/SER_hh_num_in!G31)</f>
        <v>31028.146742720452</v>
      </c>
      <c r="H31" s="133">
        <f>IF(SER_hh_fec_in!H31=0,0,11630*1000*SER_hh_fec_in!H31/SER_hh_num_in!H31)</f>
        <v>31273.125043080567</v>
      </c>
      <c r="I31" s="133">
        <f>IF(SER_hh_fec_in!I31=0,0,11630*1000*SER_hh_fec_in!I31/SER_hh_num_in!I31)</f>
        <v>30612.903922332509</v>
      </c>
      <c r="J31" s="133">
        <f>IF(SER_hh_fec_in!J31=0,0,11630*1000*SER_hh_fec_in!J31/SER_hh_num_in!J31)</f>
        <v>30648.019019942054</v>
      </c>
      <c r="K31" s="133">
        <f>IF(SER_hh_fec_in!K31=0,0,11630*1000*SER_hh_fec_in!K31/SER_hh_num_in!K31)</f>
        <v>30416.528525249614</v>
      </c>
      <c r="L31" s="133">
        <f>IF(SER_hh_fec_in!L31=0,0,11630*1000*SER_hh_fec_in!L31/SER_hh_num_in!L31)</f>
        <v>30404.852531421653</v>
      </c>
      <c r="M31" s="133">
        <f>IF(SER_hh_fec_in!M31=0,0,11630*1000*SER_hh_fec_in!M31/SER_hh_num_in!M31)</f>
        <v>30705.641393380178</v>
      </c>
      <c r="N31" s="133">
        <f>IF(SER_hh_fec_in!N31=0,0,11630*1000*SER_hh_fec_in!N31/SER_hh_num_in!N31)</f>
        <v>30730.692797990996</v>
      </c>
      <c r="O31" s="133">
        <f>IF(SER_hh_fec_in!O31=0,0,11630*1000*SER_hh_fec_in!O31/SER_hh_num_in!O31)</f>
        <v>30945.059929687661</v>
      </c>
      <c r="P31" s="133">
        <f>IF(SER_hh_fec_in!P31=0,0,11630*1000*SER_hh_fec_in!P31/SER_hh_num_in!P31)</f>
        <v>30012.690125730809</v>
      </c>
      <c r="Q31" s="133">
        <f>IF(SER_hh_fec_in!Q31=0,0,11630*1000*SER_hh_fec_in!Q31/SER_hh_num_in!Q31)</f>
        <v>29151.578561269289</v>
      </c>
      <c r="R31" s="133">
        <f>IF(SER_hh_fec_in!R31=0,0,11630*1000*SER_hh_fec_in!R31/SER_hh_num_in!R31)</f>
        <v>28829.064590256829</v>
      </c>
      <c r="S31" s="133">
        <f>IF(SER_hh_fec_in!S31=0,0,11630*1000*SER_hh_fec_in!S31/SER_hh_num_in!S31)</f>
        <v>28561.83660825359</v>
      </c>
      <c r="T31" s="133">
        <f>IF(SER_hh_fec_in!T31=0,0,11630*1000*SER_hh_fec_in!T31/SER_hh_num_in!T31)</f>
        <v>28430.198964258299</v>
      </c>
      <c r="U31" s="133">
        <f>IF(SER_hh_fec_in!U31=0,0,11630*1000*SER_hh_fec_in!U31/SER_hh_num_in!U31)</f>
        <v>28233.009005111151</v>
      </c>
      <c r="V31" s="133">
        <f>IF(SER_hh_fec_in!V31=0,0,11630*1000*SER_hh_fec_in!V31/SER_hh_num_in!V31)</f>
        <v>26612.661376994332</v>
      </c>
      <c r="W31" s="133">
        <f>IF(SER_hh_fec_in!W31=0,0,11630*1000*SER_hh_fec_in!W31/SER_hh_num_in!W31)</f>
        <v>28218.157115517119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24478.462205824741</v>
      </c>
      <c r="D33" s="68">
        <f>IF(SER_hh_fec_in!D33=0,0,11630*1000*SER_hh_fec_in!D33/SER_hh_num_in!D33)</f>
        <v>24009.142896020723</v>
      </c>
      <c r="E33" s="68">
        <f>IF(SER_hh_fec_in!E33=0,0,11630*1000*SER_hh_fec_in!E33/SER_hh_num_in!E33)</f>
        <v>23544.074295422553</v>
      </c>
      <c r="F33" s="68">
        <f>IF(SER_hh_fec_in!F33=0,0,11630*1000*SER_hh_fec_in!F33/SER_hh_num_in!F33)</f>
        <v>23822.865266268484</v>
      </c>
      <c r="G33" s="68">
        <f>IF(SER_hh_fec_in!G33=0,0,11630*1000*SER_hh_fec_in!G33/SER_hh_num_in!G33)</f>
        <v>22994.59389679446</v>
      </c>
      <c r="H33" s="68">
        <f>IF(SER_hh_fec_in!H33=0,0,11630*1000*SER_hh_fec_in!H33/SER_hh_num_in!H33)</f>
        <v>22884.185838656362</v>
      </c>
      <c r="I33" s="68">
        <f>IF(SER_hh_fec_in!I33=0,0,11630*1000*SER_hh_fec_in!I33/SER_hh_num_in!I33)</f>
        <v>21874.72851668486</v>
      </c>
      <c r="J33" s="68">
        <f>IF(SER_hh_fec_in!J33=0,0,11630*1000*SER_hh_fec_in!J33/SER_hh_num_in!J33)</f>
        <v>22406.473821990014</v>
      </c>
      <c r="K33" s="68">
        <f>IF(SER_hh_fec_in!K33=0,0,11630*1000*SER_hh_fec_in!K33/SER_hh_num_in!K33)</f>
        <v>22676.631914905898</v>
      </c>
      <c r="L33" s="68">
        <f>IF(SER_hh_fec_in!L33=0,0,11630*1000*SER_hh_fec_in!L33/SER_hh_num_in!L33)</f>
        <v>23236.504561204849</v>
      </c>
      <c r="M33" s="68">
        <f>IF(SER_hh_fec_in!M33=0,0,11630*1000*SER_hh_fec_in!M33/SER_hh_num_in!M33)</f>
        <v>22810.436695650344</v>
      </c>
      <c r="N33" s="68">
        <f>IF(SER_hh_fec_in!N33=0,0,11630*1000*SER_hh_fec_in!N33/SER_hh_num_in!N33)</f>
        <v>22295.795193635106</v>
      </c>
      <c r="O33" s="68">
        <f>IF(SER_hh_fec_in!O33=0,0,11630*1000*SER_hh_fec_in!O33/SER_hh_num_in!O33)</f>
        <v>21961.965029161147</v>
      </c>
      <c r="P33" s="68">
        <f>IF(SER_hh_fec_in!P33=0,0,11630*1000*SER_hh_fec_in!P33/SER_hh_num_in!P33)</f>
        <v>20496.99735429744</v>
      </c>
      <c r="Q33" s="68">
        <f>IF(SER_hh_fec_in!Q33=0,0,11630*1000*SER_hh_fec_in!Q33/SER_hh_num_in!Q33)</f>
        <v>21114.646987477088</v>
      </c>
      <c r="R33" s="68">
        <f>IF(SER_hh_fec_in!R33=0,0,11630*1000*SER_hh_fec_in!R33/SER_hh_num_in!R33)</f>
        <v>21103.158729903305</v>
      </c>
      <c r="S33" s="68">
        <f>IF(SER_hh_fec_in!S33=0,0,11630*1000*SER_hh_fec_in!S33/SER_hh_num_in!S33)</f>
        <v>20443.068743015017</v>
      </c>
      <c r="T33" s="68">
        <f>IF(SER_hh_fec_in!T33=0,0,11630*1000*SER_hh_fec_in!T33/SER_hh_num_in!T33)</f>
        <v>20444.836245816281</v>
      </c>
      <c r="U33" s="68">
        <f>IF(SER_hh_fec_in!U33=0,0,11630*1000*SER_hh_fec_in!U33/SER_hh_num_in!U33)</f>
        <v>20085.303606441179</v>
      </c>
      <c r="V33" s="68">
        <f>IF(SER_hh_fec_in!V33=0,0,11630*1000*SER_hh_fec_in!V33/SER_hh_num_in!V33)</f>
        <v>17830.787124218998</v>
      </c>
      <c r="W33" s="68">
        <f>IF(SER_hh_fec_in!W33=0,0,11630*1000*SER_hh_fec_in!W33/SER_hh_num_in!W33)</f>
        <v>19841.726597395464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237680.15184409913</v>
      </c>
      <c r="D3" s="126">
        <f>IF(SER_hh_tes_in!D3=0,0,11630*1000*SER_hh_tes_in!D3/SER_hh_num_in!D3)</f>
        <v>214229.16330297585</v>
      </c>
      <c r="E3" s="126">
        <f>IF(SER_hh_tes_in!E3=0,0,11630*1000*SER_hh_tes_in!E3/SER_hh_num_in!E3)</f>
        <v>208950.83174214908</v>
      </c>
      <c r="F3" s="126">
        <f>IF(SER_hh_tes_in!F3=0,0,11630*1000*SER_hh_tes_in!F3/SER_hh_num_in!F3)</f>
        <v>242172.26708976939</v>
      </c>
      <c r="G3" s="126">
        <f>IF(SER_hh_tes_in!G3=0,0,11630*1000*SER_hh_tes_in!G3/SER_hh_num_in!G3)</f>
        <v>230076.03847778976</v>
      </c>
      <c r="H3" s="126">
        <f>IF(SER_hh_tes_in!H3=0,0,11630*1000*SER_hh_tes_in!H3/SER_hh_num_in!H3)</f>
        <v>203420.2763611892</v>
      </c>
      <c r="I3" s="126">
        <f>IF(SER_hh_tes_in!I3=0,0,11630*1000*SER_hh_tes_in!I3/SER_hh_num_in!I3)</f>
        <v>188590.03879385788</v>
      </c>
      <c r="J3" s="126">
        <f>IF(SER_hh_tes_in!J3=0,0,11630*1000*SER_hh_tes_in!J3/SER_hh_num_in!J3)</f>
        <v>181038.10460738701</v>
      </c>
      <c r="K3" s="126">
        <f>IF(SER_hh_tes_in!K3=0,0,11630*1000*SER_hh_tes_in!K3/SER_hh_num_in!K3)</f>
        <v>184916.34765177933</v>
      </c>
      <c r="L3" s="126">
        <f>IF(SER_hh_tes_in!L3=0,0,11630*1000*SER_hh_tes_in!L3/SER_hh_num_in!L3)</f>
        <v>191027.19909311828</v>
      </c>
      <c r="M3" s="126">
        <f>IF(SER_hh_tes_in!M3=0,0,11630*1000*SER_hh_tes_in!M3/SER_hh_num_in!M3)</f>
        <v>183295.38725864122</v>
      </c>
      <c r="N3" s="126">
        <f>IF(SER_hh_tes_in!N3=0,0,11630*1000*SER_hh_tes_in!N3/SER_hh_num_in!N3)</f>
        <v>154313.29032340992</v>
      </c>
      <c r="O3" s="126">
        <f>IF(SER_hh_tes_in!O3=0,0,11630*1000*SER_hh_tes_in!O3/SER_hh_num_in!O3)</f>
        <v>142127.70483736324</v>
      </c>
      <c r="P3" s="126">
        <f>IF(SER_hh_tes_in!P3=0,0,11630*1000*SER_hh_tes_in!P3/SER_hh_num_in!P3)</f>
        <v>121155.73695538324</v>
      </c>
      <c r="Q3" s="126">
        <f>IF(SER_hh_tes_in!Q3=0,0,11630*1000*SER_hh_tes_in!Q3/SER_hh_num_in!Q3)</f>
        <v>132167.13835341873</v>
      </c>
      <c r="R3" s="126">
        <f>IF(SER_hh_tes_in!R3=0,0,11630*1000*SER_hh_tes_in!R3/SER_hh_num_in!R3)</f>
        <v>120935.71176749631</v>
      </c>
      <c r="S3" s="126">
        <f>IF(SER_hh_tes_in!S3=0,0,11630*1000*SER_hh_tes_in!S3/SER_hh_num_in!S3)</f>
        <v>118298.27876890624</v>
      </c>
      <c r="T3" s="126">
        <f>IF(SER_hh_tes_in!T3=0,0,11630*1000*SER_hh_tes_in!T3/SER_hh_num_in!T3)</f>
        <v>111678.07947030805</v>
      </c>
      <c r="U3" s="126">
        <f>IF(SER_hh_tes_in!U3=0,0,11630*1000*SER_hh_tes_in!U3/SER_hh_num_in!U3)</f>
        <v>106122.69285568345</v>
      </c>
      <c r="V3" s="126">
        <f>IF(SER_hh_tes_in!V3=0,0,11630*1000*SER_hh_tes_in!V3/SER_hh_num_in!V3)</f>
        <v>96518.571779268677</v>
      </c>
      <c r="W3" s="126">
        <f>IF(SER_hh_tes_in!W3=0,0,11630*1000*SER_hh_tes_in!W3/SER_hh_num_in!W3)</f>
        <v>94472.480479773716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180958.85427465508</v>
      </c>
      <c r="D4" s="131">
        <f>IF(SER_hh_tes_in!D4=0,0,11630*1000*SER_hh_tes_in!D4/SER_hh_num_in!D4)</f>
        <v>157740.19317634674</v>
      </c>
      <c r="E4" s="131">
        <f>IF(SER_hh_tes_in!E4=0,0,11630*1000*SER_hh_tes_in!E4/SER_hh_num_in!E4)</f>
        <v>156546.8139976665</v>
      </c>
      <c r="F4" s="131">
        <f>IF(SER_hh_tes_in!F4=0,0,11630*1000*SER_hh_tes_in!F4/SER_hh_num_in!F4)</f>
        <v>186421.73756014745</v>
      </c>
      <c r="G4" s="131">
        <f>IF(SER_hh_tes_in!G4=0,0,11630*1000*SER_hh_tes_in!G4/SER_hh_num_in!G4)</f>
        <v>175460.84992926367</v>
      </c>
      <c r="H4" s="131">
        <f>IF(SER_hh_tes_in!H4=0,0,11630*1000*SER_hh_tes_in!H4/SER_hh_num_in!H4)</f>
        <v>146980.65545055599</v>
      </c>
      <c r="I4" s="131">
        <f>IF(SER_hh_tes_in!I4=0,0,11630*1000*SER_hh_tes_in!I4/SER_hh_num_in!I4)</f>
        <v>131004.50423110317</v>
      </c>
      <c r="J4" s="131">
        <f>IF(SER_hh_tes_in!J4=0,0,11630*1000*SER_hh_tes_in!J4/SER_hh_num_in!J4)</f>
        <v>126713.93281564648</v>
      </c>
      <c r="K4" s="131">
        <f>IF(SER_hh_tes_in!K4=0,0,11630*1000*SER_hh_tes_in!K4/SER_hh_num_in!K4)</f>
        <v>130226.26286548749</v>
      </c>
      <c r="L4" s="131">
        <f>IF(SER_hh_tes_in!L4=0,0,11630*1000*SER_hh_tes_in!L4/SER_hh_num_in!L4)</f>
        <v>135226.15269252021</v>
      </c>
      <c r="M4" s="131">
        <f>IF(SER_hh_tes_in!M4=0,0,11630*1000*SER_hh_tes_in!M4/SER_hh_num_in!M4)</f>
        <v>128329.46768780702</v>
      </c>
      <c r="N4" s="131">
        <f>IF(SER_hh_tes_in!N4=0,0,11630*1000*SER_hh_tes_in!N4/SER_hh_num_in!N4)</f>
        <v>93376.190494368129</v>
      </c>
      <c r="O4" s="131">
        <f>IF(SER_hh_tes_in!O4=0,0,11630*1000*SER_hh_tes_in!O4/SER_hh_num_in!O4)</f>
        <v>86634.345449234635</v>
      </c>
      <c r="P4" s="131">
        <f>IF(SER_hh_tes_in!P4=0,0,11630*1000*SER_hh_tes_in!P4/SER_hh_num_in!P4)</f>
        <v>69303.937957474307</v>
      </c>
      <c r="Q4" s="131">
        <f>IF(SER_hh_tes_in!Q4=0,0,11630*1000*SER_hh_tes_in!Q4/SER_hh_num_in!Q4)</f>
        <v>73095.390746307487</v>
      </c>
      <c r="R4" s="131">
        <f>IF(SER_hh_tes_in!R4=0,0,11630*1000*SER_hh_tes_in!R4/SER_hh_num_in!R4)</f>
        <v>69704.073427059891</v>
      </c>
      <c r="S4" s="131">
        <f>IF(SER_hh_tes_in!S4=0,0,11630*1000*SER_hh_tes_in!S4/SER_hh_num_in!S4)</f>
        <v>64436.773342405766</v>
      </c>
      <c r="T4" s="131">
        <f>IF(SER_hh_tes_in!T4=0,0,11630*1000*SER_hh_tes_in!T4/SER_hh_num_in!T4)</f>
        <v>58956.971966404541</v>
      </c>
      <c r="U4" s="131">
        <f>IF(SER_hh_tes_in!U4=0,0,11630*1000*SER_hh_tes_in!U4/SER_hh_num_in!U4)</f>
        <v>53399.031293955755</v>
      </c>
      <c r="V4" s="131">
        <f>IF(SER_hh_tes_in!V4=0,0,11630*1000*SER_hh_tes_in!V4/SER_hh_num_in!V4)</f>
        <v>49694.841851134392</v>
      </c>
      <c r="W4" s="131">
        <f>IF(SER_hh_tes_in!W4=0,0,11630*1000*SER_hh_tes_in!W4/SER_hh_num_in!W4)</f>
        <v>44159.631679029757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144213.72330333077</v>
      </c>
      <c r="N5" s="133">
        <f>IF(SER_hh_tes_in!N5=0,0,11630*1000*SER_hh_tes_in!N5/SER_hh_num_in!N5)</f>
        <v>43405.822179826835</v>
      </c>
      <c r="O5" s="133">
        <f>IF(SER_hh_tes_in!O5=0,0,11630*1000*SER_hh_tes_in!O5/SER_hh_num_in!O5)</f>
        <v>96873.406444077176</v>
      </c>
      <c r="P5" s="133">
        <f>IF(SER_hh_tes_in!P5=0,0,11630*1000*SER_hh_tes_in!P5/SER_hh_num_in!P5)</f>
        <v>72813.947800393726</v>
      </c>
      <c r="Q5" s="133">
        <f>IF(SER_hh_tes_in!Q5=0,0,11630*1000*SER_hh_tes_in!Q5/SER_hh_num_in!Q5)</f>
        <v>81019.144656263044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0</v>
      </c>
      <c r="D7" s="133">
        <f>IF(SER_hh_tes_in!D7=0,0,11630*1000*SER_hh_tes_in!D7/SER_hh_num_in!D7)</f>
        <v>0</v>
      </c>
      <c r="E7" s="133">
        <f>IF(SER_hh_tes_in!E7=0,0,11630*1000*SER_hh_tes_in!E7/SER_hh_num_in!E7)</f>
        <v>0</v>
      </c>
      <c r="F7" s="133">
        <f>IF(SER_hh_tes_in!F7=0,0,11630*1000*SER_hh_tes_in!F7/SER_hh_num_in!F7)</f>
        <v>0</v>
      </c>
      <c r="G7" s="133">
        <f>IF(SER_hh_tes_in!G7=0,0,11630*1000*SER_hh_tes_in!G7/SER_hh_num_in!G7)</f>
        <v>0</v>
      </c>
      <c r="H7" s="133">
        <f>IF(SER_hh_tes_in!H7=0,0,11630*1000*SER_hh_tes_in!H7/SER_hh_num_in!H7)</f>
        <v>0</v>
      </c>
      <c r="I7" s="133">
        <f>IF(SER_hh_tes_in!I7=0,0,11630*1000*SER_hh_tes_in!I7/SER_hh_num_in!I7)</f>
        <v>0</v>
      </c>
      <c r="J7" s="133">
        <f>IF(SER_hh_tes_in!J7=0,0,11630*1000*SER_hh_tes_in!J7/SER_hh_num_in!J7)</f>
        <v>0</v>
      </c>
      <c r="K7" s="133">
        <f>IF(SER_hh_tes_in!K7=0,0,11630*1000*SER_hh_tes_in!K7/SER_hh_num_in!K7)</f>
        <v>0</v>
      </c>
      <c r="L7" s="133">
        <f>IF(SER_hh_tes_in!L7=0,0,11630*1000*SER_hh_tes_in!L7/SER_hh_num_in!L7)</f>
        <v>0</v>
      </c>
      <c r="M7" s="133">
        <f>IF(SER_hh_tes_in!M7=0,0,11630*1000*SER_hh_tes_in!M7/SER_hh_num_in!M7)</f>
        <v>0</v>
      </c>
      <c r="N7" s="133">
        <f>IF(SER_hh_tes_in!N7=0,0,11630*1000*SER_hh_tes_in!N7/SER_hh_num_in!N7)</f>
        <v>129925.47643282051</v>
      </c>
      <c r="O7" s="133">
        <f>IF(SER_hh_tes_in!O7=0,0,11630*1000*SER_hh_tes_in!O7/SER_hh_num_in!O7)</f>
        <v>49359.437511753909</v>
      </c>
      <c r="P7" s="133">
        <f>IF(SER_hh_tes_in!P7=0,0,11630*1000*SER_hh_tes_in!P7/SER_hh_num_in!P7)</f>
        <v>65569.97072690152</v>
      </c>
      <c r="Q7" s="133">
        <f>IF(SER_hh_tes_in!Q7=0,0,11630*1000*SER_hh_tes_in!Q7/SER_hh_num_in!Q7)</f>
        <v>79256.799848152412</v>
      </c>
      <c r="R7" s="133">
        <f>IF(SER_hh_tes_in!R7=0,0,11630*1000*SER_hh_tes_in!R7/SER_hh_num_in!R7)</f>
        <v>77298.102421394302</v>
      </c>
      <c r="S7" s="133">
        <f>IF(SER_hh_tes_in!S7=0,0,11630*1000*SER_hh_tes_in!S7/SER_hh_num_in!S7)</f>
        <v>62017.94713027004</v>
      </c>
      <c r="T7" s="133">
        <f>IF(SER_hh_tes_in!T7=0,0,11630*1000*SER_hh_tes_in!T7/SER_hh_num_in!T7)</f>
        <v>62911.091637430982</v>
      </c>
      <c r="U7" s="133">
        <f>IF(SER_hh_tes_in!U7=0,0,11630*1000*SER_hh_tes_in!U7/SER_hh_num_in!U7)</f>
        <v>50962.305978045209</v>
      </c>
      <c r="V7" s="133">
        <f>IF(SER_hh_tes_in!V7=0,0,11630*1000*SER_hh_tes_in!V7/SER_hh_num_in!V7)</f>
        <v>47086.668696867811</v>
      </c>
      <c r="W7" s="133">
        <f>IF(SER_hh_tes_in!W7=0,0,11630*1000*SER_hh_tes_in!W7/SER_hh_num_in!W7)</f>
        <v>46690.76564105822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21870.441771091257</v>
      </c>
      <c r="S8" s="133">
        <f>IF(SER_hh_tes_in!S8=0,0,11630*1000*SER_hh_tes_in!S8/SER_hh_num_in!S8)</f>
        <v>50318.634003979016</v>
      </c>
      <c r="T8" s="133">
        <f>IF(SER_hh_tes_in!T8=0,0,11630*1000*SER_hh_tes_in!T8/SER_hh_num_in!T8)</f>
        <v>63459.851666978408</v>
      </c>
      <c r="U8" s="133">
        <f>IF(SER_hh_tes_in!U8=0,0,11630*1000*SER_hh_tes_in!U8/SER_hh_num_in!U8)</f>
        <v>50583.901218685816</v>
      </c>
      <c r="V8" s="133">
        <f>IF(SER_hh_tes_in!V8=0,0,11630*1000*SER_hh_tes_in!V8/SER_hh_num_in!V8)</f>
        <v>61964.249306688063</v>
      </c>
      <c r="W8" s="133">
        <f>IF(SER_hh_tes_in!W8=0,0,11630*1000*SER_hh_tes_in!W8/SER_hh_num_in!W8)</f>
        <v>42519.545694373614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177290.85402654897</v>
      </c>
      <c r="D9" s="133">
        <f>IF(SER_hh_tes_in!D9=0,0,11630*1000*SER_hh_tes_in!D9/SER_hh_num_in!D9)</f>
        <v>154171.42946163693</v>
      </c>
      <c r="E9" s="133">
        <f>IF(SER_hh_tes_in!E9=0,0,11630*1000*SER_hh_tes_in!E9/SER_hh_num_in!E9)</f>
        <v>152743.92886368898</v>
      </c>
      <c r="F9" s="133">
        <f>IF(SER_hh_tes_in!F9=0,0,11630*1000*SER_hh_tes_in!F9/SER_hh_num_in!F9)</f>
        <v>188519.19815067464</v>
      </c>
      <c r="G9" s="133">
        <f>IF(SER_hh_tes_in!G9=0,0,11630*1000*SER_hh_tes_in!G9/SER_hh_num_in!G9)</f>
        <v>176143.33747987018</v>
      </c>
      <c r="H9" s="133">
        <f>IF(SER_hh_tes_in!H9=0,0,11630*1000*SER_hh_tes_in!H9/SER_hh_num_in!H9)</f>
        <v>152092.22629557169</v>
      </c>
      <c r="I9" s="133">
        <f>IF(SER_hh_tes_in!I9=0,0,11630*1000*SER_hh_tes_in!I9/SER_hh_num_in!I9)</f>
        <v>117411.51814108968</v>
      </c>
      <c r="J9" s="133">
        <f>IF(SER_hh_tes_in!J9=0,0,11630*1000*SER_hh_tes_in!J9/SER_hh_num_in!J9)</f>
        <v>113339.67229165425</v>
      </c>
      <c r="K9" s="133">
        <f>IF(SER_hh_tes_in!K9=0,0,11630*1000*SER_hh_tes_in!K9/SER_hh_num_in!K9)</f>
        <v>125661.49993633077</v>
      </c>
      <c r="L9" s="133">
        <f>IF(SER_hh_tes_in!L9=0,0,11630*1000*SER_hh_tes_in!L9/SER_hh_num_in!L9)</f>
        <v>133736.96020337901</v>
      </c>
      <c r="M9" s="133">
        <f>IF(SER_hh_tes_in!M9=0,0,11630*1000*SER_hh_tes_in!M9/SER_hh_num_in!M9)</f>
        <v>126768.9038665211</v>
      </c>
      <c r="N9" s="133">
        <f>IF(SER_hh_tes_in!N9=0,0,11630*1000*SER_hh_tes_in!N9/SER_hh_num_in!N9)</f>
        <v>89787.925432244418</v>
      </c>
      <c r="O9" s="133">
        <f>IF(SER_hh_tes_in!O9=0,0,11630*1000*SER_hh_tes_in!O9/SER_hh_num_in!O9)</f>
        <v>86365.094659669165</v>
      </c>
      <c r="P9" s="133">
        <f>IF(SER_hh_tes_in!P9=0,0,11630*1000*SER_hh_tes_in!P9/SER_hh_num_in!P9)</f>
        <v>68940.758777796145</v>
      </c>
      <c r="Q9" s="133">
        <f>IF(SER_hh_tes_in!Q9=0,0,11630*1000*SER_hh_tes_in!Q9/SER_hh_num_in!Q9)</f>
        <v>70422.768112009246</v>
      </c>
      <c r="R9" s="133">
        <f>IF(SER_hh_tes_in!R9=0,0,11630*1000*SER_hh_tes_in!R9/SER_hh_num_in!R9)</f>
        <v>67539.284051469163</v>
      </c>
      <c r="S9" s="133">
        <f>IF(SER_hh_tes_in!S9=0,0,11630*1000*SER_hh_tes_in!S9/SER_hh_num_in!S9)</f>
        <v>62875.896834298648</v>
      </c>
      <c r="T9" s="133">
        <f>IF(SER_hh_tes_in!T9=0,0,11630*1000*SER_hh_tes_in!T9/SER_hh_num_in!T9)</f>
        <v>56344.02809252539</v>
      </c>
      <c r="U9" s="133">
        <f>IF(SER_hh_tes_in!U9=0,0,11630*1000*SER_hh_tes_in!U9/SER_hh_num_in!U9)</f>
        <v>51207.1697113216</v>
      </c>
      <c r="V9" s="133">
        <f>IF(SER_hh_tes_in!V9=0,0,11630*1000*SER_hh_tes_in!V9/SER_hh_num_in!V9)</f>
        <v>48799.510049533383</v>
      </c>
      <c r="W9" s="133">
        <f>IF(SER_hh_tes_in!W9=0,0,11630*1000*SER_hh_tes_in!W9/SER_hh_num_in!W9)</f>
        <v>43226.922460810594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151784.19940625576</v>
      </c>
      <c r="D10" s="133">
        <f>IF(SER_hh_tes_in!D10=0,0,11630*1000*SER_hh_tes_in!D10/SER_hh_num_in!D10)</f>
        <v>162188.74639194025</v>
      </c>
      <c r="E10" s="133">
        <f>IF(SER_hh_tes_in!E10=0,0,11630*1000*SER_hh_tes_in!E10/SER_hh_num_in!E10)</f>
        <v>195503.69889757526</v>
      </c>
      <c r="F10" s="133">
        <f>IF(SER_hh_tes_in!F10=0,0,11630*1000*SER_hh_tes_in!F10/SER_hh_num_in!F10)</f>
        <v>187049.41385345222</v>
      </c>
      <c r="G10" s="133">
        <f>IF(SER_hh_tes_in!G10=0,0,11630*1000*SER_hh_tes_in!G10/SER_hh_num_in!G10)</f>
        <v>0</v>
      </c>
      <c r="H10" s="133">
        <f>IF(SER_hh_tes_in!H10=0,0,11630*1000*SER_hh_tes_in!H10/SER_hh_num_in!H10)</f>
        <v>0</v>
      </c>
      <c r="I10" s="133">
        <f>IF(SER_hh_tes_in!I10=0,0,11630*1000*SER_hh_tes_in!I10/SER_hh_num_in!I10)</f>
        <v>126026.08871983254</v>
      </c>
      <c r="J10" s="133">
        <f>IF(SER_hh_tes_in!J10=0,0,11630*1000*SER_hh_tes_in!J10/SER_hh_num_in!J10)</f>
        <v>121276.61888292154</v>
      </c>
      <c r="K10" s="133">
        <f>IF(SER_hh_tes_in!K10=0,0,11630*1000*SER_hh_tes_in!K10/SER_hh_num_in!K10)</f>
        <v>128039.32400977734</v>
      </c>
      <c r="L10" s="133">
        <f>IF(SER_hh_tes_in!L10=0,0,11630*1000*SER_hh_tes_in!L10/SER_hh_num_in!L10)</f>
        <v>129451.47672880971</v>
      </c>
      <c r="M10" s="133">
        <f>IF(SER_hh_tes_in!M10=0,0,11630*1000*SER_hh_tes_in!M10/SER_hh_num_in!M10)</f>
        <v>119749.29555570211</v>
      </c>
      <c r="N10" s="133">
        <f>IF(SER_hh_tes_in!N10=0,0,11630*1000*SER_hh_tes_in!N10/SER_hh_num_in!N10)</f>
        <v>96743.847111051131</v>
      </c>
      <c r="O10" s="133">
        <f>IF(SER_hh_tes_in!O10=0,0,11630*1000*SER_hh_tes_in!O10/SER_hh_num_in!O10)</f>
        <v>85148.193119415257</v>
      </c>
      <c r="P10" s="133">
        <f>IF(SER_hh_tes_in!P10=0,0,11630*1000*SER_hh_tes_in!P10/SER_hh_num_in!P10)</f>
        <v>66480.560857447097</v>
      </c>
      <c r="Q10" s="133">
        <f>IF(SER_hh_tes_in!Q10=0,0,11630*1000*SER_hh_tes_in!Q10/SER_hh_num_in!Q10)</f>
        <v>76844.712253650636</v>
      </c>
      <c r="R10" s="133">
        <f>IF(SER_hh_tes_in!R10=0,0,11630*1000*SER_hh_tes_in!R10/SER_hh_num_in!R10)</f>
        <v>65333.275444875653</v>
      </c>
      <c r="S10" s="133">
        <f>IF(SER_hh_tes_in!S10=0,0,11630*1000*SER_hh_tes_in!S10/SER_hh_num_in!S10)</f>
        <v>63142.582227129918</v>
      </c>
      <c r="T10" s="133">
        <f>IF(SER_hh_tes_in!T10=0,0,11630*1000*SER_hh_tes_in!T10/SER_hh_num_in!T10)</f>
        <v>55364.542715319723</v>
      </c>
      <c r="U10" s="133">
        <f>IF(SER_hh_tes_in!U10=0,0,11630*1000*SER_hh_tes_in!U10/SER_hh_num_in!U10)</f>
        <v>57152.286371622016</v>
      </c>
      <c r="V10" s="133">
        <f>IF(SER_hh_tes_in!V10=0,0,11630*1000*SER_hh_tes_in!V10/SER_hh_num_in!V10)</f>
        <v>0</v>
      </c>
      <c r="W10" s="133">
        <f>IF(SER_hh_tes_in!W10=0,0,11630*1000*SER_hh_tes_in!W10/SER_hh_num_in!W10)</f>
        <v>0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171486.26271318167</v>
      </c>
      <c r="D11" s="133">
        <f>IF(SER_hh_tes_in!D11=0,0,11630*1000*SER_hh_tes_in!D11/SER_hh_num_in!D11)</f>
        <v>167935.84929907095</v>
      </c>
      <c r="E11" s="133">
        <f>IF(SER_hh_tes_in!E11=0,0,11630*1000*SER_hh_tes_in!E11/SER_hh_num_in!E11)</f>
        <v>171515.98910817812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158316.50037408413</v>
      </c>
      <c r="H11" s="133">
        <f>IF(SER_hh_tes_in!H11=0,0,11630*1000*SER_hh_tes_in!H11/SER_hh_num_in!H11)</f>
        <v>144816.727521044</v>
      </c>
      <c r="I11" s="133">
        <f>IF(SER_hh_tes_in!I11=0,0,11630*1000*SER_hh_tes_in!I11/SER_hh_num_in!I11)</f>
        <v>127255.65839533052</v>
      </c>
      <c r="J11" s="133">
        <f>IF(SER_hh_tes_in!J11=0,0,11630*1000*SER_hh_tes_in!J11/SER_hh_num_in!J11)</f>
        <v>131173.21159233464</v>
      </c>
      <c r="K11" s="133">
        <f>IF(SER_hh_tes_in!K11=0,0,11630*1000*SER_hh_tes_in!K11/SER_hh_num_in!K11)</f>
        <v>130895.88678813171</v>
      </c>
      <c r="L11" s="133">
        <f>IF(SER_hh_tes_in!L11=0,0,11630*1000*SER_hh_tes_in!L11/SER_hh_num_in!L11)</f>
        <v>125147.55798127028</v>
      </c>
      <c r="M11" s="133">
        <f>IF(SER_hh_tes_in!M11=0,0,11630*1000*SER_hh_tes_in!M11/SER_hh_num_in!M11)</f>
        <v>122001.13751153764</v>
      </c>
      <c r="N11" s="133">
        <f>IF(SER_hh_tes_in!N11=0,0,11630*1000*SER_hh_tes_in!N11/SER_hh_num_in!N11)</f>
        <v>114816.93091151731</v>
      </c>
      <c r="O11" s="133">
        <f>IF(SER_hh_tes_in!O11=0,0,11630*1000*SER_hh_tes_in!O11/SER_hh_num_in!O11)</f>
        <v>118375.74532066302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67397.454700854272</v>
      </c>
      <c r="T11" s="133">
        <f>IF(SER_hh_tes_in!T11=0,0,11630*1000*SER_hh_tes_in!T11/SER_hh_num_in!T11)</f>
        <v>57445.47870499899</v>
      </c>
      <c r="U11" s="133">
        <f>IF(SER_hh_tes_in!U11=0,0,11630*1000*SER_hh_tes_in!U11/SER_hh_num_in!U11)</f>
        <v>54400.657149737628</v>
      </c>
      <c r="V11" s="133">
        <f>IF(SER_hh_tes_in!V11=0,0,11630*1000*SER_hh_tes_in!V11/SER_hh_num_in!V11)</f>
        <v>44305.05345481971</v>
      </c>
      <c r="W11" s="133">
        <f>IF(SER_hh_tes_in!W11=0,0,11630*1000*SER_hh_tes_in!W11/SER_hh_num_in!W11)</f>
        <v>47004.271986504384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187396.70912966214</v>
      </c>
      <c r="D12" s="133">
        <f>IF(SER_hh_tes_in!D12=0,0,11630*1000*SER_hh_tes_in!D12/SER_hh_num_in!D12)</f>
        <v>157579.31205197566</v>
      </c>
      <c r="E12" s="133">
        <f>IF(SER_hh_tes_in!E12=0,0,11630*1000*SER_hh_tes_in!E12/SER_hh_num_in!E12)</f>
        <v>173735.42189471846</v>
      </c>
      <c r="F12" s="133">
        <f>IF(SER_hh_tes_in!F12=0,0,11630*1000*SER_hh_tes_in!F12/SER_hh_num_in!F12)</f>
        <v>0</v>
      </c>
      <c r="G12" s="133">
        <f>IF(SER_hh_tes_in!G12=0,0,11630*1000*SER_hh_tes_in!G12/SER_hh_num_in!G12)</f>
        <v>172784.7348398453</v>
      </c>
      <c r="H12" s="133">
        <f>IF(SER_hh_tes_in!H12=0,0,11630*1000*SER_hh_tes_in!H12/SER_hh_num_in!H12)</f>
        <v>137484.19386266533</v>
      </c>
      <c r="I12" s="133">
        <f>IF(SER_hh_tes_in!I12=0,0,11630*1000*SER_hh_tes_in!I12/SER_hh_num_in!I12)</f>
        <v>128615.26383570459</v>
      </c>
      <c r="J12" s="133">
        <f>IF(SER_hh_tes_in!J12=0,0,11630*1000*SER_hh_tes_in!J12/SER_hh_num_in!J12)</f>
        <v>136406.36676195665</v>
      </c>
      <c r="K12" s="133">
        <f>IF(SER_hh_tes_in!K12=0,0,11630*1000*SER_hh_tes_in!K12/SER_hh_num_in!K12)</f>
        <v>128277.17764775088</v>
      </c>
      <c r="L12" s="133">
        <f>IF(SER_hh_tes_in!L12=0,0,11630*1000*SER_hh_tes_in!L12/SER_hh_num_in!L12)</f>
        <v>133569.75056988225</v>
      </c>
      <c r="M12" s="133">
        <f>IF(SER_hh_tes_in!M12=0,0,11630*1000*SER_hh_tes_in!M12/SER_hh_num_in!M12)</f>
        <v>129606.06628019469</v>
      </c>
      <c r="N12" s="133">
        <f>IF(SER_hh_tes_in!N12=0,0,11630*1000*SER_hh_tes_in!N12/SER_hh_num_in!N12)</f>
        <v>87623.434515341985</v>
      </c>
      <c r="O12" s="133">
        <f>IF(SER_hh_tes_in!O12=0,0,11630*1000*SER_hh_tes_in!O12/SER_hh_num_in!O12)</f>
        <v>79811.076606106377</v>
      </c>
      <c r="P12" s="133">
        <f>IF(SER_hh_tes_in!P12=0,0,11630*1000*SER_hh_tes_in!P12/SER_hh_num_in!P12)</f>
        <v>66167.947158355862</v>
      </c>
      <c r="Q12" s="133">
        <f>IF(SER_hh_tes_in!Q12=0,0,11630*1000*SER_hh_tes_in!Q12/SER_hh_num_in!Q12)</f>
        <v>73029.478766638204</v>
      </c>
      <c r="R12" s="133">
        <f>IF(SER_hh_tes_in!R12=0,0,11630*1000*SER_hh_tes_in!R12/SER_hh_num_in!R12)</f>
        <v>71717.148703603496</v>
      </c>
      <c r="S12" s="133">
        <f>IF(SER_hh_tes_in!S12=0,0,11630*1000*SER_hh_tes_in!S12/SER_hh_num_in!S12)</f>
        <v>66392.385430702911</v>
      </c>
      <c r="T12" s="133">
        <f>IF(SER_hh_tes_in!T12=0,0,11630*1000*SER_hh_tes_in!T12/SER_hh_num_in!T12)</f>
        <v>58665.739171867113</v>
      </c>
      <c r="U12" s="133">
        <f>IF(SER_hh_tes_in!U12=0,0,11630*1000*SER_hh_tes_in!U12/SER_hh_num_in!U12)</f>
        <v>52617.176209405166</v>
      </c>
      <c r="V12" s="133">
        <f>IF(SER_hh_tes_in!V12=0,0,11630*1000*SER_hh_tes_in!V12/SER_hh_num_in!V12)</f>
        <v>49085.153528145624</v>
      </c>
      <c r="W12" s="133">
        <f>IF(SER_hh_tes_in!W12=0,0,11630*1000*SER_hh_tes_in!W12/SER_hh_num_in!W12)</f>
        <v>44396.986431944591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176415.88772844197</v>
      </c>
      <c r="D13" s="133">
        <f>IF(SER_hh_tes_in!D13=0,0,11630*1000*SER_hh_tes_in!D13/SER_hh_num_in!D13)</f>
        <v>153205.24867587324</v>
      </c>
      <c r="E13" s="133">
        <f>IF(SER_hh_tes_in!E13=0,0,11630*1000*SER_hh_tes_in!E13/SER_hh_num_in!E13)</f>
        <v>119545.43119299599</v>
      </c>
      <c r="F13" s="133">
        <f>IF(SER_hh_tes_in!F13=0,0,11630*1000*SER_hh_tes_in!F13/SER_hh_num_in!F13)</f>
        <v>136905.93530083736</v>
      </c>
      <c r="G13" s="133">
        <f>IF(SER_hh_tes_in!G13=0,0,11630*1000*SER_hh_tes_in!G13/SER_hh_num_in!G13)</f>
        <v>139791.44287997717</v>
      </c>
      <c r="H13" s="133">
        <f>IF(SER_hh_tes_in!H13=0,0,11630*1000*SER_hh_tes_in!H13/SER_hh_num_in!H13)</f>
        <v>125782.92226749752</v>
      </c>
      <c r="I13" s="133">
        <f>IF(SER_hh_tes_in!I13=0,0,11630*1000*SER_hh_tes_in!I13/SER_hh_num_in!I13)</f>
        <v>142000.72128763801</v>
      </c>
      <c r="J13" s="133">
        <f>IF(SER_hh_tes_in!J13=0,0,11630*1000*SER_hh_tes_in!J13/SER_hh_num_in!J13)</f>
        <v>124420.66015378875</v>
      </c>
      <c r="K13" s="133">
        <f>IF(SER_hh_tes_in!K13=0,0,11630*1000*SER_hh_tes_in!K13/SER_hh_num_in!K13)</f>
        <v>133566.26302955201</v>
      </c>
      <c r="L13" s="133">
        <f>IF(SER_hh_tes_in!L13=0,0,11630*1000*SER_hh_tes_in!L13/SER_hh_num_in!L13)</f>
        <v>108452.51570621133</v>
      </c>
      <c r="M13" s="133">
        <f>IF(SER_hh_tes_in!M13=0,0,11630*1000*SER_hh_tes_in!M13/SER_hh_num_in!M13)</f>
        <v>80339.274425055162</v>
      </c>
      <c r="N13" s="133">
        <f>IF(SER_hh_tes_in!N13=0,0,11630*1000*SER_hh_tes_in!N13/SER_hh_num_in!N13)</f>
        <v>82580.476012274783</v>
      </c>
      <c r="O13" s="133">
        <f>IF(SER_hh_tes_in!O13=0,0,11630*1000*SER_hh_tes_in!O13/SER_hh_num_in!O13)</f>
        <v>82101.290878371452</v>
      </c>
      <c r="P13" s="133">
        <f>IF(SER_hh_tes_in!P13=0,0,11630*1000*SER_hh_tes_in!P13/SER_hh_num_in!P13)</f>
        <v>89873.657131210712</v>
      </c>
      <c r="Q13" s="133">
        <f>IF(SER_hh_tes_in!Q13=0,0,11630*1000*SER_hh_tes_in!Q13/SER_hh_num_in!Q13)</f>
        <v>68053.701481379452</v>
      </c>
      <c r="R13" s="133">
        <f>IF(SER_hh_tes_in!R13=0,0,11630*1000*SER_hh_tes_in!R13/SER_hh_num_in!R13)</f>
        <v>60004.304264341954</v>
      </c>
      <c r="S13" s="133">
        <f>IF(SER_hh_tes_in!S13=0,0,11630*1000*SER_hh_tes_in!S13/SER_hh_num_in!S13)</f>
        <v>54437.373625731088</v>
      </c>
      <c r="T13" s="133">
        <f>IF(SER_hh_tes_in!T13=0,0,11630*1000*SER_hh_tes_in!T13/SER_hh_num_in!T13)</f>
        <v>57316.068579981336</v>
      </c>
      <c r="U13" s="133">
        <f>IF(SER_hh_tes_in!U13=0,0,11630*1000*SER_hh_tes_in!U13/SER_hh_num_in!U13)</f>
        <v>49153.19167373627</v>
      </c>
      <c r="V13" s="133">
        <f>IF(SER_hh_tes_in!V13=0,0,11630*1000*SER_hh_tes_in!V13/SER_hh_num_in!V13)</f>
        <v>60797.354664230959</v>
      </c>
      <c r="W13" s="133">
        <f>IF(SER_hh_tes_in!W13=0,0,11630*1000*SER_hh_tes_in!W13/SER_hh_num_in!W13)</f>
        <v>35854.268438286497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180738.20829623684</v>
      </c>
      <c r="D14" s="65">
        <f>IF(SER_hh_tes_in!D14=0,0,11630*1000*SER_hh_tes_in!D14/SER_hh_num_in!D14)</f>
        <v>0</v>
      </c>
      <c r="E14" s="65">
        <f>IF(SER_hh_tes_in!E14=0,0,11630*1000*SER_hh_tes_in!E14/SER_hh_num_in!E14)</f>
        <v>137984.84782942181</v>
      </c>
      <c r="F14" s="65">
        <f>IF(SER_hh_tes_in!F14=0,0,11630*1000*SER_hh_tes_in!F14/SER_hh_num_in!F14)</f>
        <v>153930.56703132883</v>
      </c>
      <c r="G14" s="65">
        <f>IF(SER_hh_tes_in!G14=0,0,11630*1000*SER_hh_tes_in!G14/SER_hh_num_in!G14)</f>
        <v>170457.93382240416</v>
      </c>
      <c r="H14" s="65">
        <f>IF(SER_hh_tes_in!H14=0,0,11630*1000*SER_hh_tes_in!H14/SER_hh_num_in!H14)</f>
        <v>145780.47656933367</v>
      </c>
      <c r="I14" s="65">
        <f>IF(SER_hh_tes_in!I14=0,0,11630*1000*SER_hh_tes_in!I14/SER_hh_num_in!I14)</f>
        <v>138404.00925703332</v>
      </c>
      <c r="J14" s="65">
        <f>IF(SER_hh_tes_in!J14=0,0,11630*1000*SER_hh_tes_in!J14/SER_hh_num_in!J14)</f>
        <v>124973.6936925729</v>
      </c>
      <c r="K14" s="65">
        <f>IF(SER_hh_tes_in!K14=0,0,11630*1000*SER_hh_tes_in!K14/SER_hh_num_in!K14)</f>
        <v>136700.50987602281</v>
      </c>
      <c r="L14" s="65">
        <f>IF(SER_hh_tes_in!L14=0,0,11630*1000*SER_hh_tes_in!L14/SER_hh_num_in!L14)</f>
        <v>0</v>
      </c>
      <c r="M14" s="65">
        <f>IF(SER_hh_tes_in!M14=0,0,11630*1000*SER_hh_tes_in!M14/SER_hh_num_in!M14)</f>
        <v>0</v>
      </c>
      <c r="N14" s="65">
        <f>IF(SER_hh_tes_in!N14=0,0,11630*1000*SER_hh_tes_in!N14/SER_hh_num_in!N14)</f>
        <v>0</v>
      </c>
      <c r="O14" s="65">
        <f>IF(SER_hh_tes_in!O14=0,0,11630*1000*SER_hh_tes_in!O14/SER_hh_num_in!O14)</f>
        <v>0</v>
      </c>
      <c r="P14" s="65">
        <f>IF(SER_hh_tes_in!P14=0,0,11630*1000*SER_hh_tes_in!P14/SER_hh_num_in!P14)</f>
        <v>69817.47941381378</v>
      </c>
      <c r="Q14" s="65">
        <f>IF(SER_hh_tes_in!Q14=0,0,11630*1000*SER_hh_tes_in!Q14/SER_hh_num_in!Q14)</f>
        <v>71871.678084537882</v>
      </c>
      <c r="R14" s="65">
        <f>IF(SER_hh_tes_in!R14=0,0,11630*1000*SER_hh_tes_in!R14/SER_hh_num_in!R14)</f>
        <v>67521.902401762622</v>
      </c>
      <c r="S14" s="65">
        <f>IF(SER_hh_tes_in!S14=0,0,11630*1000*SER_hh_tes_in!S14/SER_hh_num_in!S14)</f>
        <v>64180.137593676343</v>
      </c>
      <c r="T14" s="65">
        <f>IF(SER_hh_tes_in!T14=0,0,11630*1000*SER_hh_tes_in!T14/SER_hh_num_in!T14)</f>
        <v>62720.203916590661</v>
      </c>
      <c r="U14" s="65">
        <f>IF(SER_hh_tes_in!U14=0,0,11630*1000*SER_hh_tes_in!U14/SER_hh_num_in!U14)</f>
        <v>58045.104554944621</v>
      </c>
      <c r="V14" s="65">
        <f>IF(SER_hh_tes_in!V14=0,0,11630*1000*SER_hh_tes_in!V14/SER_hh_num_in!V14)</f>
        <v>49695.570581821514</v>
      </c>
      <c r="W14" s="65">
        <f>IF(SER_hh_tes_in!W14=0,0,11630*1000*SER_hh_tes_in!W14/SER_hh_num_in!W14)</f>
        <v>43835.91840528851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3005.9326143859535</v>
      </c>
      <c r="D15" s="135">
        <f>IF(SER_hh_tes_in!D15=0,0,11630*1000*SER_hh_tes_in!D15/SER_hh_num_in!D15)</f>
        <v>2779.6524958126747</v>
      </c>
      <c r="E15" s="135">
        <f>IF(SER_hh_tes_in!E15=0,0,11630*1000*SER_hh_tes_in!E15/SER_hh_num_in!E15)</f>
        <v>2772.8636979165303</v>
      </c>
      <c r="F15" s="135">
        <f>IF(SER_hh_tes_in!F15=0,0,11630*1000*SER_hh_tes_in!F15/SER_hh_num_in!F15)</f>
        <v>3485.8131496930264</v>
      </c>
      <c r="G15" s="135">
        <f>IF(SER_hh_tes_in!G15=0,0,11630*1000*SER_hh_tes_in!G15/SER_hh_num_in!G15)</f>
        <v>2810.6566778426181</v>
      </c>
      <c r="H15" s="135">
        <f>IF(SER_hh_tes_in!H15=0,0,11630*1000*SER_hh_tes_in!H15/SER_hh_num_in!H15)</f>
        <v>1726.4157127323376</v>
      </c>
      <c r="I15" s="135">
        <f>IF(SER_hh_tes_in!I15=0,0,11630*1000*SER_hh_tes_in!I15/SER_hh_num_in!I15)</f>
        <v>1092.3351098883063</v>
      </c>
      <c r="J15" s="135">
        <f>IF(SER_hh_tes_in!J15=0,0,11630*1000*SER_hh_tes_in!J15/SER_hh_num_in!J15)</f>
        <v>1112.2956632966172</v>
      </c>
      <c r="K15" s="135">
        <f>IF(SER_hh_tes_in!K15=0,0,11630*1000*SER_hh_tes_in!K15/SER_hh_num_in!K15)</f>
        <v>1873.1126385263312</v>
      </c>
      <c r="L15" s="135">
        <f>IF(SER_hh_tes_in!L15=0,0,11630*1000*SER_hh_tes_in!L15/SER_hh_num_in!L15)</f>
        <v>2096.0504339824656</v>
      </c>
      <c r="M15" s="135">
        <f>IF(SER_hh_tes_in!M15=0,0,11630*1000*SER_hh_tes_in!M15/SER_hh_num_in!M15)</f>
        <v>1959.1019505600773</v>
      </c>
      <c r="N15" s="135">
        <f>IF(SER_hh_tes_in!N15=0,0,11630*1000*SER_hh_tes_in!N15/SER_hh_num_in!N15)</f>
        <v>1365.6483081395568</v>
      </c>
      <c r="O15" s="135">
        <f>IF(SER_hh_tes_in!O15=0,0,11630*1000*SER_hh_tes_in!O15/SER_hh_num_in!O15)</f>
        <v>1229.8421416836718</v>
      </c>
      <c r="P15" s="135">
        <f>IF(SER_hh_tes_in!P15=0,0,11630*1000*SER_hh_tes_in!P15/SER_hh_num_in!P15)</f>
        <v>961.39931216699347</v>
      </c>
      <c r="Q15" s="135">
        <f>IF(SER_hh_tes_in!Q15=0,0,11630*1000*SER_hh_tes_in!Q15/SER_hh_num_in!Q15)</f>
        <v>758.34459474930588</v>
      </c>
      <c r="R15" s="135">
        <f>IF(SER_hh_tes_in!R15=0,0,11630*1000*SER_hh_tes_in!R15/SER_hh_num_in!R15)</f>
        <v>819.42175971542008</v>
      </c>
      <c r="S15" s="135">
        <f>IF(SER_hh_tes_in!S15=0,0,11630*1000*SER_hh_tes_in!S15/SER_hh_num_in!S15)</f>
        <v>810.93898314711362</v>
      </c>
      <c r="T15" s="135">
        <f>IF(SER_hh_tes_in!T15=0,0,11630*1000*SER_hh_tes_in!T15/SER_hh_num_in!T15)</f>
        <v>791.16918453644132</v>
      </c>
      <c r="U15" s="135">
        <f>IF(SER_hh_tes_in!U15=0,0,11630*1000*SER_hh_tes_in!U15/SER_hh_num_in!U15)</f>
        <v>723.39877694814265</v>
      </c>
      <c r="V15" s="135">
        <f>IF(SER_hh_tes_in!V15=0,0,11630*1000*SER_hh_tes_in!V15/SER_hh_num_in!V15)</f>
        <v>692.742716300653</v>
      </c>
      <c r="W15" s="135">
        <f>IF(SER_hh_tes_in!W15=0,0,11630*1000*SER_hh_tes_in!W15/SER_hh_num_in!W15)</f>
        <v>578.80377170162956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19828.487837498447</v>
      </c>
      <c r="D16" s="131">
        <f>IF(SER_hh_tes_in!D16=0,0,11630*1000*SER_hh_tes_in!D16/SER_hh_num_in!D16)</f>
        <v>20866.18345255086</v>
      </c>
      <c r="E16" s="131">
        <f>IF(SER_hh_tes_in!E16=0,0,11630*1000*SER_hh_tes_in!E16/SER_hh_num_in!E16)</f>
        <v>23834.412056263845</v>
      </c>
      <c r="F16" s="131">
        <f>IF(SER_hh_tes_in!F16=0,0,11630*1000*SER_hh_tes_in!F16/SER_hh_num_in!F16)</f>
        <v>18994.120696544964</v>
      </c>
      <c r="G16" s="131">
        <f>IF(SER_hh_tes_in!G16=0,0,11630*1000*SER_hh_tes_in!G16/SER_hh_num_in!G16)</f>
        <v>18932.604090824138</v>
      </c>
      <c r="H16" s="131">
        <f>IF(SER_hh_tes_in!H16=0,0,11630*1000*SER_hh_tes_in!H16/SER_hh_num_in!H16)</f>
        <v>20849.468899659292</v>
      </c>
      <c r="I16" s="131">
        <f>IF(SER_hh_tes_in!I16=0,0,11630*1000*SER_hh_tes_in!I16/SER_hh_num_in!I16)</f>
        <v>22675.996201768579</v>
      </c>
      <c r="J16" s="131">
        <f>IF(SER_hh_tes_in!J16=0,0,11630*1000*SER_hh_tes_in!J16/SER_hh_num_in!J16)</f>
        <v>19187.938140605107</v>
      </c>
      <c r="K16" s="131">
        <f>IF(SER_hh_tes_in!K16=0,0,11630*1000*SER_hh_tes_in!K16/SER_hh_num_in!K16)</f>
        <v>19107.717650008071</v>
      </c>
      <c r="L16" s="131">
        <f>IF(SER_hh_tes_in!L16=0,0,11630*1000*SER_hh_tes_in!L16/SER_hh_num_in!L16)</f>
        <v>19771.179006504906</v>
      </c>
      <c r="M16" s="131">
        <f>IF(SER_hh_tes_in!M16=0,0,11630*1000*SER_hh_tes_in!M16/SER_hh_num_in!M16)</f>
        <v>19253.825600601249</v>
      </c>
      <c r="N16" s="131">
        <f>IF(SER_hh_tes_in!N16=0,0,11630*1000*SER_hh_tes_in!N16/SER_hh_num_in!N16)</f>
        <v>24166.658786705277</v>
      </c>
      <c r="O16" s="131">
        <f>IF(SER_hh_tes_in!O16=0,0,11630*1000*SER_hh_tes_in!O16/SER_hh_num_in!O16)</f>
        <v>19678.386138292484</v>
      </c>
      <c r="P16" s="131">
        <f>IF(SER_hh_tes_in!P16=0,0,11630*1000*SER_hh_tes_in!P16/SER_hh_num_in!P16)</f>
        <v>17472.934558242832</v>
      </c>
      <c r="Q16" s="131">
        <f>IF(SER_hh_tes_in!Q16=0,0,11630*1000*SER_hh_tes_in!Q16/SER_hh_num_in!Q16)</f>
        <v>24829.403681499298</v>
      </c>
      <c r="R16" s="131">
        <f>IF(SER_hh_tes_in!R16=0,0,11630*1000*SER_hh_tes_in!R16/SER_hh_num_in!R16)</f>
        <v>17109.804693873844</v>
      </c>
      <c r="S16" s="131">
        <f>IF(SER_hh_tes_in!S16=0,0,11630*1000*SER_hh_tes_in!S16/SER_hh_num_in!S16)</f>
        <v>20247.629558046345</v>
      </c>
      <c r="T16" s="131">
        <f>IF(SER_hh_tes_in!T16=0,0,11630*1000*SER_hh_tes_in!T16/SER_hh_num_in!T16)</f>
        <v>18857.167933432745</v>
      </c>
      <c r="U16" s="131">
        <f>IF(SER_hh_tes_in!U16=0,0,11630*1000*SER_hh_tes_in!U16/SER_hh_num_in!U16)</f>
        <v>19577.586897622572</v>
      </c>
      <c r="V16" s="131">
        <f>IF(SER_hh_tes_in!V16=0,0,11630*1000*SER_hh_tes_in!V16/SER_hh_num_in!V16)</f>
        <v>15801.026445107718</v>
      </c>
      <c r="W16" s="131">
        <f>IF(SER_hh_tes_in!W16=0,0,11630*1000*SER_hh_tes_in!W16/SER_hh_num_in!W16)</f>
        <v>18335.098595855099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19837.78039837848</v>
      </c>
      <c r="D17" s="133">
        <f>IF(SER_hh_tes_in!D17=0,0,11630*1000*SER_hh_tes_in!D17/SER_hh_num_in!D17)</f>
        <v>20894.84623502953</v>
      </c>
      <c r="E17" s="133">
        <f>IF(SER_hh_tes_in!E17=0,0,11630*1000*SER_hh_tes_in!E17/SER_hh_num_in!E17)</f>
        <v>23880.17943433515</v>
      </c>
      <c r="F17" s="133">
        <f>IF(SER_hh_tes_in!F17=0,0,11630*1000*SER_hh_tes_in!F17/SER_hh_num_in!F17)</f>
        <v>18992.871887973</v>
      </c>
      <c r="G17" s="133">
        <f>IF(SER_hh_tes_in!G17=0,0,11630*1000*SER_hh_tes_in!G17/SER_hh_num_in!G17)</f>
        <v>18933.20008884932</v>
      </c>
      <c r="H17" s="133">
        <f>IF(SER_hh_tes_in!H17=0,0,11630*1000*SER_hh_tes_in!H17/SER_hh_num_in!H17)</f>
        <v>20853.369367674695</v>
      </c>
      <c r="I17" s="133">
        <f>IF(SER_hh_tes_in!I17=0,0,11630*1000*SER_hh_tes_in!I17/SER_hh_num_in!I17)</f>
        <v>22682.094526690431</v>
      </c>
      <c r="J17" s="133">
        <f>IF(SER_hh_tes_in!J17=0,0,11630*1000*SER_hh_tes_in!J17/SER_hh_num_in!J17)</f>
        <v>19195.267314476328</v>
      </c>
      <c r="K17" s="133">
        <f>IF(SER_hh_tes_in!K17=0,0,11630*1000*SER_hh_tes_in!K17/SER_hh_num_in!K17)</f>
        <v>19117.059569358611</v>
      </c>
      <c r="L17" s="133">
        <f>IF(SER_hh_tes_in!L17=0,0,11630*1000*SER_hh_tes_in!L17/SER_hh_num_in!L17)</f>
        <v>19785.530633972889</v>
      </c>
      <c r="M17" s="133">
        <f>IF(SER_hh_tes_in!M17=0,0,11630*1000*SER_hh_tes_in!M17/SER_hh_num_in!M17)</f>
        <v>19303.556818956233</v>
      </c>
      <c r="N17" s="133">
        <f>IF(SER_hh_tes_in!N17=0,0,11630*1000*SER_hh_tes_in!N17/SER_hh_num_in!N17)</f>
        <v>24280.902276288805</v>
      </c>
      <c r="O17" s="133">
        <f>IF(SER_hh_tes_in!O17=0,0,11630*1000*SER_hh_tes_in!O17/SER_hh_num_in!O17)</f>
        <v>19819.367889886398</v>
      </c>
      <c r="P17" s="133">
        <f>IF(SER_hh_tes_in!P17=0,0,11630*1000*SER_hh_tes_in!P17/SER_hh_num_in!P17)</f>
        <v>17555.822975954095</v>
      </c>
      <c r="Q17" s="133">
        <f>IF(SER_hh_tes_in!Q17=0,0,11630*1000*SER_hh_tes_in!Q17/SER_hh_num_in!Q17)</f>
        <v>24900.065204967432</v>
      </c>
      <c r="R17" s="133">
        <f>IF(SER_hh_tes_in!R17=0,0,11630*1000*SER_hh_tes_in!R17/SER_hh_num_in!R17)</f>
        <v>17138.012872502848</v>
      </c>
      <c r="S17" s="133">
        <f>IF(SER_hh_tes_in!S17=0,0,11630*1000*SER_hh_tes_in!S17/SER_hh_num_in!S17)</f>
        <v>20432.024977711924</v>
      </c>
      <c r="T17" s="133">
        <f>IF(SER_hh_tes_in!T17=0,0,11630*1000*SER_hh_tes_in!T17/SER_hh_num_in!T17)</f>
        <v>18987.748696315895</v>
      </c>
      <c r="U17" s="133">
        <f>IF(SER_hh_tes_in!U17=0,0,11630*1000*SER_hh_tes_in!U17/SER_hh_num_in!U17)</f>
        <v>19862.624256901647</v>
      </c>
      <c r="V17" s="133">
        <f>IF(SER_hh_tes_in!V17=0,0,11630*1000*SER_hh_tes_in!V17/SER_hh_num_in!V17)</f>
        <v>13764.279812124645</v>
      </c>
      <c r="W17" s="133">
        <f>IF(SER_hh_tes_in!W17=0,0,11630*1000*SER_hh_tes_in!W17/SER_hh_num_in!W17)</f>
        <v>15999.115138576904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19828.448297120063</v>
      </c>
      <c r="D18" s="133">
        <f>IF(SER_hh_tes_in!D18=0,0,11630*1000*SER_hh_tes_in!D18/SER_hh_num_in!D18)</f>
        <v>20866.047236346916</v>
      </c>
      <c r="E18" s="133">
        <f>IF(SER_hh_tes_in!E18=0,0,11630*1000*SER_hh_tes_in!E18/SER_hh_num_in!E18)</f>
        <v>23834.21648711112</v>
      </c>
      <c r="F18" s="133">
        <f>IF(SER_hh_tes_in!F18=0,0,11630*1000*SER_hh_tes_in!F18/SER_hh_num_in!F18)</f>
        <v>18994.123148991417</v>
      </c>
      <c r="G18" s="133">
        <f>IF(SER_hh_tes_in!G18=0,0,11630*1000*SER_hh_tes_in!G18/SER_hh_num_in!G18)</f>
        <v>18932.601908924262</v>
      </c>
      <c r="H18" s="133">
        <f>IF(SER_hh_tes_in!H18=0,0,11630*1000*SER_hh_tes_in!H18/SER_hh_num_in!H18)</f>
        <v>20849.451161278848</v>
      </c>
      <c r="I18" s="133">
        <f>IF(SER_hh_tes_in!I18=0,0,11630*1000*SER_hh_tes_in!I18/SER_hh_num_in!I18)</f>
        <v>22675.969700212332</v>
      </c>
      <c r="J18" s="133">
        <f>IF(SER_hh_tes_in!J18=0,0,11630*1000*SER_hh_tes_in!J18/SER_hh_num_in!J18)</f>
        <v>19187.917807080226</v>
      </c>
      <c r="K18" s="133">
        <f>IF(SER_hh_tes_in!K18=0,0,11630*1000*SER_hh_tes_in!K18/SER_hh_num_in!K18)</f>
        <v>19107.666370948224</v>
      </c>
      <c r="L18" s="133">
        <f>IF(SER_hh_tes_in!L18=0,0,11630*1000*SER_hh_tes_in!L18/SER_hh_num_in!L18)</f>
        <v>19771.072874439869</v>
      </c>
      <c r="M18" s="133">
        <f>IF(SER_hh_tes_in!M18=0,0,11630*1000*SER_hh_tes_in!M18/SER_hh_num_in!M18)</f>
        <v>19253.455034733299</v>
      </c>
      <c r="N18" s="133">
        <f>IF(SER_hh_tes_in!N18=0,0,11630*1000*SER_hh_tes_in!N18/SER_hh_num_in!N18)</f>
        <v>24165.775762323588</v>
      </c>
      <c r="O18" s="133">
        <f>IF(SER_hh_tes_in!O18=0,0,11630*1000*SER_hh_tes_in!O18/SER_hh_num_in!O18)</f>
        <v>19677.275148439814</v>
      </c>
      <c r="P18" s="133">
        <f>IF(SER_hh_tes_in!P18=0,0,11630*1000*SER_hh_tes_in!P18/SER_hh_num_in!P18)</f>
        <v>17472.456022066697</v>
      </c>
      <c r="Q18" s="133">
        <f>IF(SER_hh_tes_in!Q18=0,0,11630*1000*SER_hh_tes_in!Q18/SER_hh_num_in!Q18)</f>
        <v>24828.828198949886</v>
      </c>
      <c r="R18" s="133">
        <f>IF(SER_hh_tes_in!R18=0,0,11630*1000*SER_hh_tes_in!R18/SER_hh_num_in!R18)</f>
        <v>17109.59094355327</v>
      </c>
      <c r="S18" s="133">
        <f>IF(SER_hh_tes_in!S18=0,0,11630*1000*SER_hh_tes_in!S18/SER_hh_num_in!S18)</f>
        <v>20245.214171320553</v>
      </c>
      <c r="T18" s="133">
        <f>IF(SER_hh_tes_in!T18=0,0,11630*1000*SER_hh_tes_in!T18/SER_hh_num_in!T18)</f>
        <v>18855.929304302525</v>
      </c>
      <c r="U18" s="133">
        <f>IF(SER_hh_tes_in!U18=0,0,11630*1000*SER_hh_tes_in!U18/SER_hh_num_in!U18)</f>
        <v>19572.346286012129</v>
      </c>
      <c r="V18" s="133">
        <f>IF(SER_hh_tes_in!V18=0,0,11630*1000*SER_hh_tes_in!V18/SER_hh_num_in!V18)</f>
        <v>15841.37886657835</v>
      </c>
      <c r="W18" s="133">
        <f>IF(SER_hh_tes_in!W18=0,0,11630*1000*SER_hh_tes_in!W18/SER_hh_num_in!W18)</f>
        <v>18359.979914596828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16256.394307553539</v>
      </c>
      <c r="D19" s="131">
        <f>IF(SER_hh_tes_in!D19=0,0,11630*1000*SER_hh_tes_in!D19/SER_hh_num_in!D19)</f>
        <v>16445.642784396805</v>
      </c>
      <c r="E19" s="131">
        <f>IF(SER_hh_tes_in!E19=0,0,11630*1000*SER_hh_tes_in!E19/SER_hh_num_in!E19)</f>
        <v>16258.411454426669</v>
      </c>
      <c r="F19" s="131">
        <f>IF(SER_hh_tes_in!F19=0,0,11630*1000*SER_hh_tes_in!F19/SER_hh_num_in!F19)</f>
        <v>16560.324190221261</v>
      </c>
      <c r="G19" s="131">
        <f>IF(SER_hh_tes_in!G19=0,0,11630*1000*SER_hh_tes_in!G19/SER_hh_num_in!G19)</f>
        <v>16301.23600669014</v>
      </c>
      <c r="H19" s="131">
        <f>IF(SER_hh_tes_in!H19=0,0,11630*1000*SER_hh_tes_in!H19/SER_hh_num_in!H19)</f>
        <v>16152.142905796421</v>
      </c>
      <c r="I19" s="131">
        <f>IF(SER_hh_tes_in!I19=0,0,11630*1000*SER_hh_tes_in!I19/SER_hh_num_in!I19)</f>
        <v>15972.796441631785</v>
      </c>
      <c r="J19" s="131">
        <f>IF(SER_hh_tes_in!J19=0,0,11630*1000*SER_hh_tes_in!J19/SER_hh_num_in!J19)</f>
        <v>16265.948269576867</v>
      </c>
      <c r="K19" s="131">
        <f>IF(SER_hh_tes_in!K19=0,0,11630*1000*SER_hh_tes_in!K19/SER_hh_num_in!K19)</f>
        <v>16599.038123548657</v>
      </c>
      <c r="L19" s="131">
        <f>IF(SER_hh_tes_in!L19=0,0,11630*1000*SER_hh_tes_in!L19/SER_hh_num_in!L19)</f>
        <v>16519.036854447491</v>
      </c>
      <c r="M19" s="131">
        <f>IF(SER_hh_tes_in!M19=0,0,11630*1000*SER_hh_tes_in!M19/SER_hh_num_in!M19)</f>
        <v>16399.214012321696</v>
      </c>
      <c r="N19" s="131">
        <f>IF(SER_hh_tes_in!N19=0,0,11630*1000*SER_hh_tes_in!N19/SER_hh_num_in!N19)</f>
        <v>17538.790915538615</v>
      </c>
      <c r="O19" s="131">
        <f>IF(SER_hh_tes_in!O19=0,0,11630*1000*SER_hh_tes_in!O19/SER_hh_num_in!O19)</f>
        <v>16618.276217434144</v>
      </c>
      <c r="P19" s="131">
        <f>IF(SER_hh_tes_in!P19=0,0,11630*1000*SER_hh_tes_in!P19/SER_hh_num_in!P19)</f>
        <v>16082.062729222716</v>
      </c>
      <c r="Q19" s="131">
        <f>IF(SER_hh_tes_in!Q19=0,0,11630*1000*SER_hh_tes_in!Q19/SER_hh_num_in!Q19)</f>
        <v>15911.41342534871</v>
      </c>
      <c r="R19" s="131">
        <f>IF(SER_hh_tes_in!R19=0,0,11630*1000*SER_hh_tes_in!R19/SER_hh_num_in!R19)</f>
        <v>15887.851176321494</v>
      </c>
      <c r="S19" s="131">
        <f>IF(SER_hh_tes_in!S19=0,0,11630*1000*SER_hh_tes_in!S19/SER_hh_num_in!S19)</f>
        <v>15739.176438039431</v>
      </c>
      <c r="T19" s="131">
        <f>IF(SER_hh_tes_in!T19=0,0,11630*1000*SER_hh_tes_in!T19/SER_hh_num_in!T19)</f>
        <v>15730.469716096255</v>
      </c>
      <c r="U19" s="131">
        <f>IF(SER_hh_tes_in!U19=0,0,11630*1000*SER_hh_tes_in!U19/SER_hh_num_in!U19)</f>
        <v>15376.005140160285</v>
      </c>
      <c r="V19" s="131">
        <f>IF(SER_hh_tes_in!V19=0,0,11630*1000*SER_hh_tes_in!V19/SER_hh_num_in!V19)</f>
        <v>13889.724225389677</v>
      </c>
      <c r="W19" s="131">
        <f>IF(SER_hh_tes_in!W19=0,0,11630*1000*SER_hh_tes_in!W19/SER_hh_num_in!W19)</f>
        <v>14163.537875081729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0</v>
      </c>
      <c r="D22" s="133">
        <f>IF(SER_hh_tes_in!D22=0,0,11630*1000*SER_hh_tes_in!D22/SER_hh_num_in!D22)</f>
        <v>0</v>
      </c>
      <c r="E22" s="133">
        <f>IF(SER_hh_tes_in!E22=0,0,11630*1000*SER_hh_tes_in!E22/SER_hh_num_in!E22)</f>
        <v>0</v>
      </c>
      <c r="F22" s="133">
        <f>IF(SER_hh_tes_in!F22=0,0,11630*1000*SER_hh_tes_in!F22/SER_hh_num_in!F22)</f>
        <v>0</v>
      </c>
      <c r="G22" s="133">
        <f>IF(SER_hh_tes_in!G22=0,0,11630*1000*SER_hh_tes_in!G22/SER_hh_num_in!G22)</f>
        <v>0</v>
      </c>
      <c r="H22" s="133">
        <f>IF(SER_hh_tes_in!H22=0,0,11630*1000*SER_hh_tes_in!H22/SER_hh_num_in!H22)</f>
        <v>0</v>
      </c>
      <c r="I22" s="133">
        <f>IF(SER_hh_tes_in!I22=0,0,11630*1000*SER_hh_tes_in!I22/SER_hh_num_in!I22)</f>
        <v>0</v>
      </c>
      <c r="J22" s="133">
        <f>IF(SER_hh_tes_in!J22=0,0,11630*1000*SER_hh_tes_in!J22/SER_hh_num_in!J22)</f>
        <v>0</v>
      </c>
      <c r="K22" s="133">
        <f>IF(SER_hh_tes_in!K22=0,0,11630*1000*SER_hh_tes_in!K22/SER_hh_num_in!K22)</f>
        <v>0</v>
      </c>
      <c r="L22" s="133">
        <f>IF(SER_hh_tes_in!L22=0,0,11630*1000*SER_hh_tes_in!L22/SER_hh_num_in!L22)</f>
        <v>0</v>
      </c>
      <c r="M22" s="133">
        <f>IF(SER_hh_tes_in!M22=0,0,11630*1000*SER_hh_tes_in!M22/SER_hh_num_in!M22)</f>
        <v>0</v>
      </c>
      <c r="N22" s="133">
        <f>IF(SER_hh_tes_in!N22=0,0,11630*1000*SER_hh_tes_in!N22/SER_hh_num_in!N22)</f>
        <v>0</v>
      </c>
      <c r="O22" s="133">
        <f>IF(SER_hh_tes_in!O22=0,0,11630*1000*SER_hh_tes_in!O22/SER_hh_num_in!O22)</f>
        <v>0</v>
      </c>
      <c r="P22" s="133">
        <f>IF(SER_hh_tes_in!P22=0,0,11630*1000*SER_hh_tes_in!P22/SER_hh_num_in!P22)</f>
        <v>0</v>
      </c>
      <c r="Q22" s="133">
        <f>IF(SER_hh_tes_in!Q22=0,0,11630*1000*SER_hh_tes_in!Q22/SER_hh_num_in!Q22)</f>
        <v>0</v>
      </c>
      <c r="R22" s="133">
        <f>IF(SER_hh_tes_in!R22=0,0,11630*1000*SER_hh_tes_in!R22/SER_hh_num_in!R22)</f>
        <v>0</v>
      </c>
      <c r="S22" s="133">
        <f>IF(SER_hh_tes_in!S22=0,0,11630*1000*SER_hh_tes_in!S22/SER_hh_num_in!S22)</f>
        <v>0</v>
      </c>
      <c r="T22" s="133">
        <f>IF(SER_hh_tes_in!T22=0,0,11630*1000*SER_hh_tes_in!T22/SER_hh_num_in!T22)</f>
        <v>0</v>
      </c>
      <c r="U22" s="133">
        <f>IF(SER_hh_tes_in!U22=0,0,11630*1000*SER_hh_tes_in!U22/SER_hh_num_in!U22)</f>
        <v>0</v>
      </c>
      <c r="V22" s="133">
        <f>IF(SER_hh_tes_in!V22=0,0,11630*1000*SER_hh_tes_in!V22/SER_hh_num_in!V22)</f>
        <v>0</v>
      </c>
      <c r="W22" s="133">
        <f>IF(SER_hh_tes_in!W22=0,0,11630*1000*SER_hh_tes_in!W22/SER_hh_num_in!W22)</f>
        <v>0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16204.544858557991</v>
      </c>
      <c r="D23" s="133">
        <f>IF(SER_hh_tes_in!D23=0,0,11630*1000*SER_hh_tes_in!D23/SER_hh_num_in!D23)</f>
        <v>16393.909487065754</v>
      </c>
      <c r="E23" s="133">
        <f>IF(SER_hh_tes_in!E23=0,0,11630*1000*SER_hh_tes_in!E23/SER_hh_num_in!E23)</f>
        <v>16464.154837259513</v>
      </c>
      <c r="F23" s="133">
        <f>IF(SER_hh_tes_in!F23=0,0,11630*1000*SER_hh_tes_in!F23/SER_hh_num_in!F23)</f>
        <v>16815.083495890718</v>
      </c>
      <c r="G23" s="133">
        <f>IF(SER_hh_tes_in!G23=0,0,11630*1000*SER_hh_tes_in!G23/SER_hh_num_in!G23)</f>
        <v>16217.451121002548</v>
      </c>
      <c r="H23" s="133">
        <f>IF(SER_hh_tes_in!H23=0,0,11630*1000*SER_hh_tes_in!H23/SER_hh_num_in!H23)</f>
        <v>15847.47800698404</v>
      </c>
      <c r="I23" s="133">
        <f>IF(SER_hh_tes_in!I23=0,0,11630*1000*SER_hh_tes_in!I23/SER_hh_num_in!I23)</f>
        <v>15801.190570854289</v>
      </c>
      <c r="J23" s="133">
        <f>IF(SER_hh_tes_in!J23=0,0,11630*1000*SER_hh_tes_in!J23/SER_hh_num_in!J23)</f>
        <v>16043.331454355606</v>
      </c>
      <c r="K23" s="133">
        <f>IF(SER_hh_tes_in!K23=0,0,11630*1000*SER_hh_tes_in!K23/SER_hh_num_in!K23)</f>
        <v>16544.506075274228</v>
      </c>
      <c r="L23" s="133">
        <f>IF(SER_hh_tes_in!L23=0,0,11630*1000*SER_hh_tes_in!L23/SER_hh_num_in!L23)</f>
        <v>16379.790290829205</v>
      </c>
      <c r="M23" s="133">
        <f>IF(SER_hh_tes_in!M23=0,0,11630*1000*SER_hh_tes_in!M23/SER_hh_num_in!M23)</f>
        <v>16130.614111459347</v>
      </c>
      <c r="N23" s="133">
        <f>IF(SER_hh_tes_in!N23=0,0,11630*1000*SER_hh_tes_in!N23/SER_hh_num_in!N23)</f>
        <v>15945.674746542119</v>
      </c>
      <c r="O23" s="133">
        <f>IF(SER_hh_tes_in!O23=0,0,11630*1000*SER_hh_tes_in!O23/SER_hh_num_in!O23)</f>
        <v>16747.02717874377</v>
      </c>
      <c r="P23" s="133">
        <f>IF(SER_hh_tes_in!P23=0,0,11630*1000*SER_hh_tes_in!P23/SER_hh_num_in!P23)</f>
        <v>16069.042725801713</v>
      </c>
      <c r="Q23" s="133">
        <f>IF(SER_hh_tes_in!Q23=0,0,11630*1000*SER_hh_tes_in!Q23/SER_hh_num_in!Q23)</f>
        <v>15876.923861023915</v>
      </c>
      <c r="R23" s="133">
        <f>IF(SER_hh_tes_in!R23=0,0,11630*1000*SER_hh_tes_in!R23/SER_hh_num_in!R23)</f>
        <v>16041.196473027148</v>
      </c>
      <c r="S23" s="133">
        <f>IF(SER_hh_tes_in!S23=0,0,11630*1000*SER_hh_tes_in!S23/SER_hh_num_in!S23)</f>
        <v>15866.732471992842</v>
      </c>
      <c r="T23" s="133">
        <f>IF(SER_hh_tes_in!T23=0,0,11630*1000*SER_hh_tes_in!T23/SER_hh_num_in!T23)</f>
        <v>16018.915651408504</v>
      </c>
      <c r="U23" s="133">
        <f>IF(SER_hh_tes_in!U23=0,0,11630*1000*SER_hh_tes_in!U23/SER_hh_num_in!U23)</f>
        <v>15407.9749499441</v>
      </c>
      <c r="V23" s="133">
        <f>IF(SER_hh_tes_in!V23=0,0,11630*1000*SER_hh_tes_in!V23/SER_hh_num_in!V23)</f>
        <v>14032.35847375656</v>
      </c>
      <c r="W23" s="133">
        <f>IF(SER_hh_tes_in!W23=0,0,11630*1000*SER_hh_tes_in!W23/SER_hh_num_in!W23)</f>
        <v>13920.675690028886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23264.964794941607</v>
      </c>
      <c r="O24" s="133">
        <f>IF(SER_hh_tes_in!O24=0,0,11630*1000*SER_hh_tes_in!O24/SER_hh_num_in!O24)</f>
        <v>18053.388384810107</v>
      </c>
      <c r="P24" s="133">
        <f>IF(SER_hh_tes_in!P24=0,0,11630*1000*SER_hh_tes_in!P24/SER_hh_num_in!P24)</f>
        <v>16285.220606983932</v>
      </c>
      <c r="Q24" s="133">
        <f>IF(SER_hh_tes_in!Q24=0,0,11630*1000*SER_hh_tes_in!Q24/SER_hh_num_in!Q24)</f>
        <v>12771.949497181431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15015.668831297846</v>
      </c>
      <c r="V24" s="133">
        <f>IF(SER_hh_tes_in!V24=0,0,11630*1000*SER_hh_tes_in!V24/SER_hh_num_in!V24)</f>
        <v>14252.39486044468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16261.109702543828</v>
      </c>
      <c r="D25" s="133">
        <f>IF(SER_hh_tes_in!D25=0,0,11630*1000*SER_hh_tes_in!D25/SER_hh_num_in!D25)</f>
        <v>16263.516993965119</v>
      </c>
      <c r="E25" s="133">
        <f>IF(SER_hh_tes_in!E25=0,0,11630*1000*SER_hh_tes_in!E25/SER_hh_num_in!E25)</f>
        <v>16134.481434999927</v>
      </c>
      <c r="F25" s="133">
        <f>IF(SER_hh_tes_in!F25=0,0,11630*1000*SER_hh_tes_in!F25/SER_hh_num_in!F25)</f>
        <v>16051.734490849523</v>
      </c>
      <c r="G25" s="133">
        <f>IF(SER_hh_tes_in!G25=0,0,11630*1000*SER_hh_tes_in!G25/SER_hh_num_in!G25)</f>
        <v>16471.342033064178</v>
      </c>
      <c r="H25" s="133">
        <f>IF(SER_hh_tes_in!H25=0,0,11630*1000*SER_hh_tes_in!H25/SER_hh_num_in!H25)</f>
        <v>16157.570001208687</v>
      </c>
      <c r="I25" s="133">
        <f>IF(SER_hh_tes_in!I25=0,0,11630*1000*SER_hh_tes_in!I25/SER_hh_num_in!I25)</f>
        <v>15987.630854996045</v>
      </c>
      <c r="J25" s="133">
        <f>IF(SER_hh_tes_in!J25=0,0,11630*1000*SER_hh_tes_in!J25/SER_hh_num_in!J25)</f>
        <v>16446.628772416036</v>
      </c>
      <c r="K25" s="133">
        <f>IF(SER_hh_tes_in!K25=0,0,11630*1000*SER_hh_tes_in!K25/SER_hh_num_in!K25)</f>
        <v>16429.383894462262</v>
      </c>
      <c r="L25" s="133">
        <f>IF(SER_hh_tes_in!L25=0,0,11630*1000*SER_hh_tes_in!L25/SER_hh_num_in!L25)</f>
        <v>16240.895738981331</v>
      </c>
      <c r="M25" s="133">
        <f>IF(SER_hh_tes_in!M25=0,0,11630*1000*SER_hh_tes_in!M25/SER_hh_num_in!M25)</f>
        <v>16359.450597185927</v>
      </c>
      <c r="N25" s="133">
        <f>IF(SER_hh_tes_in!N25=0,0,11630*1000*SER_hh_tes_in!N25/SER_hh_num_in!N25)</f>
        <v>16669.301936574437</v>
      </c>
      <c r="O25" s="133">
        <f>IF(SER_hh_tes_in!O25=0,0,11630*1000*SER_hh_tes_in!O25/SER_hh_num_in!O25)</f>
        <v>16188.651014479301</v>
      </c>
      <c r="P25" s="133">
        <f>IF(SER_hh_tes_in!P25=0,0,11630*1000*SER_hh_tes_in!P25/SER_hh_num_in!P25)</f>
        <v>15809.246989241312</v>
      </c>
      <c r="Q25" s="133">
        <f>IF(SER_hh_tes_in!Q25=0,0,11630*1000*SER_hh_tes_in!Q25/SER_hh_num_in!Q25)</f>
        <v>15830.548189812564</v>
      </c>
      <c r="R25" s="133">
        <f>IF(SER_hh_tes_in!R25=0,0,11630*1000*SER_hh_tes_in!R25/SER_hh_num_in!R25)</f>
        <v>15837.975829893732</v>
      </c>
      <c r="S25" s="133">
        <f>IF(SER_hh_tes_in!S25=0,0,11630*1000*SER_hh_tes_in!S25/SER_hh_num_in!S25)</f>
        <v>15748.638279159679</v>
      </c>
      <c r="T25" s="133">
        <f>IF(SER_hh_tes_in!T25=0,0,11630*1000*SER_hh_tes_in!T25/SER_hh_num_in!T25)</f>
        <v>15595.660661606107</v>
      </c>
      <c r="U25" s="133">
        <f>IF(SER_hh_tes_in!U25=0,0,11630*1000*SER_hh_tes_in!U25/SER_hh_num_in!U25)</f>
        <v>15821.046830890309</v>
      </c>
      <c r="V25" s="133">
        <f>IF(SER_hh_tes_in!V25=0,0,11630*1000*SER_hh_tes_in!V25/SER_hh_num_in!V25)</f>
        <v>13533.675355564608</v>
      </c>
      <c r="W25" s="133">
        <f>IF(SER_hh_tes_in!W25=0,0,11630*1000*SER_hh_tes_in!W25/SER_hh_num_in!W25)</f>
        <v>14182.405014219468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16297.508008385945</v>
      </c>
      <c r="D26" s="65">
        <f>IF(SER_hh_tes_in!D26=0,0,11630*1000*SER_hh_tes_in!D26/SER_hh_num_in!D26)</f>
        <v>16552.677279726253</v>
      </c>
      <c r="E26" s="65">
        <f>IF(SER_hh_tes_in!E26=0,0,11630*1000*SER_hh_tes_in!E26/SER_hh_num_in!E26)</f>
        <v>16067.937091419473</v>
      </c>
      <c r="F26" s="65">
        <f>IF(SER_hh_tes_in!F26=0,0,11630*1000*SER_hh_tes_in!F26/SER_hh_num_in!F26)</f>
        <v>16296.902393614708</v>
      </c>
      <c r="G26" s="65">
        <f>IF(SER_hh_tes_in!G26=0,0,11630*1000*SER_hh_tes_in!G26/SER_hh_num_in!G26)</f>
        <v>16094.524587774133</v>
      </c>
      <c r="H26" s="65">
        <f>IF(SER_hh_tes_in!H26=0,0,11630*1000*SER_hh_tes_in!H26/SER_hh_num_in!H26)</f>
        <v>16167.870960200562</v>
      </c>
      <c r="I26" s="65">
        <f>IF(SER_hh_tes_in!I26=0,0,11630*1000*SER_hh_tes_in!I26/SER_hh_num_in!I26)</f>
        <v>16044.218220614239</v>
      </c>
      <c r="J26" s="65">
        <f>IF(SER_hh_tes_in!J26=0,0,11630*1000*SER_hh_tes_in!J26/SER_hh_num_in!J26)</f>
        <v>12961.97525238532</v>
      </c>
      <c r="K26" s="65">
        <f>IF(SER_hh_tes_in!K26=0,0,11630*1000*SER_hh_tes_in!K26/SER_hh_num_in!K26)</f>
        <v>13336.752549946597</v>
      </c>
      <c r="L26" s="65">
        <f>IF(SER_hh_tes_in!L26=0,0,11630*1000*SER_hh_tes_in!L26/SER_hh_num_in!L26)</f>
        <v>12395.56442607232</v>
      </c>
      <c r="M26" s="65">
        <f>IF(SER_hh_tes_in!M26=0,0,11630*1000*SER_hh_tes_in!M26/SER_hh_num_in!M26)</f>
        <v>15544.76071504261</v>
      </c>
      <c r="N26" s="65">
        <f>IF(SER_hh_tes_in!N26=0,0,11630*1000*SER_hh_tes_in!N26/SER_hh_num_in!N26)</f>
        <v>17179.714021455115</v>
      </c>
      <c r="O26" s="65">
        <f>IF(SER_hh_tes_in!O26=0,0,11630*1000*SER_hh_tes_in!O26/SER_hh_num_in!O26)</f>
        <v>15449.835554586327</v>
      </c>
      <c r="P26" s="65">
        <f>IF(SER_hh_tes_in!P26=0,0,11630*1000*SER_hh_tes_in!P26/SER_hh_num_in!P26)</f>
        <v>15033.312131311724</v>
      </c>
      <c r="Q26" s="65">
        <f>IF(SER_hh_tes_in!Q26=0,0,11630*1000*SER_hh_tes_in!Q26/SER_hh_num_in!Q26)</f>
        <v>14583.52598673087</v>
      </c>
      <c r="R26" s="65">
        <f>IF(SER_hh_tes_in!R26=0,0,11630*1000*SER_hh_tes_in!R26/SER_hh_num_in!R26)</f>
        <v>15677.914736954299</v>
      </c>
      <c r="S26" s="65">
        <f>IF(SER_hh_tes_in!S26=0,0,11630*1000*SER_hh_tes_in!S26/SER_hh_num_in!S26)</f>
        <v>15133.303201954372</v>
      </c>
      <c r="T26" s="65">
        <f>IF(SER_hh_tes_in!T26=0,0,11630*1000*SER_hh_tes_in!T26/SER_hh_num_in!T26)</f>
        <v>15001.622064757568</v>
      </c>
      <c r="U26" s="65">
        <f>IF(SER_hh_tes_in!U26=0,0,11630*1000*SER_hh_tes_in!U26/SER_hh_num_in!U26)</f>
        <v>14503.367751276131</v>
      </c>
      <c r="V26" s="65">
        <f>IF(SER_hh_tes_in!V26=0,0,11630*1000*SER_hh_tes_in!V26/SER_hh_num_in!V26)</f>
        <v>12780.345262711211</v>
      </c>
      <c r="W26" s="65">
        <f>IF(SER_hh_tes_in!W26=0,0,11630*1000*SER_hh_tes_in!W26/SER_hh_num_in!W26)</f>
        <v>14557.157782114042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102.61332860138762</v>
      </c>
      <c r="H27" s="146">
        <f>IF(SER_hh_tes_in!H27=0,0,11630*1000*SER_hh_tes_in!H27/SER_hh_num_in!H19)</f>
        <v>164.4709317171552</v>
      </c>
      <c r="I27" s="146">
        <f>IF(SER_hh_tes_in!I27=0,0,11630*1000*SER_hh_tes_in!I27/SER_hh_num_in!I19)</f>
        <v>100.03531020197008</v>
      </c>
      <c r="J27" s="146">
        <f>IF(SER_hh_tes_in!J27=0,0,11630*1000*SER_hh_tes_in!J27/SER_hh_num_in!J19)</f>
        <v>571.63556452283308</v>
      </c>
      <c r="K27" s="146">
        <f>IF(SER_hh_tes_in!K27=0,0,11630*1000*SER_hh_tes_in!K27/SER_hh_num_in!K19)</f>
        <v>443.66491883574514</v>
      </c>
      <c r="L27" s="146">
        <f>IF(SER_hh_tes_in!L27=0,0,11630*1000*SER_hh_tes_in!L27/SER_hh_num_in!L19)</f>
        <v>947.18524091219342</v>
      </c>
      <c r="M27" s="146">
        <f>IF(SER_hh_tes_in!M27=0,0,11630*1000*SER_hh_tes_in!M27/SER_hh_num_in!M19)</f>
        <v>381.04528026667441</v>
      </c>
      <c r="N27" s="146">
        <f>IF(SER_hh_tes_in!N27=0,0,11630*1000*SER_hh_tes_in!N27/SER_hh_num_in!N19)</f>
        <v>0</v>
      </c>
      <c r="O27" s="146">
        <f>IF(SER_hh_tes_in!O27=0,0,11630*1000*SER_hh_tes_in!O27/SER_hh_num_in!O19)</f>
        <v>33.960091680185258</v>
      </c>
      <c r="P27" s="146">
        <f>IF(SER_hh_tes_in!P27=0,0,11630*1000*SER_hh_tes_in!P27/SER_hh_num_in!P19)</f>
        <v>88.595559738194581</v>
      </c>
      <c r="Q27" s="146">
        <f>IF(SER_hh_tes_in!Q27=0,0,11630*1000*SER_hh_tes_in!Q27/SER_hh_num_in!Q19)</f>
        <v>419.28558144675122</v>
      </c>
      <c r="R27" s="146">
        <f>IF(SER_hh_tes_in!R27=0,0,11630*1000*SER_hh_tes_in!R27/SER_hh_num_in!R19)</f>
        <v>1.3753294204700804E-5</v>
      </c>
      <c r="S27" s="146">
        <f>IF(SER_hh_tes_in!S27=0,0,11630*1000*SER_hh_tes_in!S27/SER_hh_num_in!S19)</f>
        <v>137.56374098421975</v>
      </c>
      <c r="T27" s="146">
        <f>IF(SER_hh_tes_in!T27=0,0,11630*1000*SER_hh_tes_in!T27/SER_hh_num_in!T19)</f>
        <v>55.771883878421818</v>
      </c>
      <c r="U27" s="146">
        <f>IF(SER_hh_tes_in!U27=0,0,11630*1000*SER_hh_tes_in!U27/SER_hh_num_in!U19)</f>
        <v>230.83739403739867</v>
      </c>
      <c r="V27" s="146">
        <f>IF(SER_hh_tes_in!V27=0,0,11630*1000*SER_hh_tes_in!V27/SER_hh_num_in!V19)</f>
        <v>274.42575138828357</v>
      </c>
      <c r="W27" s="146">
        <f>IF(SER_hh_tes_in!W27=0,0,11630*1000*SER_hh_tes_in!W27/SER_hh_num_in!W19)</f>
        <v>7.3253704724087236E-13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13190.555846416315</v>
      </c>
      <c r="H28" s="147">
        <f>IF(SER_hh_tes_in!H27=0,0,11630*1000*SER_hh_tes_in!H27/SER_hh_num_in!H27)</f>
        <v>12023.812700222272</v>
      </c>
      <c r="I28" s="147">
        <f>IF(SER_hh_tes_in!I27=0,0,11630*1000*SER_hh_tes_in!I27/SER_hh_num_in!I27)</f>
        <v>12725.805577837837</v>
      </c>
      <c r="J28" s="147">
        <f>IF(SER_hh_tes_in!J27=0,0,11630*1000*SER_hh_tes_in!J27/SER_hh_num_in!J27)</f>
        <v>12349.59704727863</v>
      </c>
      <c r="K28" s="147">
        <f>IF(SER_hh_tes_in!K27=0,0,11630*1000*SER_hh_tes_in!K27/SER_hh_num_in!K27)</f>
        <v>12839.068588727971</v>
      </c>
      <c r="L28" s="147">
        <f>IF(SER_hh_tes_in!L27=0,0,11630*1000*SER_hh_tes_in!L27/SER_hh_num_in!L27)</f>
        <v>12920.52738444199</v>
      </c>
      <c r="M28" s="147">
        <f>IF(SER_hh_tes_in!M27=0,0,11630*1000*SER_hh_tes_in!M27/SER_hh_num_in!M27)</f>
        <v>12250.600344248642</v>
      </c>
      <c r="N28" s="147">
        <f>IF(SER_hh_tes_in!N27=0,0,11630*1000*SER_hh_tes_in!N27/SER_hh_num_in!N27)</f>
        <v>0</v>
      </c>
      <c r="O28" s="147">
        <f>IF(SER_hh_tes_in!O27=0,0,11630*1000*SER_hh_tes_in!O27/SER_hh_num_in!O27)</f>
        <v>17254.985012142675</v>
      </c>
      <c r="P28" s="147">
        <f>IF(SER_hh_tes_in!P27=0,0,11630*1000*SER_hh_tes_in!P27/SER_hh_num_in!P27)</f>
        <v>13326.832522758627</v>
      </c>
      <c r="Q28" s="147">
        <f>IF(SER_hh_tes_in!Q27=0,0,11630*1000*SER_hh_tes_in!Q27/SER_hh_num_in!Q27)</f>
        <v>11870.513666223742</v>
      </c>
      <c r="R28" s="147">
        <f>IF(SER_hh_tes_in!R27=0,0,11630*1000*SER_hh_tes_in!R27/SER_hh_num_in!R27)</f>
        <v>12017.51313470939</v>
      </c>
      <c r="S28" s="147">
        <f>IF(SER_hh_tes_in!S27=0,0,11630*1000*SER_hh_tes_in!S27/SER_hh_num_in!S27)</f>
        <v>12273.194003818513</v>
      </c>
      <c r="T28" s="147">
        <f>IF(SER_hh_tes_in!T27=0,0,11630*1000*SER_hh_tes_in!T27/SER_hh_num_in!T27)</f>
        <v>12254.801125113325</v>
      </c>
      <c r="U28" s="147">
        <f>IF(SER_hh_tes_in!U27=0,0,11630*1000*SER_hh_tes_in!U27/SER_hh_num_in!U27)</f>
        <v>12104.442494423285</v>
      </c>
      <c r="V28" s="147">
        <f>IF(SER_hh_tes_in!V27=0,0,11630*1000*SER_hh_tes_in!V27/SER_hh_num_in!V27)</f>
        <v>10802.610422335665</v>
      </c>
      <c r="W28" s="147">
        <f>IF(SER_hh_tes_in!W27=0,0,11630*1000*SER_hh_tes_in!W27/SER_hh_num_in!W27)</f>
        <v>12021.334641413314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20636.415424392049</v>
      </c>
      <c r="D29" s="131">
        <f>IF(SER_hh_tes_in!D29=0,0,11630*1000*SER_hh_tes_in!D29/SER_hh_num_in!D29)</f>
        <v>19177.143889681422</v>
      </c>
      <c r="E29" s="131">
        <f>IF(SER_hh_tes_in!E29=0,0,11630*1000*SER_hh_tes_in!E29/SER_hh_num_in!E29)</f>
        <v>19276.495197528715</v>
      </c>
      <c r="F29" s="131">
        <f>IF(SER_hh_tes_in!F29=0,0,11630*1000*SER_hh_tes_in!F29/SER_hh_num_in!F29)</f>
        <v>20196.084642855738</v>
      </c>
      <c r="G29" s="131">
        <f>IF(SER_hh_tes_in!G29=0,0,11630*1000*SER_hh_tes_in!G29/SER_hh_num_in!G29)</f>
        <v>19381.348451011825</v>
      </c>
      <c r="H29" s="131">
        <f>IF(SER_hh_tes_in!H29=0,0,11630*1000*SER_hh_tes_in!H29/SER_hh_num_in!H29)</f>
        <v>19438.009105177454</v>
      </c>
      <c r="I29" s="131">
        <f>IF(SER_hh_tes_in!I29=0,0,11630*1000*SER_hh_tes_in!I29/SER_hh_num_in!I29)</f>
        <v>18936.741919354317</v>
      </c>
      <c r="J29" s="131">
        <f>IF(SER_hh_tes_in!J29=0,0,11630*1000*SER_hh_tes_in!J29/SER_hh_num_in!J29)</f>
        <v>18870.285381558559</v>
      </c>
      <c r="K29" s="131">
        <f>IF(SER_hh_tes_in!K29=0,0,11630*1000*SER_hh_tes_in!K29/SER_hh_num_in!K29)</f>
        <v>18983.329012735114</v>
      </c>
      <c r="L29" s="131">
        <f>IF(SER_hh_tes_in!L29=0,0,11630*1000*SER_hh_tes_in!L29/SER_hh_num_in!L29)</f>
        <v>19510.830539645689</v>
      </c>
      <c r="M29" s="131">
        <f>IF(SER_hh_tes_in!M29=0,0,11630*1000*SER_hh_tes_in!M29/SER_hh_num_in!M29)</f>
        <v>19312.879957911271</v>
      </c>
      <c r="N29" s="131">
        <f>IF(SER_hh_tes_in!N29=0,0,11630*1000*SER_hh_tes_in!N29/SER_hh_num_in!N29)</f>
        <v>19231.650126797915</v>
      </c>
      <c r="O29" s="131">
        <f>IF(SER_hh_tes_in!O29=0,0,11630*1000*SER_hh_tes_in!O29/SER_hh_num_in!O29)</f>
        <v>19196.697032401975</v>
      </c>
      <c r="P29" s="131">
        <f>IF(SER_hh_tes_in!P29=0,0,11630*1000*SER_hh_tes_in!P29/SER_hh_num_in!P29)</f>
        <v>18296.801710443382</v>
      </c>
      <c r="Q29" s="131">
        <f>IF(SER_hh_tes_in!Q29=0,0,11630*1000*SER_hh_tes_in!Q29/SER_hh_num_in!Q29)</f>
        <v>18330.93050026325</v>
      </c>
      <c r="R29" s="131">
        <f>IF(SER_hh_tes_in!R29=0,0,11630*1000*SER_hh_tes_in!R29/SER_hh_num_in!R29)</f>
        <v>18233.982470241077</v>
      </c>
      <c r="S29" s="131">
        <f>IF(SER_hh_tes_in!S29=0,0,11630*1000*SER_hh_tes_in!S29/SER_hh_num_in!S29)</f>
        <v>17874.699430414716</v>
      </c>
      <c r="T29" s="131">
        <f>IF(SER_hh_tes_in!T29=0,0,11630*1000*SER_hh_tes_in!T29/SER_hh_num_in!T29)</f>
        <v>18133.469854374507</v>
      </c>
      <c r="U29" s="131">
        <f>IF(SER_hh_tes_in!U29=0,0,11630*1000*SER_hh_tes_in!U29/SER_hh_num_in!U29)</f>
        <v>17770.069523944836</v>
      </c>
      <c r="V29" s="131">
        <f>IF(SER_hh_tes_in!V29=0,0,11630*1000*SER_hh_tes_in!V29/SER_hh_num_in!V29)</f>
        <v>17132.979257636889</v>
      </c>
      <c r="W29" s="131">
        <f>IF(SER_hh_tes_in!W29=0,0,11630*1000*SER_hh_tes_in!W29/SER_hh_num_in!W29)</f>
        <v>17814.212329807127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18492.96772203008</v>
      </c>
      <c r="D30" s="133">
        <f>IF(SER_hh_tes_in!D30=0,0,11630*1000*SER_hh_tes_in!D30/SER_hh_num_in!D30)</f>
        <v>21624.694596989175</v>
      </c>
      <c r="E30" s="133">
        <f>IF(SER_hh_tes_in!E30=0,0,11630*1000*SER_hh_tes_in!E30/SER_hh_num_in!E30)</f>
        <v>0</v>
      </c>
      <c r="F30" s="133">
        <f>IF(SER_hh_tes_in!F30=0,0,11630*1000*SER_hh_tes_in!F30/SER_hh_num_in!F30)</f>
        <v>0</v>
      </c>
      <c r="G30" s="133">
        <f>IF(SER_hh_tes_in!G30=0,0,11630*1000*SER_hh_tes_in!G30/SER_hh_num_in!G30)</f>
        <v>0</v>
      </c>
      <c r="H30" s="133">
        <f>IF(SER_hh_tes_in!H30=0,0,11630*1000*SER_hh_tes_in!H30/SER_hh_num_in!H30)</f>
        <v>19211.511197294083</v>
      </c>
      <c r="I30" s="133">
        <f>IF(SER_hh_tes_in!I30=0,0,11630*1000*SER_hh_tes_in!I30/SER_hh_num_in!I30)</f>
        <v>19988.531516937284</v>
      </c>
      <c r="J30" s="133">
        <f>IF(SER_hh_tes_in!J30=0,0,11630*1000*SER_hh_tes_in!J30/SER_hh_num_in!J30)</f>
        <v>17583.033390458339</v>
      </c>
      <c r="K30" s="133">
        <f>IF(SER_hh_tes_in!K30=0,0,11630*1000*SER_hh_tes_in!K30/SER_hh_num_in!K30)</f>
        <v>18357.855383444712</v>
      </c>
      <c r="L30" s="133">
        <f>IF(SER_hh_tes_in!L30=0,0,11630*1000*SER_hh_tes_in!L30/SER_hh_num_in!L30)</f>
        <v>21048.963302531793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0</v>
      </c>
      <c r="O30" s="133">
        <f>IF(SER_hh_tes_in!O30=0,0,11630*1000*SER_hh_tes_in!O30/SER_hh_num_in!O30)</f>
        <v>0</v>
      </c>
      <c r="P30" s="133">
        <f>IF(SER_hh_tes_in!P30=0,0,11630*1000*SER_hh_tes_in!P30/SER_hh_num_in!P30)</f>
        <v>17969.14257639497</v>
      </c>
      <c r="Q30" s="133">
        <f>IF(SER_hh_tes_in!Q30=0,0,11630*1000*SER_hh_tes_in!Q30/SER_hh_num_in!Q30)</f>
        <v>21172.196281530516</v>
      </c>
      <c r="R30" s="133">
        <f>IF(SER_hh_tes_in!R30=0,0,11630*1000*SER_hh_tes_in!R30/SER_hh_num_in!R30)</f>
        <v>17460.490740414898</v>
      </c>
      <c r="S30" s="133">
        <f>IF(SER_hh_tes_in!S30=0,0,11630*1000*SER_hh_tes_in!S30/SER_hh_num_in!S30)</f>
        <v>15168.19468751396</v>
      </c>
      <c r="T30" s="133">
        <f>IF(SER_hh_tes_in!T30=0,0,11630*1000*SER_hh_tes_in!T30/SER_hh_num_in!T30)</f>
        <v>18656.979336293967</v>
      </c>
      <c r="U30" s="133">
        <f>IF(SER_hh_tes_in!U30=0,0,11630*1000*SER_hh_tes_in!U30/SER_hh_num_in!U30)</f>
        <v>16201.306290619288</v>
      </c>
      <c r="V30" s="133">
        <f>IF(SER_hh_tes_in!V30=0,0,11630*1000*SER_hh_tes_in!V30/SER_hh_num_in!V30)</f>
        <v>22296.959778607306</v>
      </c>
      <c r="W30" s="133">
        <f>IF(SER_hh_tes_in!W30=0,0,11630*1000*SER_hh_tes_in!W30/SER_hh_num_in!W30)</f>
        <v>15162.937729618783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21664.721485251681</v>
      </c>
      <c r="D31" s="133">
        <f>IF(SER_hh_tes_in!D31=0,0,11630*1000*SER_hh_tes_in!D31/SER_hh_num_in!D31)</f>
        <v>18029.265505479521</v>
      </c>
      <c r="E31" s="133">
        <f>IF(SER_hh_tes_in!E31=0,0,11630*1000*SER_hh_tes_in!E31/SER_hh_num_in!E31)</f>
        <v>18963.732501499835</v>
      </c>
      <c r="F31" s="133">
        <f>IF(SER_hh_tes_in!F31=0,0,11630*1000*SER_hh_tes_in!F31/SER_hh_num_in!F31)</f>
        <v>20395.758832933316</v>
      </c>
      <c r="G31" s="133">
        <f>IF(SER_hh_tes_in!G31=0,0,11630*1000*SER_hh_tes_in!G31/SER_hh_num_in!G31)</f>
        <v>19500.274422490704</v>
      </c>
      <c r="H31" s="133">
        <f>IF(SER_hh_tes_in!H31=0,0,11630*1000*SER_hh_tes_in!H31/SER_hh_num_in!H31)</f>
        <v>19659.123187591522</v>
      </c>
      <c r="I31" s="133">
        <f>IF(SER_hh_tes_in!I31=0,0,11630*1000*SER_hh_tes_in!I31/SER_hh_num_in!I31)</f>
        <v>19248.802875011563</v>
      </c>
      <c r="J31" s="133">
        <f>IF(SER_hh_tes_in!J31=0,0,11630*1000*SER_hh_tes_in!J31/SER_hh_num_in!J31)</f>
        <v>19275.472873153689</v>
      </c>
      <c r="K31" s="133">
        <f>IF(SER_hh_tes_in!K31=0,0,11630*1000*SER_hh_tes_in!K31/SER_hh_num_in!K31)</f>
        <v>19134.263537432333</v>
      </c>
      <c r="L31" s="133">
        <f>IF(SER_hh_tes_in!L31=0,0,11630*1000*SER_hh_tes_in!L31/SER_hh_num_in!L31)</f>
        <v>19131.112814210137</v>
      </c>
      <c r="M31" s="133">
        <f>IF(SER_hh_tes_in!M31=0,0,11630*1000*SER_hh_tes_in!M31/SER_hh_num_in!M31)</f>
        <v>19322.652364726506</v>
      </c>
      <c r="N31" s="133">
        <f>IF(SER_hh_tes_in!N31=0,0,11630*1000*SER_hh_tes_in!N31/SER_hh_num_in!N31)</f>
        <v>19338.416880970977</v>
      </c>
      <c r="O31" s="133">
        <f>IF(SER_hh_tes_in!O31=0,0,11630*1000*SER_hh_tes_in!O31/SER_hh_num_in!O31)</f>
        <v>19473.31527019959</v>
      </c>
      <c r="P31" s="133">
        <f>IF(SER_hh_tes_in!P31=0,0,11630*1000*SER_hh_tes_in!P31/SER_hh_num_in!P31)</f>
        <v>18886.587334234355</v>
      </c>
      <c r="Q31" s="133">
        <f>IF(SER_hh_tes_in!Q31=0,0,11630*1000*SER_hh_tes_in!Q31/SER_hh_num_in!Q31)</f>
        <v>18344.701262089879</v>
      </c>
      <c r="R31" s="133">
        <f>IF(SER_hh_tes_in!R31=0,0,11630*1000*SER_hh_tes_in!R31/SER_hh_num_in!R31)</f>
        <v>18155.268230464633</v>
      </c>
      <c r="S31" s="133">
        <f>IF(SER_hh_tes_in!S31=0,0,11630*1000*SER_hh_tes_in!S31/SER_hh_num_in!S31)</f>
        <v>18008.884392689408</v>
      </c>
      <c r="T31" s="133">
        <f>IF(SER_hh_tes_in!T31=0,0,11630*1000*SER_hh_tes_in!T31/SER_hh_num_in!T31)</f>
        <v>17951.32136162739</v>
      </c>
      <c r="U31" s="133">
        <f>IF(SER_hh_tes_in!U31=0,0,11630*1000*SER_hh_tes_in!U31/SER_hh_num_in!U31)</f>
        <v>17852.97542728221</v>
      </c>
      <c r="V31" s="133">
        <f>IF(SER_hh_tes_in!V31=0,0,11630*1000*SER_hh_tes_in!V31/SER_hh_num_in!V31)</f>
        <v>16851.319102465004</v>
      </c>
      <c r="W31" s="133">
        <f>IF(SER_hh_tes_in!W31=0,0,11630*1000*SER_hh_tes_in!W31/SER_hh_num_in!W31)</f>
        <v>17890.472623142938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20332.589185117147</v>
      </c>
      <c r="D33" s="68">
        <f>IF(SER_hh_tes_in!D33=0,0,11630*1000*SER_hh_tes_in!D33/SER_hh_num_in!D33)</f>
        <v>19967.814397400653</v>
      </c>
      <c r="E33" s="68">
        <f>IF(SER_hh_tes_in!E33=0,0,11630*1000*SER_hh_tes_in!E33/SER_hh_num_in!E33)</f>
        <v>19606.508251812738</v>
      </c>
      <c r="F33" s="68">
        <f>IF(SER_hh_tes_in!F33=0,0,11630*1000*SER_hh_tes_in!F33/SER_hh_num_in!F33)</f>
        <v>19864.580634934748</v>
      </c>
      <c r="G33" s="68">
        <f>IF(SER_hh_tes_in!G33=0,0,11630*1000*SER_hh_tes_in!G33/SER_hh_num_in!G33)</f>
        <v>19199.754132994076</v>
      </c>
      <c r="H33" s="68">
        <f>IF(SER_hh_tes_in!H33=0,0,11630*1000*SER_hh_tes_in!H33/SER_hh_num_in!H33)</f>
        <v>19133.994994561028</v>
      </c>
      <c r="I33" s="68">
        <f>IF(SER_hh_tes_in!I33=0,0,11630*1000*SER_hh_tes_in!I33/SER_hh_num_in!I33)</f>
        <v>18316.086329475809</v>
      </c>
      <c r="J33" s="68">
        <f>IF(SER_hh_tes_in!J33=0,0,11630*1000*SER_hh_tes_in!J33/SER_hh_num_in!J33)</f>
        <v>18789.647925370085</v>
      </c>
      <c r="K33" s="68">
        <f>IF(SER_hh_tes_in!K33=0,0,11630*1000*SER_hh_tes_in!K33/SER_hh_num_in!K33)</f>
        <v>19047.034435849953</v>
      </c>
      <c r="L33" s="68">
        <f>IF(SER_hh_tes_in!L33=0,0,11630*1000*SER_hh_tes_in!L33/SER_hh_num_in!L33)</f>
        <v>19551.281450361421</v>
      </c>
      <c r="M33" s="68">
        <f>IF(SER_hh_tes_in!M33=0,0,11630*1000*SER_hh_tes_in!M33/SER_hh_num_in!M33)</f>
        <v>19238.178882603584</v>
      </c>
      <c r="N33" s="68">
        <f>IF(SER_hh_tes_in!N33=0,0,11630*1000*SER_hh_tes_in!N33/SER_hh_num_in!N33)</f>
        <v>18862.943154293207</v>
      </c>
      <c r="O33" s="68">
        <f>IF(SER_hh_tes_in!O33=0,0,11630*1000*SER_hh_tes_in!O33/SER_hh_num_in!O33)</f>
        <v>18659.094805770263</v>
      </c>
      <c r="P33" s="68">
        <f>IF(SER_hh_tes_in!P33=0,0,11630*1000*SER_hh_tes_in!P33/SER_hh_num_in!P33)</f>
        <v>17510.211562930301</v>
      </c>
      <c r="Q33" s="68">
        <f>IF(SER_hh_tes_in!Q33=0,0,11630*1000*SER_hh_tes_in!Q33/SER_hh_num_in!Q33)</f>
        <v>18165.009065541868</v>
      </c>
      <c r="R33" s="68">
        <f>IF(SER_hh_tes_in!R33=0,0,11630*1000*SER_hh_tes_in!R33/SER_hh_num_in!R33)</f>
        <v>18328.000443873072</v>
      </c>
      <c r="S33" s="68">
        <f>IF(SER_hh_tes_in!S33=0,0,11630*1000*SER_hh_tes_in!S33/SER_hh_num_in!S33)</f>
        <v>17963.730155125406</v>
      </c>
      <c r="T33" s="68">
        <f>IF(SER_hh_tes_in!T33=0,0,11630*1000*SER_hh_tes_in!T33/SER_hh_num_in!T33)</f>
        <v>18190.027703733242</v>
      </c>
      <c r="U33" s="68">
        <f>IF(SER_hh_tes_in!U33=0,0,11630*1000*SER_hh_tes_in!U33/SER_hh_num_in!U33)</f>
        <v>18080.98886703996</v>
      </c>
      <c r="V33" s="68">
        <f>IF(SER_hh_tes_in!V33=0,0,11630*1000*SER_hh_tes_in!V33/SER_hh_num_in!V33)</f>
        <v>16207.256977657311</v>
      </c>
      <c r="W33" s="68">
        <f>IF(SER_hh_tes_in!W33=0,0,11630*1000*SER_hh_tes_in!W33/SER_hh_num_in!W33)</f>
        <v>18164.757960975781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53433.429547449654</v>
      </c>
      <c r="D3" s="126">
        <f>IF(SER_hh_emi_in!D3=0,0,1000000*SER_hh_emi_in!D3/SER_hh_num_in!D3)</f>
        <v>53758.555904995403</v>
      </c>
      <c r="E3" s="126">
        <f>IF(SER_hh_emi_in!E3=0,0,1000000*SER_hh_emi_in!E3/SER_hh_num_in!E3)</f>
        <v>52679.842203375978</v>
      </c>
      <c r="F3" s="126">
        <f>IF(SER_hh_emi_in!F3=0,0,1000000*SER_hh_emi_in!F3/SER_hh_num_in!F3)</f>
        <v>59861.282980899188</v>
      </c>
      <c r="G3" s="126">
        <f>IF(SER_hh_emi_in!G3=0,0,1000000*SER_hh_emi_in!G3/SER_hh_num_in!G3)</f>
        <v>39043.051295598161</v>
      </c>
      <c r="H3" s="126">
        <f>IF(SER_hh_emi_in!H3=0,0,1000000*SER_hh_emi_in!H3/SER_hh_num_in!H3)</f>
        <v>21984.909752561394</v>
      </c>
      <c r="I3" s="126">
        <f>IF(SER_hh_emi_in!I3=0,0,1000000*SER_hh_emi_in!I3/SER_hh_num_in!I3)</f>
        <v>14542.249347310833</v>
      </c>
      <c r="J3" s="126">
        <f>IF(SER_hh_emi_in!J3=0,0,1000000*SER_hh_emi_in!J3/SER_hh_num_in!J3)</f>
        <v>15602.439173498056</v>
      </c>
      <c r="K3" s="126">
        <f>IF(SER_hh_emi_in!K3=0,0,1000000*SER_hh_emi_in!K3/SER_hh_num_in!K3)</f>
        <v>31176.01712261479</v>
      </c>
      <c r="L3" s="126">
        <f>IF(SER_hh_emi_in!L3=0,0,1000000*SER_hh_emi_in!L3/SER_hh_num_in!L3)</f>
        <v>43838.860178539297</v>
      </c>
      <c r="M3" s="126">
        <f>IF(SER_hh_emi_in!M3=0,0,1000000*SER_hh_emi_in!M3/SER_hh_num_in!M3)</f>
        <v>42718.438468982968</v>
      </c>
      <c r="N3" s="126">
        <f>IF(SER_hh_emi_in!N3=0,0,1000000*SER_hh_emi_in!N3/SER_hh_num_in!N3)</f>
        <v>31627.769559233351</v>
      </c>
      <c r="O3" s="126">
        <f>IF(SER_hh_emi_in!O3=0,0,1000000*SER_hh_emi_in!O3/SER_hh_num_in!O3)</f>
        <v>28621.221503589117</v>
      </c>
      <c r="P3" s="126">
        <f>IF(SER_hh_emi_in!P3=0,0,1000000*SER_hh_emi_in!P3/SER_hh_num_in!P3)</f>
        <v>23171.964889298662</v>
      </c>
      <c r="Q3" s="126">
        <f>IF(SER_hh_emi_in!Q3=0,0,1000000*SER_hh_emi_in!Q3/SER_hh_num_in!Q3)</f>
        <v>14211.877872961008</v>
      </c>
      <c r="R3" s="126">
        <f>IF(SER_hh_emi_in!R3=0,0,1000000*SER_hh_emi_in!R3/SER_hh_num_in!R3)</f>
        <v>14297.52633878049</v>
      </c>
      <c r="S3" s="126">
        <f>IF(SER_hh_emi_in!S3=0,0,1000000*SER_hh_emi_in!S3/SER_hh_num_in!S3)</f>
        <v>14528.796626300311</v>
      </c>
      <c r="T3" s="126">
        <f>IF(SER_hh_emi_in!T3=0,0,1000000*SER_hh_emi_in!T3/SER_hh_num_in!T3)</f>
        <v>15170.41746549189</v>
      </c>
      <c r="U3" s="126">
        <f>IF(SER_hh_emi_in!U3=0,0,1000000*SER_hh_emi_in!U3/SER_hh_num_in!U3)</f>
        <v>14726.598515669559</v>
      </c>
      <c r="V3" s="126">
        <f>IF(SER_hh_emi_in!V3=0,0,1000000*SER_hh_emi_in!V3/SER_hh_num_in!V3)</f>
        <v>15047.237137091954</v>
      </c>
      <c r="W3" s="126">
        <f>IF(SER_hh_emi_in!W3=0,0,1000000*SER_hh_emi_in!W3/SER_hh_num_in!W3)</f>
        <v>13775.719161942716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48275.939205672657</v>
      </c>
      <c r="D4" s="131">
        <f>IF(SER_hh_emi_in!D4=0,0,1000000*SER_hh_emi_in!D4/SER_hh_num_in!D4)</f>
        <v>47217.478782351209</v>
      </c>
      <c r="E4" s="131">
        <f>IF(SER_hh_emi_in!E4=0,0,1000000*SER_hh_emi_in!E4/SER_hh_num_in!E4)</f>
        <v>46865.54001211968</v>
      </c>
      <c r="F4" s="131">
        <f>IF(SER_hh_emi_in!F4=0,0,1000000*SER_hh_emi_in!F4/SER_hh_num_in!F4)</f>
        <v>52533.549372810943</v>
      </c>
      <c r="G4" s="131">
        <f>IF(SER_hh_emi_in!G4=0,0,1000000*SER_hh_emi_in!G4/SER_hh_num_in!G4)</f>
        <v>32599.358294824448</v>
      </c>
      <c r="H4" s="131">
        <f>IF(SER_hh_emi_in!H4=0,0,1000000*SER_hh_emi_in!H4/SER_hh_num_in!H4)</f>
        <v>14905.048093448302</v>
      </c>
      <c r="I4" s="131">
        <f>IF(SER_hh_emi_in!I4=0,0,1000000*SER_hh_emi_in!I4/SER_hh_num_in!I4)</f>
        <v>7329.719390772415</v>
      </c>
      <c r="J4" s="131">
        <f>IF(SER_hh_emi_in!J4=0,0,1000000*SER_hh_emi_in!J4/SER_hh_num_in!J4)</f>
        <v>8345.5604913853404</v>
      </c>
      <c r="K4" s="131">
        <f>IF(SER_hh_emi_in!K4=0,0,1000000*SER_hh_emi_in!K4/SER_hh_num_in!K4)</f>
        <v>23984.953237584894</v>
      </c>
      <c r="L4" s="131">
        <f>IF(SER_hh_emi_in!L4=0,0,1000000*SER_hh_emi_in!L4/SER_hh_num_in!L4)</f>
        <v>36375.940202706304</v>
      </c>
      <c r="M4" s="131">
        <f>IF(SER_hh_emi_in!M4=0,0,1000000*SER_hh_emi_in!M4/SER_hh_num_in!M4)</f>
        <v>33896.452890952562</v>
      </c>
      <c r="N4" s="131">
        <f>IF(SER_hh_emi_in!N4=0,0,1000000*SER_hh_emi_in!N4/SER_hh_num_in!N4)</f>
        <v>24062.753535380667</v>
      </c>
      <c r="O4" s="131">
        <f>IF(SER_hh_emi_in!O4=0,0,1000000*SER_hh_emi_in!O4/SER_hh_num_in!O4)</f>
        <v>20919.423677114188</v>
      </c>
      <c r="P4" s="131">
        <f>IF(SER_hh_emi_in!P4=0,0,1000000*SER_hh_emi_in!P4/SER_hh_num_in!P4)</f>
        <v>15858.763815250097</v>
      </c>
      <c r="Q4" s="131">
        <f>IF(SER_hh_emi_in!Q4=0,0,1000000*SER_hh_emi_in!Q4/SER_hh_num_in!Q4)</f>
        <v>8356.9343422710099</v>
      </c>
      <c r="R4" s="131">
        <f>IF(SER_hh_emi_in!R4=0,0,1000000*SER_hh_emi_in!R4/SER_hh_num_in!R4)</f>
        <v>9215.6072612297012</v>
      </c>
      <c r="S4" s="131">
        <f>IF(SER_hh_emi_in!S4=0,0,1000000*SER_hh_emi_in!S4/SER_hh_num_in!S4)</f>
        <v>9246.3915972652776</v>
      </c>
      <c r="T4" s="131">
        <f>IF(SER_hh_emi_in!T4=0,0,1000000*SER_hh_emi_in!T4/SER_hh_num_in!T4)</f>
        <v>9246.653845321498</v>
      </c>
      <c r="U4" s="131">
        <f>IF(SER_hh_emi_in!U4=0,0,1000000*SER_hh_emi_in!U4/SER_hh_num_in!U4)</f>
        <v>9028.5405820451069</v>
      </c>
      <c r="V4" s="131">
        <f>IF(SER_hh_emi_in!V4=0,0,1000000*SER_hh_emi_in!V4/SER_hh_num_in!V4)</f>
        <v>9213.983368700432</v>
      </c>
      <c r="W4" s="131">
        <f>IF(SER_hh_emi_in!W4=0,0,1000000*SER_hh_emi_in!W4/SER_hh_num_in!W4)</f>
        <v>8042.1087965642855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76801.292982156752</v>
      </c>
      <c r="N5" s="133">
        <f>IF(SER_hh_emi_in!N5=0,0,1000000*SER_hh_emi_in!N5/SER_hh_num_in!N5)</f>
        <v>22693.470714364554</v>
      </c>
      <c r="O5" s="133">
        <f>IF(SER_hh_emi_in!O5=0,0,1000000*SER_hh_emi_in!O5/SER_hh_num_in!O5)</f>
        <v>50301.516265593607</v>
      </c>
      <c r="P5" s="133">
        <f>IF(SER_hh_emi_in!P5=0,0,1000000*SER_hh_emi_in!P5/SER_hh_num_in!P5)</f>
        <v>37411.600840024068</v>
      </c>
      <c r="Q5" s="133">
        <f>IF(SER_hh_emi_in!Q5=0,0,1000000*SER_hh_emi_in!Q5/SER_hh_num_in!Q5)</f>
        <v>41211.470241935931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0</v>
      </c>
      <c r="D7" s="133">
        <f>IF(SER_hh_emi_in!D7=0,0,1000000*SER_hh_emi_in!D7/SER_hh_num_in!D7)</f>
        <v>0</v>
      </c>
      <c r="E7" s="133">
        <f>IF(SER_hh_emi_in!E7=0,0,1000000*SER_hh_emi_in!E7/SER_hh_num_in!E7)</f>
        <v>0</v>
      </c>
      <c r="F7" s="133">
        <f>IF(SER_hh_emi_in!F7=0,0,1000000*SER_hh_emi_in!F7/SER_hh_num_in!F7)</f>
        <v>0</v>
      </c>
      <c r="G7" s="133">
        <f>IF(SER_hh_emi_in!G7=0,0,1000000*SER_hh_emi_in!G7/SER_hh_num_in!G7)</f>
        <v>0</v>
      </c>
      <c r="H7" s="133">
        <f>IF(SER_hh_emi_in!H7=0,0,1000000*SER_hh_emi_in!H7/SER_hh_num_in!H7)</f>
        <v>0</v>
      </c>
      <c r="I7" s="133">
        <f>IF(SER_hh_emi_in!I7=0,0,1000000*SER_hh_emi_in!I7/SER_hh_num_in!I7)</f>
        <v>0</v>
      </c>
      <c r="J7" s="133">
        <f>IF(SER_hh_emi_in!J7=0,0,1000000*SER_hh_emi_in!J7/SER_hh_num_in!J7)</f>
        <v>0</v>
      </c>
      <c r="K7" s="133">
        <f>IF(SER_hh_emi_in!K7=0,0,1000000*SER_hh_emi_in!K7/SER_hh_num_in!K7)</f>
        <v>0</v>
      </c>
      <c r="L7" s="133">
        <f>IF(SER_hh_emi_in!L7=0,0,1000000*SER_hh_emi_in!L7/SER_hh_num_in!L7)</f>
        <v>0</v>
      </c>
      <c r="M7" s="133">
        <f>IF(SER_hh_emi_in!M7=0,0,1000000*SER_hh_emi_in!M7/SER_hh_num_in!M7)</f>
        <v>0</v>
      </c>
      <c r="N7" s="133">
        <f>IF(SER_hh_emi_in!N7=0,0,1000000*SER_hh_emi_in!N7/SER_hh_num_in!N7)</f>
        <v>59181.343126477645</v>
      </c>
      <c r="O7" s="133">
        <f>IF(SER_hh_emi_in!O7=0,0,1000000*SER_hh_emi_in!O7/SER_hh_num_in!O7)</f>
        <v>21856.422173802108</v>
      </c>
      <c r="P7" s="133">
        <f>IF(SER_hh_emi_in!P7=0,0,1000000*SER_hh_emi_in!P7/SER_hh_num_in!P7)</f>
        <v>27395.380416185071</v>
      </c>
      <c r="Q7" s="133">
        <f>IF(SER_hh_emi_in!Q7=0,0,1000000*SER_hh_emi_in!Q7/SER_hh_num_in!Q7)</f>
        <v>31841.931121306239</v>
      </c>
      <c r="R7" s="133">
        <f>IF(SER_hh_emi_in!R7=0,0,1000000*SER_hh_emi_in!R7/SER_hh_num_in!R7)</f>
        <v>30301.241422708321</v>
      </c>
      <c r="S7" s="133">
        <f>IF(SER_hh_emi_in!S7=0,0,1000000*SER_hh_emi_in!S7/SER_hh_num_in!S7)</f>
        <v>23980.444516468582</v>
      </c>
      <c r="T7" s="133">
        <f>IF(SER_hh_emi_in!T7=0,0,1000000*SER_hh_emi_in!T7/SER_hh_num_in!T7)</f>
        <v>24086.319576634243</v>
      </c>
      <c r="U7" s="133">
        <f>IF(SER_hh_emi_in!U7=0,0,1000000*SER_hh_emi_in!U7/SER_hh_num_in!U7)</f>
        <v>19302.47666823434</v>
      </c>
      <c r="V7" s="133">
        <f>IF(SER_hh_emi_in!V7=0,0,1000000*SER_hh_emi_in!V7/SER_hh_num_in!V7)</f>
        <v>17742.864783922243</v>
      </c>
      <c r="W7" s="133">
        <f>IF(SER_hh_emi_in!W7=0,0,1000000*SER_hh_emi_in!W7/SER_hh_num_in!W7)</f>
        <v>17436.653883533574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1717.3498301381478</v>
      </c>
      <c r="S8" s="133">
        <f>IF(SER_hh_emi_in!S8=0,0,1000000*SER_hh_emi_in!S8/SER_hh_num_in!S8)</f>
        <v>3909.1849274195147</v>
      </c>
      <c r="T8" s="133">
        <f>IF(SER_hh_emi_in!T8=0,0,1000000*SER_hh_emi_in!T8/SER_hh_num_in!T8)</f>
        <v>4896.755324000037</v>
      </c>
      <c r="U8" s="133">
        <f>IF(SER_hh_emi_in!U8=0,0,1000000*SER_hh_emi_in!U8/SER_hh_num_in!U8)</f>
        <v>3880.6108081999878</v>
      </c>
      <c r="V8" s="133">
        <f>IF(SER_hh_emi_in!V8=0,0,1000000*SER_hh_emi_in!V8/SER_hh_num_in!V8)</f>
        <v>4723.9547474438741</v>
      </c>
      <c r="W8" s="133">
        <f>IF(SER_hh_emi_in!W8=0,0,1000000*SER_hh_emi_in!W8/SER_hh_num_in!W8)</f>
        <v>3219.363043737676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60494.754884925249</v>
      </c>
      <c r="D9" s="133">
        <f>IF(SER_hh_emi_in!D9=0,0,1000000*SER_hh_emi_in!D9/SER_hh_num_in!D9)</f>
        <v>51906.888598650083</v>
      </c>
      <c r="E9" s="133">
        <f>IF(SER_hh_emi_in!E9=0,0,1000000*SER_hh_emi_in!E9/SER_hh_num_in!E9)</f>
        <v>50790.350755158084</v>
      </c>
      <c r="F9" s="133">
        <f>IF(SER_hh_emi_in!F9=0,0,1000000*SER_hh_emi_in!F9/SER_hh_num_in!F9)</f>
        <v>61894.078741587189</v>
      </c>
      <c r="G9" s="133">
        <f>IF(SER_hh_emi_in!G9=0,0,1000000*SER_hh_emi_in!G9/SER_hh_num_in!G9)</f>
        <v>57128.827712828519</v>
      </c>
      <c r="H9" s="133">
        <f>IF(SER_hh_emi_in!H9=0,0,1000000*SER_hh_emi_in!H9/SER_hh_num_in!H9)</f>
        <v>48701.369837351813</v>
      </c>
      <c r="I9" s="133">
        <f>IF(SER_hh_emi_in!I9=0,0,1000000*SER_hh_emi_in!I9/SER_hh_num_in!I9)</f>
        <v>37112.983789945058</v>
      </c>
      <c r="J9" s="133">
        <f>IF(SER_hh_emi_in!J9=0,0,1000000*SER_hh_emi_in!J9/SER_hh_num_in!J9)</f>
        <v>35420.876372927451</v>
      </c>
      <c r="K9" s="133">
        <f>IF(SER_hh_emi_in!K9=0,0,1000000*SER_hh_emi_in!K9/SER_hh_num_in!K9)</f>
        <v>38779.930795835578</v>
      </c>
      <c r="L9" s="133">
        <f>IF(SER_hh_emi_in!L9=0,0,1000000*SER_hh_emi_in!L9/SER_hh_num_in!L9)</f>
        <v>40788.214914871918</v>
      </c>
      <c r="M9" s="133">
        <f>IF(SER_hh_emi_in!M9=0,0,1000000*SER_hh_emi_in!M9/SER_hh_num_in!M9)</f>
        <v>38075.876999129221</v>
      </c>
      <c r="N9" s="133">
        <f>IF(SER_hh_emi_in!N9=0,0,1000000*SER_hh_emi_in!N9/SER_hh_num_in!N9)</f>
        <v>26443.671192723301</v>
      </c>
      <c r="O9" s="133">
        <f>IF(SER_hh_emi_in!O9=0,0,1000000*SER_hh_emi_in!O9/SER_hh_num_in!O9)</f>
        <v>24789.07742001901</v>
      </c>
      <c r="P9" s="133">
        <f>IF(SER_hh_emi_in!P9=0,0,1000000*SER_hh_emi_in!P9/SER_hh_num_in!P9)</f>
        <v>19329.351478746466</v>
      </c>
      <c r="Q9" s="133">
        <f>IF(SER_hh_emi_in!Q9=0,0,1000000*SER_hh_emi_in!Q9/SER_hh_num_in!Q9)</f>
        <v>19310.94577025851</v>
      </c>
      <c r="R9" s="133">
        <f>IF(SER_hh_emi_in!R9=0,0,1000000*SER_hh_emi_in!R9/SER_hh_num_in!R9)</f>
        <v>18287.640200046197</v>
      </c>
      <c r="S9" s="133">
        <f>IF(SER_hh_emi_in!S9=0,0,1000000*SER_hh_emi_in!S9/SER_hh_num_in!S9)</f>
        <v>16868.052261533023</v>
      </c>
      <c r="T9" s="133">
        <f>IF(SER_hh_emi_in!T9=0,0,1000000*SER_hh_emi_in!T9/SER_hh_num_in!T9)</f>
        <v>15008.059395847051</v>
      </c>
      <c r="U9" s="133">
        <f>IF(SER_hh_emi_in!U9=0,0,1000000*SER_hh_emi_in!U9/SER_hh_num_in!U9)</f>
        <v>13553.776611686773</v>
      </c>
      <c r="V9" s="133">
        <f>IF(SER_hh_emi_in!V9=0,0,1000000*SER_hh_emi_in!V9/SER_hh_num_in!V9)</f>
        <v>12851.015089845836</v>
      </c>
      <c r="W9" s="133">
        <f>IF(SER_hh_emi_in!W9=0,0,1000000*SER_hh_emi_in!W9/SER_hh_num_in!W9)</f>
        <v>11344.333256961865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8735.8622936172069</v>
      </c>
      <c r="O10" s="133">
        <f>IF(SER_hh_emi_in!O10=0,0,1000000*SER_hh_emi_in!O10/SER_hh_num_in!O10)</f>
        <v>7283.5757452383277</v>
      </c>
      <c r="P10" s="133">
        <f>IF(SER_hh_emi_in!P10=0,0,1000000*SER_hh_emi_in!P10/SER_hh_num_in!P10)</f>
        <v>4725.2246513058208</v>
      </c>
      <c r="Q10" s="133">
        <f>IF(SER_hh_emi_in!Q10=0,0,1000000*SER_hh_emi_in!Q10/SER_hh_num_in!Q10)</f>
        <v>8910.6775598924778</v>
      </c>
      <c r="R10" s="133">
        <f>IF(SER_hh_emi_in!R10=0,0,1000000*SER_hh_emi_in!R10/SER_hh_num_in!R10)</f>
        <v>5221.6838822125428</v>
      </c>
      <c r="S10" s="133">
        <f>IF(SER_hh_emi_in!S10=0,0,1000000*SER_hh_emi_in!S10/SER_hh_num_in!S10)</f>
        <v>6164.5447406164503</v>
      </c>
      <c r="T10" s="133">
        <f>IF(SER_hh_emi_in!T10=0,0,1000000*SER_hh_emi_in!T10/SER_hh_num_in!T10)</f>
        <v>7560.4223819358049</v>
      </c>
      <c r="U10" s="133">
        <f>IF(SER_hh_emi_in!U10=0,0,1000000*SER_hh_emi_in!U10/SER_hh_num_in!U10)</f>
        <v>8136.6102600335698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13.585035817575067</v>
      </c>
      <c r="D16" s="131">
        <f>IF(SER_hh_emi_in!D16=0,0,1000000*SER_hh_emi_in!D16/SER_hh_num_in!D16)</f>
        <v>15.929385731384206</v>
      </c>
      <c r="E16" s="131">
        <f>IF(SER_hh_emi_in!E16=0,0,1000000*SER_hh_emi_in!E16/SER_hh_num_in!E16)</f>
        <v>16.353650835464435</v>
      </c>
      <c r="F16" s="131">
        <f>IF(SER_hh_emi_in!F16=0,0,1000000*SER_hh_emi_in!F16/SER_hh_num_in!F16)</f>
        <v>5.9818378471849938</v>
      </c>
      <c r="G16" s="131">
        <f>IF(SER_hh_emi_in!G16=0,0,1000000*SER_hh_emi_in!G16/SER_hh_num_in!G16)</f>
        <v>11.088138943781887</v>
      </c>
      <c r="H16" s="131">
        <f>IF(SER_hh_emi_in!H16=0,0,1000000*SER_hh_emi_in!H16/SER_hh_num_in!H16)</f>
        <v>15.137359016975674</v>
      </c>
      <c r="I16" s="131">
        <f>IF(SER_hh_emi_in!I16=0,0,1000000*SER_hh_emi_in!I16/SER_hh_num_in!I16)</f>
        <v>15.713797680428929</v>
      </c>
      <c r="J16" s="131">
        <f>IF(SER_hh_emi_in!J16=0,0,1000000*SER_hh_emi_in!J16/SER_hh_num_in!J16)</f>
        <v>8.5040938809130058</v>
      </c>
      <c r="K16" s="131">
        <f>IF(SER_hh_emi_in!K16=0,0,1000000*SER_hh_emi_in!K16/SER_hh_num_in!K16)</f>
        <v>16.691271567340046</v>
      </c>
      <c r="L16" s="131">
        <f>IF(SER_hh_emi_in!L16=0,0,1000000*SER_hh_emi_in!L16/SER_hh_num_in!L16)</f>
        <v>23.212576891384089</v>
      </c>
      <c r="M16" s="131">
        <f>IF(SER_hh_emi_in!M16=0,0,1000000*SER_hh_emi_in!M16/SER_hh_num_in!M16)</f>
        <v>22.732506603235588</v>
      </c>
      <c r="N16" s="131">
        <f>IF(SER_hh_emi_in!N16=0,0,1000000*SER_hh_emi_in!N16/SER_hh_num_in!N16)</f>
        <v>29.358724185127791</v>
      </c>
      <c r="O16" s="131">
        <f>IF(SER_hh_emi_in!O16=0,0,1000000*SER_hh_emi_in!O16/SER_hh_num_in!O16)</f>
        <v>23.97990093684238</v>
      </c>
      <c r="P16" s="131">
        <f>IF(SER_hh_emi_in!P16=0,0,1000000*SER_hh_emi_in!P16/SER_hh_num_in!P16)</f>
        <v>15.277704723285112</v>
      </c>
      <c r="Q16" s="131">
        <f>IF(SER_hh_emi_in!Q16=0,0,1000000*SER_hh_emi_in!Q16/SER_hh_num_in!Q16)</f>
        <v>29.745940951985972</v>
      </c>
      <c r="R16" s="131">
        <f>IF(SER_hh_emi_in!R16=0,0,1000000*SER_hh_emi_in!R16/SER_hh_num_in!R16)</f>
        <v>18.676403504432006</v>
      </c>
      <c r="S16" s="131">
        <f>IF(SER_hh_emi_in!S16=0,0,1000000*SER_hh_emi_in!S16/SER_hh_num_in!S16)</f>
        <v>37.550081070109584</v>
      </c>
      <c r="T16" s="131">
        <f>IF(SER_hh_emi_in!T16=0,0,1000000*SER_hh_emi_in!T16/SER_hh_num_in!T16)</f>
        <v>24.809647712599112</v>
      </c>
      <c r="U16" s="131">
        <f>IF(SER_hh_emi_in!U16=0,0,1000000*SER_hh_emi_in!U16/SER_hh_num_in!U16)</f>
        <v>48.721224389123165</v>
      </c>
      <c r="V16" s="131">
        <f>IF(SER_hh_emi_in!V16=0,0,1000000*SER_hh_emi_in!V16/SER_hh_num_in!V16)</f>
        <v>35.557269459961411</v>
      </c>
      <c r="W16" s="131">
        <f>IF(SER_hh_emi_in!W16=0,0,1000000*SER_hh_emi_in!W16/SER_hh_num_in!W16)</f>
        <v>22.039630980651122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3206.2649632429716</v>
      </c>
      <c r="D17" s="133">
        <f>IF(SER_hh_emi_in!D17=0,0,1000000*SER_hh_emi_in!D17/SER_hh_num_in!D17)</f>
        <v>3367.8104763596157</v>
      </c>
      <c r="E17" s="133">
        <f>IF(SER_hh_emi_in!E17=0,0,1000000*SER_hh_emi_in!E17/SER_hh_num_in!E17)</f>
        <v>3843.4588471428851</v>
      </c>
      <c r="F17" s="133">
        <f>IF(SER_hh_emi_in!F17=0,0,1000000*SER_hh_emi_in!F17/SER_hh_num_in!F17)</f>
        <v>3051.9893769986033</v>
      </c>
      <c r="G17" s="133">
        <f>IF(SER_hh_emi_in!G17=0,0,1000000*SER_hh_emi_in!G17/SER_hh_num_in!G17)</f>
        <v>3039.8746459170866</v>
      </c>
      <c r="H17" s="133">
        <f>IF(SER_hh_emi_in!H17=0,0,1000000*SER_hh_emi_in!H17/SER_hh_num_in!H17)</f>
        <v>3343.6703596780749</v>
      </c>
      <c r="I17" s="133">
        <f>IF(SER_hh_emi_in!I17=0,0,1000000*SER_hh_emi_in!I17/SER_hh_num_in!I17)</f>
        <v>3631.6465043576495</v>
      </c>
      <c r="J17" s="133">
        <f>IF(SER_hh_emi_in!J17=0,0,1000000*SER_hh_emi_in!J17/SER_hh_num_in!J17)</f>
        <v>3073.7858415172363</v>
      </c>
      <c r="K17" s="133">
        <f>IF(SER_hh_emi_in!K17=0,0,1000000*SER_hh_emi_in!K17/SER_hh_num_in!K17)</f>
        <v>3057.4746499953103</v>
      </c>
      <c r="L17" s="133">
        <f>IF(SER_hh_emi_in!L17=0,0,1000000*SER_hh_emi_in!L17/SER_hh_num_in!L17)</f>
        <v>3162.1155654420527</v>
      </c>
      <c r="M17" s="133">
        <f>IF(SER_hh_emi_in!M17=0,0,1000000*SER_hh_emi_in!M17/SER_hh_num_in!M17)</f>
        <v>3073.5133459222811</v>
      </c>
      <c r="N17" s="133">
        <f>IF(SER_hh_emi_in!N17=0,0,1000000*SER_hh_emi_in!N17/SER_hh_num_in!N17)</f>
        <v>3827.7171502703491</v>
      </c>
      <c r="O17" s="133">
        <f>IF(SER_hh_emi_in!O17=0,0,1000000*SER_hh_emi_in!O17/SER_hh_num_in!O17)</f>
        <v>3066.9675835048006</v>
      </c>
      <c r="P17" s="133">
        <f>IF(SER_hh_emi_in!P17=0,0,1000000*SER_hh_emi_in!P17/SER_hh_num_in!P17)</f>
        <v>2661.5661859765896</v>
      </c>
      <c r="Q17" s="133">
        <f>IF(SER_hh_emi_in!Q17=0,0,1000000*SER_hh_emi_in!Q17/SER_hh_num_in!Q17)</f>
        <v>3682.1477502027301</v>
      </c>
      <c r="R17" s="133">
        <f>IF(SER_hh_emi_in!R17=0,0,1000000*SER_hh_emi_in!R17/SER_hh_num_in!R17)</f>
        <v>2483.3619525013028</v>
      </c>
      <c r="S17" s="133">
        <f>IF(SER_hh_emi_in!S17=0,0,1000000*SER_hh_emi_in!S17/SER_hh_num_in!S17)</f>
        <v>2904.1978453667321</v>
      </c>
      <c r="T17" s="133">
        <f>IF(SER_hh_emi_in!T17=0,0,1000000*SER_hh_emi_in!T17/SER_hh_num_in!T17)</f>
        <v>2640.3324431395599</v>
      </c>
      <c r="U17" s="133">
        <f>IF(SER_hh_emi_in!U17=0,0,1000000*SER_hh_emi_in!U17/SER_hh_num_in!U17)</f>
        <v>2698.6732095811567</v>
      </c>
      <c r="V17" s="133">
        <f>IF(SER_hh_emi_in!V17=0,0,1000000*SER_hh_emi_in!V17/SER_hh_num_in!V17)</f>
        <v>1830.2735767169177</v>
      </c>
      <c r="W17" s="133">
        <f>IF(SER_hh_emi_in!W17=0,0,1000000*SER_hh_emi_in!W17/SER_hh_num_in!W17)</f>
        <v>2091.2311360504709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2365.5435826483422</v>
      </c>
      <c r="D19" s="131">
        <f>IF(SER_hh_emi_in!D19=0,0,1000000*SER_hh_emi_in!D19/SER_hh_num_in!D19)</f>
        <v>3029.1779066779704</v>
      </c>
      <c r="E19" s="131">
        <f>IF(SER_hh_emi_in!E19=0,0,1000000*SER_hh_emi_in!E19/SER_hh_num_in!E19)</f>
        <v>2672.9481929849217</v>
      </c>
      <c r="F19" s="131">
        <f>IF(SER_hh_emi_in!F19=0,0,1000000*SER_hh_emi_in!F19/SER_hh_num_in!F19)</f>
        <v>3232.2842006028518</v>
      </c>
      <c r="G19" s="131">
        <f>IF(SER_hh_emi_in!G19=0,0,1000000*SER_hh_emi_in!G19/SER_hh_num_in!G19)</f>
        <v>2647.6675743508895</v>
      </c>
      <c r="H19" s="131">
        <f>IF(SER_hh_emi_in!H19=0,0,1000000*SER_hh_emi_in!H19/SER_hh_num_in!H19)</f>
        <v>2974.177009702079</v>
      </c>
      <c r="I19" s="131">
        <f>IF(SER_hh_emi_in!I19=0,0,1000000*SER_hh_emi_in!I19/SER_hh_num_in!I19)</f>
        <v>3549.2686914343317</v>
      </c>
      <c r="J19" s="131">
        <f>IF(SER_hh_emi_in!J19=0,0,1000000*SER_hh_emi_in!J19/SER_hh_num_in!J19)</f>
        <v>3671.8231900972833</v>
      </c>
      <c r="K19" s="131">
        <f>IF(SER_hh_emi_in!K19=0,0,1000000*SER_hh_emi_in!K19/SER_hh_num_in!K19)</f>
        <v>3965.4735144914434</v>
      </c>
      <c r="L19" s="131">
        <f>IF(SER_hh_emi_in!L19=0,0,1000000*SER_hh_emi_in!L19/SER_hh_num_in!L19)</f>
        <v>3539.1682920365711</v>
      </c>
      <c r="M19" s="131">
        <f>IF(SER_hh_emi_in!M19=0,0,1000000*SER_hh_emi_in!M19/SER_hh_num_in!M19)</f>
        <v>3322.9261695736823</v>
      </c>
      <c r="N19" s="131">
        <f>IF(SER_hh_emi_in!N19=0,0,1000000*SER_hh_emi_in!N19/SER_hh_num_in!N19)</f>
        <v>2730.2799100857023</v>
      </c>
      <c r="O19" s="131">
        <f>IF(SER_hh_emi_in!O19=0,0,1000000*SER_hh_emi_in!O19/SER_hh_num_in!O19)</f>
        <v>3565.4683638010279</v>
      </c>
      <c r="P19" s="131">
        <f>IF(SER_hh_emi_in!P19=0,0,1000000*SER_hh_emi_in!P19/SER_hh_num_in!P19)</f>
        <v>3768.3012631654119</v>
      </c>
      <c r="Q19" s="131">
        <f>IF(SER_hh_emi_in!Q19=0,0,1000000*SER_hh_emi_in!Q19/SER_hh_num_in!Q19)</f>
        <v>2499.0322383659368</v>
      </c>
      <c r="R19" s="131">
        <f>IF(SER_hh_emi_in!R19=0,0,1000000*SER_hh_emi_in!R19/SER_hh_num_in!R19)</f>
        <v>2274.7094288211474</v>
      </c>
      <c r="S19" s="131">
        <f>IF(SER_hh_emi_in!S19=0,0,1000000*SER_hh_emi_in!S19/SER_hh_num_in!S19)</f>
        <v>2306.0443987274862</v>
      </c>
      <c r="T19" s="131">
        <f>IF(SER_hh_emi_in!T19=0,0,1000000*SER_hh_emi_in!T19/SER_hh_num_in!T19)</f>
        <v>2518.8311094918363</v>
      </c>
      <c r="U19" s="131">
        <f>IF(SER_hh_emi_in!U19=0,0,1000000*SER_hh_emi_in!U19/SER_hh_num_in!U19)</f>
        <v>2241.8860784618273</v>
      </c>
      <c r="V19" s="131">
        <f>IF(SER_hh_emi_in!V19=0,0,1000000*SER_hh_emi_in!V19/SER_hh_num_in!V19)</f>
        <v>2179.6705349118433</v>
      </c>
      <c r="W19" s="131">
        <f>IF(SER_hh_emi_in!W19=0,0,1000000*SER_hh_emi_in!W19/SER_hh_num_in!W19)</f>
        <v>1962.7290844784193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0</v>
      </c>
      <c r="D22" s="133">
        <f>IF(SER_hh_emi_in!D22=0,0,1000000*SER_hh_emi_in!D22/SER_hh_num_in!D22)</f>
        <v>0</v>
      </c>
      <c r="E22" s="133">
        <f>IF(SER_hh_emi_in!E22=0,0,1000000*SER_hh_emi_in!E22/SER_hh_num_in!E22)</f>
        <v>0</v>
      </c>
      <c r="F22" s="133">
        <f>IF(SER_hh_emi_in!F22=0,0,1000000*SER_hh_emi_in!F22/SER_hh_num_in!F22)</f>
        <v>0</v>
      </c>
      <c r="G22" s="133">
        <f>IF(SER_hh_emi_in!G22=0,0,1000000*SER_hh_emi_in!G22/SER_hh_num_in!G22)</f>
        <v>0</v>
      </c>
      <c r="H22" s="133">
        <f>IF(SER_hh_emi_in!H22=0,0,1000000*SER_hh_emi_in!H22/SER_hh_num_in!H22)</f>
        <v>0</v>
      </c>
      <c r="I22" s="133">
        <f>IF(SER_hh_emi_in!I22=0,0,1000000*SER_hh_emi_in!I22/SER_hh_num_in!I22)</f>
        <v>0</v>
      </c>
      <c r="J22" s="133">
        <f>IF(SER_hh_emi_in!J22=0,0,1000000*SER_hh_emi_in!J22/SER_hh_num_in!J22)</f>
        <v>0</v>
      </c>
      <c r="K22" s="133">
        <f>IF(SER_hh_emi_in!K22=0,0,1000000*SER_hh_emi_in!K22/SER_hh_num_in!K22)</f>
        <v>0</v>
      </c>
      <c r="L22" s="133">
        <f>IF(SER_hh_emi_in!L22=0,0,1000000*SER_hh_emi_in!L22/SER_hh_num_in!L22)</f>
        <v>0</v>
      </c>
      <c r="M22" s="133">
        <f>IF(SER_hh_emi_in!M22=0,0,1000000*SER_hh_emi_in!M22/SER_hh_num_in!M22)</f>
        <v>0</v>
      </c>
      <c r="N22" s="133">
        <f>IF(SER_hh_emi_in!N22=0,0,1000000*SER_hh_emi_in!N22/SER_hh_num_in!N22)</f>
        <v>0</v>
      </c>
      <c r="O22" s="133">
        <f>IF(SER_hh_emi_in!O22=0,0,1000000*SER_hh_emi_in!O22/SER_hh_num_in!O22)</f>
        <v>0</v>
      </c>
      <c r="P22" s="133">
        <f>IF(SER_hh_emi_in!P22=0,0,1000000*SER_hh_emi_in!P22/SER_hh_num_in!P22)</f>
        <v>0</v>
      </c>
      <c r="Q22" s="133">
        <f>IF(SER_hh_emi_in!Q22=0,0,1000000*SER_hh_emi_in!Q22/SER_hh_num_in!Q22)</f>
        <v>0</v>
      </c>
      <c r="R22" s="133">
        <f>IF(SER_hh_emi_in!R22=0,0,1000000*SER_hh_emi_in!R22/SER_hh_num_in!R22)</f>
        <v>0</v>
      </c>
      <c r="S22" s="133">
        <f>IF(SER_hh_emi_in!S22=0,0,1000000*SER_hh_emi_in!S22/SER_hh_num_in!S22)</f>
        <v>0</v>
      </c>
      <c r="T22" s="133">
        <f>IF(SER_hh_emi_in!T22=0,0,1000000*SER_hh_emi_in!T22/SER_hh_num_in!T22)</f>
        <v>0</v>
      </c>
      <c r="U22" s="133">
        <f>IF(SER_hh_emi_in!U22=0,0,1000000*SER_hh_emi_in!U22/SER_hh_num_in!U22)</f>
        <v>0</v>
      </c>
      <c r="V22" s="133">
        <f>IF(SER_hh_emi_in!V22=0,0,1000000*SER_hh_emi_in!V22/SER_hh_num_in!V22)</f>
        <v>0</v>
      </c>
      <c r="W22" s="133">
        <f>IF(SER_hh_emi_in!W22=0,0,1000000*SER_hh_emi_in!W22/SER_hh_num_in!W22)</f>
        <v>0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5750.850832125454</v>
      </c>
      <c r="D23" s="133">
        <f>IF(SER_hh_emi_in!D23=0,0,1000000*SER_hh_emi_in!D23/SER_hh_num_in!D23)</f>
        <v>5756.2403631831048</v>
      </c>
      <c r="E23" s="133">
        <f>IF(SER_hh_emi_in!E23=0,0,1000000*SER_hh_emi_in!E23/SER_hh_num_in!E23)</f>
        <v>5722.0284930092612</v>
      </c>
      <c r="F23" s="133">
        <f>IF(SER_hh_emi_in!F23=0,0,1000000*SER_hh_emi_in!F23/SER_hh_num_in!F23)</f>
        <v>5781.2083776312884</v>
      </c>
      <c r="G23" s="133">
        <f>IF(SER_hh_emi_in!G23=0,0,1000000*SER_hh_emi_in!G23/SER_hh_num_in!G23)</f>
        <v>5516.1963883121671</v>
      </c>
      <c r="H23" s="133">
        <f>IF(SER_hh_emi_in!H23=0,0,1000000*SER_hh_emi_in!H23/SER_hh_num_in!H23)</f>
        <v>5327.5854961022133</v>
      </c>
      <c r="I23" s="133">
        <f>IF(SER_hh_emi_in!I23=0,0,1000000*SER_hh_emi_in!I23/SER_hh_num_in!I23)</f>
        <v>5247.1862650611729</v>
      </c>
      <c r="J23" s="133">
        <f>IF(SER_hh_emi_in!J23=0,0,1000000*SER_hh_emi_in!J23/SER_hh_num_in!J23)</f>
        <v>5267.9072304984429</v>
      </c>
      <c r="K23" s="133">
        <f>IF(SER_hh_emi_in!K23=0,0,1000000*SER_hh_emi_in!K23/SER_hh_num_in!K23)</f>
        <v>5361.4998092801534</v>
      </c>
      <c r="L23" s="133">
        <f>IF(SER_hh_emi_in!L23=0,0,1000000*SER_hh_emi_in!L23/SER_hh_num_in!L23)</f>
        <v>5239.6193730488867</v>
      </c>
      <c r="M23" s="133">
        <f>IF(SER_hh_emi_in!M23=0,0,1000000*SER_hh_emi_in!M23/SER_hh_num_in!M23)</f>
        <v>5058.443437824847</v>
      </c>
      <c r="N23" s="133">
        <f>IF(SER_hh_emi_in!N23=0,0,1000000*SER_hh_emi_in!N23/SER_hh_num_in!N23)</f>
        <v>4862.0473592007838</v>
      </c>
      <c r="O23" s="133">
        <f>IF(SER_hh_emi_in!O23=0,0,1000000*SER_hh_emi_in!O23/SER_hh_num_in!O23)</f>
        <v>4914.5956477996297</v>
      </c>
      <c r="P23" s="133">
        <f>IF(SER_hh_emi_in!P23=0,0,1000000*SER_hh_emi_in!P23/SER_hh_num_in!P23)</f>
        <v>4538.2420133694459</v>
      </c>
      <c r="Q23" s="133">
        <f>IF(SER_hh_emi_in!Q23=0,0,1000000*SER_hh_emi_in!Q23/SER_hh_num_in!Q23)</f>
        <v>4326.7996039149893</v>
      </c>
      <c r="R23" s="133">
        <f>IF(SER_hh_emi_in!R23=0,0,1000000*SER_hh_emi_in!R23/SER_hh_num_in!R23)</f>
        <v>4272.3598079377116</v>
      </c>
      <c r="S23" s="133">
        <f>IF(SER_hh_emi_in!S23=0,0,1000000*SER_hh_emi_in!S23/SER_hh_num_in!S23)</f>
        <v>4142.1175078079696</v>
      </c>
      <c r="T23" s="133">
        <f>IF(SER_hh_emi_in!T23=0,0,1000000*SER_hh_emi_in!T23/SER_hh_num_in!T23)</f>
        <v>4111.0211119645646</v>
      </c>
      <c r="U23" s="133">
        <f>IF(SER_hh_emi_in!U23=0,0,1000000*SER_hh_emi_in!U23/SER_hh_num_in!U23)</f>
        <v>3897.9304962665369</v>
      </c>
      <c r="V23" s="133">
        <f>IF(SER_hh_emi_in!V23=0,0,1000000*SER_hh_emi_in!V23/SER_hh_num_in!V23)</f>
        <v>3513.6339382299284</v>
      </c>
      <c r="W23" s="133">
        <f>IF(SER_hh_emi_in!W23=0,0,1000000*SER_hh_emi_in!W23/SER_hh_num_in!W23)</f>
        <v>3467.607499597731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1583.2804077279766</v>
      </c>
      <c r="O24" s="133">
        <f>IF(SER_hh_emi_in!O24=0,0,1000000*SER_hh_emi_in!O24/SER_hh_num_in!O24)</f>
        <v>1151.2361561110338</v>
      </c>
      <c r="P24" s="133">
        <f>IF(SER_hh_emi_in!P24=0,0,1000000*SER_hh_emi_in!P24/SER_hh_num_in!P24)</f>
        <v>854.77890504206925</v>
      </c>
      <c r="Q24" s="133">
        <f>IF(SER_hh_emi_in!Q24=0,0,1000000*SER_hh_emi_in!Q24/SER_hh_num_in!Q24)</f>
        <v>1081.5669861910294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1459.4224954225529</v>
      </c>
      <c r="V24" s="133">
        <f>IF(SER_hh_emi_in!V24=0,0,1000000*SER_hh_emi_in!V24/SER_hh_num_in!V24)</f>
        <v>1556.3863534662578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2778.3617233110772</v>
      </c>
      <c r="D29" s="131">
        <f>IF(SER_hh_emi_in!D29=0,0,1000000*SER_hh_emi_in!D29/SER_hh_num_in!D29)</f>
        <v>3495.9698302348443</v>
      </c>
      <c r="E29" s="131">
        <f>IF(SER_hh_emi_in!E29=0,0,1000000*SER_hh_emi_in!E29/SER_hh_num_in!E29)</f>
        <v>3129.7794919625717</v>
      </c>
      <c r="F29" s="131">
        <f>IF(SER_hh_emi_in!F29=0,0,1000000*SER_hh_emi_in!F29/SER_hh_num_in!F29)</f>
        <v>4089.4675696382119</v>
      </c>
      <c r="G29" s="131">
        <f>IF(SER_hh_emi_in!G29=0,0,1000000*SER_hh_emi_in!G29/SER_hh_num_in!G29)</f>
        <v>3784.9372874790333</v>
      </c>
      <c r="H29" s="131">
        <f>IF(SER_hh_emi_in!H29=0,0,1000000*SER_hh_emi_in!H29/SER_hh_num_in!H29)</f>
        <v>4090.5472903940349</v>
      </c>
      <c r="I29" s="131">
        <f>IF(SER_hh_emi_in!I29=0,0,1000000*SER_hh_emi_in!I29/SER_hh_num_in!I29)</f>
        <v>3647.5474674236561</v>
      </c>
      <c r="J29" s="131">
        <f>IF(SER_hh_emi_in!J29=0,0,1000000*SER_hh_emi_in!J29/SER_hh_num_in!J29)</f>
        <v>3576.551398134523</v>
      </c>
      <c r="K29" s="131">
        <f>IF(SER_hh_emi_in!K29=0,0,1000000*SER_hh_emi_in!K29/SER_hh_num_in!K29)</f>
        <v>3208.899098971116</v>
      </c>
      <c r="L29" s="131">
        <f>IF(SER_hh_emi_in!L29=0,0,1000000*SER_hh_emi_in!L29/SER_hh_num_in!L29)</f>
        <v>3900.5391069050365</v>
      </c>
      <c r="M29" s="131">
        <f>IF(SER_hh_emi_in!M29=0,0,1000000*SER_hh_emi_in!M29/SER_hh_num_in!M29)</f>
        <v>5476.3269018534875</v>
      </c>
      <c r="N29" s="131">
        <f>IF(SER_hh_emi_in!N29=0,0,1000000*SER_hh_emi_in!N29/SER_hh_num_in!N29)</f>
        <v>4805.3773895818549</v>
      </c>
      <c r="O29" s="131">
        <f>IF(SER_hh_emi_in!O29=0,0,1000000*SER_hh_emi_in!O29/SER_hh_num_in!O29)</f>
        <v>4112.3495617370554</v>
      </c>
      <c r="P29" s="131">
        <f>IF(SER_hh_emi_in!P29=0,0,1000000*SER_hh_emi_in!P29/SER_hh_num_in!P29)</f>
        <v>3529.6221061598662</v>
      </c>
      <c r="Q29" s="131">
        <f>IF(SER_hh_emi_in!Q29=0,0,1000000*SER_hh_emi_in!Q29/SER_hh_num_in!Q29)</f>
        <v>3326.1653513720726</v>
      </c>
      <c r="R29" s="131">
        <f>IF(SER_hh_emi_in!R29=0,0,1000000*SER_hh_emi_in!R29/SER_hh_num_in!R29)</f>
        <v>2788.5332452252096</v>
      </c>
      <c r="S29" s="131">
        <f>IF(SER_hh_emi_in!S29=0,0,1000000*SER_hh_emi_in!S29/SER_hh_num_in!S29)</f>
        <v>2938.810549237437</v>
      </c>
      <c r="T29" s="131">
        <f>IF(SER_hh_emi_in!T29=0,0,1000000*SER_hh_emi_in!T29/SER_hh_num_in!T29)</f>
        <v>3380.1228629659572</v>
      </c>
      <c r="U29" s="131">
        <f>IF(SER_hh_emi_in!U29=0,0,1000000*SER_hh_emi_in!U29/SER_hh_num_in!U29)</f>
        <v>3407.4506307735019</v>
      </c>
      <c r="V29" s="131">
        <f>IF(SER_hh_emi_in!V29=0,0,1000000*SER_hh_emi_in!V29/SER_hh_num_in!V29)</f>
        <v>3618.0259640197137</v>
      </c>
      <c r="W29" s="131">
        <f>IF(SER_hh_emi_in!W29=0,0,1000000*SER_hh_emi_in!W29/SER_hh_num_in!W29)</f>
        <v>3748.8416499193595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6794.7795513260708</v>
      </c>
      <c r="D30" s="133">
        <f>IF(SER_hh_emi_in!D30=0,0,1000000*SER_hh_emi_in!D30/SER_hh_num_in!D30)</f>
        <v>7943.3934860628242</v>
      </c>
      <c r="E30" s="133">
        <f>IF(SER_hh_emi_in!E30=0,0,1000000*SER_hh_emi_in!E30/SER_hh_num_in!E30)</f>
        <v>0</v>
      </c>
      <c r="F30" s="133">
        <f>IF(SER_hh_emi_in!F30=0,0,1000000*SER_hh_emi_in!F30/SER_hh_num_in!F30)</f>
        <v>0</v>
      </c>
      <c r="G30" s="133">
        <f>IF(SER_hh_emi_in!G30=0,0,1000000*SER_hh_emi_in!G30/SER_hh_num_in!G30)</f>
        <v>0</v>
      </c>
      <c r="H30" s="133">
        <f>IF(SER_hh_emi_in!H30=0,0,1000000*SER_hh_emi_in!H30/SER_hh_num_in!H30)</f>
        <v>7049.8273476029881</v>
      </c>
      <c r="I30" s="133">
        <f>IF(SER_hh_emi_in!I30=0,0,1000000*SER_hh_emi_in!I30/SER_hh_num_in!I30)</f>
        <v>7333.165868125172</v>
      </c>
      <c r="J30" s="133">
        <f>IF(SER_hh_emi_in!J30=0,0,1000000*SER_hh_emi_in!J30/SER_hh_num_in!J30)</f>
        <v>6449.1278073058857</v>
      </c>
      <c r="K30" s="133">
        <f>IF(SER_hh_emi_in!K30=0,0,1000000*SER_hh_emi_in!K30/SER_hh_num_in!K30)</f>
        <v>6731.775973136524</v>
      </c>
      <c r="L30" s="133">
        <f>IF(SER_hh_emi_in!L30=0,0,1000000*SER_hh_emi_in!L30/SER_hh_num_in!L30)</f>
        <v>7716.9057343489112</v>
      </c>
      <c r="M30" s="133">
        <f>IF(SER_hh_emi_in!M30=0,0,1000000*SER_hh_emi_in!M30/SER_hh_num_in!M30)</f>
        <v>0</v>
      </c>
      <c r="N30" s="133">
        <f>IF(SER_hh_emi_in!N30=0,0,1000000*SER_hh_emi_in!N30/SER_hh_num_in!N30)</f>
        <v>0</v>
      </c>
      <c r="O30" s="133">
        <f>IF(SER_hh_emi_in!O30=0,0,1000000*SER_hh_emi_in!O30/SER_hh_num_in!O30)</f>
        <v>0</v>
      </c>
      <c r="P30" s="133">
        <f>IF(SER_hh_emi_in!P30=0,0,1000000*SER_hh_emi_in!P30/SER_hh_num_in!P30)</f>
        <v>6587.0142536852809</v>
      </c>
      <c r="Q30" s="133">
        <f>IF(SER_hh_emi_in!Q30=0,0,1000000*SER_hh_emi_in!Q30/SER_hh_num_in!Q30)</f>
        <v>7761.1693543723468</v>
      </c>
      <c r="R30" s="133">
        <f>IF(SER_hh_emi_in!R30=0,0,1000000*SER_hh_emi_in!R30/SER_hh_num_in!R30)</f>
        <v>6395.7892215987195</v>
      </c>
      <c r="S30" s="133">
        <f>IF(SER_hh_emi_in!S30=0,0,1000000*SER_hh_emi_in!S30/SER_hh_num_in!S30)</f>
        <v>5549.361669859828</v>
      </c>
      <c r="T30" s="133">
        <f>IF(SER_hh_emi_in!T30=0,0,1000000*SER_hh_emi_in!T30/SER_hh_num_in!T30)</f>
        <v>6816.0791273600189</v>
      </c>
      <c r="U30" s="133">
        <f>IF(SER_hh_emi_in!U30=0,0,1000000*SER_hh_emi_in!U30/SER_hh_num_in!U30)</f>
        <v>5910.2575651971702</v>
      </c>
      <c r="V30" s="133">
        <f>IF(SER_hh_emi_in!V30=0,0,1000000*SER_hh_emi_in!V30/SER_hh_num_in!V30)</f>
        <v>8122.8768941053959</v>
      </c>
      <c r="W30" s="133">
        <f>IF(SER_hh_emi_in!W30=0,0,1000000*SER_hh_emi_in!W30/SER_hh_num_in!W30)</f>
        <v>5516.9621003777065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6969.1115523756589</v>
      </c>
      <c r="D31" s="133">
        <f>IF(SER_hh_emi_in!D31=0,0,1000000*SER_hh_emi_in!D31/SER_hh_num_in!D31)</f>
        <v>5795.3551805054085</v>
      </c>
      <c r="E31" s="133">
        <f>IF(SER_hh_emi_in!E31=0,0,1000000*SER_hh_emi_in!E31/SER_hh_num_in!E31)</f>
        <v>6095.9599480837142</v>
      </c>
      <c r="F31" s="133">
        <f>IF(SER_hh_emi_in!F31=0,0,1000000*SER_hh_emi_in!F31/SER_hh_num_in!F31)</f>
        <v>6552.6689346444982</v>
      </c>
      <c r="G31" s="133">
        <f>IF(SER_hh_emi_in!G31=0,0,1000000*SER_hh_emi_in!G31/SER_hh_num_in!G31)</f>
        <v>6263.6896450063468</v>
      </c>
      <c r="H31" s="133">
        <f>IF(SER_hh_emi_in!H31=0,0,1000000*SER_hh_emi_in!H31/SER_hh_num_in!H31)</f>
        <v>6308.7121516222023</v>
      </c>
      <c r="I31" s="133">
        <f>IF(SER_hh_emi_in!I31=0,0,1000000*SER_hh_emi_in!I31/SER_hh_num_in!I31)</f>
        <v>6169.4668817443635</v>
      </c>
      <c r="J31" s="133">
        <f>IF(SER_hh_emi_in!J31=0,0,1000000*SER_hh_emi_in!J31/SER_hh_num_in!J31)</f>
        <v>6180.2564578085567</v>
      </c>
      <c r="K31" s="133">
        <f>IF(SER_hh_emi_in!K31=0,0,1000000*SER_hh_emi_in!K31/SER_hh_num_in!K31)</f>
        <v>6130.5315785764096</v>
      </c>
      <c r="L31" s="133">
        <f>IF(SER_hh_emi_in!L31=0,0,1000000*SER_hh_emi_in!L31/SER_hh_num_in!L31)</f>
        <v>6131.0871499645609</v>
      </c>
      <c r="M31" s="133">
        <f>IF(SER_hh_emi_in!M31=0,0,1000000*SER_hh_emi_in!M31/SER_hh_num_in!M31)</f>
        <v>6192.7408773912903</v>
      </c>
      <c r="N31" s="133">
        <f>IF(SER_hh_emi_in!N31=0,0,1000000*SER_hh_emi_in!N31/SER_hh_num_in!N31)</f>
        <v>6196.8741192937441</v>
      </c>
      <c r="O31" s="133">
        <f>IF(SER_hh_emi_in!O31=0,0,1000000*SER_hh_emi_in!O31/SER_hh_num_in!O31)</f>
        <v>6228.3208740261716</v>
      </c>
      <c r="P31" s="133">
        <f>IF(SER_hh_emi_in!P31=0,0,1000000*SER_hh_emi_in!P31/SER_hh_num_in!P31)</f>
        <v>6055.197240553618</v>
      </c>
      <c r="Q31" s="133">
        <f>IF(SER_hh_emi_in!Q31=0,0,1000000*SER_hh_emi_in!Q31/SER_hh_num_in!Q31)</f>
        <v>5876.6567308950971</v>
      </c>
      <c r="R31" s="133">
        <f>IF(SER_hh_emi_in!R31=0,0,1000000*SER_hh_emi_in!R31/SER_hh_num_in!R31)</f>
        <v>5807.7189374238078</v>
      </c>
      <c r="S31" s="133">
        <f>IF(SER_hh_emi_in!S31=0,0,1000000*SER_hh_emi_in!S31/SER_hh_num_in!S31)</f>
        <v>5753.2023528693298</v>
      </c>
      <c r="T31" s="133">
        <f>IF(SER_hh_emi_in!T31=0,0,1000000*SER_hh_emi_in!T31/SER_hh_num_in!T31)</f>
        <v>5727.1211003298658</v>
      </c>
      <c r="U31" s="133">
        <f>IF(SER_hh_emi_in!U31=0,0,1000000*SER_hh_emi_in!U31/SER_hh_num_in!U31)</f>
        <v>5685.4047183834236</v>
      </c>
      <c r="V31" s="133">
        <f>IF(SER_hh_emi_in!V31=0,0,1000000*SER_hh_emi_in!V31/SER_hh_num_in!V31)</f>
        <v>5359.5103428511711</v>
      </c>
      <c r="W31" s="133">
        <f>IF(SER_hh_emi_in!W31=0,0,1000000*SER_hh_emi_in!W31/SER_hh_num_in!W31)</f>
        <v>5683.439301201719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391.8562141959253</v>
      </c>
      <c r="D3" s="126">
        <f>IF(SER_hh_fech_in!D3=0,0,SER_hh_fech_in!D3/SER_summary!D$27)</f>
        <v>354.96580115330437</v>
      </c>
      <c r="E3" s="126">
        <f>IF(SER_hh_fech_in!E3=0,0,SER_hh_fech_in!E3/SER_summary!E$27)</f>
        <v>346.97616279175634</v>
      </c>
      <c r="F3" s="126">
        <f>IF(SER_hh_fech_in!F3=0,0,SER_hh_fech_in!F3/SER_summary!F$27)</f>
        <v>398.7859472162869</v>
      </c>
      <c r="G3" s="126">
        <f>IF(SER_hh_fech_in!G3=0,0,SER_hh_fech_in!G3/SER_summary!G$27)</f>
        <v>356.51207834312055</v>
      </c>
      <c r="H3" s="126">
        <f>IF(SER_hh_fech_in!H3=0,0,SER_hh_fech_in!H3/SER_summary!H$27)</f>
        <v>295.56320845388183</v>
      </c>
      <c r="I3" s="126">
        <f>IF(SER_hh_fech_in!I3=0,0,SER_hh_fech_in!I3/SER_summary!I$27)</f>
        <v>263.24762964246048</v>
      </c>
      <c r="J3" s="126">
        <f>IF(SER_hh_fech_in!J3=0,0,SER_hh_fech_in!J3/SER_summary!J$27)</f>
        <v>255.01207383068646</v>
      </c>
      <c r="K3" s="126">
        <f>IF(SER_hh_fech_in!K3=0,0,SER_hh_fech_in!K3/SER_summary!K$27)</f>
        <v>274.03032871275599</v>
      </c>
      <c r="L3" s="126">
        <f>IF(SER_hh_fech_in!L3=0,0,SER_hh_fech_in!L3/SER_summary!L$27)</f>
        <v>289.61654166353105</v>
      </c>
      <c r="M3" s="126">
        <f>IF(SER_hh_fech_in!M3=0,0,SER_hh_fech_in!M3/SER_summary!M$27)</f>
        <v>276.38743106327382</v>
      </c>
      <c r="N3" s="126">
        <f>IF(SER_hh_fech_in!N3=0,0,SER_hh_fech_in!N3/SER_summary!N$27)</f>
        <v>218.46562222075471</v>
      </c>
      <c r="O3" s="126">
        <f>IF(SER_hh_fech_in!O3=0,0,SER_hh_fech_in!O3/SER_summary!O$27)</f>
        <v>198.66550416860133</v>
      </c>
      <c r="P3" s="126">
        <f>IF(SER_hh_fech_in!P3=0,0,SER_hh_fech_in!P3/SER_summary!P$27)</f>
        <v>164.00437190634207</v>
      </c>
      <c r="Q3" s="126">
        <f>IF(SER_hh_fech_in!Q3=0,0,SER_hh_fech_in!Q3/SER_summary!Q$27)</f>
        <v>164.4435813253705</v>
      </c>
      <c r="R3" s="126">
        <f>IF(SER_hh_fech_in!R3=0,0,SER_hh_fech_in!R3/SER_summary!R$27)</f>
        <v>154.370963499944</v>
      </c>
      <c r="S3" s="126">
        <f>IF(SER_hh_fech_in!S3=0,0,SER_hh_fech_in!S3/SER_summary!S$27)</f>
        <v>146.48646130924129</v>
      </c>
      <c r="T3" s="126">
        <f>IF(SER_hh_fech_in!T3=0,0,SER_hh_fech_in!T3/SER_summary!T$27)</f>
        <v>137.88655655411557</v>
      </c>
      <c r="U3" s="126">
        <f>IF(SER_hh_fech_in!U3=0,0,SER_hh_fech_in!U3/SER_summary!U$27)</f>
        <v>128.84725812515211</v>
      </c>
      <c r="V3" s="126">
        <f>IF(SER_hh_fech_in!V3=0,0,SER_hh_fech_in!V3/SER_summary!V$27)</f>
        <v>118.8852493037619</v>
      </c>
      <c r="W3" s="126">
        <f>IF(SER_hh_fech_in!W3=0,0,SER_hh_fech_in!W3/SER_summary!W$27)</f>
        <v>113.53307143008207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321.7607959936883</v>
      </c>
      <c r="D4" s="131">
        <f>IF(SER_hh_fech_in!D4=0,0,SER_hh_fech_in!D4/SER_summary!D$27)</f>
        <v>285.06771004847008</v>
      </c>
      <c r="E4" s="131">
        <f>IF(SER_hh_fech_in!E4=0,0,SER_hh_fech_in!E4/SER_summary!E$27)</f>
        <v>280.34712179280149</v>
      </c>
      <c r="F4" s="131">
        <f>IF(SER_hh_fech_in!F4=0,0,SER_hh_fech_in!F4/SER_summary!F$27)</f>
        <v>328.35162914717552</v>
      </c>
      <c r="G4" s="131">
        <f>IF(SER_hh_fech_in!G4=0,0,SER_hh_fech_in!G4/SER_summary!G$27)</f>
        <v>288.98627907703144</v>
      </c>
      <c r="H4" s="131">
        <f>IF(SER_hh_fech_in!H4=0,0,SER_hh_fech_in!H4/SER_summary!H$27)</f>
        <v>227.31585659982795</v>
      </c>
      <c r="I4" s="131">
        <f>IF(SER_hh_fech_in!I4=0,0,SER_hh_fech_in!I4/SER_summary!I$27)</f>
        <v>195.92252955958406</v>
      </c>
      <c r="J4" s="131">
        <f>IF(SER_hh_fech_in!J4=0,0,SER_hh_fech_in!J4/SER_summary!J$27)</f>
        <v>189.73896521972699</v>
      </c>
      <c r="K4" s="131">
        <f>IF(SER_hh_fech_in!K4=0,0,SER_hh_fech_in!K4/SER_summary!K$27)</f>
        <v>208.77774352231313</v>
      </c>
      <c r="L4" s="131">
        <f>IF(SER_hh_fech_in!L4=0,0,SER_hh_fech_in!L4/SER_summary!L$27)</f>
        <v>223.44366875387925</v>
      </c>
      <c r="M4" s="131">
        <f>IF(SER_hh_fech_in!M4=0,0,SER_hh_fech_in!M4/SER_summary!M$27)</f>
        <v>209.00121064502875</v>
      </c>
      <c r="N4" s="131">
        <f>IF(SER_hh_fech_in!N4=0,0,SER_hh_fech_in!N4/SER_summary!N$27)</f>
        <v>149.66152527086965</v>
      </c>
      <c r="O4" s="131">
        <f>IF(SER_hh_fech_in!O4=0,0,SER_hh_fech_in!O4/SER_summary!O$27)</f>
        <v>134.58539750639002</v>
      </c>
      <c r="P4" s="131">
        <f>IF(SER_hh_fech_in!P4=0,0,SER_hh_fech_in!P4/SER_summary!P$27)</f>
        <v>104.65058262519784</v>
      </c>
      <c r="Q4" s="131">
        <f>IF(SER_hh_fech_in!Q4=0,0,SER_hh_fech_in!Q4/SER_summary!Q$27)</f>
        <v>104.77961897755283</v>
      </c>
      <c r="R4" s="131">
        <f>IF(SER_hh_fech_in!R4=0,0,SER_hh_fech_in!R4/SER_summary!R$27)</f>
        <v>98.760542069293535</v>
      </c>
      <c r="S4" s="131">
        <f>IF(SER_hh_fech_in!S4=0,0,SER_hh_fech_in!S4/SER_summary!S$27)</f>
        <v>90.972672125152712</v>
      </c>
      <c r="T4" s="131">
        <f>IF(SER_hh_fech_in!T4=0,0,SER_hh_fech_in!T4/SER_summary!T$27)</f>
        <v>82.401591224226522</v>
      </c>
      <c r="U4" s="131">
        <f>IF(SER_hh_fech_in!U4=0,0,SER_hh_fech_in!U4/SER_summary!U$27)</f>
        <v>74.560084055282132</v>
      </c>
      <c r="V4" s="131">
        <f>IF(SER_hh_fech_in!V4=0,0,SER_hh_fech_in!V4/SER_summary!V$27)</f>
        <v>68.560487284100049</v>
      </c>
      <c r="W4" s="131">
        <f>IF(SER_hh_fech_in!W4=0,0,SER_hh_fech_in!W4/SER_summary!W$27)</f>
        <v>61.364929108053694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244.06022267563228</v>
      </c>
      <c r="N5" s="133">
        <f>IF(SER_hh_fech_in!N5=0,0,SER_hh_fech_in!N5/SER_summary!N$27)</f>
        <v>72.909343801772678</v>
      </c>
      <c r="O5" s="133">
        <f>IF(SER_hh_fech_in!O5=0,0,SER_hh_fech_in!O5/SER_summary!O$27)</f>
        <v>161.60818190040874</v>
      </c>
      <c r="P5" s="133">
        <f>IF(SER_hh_fech_in!P5=0,0,SER_hh_fech_in!P5/SER_summary!P$27)</f>
        <v>120.65932736316728</v>
      </c>
      <c r="Q5" s="133">
        <f>IF(SER_hh_fech_in!Q5=0,0,SER_hh_fech_in!Q5/SER_summary!Q$27)</f>
        <v>133.19253830384312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0</v>
      </c>
      <c r="D7" s="133">
        <f>IF(SER_hh_fech_in!D7=0,0,SER_hh_fech_in!D7/SER_summary!D$27)</f>
        <v>0</v>
      </c>
      <c r="E7" s="133">
        <f>IF(SER_hh_fech_in!E7=0,0,SER_hh_fech_in!E7/SER_summary!E$27)</f>
        <v>0</v>
      </c>
      <c r="F7" s="133">
        <f>IF(SER_hh_fech_in!F7=0,0,SER_hh_fech_in!F7/SER_summary!F$27)</f>
        <v>0</v>
      </c>
      <c r="G7" s="133">
        <f>IF(SER_hh_fech_in!G7=0,0,SER_hh_fech_in!G7/SER_summary!G$27)</f>
        <v>0</v>
      </c>
      <c r="H7" s="133">
        <f>IF(SER_hh_fech_in!H7=0,0,SER_hh_fech_in!H7/SER_summary!H$27)</f>
        <v>0</v>
      </c>
      <c r="I7" s="133">
        <f>IF(SER_hh_fech_in!I7=0,0,SER_hh_fech_in!I7/SER_summary!I$27)</f>
        <v>0</v>
      </c>
      <c r="J7" s="133">
        <f>IF(SER_hh_fech_in!J7=0,0,SER_hh_fech_in!J7/SER_summary!J$27)</f>
        <v>0</v>
      </c>
      <c r="K7" s="133">
        <f>IF(SER_hh_fech_in!K7=0,0,SER_hh_fech_in!K7/SER_summary!K$27)</f>
        <v>0</v>
      </c>
      <c r="L7" s="133">
        <f>IF(SER_hh_fech_in!L7=0,0,SER_hh_fech_in!L7/SER_summary!L$27)</f>
        <v>0</v>
      </c>
      <c r="M7" s="133">
        <f>IF(SER_hh_fech_in!M7=0,0,SER_hh_fech_in!M7/SER_summary!M$27)</f>
        <v>0</v>
      </c>
      <c r="N7" s="133">
        <f>IF(SER_hh_fech_in!N7=0,0,SER_hh_fech_in!N7/SER_summary!N$27)</f>
        <v>241.24836015584182</v>
      </c>
      <c r="O7" s="133">
        <f>IF(SER_hh_fech_in!O7=0,0,SER_hh_fech_in!O7/SER_summary!O$27)</f>
        <v>88.264294118666527</v>
      </c>
      <c r="P7" s="133">
        <f>IF(SER_hh_fech_in!P7=0,0,SER_hh_fech_in!P7/SER_summary!P$27)</f>
        <v>112.48603855409398</v>
      </c>
      <c r="Q7" s="133">
        <f>IF(SER_hh_fech_in!Q7=0,0,SER_hh_fech_in!Q7/SER_summary!Q$27)</f>
        <v>131.54104454063832</v>
      </c>
      <c r="R7" s="133">
        <f>IF(SER_hh_fech_in!R7=0,0,SER_hh_fech_in!R7/SER_summary!R$27)</f>
        <v>126.28006489173056</v>
      </c>
      <c r="S7" s="133">
        <f>IF(SER_hh_fech_in!S7=0,0,SER_hh_fech_in!S7/SER_summary!S$27)</f>
        <v>100.1939753610617</v>
      </c>
      <c r="T7" s="133">
        <f>IF(SER_hh_fech_in!T7=0,0,SER_hh_fech_in!T7/SER_summary!T$27)</f>
        <v>100.81806970380224</v>
      </c>
      <c r="U7" s="133">
        <f>IF(SER_hh_fech_in!U7=0,0,SER_hh_fech_in!U7/SER_summary!U$27)</f>
        <v>81.160227992906343</v>
      </c>
      <c r="V7" s="133">
        <f>IF(SER_hh_fech_in!V7=0,0,SER_hh_fech_in!V7/SER_summary!V$27)</f>
        <v>74.584501958306376</v>
      </c>
      <c r="W7" s="133">
        <f>IF(SER_hh_fech_in!W7=0,0,SER_hh_fech_in!W7/SER_summary!W$27)</f>
        <v>73.701066038545619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9.4719898180274686</v>
      </c>
      <c r="S8" s="133">
        <f>IF(SER_hh_fech_in!S8=0,0,SER_hh_fech_in!S8/SER_summary!S$27)</f>
        <v>21.563546375315308</v>
      </c>
      <c r="T8" s="133">
        <f>IF(SER_hh_fech_in!T8=0,0,SER_hh_fech_in!T8/SER_summary!T$27)</f>
        <v>27.00905737256867</v>
      </c>
      <c r="U8" s="133">
        <f>IF(SER_hh_fech_in!U8=0,0,SER_hh_fech_in!U8/SER_summary!U$27)</f>
        <v>21.411808993607355</v>
      </c>
      <c r="V8" s="133">
        <f>IF(SER_hh_fech_in!V8=0,0,SER_hh_fech_in!V8/SER_summary!V$27)</f>
        <v>26.063120615249929</v>
      </c>
      <c r="W8" s="133">
        <f>IF(SER_hh_fech_in!W8=0,0,SER_hh_fech_in!W8/SER_summary!W$27)</f>
        <v>17.760077885091473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332.82033232612201</v>
      </c>
      <c r="D9" s="133">
        <f>IF(SER_hh_fech_in!D9=0,0,SER_hh_fech_in!D9/SER_summary!D$27)</f>
        <v>285.71085609430395</v>
      </c>
      <c r="E9" s="133">
        <f>IF(SER_hh_fech_in!E9=0,0,SER_hh_fech_in!E9/SER_summary!E$27)</f>
        <v>279.4831620837615</v>
      </c>
      <c r="F9" s="133">
        <f>IF(SER_hh_fech_in!F9=0,0,SER_hh_fech_in!F9/SER_summary!F$27)</f>
        <v>340.68472508643612</v>
      </c>
      <c r="G9" s="133">
        <f>IF(SER_hh_fech_in!G9=0,0,SER_hh_fech_in!G9/SER_summary!G$27)</f>
        <v>314.4404496347052</v>
      </c>
      <c r="H9" s="133">
        <f>IF(SER_hh_fech_in!H9=0,0,SER_hh_fech_in!H9/SER_summary!H$27)</f>
        <v>268.24351822057253</v>
      </c>
      <c r="I9" s="133">
        <f>IF(SER_hh_fech_in!I9=0,0,SER_hh_fech_in!I9/SER_summary!I$27)</f>
        <v>204.61631248966367</v>
      </c>
      <c r="J9" s="133">
        <f>IF(SER_hh_fech_in!J9=0,0,SER_hh_fech_in!J9/SER_summary!J$27)</f>
        <v>195.16983912876319</v>
      </c>
      <c r="K9" s="133">
        <f>IF(SER_hh_fech_in!K9=0,0,SER_hh_fech_in!K9/SER_summary!K$27)</f>
        <v>213.78441043455453</v>
      </c>
      <c r="L9" s="133">
        <f>IF(SER_hh_fech_in!L9=0,0,SER_hh_fech_in!L9/SER_summary!L$27)</f>
        <v>224.74891377747508</v>
      </c>
      <c r="M9" s="133">
        <f>IF(SER_hh_fech_in!M9=0,0,SER_hh_fech_in!M9/SER_summary!M$27)</f>
        <v>209.76965845465824</v>
      </c>
      <c r="N9" s="133">
        <f>IF(SER_hh_fech_in!N9=0,0,SER_hh_fech_in!N9/SER_summary!N$27)</f>
        <v>145.70649657498959</v>
      </c>
      <c r="O9" s="133">
        <f>IF(SER_hh_fech_in!O9=0,0,SER_hh_fech_in!O9/SER_summary!O$27)</f>
        <v>136.84792095110316</v>
      </c>
      <c r="P9" s="133">
        <f>IF(SER_hh_fech_in!P9=0,0,SER_hh_fech_in!P9/SER_summary!P$27)</f>
        <v>106.45140643766379</v>
      </c>
      <c r="Q9" s="133">
        <f>IF(SER_hh_fech_in!Q9=0,0,SER_hh_fech_in!Q9/SER_summary!Q$27)</f>
        <v>106.43703998767369</v>
      </c>
      <c r="R9" s="133">
        <f>IF(SER_hh_fech_in!R9=0,0,SER_hh_fech_in!R9/SER_summary!R$27)</f>
        <v>100.86491332791125</v>
      </c>
      <c r="S9" s="133">
        <f>IF(SER_hh_fech_in!S9=0,0,SER_hh_fech_in!S9/SER_summary!S$27)</f>
        <v>93.04625745677221</v>
      </c>
      <c r="T9" s="133">
        <f>IF(SER_hh_fech_in!T9=0,0,SER_hh_fech_in!T9/SER_summary!T$27)</f>
        <v>82.780026865264759</v>
      </c>
      <c r="U9" s="133">
        <f>IF(SER_hh_fech_in!U9=0,0,SER_hh_fech_in!U9/SER_summary!U$27)</f>
        <v>74.784844524533369</v>
      </c>
      <c r="V9" s="133">
        <f>IF(SER_hh_fech_in!V9=0,0,SER_hh_fech_in!V9/SER_summary!V$27)</f>
        <v>70.901940052724498</v>
      </c>
      <c r="W9" s="133">
        <f>IF(SER_hh_fech_in!W9=0,0,SER_hh_fech_in!W9/SER_summary!W$27)</f>
        <v>62.582641181145718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311.37272075826888</v>
      </c>
      <c r="D10" s="133">
        <f>IF(SER_hh_fech_in!D10=0,0,SER_hh_fech_in!D10/SER_summary!D$27)</f>
        <v>332.55003436583638</v>
      </c>
      <c r="E10" s="133">
        <f>IF(SER_hh_fech_in!E10=0,0,SER_hh_fech_in!E10/SER_summary!E$27)</f>
        <v>400.65593674569629</v>
      </c>
      <c r="F10" s="133">
        <f>IF(SER_hh_fech_in!F10=0,0,SER_hh_fech_in!F10/SER_summary!F$27)</f>
        <v>383.13474124535389</v>
      </c>
      <c r="G10" s="133">
        <f>IF(SER_hh_fech_in!G10=0,0,SER_hh_fech_in!G10/SER_summary!G$27)</f>
        <v>0</v>
      </c>
      <c r="H10" s="133">
        <f>IF(SER_hh_fech_in!H10=0,0,SER_hh_fech_in!H10/SER_summary!H$27)</f>
        <v>0</v>
      </c>
      <c r="I10" s="133">
        <f>IF(SER_hh_fech_in!I10=0,0,SER_hh_fech_in!I10/SER_summary!I$27)</f>
        <v>257.74085609196953</v>
      </c>
      <c r="J10" s="133">
        <f>IF(SER_hh_fech_in!J10=0,0,SER_hh_fech_in!J10/SER_summary!J$27)</f>
        <v>247.89882171863437</v>
      </c>
      <c r="K10" s="133">
        <f>IF(SER_hh_fech_in!K10=0,0,SER_hh_fech_in!K10/SER_summary!K$27)</f>
        <v>261.58691808530267</v>
      </c>
      <c r="L10" s="133">
        <f>IF(SER_hh_fech_in!L10=0,0,SER_hh_fech_in!L10/SER_summary!L$27)</f>
        <v>264.33608050854849</v>
      </c>
      <c r="M10" s="133">
        <f>IF(SER_hh_fech_in!M10=0,0,SER_hh_fech_in!M10/SER_summary!M$27)</f>
        <v>244.40885520170843</v>
      </c>
      <c r="N10" s="133">
        <f>IF(SER_hh_fech_in!N10=0,0,SER_hh_fech_in!N10/SER_summary!N$27)</f>
        <v>197.37324461522789</v>
      </c>
      <c r="O10" s="133">
        <f>IF(SER_hh_fech_in!O10=0,0,SER_hh_fech_in!O10/SER_summary!O$27)</f>
        <v>173.6570509844947</v>
      </c>
      <c r="P10" s="133">
        <f>IF(SER_hh_fech_in!P10=0,0,SER_hh_fech_in!P10/SER_summary!P$27)</f>
        <v>135.54456798839183</v>
      </c>
      <c r="Q10" s="133">
        <f>IF(SER_hh_fech_in!Q10=0,0,SER_hh_fech_in!Q10/SER_summary!Q$27)</f>
        <v>156.62001433431206</v>
      </c>
      <c r="R10" s="133">
        <f>IF(SER_hh_fech_in!R10=0,0,SER_hh_fech_in!R10/SER_summary!R$27)</f>
        <v>133.08848459232414</v>
      </c>
      <c r="S10" s="133">
        <f>IF(SER_hh_fech_in!S10=0,0,SER_hh_fech_in!S10/SER_summary!S$27)</f>
        <v>128.55052760424846</v>
      </c>
      <c r="T10" s="133">
        <f>IF(SER_hh_fech_in!T10=0,0,SER_hh_fech_in!T10/SER_summary!T$27)</f>
        <v>112.64907619591416</v>
      </c>
      <c r="U10" s="133">
        <f>IF(SER_hh_fech_in!U10=0,0,SER_hh_fech_in!U10/SER_summary!U$27)</f>
        <v>116.22356973251573</v>
      </c>
      <c r="V10" s="133">
        <f>IF(SER_hh_fech_in!V10=0,0,SER_hh_fech_in!V10/SER_summary!V$27)</f>
        <v>0</v>
      </c>
      <c r="W10" s="133">
        <f>IF(SER_hh_fech_in!W10=0,0,SER_hh_fech_in!W10/SER_summary!W$27)</f>
        <v>0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239.69160625796141</v>
      </c>
      <c r="D11" s="133">
        <f>IF(SER_hh_fech_in!D11=0,0,SER_hh_fech_in!D11/SER_summary!D$27)</f>
        <v>234.32196508541765</v>
      </c>
      <c r="E11" s="133">
        <f>IF(SER_hh_fech_in!E11=0,0,SER_hh_fech_in!E11/SER_summary!E$27)</f>
        <v>238.90293525305503</v>
      </c>
      <c r="F11" s="133">
        <f>IF(SER_hh_fech_in!F11=0,0,SER_hh_fech_in!F11/SER_summary!F$27)</f>
        <v>0</v>
      </c>
      <c r="G11" s="133">
        <f>IF(SER_hh_fech_in!G11=0,0,SER_hh_fech_in!G11/SER_summary!G$27)</f>
        <v>219.7563313567353</v>
      </c>
      <c r="H11" s="133">
        <f>IF(SER_hh_fech_in!H11=0,0,SER_hh_fech_in!H11/SER_summary!H$27)</f>
        <v>200.67113709202522</v>
      </c>
      <c r="I11" s="133">
        <f>IF(SER_hh_fech_in!I11=0,0,SER_hh_fech_in!I11/SER_summary!I$27)</f>
        <v>176.03354113218415</v>
      </c>
      <c r="J11" s="133">
        <f>IF(SER_hh_fech_in!J11=0,0,SER_hh_fech_in!J11/SER_summary!J$27)</f>
        <v>181.14097291703149</v>
      </c>
      <c r="K11" s="133">
        <f>IF(SER_hh_fech_in!K11=0,0,SER_hh_fech_in!K11/SER_summary!K$27)</f>
        <v>180.44787228561384</v>
      </c>
      <c r="L11" s="133">
        <f>IF(SER_hh_fech_in!L11=0,0,SER_hh_fech_in!L11/SER_summary!L$27)</f>
        <v>172.22783573814678</v>
      </c>
      <c r="M11" s="133">
        <f>IF(SER_hh_fech_in!M11=0,0,SER_hh_fech_in!M11/SER_summary!M$27)</f>
        <v>167.60747356587373</v>
      </c>
      <c r="N11" s="133">
        <f>IF(SER_hh_fech_in!N11=0,0,SER_hh_fech_in!N11/SER_summary!N$27)</f>
        <v>157.46153860303301</v>
      </c>
      <c r="O11" s="133">
        <f>IF(SER_hh_fech_in!O11=0,0,SER_hh_fech_in!O11/SER_summary!O$27)</f>
        <v>162.05572193100471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91.708831489100007</v>
      </c>
      <c r="T11" s="133">
        <f>IF(SER_hh_fech_in!T11=0,0,SER_hh_fech_in!T11/SER_summary!T$27)</f>
        <v>78.072828398022793</v>
      </c>
      <c r="U11" s="133">
        <f>IF(SER_hh_fech_in!U11=0,0,SER_hh_fech_in!U11/SER_summary!U$27)</f>
        <v>73.850554433651951</v>
      </c>
      <c r="V11" s="133">
        <f>IF(SER_hh_fech_in!V11=0,0,SER_hh_fech_in!V11/SER_summary!V$27)</f>
        <v>60.079687326646138</v>
      </c>
      <c r="W11" s="133">
        <f>IF(SER_hh_fech_in!W11=0,0,SER_hh_fech_in!W11/SER_summary!W$27)</f>
        <v>63.674843271157172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259.86597299087157</v>
      </c>
      <c r="D12" s="133">
        <f>IF(SER_hh_fech_in!D12=0,0,SER_hh_fech_in!D12/SER_summary!D$27)</f>
        <v>218.0632651322357</v>
      </c>
      <c r="E12" s="133">
        <f>IF(SER_hh_fech_in!E12=0,0,SER_hh_fech_in!E12/SER_summary!E$27)</f>
        <v>239.90819500978085</v>
      </c>
      <c r="F12" s="133">
        <f>IF(SER_hh_fech_in!F12=0,0,SER_hh_fech_in!F12/SER_summary!F$27)</f>
        <v>0</v>
      </c>
      <c r="G12" s="133">
        <f>IF(SER_hh_fech_in!G12=0,0,SER_hh_fech_in!G12/SER_summary!G$27)</f>
        <v>237.56686656966019</v>
      </c>
      <c r="H12" s="133">
        <f>IF(SER_hh_fech_in!H12=0,0,SER_hh_fech_in!H12/SER_summary!H$27)</f>
        <v>188.61104525582093</v>
      </c>
      <c r="I12" s="133">
        <f>IF(SER_hh_fech_in!I12=0,0,SER_hh_fech_in!I12/SER_summary!I$27)</f>
        <v>176.04281335113862</v>
      </c>
      <c r="J12" s="133">
        <f>IF(SER_hh_fech_in!J12=0,0,SER_hh_fech_in!J12/SER_summary!J$27)</f>
        <v>186.26469816237608</v>
      </c>
      <c r="K12" s="133">
        <f>IF(SER_hh_fech_in!K12=0,0,SER_hh_fech_in!K12/SER_summary!K$27)</f>
        <v>174.72628974546066</v>
      </c>
      <c r="L12" s="133">
        <f>IF(SER_hh_fech_in!L12=0,0,SER_hh_fech_in!L12/SER_summary!L$27)</f>
        <v>181.45496940712218</v>
      </c>
      <c r="M12" s="133">
        <f>IF(SER_hh_fech_in!M12=0,0,SER_hh_fech_in!M12/SER_summary!M$27)</f>
        <v>175.42899568679323</v>
      </c>
      <c r="N12" s="133">
        <f>IF(SER_hh_fech_in!N12=0,0,SER_hh_fech_in!N12/SER_summary!N$27)</f>
        <v>118.02160527541126</v>
      </c>
      <c r="O12" s="133">
        <f>IF(SER_hh_fech_in!O12=0,0,SER_hh_fech_in!O12/SER_summary!O$27)</f>
        <v>106.81311850376532</v>
      </c>
      <c r="P12" s="133">
        <f>IF(SER_hh_fech_in!P12=0,0,SER_hh_fech_in!P12/SER_summary!P$27)</f>
        <v>87.900451581452444</v>
      </c>
      <c r="Q12" s="133">
        <f>IF(SER_hh_fech_in!Q12=0,0,SER_hh_fech_in!Q12/SER_summary!Q$27)</f>
        <v>96.344574161712288</v>
      </c>
      <c r="R12" s="133">
        <f>IF(SER_hh_fech_in!R12=0,0,SER_hh_fech_in!R12/SER_summary!R$27)</f>
        <v>94.114454434592972</v>
      </c>
      <c r="S12" s="133">
        <f>IF(SER_hh_fech_in!S12=0,0,SER_hh_fech_in!S12/SER_summary!S$27)</f>
        <v>86.682174063864565</v>
      </c>
      <c r="T12" s="133">
        <f>IF(SER_hh_fech_in!T12=0,0,SER_hh_fech_in!T12/SER_summary!T$27)</f>
        <v>76.218763275723319</v>
      </c>
      <c r="U12" s="133">
        <f>IF(SER_hh_fech_in!U12=0,0,SER_hh_fech_in!U12/SER_summary!U$27)</f>
        <v>68.041169589119193</v>
      </c>
      <c r="V12" s="133">
        <f>IF(SER_hh_fech_in!V12=0,0,SER_hh_fech_in!V12/SER_summary!V$27)</f>
        <v>63.193958284559038</v>
      </c>
      <c r="W12" s="133">
        <f>IF(SER_hh_fech_in!W12=0,0,SER_hh_fech_in!W12/SER_summary!W$27)</f>
        <v>56.927060401144821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139.62338820122972</v>
      </c>
      <c r="D13" s="133">
        <f>IF(SER_hh_fech_in!D13=0,0,SER_hh_fech_in!D13/SER_summary!D$27)</f>
        <v>112.04076958815951</v>
      </c>
      <c r="E13" s="133">
        <f>IF(SER_hh_fech_in!E13=0,0,SER_hh_fech_in!E13/SER_summary!E$27)</f>
        <v>81.087573640355771</v>
      </c>
      <c r="F13" s="133">
        <f>IF(SER_hh_fech_in!F13=0,0,SER_hh_fech_in!F13/SER_summary!F$27)</f>
        <v>86.44818399853321</v>
      </c>
      <c r="G13" s="133">
        <f>IF(SER_hh_fech_in!G13=0,0,SER_hh_fech_in!G13/SER_summary!G$27)</f>
        <v>82.42530525656349</v>
      </c>
      <c r="H13" s="133">
        <f>IF(SER_hh_fech_in!H13=0,0,SER_hh_fech_in!H13/SER_summary!H$27)</f>
        <v>69.450774581912327</v>
      </c>
      <c r="I13" s="133">
        <f>IF(SER_hh_fech_in!I13=0,0,SER_hh_fech_in!I13/SER_summary!I$27)</f>
        <v>73.608420926115812</v>
      </c>
      <c r="J13" s="133">
        <f>IF(SER_hh_fech_in!J13=0,0,SER_hh_fech_in!J13/SER_summary!J$27)</f>
        <v>60.681582298333687</v>
      </c>
      <c r="K13" s="133">
        <f>IF(SER_hh_fech_in!K13=0,0,SER_hh_fech_in!K13/SER_summary!K$27)</f>
        <v>61.407054535724221</v>
      </c>
      <c r="L13" s="133">
        <f>IF(SER_hh_fech_in!L13=0,0,SER_hh_fech_in!L13/SER_summary!L$27)</f>
        <v>47.086365980722832</v>
      </c>
      <c r="M13" s="133">
        <f>IF(SER_hh_fech_in!M13=0,0,SER_hh_fech_in!M13/SER_summary!M$27)</f>
        <v>32.86931898085377</v>
      </c>
      <c r="N13" s="133">
        <f>IF(SER_hh_fech_in!N13=0,0,SER_hh_fech_in!N13/SER_summary!N$27)</f>
        <v>31.758503341671396</v>
      </c>
      <c r="O13" s="133">
        <f>IF(SER_hh_fech_in!O13=0,0,SER_hh_fech_in!O13/SER_summary!O$27)</f>
        <v>29.640807544650741</v>
      </c>
      <c r="P13" s="133">
        <f>IF(SER_hh_fech_in!P13=0,0,SER_hh_fech_in!P13/SER_summary!P$27)</f>
        <v>30.568025412817175</v>
      </c>
      <c r="Q13" s="133">
        <f>IF(SER_hh_fech_in!Q13=0,0,SER_hh_fech_in!Q13/SER_summary!Q$27)</f>
        <v>22.09767522867666</v>
      </c>
      <c r="R13" s="133">
        <f>IF(SER_hh_fech_in!R13=0,0,SER_hh_fech_in!R13/SER_summary!R$27)</f>
        <v>19.151777319333348</v>
      </c>
      <c r="S13" s="133">
        <f>IF(SER_hh_fech_in!S13=0,0,SER_hh_fech_in!S13/SER_summary!S$27)</f>
        <v>17.189463102779783</v>
      </c>
      <c r="T13" s="133">
        <f>IF(SER_hh_fech_in!T13=0,0,SER_hh_fech_in!T13/SER_summary!T$27)</f>
        <v>17.975373259662675</v>
      </c>
      <c r="U13" s="133">
        <f>IF(SER_hh_fech_in!U13=0,0,SER_hh_fech_in!U13/SER_summary!U$27)</f>
        <v>15.332358884863659</v>
      </c>
      <c r="V13" s="133">
        <f>IF(SER_hh_fech_in!V13=0,0,SER_hh_fech_in!V13/SER_summary!V$27)</f>
        <v>18.842080748811863</v>
      </c>
      <c r="W13" s="133">
        <f>IF(SER_hh_fech_in!W13=0,0,SER_hh_fech_in!W13/SER_summary!W$27)</f>
        <v>11.030400651171817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276.65326833266249</v>
      </c>
      <c r="D14" s="65">
        <f>IF(SER_hh_fech_in!D14=0,0,SER_hh_fech_in!D14/SER_summary!D$27)</f>
        <v>0</v>
      </c>
      <c r="E14" s="65">
        <f>IF(SER_hh_fech_in!E14=0,0,SER_hh_fech_in!E14/SER_summary!E$27)</f>
        <v>209.39387910981259</v>
      </c>
      <c r="F14" s="65">
        <f>IF(SER_hh_fech_in!F14=0,0,SER_hh_fech_in!F14/SER_summary!F$27)</f>
        <v>232.57498063806239</v>
      </c>
      <c r="G14" s="65">
        <f>IF(SER_hh_fech_in!G14=0,0,SER_hh_fech_in!G14/SER_summary!G$27)</f>
        <v>256.40467115284639</v>
      </c>
      <c r="H14" s="65">
        <f>IF(SER_hh_fech_in!H14=0,0,SER_hh_fech_in!H14/SER_summary!H$27)</f>
        <v>218.29748400049644</v>
      </c>
      <c r="I14" s="65">
        <f>IF(SER_hh_fech_in!I14=0,0,SER_hh_fech_in!I14/SER_summary!I$27)</f>
        <v>206.3004778981705</v>
      </c>
      <c r="J14" s="65">
        <f>IF(SER_hh_fech_in!J14=0,0,SER_hh_fech_in!J14/SER_summary!J$27)</f>
        <v>185.39494866731326</v>
      </c>
      <c r="K14" s="65">
        <f>IF(SER_hh_fech_in!K14=0,0,SER_hh_fech_in!K14/SER_summary!K$27)</f>
        <v>201.77759533504135</v>
      </c>
      <c r="L14" s="65">
        <f>IF(SER_hh_fech_in!L14=0,0,SER_hh_fech_in!L14/SER_summary!L$27)</f>
        <v>0</v>
      </c>
      <c r="M14" s="65">
        <f>IF(SER_hh_fech_in!M14=0,0,SER_hh_fech_in!M14/SER_summary!M$27)</f>
        <v>0</v>
      </c>
      <c r="N14" s="65">
        <f>IF(SER_hh_fech_in!N14=0,0,SER_hh_fech_in!N14/SER_summary!N$27)</f>
        <v>0</v>
      </c>
      <c r="O14" s="65">
        <f>IF(SER_hh_fech_in!O14=0,0,SER_hh_fech_in!O14/SER_summary!O$27)</f>
        <v>0</v>
      </c>
      <c r="P14" s="65">
        <f>IF(SER_hh_fech_in!P14=0,0,SER_hh_fech_in!P14/SER_summary!P$27)</f>
        <v>98.361590652241219</v>
      </c>
      <c r="Q14" s="65">
        <f>IF(SER_hh_fech_in!Q14=0,0,SER_hh_fech_in!Q14/SER_summary!Q$27)</f>
        <v>99.809590006211465</v>
      </c>
      <c r="R14" s="65">
        <f>IF(SER_hh_fech_in!R14=0,0,SER_hh_fech_in!R14/SER_summary!R$27)</f>
        <v>92.351539434829249</v>
      </c>
      <c r="S14" s="65">
        <f>IF(SER_hh_fech_in!S14=0,0,SER_hh_fech_in!S14/SER_summary!S$27)</f>
        <v>86.262430528919452</v>
      </c>
      <c r="T14" s="65">
        <f>IF(SER_hh_fech_in!T14=0,0,SER_hh_fech_in!T14/SER_summary!T$27)</f>
        <v>82.850037089700081</v>
      </c>
      <c r="U14" s="65">
        <f>IF(SER_hh_fech_in!U14=0,0,SER_hh_fech_in!U14/SER_summary!U$27)</f>
        <v>75.525813527811223</v>
      </c>
      <c r="V14" s="65">
        <f>IF(SER_hh_fech_in!V14=0,0,SER_hh_fech_in!V14/SER_summary!V$27)</f>
        <v>63.967702441986496</v>
      </c>
      <c r="W14" s="65">
        <f>IF(SER_hh_fech_in!W14=0,0,SER_hh_fech_in!W14/SER_summary!W$27)</f>
        <v>56.122591157449868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3.3399251270955035</v>
      </c>
      <c r="D15" s="135">
        <f>IF(SER_hh_fech_in!D15=0,0,SER_hh_fech_in!D15/SER_summary!D$27)</f>
        <v>3.0885027731251942</v>
      </c>
      <c r="E15" s="135">
        <f>IF(SER_hh_fech_in!E15=0,0,SER_hh_fech_in!E15/SER_summary!E$27)</f>
        <v>3.0809596643517003</v>
      </c>
      <c r="F15" s="135">
        <f>IF(SER_hh_fech_in!F15=0,0,SER_hh_fech_in!F15/SER_summary!F$27)</f>
        <v>3.8731257218811401</v>
      </c>
      <c r="G15" s="135">
        <f>IF(SER_hh_fech_in!G15=0,0,SER_hh_fech_in!G15/SER_summary!G$27)</f>
        <v>3.1229518642695759</v>
      </c>
      <c r="H15" s="135">
        <f>IF(SER_hh_fech_in!H15=0,0,SER_hh_fech_in!H15/SER_summary!H$27)</f>
        <v>1.9182396808137079</v>
      </c>
      <c r="I15" s="135">
        <f>IF(SER_hh_fech_in!I15=0,0,SER_hh_fech_in!I15/SER_summary!I$27)</f>
        <v>1.2137056776536737</v>
      </c>
      <c r="J15" s="135">
        <f>IF(SER_hh_fech_in!J15=0,0,SER_hh_fech_in!J15/SER_summary!J$27)</f>
        <v>1.2358840703295746</v>
      </c>
      <c r="K15" s="135">
        <f>IF(SER_hh_fech_in!K15=0,0,SER_hh_fech_in!K15/SER_summary!K$27)</f>
        <v>2.0812362650292568</v>
      </c>
      <c r="L15" s="135">
        <f>IF(SER_hh_fech_in!L15=0,0,SER_hh_fech_in!L15/SER_summary!L$27)</f>
        <v>2.3289449266471838</v>
      </c>
      <c r="M15" s="135">
        <f>IF(SER_hh_fech_in!M15=0,0,SER_hh_fech_in!M15/SER_summary!M$27)</f>
        <v>2.1767799450667527</v>
      </c>
      <c r="N15" s="135">
        <f>IF(SER_hh_fech_in!N15=0,0,SER_hh_fech_in!N15/SER_summary!N$27)</f>
        <v>1.5173870090439521</v>
      </c>
      <c r="O15" s="135">
        <f>IF(SER_hh_fech_in!O15=0,0,SER_hh_fech_in!O15/SER_summary!O$27)</f>
        <v>1.3664912685374133</v>
      </c>
      <c r="P15" s="135">
        <f>IF(SER_hh_fech_in!P15=0,0,SER_hh_fech_in!P15/SER_summary!P$27)</f>
        <v>1.068221457963326</v>
      </c>
      <c r="Q15" s="135">
        <f>IF(SER_hh_fech_in!Q15=0,0,SER_hh_fech_in!Q15/SER_summary!Q$27)</f>
        <v>0.84260510527700649</v>
      </c>
      <c r="R15" s="135">
        <f>IF(SER_hh_fech_in!R15=0,0,SER_hh_fech_in!R15/SER_summary!R$27)</f>
        <v>0.91046862190602229</v>
      </c>
      <c r="S15" s="135">
        <f>IF(SER_hh_fech_in!S15=0,0,SER_hh_fech_in!S15/SER_summary!S$27)</f>
        <v>0.90104331460790399</v>
      </c>
      <c r="T15" s="135">
        <f>IF(SER_hh_fech_in!T15=0,0,SER_hh_fech_in!T15/SER_summary!T$27)</f>
        <v>0.87907687170715698</v>
      </c>
      <c r="U15" s="135">
        <f>IF(SER_hh_fech_in!U15=0,0,SER_hh_fech_in!U15/SER_summary!U$27)</f>
        <v>0.80377641883126949</v>
      </c>
      <c r="V15" s="135">
        <f>IF(SER_hh_fech_in!V15=0,0,SER_hh_fech_in!V15/SER_summary!V$27)</f>
        <v>0.7697141292229478</v>
      </c>
      <c r="W15" s="135">
        <f>IF(SER_hh_fech_in!W15=0,0,SER_hh_fech_in!W15/SER_summary!W$27)</f>
        <v>0.64311530189069954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9.9829810423338436</v>
      </c>
      <c r="D16" s="131">
        <f>IF(SER_hh_fech_in!D16=0,0,SER_hh_fech_in!D16/SER_summary!D$27)</f>
        <v>10.19490536609687</v>
      </c>
      <c r="E16" s="131">
        <f>IF(SER_hh_fech_in!E16=0,0,SER_hh_fech_in!E16/SER_summary!E$27)</f>
        <v>11.298404926135644</v>
      </c>
      <c r="F16" s="131">
        <f>IF(SER_hh_fech_in!F16=0,0,SER_hh_fech_in!F16/SER_summary!F$27)</f>
        <v>8.7277871243334459</v>
      </c>
      <c r="G16" s="131">
        <f>IF(SER_hh_fech_in!G16=0,0,SER_hh_fech_in!G16/SER_summary!G$27)</f>
        <v>8.4682749613598673</v>
      </c>
      <c r="H16" s="131">
        <f>IF(SER_hh_fech_in!H16=0,0,SER_hh_fech_in!H16/SER_summary!H$27)</f>
        <v>9.0768788043080164</v>
      </c>
      <c r="I16" s="131">
        <f>IF(SER_hh_fech_in!I16=0,0,SER_hh_fech_in!I16/SER_summary!I$27)</f>
        <v>9.6029526019415989</v>
      </c>
      <c r="J16" s="131">
        <f>IF(SER_hh_fech_in!J16=0,0,SER_hh_fech_in!J16/SER_summary!J$27)</f>
        <v>7.8937481169096957</v>
      </c>
      <c r="K16" s="131">
        <f>IF(SER_hh_fech_in!K16=0,0,SER_hh_fech_in!K16/SER_summary!K$27)</f>
        <v>7.6746203608245294</v>
      </c>
      <c r="L16" s="131">
        <f>IF(SER_hh_fech_in!L16=0,0,SER_hh_fech_in!L16/SER_summary!L$27)</f>
        <v>7.7478268456277188</v>
      </c>
      <c r="M16" s="131">
        <f>IF(SER_hh_fech_in!M16=0,0,SER_hh_fech_in!M16/SER_summary!M$27)</f>
        <v>7.3135667087793435</v>
      </c>
      <c r="N16" s="131">
        <f>IF(SER_hh_fech_in!N16=0,0,SER_hh_fech_in!N16/SER_summary!N$27)</f>
        <v>8.8532057523350023</v>
      </c>
      <c r="O16" s="131">
        <f>IF(SER_hh_fech_in!O16=0,0,SER_hh_fech_in!O16/SER_summary!O$27)</f>
        <v>6.9133636889412067</v>
      </c>
      <c r="P16" s="131">
        <f>IF(SER_hh_fech_in!P16=0,0,SER_hh_fech_in!P16/SER_summary!P$27)</f>
        <v>5.8567567026823131</v>
      </c>
      <c r="Q16" s="131">
        <f>IF(SER_hh_fech_in!Q16=0,0,SER_hh_fech_in!Q16/SER_summary!Q$27)</f>
        <v>8.0541197275197689</v>
      </c>
      <c r="R16" s="131">
        <f>IF(SER_hh_fech_in!R16=0,0,SER_hh_fech_in!R16/SER_summary!R$27)</f>
        <v>5.4230421582870418</v>
      </c>
      <c r="S16" s="131">
        <f>IF(SER_hh_fech_in!S16=0,0,SER_hh_fech_in!S16/SER_summary!S$27)</f>
        <v>6.3596833407023761</v>
      </c>
      <c r="T16" s="131">
        <f>IF(SER_hh_fech_in!T16=0,0,SER_hh_fech_in!T16/SER_summary!T$27)</f>
        <v>5.8058703078559457</v>
      </c>
      <c r="U16" s="131">
        <f>IF(SER_hh_fech_in!U16=0,0,SER_hh_fech_in!U16/SER_summary!U$27)</f>
        <v>6.0272236057898114</v>
      </c>
      <c r="V16" s="131">
        <f>IF(SER_hh_fech_in!V16=0,0,SER_hh_fech_in!V16/SER_summary!V$27)</f>
        <v>4.7904593506741744</v>
      </c>
      <c r="W16" s="131">
        <f>IF(SER_hh_fech_in!W16=0,0,SER_hh_fech_in!W16/SER_summary!W$27)</f>
        <v>5.4277078587004208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17.639713932588251</v>
      </c>
      <c r="D17" s="133">
        <f>IF(SER_hh_fech_in!D17=0,0,SER_hh_fech_in!D17/SER_summary!D$27)</f>
        <v>18.537424229066492</v>
      </c>
      <c r="E17" s="133">
        <f>IF(SER_hh_fech_in!E17=0,0,SER_hh_fech_in!E17/SER_summary!E$27)</f>
        <v>21.149332815529178</v>
      </c>
      <c r="F17" s="133">
        <f>IF(SER_hh_fech_in!F17=0,0,SER_hh_fech_in!F17/SER_summary!F$27)</f>
        <v>16.799121709373861</v>
      </c>
      <c r="G17" s="133">
        <f>IF(SER_hh_fech_in!G17=0,0,SER_hh_fech_in!G17/SER_summary!G$27)</f>
        <v>16.731650005145596</v>
      </c>
      <c r="H17" s="133">
        <f>IF(SER_hh_fech_in!H17=0,0,SER_hh_fech_in!H17/SER_summary!H$27)</f>
        <v>18.416687334367278</v>
      </c>
      <c r="I17" s="133">
        <f>IF(SER_hh_fech_in!I17=0,0,SER_hh_fech_in!I17/SER_summary!I$27)</f>
        <v>20.022483780702224</v>
      </c>
      <c r="J17" s="133">
        <f>IF(SER_hh_fech_in!J17=0,0,SER_hh_fech_in!J17/SER_summary!J$27)</f>
        <v>16.936630304938102</v>
      </c>
      <c r="K17" s="133">
        <f>IF(SER_hh_fech_in!K17=0,0,SER_hh_fech_in!K17/SER_summary!K$27)</f>
        <v>16.855120730077093</v>
      </c>
      <c r="L17" s="133">
        <f>IF(SER_hh_fech_in!L17=0,0,SER_hh_fech_in!L17/SER_summary!L$27)</f>
        <v>17.42371025687677</v>
      </c>
      <c r="M17" s="133">
        <f>IF(SER_hh_fech_in!M17=0,0,SER_hh_fech_in!M17/SER_summary!M$27)</f>
        <v>16.932764144728576</v>
      </c>
      <c r="N17" s="133">
        <f>IF(SER_hh_fech_in!N17=0,0,SER_hh_fech_in!N17/SER_summary!N$27)</f>
        <v>21.090991934560442</v>
      </c>
      <c r="O17" s="133">
        <f>IF(SER_hh_fech_in!O17=0,0,SER_hh_fech_in!O17/SER_summary!O$27)</f>
        <v>16.931172157625987</v>
      </c>
      <c r="P17" s="133">
        <f>IF(SER_hh_fech_in!P17=0,0,SER_hh_fech_in!P17/SER_summary!P$27)</f>
        <v>14.657887727669939</v>
      </c>
      <c r="Q17" s="133">
        <f>IF(SER_hh_fech_in!Q17=0,0,SER_hh_fech_in!Q17/SER_summary!Q$27)</f>
        <v>20.295065399254351</v>
      </c>
      <c r="R17" s="133">
        <f>IF(SER_hh_fech_in!R17=0,0,SER_hh_fech_in!R17/SER_summary!R$27)</f>
        <v>13.696905962762962</v>
      </c>
      <c r="S17" s="133">
        <f>IF(SER_hh_fech_in!S17=0,0,SER_hh_fech_in!S17/SER_summary!S$27)</f>
        <v>16.019913635294674</v>
      </c>
      <c r="T17" s="133">
        <f>IF(SER_hh_fech_in!T17=0,0,SER_hh_fech_in!T17/SER_summary!T$27)</f>
        <v>14.563294614679064</v>
      </c>
      <c r="U17" s="133">
        <f>IF(SER_hh_fech_in!U17=0,0,SER_hh_fech_in!U17/SER_summary!U$27)</f>
        <v>14.890304170059187</v>
      </c>
      <c r="V17" s="133">
        <f>IF(SER_hh_fech_in!V17=0,0,SER_hh_fech_in!V17/SER_summary!V$27)</f>
        <v>10.098030895552025</v>
      </c>
      <c r="W17" s="133">
        <f>IF(SER_hh_fech_in!W17=0,0,SER_hh_fech_in!W17/SER_summary!W$27)</f>
        <v>11.536576443042193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9.9504012056686673</v>
      </c>
      <c r="D18" s="133">
        <f>IF(SER_hh_fech_in!D18=0,0,SER_hh_fech_in!D18/SER_summary!D$27)</f>
        <v>10.155258613319408</v>
      </c>
      <c r="E18" s="133">
        <f>IF(SER_hh_fech_in!E18=0,0,SER_hh_fech_in!E18/SER_summary!E$27)</f>
        <v>11.256310803595216</v>
      </c>
      <c r="F18" s="133">
        <f>IF(SER_hh_fech_in!F18=0,0,SER_hh_fech_in!F18/SER_summary!F$27)</f>
        <v>8.7119364036515332</v>
      </c>
      <c r="G18" s="133">
        <f>IF(SER_hh_fech_in!G18=0,0,SER_hh_fech_in!G18/SER_summary!G$27)</f>
        <v>8.4380234231880227</v>
      </c>
      <c r="H18" s="133">
        <f>IF(SER_hh_fech_in!H18=0,0,SER_hh_fech_in!H18/SER_summary!H$27)</f>
        <v>9.0344036253504285</v>
      </c>
      <c r="I18" s="133">
        <f>IF(SER_hh_fech_in!I18=0,0,SER_hh_fech_in!I18/SER_summary!I$27)</f>
        <v>9.5576723331562796</v>
      </c>
      <c r="J18" s="133">
        <f>IF(SER_hh_fech_in!J18=0,0,SER_hh_fech_in!J18/SER_summary!J$27)</f>
        <v>7.8686602047984104</v>
      </c>
      <c r="K18" s="133">
        <f>IF(SER_hh_fech_in!K18=0,0,SER_hh_fech_in!K18/SER_summary!K$27)</f>
        <v>7.6242273516169901</v>
      </c>
      <c r="L18" s="133">
        <f>IF(SER_hh_fech_in!L18=0,0,SER_hh_fech_in!L18/SER_summary!L$27)</f>
        <v>7.676272487785206</v>
      </c>
      <c r="M18" s="133">
        <f>IF(SER_hh_fech_in!M18=0,0,SER_hh_fech_in!M18/SER_summary!M$27)</f>
        <v>7.2418904787426577</v>
      </c>
      <c r="N18" s="133">
        <f>IF(SER_hh_fech_in!N18=0,0,SER_hh_fech_in!N18/SER_summary!N$27)</f>
        <v>8.7586159983262384</v>
      </c>
      <c r="O18" s="133">
        <f>IF(SER_hh_fech_in!O18=0,0,SER_hh_fech_in!O18/SER_summary!O$27)</f>
        <v>6.834419545966365</v>
      </c>
      <c r="P18" s="133">
        <f>IF(SER_hh_fech_in!P18=0,0,SER_hh_fech_in!P18/SER_summary!P$27)</f>
        <v>5.8059455073106632</v>
      </c>
      <c r="Q18" s="133">
        <f>IF(SER_hh_fech_in!Q18=0,0,SER_hh_fech_in!Q18/SER_summary!Q$27)</f>
        <v>7.9544268497466675</v>
      </c>
      <c r="R18" s="133">
        <f>IF(SER_hh_fech_in!R18=0,0,SER_hh_fech_in!R18/SER_summary!R$27)</f>
        <v>5.3603461202403224</v>
      </c>
      <c r="S18" s="133">
        <f>IF(SER_hh_fech_in!S18=0,0,SER_hh_fech_in!S18/SER_summary!S$27)</f>
        <v>6.2331444490967405</v>
      </c>
      <c r="T18" s="133">
        <f>IF(SER_hh_fech_in!T18=0,0,SER_hh_fech_in!T18/SER_summary!T$27)</f>
        <v>5.7228014038869528</v>
      </c>
      <c r="U18" s="133">
        <f>IF(SER_hh_fech_in!U18=0,0,SER_hh_fech_in!U18/SER_summary!U$27)</f>
        <v>5.8642696581848499</v>
      </c>
      <c r="V18" s="133">
        <f>IF(SER_hh_fech_in!V18=0,0,SER_hh_fech_in!V18/SER_summary!V$27)</f>
        <v>4.6853047082183474</v>
      </c>
      <c r="W18" s="133">
        <f>IF(SER_hh_fech_in!W18=0,0,SER_hh_fech_in!W18/SER_summary!W$27)</f>
        <v>5.3626403146967325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28.821238130921493</v>
      </c>
      <c r="D19" s="131">
        <f>IF(SER_hh_fech_in!D19=0,0,SER_hh_fech_in!D19/SER_summary!D$27)</f>
        <v>29.435350396800896</v>
      </c>
      <c r="E19" s="131">
        <f>IF(SER_hh_fech_in!E19=0,0,SER_hh_fech_in!E19/SER_summary!E$27)</f>
        <v>28.68125935384424</v>
      </c>
      <c r="F19" s="131">
        <f>IF(SER_hh_fech_in!F19=0,0,SER_hh_fech_in!F19/SER_summary!F$27)</f>
        <v>29.246567508764514</v>
      </c>
      <c r="G19" s="131">
        <f>IF(SER_hh_fech_in!G19=0,0,SER_hh_fech_in!G19/SER_summary!G$27)</f>
        <v>28.114190886927641</v>
      </c>
      <c r="H19" s="131">
        <f>IF(SER_hh_fech_in!H19=0,0,SER_hh_fech_in!H19/SER_summary!H$27)</f>
        <v>27.797271750485514</v>
      </c>
      <c r="I19" s="131">
        <f>IF(SER_hh_fech_in!I19=0,0,SER_hh_fech_in!I19/SER_summary!I$27)</f>
        <v>27.673793397048208</v>
      </c>
      <c r="J19" s="131">
        <f>IF(SER_hh_fech_in!J19=0,0,SER_hh_fech_in!J19/SER_summary!J$27)</f>
        <v>27.524072833610497</v>
      </c>
      <c r="K19" s="131">
        <f>IF(SER_hh_fech_in!K19=0,0,SER_hh_fech_in!K19/SER_summary!K$27)</f>
        <v>28.118843816216515</v>
      </c>
      <c r="L19" s="131">
        <f>IF(SER_hh_fech_in!L19=0,0,SER_hh_fech_in!L19/SER_summary!L$27)</f>
        <v>27.32658291898861</v>
      </c>
      <c r="M19" s="131">
        <f>IF(SER_hh_fech_in!M19=0,0,SER_hh_fech_in!M19/SER_summary!M$27)</f>
        <v>26.97012478067456</v>
      </c>
      <c r="N19" s="131">
        <f>IF(SER_hh_fech_in!N19=0,0,SER_hh_fech_in!N19/SER_summary!N$27)</f>
        <v>27.910166758477377</v>
      </c>
      <c r="O19" s="131">
        <f>IF(SER_hh_fech_in!O19=0,0,SER_hh_fech_in!O19/SER_summary!O$27)</f>
        <v>26.174299991750189</v>
      </c>
      <c r="P19" s="131">
        <f>IF(SER_hh_fech_in!P19=0,0,SER_hh_fech_in!P19/SER_summary!P$27)</f>
        <v>24.590631839962416</v>
      </c>
      <c r="Q19" s="131">
        <f>IF(SER_hh_fech_in!Q19=0,0,SER_hh_fech_in!Q19/SER_summary!Q$27)</f>
        <v>23.032037595848646</v>
      </c>
      <c r="R19" s="131">
        <f>IF(SER_hh_fech_in!R19=0,0,SER_hh_fech_in!R19/SER_summary!R$27)</f>
        <v>22.644186911596531</v>
      </c>
      <c r="S19" s="131">
        <f>IF(SER_hh_fech_in!S19=0,0,SER_hh_fech_in!S19/SER_summary!S$27)</f>
        <v>22.000291025753388</v>
      </c>
      <c r="T19" s="131">
        <f>IF(SER_hh_fech_in!T19=0,0,SER_hh_fech_in!T19/SER_summary!T$27)</f>
        <v>21.718901861054469</v>
      </c>
      <c r="U19" s="131">
        <f>IF(SER_hh_fech_in!U19=0,0,SER_hh_fech_in!U19/SER_summary!U$27)</f>
        <v>20.816251937007198</v>
      </c>
      <c r="V19" s="131">
        <f>IF(SER_hh_fech_in!V19=0,0,SER_hh_fech_in!V19/SER_summary!V$27)</f>
        <v>18.642661906614979</v>
      </c>
      <c r="W19" s="131">
        <f>IF(SER_hh_fech_in!W19=0,0,SER_hh_fech_in!W19/SER_summary!W$27)</f>
        <v>18.808966770745553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0</v>
      </c>
      <c r="D22" s="133">
        <f>IF(SER_hh_fech_in!D22=0,0,SER_hh_fech_in!D22/SER_summary!D$27)</f>
        <v>0</v>
      </c>
      <c r="E22" s="133">
        <f>IF(SER_hh_fech_in!E22=0,0,SER_hh_fech_in!E22/SER_summary!E$27)</f>
        <v>0</v>
      </c>
      <c r="F22" s="133">
        <f>IF(SER_hh_fech_in!F22=0,0,SER_hh_fech_in!F22/SER_summary!F$27)</f>
        <v>0</v>
      </c>
      <c r="G22" s="133">
        <f>IF(SER_hh_fech_in!G22=0,0,SER_hh_fech_in!G22/SER_summary!G$27)</f>
        <v>0</v>
      </c>
      <c r="H22" s="133">
        <f>IF(SER_hh_fech_in!H22=0,0,SER_hh_fech_in!H22/SER_summary!H$27)</f>
        <v>0</v>
      </c>
      <c r="I22" s="133">
        <f>IF(SER_hh_fech_in!I22=0,0,SER_hh_fech_in!I22/SER_summary!I$27)</f>
        <v>0</v>
      </c>
      <c r="J22" s="133">
        <f>IF(SER_hh_fech_in!J22=0,0,SER_hh_fech_in!J22/SER_summary!J$27)</f>
        <v>0</v>
      </c>
      <c r="K22" s="133">
        <f>IF(SER_hh_fech_in!K22=0,0,SER_hh_fech_in!K22/SER_summary!K$27)</f>
        <v>0</v>
      </c>
      <c r="L22" s="133">
        <f>IF(SER_hh_fech_in!L22=0,0,SER_hh_fech_in!L22/SER_summary!L$27)</f>
        <v>0</v>
      </c>
      <c r="M22" s="133">
        <f>IF(SER_hh_fech_in!M22=0,0,SER_hh_fech_in!M22/SER_summary!M$27)</f>
        <v>0</v>
      </c>
      <c r="N22" s="133">
        <f>IF(SER_hh_fech_in!N22=0,0,SER_hh_fech_in!N22/SER_summary!N$27)</f>
        <v>0</v>
      </c>
      <c r="O22" s="133">
        <f>IF(SER_hh_fech_in!O22=0,0,SER_hh_fech_in!O22/SER_summary!O$27)</f>
        <v>0</v>
      </c>
      <c r="P22" s="133">
        <f>IF(SER_hh_fech_in!P22=0,0,SER_hh_fech_in!P22/SER_summary!P$27)</f>
        <v>0</v>
      </c>
      <c r="Q22" s="133">
        <f>IF(SER_hh_fech_in!Q22=0,0,SER_hh_fech_in!Q22/SER_summary!Q$27)</f>
        <v>0</v>
      </c>
      <c r="R22" s="133">
        <f>IF(SER_hh_fech_in!R22=0,0,SER_hh_fech_in!R22/SER_summary!R$27)</f>
        <v>0</v>
      </c>
      <c r="S22" s="133">
        <f>IF(SER_hh_fech_in!S22=0,0,SER_hh_fech_in!S22/SER_summary!S$27)</f>
        <v>0</v>
      </c>
      <c r="T22" s="133">
        <f>IF(SER_hh_fech_in!T22=0,0,SER_hh_fech_in!T22/SER_summary!T$27)</f>
        <v>0</v>
      </c>
      <c r="U22" s="133">
        <f>IF(SER_hh_fech_in!U22=0,0,SER_hh_fech_in!U22/SER_summary!U$27)</f>
        <v>0</v>
      </c>
      <c r="V22" s="133">
        <f>IF(SER_hh_fech_in!V22=0,0,SER_hh_fech_in!V22/SER_summary!V$27)</f>
        <v>0</v>
      </c>
      <c r="W22" s="133">
        <f>IF(SER_hh_fech_in!W22=0,0,SER_hh_fech_in!W22/SER_summary!W$27)</f>
        <v>0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31.63910803088319</v>
      </c>
      <c r="D23" s="133">
        <f>IF(SER_hh_fech_in!D23=0,0,SER_hh_fech_in!D23/SER_summary!D$27)</f>
        <v>31.684048234253105</v>
      </c>
      <c r="E23" s="133">
        <f>IF(SER_hh_fech_in!E23=0,0,SER_hh_fech_in!E23/SER_summary!E$27)</f>
        <v>31.486504680167005</v>
      </c>
      <c r="F23" s="133">
        <f>IF(SER_hh_fech_in!F23=0,0,SER_hh_fech_in!F23/SER_summary!F$27)</f>
        <v>31.821612452199659</v>
      </c>
      <c r="G23" s="133">
        <f>IF(SER_hh_fech_in!G23=0,0,SER_hh_fech_in!G23/SER_summary!G$27)</f>
        <v>30.361471468190512</v>
      </c>
      <c r="H23" s="133">
        <f>IF(SER_hh_fech_in!H23=0,0,SER_hh_fech_in!H23/SER_summary!H$27)</f>
        <v>29.343944161490541</v>
      </c>
      <c r="I23" s="133">
        <f>IF(SER_hh_fech_in!I23=0,0,SER_hh_fech_in!I23/SER_summary!I$27)</f>
        <v>28.929495687547291</v>
      </c>
      <c r="J23" s="133">
        <f>IF(SER_hh_fech_in!J23=0,0,SER_hh_fech_in!J23/SER_summary!J$27)</f>
        <v>29.026289352553835</v>
      </c>
      <c r="K23" s="133">
        <f>IF(SER_hh_fech_in!K23=0,0,SER_hh_fech_in!K23/SER_summary!K$27)</f>
        <v>29.556656039598206</v>
      </c>
      <c r="L23" s="133">
        <f>IF(SER_hh_fech_in!L23=0,0,SER_hh_fech_in!L23/SER_summary!L$27)</f>
        <v>28.871054179691114</v>
      </c>
      <c r="M23" s="133">
        <f>IF(SER_hh_fech_in!M23=0,0,SER_hh_fech_in!M23/SER_summary!M$27)</f>
        <v>27.868247192021155</v>
      </c>
      <c r="N23" s="133">
        <f>IF(SER_hh_fech_in!N23=0,0,SER_hh_fech_in!N23/SER_summary!N$27)</f>
        <v>26.790224463453871</v>
      </c>
      <c r="O23" s="133">
        <f>IF(SER_hh_fech_in!O23=0,0,SER_hh_fech_in!O23/SER_summary!O$27)</f>
        <v>27.13098939993564</v>
      </c>
      <c r="P23" s="133">
        <f>IF(SER_hh_fech_in!P23=0,0,SER_hh_fech_in!P23/SER_summary!P$27)</f>
        <v>24.993194707482363</v>
      </c>
      <c r="Q23" s="133">
        <f>IF(SER_hh_fech_in!Q23=0,0,SER_hh_fech_in!Q23/SER_summary!Q$27)</f>
        <v>23.848223072006764</v>
      </c>
      <c r="R23" s="133">
        <f>IF(SER_hh_fech_in!R23=0,0,SER_hh_fech_in!R23/SER_summary!R$27)</f>
        <v>23.564068246060543</v>
      </c>
      <c r="S23" s="133">
        <f>IF(SER_hh_fech_in!S23=0,0,SER_hh_fech_in!S23/SER_summary!S$27)</f>
        <v>22.848431227985593</v>
      </c>
      <c r="T23" s="133">
        <f>IF(SER_hh_fech_in!T23=0,0,SER_hh_fech_in!T23/SER_summary!T$27)</f>
        <v>22.675179323068651</v>
      </c>
      <c r="U23" s="133">
        <f>IF(SER_hh_fech_in!U23=0,0,SER_hh_fech_in!U23/SER_summary!U$27)</f>
        <v>21.507372777516366</v>
      </c>
      <c r="V23" s="133">
        <f>IF(SER_hh_fech_in!V23=0,0,SER_hh_fech_in!V23/SER_summary!V$27)</f>
        <v>19.385508546514764</v>
      </c>
      <c r="W23" s="133">
        <f>IF(SER_hh_fech_in!W23=0,0,SER_hh_fech_in!W23/SER_summary!W$27)</f>
        <v>19.129554023917393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35.771762501031567</v>
      </c>
      <c r="O24" s="133">
        <f>IF(SER_hh_fech_in!O24=0,0,SER_hh_fech_in!O24/SER_summary!O$27)</f>
        <v>27.448094569163555</v>
      </c>
      <c r="P24" s="133">
        <f>IF(SER_hh_fech_in!P24=0,0,SER_hh_fech_in!P24/SER_summary!P$27)</f>
        <v>24.519604031418844</v>
      </c>
      <c r="Q24" s="133">
        <f>IF(SER_hh_fech_in!Q24=0,0,SER_hh_fech_in!Q24/SER_summary!Q$27)</f>
        <v>19.010343011761027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20.846431959399929</v>
      </c>
      <c r="V24" s="133">
        <f>IF(SER_hh_fech_in!V24=0,0,SER_hh_fech_in!V24/SER_summary!V$27)</f>
        <v>19.520239856268375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22.706593342324521</v>
      </c>
      <c r="D25" s="133">
        <f>IF(SER_hh_fech_in!D25=0,0,SER_hh_fech_in!D25/SER_summary!D$27)</f>
        <v>22.657505402716129</v>
      </c>
      <c r="E25" s="133">
        <f>IF(SER_hh_fech_in!E25=0,0,SER_hh_fech_in!E25/SER_summary!E$27)</f>
        <v>22.424551147517619</v>
      </c>
      <c r="F25" s="133">
        <f>IF(SER_hh_fech_in!F25=0,0,SER_hh_fech_in!F25/SER_summary!F$27)</f>
        <v>22.256690892167768</v>
      </c>
      <c r="G25" s="133">
        <f>IF(SER_hh_fech_in!G25=0,0,SER_hh_fech_in!G25/SER_summary!G$27)</f>
        <v>22.78322339743335</v>
      </c>
      <c r="H25" s="133">
        <f>IF(SER_hh_fech_in!H25=0,0,SER_hh_fech_in!H25/SER_summary!H$27)</f>
        <v>22.294113380463738</v>
      </c>
      <c r="I25" s="133">
        <f>IF(SER_hh_fech_in!I25=0,0,SER_hh_fech_in!I25/SER_summary!I$27)</f>
        <v>22.004000544396924</v>
      </c>
      <c r="J25" s="133">
        <f>IF(SER_hh_fech_in!J25=0,0,SER_hh_fech_in!J25/SER_summary!J$27)</f>
        <v>22.576273671743319</v>
      </c>
      <c r="K25" s="133">
        <f>IF(SER_hh_fech_in!K25=0,0,SER_hh_fech_in!K25/SER_summary!K$27)</f>
        <v>22.490100405810704</v>
      </c>
      <c r="L25" s="133">
        <f>IF(SER_hh_fech_in!L25=0,0,SER_hh_fech_in!L25/SER_summary!L$27)</f>
        <v>22.167029671199398</v>
      </c>
      <c r="M25" s="133">
        <f>IF(SER_hh_fech_in!M25=0,0,SER_hh_fech_in!M25/SER_summary!M$27)</f>
        <v>22.238746757844964</v>
      </c>
      <c r="N25" s="133">
        <f>IF(SER_hh_fech_in!N25=0,0,SER_hh_fech_in!N25/SER_summary!N$27)</f>
        <v>22.536923683569817</v>
      </c>
      <c r="O25" s="133">
        <f>IF(SER_hh_fech_in!O25=0,0,SER_hh_fech_in!O25/SER_summary!O$27)</f>
        <v>21.732565292712085</v>
      </c>
      <c r="P25" s="133">
        <f>IF(SER_hh_fech_in!P25=0,0,SER_hh_fech_in!P25/SER_summary!P$27)</f>
        <v>21.050007753466289</v>
      </c>
      <c r="Q25" s="133">
        <f>IF(SER_hh_fech_in!Q25=0,0,SER_hh_fech_in!Q25/SER_summary!Q$27)</f>
        <v>20.917293344172794</v>
      </c>
      <c r="R25" s="133">
        <f>IF(SER_hh_fech_in!R25=0,0,SER_hh_fech_in!R25/SER_summary!R$27)</f>
        <v>20.805278907949443</v>
      </c>
      <c r="S25" s="133">
        <f>IF(SER_hh_fech_in!S25=0,0,SER_hh_fech_in!S25/SER_summary!S$27)</f>
        <v>20.571417607647579</v>
      </c>
      <c r="T25" s="133">
        <f>IF(SER_hh_fech_in!T25=0,0,SER_hh_fech_in!T25/SER_summary!T$27)</f>
        <v>20.261438897631994</v>
      </c>
      <c r="U25" s="133">
        <f>IF(SER_hh_fech_in!U25=0,0,SER_hh_fech_in!U25/SER_summary!U$27)</f>
        <v>20.448413727967374</v>
      </c>
      <c r="V25" s="133">
        <f>IF(SER_hh_fech_in!V25=0,0,SER_hh_fech_in!V25/SER_summary!V$27)</f>
        <v>17.407046394562194</v>
      </c>
      <c r="W25" s="133">
        <f>IF(SER_hh_fech_in!W25=0,0,SER_hh_fech_in!W25/SER_summary!W$27)</f>
        <v>18.160169481999738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27.494520974295501</v>
      </c>
      <c r="D26" s="65">
        <f>IF(SER_hh_fech_in!D26=0,0,SER_hh_fech_in!D26/SER_summary!D$27)</f>
        <v>27.823047215864758</v>
      </c>
      <c r="E26" s="65">
        <f>IF(SER_hh_fech_in!E26=0,0,SER_hh_fech_in!E26/SER_summary!E$27)</f>
        <v>26.902482160109646</v>
      </c>
      <c r="F26" s="65">
        <f>IF(SER_hh_fech_in!F26=0,0,SER_hh_fech_in!F26/SER_summary!F$27)</f>
        <v>27.178373661255954</v>
      </c>
      <c r="G26" s="65">
        <f>IF(SER_hh_fech_in!G26=0,0,SER_hh_fech_in!G26/SER_summary!G$27)</f>
        <v>26.728680116167112</v>
      </c>
      <c r="H26" s="65">
        <f>IF(SER_hh_fech_in!H26=0,0,SER_hh_fech_in!H26/SER_summary!H$27)</f>
        <v>26.732524372885052</v>
      </c>
      <c r="I26" s="65">
        <f>IF(SER_hh_fech_in!I26=0,0,SER_hh_fech_in!I26/SER_summary!I$27)</f>
        <v>26.404432785435592</v>
      </c>
      <c r="J26" s="65">
        <f>IF(SER_hh_fech_in!J26=0,0,SER_hh_fech_in!J26/SER_summary!J$27)</f>
        <v>21.222046075645913</v>
      </c>
      <c r="K26" s="65">
        <f>IF(SER_hh_fech_in!K26=0,0,SER_hh_fech_in!K26/SER_summary!K$27)</f>
        <v>21.708370561609783</v>
      </c>
      <c r="L26" s="65">
        <f>IF(SER_hh_fech_in!L26=0,0,SER_hh_fech_in!L26/SER_summary!L$27)</f>
        <v>20.043930860341892</v>
      </c>
      <c r="M26" s="65">
        <f>IF(SER_hh_fech_in!M26=0,0,SER_hh_fech_in!M26/SER_summary!M$27)</f>
        <v>24.840944528359245</v>
      </c>
      <c r="N26" s="65">
        <f>IF(SER_hh_fech_in!N26=0,0,SER_hh_fech_in!N26/SER_summary!N$27)</f>
        <v>26.942162249578587</v>
      </c>
      <c r="O26" s="65">
        <f>IF(SER_hh_fech_in!O26=0,0,SER_hh_fech_in!O26/SER_summary!O$27)</f>
        <v>23.564341487609795</v>
      </c>
      <c r="P26" s="65">
        <f>IF(SER_hh_fech_in!P26=0,0,SER_hh_fech_in!P26/SER_summary!P$27)</f>
        <v>22.138696984301767</v>
      </c>
      <c r="Q26" s="65">
        <f>IF(SER_hh_fech_in!Q26=0,0,SER_hh_fech_in!Q26/SER_summary!Q$27)</f>
        <v>20.773693948949898</v>
      </c>
      <c r="R26" s="65">
        <f>IF(SER_hh_fech_in!R26=0,0,SER_hh_fech_in!R26/SER_summary!R$27)</f>
        <v>21.820846760953547</v>
      </c>
      <c r="S26" s="65">
        <f>IF(SER_hh_fech_in!S26=0,0,SER_hh_fech_in!S26/SER_summary!S$27)</f>
        <v>20.595540267874693</v>
      </c>
      <c r="T26" s="65">
        <f>IF(SER_hh_fech_in!T26=0,0,SER_hh_fech_in!T26/SER_summary!T$27)</f>
        <v>19.986615438090158</v>
      </c>
      <c r="U26" s="65">
        <f>IF(SER_hh_fech_in!U26=0,0,SER_hh_fech_in!U26/SER_summary!U$27)</f>
        <v>18.948159044364633</v>
      </c>
      <c r="V26" s="65">
        <f>IF(SER_hh_fech_in!V26=0,0,SER_hh_fech_in!V26/SER_summary!V$27)</f>
        <v>16.41431064392156</v>
      </c>
      <c r="W26" s="65">
        <f>IF(SER_hh_fech_in!W26=0,0,SER_hh_fech_in!W26/SER_summary!W$27)</f>
        <v>18.450367272096237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0.11401480955709738</v>
      </c>
      <c r="H27" s="146">
        <f>IF(SER_hh_fech_in!H27=0,0,SER_hh_fech_in!H27/SER_summary!H$27)</f>
        <v>0.18274547968572796</v>
      </c>
      <c r="I27" s="146">
        <f>IF(SER_hh_fech_in!I27=0,0,SER_hh_fech_in!I27/SER_summary!I$27)</f>
        <v>0.11115034466885564</v>
      </c>
      <c r="J27" s="146">
        <f>IF(SER_hh_fech_in!J27=0,0,SER_hh_fech_in!J27/SER_summary!J$27)</f>
        <v>0.63515062724759219</v>
      </c>
      <c r="K27" s="146">
        <f>IF(SER_hh_fech_in!K27=0,0,SER_hh_fech_in!K27/SER_summary!K$27)</f>
        <v>0.49296102092860572</v>
      </c>
      <c r="L27" s="146">
        <f>IF(SER_hh_fech_in!L27=0,0,SER_hh_fech_in!L27/SER_summary!L$27)</f>
        <v>1.0524280454579926</v>
      </c>
      <c r="M27" s="146">
        <f>IF(SER_hh_fech_in!M27=0,0,SER_hh_fech_in!M27/SER_summary!M$27)</f>
        <v>0.42338364474074935</v>
      </c>
      <c r="N27" s="146">
        <f>IF(SER_hh_fech_in!N27=0,0,SER_hh_fech_in!N27/SER_summary!N$27)</f>
        <v>0</v>
      </c>
      <c r="O27" s="146">
        <f>IF(SER_hh_fech_in!O27=0,0,SER_hh_fech_in!O27/SER_summary!O$27)</f>
        <v>3.7733435200205848E-2</v>
      </c>
      <c r="P27" s="146">
        <f>IF(SER_hh_fech_in!P27=0,0,SER_hh_fech_in!P27/SER_summary!P$27)</f>
        <v>9.8439510820216194E-2</v>
      </c>
      <c r="Q27" s="146">
        <f>IF(SER_hh_fech_in!Q27=0,0,SER_hh_fech_in!Q27/SER_summary!Q$27)</f>
        <v>0.46587286827416802</v>
      </c>
      <c r="R27" s="146">
        <f>IF(SER_hh_fech_in!R27=0,0,SER_hh_fech_in!R27/SER_summary!R$27)</f>
        <v>1.5281438005223116E-8</v>
      </c>
      <c r="S27" s="146">
        <f>IF(SER_hh_fech_in!S27=0,0,SER_hh_fech_in!S27/SER_summary!S$27)</f>
        <v>0.15284860109357751</v>
      </c>
      <c r="T27" s="146">
        <f>IF(SER_hh_fech_in!T27=0,0,SER_hh_fech_in!T27/SER_summary!T$27)</f>
        <v>6.1968759864913132E-2</v>
      </c>
      <c r="U27" s="146">
        <f>IF(SER_hh_fech_in!U27=0,0,SER_hh_fech_in!U27/SER_summary!U$27)</f>
        <v>0.25648599337488737</v>
      </c>
      <c r="V27" s="146">
        <f>IF(SER_hh_fech_in!V27=0,0,SER_hh_fech_in!V27/SER_summary!V$27)</f>
        <v>0.30491750154253733</v>
      </c>
      <c r="W27" s="146">
        <f>IF(SER_hh_fech_in!W27=0,0,SER_hh_fech_in!W27/SER_summary!W$27)</f>
        <v>8.1393005248985819E-16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14.656173162684796</v>
      </c>
      <c r="H28" s="147">
        <f>IF(SER_hh_fech_in!H28=0,0,SER_hh_fech_in!H28/SER_summary!H$27)</f>
        <v>13.359791889135854</v>
      </c>
      <c r="I28" s="147">
        <f>IF(SER_hh_fech_in!I28=0,0,SER_hh_fech_in!I28/SER_summary!I$27)</f>
        <v>14.139783975375375</v>
      </c>
      <c r="J28" s="147">
        <f>IF(SER_hh_fech_in!J28=0,0,SER_hh_fech_in!J28/SER_summary!J$27)</f>
        <v>13.721774496976254</v>
      </c>
      <c r="K28" s="147">
        <f>IF(SER_hh_fech_in!K28=0,0,SER_hh_fech_in!K28/SER_summary!K$27)</f>
        <v>14.2656317652533</v>
      </c>
      <c r="L28" s="147">
        <f>IF(SER_hh_fech_in!L28=0,0,SER_hh_fech_in!L28/SER_summary!L$27)</f>
        <v>14.356141538268876</v>
      </c>
      <c r="M28" s="147">
        <f>IF(SER_hh_fech_in!M28=0,0,SER_hh_fech_in!M28/SER_summary!M$27)</f>
        <v>13.611778160276268</v>
      </c>
      <c r="N28" s="147">
        <f>IF(SER_hh_fech_in!N28=0,0,SER_hh_fech_in!N28/SER_summary!N$27)</f>
        <v>0</v>
      </c>
      <c r="O28" s="147">
        <f>IF(SER_hh_fech_in!O28=0,0,SER_hh_fech_in!O28/SER_summary!O$27)</f>
        <v>19.172205569047421</v>
      </c>
      <c r="P28" s="147">
        <f>IF(SER_hh_fech_in!P28=0,0,SER_hh_fech_in!P28/SER_summary!P$27)</f>
        <v>14.807591691954027</v>
      </c>
      <c r="Q28" s="147">
        <f>IF(SER_hh_fech_in!Q28=0,0,SER_hh_fech_in!Q28/SER_summary!Q$27)</f>
        <v>13.189459629137492</v>
      </c>
      <c r="R28" s="147">
        <f>IF(SER_hh_fech_in!R28=0,0,SER_hh_fech_in!R28/SER_summary!R$27)</f>
        <v>13.352792371899323</v>
      </c>
      <c r="S28" s="147">
        <f>IF(SER_hh_fech_in!S28=0,0,SER_hh_fech_in!S28/SER_summary!S$27)</f>
        <v>13.636882226465014</v>
      </c>
      <c r="T28" s="147">
        <f>IF(SER_hh_fech_in!T28=0,0,SER_hh_fech_in!T28/SER_summary!T$27)</f>
        <v>13.616445694570361</v>
      </c>
      <c r="U28" s="147">
        <f>IF(SER_hh_fech_in!U28=0,0,SER_hh_fech_in!U28/SER_summary!U$27)</f>
        <v>13.449380549359203</v>
      </c>
      <c r="V28" s="147">
        <f>IF(SER_hh_fech_in!V28=0,0,SER_hh_fech_in!V28/SER_summary!V$27)</f>
        <v>12.002900469261849</v>
      </c>
      <c r="W28" s="147">
        <f>IF(SER_hh_fech_in!W28=0,0,SER_hh_fech_in!W28/SER_summary!W$27)</f>
        <v>13.357038490459237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31.29119902898163</v>
      </c>
      <c r="D29" s="131">
        <f>IF(SER_hh_fech_in!D29=0,0,SER_hh_fech_in!D29/SER_summary!D$27)</f>
        <v>30.267835341936483</v>
      </c>
      <c r="E29" s="131">
        <f>IF(SER_hh_fech_in!E29=0,0,SER_hh_fech_in!E29/SER_summary!E$27)</f>
        <v>29.951190522266</v>
      </c>
      <c r="F29" s="131">
        <f>IF(SER_hh_fech_in!F29=0,0,SER_hh_fech_in!F29/SER_summary!F$27)</f>
        <v>32.459963436013432</v>
      </c>
      <c r="G29" s="131">
        <f>IF(SER_hh_fech_in!G29=0,0,SER_hh_fech_in!G29/SER_summary!G$27)</f>
        <v>30.943333417801558</v>
      </c>
      <c r="H29" s="131">
        <f>IF(SER_hh_fech_in!H29=0,0,SER_hh_fech_in!H29/SER_summary!H$27)</f>
        <v>31.37320129926038</v>
      </c>
      <c r="I29" s="131">
        <f>IF(SER_hh_fech_in!I29=0,0,SER_hh_fech_in!I29/SER_summary!I$27)</f>
        <v>30.048354083886611</v>
      </c>
      <c r="J29" s="131">
        <f>IF(SER_hh_fech_in!J29=0,0,SER_hh_fech_in!J29/SER_summary!J$27)</f>
        <v>29.855287660439259</v>
      </c>
      <c r="K29" s="131">
        <f>IF(SER_hh_fech_in!K29=0,0,SER_hh_fech_in!K29/SER_summary!K$27)</f>
        <v>29.459121013401884</v>
      </c>
      <c r="L29" s="131">
        <f>IF(SER_hh_fech_in!L29=0,0,SER_hh_fech_in!L29/SER_summary!L$27)</f>
        <v>31.09846314503546</v>
      </c>
      <c r="M29" s="131">
        <f>IF(SER_hh_fech_in!M29=0,0,SER_hh_fech_in!M29/SER_summary!M$27)</f>
        <v>33.10252892879128</v>
      </c>
      <c r="N29" s="131">
        <f>IF(SER_hh_fech_in!N29=0,0,SER_hh_fech_in!N29/SER_summary!N$27)</f>
        <v>32.040724439072733</v>
      </c>
      <c r="O29" s="131">
        <f>IF(SER_hh_fech_in!O29=0,0,SER_hh_fech_in!O29/SER_summary!O$27)</f>
        <v>30.992442981519918</v>
      </c>
      <c r="P29" s="131">
        <f>IF(SER_hh_fech_in!P29=0,0,SER_hh_fech_in!P29/SER_summary!P$27)</f>
        <v>28.906400738499514</v>
      </c>
      <c r="Q29" s="131">
        <f>IF(SER_hh_fech_in!Q29=0,0,SER_hh_fech_in!Q29/SER_summary!Q$27)</f>
        <v>28.577805024449255</v>
      </c>
      <c r="R29" s="131">
        <f>IF(SER_hh_fech_in!R29=0,0,SER_hh_fech_in!R29/SER_summary!R$27)</f>
        <v>27.543192360766866</v>
      </c>
      <c r="S29" s="131">
        <f>IF(SER_hh_fech_in!S29=0,0,SER_hh_fech_in!S29/SER_summary!S$27)</f>
        <v>27.153814817632831</v>
      </c>
      <c r="T29" s="131">
        <f>IF(SER_hh_fech_in!T29=0,0,SER_hh_fech_in!T29/SER_summary!T$27)</f>
        <v>27.960193160978626</v>
      </c>
      <c r="U29" s="131">
        <f>IF(SER_hh_fech_in!U29=0,0,SER_hh_fech_in!U29/SER_summary!U$27)</f>
        <v>27.443698527072986</v>
      </c>
      <c r="V29" s="131">
        <f>IF(SER_hh_fech_in!V29=0,0,SER_hh_fech_in!V29/SER_summary!V$27)</f>
        <v>26.891640762372692</v>
      </c>
      <c r="W29" s="131">
        <f>IF(SER_hh_fech_in!W29=0,0,SER_hh_fech_in!W29/SER_summary!W$27)</f>
        <v>27.931467692582398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33.235407012805801</v>
      </c>
      <c r="D30" s="133">
        <f>IF(SER_hh_fech_in!D30=0,0,SER_hh_fech_in!D30/SER_summary!D$27)</f>
        <v>38.85363955930633</v>
      </c>
      <c r="E30" s="133">
        <f>IF(SER_hh_fech_in!E30=0,0,SER_hh_fech_in!E30/SER_summary!E$27)</f>
        <v>0</v>
      </c>
      <c r="F30" s="133">
        <f>IF(SER_hh_fech_in!F30=0,0,SER_hh_fech_in!F30/SER_summary!F$27)</f>
        <v>0</v>
      </c>
      <c r="G30" s="133">
        <f>IF(SER_hh_fech_in!G30=0,0,SER_hh_fech_in!G30/SER_summary!G$27)</f>
        <v>0</v>
      </c>
      <c r="H30" s="133">
        <f>IF(SER_hh_fech_in!H30=0,0,SER_hh_fech_in!H30/SER_summary!H$27)</f>
        <v>34.482926119636602</v>
      </c>
      <c r="I30" s="133">
        <f>IF(SER_hh_fech_in!I30=0,0,SER_hh_fech_in!I30/SER_summary!I$27)</f>
        <v>35.868824069795004</v>
      </c>
      <c r="J30" s="133">
        <f>IF(SER_hh_fech_in!J30=0,0,SER_hh_fech_in!J30/SER_summary!J$27)</f>
        <v>31.544715459029778</v>
      </c>
      <c r="K30" s="133">
        <f>IF(SER_hh_fech_in!K30=0,0,SER_hh_fech_in!K30/SER_summary!K$27)</f>
        <v>32.927236666943138</v>
      </c>
      <c r="L30" s="133">
        <f>IF(SER_hh_fech_in!L30=0,0,SER_hh_fech_in!L30/SER_summary!L$27)</f>
        <v>37.745816626307985</v>
      </c>
      <c r="M30" s="133">
        <f>IF(SER_hh_fech_in!M30=0,0,SER_hh_fech_in!M30/SER_summary!M$27)</f>
        <v>0</v>
      </c>
      <c r="N30" s="133">
        <f>IF(SER_hh_fech_in!N30=0,0,SER_hh_fech_in!N30/SER_summary!N$27)</f>
        <v>0</v>
      </c>
      <c r="O30" s="133">
        <f>IF(SER_hh_fech_in!O30=0,0,SER_hh_fech_in!O30/SER_summary!O$27)</f>
        <v>0</v>
      </c>
      <c r="P30" s="133">
        <f>IF(SER_hh_fech_in!P30=0,0,SER_hh_fech_in!P30/SER_summary!P$27)</f>
        <v>32.21916149989864</v>
      </c>
      <c r="Q30" s="133">
        <f>IF(SER_hh_fech_in!Q30=0,0,SER_hh_fech_in!Q30/SER_summary!Q$27)</f>
        <v>37.962323934047198</v>
      </c>
      <c r="R30" s="133">
        <f>IF(SER_hh_fech_in!R30=0,0,SER_hh_fech_in!R30/SER_summary!R$27)</f>
        <v>31.283819635688598</v>
      </c>
      <c r="S30" s="133">
        <f>IF(SER_hh_fech_in!S30=0,0,SER_hh_fech_in!S30/SER_summary!S$27)</f>
        <v>27.143675871435832</v>
      </c>
      <c r="T30" s="133">
        <f>IF(SER_hh_fech_in!T30=0,0,SER_hh_fech_in!T30/SER_summary!T$27)</f>
        <v>33.339589948152152</v>
      </c>
      <c r="U30" s="133">
        <f>IF(SER_hh_fech_in!U30=0,0,SER_hh_fech_in!U30/SER_summary!U$27)</f>
        <v>28.908931370923916</v>
      </c>
      <c r="V30" s="133">
        <f>IF(SER_hh_fech_in!V30=0,0,SER_hh_fech_in!V30/SER_summary!V$27)</f>
        <v>39.731549441927356</v>
      </c>
      <c r="W30" s="133">
        <f>IF(SER_hh_fech_in!W30=0,0,SER_hh_fech_in!W30/SER_summary!W$27)</f>
        <v>26.985199371846115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38.341539316782516</v>
      </c>
      <c r="D31" s="133">
        <f>IF(SER_hh_fech_in!D31=0,0,SER_hh_fech_in!D31/SER_summary!D$27)</f>
        <v>31.899347749304724</v>
      </c>
      <c r="E31" s="133">
        <f>IF(SER_hh_fech_in!E31=0,0,SER_hh_fech_in!E31/SER_summary!E$27)</f>
        <v>33.544130664491931</v>
      </c>
      <c r="F31" s="133">
        <f>IF(SER_hh_fech_in!F31=0,0,SER_hh_fech_in!F31/SER_summary!F$27)</f>
        <v>36.067977098459103</v>
      </c>
      <c r="G31" s="133">
        <f>IF(SER_hh_fech_in!G31=0,0,SER_hh_fech_in!G31/SER_summary!G$27)</f>
        <v>34.475718603022727</v>
      </c>
      <c r="H31" s="133">
        <f>IF(SER_hh_fech_in!H31=0,0,SER_hh_fech_in!H31/SER_summary!H$27)</f>
        <v>34.747916714533957</v>
      </c>
      <c r="I31" s="133">
        <f>IF(SER_hh_fech_in!I31=0,0,SER_hh_fech_in!I31/SER_summary!I$27)</f>
        <v>34.014337691480563</v>
      </c>
      <c r="J31" s="133">
        <f>IF(SER_hh_fech_in!J31=0,0,SER_hh_fech_in!J31/SER_summary!J$27)</f>
        <v>34.053354466602279</v>
      </c>
      <c r="K31" s="133">
        <f>IF(SER_hh_fech_in!K31=0,0,SER_hh_fech_in!K31/SER_summary!K$27)</f>
        <v>33.796142805832908</v>
      </c>
      <c r="L31" s="133">
        <f>IF(SER_hh_fech_in!L31=0,0,SER_hh_fech_in!L31/SER_summary!L$27)</f>
        <v>33.78316947935739</v>
      </c>
      <c r="M31" s="133">
        <f>IF(SER_hh_fech_in!M31=0,0,SER_hh_fech_in!M31/SER_summary!M$27)</f>
        <v>34.117379325977979</v>
      </c>
      <c r="N31" s="133">
        <f>IF(SER_hh_fech_in!N31=0,0,SER_hh_fech_in!N31/SER_summary!N$27)</f>
        <v>34.145214219989995</v>
      </c>
      <c r="O31" s="133">
        <f>IF(SER_hh_fech_in!O31=0,0,SER_hh_fech_in!O31/SER_summary!O$27)</f>
        <v>34.383399921875181</v>
      </c>
      <c r="P31" s="133">
        <f>IF(SER_hh_fech_in!P31=0,0,SER_hh_fech_in!P31/SER_summary!P$27)</f>
        <v>33.347433473034229</v>
      </c>
      <c r="Q31" s="133">
        <f>IF(SER_hh_fech_in!Q31=0,0,SER_hh_fech_in!Q31/SER_summary!Q$27)</f>
        <v>32.390642845854764</v>
      </c>
      <c r="R31" s="133">
        <f>IF(SER_hh_fech_in!R31=0,0,SER_hh_fech_in!R31/SER_summary!R$27)</f>
        <v>32.032293989174256</v>
      </c>
      <c r="S31" s="133">
        <f>IF(SER_hh_fech_in!S31=0,0,SER_hh_fech_in!S31/SER_summary!S$27)</f>
        <v>31.735374009170656</v>
      </c>
      <c r="T31" s="133">
        <f>IF(SER_hh_fech_in!T31=0,0,SER_hh_fech_in!T31/SER_summary!T$27)</f>
        <v>31.589109960287001</v>
      </c>
      <c r="U31" s="133">
        <f>IF(SER_hh_fech_in!U31=0,0,SER_hh_fech_in!U31/SER_summary!U$27)</f>
        <v>31.370010005679053</v>
      </c>
      <c r="V31" s="133">
        <f>IF(SER_hh_fech_in!V31=0,0,SER_hh_fech_in!V31/SER_summary!V$27)</f>
        <v>29.569623752215925</v>
      </c>
      <c r="W31" s="133">
        <f>IF(SER_hh_fech_in!W31=0,0,SER_hh_fech_in!W31/SER_summary!W$27)</f>
        <v>31.353507906130133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27.198291339805262</v>
      </c>
      <c r="D33" s="68">
        <f>IF(SER_hh_fech_in!D33=0,0,SER_hh_fech_in!D33/SER_summary!D$27)</f>
        <v>26.676825440023027</v>
      </c>
      <c r="E33" s="68">
        <f>IF(SER_hh_fech_in!E33=0,0,SER_hh_fech_in!E33/SER_summary!E$27)</f>
        <v>26.160082550469504</v>
      </c>
      <c r="F33" s="68">
        <f>IF(SER_hh_fech_in!F33=0,0,SER_hh_fech_in!F33/SER_summary!F$27)</f>
        <v>26.469850295853867</v>
      </c>
      <c r="G33" s="68">
        <f>IF(SER_hh_fech_in!G33=0,0,SER_hh_fech_in!G33/SER_summary!G$27)</f>
        <v>25.549548774216071</v>
      </c>
      <c r="H33" s="68">
        <f>IF(SER_hh_fech_in!H33=0,0,SER_hh_fech_in!H33/SER_summary!H$27)</f>
        <v>25.426873154062619</v>
      </c>
      <c r="I33" s="68">
        <f>IF(SER_hh_fech_in!I33=0,0,SER_hh_fech_in!I33/SER_summary!I$27)</f>
        <v>24.305253907427623</v>
      </c>
      <c r="J33" s="68">
        <f>IF(SER_hh_fech_in!J33=0,0,SER_hh_fech_in!J33/SER_summary!J$27)</f>
        <v>24.896082024433344</v>
      </c>
      <c r="K33" s="68">
        <f>IF(SER_hh_fech_in!K33=0,0,SER_hh_fech_in!K33/SER_summary!K$27)</f>
        <v>25.196257683228776</v>
      </c>
      <c r="L33" s="68">
        <f>IF(SER_hh_fech_in!L33=0,0,SER_hh_fech_in!L33/SER_summary!L$27)</f>
        <v>25.818338401338718</v>
      </c>
      <c r="M33" s="68">
        <f>IF(SER_hh_fech_in!M33=0,0,SER_hh_fech_in!M33/SER_summary!M$27)</f>
        <v>25.344929661833714</v>
      </c>
      <c r="N33" s="68">
        <f>IF(SER_hh_fech_in!N33=0,0,SER_hh_fech_in!N33/SER_summary!N$27)</f>
        <v>24.773105770705673</v>
      </c>
      <c r="O33" s="68">
        <f>IF(SER_hh_fech_in!O33=0,0,SER_hh_fech_in!O33/SER_summary!O$27)</f>
        <v>24.402183365734611</v>
      </c>
      <c r="P33" s="68">
        <f>IF(SER_hh_fech_in!P33=0,0,SER_hh_fech_in!P33/SER_summary!P$27)</f>
        <v>22.774441504774931</v>
      </c>
      <c r="Q33" s="68">
        <f>IF(SER_hh_fech_in!Q33=0,0,SER_hh_fech_in!Q33/SER_summary!Q$27)</f>
        <v>23.460718874974543</v>
      </c>
      <c r="R33" s="68">
        <f>IF(SER_hh_fech_in!R33=0,0,SER_hh_fech_in!R33/SER_summary!R$27)</f>
        <v>23.447954144337007</v>
      </c>
      <c r="S33" s="68">
        <f>IF(SER_hh_fech_in!S33=0,0,SER_hh_fech_in!S33/SER_summary!S$27)</f>
        <v>22.71452082557224</v>
      </c>
      <c r="T33" s="68">
        <f>IF(SER_hh_fech_in!T33=0,0,SER_hh_fech_in!T33/SER_summary!T$27)</f>
        <v>22.716484717573646</v>
      </c>
      <c r="U33" s="68">
        <f>IF(SER_hh_fech_in!U33=0,0,SER_hh_fech_in!U33/SER_summary!U$27)</f>
        <v>22.317004007156864</v>
      </c>
      <c r="V33" s="68">
        <f>IF(SER_hh_fech_in!V33=0,0,SER_hh_fech_in!V33/SER_summary!V$27)</f>
        <v>19.811985693576663</v>
      </c>
      <c r="W33" s="68">
        <f>IF(SER_hh_fech_in!W33=0,0,SER_hh_fech_in!W33/SER_summary!W$27)</f>
        <v>22.046362885994959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264.08905760455457</v>
      </c>
      <c r="D3" s="126">
        <f>IF(SER_hh_tesh_in!D3=0,0,SER_hh_tesh_in!D3/SER_summary!D$27)</f>
        <v>238.03240366997318</v>
      </c>
      <c r="E3" s="126">
        <f>IF(SER_hh_tesh_in!E3=0,0,SER_hh_tesh_in!E3/SER_summary!E$27)</f>
        <v>232.1675908246101</v>
      </c>
      <c r="F3" s="126">
        <f>IF(SER_hh_tesh_in!F3=0,0,SER_hh_tesh_in!F3/SER_summary!F$27)</f>
        <v>269.08029676641041</v>
      </c>
      <c r="G3" s="126">
        <f>IF(SER_hh_tesh_in!G3=0,0,SER_hh_tesh_in!G3/SER_summary!G$27)</f>
        <v>255.64004275309975</v>
      </c>
      <c r="H3" s="126">
        <f>IF(SER_hh_tesh_in!H3=0,0,SER_hh_tesh_in!H3/SER_summary!H$27)</f>
        <v>226.02252929021017</v>
      </c>
      <c r="I3" s="126">
        <f>IF(SER_hh_tesh_in!I3=0,0,SER_hh_tesh_in!I3/SER_summary!I$27)</f>
        <v>209.54448754873098</v>
      </c>
      <c r="J3" s="126">
        <f>IF(SER_hh_tesh_in!J3=0,0,SER_hh_tesh_in!J3/SER_summary!J$27)</f>
        <v>201.15344956376333</v>
      </c>
      <c r="K3" s="126">
        <f>IF(SER_hh_tesh_in!K3=0,0,SER_hh_tesh_in!K3/SER_summary!K$27)</f>
        <v>205.46260850197703</v>
      </c>
      <c r="L3" s="126">
        <f>IF(SER_hh_tesh_in!L3=0,0,SER_hh_tesh_in!L3/SER_summary!L$27)</f>
        <v>212.25244343679807</v>
      </c>
      <c r="M3" s="126">
        <f>IF(SER_hh_tesh_in!M3=0,0,SER_hh_tesh_in!M3/SER_summary!M$27)</f>
        <v>203.66154139849024</v>
      </c>
      <c r="N3" s="126">
        <f>IF(SER_hh_tesh_in!N3=0,0,SER_hh_tesh_in!N3/SER_summary!N$27)</f>
        <v>171.45921147045547</v>
      </c>
      <c r="O3" s="126">
        <f>IF(SER_hh_tesh_in!O3=0,0,SER_hh_tesh_in!O3/SER_summary!O$27)</f>
        <v>157.91967204151473</v>
      </c>
      <c r="P3" s="126">
        <f>IF(SER_hh_tesh_in!P3=0,0,SER_hh_tesh_in!P3/SER_summary!P$27)</f>
        <v>134.61748550598136</v>
      </c>
      <c r="Q3" s="126">
        <f>IF(SER_hh_tesh_in!Q3=0,0,SER_hh_tesh_in!Q3/SER_summary!Q$27)</f>
        <v>146.85237594824304</v>
      </c>
      <c r="R3" s="126">
        <f>IF(SER_hh_tesh_in!R3=0,0,SER_hh_tesh_in!R3/SER_summary!R$27)</f>
        <v>134.3730130749959</v>
      </c>
      <c r="S3" s="126">
        <f>IF(SER_hh_tesh_in!S3=0,0,SER_hh_tesh_in!S3/SER_summary!S$27)</f>
        <v>131.44253196545137</v>
      </c>
      <c r="T3" s="126">
        <f>IF(SER_hh_tesh_in!T3=0,0,SER_hh_tesh_in!T3/SER_summary!T$27)</f>
        <v>124.08675496700894</v>
      </c>
      <c r="U3" s="126">
        <f>IF(SER_hh_tesh_in!U3=0,0,SER_hh_tesh_in!U3/SER_summary!U$27)</f>
        <v>117.9141031729816</v>
      </c>
      <c r="V3" s="126">
        <f>IF(SER_hh_tesh_in!V3=0,0,SER_hh_tesh_in!V3/SER_summary!V$27)</f>
        <v>107.24285753252076</v>
      </c>
      <c r="W3" s="126">
        <f>IF(SER_hh_tesh_in!W3=0,0,SER_hh_tesh_in!W3/SER_summary!W$27)</f>
        <v>104.96942275530412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201.06539363850561</v>
      </c>
      <c r="D4" s="131">
        <f>IF(SER_hh_tesh_in!D4=0,0,SER_hh_tesh_in!D4/SER_summary!D$27)</f>
        <v>175.26688130705193</v>
      </c>
      <c r="E4" s="131">
        <f>IF(SER_hh_tesh_in!E4=0,0,SER_hh_tesh_in!E4/SER_summary!E$27)</f>
        <v>173.94090444185167</v>
      </c>
      <c r="F4" s="131">
        <f>IF(SER_hh_tesh_in!F4=0,0,SER_hh_tesh_in!F4/SER_summary!F$27)</f>
        <v>207.13526395571935</v>
      </c>
      <c r="G4" s="131">
        <f>IF(SER_hh_tesh_in!G4=0,0,SER_hh_tesh_in!G4/SER_summary!G$27)</f>
        <v>194.95649992140409</v>
      </c>
      <c r="H4" s="131">
        <f>IF(SER_hh_tesh_in!H4=0,0,SER_hh_tesh_in!H4/SER_summary!H$27)</f>
        <v>163.31183938950662</v>
      </c>
      <c r="I4" s="131">
        <f>IF(SER_hh_tesh_in!I4=0,0,SER_hh_tesh_in!I4/SER_summary!I$27)</f>
        <v>145.56056025678132</v>
      </c>
      <c r="J4" s="131">
        <f>IF(SER_hh_tesh_in!J4=0,0,SER_hh_tesh_in!J4/SER_summary!J$27)</f>
        <v>140.79325868405164</v>
      </c>
      <c r="K4" s="131">
        <f>IF(SER_hh_tesh_in!K4=0,0,SER_hh_tesh_in!K4/SER_summary!K$27)</f>
        <v>144.69584762831943</v>
      </c>
      <c r="L4" s="131">
        <f>IF(SER_hh_tesh_in!L4=0,0,SER_hh_tesh_in!L4/SER_summary!L$27)</f>
        <v>150.25128076946689</v>
      </c>
      <c r="M4" s="131">
        <f>IF(SER_hh_tesh_in!M4=0,0,SER_hh_tesh_in!M4/SER_summary!M$27)</f>
        <v>142.58829743089669</v>
      </c>
      <c r="N4" s="131">
        <f>IF(SER_hh_tesh_in!N4=0,0,SER_hh_tesh_in!N4/SER_summary!N$27)</f>
        <v>103.75132277152014</v>
      </c>
      <c r="O4" s="131">
        <f>IF(SER_hh_tesh_in!O4=0,0,SER_hh_tesh_in!O4/SER_summary!O$27)</f>
        <v>96.260383832482944</v>
      </c>
      <c r="P4" s="131">
        <f>IF(SER_hh_tesh_in!P4=0,0,SER_hh_tesh_in!P4/SER_summary!P$27)</f>
        <v>77.004375508304776</v>
      </c>
      <c r="Q4" s="131">
        <f>IF(SER_hh_tesh_in!Q4=0,0,SER_hh_tesh_in!Q4/SER_summary!Q$27)</f>
        <v>81.217100829230546</v>
      </c>
      <c r="R4" s="131">
        <f>IF(SER_hh_tesh_in!R4=0,0,SER_hh_tesh_in!R4/SER_summary!R$27)</f>
        <v>77.448970474510986</v>
      </c>
      <c r="S4" s="131">
        <f>IF(SER_hh_tesh_in!S4=0,0,SER_hh_tesh_in!S4/SER_summary!S$27)</f>
        <v>71.596414824895291</v>
      </c>
      <c r="T4" s="131">
        <f>IF(SER_hh_tesh_in!T4=0,0,SER_hh_tesh_in!T4/SER_summary!T$27)</f>
        <v>65.507746629338385</v>
      </c>
      <c r="U4" s="131">
        <f>IF(SER_hh_tesh_in!U4=0,0,SER_hh_tesh_in!U4/SER_summary!U$27)</f>
        <v>59.332256993284162</v>
      </c>
      <c r="V4" s="131">
        <f>IF(SER_hh_tesh_in!V4=0,0,SER_hh_tesh_in!V4/SER_summary!V$27)</f>
        <v>55.216490945704876</v>
      </c>
      <c r="W4" s="131">
        <f>IF(SER_hh_tesh_in!W4=0,0,SER_hh_tesh_in!W4/SER_summary!W$27)</f>
        <v>49.066257421144172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160.23747033703418</v>
      </c>
      <c r="N5" s="133">
        <f>IF(SER_hh_tesh_in!N5=0,0,SER_hh_tesh_in!N5/SER_summary!N$27)</f>
        <v>48.228691310918705</v>
      </c>
      <c r="O5" s="133">
        <f>IF(SER_hh_tesh_in!O5=0,0,SER_hh_tesh_in!O5/SER_summary!O$27)</f>
        <v>107.63711827119688</v>
      </c>
      <c r="P5" s="133">
        <f>IF(SER_hh_tesh_in!P5=0,0,SER_hh_tesh_in!P5/SER_summary!P$27)</f>
        <v>80.904386444881908</v>
      </c>
      <c r="Q5" s="133">
        <f>IF(SER_hh_tesh_in!Q5=0,0,SER_hh_tesh_in!Q5/SER_summary!Q$27)</f>
        <v>90.021271840292272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0</v>
      </c>
      <c r="D7" s="133">
        <f>IF(SER_hh_tesh_in!D7=0,0,SER_hh_tesh_in!D7/SER_summary!D$27)</f>
        <v>0</v>
      </c>
      <c r="E7" s="133">
        <f>IF(SER_hh_tesh_in!E7=0,0,SER_hh_tesh_in!E7/SER_summary!E$27)</f>
        <v>0</v>
      </c>
      <c r="F7" s="133">
        <f>IF(SER_hh_tesh_in!F7=0,0,SER_hh_tesh_in!F7/SER_summary!F$27)</f>
        <v>0</v>
      </c>
      <c r="G7" s="133">
        <f>IF(SER_hh_tesh_in!G7=0,0,SER_hh_tesh_in!G7/SER_summary!G$27)</f>
        <v>0</v>
      </c>
      <c r="H7" s="133">
        <f>IF(SER_hh_tesh_in!H7=0,0,SER_hh_tesh_in!H7/SER_summary!H$27)</f>
        <v>0</v>
      </c>
      <c r="I7" s="133">
        <f>IF(SER_hh_tesh_in!I7=0,0,SER_hh_tesh_in!I7/SER_summary!I$27)</f>
        <v>0</v>
      </c>
      <c r="J7" s="133">
        <f>IF(SER_hh_tesh_in!J7=0,0,SER_hh_tesh_in!J7/SER_summary!J$27)</f>
        <v>0</v>
      </c>
      <c r="K7" s="133">
        <f>IF(SER_hh_tesh_in!K7=0,0,SER_hh_tesh_in!K7/SER_summary!K$27)</f>
        <v>0</v>
      </c>
      <c r="L7" s="133">
        <f>IF(SER_hh_tesh_in!L7=0,0,SER_hh_tesh_in!L7/SER_summary!L$27)</f>
        <v>0</v>
      </c>
      <c r="M7" s="133">
        <f>IF(SER_hh_tesh_in!M7=0,0,SER_hh_tesh_in!M7/SER_summary!M$27)</f>
        <v>0</v>
      </c>
      <c r="N7" s="133">
        <f>IF(SER_hh_tesh_in!N7=0,0,SER_hh_tesh_in!N7/SER_summary!N$27)</f>
        <v>144.36164048091166</v>
      </c>
      <c r="O7" s="133">
        <f>IF(SER_hh_tesh_in!O7=0,0,SER_hh_tesh_in!O7/SER_summary!O$27)</f>
        <v>54.843819457504352</v>
      </c>
      <c r="P7" s="133">
        <f>IF(SER_hh_tesh_in!P7=0,0,SER_hh_tesh_in!P7/SER_summary!P$27)</f>
        <v>72.855523029890563</v>
      </c>
      <c r="Q7" s="133">
        <f>IF(SER_hh_tesh_in!Q7=0,0,SER_hh_tesh_in!Q7/SER_summary!Q$27)</f>
        <v>88.063110942391575</v>
      </c>
      <c r="R7" s="133">
        <f>IF(SER_hh_tesh_in!R7=0,0,SER_hh_tesh_in!R7/SER_summary!R$27)</f>
        <v>85.886780468215889</v>
      </c>
      <c r="S7" s="133">
        <f>IF(SER_hh_tesh_in!S7=0,0,SER_hh_tesh_in!S7/SER_summary!S$27)</f>
        <v>68.908830144744485</v>
      </c>
      <c r="T7" s="133">
        <f>IF(SER_hh_tesh_in!T7=0,0,SER_hh_tesh_in!T7/SER_summary!T$27)</f>
        <v>69.901212930478863</v>
      </c>
      <c r="U7" s="133">
        <f>IF(SER_hh_tesh_in!U7=0,0,SER_hh_tesh_in!U7/SER_summary!U$27)</f>
        <v>56.624784420050226</v>
      </c>
      <c r="V7" s="133">
        <f>IF(SER_hh_tesh_in!V7=0,0,SER_hh_tesh_in!V7/SER_summary!V$27)</f>
        <v>52.318520774297568</v>
      </c>
      <c r="W7" s="133">
        <f>IF(SER_hh_tesh_in!W7=0,0,SER_hh_tesh_in!W7/SER_summary!W$27)</f>
        <v>51.878628490064692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24.300490856768064</v>
      </c>
      <c r="S8" s="133">
        <f>IF(SER_hh_tesh_in!S8=0,0,SER_hh_tesh_in!S8/SER_summary!S$27)</f>
        <v>55.909593337754465</v>
      </c>
      <c r="T8" s="133">
        <f>IF(SER_hh_tesh_in!T8=0,0,SER_hh_tesh_in!T8/SER_summary!T$27)</f>
        <v>70.510946296642672</v>
      </c>
      <c r="U8" s="133">
        <f>IF(SER_hh_tesh_in!U8=0,0,SER_hh_tesh_in!U8/SER_summary!U$27)</f>
        <v>56.204334687428677</v>
      </c>
      <c r="V8" s="133">
        <f>IF(SER_hh_tesh_in!V8=0,0,SER_hh_tesh_in!V8/SER_summary!V$27)</f>
        <v>68.849165896320073</v>
      </c>
      <c r="W8" s="133">
        <f>IF(SER_hh_tesh_in!W8=0,0,SER_hh_tesh_in!W8/SER_summary!W$27)</f>
        <v>47.243939660415123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196.98983780727661</v>
      </c>
      <c r="D9" s="133">
        <f>IF(SER_hh_tesh_in!D9=0,0,SER_hh_tesh_in!D9/SER_summary!D$27)</f>
        <v>171.30158829070771</v>
      </c>
      <c r="E9" s="133">
        <f>IF(SER_hh_tesh_in!E9=0,0,SER_hh_tesh_in!E9/SER_summary!E$27)</f>
        <v>169.71547651520999</v>
      </c>
      <c r="F9" s="133">
        <f>IF(SER_hh_tesh_in!F9=0,0,SER_hh_tesh_in!F9/SER_summary!F$27)</f>
        <v>209.46577572297178</v>
      </c>
      <c r="G9" s="133">
        <f>IF(SER_hh_tesh_in!G9=0,0,SER_hh_tesh_in!G9/SER_summary!G$27)</f>
        <v>195.71481942207799</v>
      </c>
      <c r="H9" s="133">
        <f>IF(SER_hh_tesh_in!H9=0,0,SER_hh_tesh_in!H9/SER_summary!H$27)</f>
        <v>168.99136255063516</v>
      </c>
      <c r="I9" s="133">
        <f>IF(SER_hh_tesh_in!I9=0,0,SER_hh_tesh_in!I9/SER_summary!I$27)</f>
        <v>130.45724237898852</v>
      </c>
      <c r="J9" s="133">
        <f>IF(SER_hh_tesh_in!J9=0,0,SER_hh_tesh_in!J9/SER_summary!J$27)</f>
        <v>125.93296921294915</v>
      </c>
      <c r="K9" s="133">
        <f>IF(SER_hh_tesh_in!K9=0,0,SER_hh_tesh_in!K9/SER_summary!K$27)</f>
        <v>139.6238888181453</v>
      </c>
      <c r="L9" s="133">
        <f>IF(SER_hh_tesh_in!L9=0,0,SER_hh_tesh_in!L9/SER_summary!L$27)</f>
        <v>148.59662244819887</v>
      </c>
      <c r="M9" s="133">
        <f>IF(SER_hh_tesh_in!M9=0,0,SER_hh_tesh_in!M9/SER_summary!M$27)</f>
        <v>140.85433762946789</v>
      </c>
      <c r="N9" s="133">
        <f>IF(SER_hh_tesh_in!N9=0,0,SER_hh_tesh_in!N9/SER_summary!N$27)</f>
        <v>99.764361591382681</v>
      </c>
      <c r="O9" s="133">
        <f>IF(SER_hh_tesh_in!O9=0,0,SER_hh_tesh_in!O9/SER_summary!O$27)</f>
        <v>95.9612162885213</v>
      </c>
      <c r="P9" s="133">
        <f>IF(SER_hh_tesh_in!P9=0,0,SER_hh_tesh_in!P9/SER_summary!P$27)</f>
        <v>76.60084308644015</v>
      </c>
      <c r="Q9" s="133">
        <f>IF(SER_hh_tesh_in!Q9=0,0,SER_hh_tesh_in!Q9/SER_summary!Q$27)</f>
        <v>78.247520124454724</v>
      </c>
      <c r="R9" s="133">
        <f>IF(SER_hh_tesh_in!R9=0,0,SER_hh_tesh_in!R9/SER_summary!R$27)</f>
        <v>75.043648946076843</v>
      </c>
      <c r="S9" s="133">
        <f>IF(SER_hh_tesh_in!S9=0,0,SER_hh_tesh_in!S9/SER_summary!S$27)</f>
        <v>69.862107593665158</v>
      </c>
      <c r="T9" s="133">
        <f>IF(SER_hh_tesh_in!T9=0,0,SER_hh_tesh_in!T9/SER_summary!T$27)</f>
        <v>62.604475658361544</v>
      </c>
      <c r="U9" s="133">
        <f>IF(SER_hh_tesh_in!U9=0,0,SER_hh_tesh_in!U9/SER_summary!U$27)</f>
        <v>56.89685523480177</v>
      </c>
      <c r="V9" s="133">
        <f>IF(SER_hh_tesh_in!V9=0,0,SER_hh_tesh_in!V9/SER_summary!V$27)</f>
        <v>54.221677832814869</v>
      </c>
      <c r="W9" s="133">
        <f>IF(SER_hh_tesh_in!W9=0,0,SER_hh_tesh_in!W9/SER_summary!W$27)</f>
        <v>48.029913845345106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168.64911045139527</v>
      </c>
      <c r="D10" s="133">
        <f>IF(SER_hh_tesh_in!D10=0,0,SER_hh_tesh_in!D10/SER_summary!D$27)</f>
        <v>180.20971821326694</v>
      </c>
      <c r="E10" s="133">
        <f>IF(SER_hh_tesh_in!E10=0,0,SER_hh_tesh_in!E10/SER_summary!E$27)</f>
        <v>217.22633210841695</v>
      </c>
      <c r="F10" s="133">
        <f>IF(SER_hh_tesh_in!F10=0,0,SER_hh_tesh_in!F10/SER_summary!F$27)</f>
        <v>207.83268205939132</v>
      </c>
      <c r="G10" s="133">
        <f>IF(SER_hh_tesh_in!G10=0,0,SER_hh_tesh_in!G10/SER_summary!G$27)</f>
        <v>0</v>
      </c>
      <c r="H10" s="133">
        <f>IF(SER_hh_tesh_in!H10=0,0,SER_hh_tesh_in!H10/SER_summary!H$27)</f>
        <v>0</v>
      </c>
      <c r="I10" s="133">
        <f>IF(SER_hh_tesh_in!I10=0,0,SER_hh_tesh_in!I10/SER_summary!I$27)</f>
        <v>140.0289874664806</v>
      </c>
      <c r="J10" s="133">
        <f>IF(SER_hh_tesh_in!J10=0,0,SER_hh_tesh_in!J10/SER_summary!J$27)</f>
        <v>134.7517987588017</v>
      </c>
      <c r="K10" s="133">
        <f>IF(SER_hh_tesh_in!K10=0,0,SER_hh_tesh_in!K10/SER_summary!K$27)</f>
        <v>142.26591556641927</v>
      </c>
      <c r="L10" s="133">
        <f>IF(SER_hh_tesh_in!L10=0,0,SER_hh_tesh_in!L10/SER_summary!L$27)</f>
        <v>143.83497414312188</v>
      </c>
      <c r="M10" s="133">
        <f>IF(SER_hh_tesh_in!M10=0,0,SER_hh_tesh_in!M10/SER_summary!M$27)</f>
        <v>133.054772839669</v>
      </c>
      <c r="N10" s="133">
        <f>IF(SER_hh_tesh_in!N10=0,0,SER_hh_tesh_in!N10/SER_summary!N$27)</f>
        <v>107.49316345672348</v>
      </c>
      <c r="O10" s="133">
        <f>IF(SER_hh_tesh_in!O10=0,0,SER_hh_tesh_in!O10/SER_summary!O$27)</f>
        <v>94.609103466016961</v>
      </c>
      <c r="P10" s="133">
        <f>IF(SER_hh_tesh_in!P10=0,0,SER_hh_tesh_in!P10/SER_summary!P$27)</f>
        <v>73.867289841607871</v>
      </c>
      <c r="Q10" s="133">
        <f>IF(SER_hh_tesh_in!Q10=0,0,SER_hh_tesh_in!Q10/SER_summary!Q$27)</f>
        <v>85.383013615167371</v>
      </c>
      <c r="R10" s="133">
        <f>IF(SER_hh_tesh_in!R10=0,0,SER_hh_tesh_in!R10/SER_summary!R$27)</f>
        <v>72.592528272084053</v>
      </c>
      <c r="S10" s="133">
        <f>IF(SER_hh_tesh_in!S10=0,0,SER_hh_tesh_in!S10/SER_summary!S$27)</f>
        <v>70.158424696811025</v>
      </c>
      <c r="T10" s="133">
        <f>IF(SER_hh_tesh_in!T10=0,0,SER_hh_tesh_in!T10/SER_summary!T$27)</f>
        <v>61.516158572577467</v>
      </c>
      <c r="U10" s="133">
        <f>IF(SER_hh_tesh_in!U10=0,0,SER_hh_tesh_in!U10/SER_summary!U$27)</f>
        <v>63.502540412913341</v>
      </c>
      <c r="V10" s="133">
        <f>IF(SER_hh_tesh_in!V10=0,0,SER_hh_tesh_in!V10/SER_summary!V$27)</f>
        <v>0</v>
      </c>
      <c r="W10" s="133">
        <f>IF(SER_hh_tesh_in!W10=0,0,SER_hh_tesh_in!W10/SER_summary!W$27)</f>
        <v>0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190.54029190353518</v>
      </c>
      <c r="D11" s="133">
        <f>IF(SER_hh_tesh_in!D11=0,0,SER_hh_tesh_in!D11/SER_summary!D$27)</f>
        <v>186.59538811007883</v>
      </c>
      <c r="E11" s="133">
        <f>IF(SER_hh_tesh_in!E11=0,0,SER_hh_tesh_in!E11/SER_summary!E$27)</f>
        <v>190.57332123130902</v>
      </c>
      <c r="F11" s="133">
        <f>IF(SER_hh_tesh_in!F11=0,0,SER_hh_tesh_in!F11/SER_summary!F$27)</f>
        <v>0</v>
      </c>
      <c r="G11" s="133">
        <f>IF(SER_hh_tesh_in!G11=0,0,SER_hh_tesh_in!G11/SER_summary!G$27)</f>
        <v>175.90722263787129</v>
      </c>
      <c r="H11" s="133">
        <f>IF(SER_hh_tesh_in!H11=0,0,SER_hh_tesh_in!H11/SER_summary!H$27)</f>
        <v>160.90747502338218</v>
      </c>
      <c r="I11" s="133">
        <f>IF(SER_hh_tesh_in!I11=0,0,SER_hh_tesh_in!I11/SER_summary!I$27)</f>
        <v>141.39517599481169</v>
      </c>
      <c r="J11" s="133">
        <f>IF(SER_hh_tesh_in!J11=0,0,SER_hh_tesh_in!J11/SER_summary!J$27)</f>
        <v>145.74801288037182</v>
      </c>
      <c r="K11" s="133">
        <f>IF(SER_hh_tesh_in!K11=0,0,SER_hh_tesh_in!K11/SER_summary!K$27)</f>
        <v>145.43987420903522</v>
      </c>
      <c r="L11" s="133">
        <f>IF(SER_hh_tesh_in!L11=0,0,SER_hh_tesh_in!L11/SER_summary!L$27)</f>
        <v>139.05284220141141</v>
      </c>
      <c r="M11" s="133">
        <f>IF(SER_hh_tesh_in!M11=0,0,SER_hh_tesh_in!M11/SER_summary!M$27)</f>
        <v>135.55681945726406</v>
      </c>
      <c r="N11" s="133">
        <f>IF(SER_hh_tesh_in!N11=0,0,SER_hh_tesh_in!N11/SER_summary!N$27)</f>
        <v>127.57436767946368</v>
      </c>
      <c r="O11" s="133">
        <f>IF(SER_hh_tesh_in!O11=0,0,SER_hh_tesh_in!O11/SER_summary!O$27)</f>
        <v>131.52860591184782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74.886060778726971</v>
      </c>
      <c r="T11" s="133">
        <f>IF(SER_hh_tesh_in!T11=0,0,SER_hh_tesh_in!T11/SER_summary!T$27)</f>
        <v>63.828309672221103</v>
      </c>
      <c r="U11" s="133">
        <f>IF(SER_hh_tesh_in!U11=0,0,SER_hh_tesh_in!U11/SER_summary!U$27)</f>
        <v>60.445174610819578</v>
      </c>
      <c r="V11" s="133">
        <f>IF(SER_hh_tesh_in!V11=0,0,SER_hh_tesh_in!V11/SER_summary!V$27)</f>
        <v>49.2278371720219</v>
      </c>
      <c r="W11" s="133">
        <f>IF(SER_hh_tesh_in!W11=0,0,SER_hh_tesh_in!W11/SER_summary!W$27)</f>
        <v>52.22696887389376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208.21856569962458</v>
      </c>
      <c r="D12" s="133">
        <f>IF(SER_hh_tesh_in!D12=0,0,SER_hh_tesh_in!D12/SER_summary!D$27)</f>
        <v>175.08812450219517</v>
      </c>
      <c r="E12" s="133">
        <f>IF(SER_hh_tesh_in!E12=0,0,SER_hh_tesh_in!E12/SER_summary!E$27)</f>
        <v>193.03935766079829</v>
      </c>
      <c r="F12" s="133">
        <f>IF(SER_hh_tesh_in!F12=0,0,SER_hh_tesh_in!F12/SER_summary!F$27)</f>
        <v>0</v>
      </c>
      <c r="G12" s="133">
        <f>IF(SER_hh_tesh_in!G12=0,0,SER_hh_tesh_in!G12/SER_summary!G$27)</f>
        <v>191.98303871093924</v>
      </c>
      <c r="H12" s="133">
        <f>IF(SER_hh_tesh_in!H12=0,0,SER_hh_tesh_in!H12/SER_summary!H$27)</f>
        <v>152.76021540296145</v>
      </c>
      <c r="I12" s="133">
        <f>IF(SER_hh_tesh_in!I12=0,0,SER_hh_tesh_in!I12/SER_summary!I$27)</f>
        <v>142.90584870633845</v>
      </c>
      <c r="J12" s="133">
        <f>IF(SER_hh_tesh_in!J12=0,0,SER_hh_tesh_in!J12/SER_summary!J$27)</f>
        <v>151.56262973550739</v>
      </c>
      <c r="K12" s="133">
        <f>IF(SER_hh_tesh_in!K12=0,0,SER_hh_tesh_in!K12/SER_summary!K$27)</f>
        <v>142.53019738638986</v>
      </c>
      <c r="L12" s="133">
        <f>IF(SER_hh_tesh_in!L12=0,0,SER_hh_tesh_in!L12/SER_summary!L$27)</f>
        <v>148.41083396653582</v>
      </c>
      <c r="M12" s="133">
        <f>IF(SER_hh_tesh_in!M12=0,0,SER_hh_tesh_in!M12/SER_summary!M$27)</f>
        <v>144.00674031132743</v>
      </c>
      <c r="N12" s="133">
        <f>IF(SER_hh_tesh_in!N12=0,0,SER_hh_tesh_in!N12/SER_summary!N$27)</f>
        <v>97.35937168371332</v>
      </c>
      <c r="O12" s="133">
        <f>IF(SER_hh_tesh_in!O12=0,0,SER_hh_tesh_in!O12/SER_summary!O$27)</f>
        <v>88.67897400678487</v>
      </c>
      <c r="P12" s="133">
        <f>IF(SER_hh_tesh_in!P12=0,0,SER_hh_tesh_in!P12/SER_summary!P$27)</f>
        <v>73.519941287062053</v>
      </c>
      <c r="Q12" s="133">
        <f>IF(SER_hh_tesh_in!Q12=0,0,SER_hh_tesh_in!Q12/SER_summary!Q$27)</f>
        <v>81.143865296264664</v>
      </c>
      <c r="R12" s="133">
        <f>IF(SER_hh_tesh_in!R12=0,0,SER_hh_tesh_in!R12/SER_summary!R$27)</f>
        <v>79.685720781781669</v>
      </c>
      <c r="S12" s="133">
        <f>IF(SER_hh_tesh_in!S12=0,0,SER_hh_tesh_in!S12/SER_summary!S$27)</f>
        <v>73.769317145225457</v>
      </c>
      <c r="T12" s="133">
        <f>IF(SER_hh_tesh_in!T12=0,0,SER_hh_tesh_in!T12/SER_summary!T$27)</f>
        <v>65.184154635407907</v>
      </c>
      <c r="U12" s="133">
        <f>IF(SER_hh_tesh_in!U12=0,0,SER_hh_tesh_in!U12/SER_summary!U$27)</f>
        <v>58.463529121561287</v>
      </c>
      <c r="V12" s="133">
        <f>IF(SER_hh_tesh_in!V12=0,0,SER_hh_tesh_in!V12/SER_summary!V$27)</f>
        <v>54.539059475717359</v>
      </c>
      <c r="W12" s="133">
        <f>IF(SER_hh_tesh_in!W12=0,0,SER_hh_tesh_in!W12/SER_summary!W$27)</f>
        <v>49.329984924382877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196.01765303160218</v>
      </c>
      <c r="D13" s="133">
        <f>IF(SER_hh_tesh_in!D13=0,0,SER_hh_tesh_in!D13/SER_summary!D$27)</f>
        <v>170.22805408430361</v>
      </c>
      <c r="E13" s="133">
        <f>IF(SER_hh_tesh_in!E13=0,0,SER_hh_tesh_in!E13/SER_summary!E$27)</f>
        <v>132.82825688110665</v>
      </c>
      <c r="F13" s="133">
        <f>IF(SER_hh_tesh_in!F13=0,0,SER_hh_tesh_in!F13/SER_summary!F$27)</f>
        <v>152.11770588981926</v>
      </c>
      <c r="G13" s="133">
        <f>IF(SER_hh_tesh_in!G13=0,0,SER_hh_tesh_in!G13/SER_summary!G$27)</f>
        <v>155.32382542219688</v>
      </c>
      <c r="H13" s="133">
        <f>IF(SER_hh_tesh_in!H13=0,0,SER_hh_tesh_in!H13/SER_summary!H$27)</f>
        <v>139.75880251944164</v>
      </c>
      <c r="I13" s="133">
        <f>IF(SER_hh_tesh_in!I13=0,0,SER_hh_tesh_in!I13/SER_summary!I$27)</f>
        <v>157.77857920848666</v>
      </c>
      <c r="J13" s="133">
        <f>IF(SER_hh_tesh_in!J13=0,0,SER_hh_tesh_in!J13/SER_summary!J$27)</f>
        <v>138.24517794865415</v>
      </c>
      <c r="K13" s="133">
        <f>IF(SER_hh_tesh_in!K13=0,0,SER_hh_tesh_in!K13/SER_summary!K$27)</f>
        <v>148.40695892172445</v>
      </c>
      <c r="L13" s="133">
        <f>IF(SER_hh_tesh_in!L13=0,0,SER_hh_tesh_in!L13/SER_summary!L$27)</f>
        <v>120.50279522912368</v>
      </c>
      <c r="M13" s="133">
        <f>IF(SER_hh_tesh_in!M13=0,0,SER_hh_tesh_in!M13/SER_summary!M$27)</f>
        <v>89.265860472283521</v>
      </c>
      <c r="N13" s="133">
        <f>IF(SER_hh_tesh_in!N13=0,0,SER_hh_tesh_in!N13/SER_summary!N$27)</f>
        <v>91.756084458083095</v>
      </c>
      <c r="O13" s="133">
        <f>IF(SER_hh_tesh_in!O13=0,0,SER_hh_tesh_in!O13/SER_summary!O$27)</f>
        <v>91.223656531523844</v>
      </c>
      <c r="P13" s="133">
        <f>IF(SER_hh_tesh_in!P13=0,0,SER_hh_tesh_in!P13/SER_summary!P$27)</f>
        <v>99.859619034678559</v>
      </c>
      <c r="Q13" s="133">
        <f>IF(SER_hh_tesh_in!Q13=0,0,SER_hh_tesh_in!Q13/SER_summary!Q$27)</f>
        <v>75.615223868199394</v>
      </c>
      <c r="R13" s="133">
        <f>IF(SER_hh_tesh_in!R13=0,0,SER_hh_tesh_in!R13/SER_summary!R$27)</f>
        <v>66.671449182602174</v>
      </c>
      <c r="S13" s="133">
        <f>IF(SER_hh_tesh_in!S13=0,0,SER_hh_tesh_in!S13/SER_summary!S$27)</f>
        <v>60.485970695256768</v>
      </c>
      <c r="T13" s="133">
        <f>IF(SER_hh_tesh_in!T13=0,0,SER_hh_tesh_in!T13/SER_summary!T$27)</f>
        <v>63.684520644423706</v>
      </c>
      <c r="U13" s="133">
        <f>IF(SER_hh_tesh_in!U13=0,0,SER_hh_tesh_in!U13/SER_summary!U$27)</f>
        <v>54.614657415262513</v>
      </c>
      <c r="V13" s="133">
        <f>IF(SER_hh_tesh_in!V13=0,0,SER_hh_tesh_in!V13/SER_summary!V$27)</f>
        <v>67.552616293589949</v>
      </c>
      <c r="W13" s="133">
        <f>IF(SER_hh_tesh_in!W13=0,0,SER_hh_tesh_in!W13/SER_summary!W$27)</f>
        <v>39.83807604254055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200.82023144026314</v>
      </c>
      <c r="D14" s="65">
        <f>IF(SER_hh_tesh_in!D14=0,0,SER_hh_tesh_in!D14/SER_summary!D$27)</f>
        <v>0</v>
      </c>
      <c r="E14" s="65">
        <f>IF(SER_hh_tesh_in!E14=0,0,SER_hh_tesh_in!E14/SER_summary!E$27)</f>
        <v>153.31649758824645</v>
      </c>
      <c r="F14" s="65">
        <f>IF(SER_hh_tesh_in!F14=0,0,SER_hh_tesh_in!F14/SER_summary!F$27)</f>
        <v>171.03396336814313</v>
      </c>
      <c r="G14" s="65">
        <f>IF(SER_hh_tesh_in!G14=0,0,SER_hh_tesh_in!G14/SER_summary!G$27)</f>
        <v>189.39770424711574</v>
      </c>
      <c r="H14" s="65">
        <f>IF(SER_hh_tesh_in!H14=0,0,SER_hh_tesh_in!H14/SER_summary!H$27)</f>
        <v>161.9783072992596</v>
      </c>
      <c r="I14" s="65">
        <f>IF(SER_hh_tesh_in!I14=0,0,SER_hh_tesh_in!I14/SER_summary!I$27)</f>
        <v>153.7822325078148</v>
      </c>
      <c r="J14" s="65">
        <f>IF(SER_hh_tesh_in!J14=0,0,SER_hh_tesh_in!J14/SER_summary!J$27)</f>
        <v>138.8596596584143</v>
      </c>
      <c r="K14" s="65">
        <f>IF(SER_hh_tesh_in!K14=0,0,SER_hh_tesh_in!K14/SER_summary!K$27)</f>
        <v>151.88945541780313</v>
      </c>
      <c r="L14" s="65">
        <f>IF(SER_hh_tesh_in!L14=0,0,SER_hh_tesh_in!L14/SER_summary!L$27)</f>
        <v>0</v>
      </c>
      <c r="M14" s="65">
        <f>IF(SER_hh_tesh_in!M14=0,0,SER_hh_tesh_in!M14/SER_summary!M$27)</f>
        <v>0</v>
      </c>
      <c r="N14" s="65">
        <f>IF(SER_hh_tesh_in!N14=0,0,SER_hh_tesh_in!N14/SER_summary!N$27)</f>
        <v>0</v>
      </c>
      <c r="O14" s="65">
        <f>IF(SER_hh_tesh_in!O14=0,0,SER_hh_tesh_in!O14/SER_summary!O$27)</f>
        <v>0</v>
      </c>
      <c r="P14" s="65">
        <f>IF(SER_hh_tesh_in!P14=0,0,SER_hh_tesh_in!P14/SER_summary!P$27)</f>
        <v>77.574977126459743</v>
      </c>
      <c r="Q14" s="65">
        <f>IF(SER_hh_tesh_in!Q14=0,0,SER_hh_tesh_in!Q14/SER_summary!Q$27)</f>
        <v>79.857420093930983</v>
      </c>
      <c r="R14" s="65">
        <f>IF(SER_hh_tesh_in!R14=0,0,SER_hh_tesh_in!R14/SER_summary!R$27)</f>
        <v>75.024336001958474</v>
      </c>
      <c r="S14" s="65">
        <f>IF(SER_hh_tesh_in!S14=0,0,SER_hh_tesh_in!S14/SER_summary!S$27)</f>
        <v>71.311263992973721</v>
      </c>
      <c r="T14" s="65">
        <f>IF(SER_hh_tesh_in!T14=0,0,SER_hh_tesh_in!T14/SER_summary!T$27)</f>
        <v>69.689115462878519</v>
      </c>
      <c r="U14" s="65">
        <f>IF(SER_hh_tesh_in!U14=0,0,SER_hh_tesh_in!U14/SER_summary!U$27)</f>
        <v>64.494560616605128</v>
      </c>
      <c r="V14" s="65">
        <f>IF(SER_hh_tesh_in!V14=0,0,SER_hh_tesh_in!V14/SER_summary!V$27)</f>
        <v>55.217300646468345</v>
      </c>
      <c r="W14" s="65">
        <f>IF(SER_hh_tesh_in!W14=0,0,SER_hh_tesh_in!W14/SER_summary!W$27)</f>
        <v>48.706576005876123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3.3399251270955035</v>
      </c>
      <c r="D15" s="135">
        <f>IF(SER_hh_tesh_in!D15=0,0,SER_hh_tesh_in!D15/SER_summary!D$27)</f>
        <v>3.0885027731251942</v>
      </c>
      <c r="E15" s="135">
        <f>IF(SER_hh_tesh_in!E15=0,0,SER_hh_tesh_in!E15/SER_summary!E$27)</f>
        <v>3.0809596643517003</v>
      </c>
      <c r="F15" s="135">
        <f>IF(SER_hh_tesh_in!F15=0,0,SER_hh_tesh_in!F15/SER_summary!F$27)</f>
        <v>3.8731257218811401</v>
      </c>
      <c r="G15" s="135">
        <f>IF(SER_hh_tesh_in!G15=0,0,SER_hh_tesh_in!G15/SER_summary!G$27)</f>
        <v>3.1229518642695759</v>
      </c>
      <c r="H15" s="135">
        <f>IF(SER_hh_tesh_in!H15=0,0,SER_hh_tesh_in!H15/SER_summary!H$27)</f>
        <v>1.9182396808137079</v>
      </c>
      <c r="I15" s="135">
        <f>IF(SER_hh_tesh_in!I15=0,0,SER_hh_tesh_in!I15/SER_summary!I$27)</f>
        <v>1.2137056776536737</v>
      </c>
      <c r="J15" s="135">
        <f>IF(SER_hh_tesh_in!J15=0,0,SER_hh_tesh_in!J15/SER_summary!J$27)</f>
        <v>1.2358840703295746</v>
      </c>
      <c r="K15" s="135">
        <f>IF(SER_hh_tesh_in!K15=0,0,SER_hh_tesh_in!K15/SER_summary!K$27)</f>
        <v>2.0812362650292568</v>
      </c>
      <c r="L15" s="135">
        <f>IF(SER_hh_tesh_in!L15=0,0,SER_hh_tesh_in!L15/SER_summary!L$27)</f>
        <v>2.3289449266471838</v>
      </c>
      <c r="M15" s="135">
        <f>IF(SER_hh_tesh_in!M15=0,0,SER_hh_tesh_in!M15/SER_summary!M$27)</f>
        <v>2.1767799450667527</v>
      </c>
      <c r="N15" s="135">
        <f>IF(SER_hh_tesh_in!N15=0,0,SER_hh_tesh_in!N15/SER_summary!N$27)</f>
        <v>1.5173870090439521</v>
      </c>
      <c r="O15" s="135">
        <f>IF(SER_hh_tesh_in!O15=0,0,SER_hh_tesh_in!O15/SER_summary!O$27)</f>
        <v>1.3664912685374133</v>
      </c>
      <c r="P15" s="135">
        <f>IF(SER_hh_tesh_in!P15=0,0,SER_hh_tesh_in!P15/SER_summary!P$27)</f>
        <v>1.068221457963326</v>
      </c>
      <c r="Q15" s="135">
        <f>IF(SER_hh_tesh_in!Q15=0,0,SER_hh_tesh_in!Q15/SER_summary!Q$27)</f>
        <v>0.84260510527700649</v>
      </c>
      <c r="R15" s="135">
        <f>IF(SER_hh_tesh_in!R15=0,0,SER_hh_tesh_in!R15/SER_summary!R$27)</f>
        <v>0.91046862190602229</v>
      </c>
      <c r="S15" s="135">
        <f>IF(SER_hh_tesh_in!S15=0,0,SER_hh_tesh_in!S15/SER_summary!S$27)</f>
        <v>0.90104331460790399</v>
      </c>
      <c r="T15" s="135">
        <f>IF(SER_hh_tesh_in!T15=0,0,SER_hh_tesh_in!T15/SER_summary!T$27)</f>
        <v>0.87907687170715698</v>
      </c>
      <c r="U15" s="135">
        <f>IF(SER_hh_tesh_in!U15=0,0,SER_hh_tesh_in!U15/SER_summary!U$27)</f>
        <v>0.80377641883126949</v>
      </c>
      <c r="V15" s="135">
        <f>IF(SER_hh_tesh_in!V15=0,0,SER_hh_tesh_in!V15/SER_summary!V$27)</f>
        <v>0.7697141292229478</v>
      </c>
      <c r="W15" s="135">
        <f>IF(SER_hh_tesh_in!W15=0,0,SER_hh_tesh_in!W15/SER_summary!W$27)</f>
        <v>0.64311530189069954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22.031653152776048</v>
      </c>
      <c r="D16" s="131">
        <f>IF(SER_hh_tesh_in!D16=0,0,SER_hh_tesh_in!D16/SER_summary!D$27)</f>
        <v>23.184648280612066</v>
      </c>
      <c r="E16" s="131">
        <f>IF(SER_hh_tesh_in!E16=0,0,SER_hh_tesh_in!E16/SER_summary!E$27)</f>
        <v>26.482680062515385</v>
      </c>
      <c r="F16" s="131">
        <f>IF(SER_hh_tesh_in!F16=0,0,SER_hh_tesh_in!F16/SER_summary!F$27)</f>
        <v>21.104578551716624</v>
      </c>
      <c r="G16" s="131">
        <f>IF(SER_hh_tesh_in!G16=0,0,SER_hh_tesh_in!G16/SER_summary!G$27)</f>
        <v>21.036226767582377</v>
      </c>
      <c r="H16" s="131">
        <f>IF(SER_hh_tesh_in!H16=0,0,SER_hh_tesh_in!H16/SER_summary!H$27)</f>
        <v>23.166076555176986</v>
      </c>
      <c r="I16" s="131">
        <f>IF(SER_hh_tesh_in!I16=0,0,SER_hh_tesh_in!I16/SER_summary!I$27)</f>
        <v>25.195551335298422</v>
      </c>
      <c r="J16" s="131">
        <f>IF(SER_hh_tesh_in!J16=0,0,SER_hh_tesh_in!J16/SER_summary!J$27)</f>
        <v>21.319931267339005</v>
      </c>
      <c r="K16" s="131">
        <f>IF(SER_hh_tesh_in!K16=0,0,SER_hh_tesh_in!K16/SER_summary!K$27)</f>
        <v>21.230797388897859</v>
      </c>
      <c r="L16" s="131">
        <f>IF(SER_hh_tesh_in!L16=0,0,SER_hh_tesh_in!L16/SER_summary!L$27)</f>
        <v>21.967976673894338</v>
      </c>
      <c r="M16" s="131">
        <f>IF(SER_hh_tesh_in!M16=0,0,SER_hh_tesh_in!M16/SER_summary!M$27)</f>
        <v>21.393139556223609</v>
      </c>
      <c r="N16" s="131">
        <f>IF(SER_hh_tesh_in!N16=0,0,SER_hh_tesh_in!N16/SER_summary!N$27)</f>
        <v>26.851843096339195</v>
      </c>
      <c r="O16" s="131">
        <f>IF(SER_hh_tesh_in!O16=0,0,SER_hh_tesh_in!O16/SER_summary!O$27)</f>
        <v>21.864873486991652</v>
      </c>
      <c r="P16" s="131">
        <f>IF(SER_hh_tesh_in!P16=0,0,SER_hh_tesh_in!P16/SER_summary!P$27)</f>
        <v>19.414371731380921</v>
      </c>
      <c r="Q16" s="131">
        <f>IF(SER_hh_tesh_in!Q16=0,0,SER_hh_tesh_in!Q16/SER_summary!Q$27)</f>
        <v>27.588226312776996</v>
      </c>
      <c r="R16" s="131">
        <f>IF(SER_hh_tesh_in!R16=0,0,SER_hh_tesh_in!R16/SER_summary!R$27)</f>
        <v>19.010894104304271</v>
      </c>
      <c r="S16" s="131">
        <f>IF(SER_hh_tesh_in!S16=0,0,SER_hh_tesh_in!S16/SER_summary!S$27)</f>
        <v>22.497366175607048</v>
      </c>
      <c r="T16" s="131">
        <f>IF(SER_hh_tesh_in!T16=0,0,SER_hh_tesh_in!T16/SER_summary!T$27)</f>
        <v>20.952408814925274</v>
      </c>
      <c r="U16" s="131">
        <f>IF(SER_hh_tesh_in!U16=0,0,SER_hh_tesh_in!U16/SER_summary!U$27)</f>
        <v>21.752874330691743</v>
      </c>
      <c r="V16" s="131">
        <f>IF(SER_hh_tesh_in!V16=0,0,SER_hh_tesh_in!V16/SER_summary!V$27)</f>
        <v>17.556696050119687</v>
      </c>
      <c r="W16" s="131">
        <f>IF(SER_hh_tesh_in!W16=0,0,SER_hh_tesh_in!W16/SER_summary!W$27)</f>
        <v>20.372331773172334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22.041978220420532</v>
      </c>
      <c r="D17" s="133">
        <f>IF(SER_hh_tesh_in!D17=0,0,SER_hh_tesh_in!D17/SER_summary!D$27)</f>
        <v>23.216495816699478</v>
      </c>
      <c r="E17" s="133">
        <f>IF(SER_hh_tesh_in!E17=0,0,SER_hh_tesh_in!E17/SER_summary!E$27)</f>
        <v>26.533532704816835</v>
      </c>
      <c r="F17" s="133">
        <f>IF(SER_hh_tesh_in!F17=0,0,SER_hh_tesh_in!F17/SER_summary!F$27)</f>
        <v>21.103190986636665</v>
      </c>
      <c r="G17" s="133">
        <f>IF(SER_hh_tesh_in!G17=0,0,SER_hh_tesh_in!G17/SER_summary!G$27)</f>
        <v>21.036888987610357</v>
      </c>
      <c r="H17" s="133">
        <f>IF(SER_hh_tesh_in!H17=0,0,SER_hh_tesh_in!H17/SER_summary!H$27)</f>
        <v>23.170410408527434</v>
      </c>
      <c r="I17" s="133">
        <f>IF(SER_hh_tesh_in!I17=0,0,SER_hh_tesh_in!I17/SER_summary!I$27)</f>
        <v>25.202327251878256</v>
      </c>
      <c r="J17" s="133">
        <f>IF(SER_hh_tesh_in!J17=0,0,SER_hh_tesh_in!J17/SER_summary!J$27)</f>
        <v>21.328074793862584</v>
      </c>
      <c r="K17" s="133">
        <f>IF(SER_hh_tesh_in!K17=0,0,SER_hh_tesh_in!K17/SER_summary!K$27)</f>
        <v>21.241177299287347</v>
      </c>
      <c r="L17" s="133">
        <f>IF(SER_hh_tesh_in!L17=0,0,SER_hh_tesh_in!L17/SER_summary!L$27)</f>
        <v>21.983922926636541</v>
      </c>
      <c r="M17" s="133">
        <f>IF(SER_hh_tesh_in!M17=0,0,SER_hh_tesh_in!M17/SER_summary!M$27)</f>
        <v>21.448396465506924</v>
      </c>
      <c r="N17" s="133">
        <f>IF(SER_hh_tesh_in!N17=0,0,SER_hh_tesh_in!N17/SER_summary!N$27)</f>
        <v>26.978780306987563</v>
      </c>
      <c r="O17" s="133">
        <f>IF(SER_hh_tesh_in!O17=0,0,SER_hh_tesh_in!O17/SER_summary!O$27)</f>
        <v>22.021519877651556</v>
      </c>
      <c r="P17" s="133">
        <f>IF(SER_hh_tesh_in!P17=0,0,SER_hh_tesh_in!P17/SER_summary!P$27)</f>
        <v>19.506469973282325</v>
      </c>
      <c r="Q17" s="133">
        <f>IF(SER_hh_tesh_in!Q17=0,0,SER_hh_tesh_in!Q17/SER_summary!Q$27)</f>
        <v>27.666739116630481</v>
      </c>
      <c r="R17" s="133">
        <f>IF(SER_hh_tesh_in!R17=0,0,SER_hh_tesh_in!R17/SER_summary!R$27)</f>
        <v>19.042236525003165</v>
      </c>
      <c r="S17" s="133">
        <f>IF(SER_hh_tesh_in!S17=0,0,SER_hh_tesh_in!S17/SER_summary!S$27)</f>
        <v>22.702249975235471</v>
      </c>
      <c r="T17" s="133">
        <f>IF(SER_hh_tesh_in!T17=0,0,SER_hh_tesh_in!T17/SER_summary!T$27)</f>
        <v>21.097498551462106</v>
      </c>
      <c r="U17" s="133">
        <f>IF(SER_hh_tesh_in!U17=0,0,SER_hh_tesh_in!U17/SER_summary!U$27)</f>
        <v>22.069582507668493</v>
      </c>
      <c r="V17" s="133">
        <f>IF(SER_hh_tesh_in!V17=0,0,SER_hh_tesh_in!V17/SER_summary!V$27)</f>
        <v>15.29364423569405</v>
      </c>
      <c r="W17" s="133">
        <f>IF(SER_hh_tesh_in!W17=0,0,SER_hh_tesh_in!W17/SER_summary!W$27)</f>
        <v>17.776794598418782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22.03160921902229</v>
      </c>
      <c r="D18" s="133">
        <f>IF(SER_hh_tesh_in!D18=0,0,SER_hh_tesh_in!D18/SER_summary!D$27)</f>
        <v>23.184496929274353</v>
      </c>
      <c r="E18" s="133">
        <f>IF(SER_hh_tesh_in!E18=0,0,SER_hh_tesh_in!E18/SER_summary!E$27)</f>
        <v>26.482462763456798</v>
      </c>
      <c r="F18" s="133">
        <f>IF(SER_hh_tesh_in!F18=0,0,SER_hh_tesh_in!F18/SER_summary!F$27)</f>
        <v>21.104581276657129</v>
      </c>
      <c r="G18" s="133">
        <f>IF(SER_hh_tesh_in!G18=0,0,SER_hh_tesh_in!G18/SER_summary!G$27)</f>
        <v>21.036224343249181</v>
      </c>
      <c r="H18" s="133">
        <f>IF(SER_hh_tesh_in!H18=0,0,SER_hh_tesh_in!H18/SER_summary!H$27)</f>
        <v>23.166056845865381</v>
      </c>
      <c r="I18" s="133">
        <f>IF(SER_hh_tesh_in!I18=0,0,SER_hh_tesh_in!I18/SER_summary!I$27)</f>
        <v>25.195521889124812</v>
      </c>
      <c r="J18" s="133">
        <f>IF(SER_hh_tesh_in!J18=0,0,SER_hh_tesh_in!J18/SER_summary!J$27)</f>
        <v>21.319908674533583</v>
      </c>
      <c r="K18" s="133">
        <f>IF(SER_hh_tesh_in!K18=0,0,SER_hh_tesh_in!K18/SER_summary!K$27)</f>
        <v>21.230740412164693</v>
      </c>
      <c r="L18" s="133">
        <f>IF(SER_hh_tesh_in!L18=0,0,SER_hh_tesh_in!L18/SER_summary!L$27)</f>
        <v>21.96785874937763</v>
      </c>
      <c r="M18" s="133">
        <f>IF(SER_hh_tesh_in!M18=0,0,SER_hh_tesh_in!M18/SER_summary!M$27)</f>
        <v>21.392727816370332</v>
      </c>
      <c r="N18" s="133">
        <f>IF(SER_hh_tesh_in!N18=0,0,SER_hh_tesh_in!N18/SER_summary!N$27)</f>
        <v>26.850861958137319</v>
      </c>
      <c r="O18" s="133">
        <f>IF(SER_hh_tesh_in!O18=0,0,SER_hh_tesh_in!O18/SER_summary!O$27)</f>
        <v>21.86363905382202</v>
      </c>
      <c r="P18" s="133">
        <f>IF(SER_hh_tesh_in!P18=0,0,SER_hh_tesh_in!P18/SER_summary!P$27)</f>
        <v>19.413840024518549</v>
      </c>
      <c r="Q18" s="133">
        <f>IF(SER_hh_tesh_in!Q18=0,0,SER_hh_tesh_in!Q18/SER_summary!Q$27)</f>
        <v>27.587586887722097</v>
      </c>
      <c r="R18" s="133">
        <f>IF(SER_hh_tesh_in!R18=0,0,SER_hh_tesh_in!R18/SER_summary!R$27)</f>
        <v>19.010656603948078</v>
      </c>
      <c r="S18" s="133">
        <f>IF(SER_hh_tesh_in!S18=0,0,SER_hh_tesh_in!S18/SER_summary!S$27)</f>
        <v>22.494682412578392</v>
      </c>
      <c r="T18" s="133">
        <f>IF(SER_hh_tesh_in!T18=0,0,SER_hh_tesh_in!T18/SER_summary!T$27)</f>
        <v>20.951032560336138</v>
      </c>
      <c r="U18" s="133">
        <f>IF(SER_hh_tesh_in!U18=0,0,SER_hh_tesh_in!U18/SER_summary!U$27)</f>
        <v>21.747051428902363</v>
      </c>
      <c r="V18" s="133">
        <f>IF(SER_hh_tesh_in!V18=0,0,SER_hh_tesh_in!V18/SER_summary!V$27)</f>
        <v>17.601532073975946</v>
      </c>
      <c r="W18" s="133">
        <f>IF(SER_hh_tesh_in!W18=0,0,SER_hh_tesh_in!W18/SER_summary!W$27)</f>
        <v>20.399977682885364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18.062660341726151</v>
      </c>
      <c r="D19" s="131">
        <f>IF(SER_hh_tesh_in!D19=0,0,SER_hh_tesh_in!D19/SER_summary!D$27)</f>
        <v>18.27293642710756</v>
      </c>
      <c r="E19" s="131">
        <f>IF(SER_hh_tesh_in!E19=0,0,SER_hh_tesh_in!E19/SER_summary!E$27)</f>
        <v>18.064901616029633</v>
      </c>
      <c r="F19" s="131">
        <f>IF(SER_hh_tesh_in!F19=0,0,SER_hh_tesh_in!F19/SER_summary!F$27)</f>
        <v>18.400360211356954</v>
      </c>
      <c r="G19" s="131">
        <f>IF(SER_hh_tesh_in!G19=0,0,SER_hh_tesh_in!G19/SER_summary!G$27)</f>
        <v>18.112484451877936</v>
      </c>
      <c r="H19" s="131">
        <f>IF(SER_hh_tesh_in!H19=0,0,SER_hh_tesh_in!H19/SER_summary!H$27)</f>
        <v>17.946825450884909</v>
      </c>
      <c r="I19" s="131">
        <f>IF(SER_hh_tesh_in!I19=0,0,SER_hh_tesh_in!I19/SER_summary!I$27)</f>
        <v>17.747551601813093</v>
      </c>
      <c r="J19" s="131">
        <f>IF(SER_hh_tesh_in!J19=0,0,SER_hh_tesh_in!J19/SER_summary!J$27)</f>
        <v>18.073275855085406</v>
      </c>
      <c r="K19" s="131">
        <f>IF(SER_hh_tesh_in!K19=0,0,SER_hh_tesh_in!K19/SER_summary!K$27)</f>
        <v>18.44337569283184</v>
      </c>
      <c r="L19" s="131">
        <f>IF(SER_hh_tesh_in!L19=0,0,SER_hh_tesh_in!L19/SER_summary!L$27)</f>
        <v>18.354485393830544</v>
      </c>
      <c r="M19" s="131">
        <f>IF(SER_hh_tesh_in!M19=0,0,SER_hh_tesh_in!M19/SER_summary!M$27)</f>
        <v>18.221348902579663</v>
      </c>
      <c r="N19" s="131">
        <f>IF(SER_hh_tesh_in!N19=0,0,SER_hh_tesh_in!N19/SER_summary!N$27)</f>
        <v>19.487545461709573</v>
      </c>
      <c r="O19" s="131">
        <f>IF(SER_hh_tesh_in!O19=0,0,SER_hh_tesh_in!O19/SER_summary!O$27)</f>
        <v>18.464751352704607</v>
      </c>
      <c r="P19" s="131">
        <f>IF(SER_hh_tesh_in!P19=0,0,SER_hh_tesh_in!P19/SER_summary!P$27)</f>
        <v>17.868958588025237</v>
      </c>
      <c r="Q19" s="131">
        <f>IF(SER_hh_tesh_in!Q19=0,0,SER_hh_tesh_in!Q19/SER_summary!Q$27)</f>
        <v>17.679348250387456</v>
      </c>
      <c r="R19" s="131">
        <f>IF(SER_hh_tesh_in!R19=0,0,SER_hh_tesh_in!R19/SER_summary!R$27)</f>
        <v>17.65316797369055</v>
      </c>
      <c r="S19" s="131">
        <f>IF(SER_hh_tesh_in!S19=0,0,SER_hh_tesh_in!S19/SER_summary!S$27)</f>
        <v>17.487973820043813</v>
      </c>
      <c r="T19" s="131">
        <f>IF(SER_hh_tesh_in!T19=0,0,SER_hh_tesh_in!T19/SER_summary!T$27)</f>
        <v>17.478299684551395</v>
      </c>
      <c r="U19" s="131">
        <f>IF(SER_hh_tesh_in!U19=0,0,SER_hh_tesh_in!U19/SER_summary!U$27)</f>
        <v>17.084450155733649</v>
      </c>
      <c r="V19" s="131">
        <f>IF(SER_hh_tesh_in!V19=0,0,SER_hh_tesh_in!V19/SER_summary!V$27)</f>
        <v>15.433026917099641</v>
      </c>
      <c r="W19" s="131">
        <f>IF(SER_hh_tesh_in!W19=0,0,SER_hh_tesh_in!W19/SER_summary!W$27)</f>
        <v>15.737264305646365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0</v>
      </c>
      <c r="D22" s="133">
        <f>IF(SER_hh_tesh_in!D22=0,0,SER_hh_tesh_in!D22/SER_summary!D$27)</f>
        <v>0</v>
      </c>
      <c r="E22" s="133">
        <f>IF(SER_hh_tesh_in!E22=0,0,SER_hh_tesh_in!E22/SER_summary!E$27)</f>
        <v>0</v>
      </c>
      <c r="F22" s="133">
        <f>IF(SER_hh_tesh_in!F22=0,0,SER_hh_tesh_in!F22/SER_summary!F$27)</f>
        <v>0</v>
      </c>
      <c r="G22" s="133">
        <f>IF(SER_hh_tesh_in!G22=0,0,SER_hh_tesh_in!G22/SER_summary!G$27)</f>
        <v>0</v>
      </c>
      <c r="H22" s="133">
        <f>IF(SER_hh_tesh_in!H22=0,0,SER_hh_tesh_in!H22/SER_summary!H$27)</f>
        <v>0</v>
      </c>
      <c r="I22" s="133">
        <f>IF(SER_hh_tesh_in!I22=0,0,SER_hh_tesh_in!I22/SER_summary!I$27)</f>
        <v>0</v>
      </c>
      <c r="J22" s="133">
        <f>IF(SER_hh_tesh_in!J22=0,0,SER_hh_tesh_in!J22/SER_summary!J$27)</f>
        <v>0</v>
      </c>
      <c r="K22" s="133">
        <f>IF(SER_hh_tesh_in!K22=0,0,SER_hh_tesh_in!K22/SER_summary!K$27)</f>
        <v>0</v>
      </c>
      <c r="L22" s="133">
        <f>IF(SER_hh_tesh_in!L22=0,0,SER_hh_tesh_in!L22/SER_summary!L$27)</f>
        <v>0</v>
      </c>
      <c r="M22" s="133">
        <f>IF(SER_hh_tesh_in!M22=0,0,SER_hh_tesh_in!M22/SER_summary!M$27)</f>
        <v>0</v>
      </c>
      <c r="N22" s="133">
        <f>IF(SER_hh_tesh_in!N22=0,0,SER_hh_tesh_in!N22/SER_summary!N$27)</f>
        <v>0</v>
      </c>
      <c r="O22" s="133">
        <f>IF(SER_hh_tesh_in!O22=0,0,SER_hh_tesh_in!O22/SER_summary!O$27)</f>
        <v>0</v>
      </c>
      <c r="P22" s="133">
        <f>IF(SER_hh_tesh_in!P22=0,0,SER_hh_tesh_in!P22/SER_summary!P$27)</f>
        <v>0</v>
      </c>
      <c r="Q22" s="133">
        <f>IF(SER_hh_tesh_in!Q22=0,0,SER_hh_tesh_in!Q22/SER_summary!Q$27)</f>
        <v>0</v>
      </c>
      <c r="R22" s="133">
        <f>IF(SER_hh_tesh_in!R22=0,0,SER_hh_tesh_in!R22/SER_summary!R$27)</f>
        <v>0</v>
      </c>
      <c r="S22" s="133">
        <f>IF(SER_hh_tesh_in!S22=0,0,SER_hh_tesh_in!S22/SER_summary!S$27)</f>
        <v>0</v>
      </c>
      <c r="T22" s="133">
        <f>IF(SER_hh_tesh_in!T22=0,0,SER_hh_tesh_in!T22/SER_summary!T$27)</f>
        <v>0</v>
      </c>
      <c r="U22" s="133">
        <f>IF(SER_hh_tesh_in!U22=0,0,SER_hh_tesh_in!U22/SER_summary!U$27)</f>
        <v>0</v>
      </c>
      <c r="V22" s="133">
        <f>IF(SER_hh_tesh_in!V22=0,0,SER_hh_tesh_in!V22/SER_summary!V$27)</f>
        <v>0</v>
      </c>
      <c r="W22" s="133">
        <f>IF(SER_hh_tesh_in!W22=0,0,SER_hh_tesh_in!W22/SER_summary!W$27)</f>
        <v>0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18.005049842842208</v>
      </c>
      <c r="D23" s="133">
        <f>IF(SER_hh_tesh_in!D23=0,0,SER_hh_tesh_in!D23/SER_summary!D$27)</f>
        <v>18.215454985628615</v>
      </c>
      <c r="E23" s="133">
        <f>IF(SER_hh_tesh_in!E23=0,0,SER_hh_tesh_in!E23/SER_summary!E$27)</f>
        <v>18.293505374732792</v>
      </c>
      <c r="F23" s="133">
        <f>IF(SER_hh_tesh_in!F23=0,0,SER_hh_tesh_in!F23/SER_summary!F$27)</f>
        <v>18.683426106545241</v>
      </c>
      <c r="G23" s="133">
        <f>IF(SER_hh_tesh_in!G23=0,0,SER_hh_tesh_in!G23/SER_summary!G$27)</f>
        <v>18.019390134447278</v>
      </c>
      <c r="H23" s="133">
        <f>IF(SER_hh_tesh_in!H23=0,0,SER_hh_tesh_in!H23/SER_summary!H$27)</f>
        <v>17.608308896648929</v>
      </c>
      <c r="I23" s="133">
        <f>IF(SER_hh_tesh_in!I23=0,0,SER_hh_tesh_in!I23/SER_summary!I$27)</f>
        <v>17.556878412060321</v>
      </c>
      <c r="J23" s="133">
        <f>IF(SER_hh_tesh_in!J23=0,0,SER_hh_tesh_in!J23/SER_summary!J$27)</f>
        <v>17.825923838172894</v>
      </c>
      <c r="K23" s="133">
        <f>IF(SER_hh_tesh_in!K23=0,0,SER_hh_tesh_in!K23/SER_summary!K$27)</f>
        <v>18.382784528082475</v>
      </c>
      <c r="L23" s="133">
        <f>IF(SER_hh_tesh_in!L23=0,0,SER_hh_tesh_in!L23/SER_summary!L$27)</f>
        <v>18.199766989810225</v>
      </c>
      <c r="M23" s="133">
        <f>IF(SER_hh_tesh_in!M23=0,0,SER_hh_tesh_in!M23/SER_summary!M$27)</f>
        <v>17.922904568288164</v>
      </c>
      <c r="N23" s="133">
        <f>IF(SER_hh_tesh_in!N23=0,0,SER_hh_tesh_in!N23/SER_summary!N$27)</f>
        <v>17.7174163850468</v>
      </c>
      <c r="O23" s="133">
        <f>IF(SER_hh_tesh_in!O23=0,0,SER_hh_tesh_in!O23/SER_summary!O$27)</f>
        <v>18.60780797638197</v>
      </c>
      <c r="P23" s="133">
        <f>IF(SER_hh_tesh_in!P23=0,0,SER_hh_tesh_in!P23/SER_summary!P$27)</f>
        <v>17.854491917557457</v>
      </c>
      <c r="Q23" s="133">
        <f>IF(SER_hh_tesh_in!Q23=0,0,SER_hh_tesh_in!Q23/SER_summary!Q$27)</f>
        <v>17.641026512248796</v>
      </c>
      <c r="R23" s="133">
        <f>IF(SER_hh_tesh_in!R23=0,0,SER_hh_tesh_in!R23/SER_summary!R$27)</f>
        <v>17.823551636696831</v>
      </c>
      <c r="S23" s="133">
        <f>IF(SER_hh_tesh_in!S23=0,0,SER_hh_tesh_in!S23/SER_summary!S$27)</f>
        <v>17.629702746658712</v>
      </c>
      <c r="T23" s="133">
        <f>IF(SER_hh_tesh_in!T23=0,0,SER_hh_tesh_in!T23/SER_summary!T$27)</f>
        <v>17.798795168231671</v>
      </c>
      <c r="U23" s="133">
        <f>IF(SER_hh_tesh_in!U23=0,0,SER_hh_tesh_in!U23/SER_summary!U$27)</f>
        <v>17.119972166604555</v>
      </c>
      <c r="V23" s="133">
        <f>IF(SER_hh_tesh_in!V23=0,0,SER_hh_tesh_in!V23/SER_summary!V$27)</f>
        <v>15.591509415285067</v>
      </c>
      <c r="W23" s="133">
        <f>IF(SER_hh_tesh_in!W23=0,0,SER_hh_tesh_in!W23/SER_summary!W$27)</f>
        <v>15.467417433365428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25.849960883268452</v>
      </c>
      <c r="O24" s="133">
        <f>IF(SER_hh_tesh_in!O24=0,0,SER_hh_tesh_in!O24/SER_summary!O$27)</f>
        <v>20.059320427566789</v>
      </c>
      <c r="P24" s="133">
        <f>IF(SER_hh_tesh_in!P24=0,0,SER_hh_tesh_in!P24/SER_summary!P$27)</f>
        <v>18.094689563315477</v>
      </c>
      <c r="Q24" s="133">
        <f>IF(SER_hh_tesh_in!Q24=0,0,SER_hh_tesh_in!Q24/SER_summary!Q$27)</f>
        <v>14.191054996868257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16.684076479219826</v>
      </c>
      <c r="V24" s="133">
        <f>IF(SER_hh_tesh_in!V24=0,0,SER_hh_tesh_in!V24/SER_summary!V$27)</f>
        <v>15.835994289382977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18.067899669493141</v>
      </c>
      <c r="D25" s="133">
        <f>IF(SER_hh_tesh_in!D25=0,0,SER_hh_tesh_in!D25/SER_summary!D$27)</f>
        <v>18.070574437739022</v>
      </c>
      <c r="E25" s="133">
        <f>IF(SER_hh_tesh_in!E25=0,0,SER_hh_tesh_in!E25/SER_summary!E$27)</f>
        <v>17.927201594444362</v>
      </c>
      <c r="F25" s="133">
        <f>IF(SER_hh_tesh_in!F25=0,0,SER_hh_tesh_in!F25/SER_summary!F$27)</f>
        <v>17.835260545388358</v>
      </c>
      <c r="G25" s="133">
        <f>IF(SER_hh_tesh_in!G25=0,0,SER_hh_tesh_in!G25/SER_summary!G$27)</f>
        <v>18.301491147849088</v>
      </c>
      <c r="H25" s="133">
        <f>IF(SER_hh_tesh_in!H25=0,0,SER_hh_tesh_in!H25/SER_summary!H$27)</f>
        <v>17.952855556898538</v>
      </c>
      <c r="I25" s="133">
        <f>IF(SER_hh_tesh_in!I25=0,0,SER_hh_tesh_in!I25/SER_summary!I$27)</f>
        <v>17.76403428332894</v>
      </c>
      <c r="J25" s="133">
        <f>IF(SER_hh_tesh_in!J25=0,0,SER_hh_tesh_in!J25/SER_summary!J$27)</f>
        <v>18.274031969351149</v>
      </c>
      <c r="K25" s="133">
        <f>IF(SER_hh_tesh_in!K25=0,0,SER_hh_tesh_in!K25/SER_summary!K$27)</f>
        <v>18.254870993846957</v>
      </c>
      <c r="L25" s="133">
        <f>IF(SER_hh_tesh_in!L25=0,0,SER_hh_tesh_in!L25/SER_summary!L$27)</f>
        <v>18.045439709979256</v>
      </c>
      <c r="M25" s="133">
        <f>IF(SER_hh_tesh_in!M25=0,0,SER_hh_tesh_in!M25/SER_summary!M$27)</f>
        <v>18.177167330206586</v>
      </c>
      <c r="N25" s="133">
        <f>IF(SER_hh_tesh_in!N25=0,0,SER_hh_tesh_in!N25/SER_summary!N$27)</f>
        <v>18.521446596193819</v>
      </c>
      <c r="O25" s="133">
        <f>IF(SER_hh_tesh_in!O25=0,0,SER_hh_tesh_in!O25/SER_summary!O$27)</f>
        <v>17.987390016088113</v>
      </c>
      <c r="P25" s="133">
        <f>IF(SER_hh_tesh_in!P25=0,0,SER_hh_tesh_in!P25/SER_summary!P$27)</f>
        <v>17.565829988045898</v>
      </c>
      <c r="Q25" s="133">
        <f>IF(SER_hh_tesh_in!Q25=0,0,SER_hh_tesh_in!Q25/SER_summary!Q$27)</f>
        <v>17.589497988680627</v>
      </c>
      <c r="R25" s="133">
        <f>IF(SER_hh_tesh_in!R25=0,0,SER_hh_tesh_in!R25/SER_summary!R$27)</f>
        <v>17.597750922104147</v>
      </c>
      <c r="S25" s="133">
        <f>IF(SER_hh_tesh_in!S25=0,0,SER_hh_tesh_in!S25/SER_summary!S$27)</f>
        <v>17.498486976844088</v>
      </c>
      <c r="T25" s="133">
        <f>IF(SER_hh_tesh_in!T25=0,0,SER_hh_tesh_in!T25/SER_summary!T$27)</f>
        <v>17.328511846229009</v>
      </c>
      <c r="U25" s="133">
        <f>IF(SER_hh_tesh_in!U25=0,0,SER_hh_tesh_in!U25/SER_summary!U$27)</f>
        <v>17.578940923211452</v>
      </c>
      <c r="V25" s="133">
        <f>IF(SER_hh_tesh_in!V25=0,0,SER_hh_tesh_in!V25/SER_summary!V$27)</f>
        <v>15.037417061738454</v>
      </c>
      <c r="W25" s="133">
        <f>IF(SER_hh_tesh_in!W25=0,0,SER_hh_tesh_in!W25/SER_summary!W$27)</f>
        <v>15.758227793577188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18.108342231539936</v>
      </c>
      <c r="D26" s="65">
        <f>IF(SER_hh_tesh_in!D26=0,0,SER_hh_tesh_in!D26/SER_summary!D$27)</f>
        <v>18.39186364414028</v>
      </c>
      <c r="E26" s="65">
        <f>IF(SER_hh_tesh_in!E26=0,0,SER_hh_tesh_in!E26/SER_summary!E$27)</f>
        <v>17.853263434910527</v>
      </c>
      <c r="F26" s="65">
        <f>IF(SER_hh_tesh_in!F26=0,0,SER_hh_tesh_in!F26/SER_summary!F$27)</f>
        <v>18.107669326238561</v>
      </c>
      <c r="G26" s="65">
        <f>IF(SER_hh_tesh_in!G26=0,0,SER_hh_tesh_in!G26/SER_summary!G$27)</f>
        <v>17.882805097526816</v>
      </c>
      <c r="H26" s="65">
        <f>IF(SER_hh_tesh_in!H26=0,0,SER_hh_tesh_in!H26/SER_summary!H$27)</f>
        <v>17.964301066889508</v>
      </c>
      <c r="I26" s="65">
        <f>IF(SER_hh_tesh_in!I26=0,0,SER_hh_tesh_in!I26/SER_summary!I$27)</f>
        <v>17.826909134015821</v>
      </c>
      <c r="J26" s="65">
        <f>IF(SER_hh_tesh_in!J26=0,0,SER_hh_tesh_in!J26/SER_summary!J$27)</f>
        <v>14.402194724872576</v>
      </c>
      <c r="K26" s="65">
        <f>IF(SER_hh_tesh_in!K26=0,0,SER_hh_tesh_in!K26/SER_summary!K$27)</f>
        <v>14.818613944385108</v>
      </c>
      <c r="L26" s="65">
        <f>IF(SER_hh_tesh_in!L26=0,0,SER_hh_tesh_in!L26/SER_summary!L$27)</f>
        <v>13.772849362302576</v>
      </c>
      <c r="M26" s="65">
        <f>IF(SER_hh_tesh_in!M26=0,0,SER_hh_tesh_in!M26/SER_summary!M$27)</f>
        <v>17.271956350047343</v>
      </c>
      <c r="N26" s="65">
        <f>IF(SER_hh_tesh_in!N26=0,0,SER_hh_tesh_in!N26/SER_summary!N$27)</f>
        <v>19.088571134950126</v>
      </c>
      <c r="O26" s="65">
        <f>IF(SER_hh_tesh_in!O26=0,0,SER_hh_tesh_in!O26/SER_summary!O$27)</f>
        <v>17.166483949540364</v>
      </c>
      <c r="P26" s="65">
        <f>IF(SER_hh_tesh_in!P26=0,0,SER_hh_tesh_in!P26/SER_summary!P$27)</f>
        <v>16.703680145901913</v>
      </c>
      <c r="Q26" s="65">
        <f>IF(SER_hh_tesh_in!Q26=0,0,SER_hh_tesh_in!Q26/SER_summary!Q$27)</f>
        <v>16.203917763034301</v>
      </c>
      <c r="R26" s="65">
        <f>IF(SER_hh_tesh_in!R26=0,0,SER_hh_tesh_in!R26/SER_summary!R$27)</f>
        <v>17.419905263282555</v>
      </c>
      <c r="S26" s="65">
        <f>IF(SER_hh_tesh_in!S26=0,0,SER_hh_tesh_in!S26/SER_summary!S$27)</f>
        <v>16.814781335504858</v>
      </c>
      <c r="T26" s="65">
        <f>IF(SER_hh_tesh_in!T26=0,0,SER_hh_tesh_in!T26/SER_summary!T$27)</f>
        <v>16.668468960841743</v>
      </c>
      <c r="U26" s="65">
        <f>IF(SER_hh_tesh_in!U26=0,0,SER_hh_tesh_in!U26/SER_summary!U$27)</f>
        <v>16.114853056973477</v>
      </c>
      <c r="V26" s="65">
        <f>IF(SER_hh_tesh_in!V26=0,0,SER_hh_tesh_in!V26/SER_summary!V$27)</f>
        <v>14.200383625234679</v>
      </c>
      <c r="W26" s="65">
        <f>IF(SER_hh_tesh_in!W26=0,0,SER_hh_tesh_in!W26/SER_summary!W$27)</f>
        <v>16.174619757904491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0.11401480955709738</v>
      </c>
      <c r="H27" s="146">
        <f>IF(SER_hh_tesh_in!H27=0,0,SER_hh_tesh_in!H27/SER_summary!H$27)</f>
        <v>0.18274547968572796</v>
      </c>
      <c r="I27" s="146">
        <f>IF(SER_hh_tesh_in!I27=0,0,SER_hh_tesh_in!I27/SER_summary!I$27)</f>
        <v>0.11115034466885564</v>
      </c>
      <c r="J27" s="146">
        <f>IF(SER_hh_tesh_in!J27=0,0,SER_hh_tesh_in!J27/SER_summary!J$27)</f>
        <v>0.63515062724759219</v>
      </c>
      <c r="K27" s="146">
        <f>IF(SER_hh_tesh_in!K27=0,0,SER_hh_tesh_in!K27/SER_summary!K$27)</f>
        <v>0.49296102092860572</v>
      </c>
      <c r="L27" s="146">
        <f>IF(SER_hh_tesh_in!L27=0,0,SER_hh_tesh_in!L27/SER_summary!L$27)</f>
        <v>1.0524280454579926</v>
      </c>
      <c r="M27" s="146">
        <f>IF(SER_hh_tesh_in!M27=0,0,SER_hh_tesh_in!M27/SER_summary!M$27)</f>
        <v>0.42338364474074935</v>
      </c>
      <c r="N27" s="146">
        <f>IF(SER_hh_tesh_in!N27=0,0,SER_hh_tesh_in!N27/SER_summary!N$27)</f>
        <v>0</v>
      </c>
      <c r="O27" s="146">
        <f>IF(SER_hh_tesh_in!O27=0,0,SER_hh_tesh_in!O27/SER_summary!O$27)</f>
        <v>3.7733435200205848E-2</v>
      </c>
      <c r="P27" s="146">
        <f>IF(SER_hh_tesh_in!P27=0,0,SER_hh_tesh_in!P27/SER_summary!P$27)</f>
        <v>9.8439510820216194E-2</v>
      </c>
      <c r="Q27" s="146">
        <f>IF(SER_hh_tesh_in!Q27=0,0,SER_hh_tesh_in!Q27/SER_summary!Q$27)</f>
        <v>0.46587286827416802</v>
      </c>
      <c r="R27" s="146">
        <f>IF(SER_hh_tesh_in!R27=0,0,SER_hh_tesh_in!R27/SER_summary!R$27)</f>
        <v>1.5281438005223116E-8</v>
      </c>
      <c r="S27" s="146">
        <f>IF(SER_hh_tesh_in!S27=0,0,SER_hh_tesh_in!S27/SER_summary!S$27)</f>
        <v>0.15284860109357751</v>
      </c>
      <c r="T27" s="146">
        <f>IF(SER_hh_tesh_in!T27=0,0,SER_hh_tesh_in!T27/SER_summary!T$27)</f>
        <v>6.1968759864913132E-2</v>
      </c>
      <c r="U27" s="146">
        <f>IF(SER_hh_tesh_in!U27=0,0,SER_hh_tesh_in!U27/SER_summary!U$27)</f>
        <v>0.25648599337488737</v>
      </c>
      <c r="V27" s="146">
        <f>IF(SER_hh_tesh_in!V27=0,0,SER_hh_tesh_in!V27/SER_summary!V$27)</f>
        <v>0.30491750154253733</v>
      </c>
      <c r="W27" s="146">
        <f>IF(SER_hh_tesh_in!W27=0,0,SER_hh_tesh_in!W27/SER_summary!W$27)</f>
        <v>8.1393005248985819E-16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14.656173162684796</v>
      </c>
      <c r="H28" s="147">
        <f>IF(SER_hh_tesh_in!H28=0,0,SER_hh_tesh_in!H28/SER_summary!H$27)</f>
        <v>13.359791889135854</v>
      </c>
      <c r="I28" s="147">
        <f>IF(SER_hh_tesh_in!I28=0,0,SER_hh_tesh_in!I28/SER_summary!I$27)</f>
        <v>14.139783975375375</v>
      </c>
      <c r="J28" s="147">
        <f>IF(SER_hh_tesh_in!J28=0,0,SER_hh_tesh_in!J28/SER_summary!J$27)</f>
        <v>13.721774496976254</v>
      </c>
      <c r="K28" s="147">
        <f>IF(SER_hh_tesh_in!K28=0,0,SER_hh_tesh_in!K28/SER_summary!K$27)</f>
        <v>14.2656317652533</v>
      </c>
      <c r="L28" s="147">
        <f>IF(SER_hh_tesh_in!L28=0,0,SER_hh_tesh_in!L28/SER_summary!L$27)</f>
        <v>14.356141538268876</v>
      </c>
      <c r="M28" s="147">
        <f>IF(SER_hh_tesh_in!M28=0,0,SER_hh_tesh_in!M28/SER_summary!M$27)</f>
        <v>13.611778160276268</v>
      </c>
      <c r="N28" s="147">
        <f>IF(SER_hh_tesh_in!N28=0,0,SER_hh_tesh_in!N28/SER_summary!N$27)</f>
        <v>0</v>
      </c>
      <c r="O28" s="147">
        <f>IF(SER_hh_tesh_in!O28=0,0,SER_hh_tesh_in!O28/SER_summary!O$27)</f>
        <v>19.172205569047421</v>
      </c>
      <c r="P28" s="147">
        <f>IF(SER_hh_tesh_in!P28=0,0,SER_hh_tesh_in!P28/SER_summary!P$27)</f>
        <v>14.807591691954027</v>
      </c>
      <c r="Q28" s="147">
        <f>IF(SER_hh_tesh_in!Q28=0,0,SER_hh_tesh_in!Q28/SER_summary!Q$27)</f>
        <v>13.189459629137492</v>
      </c>
      <c r="R28" s="147">
        <f>IF(SER_hh_tesh_in!R28=0,0,SER_hh_tesh_in!R28/SER_summary!R$27)</f>
        <v>13.352792371899323</v>
      </c>
      <c r="S28" s="147">
        <f>IF(SER_hh_tesh_in!S28=0,0,SER_hh_tesh_in!S28/SER_summary!S$27)</f>
        <v>13.636882226465014</v>
      </c>
      <c r="T28" s="147">
        <f>IF(SER_hh_tesh_in!T28=0,0,SER_hh_tesh_in!T28/SER_summary!T$27)</f>
        <v>13.616445694570361</v>
      </c>
      <c r="U28" s="147">
        <f>IF(SER_hh_tesh_in!U28=0,0,SER_hh_tesh_in!U28/SER_summary!U$27)</f>
        <v>13.449380549359203</v>
      </c>
      <c r="V28" s="147">
        <f>IF(SER_hh_tesh_in!V28=0,0,SER_hh_tesh_in!V28/SER_summary!V$27)</f>
        <v>12.002900469261849</v>
      </c>
      <c r="W28" s="147">
        <f>IF(SER_hh_tesh_in!W28=0,0,SER_hh_tesh_in!W28/SER_summary!W$27)</f>
        <v>13.357038490459237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22.929350471546719</v>
      </c>
      <c r="D29" s="131">
        <f>IF(SER_hh_tesh_in!D29=0,0,SER_hh_tesh_in!D29/SER_summary!D$27)</f>
        <v>21.307937655201581</v>
      </c>
      <c r="E29" s="131">
        <f>IF(SER_hh_tesh_in!E29=0,0,SER_hh_tesh_in!E29/SER_summary!E$27)</f>
        <v>21.418327997254128</v>
      </c>
      <c r="F29" s="131">
        <f>IF(SER_hh_tesh_in!F29=0,0,SER_hh_tesh_in!F29/SER_summary!F$27)</f>
        <v>22.440094047617485</v>
      </c>
      <c r="G29" s="131">
        <f>IF(SER_hh_tesh_in!G29=0,0,SER_hh_tesh_in!G29/SER_summary!G$27)</f>
        <v>21.534831612235365</v>
      </c>
      <c r="H29" s="131">
        <f>IF(SER_hh_tesh_in!H29=0,0,SER_hh_tesh_in!H29/SER_summary!H$27)</f>
        <v>21.597787894641609</v>
      </c>
      <c r="I29" s="131">
        <f>IF(SER_hh_tesh_in!I29=0,0,SER_hh_tesh_in!I29/SER_summary!I$27)</f>
        <v>21.040824354838129</v>
      </c>
      <c r="J29" s="131">
        <f>IF(SER_hh_tesh_in!J29=0,0,SER_hh_tesh_in!J29/SER_summary!J$27)</f>
        <v>20.966983757287284</v>
      </c>
      <c r="K29" s="131">
        <f>IF(SER_hh_tesh_in!K29=0,0,SER_hh_tesh_in!K29/SER_summary!K$27)</f>
        <v>21.092587791927905</v>
      </c>
      <c r="L29" s="131">
        <f>IF(SER_hh_tesh_in!L29=0,0,SER_hh_tesh_in!L29/SER_summary!L$27)</f>
        <v>21.678700599606319</v>
      </c>
      <c r="M29" s="131">
        <f>IF(SER_hh_tesh_in!M29=0,0,SER_hh_tesh_in!M29/SER_summary!M$27)</f>
        <v>21.458755508790301</v>
      </c>
      <c r="N29" s="131">
        <f>IF(SER_hh_tesh_in!N29=0,0,SER_hh_tesh_in!N29/SER_summary!N$27)</f>
        <v>21.368500140886571</v>
      </c>
      <c r="O29" s="131">
        <f>IF(SER_hh_tesh_in!O29=0,0,SER_hh_tesh_in!O29/SER_summary!O$27)</f>
        <v>21.329663369335531</v>
      </c>
      <c r="P29" s="131">
        <f>IF(SER_hh_tesh_in!P29=0,0,SER_hh_tesh_in!P29/SER_summary!P$27)</f>
        <v>20.329779678270423</v>
      </c>
      <c r="Q29" s="131">
        <f>IF(SER_hh_tesh_in!Q29=0,0,SER_hh_tesh_in!Q29/SER_summary!Q$27)</f>
        <v>20.367700555848057</v>
      </c>
      <c r="R29" s="131">
        <f>IF(SER_hh_tesh_in!R29=0,0,SER_hh_tesh_in!R29/SER_summary!R$27)</f>
        <v>20.259980522490086</v>
      </c>
      <c r="S29" s="131">
        <f>IF(SER_hh_tesh_in!S29=0,0,SER_hh_tesh_in!S29/SER_summary!S$27)</f>
        <v>19.860777144905239</v>
      </c>
      <c r="T29" s="131">
        <f>IF(SER_hh_tesh_in!T29=0,0,SER_hh_tesh_in!T29/SER_summary!T$27)</f>
        <v>20.148299838193896</v>
      </c>
      <c r="U29" s="131">
        <f>IF(SER_hh_tesh_in!U29=0,0,SER_hh_tesh_in!U29/SER_summary!U$27)</f>
        <v>19.744521693272038</v>
      </c>
      <c r="V29" s="131">
        <f>IF(SER_hh_tesh_in!V29=0,0,SER_hh_tesh_in!V29/SER_summary!V$27)</f>
        <v>19.036643619596543</v>
      </c>
      <c r="W29" s="131">
        <f>IF(SER_hh_tesh_in!W29=0,0,SER_hh_tesh_in!W29/SER_summary!W$27)</f>
        <v>19.793569255341254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20.547741913366753</v>
      </c>
      <c r="D30" s="133">
        <f>IF(SER_hh_tesh_in!D30=0,0,SER_hh_tesh_in!D30/SER_summary!D$27)</f>
        <v>24.027438441099083</v>
      </c>
      <c r="E30" s="133">
        <f>IF(SER_hh_tesh_in!E30=0,0,SER_hh_tesh_in!E30/SER_summary!E$27)</f>
        <v>0</v>
      </c>
      <c r="F30" s="133">
        <f>IF(SER_hh_tesh_in!F30=0,0,SER_hh_tesh_in!F30/SER_summary!F$27)</f>
        <v>0</v>
      </c>
      <c r="G30" s="133">
        <f>IF(SER_hh_tesh_in!G30=0,0,SER_hh_tesh_in!G30/SER_summary!G$27)</f>
        <v>0</v>
      </c>
      <c r="H30" s="133">
        <f>IF(SER_hh_tesh_in!H30=0,0,SER_hh_tesh_in!H30/SER_summary!H$27)</f>
        <v>21.346123552548974</v>
      </c>
      <c r="I30" s="133">
        <f>IF(SER_hh_tesh_in!I30=0,0,SER_hh_tesh_in!I30/SER_summary!I$27)</f>
        <v>22.209479463263648</v>
      </c>
      <c r="J30" s="133">
        <f>IF(SER_hh_tesh_in!J30=0,0,SER_hh_tesh_in!J30/SER_summary!J$27)</f>
        <v>19.536703767175929</v>
      </c>
      <c r="K30" s="133">
        <f>IF(SER_hh_tesh_in!K30=0,0,SER_hh_tesh_in!K30/SER_summary!K$27)</f>
        <v>20.397617092716345</v>
      </c>
      <c r="L30" s="133">
        <f>IF(SER_hh_tesh_in!L30=0,0,SER_hh_tesh_in!L30/SER_summary!L$27)</f>
        <v>23.3877370028131</v>
      </c>
      <c r="M30" s="133">
        <f>IF(SER_hh_tesh_in!M30=0,0,SER_hh_tesh_in!M30/SER_summary!M$27)</f>
        <v>0</v>
      </c>
      <c r="N30" s="133">
        <f>IF(SER_hh_tesh_in!N30=0,0,SER_hh_tesh_in!N30/SER_summary!N$27)</f>
        <v>0</v>
      </c>
      <c r="O30" s="133">
        <f>IF(SER_hh_tesh_in!O30=0,0,SER_hh_tesh_in!O30/SER_summary!O$27)</f>
        <v>0</v>
      </c>
      <c r="P30" s="133">
        <f>IF(SER_hh_tesh_in!P30=0,0,SER_hh_tesh_in!P30/SER_summary!P$27)</f>
        <v>19.965713973772186</v>
      </c>
      <c r="Q30" s="133">
        <f>IF(SER_hh_tesh_in!Q30=0,0,SER_hh_tesh_in!Q30/SER_summary!Q$27)</f>
        <v>23.524662535033908</v>
      </c>
      <c r="R30" s="133">
        <f>IF(SER_hh_tesh_in!R30=0,0,SER_hh_tesh_in!R30/SER_summary!R$27)</f>
        <v>19.400545267127665</v>
      </c>
      <c r="S30" s="133">
        <f>IF(SER_hh_tesh_in!S30=0,0,SER_hh_tesh_in!S30/SER_summary!S$27)</f>
        <v>16.853549652793291</v>
      </c>
      <c r="T30" s="133">
        <f>IF(SER_hh_tesh_in!T30=0,0,SER_hh_tesh_in!T30/SER_summary!T$27)</f>
        <v>20.729977040326631</v>
      </c>
      <c r="U30" s="133">
        <f>IF(SER_hh_tesh_in!U30=0,0,SER_hh_tesh_in!U30/SER_summary!U$27)</f>
        <v>18.00145143402143</v>
      </c>
      <c r="V30" s="133">
        <f>IF(SER_hh_tesh_in!V30=0,0,SER_hh_tesh_in!V30/SER_summary!V$27)</f>
        <v>24.774399754008119</v>
      </c>
      <c r="W30" s="133">
        <f>IF(SER_hh_tesh_in!W30=0,0,SER_hh_tesh_in!W30/SER_summary!W$27)</f>
        <v>16.847708588465313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24.071912761390752</v>
      </c>
      <c r="D31" s="133">
        <f>IF(SER_hh_tesh_in!D31=0,0,SER_hh_tesh_in!D31/SER_summary!D$27)</f>
        <v>20.032517228310578</v>
      </c>
      <c r="E31" s="133">
        <f>IF(SER_hh_tesh_in!E31=0,0,SER_hh_tesh_in!E31/SER_summary!E$27)</f>
        <v>21.070813890555371</v>
      </c>
      <c r="F31" s="133">
        <f>IF(SER_hh_tesh_in!F31=0,0,SER_hh_tesh_in!F31/SER_summary!F$27)</f>
        <v>22.661954258814792</v>
      </c>
      <c r="G31" s="133">
        <f>IF(SER_hh_tesh_in!G31=0,0,SER_hh_tesh_in!G31/SER_summary!G$27)</f>
        <v>21.66697158054523</v>
      </c>
      <c r="H31" s="133">
        <f>IF(SER_hh_tesh_in!H31=0,0,SER_hh_tesh_in!H31/SER_summary!H$27)</f>
        <v>21.843470208435019</v>
      </c>
      <c r="I31" s="133">
        <f>IF(SER_hh_tesh_in!I31=0,0,SER_hh_tesh_in!I31/SER_summary!I$27)</f>
        <v>21.387558750012847</v>
      </c>
      <c r="J31" s="133">
        <f>IF(SER_hh_tesh_in!J31=0,0,SER_hh_tesh_in!J31/SER_summary!J$27)</f>
        <v>21.417192081281875</v>
      </c>
      <c r="K31" s="133">
        <f>IF(SER_hh_tesh_in!K31=0,0,SER_hh_tesh_in!K31/SER_summary!K$27)</f>
        <v>21.260292819369258</v>
      </c>
      <c r="L31" s="133">
        <f>IF(SER_hh_tesh_in!L31=0,0,SER_hh_tesh_in!L31/SER_summary!L$27)</f>
        <v>21.256792015789038</v>
      </c>
      <c r="M31" s="133">
        <f>IF(SER_hh_tesh_in!M31=0,0,SER_hh_tesh_in!M31/SER_summary!M$27)</f>
        <v>21.469613738585007</v>
      </c>
      <c r="N31" s="133">
        <f>IF(SER_hh_tesh_in!N31=0,0,SER_hh_tesh_in!N31/SER_summary!N$27)</f>
        <v>21.48712986774553</v>
      </c>
      <c r="O31" s="133">
        <f>IF(SER_hh_tesh_in!O31=0,0,SER_hh_tesh_in!O31/SER_summary!O$27)</f>
        <v>21.637016966888435</v>
      </c>
      <c r="P31" s="133">
        <f>IF(SER_hh_tesh_in!P31=0,0,SER_hh_tesh_in!P31/SER_summary!P$27)</f>
        <v>20.98509703803817</v>
      </c>
      <c r="Q31" s="133">
        <f>IF(SER_hh_tesh_in!Q31=0,0,SER_hh_tesh_in!Q31/SER_summary!Q$27)</f>
        <v>20.383001402322087</v>
      </c>
      <c r="R31" s="133">
        <f>IF(SER_hh_tesh_in!R31=0,0,SER_hh_tesh_in!R31/SER_summary!R$27)</f>
        <v>20.172520256071813</v>
      </c>
      <c r="S31" s="133">
        <f>IF(SER_hh_tesh_in!S31=0,0,SER_hh_tesh_in!S31/SER_summary!S$27)</f>
        <v>20.009871547432674</v>
      </c>
      <c r="T31" s="133">
        <f>IF(SER_hh_tesh_in!T31=0,0,SER_hh_tesh_in!T31/SER_summary!T$27)</f>
        <v>19.945912624030434</v>
      </c>
      <c r="U31" s="133">
        <f>IF(SER_hh_tesh_in!U31=0,0,SER_hh_tesh_in!U31/SER_summary!U$27)</f>
        <v>19.836639363646899</v>
      </c>
      <c r="V31" s="133">
        <f>IF(SER_hh_tesh_in!V31=0,0,SER_hh_tesh_in!V31/SER_summary!V$27)</f>
        <v>18.723687891627783</v>
      </c>
      <c r="W31" s="133">
        <f>IF(SER_hh_tesh_in!W31=0,0,SER_hh_tesh_in!W31/SER_summary!W$27)</f>
        <v>19.878302914603264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22.591765761241273</v>
      </c>
      <c r="D33" s="68">
        <f>IF(SER_hh_tesh_in!D33=0,0,SER_hh_tesh_in!D33/SER_summary!D$27)</f>
        <v>22.186460441556282</v>
      </c>
      <c r="E33" s="68">
        <f>IF(SER_hh_tesh_in!E33=0,0,SER_hh_tesh_in!E33/SER_summary!E$27)</f>
        <v>21.785009168680819</v>
      </c>
      <c r="F33" s="68">
        <f>IF(SER_hh_tesh_in!F33=0,0,SER_hh_tesh_in!F33/SER_summary!F$27)</f>
        <v>22.071756261038605</v>
      </c>
      <c r="G33" s="68">
        <f>IF(SER_hh_tesh_in!G33=0,0,SER_hh_tesh_in!G33/SER_summary!G$27)</f>
        <v>21.333060147771199</v>
      </c>
      <c r="H33" s="68">
        <f>IF(SER_hh_tesh_in!H33=0,0,SER_hh_tesh_in!H33/SER_summary!H$27)</f>
        <v>21.259994438401137</v>
      </c>
      <c r="I33" s="68">
        <f>IF(SER_hh_tesh_in!I33=0,0,SER_hh_tesh_in!I33/SER_summary!I$27)</f>
        <v>20.351207032750899</v>
      </c>
      <c r="J33" s="68">
        <f>IF(SER_hh_tesh_in!J33=0,0,SER_hh_tesh_in!J33/SER_summary!J$27)</f>
        <v>20.877386583744538</v>
      </c>
      <c r="K33" s="68">
        <f>IF(SER_hh_tesh_in!K33=0,0,SER_hh_tesh_in!K33/SER_summary!K$27)</f>
        <v>21.163371595388838</v>
      </c>
      <c r="L33" s="68">
        <f>IF(SER_hh_tesh_in!L33=0,0,SER_hh_tesh_in!L33/SER_summary!L$27)</f>
        <v>21.723646055957133</v>
      </c>
      <c r="M33" s="68">
        <f>IF(SER_hh_tesh_in!M33=0,0,SER_hh_tesh_in!M33/SER_summary!M$27)</f>
        <v>21.375754314003984</v>
      </c>
      <c r="N33" s="68">
        <f>IF(SER_hh_tesh_in!N33=0,0,SER_hh_tesh_in!N33/SER_summary!N$27)</f>
        <v>20.958825726992451</v>
      </c>
      <c r="O33" s="68">
        <f>IF(SER_hh_tesh_in!O33=0,0,SER_hh_tesh_in!O33/SER_summary!O$27)</f>
        <v>20.732327561966962</v>
      </c>
      <c r="P33" s="68">
        <f>IF(SER_hh_tesh_in!P33=0,0,SER_hh_tesh_in!P33/SER_summary!P$27)</f>
        <v>19.455790625478109</v>
      </c>
      <c r="Q33" s="68">
        <f>IF(SER_hh_tesh_in!Q33=0,0,SER_hh_tesh_in!Q33/SER_summary!Q$27)</f>
        <v>20.183343406157633</v>
      </c>
      <c r="R33" s="68">
        <f>IF(SER_hh_tesh_in!R33=0,0,SER_hh_tesh_in!R33/SER_summary!R$27)</f>
        <v>20.364444937636748</v>
      </c>
      <c r="S33" s="68">
        <f>IF(SER_hh_tesh_in!S33=0,0,SER_hh_tesh_in!S33/SER_summary!S$27)</f>
        <v>19.959700172361561</v>
      </c>
      <c r="T33" s="68">
        <f>IF(SER_hh_tesh_in!T33=0,0,SER_hh_tesh_in!T33/SER_summary!T$27)</f>
        <v>20.211141893036935</v>
      </c>
      <c r="U33" s="68">
        <f>IF(SER_hh_tesh_in!U33=0,0,SER_hh_tesh_in!U33/SER_summary!U$27)</f>
        <v>20.089987630044398</v>
      </c>
      <c r="V33" s="68">
        <f>IF(SER_hh_tesh_in!V33=0,0,SER_hh_tesh_in!V33/SER_summary!V$27)</f>
        <v>18.008063308508124</v>
      </c>
      <c r="W33" s="68">
        <f>IF(SER_hh_tesh_in!W33=0,0,SER_hh_tesh_in!W33/SER_summary!W$27)</f>
        <v>20.183064401084202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59.370477274944051</v>
      </c>
      <c r="D3" s="126">
        <f>IF(SER_hh_emih_in!D3=0,0,SER_hh_emih_in!D3/SER_summary!D$27)</f>
        <v>59.731728783328222</v>
      </c>
      <c r="E3" s="126">
        <f>IF(SER_hh_emih_in!E3=0,0,SER_hh_emih_in!E3/SER_summary!E$27)</f>
        <v>58.533158003751083</v>
      </c>
      <c r="F3" s="126">
        <f>IF(SER_hh_emih_in!F3=0,0,SER_hh_emih_in!F3/SER_summary!F$27)</f>
        <v>66.512536645443532</v>
      </c>
      <c r="G3" s="126">
        <f>IF(SER_hh_emih_in!G3=0,0,SER_hh_emih_in!G3/SER_summary!G$27)</f>
        <v>43.381168106220187</v>
      </c>
      <c r="H3" s="126">
        <f>IF(SER_hh_emih_in!H3=0,0,SER_hh_emih_in!H3/SER_summary!H$27)</f>
        <v>24.427677502845988</v>
      </c>
      <c r="I3" s="126">
        <f>IF(SER_hh_emih_in!I3=0,0,SER_hh_emih_in!I3/SER_summary!I$27)</f>
        <v>16.158054830345371</v>
      </c>
      <c r="J3" s="126">
        <f>IF(SER_hh_emih_in!J3=0,0,SER_hh_emih_in!J3/SER_summary!J$27)</f>
        <v>17.336043526108948</v>
      </c>
      <c r="K3" s="126">
        <f>IF(SER_hh_emih_in!K3=0,0,SER_hh_emih_in!K3/SER_summary!K$27)</f>
        <v>34.640019025127543</v>
      </c>
      <c r="L3" s="126">
        <f>IF(SER_hh_emih_in!L3=0,0,SER_hh_emih_in!L3/SER_summary!L$27)</f>
        <v>48.709844642821437</v>
      </c>
      <c r="M3" s="126">
        <f>IF(SER_hh_emih_in!M3=0,0,SER_hh_emih_in!M3/SER_summary!M$27)</f>
        <v>47.464931632203296</v>
      </c>
      <c r="N3" s="126">
        <f>IF(SER_hh_emih_in!N3=0,0,SER_hh_emih_in!N3/SER_summary!N$27)</f>
        <v>35.141966176925948</v>
      </c>
      <c r="O3" s="126">
        <f>IF(SER_hh_emih_in!O3=0,0,SER_hh_emih_in!O3/SER_summary!O$27)</f>
        <v>31.801357226210133</v>
      </c>
      <c r="P3" s="126">
        <f>IF(SER_hh_emih_in!P3=0,0,SER_hh_emih_in!P3/SER_summary!P$27)</f>
        <v>25.746627654776287</v>
      </c>
      <c r="Q3" s="126">
        <f>IF(SER_hh_emih_in!Q3=0,0,SER_hh_emih_in!Q3/SER_summary!Q$27)</f>
        <v>15.790975414401119</v>
      </c>
      <c r="R3" s="126">
        <f>IF(SER_hh_emih_in!R3=0,0,SER_hh_emih_in!R3/SER_summary!R$27)</f>
        <v>15.886140376422766</v>
      </c>
      <c r="S3" s="126">
        <f>IF(SER_hh_emih_in!S3=0,0,SER_hh_emih_in!S3/SER_summary!S$27)</f>
        <v>16.143107362555902</v>
      </c>
      <c r="T3" s="126">
        <f>IF(SER_hh_emih_in!T3=0,0,SER_hh_emih_in!T3/SER_summary!T$27)</f>
        <v>16.856019406102099</v>
      </c>
      <c r="U3" s="126">
        <f>IF(SER_hh_emih_in!U3=0,0,SER_hh_emih_in!U3/SER_summary!U$27)</f>
        <v>16.36288723963284</v>
      </c>
      <c r="V3" s="126">
        <f>IF(SER_hh_emih_in!V3=0,0,SER_hh_emih_in!V3/SER_summary!V$27)</f>
        <v>16.719152374546614</v>
      </c>
      <c r="W3" s="126">
        <f>IF(SER_hh_emih_in!W3=0,0,SER_hh_emih_in!W3/SER_summary!W$27)</f>
        <v>15.306354624380795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53.639932450747388</v>
      </c>
      <c r="D4" s="131">
        <f>IF(SER_hh_emih_in!D4=0,0,SER_hh_emih_in!D4/SER_summary!D$27)</f>
        <v>52.463865313723566</v>
      </c>
      <c r="E4" s="131">
        <f>IF(SER_hh_emih_in!E4=0,0,SER_hh_emih_in!E4/SER_summary!E$27)</f>
        <v>52.072822235688534</v>
      </c>
      <c r="F4" s="131">
        <f>IF(SER_hh_emih_in!F4=0,0,SER_hh_emih_in!F4/SER_summary!F$27)</f>
        <v>58.37061041423437</v>
      </c>
      <c r="G4" s="131">
        <f>IF(SER_hh_emih_in!G4=0,0,SER_hh_emih_in!G4/SER_summary!G$27)</f>
        <v>36.22150921647161</v>
      </c>
      <c r="H4" s="131">
        <f>IF(SER_hh_emih_in!H4=0,0,SER_hh_emih_in!H4/SER_summary!H$27)</f>
        <v>16.561164548275887</v>
      </c>
      <c r="I4" s="131">
        <f>IF(SER_hh_emih_in!I4=0,0,SER_hh_emih_in!I4/SER_summary!I$27)</f>
        <v>8.1441326564137952</v>
      </c>
      <c r="J4" s="131">
        <f>IF(SER_hh_emih_in!J4=0,0,SER_hh_emih_in!J4/SER_summary!J$27)</f>
        <v>9.2728449904281547</v>
      </c>
      <c r="K4" s="131">
        <f>IF(SER_hh_emih_in!K4=0,0,SER_hh_emih_in!K4/SER_summary!K$27)</f>
        <v>26.649948041760993</v>
      </c>
      <c r="L4" s="131">
        <f>IF(SER_hh_emih_in!L4=0,0,SER_hh_emih_in!L4/SER_summary!L$27)</f>
        <v>40.417711336340332</v>
      </c>
      <c r="M4" s="131">
        <f>IF(SER_hh_emih_in!M4=0,0,SER_hh_emih_in!M4/SER_summary!M$27)</f>
        <v>37.662725434391739</v>
      </c>
      <c r="N4" s="131">
        <f>IF(SER_hh_emih_in!N4=0,0,SER_hh_emih_in!N4/SER_summary!N$27)</f>
        <v>26.73639281708963</v>
      </c>
      <c r="O4" s="131">
        <f>IF(SER_hh_emih_in!O4=0,0,SER_hh_emih_in!O4/SER_summary!O$27)</f>
        <v>23.243804085682434</v>
      </c>
      <c r="P4" s="131">
        <f>IF(SER_hh_emih_in!P4=0,0,SER_hh_emih_in!P4/SER_summary!P$27)</f>
        <v>17.620848683611218</v>
      </c>
      <c r="Q4" s="131">
        <f>IF(SER_hh_emih_in!Q4=0,0,SER_hh_emih_in!Q4/SER_summary!Q$27)</f>
        <v>9.285482602523345</v>
      </c>
      <c r="R4" s="131">
        <f>IF(SER_hh_emih_in!R4=0,0,SER_hh_emih_in!R4/SER_summary!R$27)</f>
        <v>10.239563623588557</v>
      </c>
      <c r="S4" s="131">
        <f>IF(SER_hh_emih_in!S4=0,0,SER_hh_emih_in!S4/SER_summary!S$27)</f>
        <v>10.273768441405863</v>
      </c>
      <c r="T4" s="131">
        <f>IF(SER_hh_emih_in!T4=0,0,SER_hh_emih_in!T4/SER_summary!T$27)</f>
        <v>10.274059828134998</v>
      </c>
      <c r="U4" s="131">
        <f>IF(SER_hh_emih_in!U4=0,0,SER_hh_emih_in!U4/SER_summary!U$27)</f>
        <v>10.031711757827896</v>
      </c>
      <c r="V4" s="131">
        <f>IF(SER_hh_emih_in!V4=0,0,SER_hh_emih_in!V4/SER_summary!V$27)</f>
        <v>10.237759298556036</v>
      </c>
      <c r="W4" s="131">
        <f>IF(SER_hh_emih_in!W4=0,0,SER_hh_emih_in!W4/SER_summary!W$27)</f>
        <v>8.9356764406269846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85.334769980174173</v>
      </c>
      <c r="N5" s="133">
        <f>IF(SER_hh_emih_in!N5=0,0,SER_hh_emih_in!N5/SER_summary!N$27)</f>
        <v>25.21496746040506</v>
      </c>
      <c r="O5" s="133">
        <f>IF(SER_hh_emih_in!O5=0,0,SER_hh_emih_in!O5/SER_summary!O$27)</f>
        <v>55.890573628437352</v>
      </c>
      <c r="P5" s="133">
        <f>IF(SER_hh_emih_in!P5=0,0,SER_hh_emih_in!P5/SER_summary!P$27)</f>
        <v>41.568445377804515</v>
      </c>
      <c r="Q5" s="133">
        <f>IF(SER_hh_emih_in!Q5=0,0,SER_hh_emih_in!Q5/SER_summary!Q$27)</f>
        <v>45.790522491039923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0</v>
      </c>
      <c r="D7" s="133">
        <f>IF(SER_hh_emih_in!D7=0,0,SER_hh_emih_in!D7/SER_summary!D$27)</f>
        <v>0</v>
      </c>
      <c r="E7" s="133">
        <f>IF(SER_hh_emih_in!E7=0,0,SER_hh_emih_in!E7/SER_summary!E$27)</f>
        <v>0</v>
      </c>
      <c r="F7" s="133">
        <f>IF(SER_hh_emih_in!F7=0,0,SER_hh_emih_in!F7/SER_summary!F$27)</f>
        <v>0</v>
      </c>
      <c r="G7" s="133">
        <f>IF(SER_hh_emih_in!G7=0,0,SER_hh_emih_in!G7/SER_summary!G$27)</f>
        <v>0</v>
      </c>
      <c r="H7" s="133">
        <f>IF(SER_hh_emih_in!H7=0,0,SER_hh_emih_in!H7/SER_summary!H$27)</f>
        <v>0</v>
      </c>
      <c r="I7" s="133">
        <f>IF(SER_hh_emih_in!I7=0,0,SER_hh_emih_in!I7/SER_summary!I$27)</f>
        <v>0</v>
      </c>
      <c r="J7" s="133">
        <f>IF(SER_hh_emih_in!J7=0,0,SER_hh_emih_in!J7/SER_summary!J$27)</f>
        <v>0</v>
      </c>
      <c r="K7" s="133">
        <f>IF(SER_hh_emih_in!K7=0,0,SER_hh_emih_in!K7/SER_summary!K$27)</f>
        <v>0</v>
      </c>
      <c r="L7" s="133">
        <f>IF(SER_hh_emih_in!L7=0,0,SER_hh_emih_in!L7/SER_summary!L$27)</f>
        <v>0</v>
      </c>
      <c r="M7" s="133">
        <f>IF(SER_hh_emih_in!M7=0,0,SER_hh_emih_in!M7/SER_summary!M$27)</f>
        <v>0</v>
      </c>
      <c r="N7" s="133">
        <f>IF(SER_hh_emih_in!N7=0,0,SER_hh_emih_in!N7/SER_summary!N$27)</f>
        <v>65.757047918308487</v>
      </c>
      <c r="O7" s="133">
        <f>IF(SER_hh_emih_in!O7=0,0,SER_hh_emih_in!O7/SER_summary!O$27)</f>
        <v>24.28491352644679</v>
      </c>
      <c r="P7" s="133">
        <f>IF(SER_hh_emih_in!P7=0,0,SER_hh_emih_in!P7/SER_summary!P$27)</f>
        <v>30.439311573538966</v>
      </c>
      <c r="Q7" s="133">
        <f>IF(SER_hh_emih_in!Q7=0,0,SER_hh_emih_in!Q7/SER_summary!Q$27)</f>
        <v>35.379923468118044</v>
      </c>
      <c r="R7" s="133">
        <f>IF(SER_hh_emih_in!R7=0,0,SER_hh_emih_in!R7/SER_summary!R$27)</f>
        <v>33.668046025231469</v>
      </c>
      <c r="S7" s="133">
        <f>IF(SER_hh_emih_in!S7=0,0,SER_hh_emih_in!S7/SER_summary!S$27)</f>
        <v>26.644938351631758</v>
      </c>
      <c r="T7" s="133">
        <f>IF(SER_hh_emih_in!T7=0,0,SER_hh_emih_in!T7/SER_summary!T$27)</f>
        <v>26.76257730737138</v>
      </c>
      <c r="U7" s="133">
        <f>IF(SER_hh_emih_in!U7=0,0,SER_hh_emih_in!U7/SER_summary!U$27)</f>
        <v>21.447196298038154</v>
      </c>
      <c r="V7" s="133">
        <f>IF(SER_hh_emih_in!V7=0,0,SER_hh_emih_in!V7/SER_summary!V$27)</f>
        <v>19.714294204358048</v>
      </c>
      <c r="W7" s="133">
        <f>IF(SER_hh_emih_in!W7=0,0,SER_hh_emih_in!W7/SER_summary!W$27)</f>
        <v>19.374059870592859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1.9081664779312753</v>
      </c>
      <c r="S8" s="133">
        <f>IF(SER_hh_emih_in!S8=0,0,SER_hh_emih_in!S8/SER_summary!S$27)</f>
        <v>4.3435388082439053</v>
      </c>
      <c r="T8" s="133">
        <f>IF(SER_hh_emih_in!T8=0,0,SER_hh_emih_in!T8/SER_summary!T$27)</f>
        <v>5.4408392488889303</v>
      </c>
      <c r="U8" s="133">
        <f>IF(SER_hh_emih_in!U8=0,0,SER_hh_emih_in!U8/SER_summary!U$27)</f>
        <v>4.311789786888875</v>
      </c>
      <c r="V8" s="133">
        <f>IF(SER_hh_emih_in!V8=0,0,SER_hh_emih_in!V8/SER_summary!V$27)</f>
        <v>5.2488386082709715</v>
      </c>
      <c r="W8" s="133">
        <f>IF(SER_hh_emih_in!W8=0,0,SER_hh_emih_in!W8/SER_summary!W$27)</f>
        <v>3.5770700485974176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67.216394316583603</v>
      </c>
      <c r="D9" s="133">
        <f>IF(SER_hh_emih_in!D9=0,0,SER_hh_emih_in!D9/SER_summary!D$27)</f>
        <v>57.674320665166761</v>
      </c>
      <c r="E9" s="133">
        <f>IF(SER_hh_emih_in!E9=0,0,SER_hh_emih_in!E9/SER_summary!E$27)</f>
        <v>56.433723061286763</v>
      </c>
      <c r="F9" s="133">
        <f>IF(SER_hh_emih_in!F9=0,0,SER_hh_emih_in!F9/SER_summary!F$27)</f>
        <v>68.77119860176353</v>
      </c>
      <c r="G9" s="133">
        <f>IF(SER_hh_emih_in!G9=0,0,SER_hh_emih_in!G9/SER_summary!G$27)</f>
        <v>63.476475236476141</v>
      </c>
      <c r="H9" s="133">
        <f>IF(SER_hh_emih_in!H9=0,0,SER_hh_emih_in!H9/SER_summary!H$27)</f>
        <v>54.112633152613114</v>
      </c>
      <c r="I9" s="133">
        <f>IF(SER_hh_emih_in!I9=0,0,SER_hh_emih_in!I9/SER_summary!I$27)</f>
        <v>41.236648655494506</v>
      </c>
      <c r="J9" s="133">
        <f>IF(SER_hh_emih_in!J9=0,0,SER_hh_emih_in!J9/SER_summary!J$27)</f>
        <v>39.356529303252721</v>
      </c>
      <c r="K9" s="133">
        <f>IF(SER_hh_emih_in!K9=0,0,SER_hh_emih_in!K9/SER_summary!K$27)</f>
        <v>43.088811995372865</v>
      </c>
      <c r="L9" s="133">
        <f>IF(SER_hh_emih_in!L9=0,0,SER_hh_emih_in!L9/SER_summary!L$27)</f>
        <v>45.320238794302128</v>
      </c>
      <c r="M9" s="133">
        <f>IF(SER_hh_emih_in!M9=0,0,SER_hh_emih_in!M9/SER_summary!M$27)</f>
        <v>42.30652999903247</v>
      </c>
      <c r="N9" s="133">
        <f>IF(SER_hh_emih_in!N9=0,0,SER_hh_emih_in!N9/SER_summary!N$27)</f>
        <v>29.381856880803667</v>
      </c>
      <c r="O9" s="133">
        <f>IF(SER_hh_emih_in!O9=0,0,SER_hh_emih_in!O9/SER_summary!O$27)</f>
        <v>27.543419355576681</v>
      </c>
      <c r="P9" s="133">
        <f>IF(SER_hh_emih_in!P9=0,0,SER_hh_emih_in!P9/SER_summary!P$27)</f>
        <v>21.477057198607181</v>
      </c>
      <c r="Q9" s="133">
        <f>IF(SER_hh_emih_in!Q9=0,0,SER_hh_emih_in!Q9/SER_summary!Q$27)</f>
        <v>21.456606411398344</v>
      </c>
      <c r="R9" s="133">
        <f>IF(SER_hh_emih_in!R9=0,0,SER_hh_emih_in!R9/SER_summary!R$27)</f>
        <v>20.31960022227355</v>
      </c>
      <c r="S9" s="133">
        <f>IF(SER_hh_emih_in!S9=0,0,SER_hh_emih_in!S9/SER_summary!S$27)</f>
        <v>18.742280290592248</v>
      </c>
      <c r="T9" s="133">
        <f>IF(SER_hh_emih_in!T9=0,0,SER_hh_emih_in!T9/SER_summary!T$27)</f>
        <v>16.675621550941166</v>
      </c>
      <c r="U9" s="133">
        <f>IF(SER_hh_emih_in!U9=0,0,SER_hh_emih_in!U9/SER_summary!U$27)</f>
        <v>15.05975179076308</v>
      </c>
      <c r="V9" s="133">
        <f>IF(SER_hh_emih_in!V9=0,0,SER_hh_emih_in!V9/SER_summary!V$27)</f>
        <v>14.278905655384262</v>
      </c>
      <c r="W9" s="133">
        <f>IF(SER_hh_emih_in!W9=0,0,SER_hh_emih_in!W9/SER_summary!W$27)</f>
        <v>12.604814729957628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9.706513659574675</v>
      </c>
      <c r="O10" s="133">
        <f>IF(SER_hh_emih_in!O10=0,0,SER_hh_emih_in!O10/SER_summary!O$27)</f>
        <v>8.092861939153698</v>
      </c>
      <c r="P10" s="133">
        <f>IF(SER_hh_emih_in!P10=0,0,SER_hh_emih_in!P10/SER_summary!P$27)</f>
        <v>5.2502496125620226</v>
      </c>
      <c r="Q10" s="133">
        <f>IF(SER_hh_emih_in!Q10=0,0,SER_hh_emih_in!Q10/SER_summary!Q$27)</f>
        <v>9.900752844324975</v>
      </c>
      <c r="R10" s="133">
        <f>IF(SER_hh_emih_in!R10=0,0,SER_hh_emih_in!R10/SER_summary!R$27)</f>
        <v>5.801870980236159</v>
      </c>
      <c r="S10" s="133">
        <f>IF(SER_hh_emih_in!S10=0,0,SER_hh_emih_in!S10/SER_summary!S$27)</f>
        <v>6.8494941562405005</v>
      </c>
      <c r="T10" s="133">
        <f>IF(SER_hh_emih_in!T10=0,0,SER_hh_emih_in!T10/SER_summary!T$27)</f>
        <v>8.4004693132620059</v>
      </c>
      <c r="U10" s="133">
        <f>IF(SER_hh_emih_in!U10=0,0,SER_hh_emih_in!U10/SER_summary!U$27)</f>
        <v>9.0406780667039648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1.5094484241750071E-2</v>
      </c>
      <c r="D16" s="131">
        <f>IF(SER_hh_emih_in!D16=0,0,SER_hh_emih_in!D16/SER_summary!D$27)</f>
        <v>1.7699317479315784E-2</v>
      </c>
      <c r="E16" s="131">
        <f>IF(SER_hh_emih_in!E16=0,0,SER_hh_emih_in!E16/SER_summary!E$27)</f>
        <v>1.817072315051604E-2</v>
      </c>
      <c r="F16" s="131">
        <f>IF(SER_hh_emih_in!F16=0,0,SER_hh_emih_in!F16/SER_summary!F$27)</f>
        <v>6.6464864968722144E-3</v>
      </c>
      <c r="G16" s="131">
        <f>IF(SER_hh_emih_in!G16=0,0,SER_hh_emih_in!G16/SER_summary!G$27)</f>
        <v>1.2320154381979876E-2</v>
      </c>
      <c r="H16" s="131">
        <f>IF(SER_hh_emih_in!H16=0,0,SER_hh_emih_in!H16/SER_summary!H$27)</f>
        <v>1.6819287796639635E-2</v>
      </c>
      <c r="I16" s="131">
        <f>IF(SER_hh_emih_in!I16=0,0,SER_hh_emih_in!I16/SER_summary!I$27)</f>
        <v>1.7459775200476587E-2</v>
      </c>
      <c r="J16" s="131">
        <f>IF(SER_hh_emih_in!J16=0,0,SER_hh_emih_in!J16/SER_summary!J$27)</f>
        <v>9.4489932010144492E-3</v>
      </c>
      <c r="K16" s="131">
        <f>IF(SER_hh_emih_in!K16=0,0,SER_hh_emih_in!K16/SER_summary!K$27)</f>
        <v>1.8545857297044496E-2</v>
      </c>
      <c r="L16" s="131">
        <f>IF(SER_hh_emih_in!L16=0,0,SER_hh_emih_in!L16/SER_summary!L$27)</f>
        <v>2.5791752101537873E-2</v>
      </c>
      <c r="M16" s="131">
        <f>IF(SER_hh_emih_in!M16=0,0,SER_hh_emih_in!M16/SER_summary!M$27)</f>
        <v>2.5258340670261763E-2</v>
      </c>
      <c r="N16" s="131">
        <f>IF(SER_hh_emih_in!N16=0,0,SER_hh_emih_in!N16/SER_summary!N$27)</f>
        <v>3.2620804650141992E-2</v>
      </c>
      <c r="O16" s="131">
        <f>IF(SER_hh_emih_in!O16=0,0,SER_hh_emih_in!O16/SER_summary!O$27)</f>
        <v>2.6644334374269316E-2</v>
      </c>
      <c r="P16" s="131">
        <f>IF(SER_hh_emih_in!P16=0,0,SER_hh_emih_in!P16/SER_summary!P$27)</f>
        <v>1.6975227470316788E-2</v>
      </c>
      <c r="Q16" s="131">
        <f>IF(SER_hh_emih_in!Q16=0,0,SER_hh_emih_in!Q16/SER_summary!Q$27)</f>
        <v>3.3051045502206639E-2</v>
      </c>
      <c r="R16" s="131">
        <f>IF(SER_hh_emih_in!R16=0,0,SER_hh_emih_in!R16/SER_summary!R$27)</f>
        <v>2.0751559449368896E-2</v>
      </c>
      <c r="S16" s="131">
        <f>IF(SER_hh_emih_in!S16=0,0,SER_hh_emih_in!S16/SER_summary!S$27)</f>
        <v>4.1722312300121758E-2</v>
      </c>
      <c r="T16" s="131">
        <f>IF(SER_hh_emih_in!T16=0,0,SER_hh_emih_in!T16/SER_summary!T$27)</f>
        <v>2.7566275236221235E-2</v>
      </c>
      <c r="U16" s="131">
        <f>IF(SER_hh_emih_in!U16=0,0,SER_hh_emih_in!U16/SER_summary!U$27)</f>
        <v>5.4134693765692396E-2</v>
      </c>
      <c r="V16" s="131">
        <f>IF(SER_hh_emih_in!V16=0,0,SER_hh_emih_in!V16/SER_summary!V$27)</f>
        <v>3.9508077177734899E-2</v>
      </c>
      <c r="W16" s="131">
        <f>IF(SER_hh_emih_in!W16=0,0,SER_hh_emih_in!W16/SER_summary!W$27)</f>
        <v>2.4488478867390136E-2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3.5625166258255234</v>
      </c>
      <c r="D17" s="133">
        <f>IF(SER_hh_emih_in!D17=0,0,SER_hh_emih_in!D17/SER_summary!D$27)</f>
        <v>3.7420116403995731</v>
      </c>
      <c r="E17" s="133">
        <f>IF(SER_hh_emih_in!E17=0,0,SER_hh_emih_in!E17/SER_summary!E$27)</f>
        <v>4.270509830158761</v>
      </c>
      <c r="F17" s="133">
        <f>IF(SER_hh_emih_in!F17=0,0,SER_hh_emih_in!F17/SER_summary!F$27)</f>
        <v>3.3910993077762255</v>
      </c>
      <c r="G17" s="133">
        <f>IF(SER_hh_emih_in!G17=0,0,SER_hh_emih_in!G17/SER_summary!G$27)</f>
        <v>3.37763849546343</v>
      </c>
      <c r="H17" s="133">
        <f>IF(SER_hh_emih_in!H17=0,0,SER_hh_emih_in!H17/SER_summary!H$27)</f>
        <v>3.7151892885311932</v>
      </c>
      <c r="I17" s="133">
        <f>IF(SER_hh_emih_in!I17=0,0,SER_hh_emih_in!I17/SER_summary!I$27)</f>
        <v>4.0351627826196106</v>
      </c>
      <c r="J17" s="133">
        <f>IF(SER_hh_emih_in!J17=0,0,SER_hh_emih_in!J17/SER_summary!J$27)</f>
        <v>3.4153176016858176</v>
      </c>
      <c r="K17" s="133">
        <f>IF(SER_hh_emih_in!K17=0,0,SER_hh_emih_in!K17/SER_summary!K$27)</f>
        <v>3.3971940555503446</v>
      </c>
      <c r="L17" s="133">
        <f>IF(SER_hh_emih_in!L17=0,0,SER_hh_emih_in!L17/SER_summary!L$27)</f>
        <v>3.513461739380058</v>
      </c>
      <c r="M17" s="133">
        <f>IF(SER_hh_emih_in!M17=0,0,SER_hh_emih_in!M17/SER_summary!M$27)</f>
        <v>3.4150148288025344</v>
      </c>
      <c r="N17" s="133">
        <f>IF(SER_hh_emih_in!N17=0,0,SER_hh_emih_in!N17/SER_summary!N$27)</f>
        <v>4.2530190558559431</v>
      </c>
      <c r="O17" s="133">
        <f>IF(SER_hh_emih_in!O17=0,0,SER_hh_emih_in!O17/SER_summary!O$27)</f>
        <v>3.4077417594497788</v>
      </c>
      <c r="P17" s="133">
        <f>IF(SER_hh_emih_in!P17=0,0,SER_hh_emih_in!P17/SER_summary!P$27)</f>
        <v>2.9572957621962104</v>
      </c>
      <c r="Q17" s="133">
        <f>IF(SER_hh_emih_in!Q17=0,0,SER_hh_emih_in!Q17/SER_summary!Q$27)</f>
        <v>4.0912752780030335</v>
      </c>
      <c r="R17" s="133">
        <f>IF(SER_hh_emih_in!R17=0,0,SER_hh_emih_in!R17/SER_summary!R$27)</f>
        <v>2.7592910583347807</v>
      </c>
      <c r="S17" s="133">
        <f>IF(SER_hh_emih_in!S17=0,0,SER_hh_emih_in!S17/SER_summary!S$27)</f>
        <v>3.2268864948519247</v>
      </c>
      <c r="T17" s="133">
        <f>IF(SER_hh_emih_in!T17=0,0,SER_hh_emih_in!T17/SER_summary!T$27)</f>
        <v>2.9337027145995109</v>
      </c>
      <c r="U17" s="133">
        <f>IF(SER_hh_emih_in!U17=0,0,SER_hh_emih_in!U17/SER_summary!U$27)</f>
        <v>2.9985257884235073</v>
      </c>
      <c r="V17" s="133">
        <f>IF(SER_hh_emih_in!V17=0,0,SER_hh_emih_in!V17/SER_summary!V$27)</f>
        <v>2.0336373074632417</v>
      </c>
      <c r="W17" s="133">
        <f>IF(SER_hh_emih_in!W17=0,0,SER_hh_emih_in!W17/SER_summary!W$27)</f>
        <v>2.3235901511671897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2.6283817584981577</v>
      </c>
      <c r="D19" s="131">
        <f>IF(SER_hh_emih_in!D19=0,0,SER_hh_emih_in!D19/SER_summary!D$27)</f>
        <v>3.3657532296421895</v>
      </c>
      <c r="E19" s="131">
        <f>IF(SER_hh_emih_in!E19=0,0,SER_hh_emih_in!E19/SER_summary!E$27)</f>
        <v>2.9699424366499128</v>
      </c>
      <c r="F19" s="131">
        <f>IF(SER_hh_emih_in!F19=0,0,SER_hh_emih_in!F19/SER_summary!F$27)</f>
        <v>3.5914268895587238</v>
      </c>
      <c r="G19" s="131">
        <f>IF(SER_hh_emih_in!G19=0,0,SER_hh_emih_in!G19/SER_summary!G$27)</f>
        <v>2.9418528603898775</v>
      </c>
      <c r="H19" s="131">
        <f>IF(SER_hh_emih_in!H19=0,0,SER_hh_emih_in!H19/SER_summary!H$27)</f>
        <v>3.3046411218911982</v>
      </c>
      <c r="I19" s="131">
        <f>IF(SER_hh_emih_in!I19=0,0,SER_hh_emih_in!I19/SER_summary!I$27)</f>
        <v>3.9436318793714795</v>
      </c>
      <c r="J19" s="131">
        <f>IF(SER_hh_emih_in!J19=0,0,SER_hh_emih_in!J19/SER_summary!J$27)</f>
        <v>4.0798035445525365</v>
      </c>
      <c r="K19" s="131">
        <f>IF(SER_hh_emih_in!K19=0,0,SER_hh_emih_in!K19/SER_summary!K$27)</f>
        <v>4.4060816827682707</v>
      </c>
      <c r="L19" s="131">
        <f>IF(SER_hh_emih_in!L19=0,0,SER_hh_emih_in!L19/SER_summary!L$27)</f>
        <v>3.9324092133739672</v>
      </c>
      <c r="M19" s="131">
        <f>IF(SER_hh_emih_in!M19=0,0,SER_hh_emih_in!M19/SER_summary!M$27)</f>
        <v>3.6921401884152023</v>
      </c>
      <c r="N19" s="131">
        <f>IF(SER_hh_emih_in!N19=0,0,SER_hh_emih_in!N19/SER_summary!N$27)</f>
        <v>3.0336443445396695</v>
      </c>
      <c r="O19" s="131">
        <f>IF(SER_hh_emih_in!O19=0,0,SER_hh_emih_in!O19/SER_summary!O$27)</f>
        <v>3.9616315153344761</v>
      </c>
      <c r="P19" s="131">
        <f>IF(SER_hh_emih_in!P19=0,0,SER_hh_emih_in!P19/SER_summary!P$27)</f>
        <v>4.1870014035171241</v>
      </c>
      <c r="Q19" s="131">
        <f>IF(SER_hh_emih_in!Q19=0,0,SER_hh_emih_in!Q19/SER_summary!Q$27)</f>
        <v>2.7767024870732633</v>
      </c>
      <c r="R19" s="131">
        <f>IF(SER_hh_emih_in!R19=0,0,SER_hh_emih_in!R19/SER_summary!R$27)</f>
        <v>2.527454920912386</v>
      </c>
      <c r="S19" s="131">
        <f>IF(SER_hh_emih_in!S19=0,0,SER_hh_emih_in!S19/SER_summary!S$27)</f>
        <v>2.5622715541416512</v>
      </c>
      <c r="T19" s="131">
        <f>IF(SER_hh_emih_in!T19=0,0,SER_hh_emih_in!T19/SER_summary!T$27)</f>
        <v>2.7987012327687069</v>
      </c>
      <c r="U19" s="131">
        <f>IF(SER_hh_emih_in!U19=0,0,SER_hh_emih_in!U19/SER_summary!U$27)</f>
        <v>2.4909845316242523</v>
      </c>
      <c r="V19" s="131">
        <f>IF(SER_hh_emih_in!V19=0,0,SER_hh_emih_in!V19/SER_summary!V$27)</f>
        <v>2.4218561499020481</v>
      </c>
      <c r="W19" s="131">
        <f>IF(SER_hh_emih_in!W19=0,0,SER_hh_emih_in!W19/SER_summary!W$27)</f>
        <v>2.1808100938649102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0</v>
      </c>
      <c r="D22" s="133">
        <f>IF(SER_hh_emih_in!D22=0,0,SER_hh_emih_in!D22/SER_summary!D$27)</f>
        <v>0</v>
      </c>
      <c r="E22" s="133">
        <f>IF(SER_hh_emih_in!E22=0,0,SER_hh_emih_in!E22/SER_summary!E$27)</f>
        <v>0</v>
      </c>
      <c r="F22" s="133">
        <f>IF(SER_hh_emih_in!F22=0,0,SER_hh_emih_in!F22/SER_summary!F$27)</f>
        <v>0</v>
      </c>
      <c r="G22" s="133">
        <f>IF(SER_hh_emih_in!G22=0,0,SER_hh_emih_in!G22/SER_summary!G$27)</f>
        <v>0</v>
      </c>
      <c r="H22" s="133">
        <f>IF(SER_hh_emih_in!H22=0,0,SER_hh_emih_in!H22/SER_summary!H$27)</f>
        <v>0</v>
      </c>
      <c r="I22" s="133">
        <f>IF(SER_hh_emih_in!I22=0,0,SER_hh_emih_in!I22/SER_summary!I$27)</f>
        <v>0</v>
      </c>
      <c r="J22" s="133">
        <f>IF(SER_hh_emih_in!J22=0,0,SER_hh_emih_in!J22/SER_summary!J$27)</f>
        <v>0</v>
      </c>
      <c r="K22" s="133">
        <f>IF(SER_hh_emih_in!K22=0,0,SER_hh_emih_in!K22/SER_summary!K$27)</f>
        <v>0</v>
      </c>
      <c r="L22" s="133">
        <f>IF(SER_hh_emih_in!L22=0,0,SER_hh_emih_in!L22/SER_summary!L$27)</f>
        <v>0</v>
      </c>
      <c r="M22" s="133">
        <f>IF(SER_hh_emih_in!M22=0,0,SER_hh_emih_in!M22/SER_summary!M$27)</f>
        <v>0</v>
      </c>
      <c r="N22" s="133">
        <f>IF(SER_hh_emih_in!N22=0,0,SER_hh_emih_in!N22/SER_summary!N$27)</f>
        <v>0</v>
      </c>
      <c r="O22" s="133">
        <f>IF(SER_hh_emih_in!O22=0,0,SER_hh_emih_in!O22/SER_summary!O$27)</f>
        <v>0</v>
      </c>
      <c r="P22" s="133">
        <f>IF(SER_hh_emih_in!P22=0,0,SER_hh_emih_in!P22/SER_summary!P$27)</f>
        <v>0</v>
      </c>
      <c r="Q22" s="133">
        <f>IF(SER_hh_emih_in!Q22=0,0,SER_hh_emih_in!Q22/SER_summary!Q$27)</f>
        <v>0</v>
      </c>
      <c r="R22" s="133">
        <f>IF(SER_hh_emih_in!R22=0,0,SER_hh_emih_in!R22/SER_summary!R$27)</f>
        <v>0</v>
      </c>
      <c r="S22" s="133">
        <f>IF(SER_hh_emih_in!S22=0,0,SER_hh_emih_in!S22/SER_summary!S$27)</f>
        <v>0</v>
      </c>
      <c r="T22" s="133">
        <f>IF(SER_hh_emih_in!T22=0,0,SER_hh_emih_in!T22/SER_summary!T$27)</f>
        <v>0</v>
      </c>
      <c r="U22" s="133">
        <f>IF(SER_hh_emih_in!U22=0,0,SER_hh_emih_in!U22/SER_summary!U$27)</f>
        <v>0</v>
      </c>
      <c r="V22" s="133">
        <f>IF(SER_hh_emih_in!V22=0,0,SER_hh_emih_in!V22/SER_summary!V$27)</f>
        <v>0</v>
      </c>
      <c r="W22" s="133">
        <f>IF(SER_hh_emih_in!W22=0,0,SER_hh_emih_in!W22/SER_summary!W$27)</f>
        <v>0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6.3898342579171699</v>
      </c>
      <c r="D23" s="133">
        <f>IF(SER_hh_emih_in!D23=0,0,SER_hh_emih_in!D23/SER_summary!D$27)</f>
        <v>6.3958226257590054</v>
      </c>
      <c r="E23" s="133">
        <f>IF(SER_hh_emih_in!E23=0,0,SER_hh_emih_in!E23/SER_summary!E$27)</f>
        <v>6.3578094366769573</v>
      </c>
      <c r="F23" s="133">
        <f>IF(SER_hh_emih_in!F23=0,0,SER_hh_emih_in!F23/SER_summary!F$27)</f>
        <v>6.4235648640347645</v>
      </c>
      <c r="G23" s="133">
        <f>IF(SER_hh_emih_in!G23=0,0,SER_hh_emih_in!G23/SER_summary!G$27)</f>
        <v>6.1291070981246305</v>
      </c>
      <c r="H23" s="133">
        <f>IF(SER_hh_emih_in!H23=0,0,SER_hh_emih_in!H23/SER_summary!H$27)</f>
        <v>5.919539440113569</v>
      </c>
      <c r="I23" s="133">
        <f>IF(SER_hh_emih_in!I23=0,0,SER_hh_emih_in!I23/SER_summary!I$27)</f>
        <v>5.8302069611790808</v>
      </c>
      <c r="J23" s="133">
        <f>IF(SER_hh_emih_in!J23=0,0,SER_hh_emih_in!J23/SER_summary!J$27)</f>
        <v>5.8532302561093799</v>
      </c>
      <c r="K23" s="133">
        <f>IF(SER_hh_emih_in!K23=0,0,SER_hh_emih_in!K23/SER_summary!K$27)</f>
        <v>5.9572220103112814</v>
      </c>
      <c r="L23" s="133">
        <f>IF(SER_hh_emih_in!L23=0,0,SER_hh_emih_in!L23/SER_summary!L$27)</f>
        <v>5.8217993033876514</v>
      </c>
      <c r="M23" s="133">
        <f>IF(SER_hh_emih_in!M23=0,0,SER_hh_emih_in!M23/SER_summary!M$27)</f>
        <v>5.6204927086942744</v>
      </c>
      <c r="N23" s="133">
        <f>IF(SER_hh_emih_in!N23=0,0,SER_hh_emih_in!N23/SER_summary!N$27)</f>
        <v>5.4022748435564267</v>
      </c>
      <c r="O23" s="133">
        <f>IF(SER_hh_emih_in!O23=0,0,SER_hh_emih_in!O23/SER_summary!O$27)</f>
        <v>5.460661830888478</v>
      </c>
      <c r="P23" s="133">
        <f>IF(SER_hh_emih_in!P23=0,0,SER_hh_emih_in!P23/SER_summary!P$27)</f>
        <v>5.0424911259660501</v>
      </c>
      <c r="Q23" s="133">
        <f>IF(SER_hh_emih_in!Q23=0,0,SER_hh_emih_in!Q23/SER_summary!Q$27)</f>
        <v>4.8075551154610991</v>
      </c>
      <c r="R23" s="133">
        <f>IF(SER_hh_emih_in!R23=0,0,SER_hh_emih_in!R23/SER_summary!R$27)</f>
        <v>4.7470664532641242</v>
      </c>
      <c r="S23" s="133">
        <f>IF(SER_hh_emih_in!S23=0,0,SER_hh_emih_in!S23/SER_summary!S$27)</f>
        <v>4.6023527864532996</v>
      </c>
      <c r="T23" s="133">
        <f>IF(SER_hh_emih_in!T23=0,0,SER_hh_emih_in!T23/SER_summary!T$27)</f>
        <v>4.5678012355161828</v>
      </c>
      <c r="U23" s="133">
        <f>IF(SER_hh_emih_in!U23=0,0,SER_hh_emih_in!U23/SER_summary!U$27)</f>
        <v>4.331033884740596</v>
      </c>
      <c r="V23" s="133">
        <f>IF(SER_hh_emih_in!V23=0,0,SER_hh_emih_in!V23/SER_summary!V$27)</f>
        <v>3.9040377091443648</v>
      </c>
      <c r="W23" s="133">
        <f>IF(SER_hh_emih_in!W23=0,0,SER_hh_emih_in!W23/SER_summary!W$27)</f>
        <v>3.8528972217752568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1.7592004530310852</v>
      </c>
      <c r="O24" s="133">
        <f>IF(SER_hh_emih_in!O24=0,0,SER_hh_emih_in!O24/SER_summary!O$27)</f>
        <v>1.2791512845678155</v>
      </c>
      <c r="P24" s="133">
        <f>IF(SER_hh_emih_in!P24=0,0,SER_hh_emih_in!P24/SER_summary!P$27)</f>
        <v>0.94975433893563244</v>
      </c>
      <c r="Q24" s="133">
        <f>IF(SER_hh_emih_in!Q24=0,0,SER_hh_emih_in!Q24/SER_summary!Q$27)</f>
        <v>1.2017410957678105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1.6215805504695029</v>
      </c>
      <c r="V24" s="133">
        <f>IF(SER_hh_emih_in!V24=0,0,SER_hh_emih_in!V24/SER_summary!V$27)</f>
        <v>1.7293181705180642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3.087068581456752</v>
      </c>
      <c r="D29" s="131">
        <f>IF(SER_hh_emih_in!D29=0,0,SER_hh_emih_in!D29/SER_summary!D$27)</f>
        <v>3.8844109224831604</v>
      </c>
      <c r="E29" s="131">
        <f>IF(SER_hh_emih_in!E29=0,0,SER_hh_emih_in!E29/SER_summary!E$27)</f>
        <v>3.4775327688473019</v>
      </c>
      <c r="F29" s="131">
        <f>IF(SER_hh_emih_in!F29=0,0,SER_hh_emih_in!F29/SER_summary!F$27)</f>
        <v>4.5438528551535686</v>
      </c>
      <c r="G29" s="131">
        <f>IF(SER_hh_emih_in!G29=0,0,SER_hh_emih_in!G29/SER_summary!G$27)</f>
        <v>4.2054858749767039</v>
      </c>
      <c r="H29" s="131">
        <f>IF(SER_hh_emih_in!H29=0,0,SER_hh_emih_in!H29/SER_summary!H$27)</f>
        <v>4.5450525448822603</v>
      </c>
      <c r="I29" s="131">
        <f>IF(SER_hh_emih_in!I29=0,0,SER_hh_emih_in!I29/SER_summary!I$27)</f>
        <v>4.0528305193596177</v>
      </c>
      <c r="J29" s="131">
        <f>IF(SER_hh_emih_in!J29=0,0,SER_hh_emih_in!J29/SER_summary!J$27)</f>
        <v>3.9739459979272471</v>
      </c>
      <c r="K29" s="131">
        <f>IF(SER_hh_emih_in!K29=0,0,SER_hh_emih_in!K29/SER_summary!K$27)</f>
        <v>3.5654434433012399</v>
      </c>
      <c r="L29" s="131">
        <f>IF(SER_hh_emih_in!L29=0,0,SER_hh_emih_in!L29/SER_summary!L$27)</f>
        <v>4.3339323410055952</v>
      </c>
      <c r="M29" s="131">
        <f>IF(SER_hh_emih_in!M29=0,0,SER_hh_emih_in!M29/SER_summary!M$27)</f>
        <v>6.0848076687260972</v>
      </c>
      <c r="N29" s="131">
        <f>IF(SER_hh_emih_in!N29=0,0,SER_hh_emih_in!N29/SER_summary!N$27)</f>
        <v>5.3393082106465055</v>
      </c>
      <c r="O29" s="131">
        <f>IF(SER_hh_emih_in!O29=0,0,SER_hh_emih_in!O29/SER_summary!O$27)</f>
        <v>4.5692772908189507</v>
      </c>
      <c r="P29" s="131">
        <f>IF(SER_hh_emih_in!P29=0,0,SER_hh_emih_in!P29/SER_summary!P$27)</f>
        <v>3.9218023401776287</v>
      </c>
      <c r="Q29" s="131">
        <f>IF(SER_hh_emih_in!Q29=0,0,SER_hh_emih_in!Q29/SER_summary!Q$27)</f>
        <v>3.6957392793023027</v>
      </c>
      <c r="R29" s="131">
        <f>IF(SER_hh_emih_in!R29=0,0,SER_hh_emih_in!R29/SER_summary!R$27)</f>
        <v>3.0983702724724553</v>
      </c>
      <c r="S29" s="131">
        <f>IF(SER_hh_emih_in!S29=0,0,SER_hh_emih_in!S29/SER_summary!S$27)</f>
        <v>3.2653450547082632</v>
      </c>
      <c r="T29" s="131">
        <f>IF(SER_hh_emih_in!T29=0,0,SER_hh_emih_in!T29/SER_summary!T$27)</f>
        <v>3.7556920699621745</v>
      </c>
      <c r="U29" s="131">
        <f>IF(SER_hh_emih_in!U29=0,0,SER_hh_emih_in!U29/SER_summary!U$27)</f>
        <v>3.7860562564150015</v>
      </c>
      <c r="V29" s="131">
        <f>IF(SER_hh_emih_in!V29=0,0,SER_hh_emih_in!V29/SER_summary!V$27)</f>
        <v>4.0200288489107932</v>
      </c>
      <c r="W29" s="131">
        <f>IF(SER_hh_emih_in!W29=0,0,SER_hh_emih_in!W29/SER_summary!W$27)</f>
        <v>4.1653796110215104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7.5497550570289667</v>
      </c>
      <c r="D30" s="133">
        <f>IF(SER_hh_emih_in!D30=0,0,SER_hh_emih_in!D30/SER_summary!D$27)</f>
        <v>8.8259927622920262</v>
      </c>
      <c r="E30" s="133">
        <f>IF(SER_hh_emih_in!E30=0,0,SER_hh_emih_in!E30/SER_summary!E$27)</f>
        <v>0</v>
      </c>
      <c r="F30" s="133">
        <f>IF(SER_hh_emih_in!F30=0,0,SER_hh_emih_in!F30/SER_summary!F$27)</f>
        <v>0</v>
      </c>
      <c r="G30" s="133">
        <f>IF(SER_hh_emih_in!G30=0,0,SER_hh_emih_in!G30/SER_summary!G$27)</f>
        <v>0</v>
      </c>
      <c r="H30" s="133">
        <f>IF(SER_hh_emih_in!H30=0,0,SER_hh_emih_in!H30/SER_summary!H$27)</f>
        <v>7.8331414973366513</v>
      </c>
      <c r="I30" s="133">
        <f>IF(SER_hh_emih_in!I30=0,0,SER_hh_emih_in!I30/SER_summary!I$27)</f>
        <v>8.147962075694636</v>
      </c>
      <c r="J30" s="133">
        <f>IF(SER_hh_emih_in!J30=0,0,SER_hh_emih_in!J30/SER_summary!J$27)</f>
        <v>7.1656975636732057</v>
      </c>
      <c r="K30" s="133">
        <f>IF(SER_hh_emih_in!K30=0,0,SER_hh_emih_in!K30/SER_summary!K$27)</f>
        <v>7.4797510812628047</v>
      </c>
      <c r="L30" s="133">
        <f>IF(SER_hh_emih_in!L30=0,0,SER_hh_emih_in!L30/SER_summary!L$27)</f>
        <v>8.5743397048321217</v>
      </c>
      <c r="M30" s="133">
        <f>IF(SER_hh_emih_in!M30=0,0,SER_hh_emih_in!M30/SER_summary!M$27)</f>
        <v>0</v>
      </c>
      <c r="N30" s="133">
        <f>IF(SER_hh_emih_in!N30=0,0,SER_hh_emih_in!N30/SER_summary!N$27)</f>
        <v>0</v>
      </c>
      <c r="O30" s="133">
        <f>IF(SER_hh_emih_in!O30=0,0,SER_hh_emih_in!O30/SER_summary!O$27)</f>
        <v>0</v>
      </c>
      <c r="P30" s="133">
        <f>IF(SER_hh_emih_in!P30=0,0,SER_hh_emih_in!P30/SER_summary!P$27)</f>
        <v>7.318904726316978</v>
      </c>
      <c r="Q30" s="133">
        <f>IF(SER_hh_emih_in!Q30=0,0,SER_hh_emih_in!Q30/SER_summary!Q$27)</f>
        <v>8.6235215048581626</v>
      </c>
      <c r="R30" s="133">
        <f>IF(SER_hh_emih_in!R30=0,0,SER_hh_emih_in!R30/SER_summary!R$27)</f>
        <v>7.106432468443022</v>
      </c>
      <c r="S30" s="133">
        <f>IF(SER_hh_emih_in!S30=0,0,SER_hh_emih_in!S30/SER_summary!S$27)</f>
        <v>6.1659574109553645</v>
      </c>
      <c r="T30" s="133">
        <f>IF(SER_hh_emih_in!T30=0,0,SER_hh_emih_in!T30/SER_summary!T$27)</f>
        <v>7.5734212526222429</v>
      </c>
      <c r="U30" s="133">
        <f>IF(SER_hh_emih_in!U30=0,0,SER_hh_emih_in!U30/SER_summary!U$27)</f>
        <v>6.566952850219077</v>
      </c>
      <c r="V30" s="133">
        <f>IF(SER_hh_emih_in!V30=0,0,SER_hh_emih_in!V30/SER_summary!V$27)</f>
        <v>9.0254187712282175</v>
      </c>
      <c r="W30" s="133">
        <f>IF(SER_hh_emih_in!W30=0,0,SER_hh_emih_in!W30/SER_summary!W$27)</f>
        <v>6.1299578893085629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7.743457280417398</v>
      </c>
      <c r="D31" s="133">
        <f>IF(SER_hh_emih_in!D31=0,0,SER_hh_emih_in!D31/SER_summary!D$27)</f>
        <v>6.4392835338948986</v>
      </c>
      <c r="E31" s="133">
        <f>IF(SER_hh_emih_in!E31=0,0,SER_hh_emih_in!E31/SER_summary!E$27)</f>
        <v>6.7732888312041268</v>
      </c>
      <c r="F31" s="133">
        <f>IF(SER_hh_emih_in!F31=0,0,SER_hh_emih_in!F31/SER_summary!F$27)</f>
        <v>7.2807432607161084</v>
      </c>
      <c r="G31" s="133">
        <f>IF(SER_hh_emih_in!G31=0,0,SER_hh_emih_in!G31/SER_summary!G$27)</f>
        <v>6.9596551611181638</v>
      </c>
      <c r="H31" s="133">
        <f>IF(SER_hh_emih_in!H31=0,0,SER_hh_emih_in!H31/SER_summary!H$27)</f>
        <v>7.0096801684691119</v>
      </c>
      <c r="I31" s="133">
        <f>IF(SER_hh_emih_in!I31=0,0,SER_hh_emih_in!I31/SER_summary!I$27)</f>
        <v>6.8549632019381814</v>
      </c>
      <c r="J31" s="133">
        <f>IF(SER_hh_emih_in!J31=0,0,SER_hh_emih_in!J31/SER_summary!J$27)</f>
        <v>6.866951619787284</v>
      </c>
      <c r="K31" s="133">
        <f>IF(SER_hh_emih_in!K31=0,0,SER_hh_emih_in!K31/SER_summary!K$27)</f>
        <v>6.8117017539737885</v>
      </c>
      <c r="L31" s="133">
        <f>IF(SER_hh_emih_in!L31=0,0,SER_hh_emih_in!L31/SER_summary!L$27)</f>
        <v>6.8123190555161779</v>
      </c>
      <c r="M31" s="133">
        <f>IF(SER_hh_emih_in!M31=0,0,SER_hh_emih_in!M31/SER_summary!M$27)</f>
        <v>6.8808231971014333</v>
      </c>
      <c r="N31" s="133">
        <f>IF(SER_hh_emih_in!N31=0,0,SER_hh_emih_in!N31/SER_summary!N$27)</f>
        <v>6.8854156881041604</v>
      </c>
      <c r="O31" s="133">
        <f>IF(SER_hh_emih_in!O31=0,0,SER_hh_emih_in!O31/SER_summary!O$27)</f>
        <v>6.9203565266957474</v>
      </c>
      <c r="P31" s="133">
        <f>IF(SER_hh_emih_in!P31=0,0,SER_hh_emih_in!P31/SER_summary!P$27)</f>
        <v>6.7279969339484635</v>
      </c>
      <c r="Q31" s="133">
        <f>IF(SER_hh_emih_in!Q31=0,0,SER_hh_emih_in!Q31/SER_summary!Q$27)</f>
        <v>6.5296185898834409</v>
      </c>
      <c r="R31" s="133">
        <f>IF(SER_hh_emih_in!R31=0,0,SER_hh_emih_in!R31/SER_summary!R$27)</f>
        <v>6.4530210415820086</v>
      </c>
      <c r="S31" s="133">
        <f>IF(SER_hh_emih_in!S31=0,0,SER_hh_emih_in!S31/SER_summary!S$27)</f>
        <v>6.3924470587436995</v>
      </c>
      <c r="T31" s="133">
        <f>IF(SER_hh_emih_in!T31=0,0,SER_hh_emih_in!T31/SER_summary!T$27)</f>
        <v>6.3634678892554062</v>
      </c>
      <c r="U31" s="133">
        <f>IF(SER_hh_emih_in!U31=0,0,SER_hh_emih_in!U31/SER_summary!U$27)</f>
        <v>6.3171163537593591</v>
      </c>
      <c r="V31" s="133">
        <f>IF(SER_hh_emih_in!V31=0,0,SER_hh_emih_in!V31/SER_summary!V$27)</f>
        <v>5.9550114920568564</v>
      </c>
      <c r="W31" s="133">
        <f>IF(SER_hh_emih_in!W31=0,0,SER_hh_emih_in!W31/SER_summary!W$27)</f>
        <v>6.314932556890799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332.66820642948585</v>
      </c>
      <c r="C3" s="180">
        <f t="shared" ref="C3:W3" si="1">SUM(C4:C9)</f>
        <v>346.89667317014755</v>
      </c>
      <c r="D3" s="180">
        <f t="shared" si="1"/>
        <v>360.56368080038123</v>
      </c>
      <c r="E3" s="180">
        <f t="shared" si="1"/>
        <v>377.04751035498617</v>
      </c>
      <c r="F3" s="180">
        <f t="shared" si="1"/>
        <v>393.63059398355904</v>
      </c>
      <c r="G3" s="180">
        <f t="shared" si="1"/>
        <v>413.37307199060251</v>
      </c>
      <c r="H3" s="180">
        <f t="shared" si="1"/>
        <v>429.74625042554715</v>
      </c>
      <c r="I3" s="180">
        <f t="shared" si="1"/>
        <v>446.53092416059985</v>
      </c>
      <c r="J3" s="180">
        <f t="shared" si="1"/>
        <v>451.61474837871106</v>
      </c>
      <c r="K3" s="180">
        <f t="shared" si="1"/>
        <v>456.68824693597583</v>
      </c>
      <c r="L3" s="180">
        <f t="shared" si="1"/>
        <v>457.57984520009262</v>
      </c>
      <c r="M3" s="180">
        <f t="shared" si="1"/>
        <v>459.63905573336501</v>
      </c>
      <c r="N3" s="180">
        <f t="shared" si="1"/>
        <v>445.09962217825534</v>
      </c>
      <c r="O3" s="180">
        <f t="shared" si="1"/>
        <v>440.61929694882821</v>
      </c>
      <c r="P3" s="180">
        <f t="shared" si="1"/>
        <v>439.57592717799162</v>
      </c>
      <c r="Q3" s="180">
        <f t="shared" si="1"/>
        <v>437.37502259725858</v>
      </c>
      <c r="R3" s="180">
        <f t="shared" si="1"/>
        <v>430.28963499634477</v>
      </c>
      <c r="S3" s="180">
        <f t="shared" si="1"/>
        <v>428.85112670115768</v>
      </c>
      <c r="T3" s="180">
        <f t="shared" si="1"/>
        <v>420.73086391911534</v>
      </c>
      <c r="U3" s="180">
        <f t="shared" si="1"/>
        <v>410.77777579965385</v>
      </c>
      <c r="V3" s="180">
        <f t="shared" si="1"/>
        <v>388.42240485441454</v>
      </c>
      <c r="W3" s="180">
        <f t="shared" si="1"/>
        <v>386.60563881170015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16.69001048564617</v>
      </c>
      <c r="C4" s="181">
        <f t="shared" ref="C4:R9" si="3">C12*C44/11630</f>
        <v>17.553907770414927</v>
      </c>
      <c r="D4" s="181">
        <f t="shared" si="3"/>
        <v>18.567649627442567</v>
      </c>
      <c r="E4" s="181">
        <f t="shared" si="3"/>
        <v>19.655467881330406</v>
      </c>
      <c r="F4" s="181">
        <f t="shared" si="3"/>
        <v>20.257742472003478</v>
      </c>
      <c r="G4" s="181">
        <f t="shared" si="3"/>
        <v>21.024489539622664</v>
      </c>
      <c r="H4" s="181">
        <f t="shared" si="3"/>
        <v>21.745656756138334</v>
      </c>
      <c r="I4" s="181">
        <f t="shared" si="3"/>
        <v>22.560260827448804</v>
      </c>
      <c r="J4" s="181">
        <f t="shared" si="3"/>
        <v>22.847418618686284</v>
      </c>
      <c r="K4" s="181">
        <f t="shared" si="3"/>
        <v>23.012712218800118</v>
      </c>
      <c r="L4" s="181">
        <f t="shared" si="3"/>
        <v>23.17507425042178</v>
      </c>
      <c r="M4" s="181">
        <f t="shared" si="3"/>
        <v>23.27179052900647</v>
      </c>
      <c r="N4" s="181">
        <f t="shared" si="3"/>
        <v>23.271303074034968</v>
      </c>
      <c r="O4" s="181">
        <f t="shared" si="3"/>
        <v>23.479446487157119</v>
      </c>
      <c r="P4" s="181">
        <f t="shared" si="3"/>
        <v>23.881399235564214</v>
      </c>
      <c r="Q4" s="181">
        <f t="shared" si="3"/>
        <v>23.634987914419685</v>
      </c>
      <c r="R4" s="181">
        <f t="shared" si="3"/>
        <v>23.823925076737666</v>
      </c>
      <c r="S4" s="181">
        <f t="shared" ref="D4:W9" si="4">S12*S44/11630</f>
        <v>24.085159036272398</v>
      </c>
      <c r="T4" s="181">
        <f t="shared" si="4"/>
        <v>24.33039749335126</v>
      </c>
      <c r="U4" s="181">
        <f t="shared" si="4"/>
        <v>24.497760961482602</v>
      </c>
      <c r="V4" s="181">
        <f t="shared" si="4"/>
        <v>24.60342991545614</v>
      </c>
      <c r="W4" s="181">
        <f t="shared" si="4"/>
        <v>24.683005741619926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48.390158666575388</v>
      </c>
      <c r="C5" s="181">
        <f t="shared" si="3"/>
        <v>50.572259405050225</v>
      </c>
      <c r="D5" s="181">
        <f t="shared" si="4"/>
        <v>53.129618960041142</v>
      </c>
      <c r="E5" s="181">
        <f t="shared" si="4"/>
        <v>55.566701165014202</v>
      </c>
      <c r="F5" s="181">
        <f t="shared" si="4"/>
        <v>57.714276224181226</v>
      </c>
      <c r="G5" s="181">
        <f t="shared" si="4"/>
        <v>59.920182145774838</v>
      </c>
      <c r="H5" s="181">
        <f t="shared" si="4"/>
        <v>61.738265592242946</v>
      </c>
      <c r="I5" s="181">
        <f t="shared" si="4"/>
        <v>62.917712123962431</v>
      </c>
      <c r="J5" s="181">
        <f t="shared" si="4"/>
        <v>63.815841482140073</v>
      </c>
      <c r="K5" s="181">
        <f t="shared" si="4"/>
        <v>64.827935696063591</v>
      </c>
      <c r="L5" s="181">
        <f t="shared" si="4"/>
        <v>65.486181054263241</v>
      </c>
      <c r="M5" s="181">
        <f t="shared" si="4"/>
        <v>65.039413627274428</v>
      </c>
      <c r="N5" s="181">
        <f t="shared" si="4"/>
        <v>64.202747031347812</v>
      </c>
      <c r="O5" s="181">
        <f t="shared" si="4"/>
        <v>63.64340829493738</v>
      </c>
      <c r="P5" s="181">
        <f t="shared" si="4"/>
        <v>62.798938325300433</v>
      </c>
      <c r="Q5" s="181">
        <f t="shared" si="4"/>
        <v>61.339794061978317</v>
      </c>
      <c r="R5" s="181">
        <f t="shared" si="4"/>
        <v>60.003340840705562</v>
      </c>
      <c r="S5" s="181">
        <f t="shared" si="4"/>
        <v>59.341545435146323</v>
      </c>
      <c r="T5" s="181">
        <f t="shared" si="4"/>
        <v>57.805205097763789</v>
      </c>
      <c r="U5" s="181">
        <f t="shared" si="4"/>
        <v>56.219391060324426</v>
      </c>
      <c r="V5" s="181">
        <f t="shared" si="4"/>
        <v>54.675423999773415</v>
      </c>
      <c r="W5" s="181">
        <f t="shared" si="4"/>
        <v>53.955794018929033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129.65580435124596</v>
      </c>
      <c r="C6" s="181">
        <f t="shared" si="3"/>
        <v>133.51311436286059</v>
      </c>
      <c r="D6" s="181">
        <f t="shared" si="4"/>
        <v>137.26925113331924</v>
      </c>
      <c r="E6" s="181">
        <f t="shared" si="4"/>
        <v>142.52684708525382</v>
      </c>
      <c r="F6" s="181">
        <f t="shared" si="4"/>
        <v>145.41885815481191</v>
      </c>
      <c r="G6" s="181">
        <f t="shared" si="4"/>
        <v>148.99227735471152</v>
      </c>
      <c r="H6" s="181">
        <f t="shared" si="4"/>
        <v>150.43843333335886</v>
      </c>
      <c r="I6" s="181">
        <f t="shared" si="4"/>
        <v>152.96296086379124</v>
      </c>
      <c r="J6" s="181">
        <f t="shared" si="4"/>
        <v>152.23913638079722</v>
      </c>
      <c r="K6" s="181">
        <f t="shared" si="4"/>
        <v>150.9842482376225</v>
      </c>
      <c r="L6" s="181">
        <f t="shared" si="4"/>
        <v>150.6391199051163</v>
      </c>
      <c r="M6" s="181">
        <f t="shared" si="4"/>
        <v>149.96091249709556</v>
      </c>
      <c r="N6" s="181">
        <f t="shared" si="4"/>
        <v>147.86310893742279</v>
      </c>
      <c r="O6" s="181">
        <f t="shared" si="4"/>
        <v>145.60568137414097</v>
      </c>
      <c r="P6" s="181">
        <f t="shared" si="4"/>
        <v>145.23431132849552</v>
      </c>
      <c r="Q6" s="181">
        <f t="shared" si="4"/>
        <v>140.70173990689915</v>
      </c>
      <c r="R6" s="181">
        <f t="shared" si="4"/>
        <v>133.52875844679326</v>
      </c>
      <c r="S6" s="181">
        <f t="shared" si="4"/>
        <v>128.3121043218421</v>
      </c>
      <c r="T6" s="181">
        <f t="shared" si="4"/>
        <v>120.25339830567542</v>
      </c>
      <c r="U6" s="181">
        <f t="shared" si="4"/>
        <v>111.37003989485282</v>
      </c>
      <c r="V6" s="181">
        <f t="shared" si="4"/>
        <v>97.256843000832546</v>
      </c>
      <c r="W6" s="181">
        <f t="shared" si="4"/>
        <v>93.526161005967523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77.674751746456892</v>
      </c>
      <c r="C7" s="181">
        <f t="shared" si="3"/>
        <v>78.795194264859973</v>
      </c>
      <c r="D7" s="181">
        <f t="shared" si="4"/>
        <v>79.313394229906194</v>
      </c>
      <c r="E7" s="181">
        <f t="shared" si="4"/>
        <v>80.194082250918655</v>
      </c>
      <c r="F7" s="181">
        <f t="shared" si="4"/>
        <v>81.553946135901285</v>
      </c>
      <c r="G7" s="181">
        <f t="shared" si="4"/>
        <v>83.780444548184505</v>
      </c>
      <c r="H7" s="181">
        <f t="shared" si="4"/>
        <v>86.450284869403021</v>
      </c>
      <c r="I7" s="181">
        <f t="shared" si="4"/>
        <v>89.38878669128944</v>
      </c>
      <c r="J7" s="181">
        <f t="shared" si="4"/>
        <v>90.679689672334433</v>
      </c>
      <c r="K7" s="181">
        <f t="shared" si="4"/>
        <v>90.818512474523317</v>
      </c>
      <c r="L7" s="181">
        <f t="shared" si="4"/>
        <v>90.397135959402505</v>
      </c>
      <c r="M7" s="181">
        <f t="shared" si="4"/>
        <v>89.081497712583143</v>
      </c>
      <c r="N7" s="181">
        <f t="shared" si="4"/>
        <v>87.742224715377034</v>
      </c>
      <c r="O7" s="181">
        <f t="shared" si="4"/>
        <v>86.911312873878245</v>
      </c>
      <c r="P7" s="181">
        <f t="shared" si="4"/>
        <v>86.266919495055774</v>
      </c>
      <c r="Q7" s="181">
        <f t="shared" si="4"/>
        <v>86.256484730494051</v>
      </c>
      <c r="R7" s="181">
        <f t="shared" si="4"/>
        <v>85.781585732600561</v>
      </c>
      <c r="S7" s="181">
        <f t="shared" si="4"/>
        <v>85.299081034430486</v>
      </c>
      <c r="T7" s="181">
        <f t="shared" si="4"/>
        <v>85.21211313918343</v>
      </c>
      <c r="U7" s="181">
        <f t="shared" si="4"/>
        <v>85.358441319843152</v>
      </c>
      <c r="V7" s="181">
        <f t="shared" si="4"/>
        <v>85.549429278496902</v>
      </c>
      <c r="W7" s="181">
        <f t="shared" si="4"/>
        <v>85.868965198688031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24.717606557096559</v>
      </c>
      <c r="C8" s="55">
        <f t="shared" si="3"/>
        <v>27.172205019632408</v>
      </c>
      <c r="D8" s="55">
        <f t="shared" si="4"/>
        <v>29.671735112742702</v>
      </c>
      <c r="E8" s="55">
        <f t="shared" si="4"/>
        <v>33.192244370857836</v>
      </c>
      <c r="F8" s="55">
        <f t="shared" si="4"/>
        <v>36.117894354751932</v>
      </c>
      <c r="G8" s="55">
        <f t="shared" si="4"/>
        <v>38.89062441336295</v>
      </c>
      <c r="H8" s="55">
        <f t="shared" si="4"/>
        <v>41.271691698372116</v>
      </c>
      <c r="I8" s="55">
        <f t="shared" si="4"/>
        <v>43.710214105986104</v>
      </c>
      <c r="J8" s="55">
        <f t="shared" si="4"/>
        <v>44.92413074661301</v>
      </c>
      <c r="K8" s="55">
        <f t="shared" si="4"/>
        <v>46.067911010321794</v>
      </c>
      <c r="L8" s="55">
        <f t="shared" si="4"/>
        <v>47.189377290161211</v>
      </c>
      <c r="M8" s="55">
        <f t="shared" si="4"/>
        <v>47.983597101820159</v>
      </c>
      <c r="N8" s="55">
        <f t="shared" si="4"/>
        <v>47.218965807112518</v>
      </c>
      <c r="O8" s="55">
        <f t="shared" si="4"/>
        <v>46.341654412573789</v>
      </c>
      <c r="P8" s="55">
        <f t="shared" si="4"/>
        <v>45.892470155206574</v>
      </c>
      <c r="Q8" s="55">
        <f t="shared" si="4"/>
        <v>43.905148569157134</v>
      </c>
      <c r="R8" s="55">
        <f t="shared" si="4"/>
        <v>47.377168191795704</v>
      </c>
      <c r="S8" s="55">
        <f t="shared" si="4"/>
        <v>48.288854047095874</v>
      </c>
      <c r="T8" s="55">
        <f t="shared" si="4"/>
        <v>48.663514024744863</v>
      </c>
      <c r="U8" s="55">
        <f t="shared" si="4"/>
        <v>49.353327316063918</v>
      </c>
      <c r="V8" s="55">
        <f t="shared" si="4"/>
        <v>47.001246642120371</v>
      </c>
      <c r="W8" s="55">
        <f t="shared" si="4"/>
        <v>49.073646440906145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35.539874622464943</v>
      </c>
      <c r="C9" s="63">
        <f t="shared" si="3"/>
        <v>39.289992347329445</v>
      </c>
      <c r="D9" s="63">
        <f t="shared" si="4"/>
        <v>42.61203173692941</v>
      </c>
      <c r="E9" s="63">
        <f t="shared" si="4"/>
        <v>45.912167601611259</v>
      </c>
      <c r="F9" s="63">
        <f t="shared" si="4"/>
        <v>52.567876641909187</v>
      </c>
      <c r="G9" s="63">
        <f t="shared" si="4"/>
        <v>60.76505398894605</v>
      </c>
      <c r="H9" s="63">
        <f t="shared" si="4"/>
        <v>68.101918176031845</v>
      </c>
      <c r="I9" s="63">
        <f t="shared" si="4"/>
        <v>74.99098954812186</v>
      </c>
      <c r="J9" s="63">
        <f t="shared" si="4"/>
        <v>77.108531478140023</v>
      </c>
      <c r="K9" s="63">
        <f t="shared" si="4"/>
        <v>80.976927298644483</v>
      </c>
      <c r="L9" s="63">
        <f t="shared" si="4"/>
        <v>80.69295674072761</v>
      </c>
      <c r="M9" s="63">
        <f t="shared" si="4"/>
        <v>84.301844265585231</v>
      </c>
      <c r="N9" s="63">
        <f t="shared" si="4"/>
        <v>74.80127261296019</v>
      </c>
      <c r="O9" s="63">
        <f t="shared" si="4"/>
        <v>74.637793506140667</v>
      </c>
      <c r="P9" s="63">
        <f t="shared" si="4"/>
        <v>75.50188863836911</v>
      </c>
      <c r="Q9" s="63">
        <f t="shared" si="4"/>
        <v>81.536867414310265</v>
      </c>
      <c r="R9" s="63">
        <f t="shared" si="4"/>
        <v>79.774856707712033</v>
      </c>
      <c r="S9" s="63">
        <f t="shared" si="4"/>
        <v>83.524382826370541</v>
      </c>
      <c r="T9" s="63">
        <f t="shared" si="4"/>
        <v>84.466235858396587</v>
      </c>
      <c r="U9" s="63">
        <f t="shared" si="4"/>
        <v>83.978815247086914</v>
      </c>
      <c r="V9" s="63">
        <f t="shared" si="4"/>
        <v>79.336032017735178</v>
      </c>
      <c r="W9" s="63">
        <f t="shared" si="4"/>
        <v>79.498066405589483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1545.60443963744</v>
      </c>
      <c r="C11" s="180">
        <f t="shared" ref="C11:W11" si="6">SUM(C12:C17)</f>
        <v>1622.8700057326764</v>
      </c>
      <c r="D11" s="180">
        <f t="shared" si="6"/>
        <v>1694.2484651649381</v>
      </c>
      <c r="E11" s="180">
        <f t="shared" si="6"/>
        <v>1787.1217206023555</v>
      </c>
      <c r="F11" s="180">
        <f t="shared" si="6"/>
        <v>1881.211497436703</v>
      </c>
      <c r="G11" s="180">
        <f t="shared" si="6"/>
        <v>1988.202917398761</v>
      </c>
      <c r="H11" s="180">
        <f t="shared" si="6"/>
        <v>2071.8194427266285</v>
      </c>
      <c r="I11" s="180">
        <f t="shared" si="6"/>
        <v>2159.058888993166</v>
      </c>
      <c r="J11" s="180">
        <f t="shared" si="6"/>
        <v>2178.537458782766</v>
      </c>
      <c r="K11" s="180">
        <f t="shared" si="6"/>
        <v>2207.8871915788986</v>
      </c>
      <c r="L11" s="180">
        <f t="shared" si="6"/>
        <v>2208.4962084347667</v>
      </c>
      <c r="M11" s="180">
        <f t="shared" si="6"/>
        <v>2229.7719914657287</v>
      </c>
      <c r="N11" s="180">
        <f t="shared" si="6"/>
        <v>2149.1610884900233</v>
      </c>
      <c r="O11" s="180">
        <f t="shared" si="6"/>
        <v>2129.9542373416853</v>
      </c>
      <c r="P11" s="180">
        <f t="shared" si="6"/>
        <v>2131.2499287584287</v>
      </c>
      <c r="Q11" s="180">
        <f t="shared" si="6"/>
        <v>2121.6267065753232</v>
      </c>
      <c r="R11" s="180">
        <f t="shared" si="6"/>
        <v>2081.0860595927816</v>
      </c>
      <c r="S11" s="180">
        <f t="shared" si="6"/>
        <v>2068.8228155874649</v>
      </c>
      <c r="T11" s="180">
        <f t="shared" si="6"/>
        <v>2047.2864517900043</v>
      </c>
      <c r="U11" s="180">
        <f t="shared" si="6"/>
        <v>2019.6880370824081</v>
      </c>
      <c r="V11" s="180">
        <f t="shared" si="6"/>
        <v>1984.7525910940392</v>
      </c>
      <c r="W11" s="180">
        <f t="shared" si="6"/>
        <v>1956.8561696587938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22.158084697267689</v>
      </c>
      <c r="C12" s="181">
        <f t="shared" ref="C12:W12" si="7">C20*C52</f>
        <v>23.30501682305087</v>
      </c>
      <c r="D12" s="181">
        <f t="shared" si="7"/>
        <v>24.650886434606974</v>
      </c>
      <c r="E12" s="181">
        <f t="shared" si="7"/>
        <v>26.095101764825646</v>
      </c>
      <c r="F12" s="181">
        <f t="shared" si="7"/>
        <v>26.894696912032014</v>
      </c>
      <c r="G12" s="181">
        <f t="shared" si="7"/>
        <v>27.912649925320956</v>
      </c>
      <c r="H12" s="181">
        <f t="shared" si="7"/>
        <v>28.87008996277271</v>
      </c>
      <c r="I12" s="181">
        <f t="shared" si="7"/>
        <v>29.951579157902916</v>
      </c>
      <c r="J12" s="181">
        <f t="shared" si="7"/>
        <v>30.332817184397431</v>
      </c>
      <c r="K12" s="181">
        <f t="shared" si="7"/>
        <v>30.552265194594217</v>
      </c>
      <c r="L12" s="181">
        <f t="shared" si="7"/>
        <v>30.767821179498306</v>
      </c>
      <c r="M12" s="181">
        <f t="shared" si="7"/>
        <v>30.896224184057676</v>
      </c>
      <c r="N12" s="181">
        <f t="shared" si="7"/>
        <v>30.895577026372919</v>
      </c>
      <c r="O12" s="181">
        <f t="shared" si="7"/>
        <v>31.171913544022519</v>
      </c>
      <c r="P12" s="181">
        <f t="shared" si="7"/>
        <v>31.705556291051575</v>
      </c>
      <c r="Q12" s="181">
        <f t="shared" si="7"/>
        <v>31.378414320171352</v>
      </c>
      <c r="R12" s="181">
        <f t="shared" si="7"/>
        <v>31.62925212813461</v>
      </c>
      <c r="S12" s="181">
        <f t="shared" si="7"/>
        <v>31.97607301276804</v>
      </c>
      <c r="T12" s="181">
        <f t="shared" si="7"/>
        <v>32.301657859323662</v>
      </c>
      <c r="U12" s="181">
        <f t="shared" si="7"/>
        <v>32.523853879228625</v>
      </c>
      <c r="V12" s="181">
        <f t="shared" si="7"/>
        <v>32.664142684561071</v>
      </c>
      <c r="W12" s="181">
        <f t="shared" si="7"/>
        <v>32.76978958619177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149.53575690543471</v>
      </c>
      <c r="C13" s="181">
        <f t="shared" ref="C13:W13" si="8">C21*C53/1000</f>
        <v>155.81673284977799</v>
      </c>
      <c r="D13" s="181">
        <f t="shared" si="8"/>
        <v>163.29342433483612</v>
      </c>
      <c r="E13" s="181">
        <f t="shared" si="8"/>
        <v>170.44903501017757</v>
      </c>
      <c r="F13" s="181">
        <f t="shared" si="8"/>
        <v>176.95502979488697</v>
      </c>
      <c r="G13" s="181">
        <f t="shared" si="8"/>
        <v>183.25962614949682</v>
      </c>
      <c r="H13" s="181">
        <f t="shared" si="8"/>
        <v>188.43139916510358</v>
      </c>
      <c r="I13" s="181">
        <f t="shared" si="8"/>
        <v>191.79016641248737</v>
      </c>
      <c r="J13" s="181">
        <f t="shared" si="8"/>
        <v>194.42604412000702</v>
      </c>
      <c r="K13" s="181">
        <f t="shared" si="8"/>
        <v>197.38264259770327</v>
      </c>
      <c r="L13" s="181">
        <f t="shared" si="8"/>
        <v>199.32146423757987</v>
      </c>
      <c r="M13" s="181">
        <f t="shared" si="8"/>
        <v>198.24295585488144</v>
      </c>
      <c r="N13" s="181">
        <f t="shared" si="8"/>
        <v>196.05615112072735</v>
      </c>
      <c r="O13" s="181">
        <f t="shared" si="8"/>
        <v>195.06188651204064</v>
      </c>
      <c r="P13" s="181">
        <f t="shared" si="8"/>
        <v>193.30385807698306</v>
      </c>
      <c r="Q13" s="181">
        <f t="shared" si="8"/>
        <v>189.80989348971892</v>
      </c>
      <c r="R13" s="181">
        <f t="shared" si="8"/>
        <v>187.07752186148753</v>
      </c>
      <c r="S13" s="181">
        <f t="shared" si="8"/>
        <v>183.9109723049622</v>
      </c>
      <c r="T13" s="181">
        <f t="shared" si="8"/>
        <v>180.92208288930604</v>
      </c>
      <c r="U13" s="181">
        <f t="shared" si="8"/>
        <v>177.49642450975779</v>
      </c>
      <c r="V13" s="181">
        <f t="shared" si="8"/>
        <v>173.38978785489405</v>
      </c>
      <c r="W13" s="181">
        <f t="shared" si="8"/>
        <v>170.28581843148481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694.09615453562583</v>
      </c>
      <c r="C14" s="181">
        <f t="shared" ref="C14:W14" si="9">C22*C54</f>
        <v>708.02136696003083</v>
      </c>
      <c r="D14" s="181">
        <f t="shared" si="9"/>
        <v>721.34882978750147</v>
      </c>
      <c r="E14" s="181">
        <f t="shared" si="9"/>
        <v>743.64005980610409</v>
      </c>
      <c r="F14" s="181">
        <f t="shared" si="9"/>
        <v>752.8570651766081</v>
      </c>
      <c r="G14" s="181">
        <f t="shared" si="9"/>
        <v>766.07369113445714</v>
      </c>
      <c r="H14" s="181">
        <f t="shared" si="9"/>
        <v>769.11742131460494</v>
      </c>
      <c r="I14" s="181">
        <f t="shared" si="9"/>
        <v>779.10685157403861</v>
      </c>
      <c r="J14" s="181">
        <f t="shared" si="9"/>
        <v>772.42713468300599</v>
      </c>
      <c r="K14" s="181">
        <f t="shared" si="9"/>
        <v>765.06032871628474</v>
      </c>
      <c r="L14" s="181">
        <f t="shared" si="9"/>
        <v>760.03269077633774</v>
      </c>
      <c r="M14" s="181">
        <f t="shared" si="9"/>
        <v>753.77636865623936</v>
      </c>
      <c r="N14" s="181">
        <f t="shared" si="9"/>
        <v>741.99414341240447</v>
      </c>
      <c r="O14" s="181">
        <f t="shared" si="9"/>
        <v>726.96047352903213</v>
      </c>
      <c r="P14" s="181">
        <f t="shared" si="9"/>
        <v>720.52869787405484</v>
      </c>
      <c r="Q14" s="181">
        <f t="shared" si="9"/>
        <v>691.57793027922617</v>
      </c>
      <c r="R14" s="181">
        <f t="shared" si="9"/>
        <v>658.37651455996672</v>
      </c>
      <c r="S14" s="181">
        <f t="shared" si="9"/>
        <v>624.31128786734587</v>
      </c>
      <c r="T14" s="181">
        <f t="shared" si="9"/>
        <v>591.71373727631533</v>
      </c>
      <c r="U14" s="181">
        <f t="shared" si="9"/>
        <v>555.23904548084283</v>
      </c>
      <c r="V14" s="181">
        <f t="shared" si="9"/>
        <v>519.61452564831586</v>
      </c>
      <c r="W14" s="181">
        <f t="shared" si="9"/>
        <v>487.98879931720273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103.12298662229382</v>
      </c>
      <c r="C15" s="181">
        <f t="shared" ref="C15:W15" si="10">C23*C55/1000</f>
        <v>104.61051476031066</v>
      </c>
      <c r="D15" s="181">
        <f t="shared" si="10"/>
        <v>105.29849028468142</v>
      </c>
      <c r="E15" s="181">
        <f t="shared" si="10"/>
        <v>106.46771422125387</v>
      </c>
      <c r="F15" s="181">
        <f t="shared" si="10"/>
        <v>108.27310428773197</v>
      </c>
      <c r="G15" s="181">
        <f t="shared" si="10"/>
        <v>111.22906051317192</v>
      </c>
      <c r="H15" s="181">
        <f t="shared" si="10"/>
        <v>114.77360879351109</v>
      </c>
      <c r="I15" s="181">
        <f t="shared" si="10"/>
        <v>118.67483895202012</v>
      </c>
      <c r="J15" s="181">
        <f t="shared" si="10"/>
        <v>120.38867475904675</v>
      </c>
      <c r="K15" s="181">
        <f t="shared" si="10"/>
        <v>120.57297946103951</v>
      </c>
      <c r="L15" s="181">
        <f t="shared" si="10"/>
        <v>120.01354922464053</v>
      </c>
      <c r="M15" s="181">
        <f t="shared" si="10"/>
        <v>118.26687424627197</v>
      </c>
      <c r="N15" s="181">
        <f t="shared" si="10"/>
        <v>116.48882116893094</v>
      </c>
      <c r="O15" s="181">
        <f t="shared" si="10"/>
        <v>115.38568136109629</v>
      </c>
      <c r="P15" s="181">
        <f t="shared" si="10"/>
        <v>114.53016823373272</v>
      </c>
      <c r="Q15" s="181">
        <f t="shared" si="10"/>
        <v>114.51631477347557</v>
      </c>
      <c r="R15" s="181">
        <f t="shared" si="10"/>
        <v>113.88582672033617</v>
      </c>
      <c r="S15" s="181">
        <f t="shared" si="10"/>
        <v>113.24524114502591</v>
      </c>
      <c r="T15" s="181">
        <f t="shared" si="10"/>
        <v>113.12978034345929</v>
      </c>
      <c r="U15" s="181">
        <f t="shared" si="10"/>
        <v>113.32404937782829</v>
      </c>
      <c r="V15" s="181">
        <f t="shared" si="10"/>
        <v>113.57760987544739</v>
      </c>
      <c r="W15" s="181">
        <f t="shared" si="10"/>
        <v>114.00183393387465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313.38925414058826</v>
      </c>
      <c r="C16" s="55">
        <f t="shared" ref="C16:W16" si="11">C24*C56</f>
        <v>342.87272121289027</v>
      </c>
      <c r="D16" s="55">
        <f t="shared" si="11"/>
        <v>372.7876932820563</v>
      </c>
      <c r="E16" s="55">
        <f t="shared" si="11"/>
        <v>415.35279506256808</v>
      </c>
      <c r="F16" s="55">
        <f t="shared" si="11"/>
        <v>450.29145673726237</v>
      </c>
      <c r="G16" s="55">
        <f t="shared" si="11"/>
        <v>483.1901125984628</v>
      </c>
      <c r="H16" s="55">
        <f t="shared" si="11"/>
        <v>511.12127356880342</v>
      </c>
      <c r="I16" s="55">
        <f t="shared" si="11"/>
        <v>539.68229843820222</v>
      </c>
      <c r="J16" s="55">
        <f t="shared" si="11"/>
        <v>553.0873722084508</v>
      </c>
      <c r="K16" s="55">
        <f t="shared" si="11"/>
        <v>565.63793084138149</v>
      </c>
      <c r="L16" s="55">
        <f t="shared" si="11"/>
        <v>577.92360368299558</v>
      </c>
      <c r="M16" s="55">
        <f t="shared" si="11"/>
        <v>589.79575052268945</v>
      </c>
      <c r="N16" s="55">
        <f t="shared" si="11"/>
        <v>588.81325737274551</v>
      </c>
      <c r="O16" s="55">
        <f t="shared" si="11"/>
        <v>589.62432792649065</v>
      </c>
      <c r="P16" s="55">
        <f t="shared" si="11"/>
        <v>596.06809758661007</v>
      </c>
      <c r="Q16" s="55">
        <f t="shared" si="11"/>
        <v>582.41872943072985</v>
      </c>
      <c r="R16" s="55">
        <f t="shared" si="11"/>
        <v>588.77882788959096</v>
      </c>
      <c r="S16" s="55">
        <f t="shared" si="11"/>
        <v>595.83753614364252</v>
      </c>
      <c r="T16" s="55">
        <f t="shared" si="11"/>
        <v>603.13651187512585</v>
      </c>
      <c r="U16" s="55">
        <f t="shared" si="11"/>
        <v>616.88350499019589</v>
      </c>
      <c r="V16" s="55">
        <f t="shared" si="11"/>
        <v>629.57226688826086</v>
      </c>
      <c r="W16" s="55">
        <f t="shared" si="11"/>
        <v>641.94847574233665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263.30220273622962</v>
      </c>
      <c r="C17" s="63">
        <f t="shared" ref="C17:W17" si="12">C25*C57/1000</f>
        <v>288.2436531266157</v>
      </c>
      <c r="D17" s="63">
        <f t="shared" si="12"/>
        <v>306.86914104125594</v>
      </c>
      <c r="E17" s="63">
        <f t="shared" si="12"/>
        <v>325.11701473742647</v>
      </c>
      <c r="F17" s="63">
        <f t="shared" si="12"/>
        <v>365.94014452818163</v>
      </c>
      <c r="G17" s="63">
        <f t="shared" si="12"/>
        <v>416.53777707785144</v>
      </c>
      <c r="H17" s="63">
        <f t="shared" si="12"/>
        <v>459.50564992183268</v>
      </c>
      <c r="I17" s="63">
        <f t="shared" si="12"/>
        <v>499.8531544585145</v>
      </c>
      <c r="J17" s="63">
        <f t="shared" si="12"/>
        <v>507.87541582785809</v>
      </c>
      <c r="K17" s="63">
        <f t="shared" si="12"/>
        <v>528.68104476789529</v>
      </c>
      <c r="L17" s="63">
        <f t="shared" si="12"/>
        <v>520.43707933371491</v>
      </c>
      <c r="M17" s="63">
        <f t="shared" si="12"/>
        <v>538.79381800158887</v>
      </c>
      <c r="N17" s="63">
        <f t="shared" si="12"/>
        <v>474.91313838884224</v>
      </c>
      <c r="O17" s="63">
        <f t="shared" si="12"/>
        <v>471.74995446900334</v>
      </c>
      <c r="P17" s="63">
        <f t="shared" si="12"/>
        <v>475.11355069599671</v>
      </c>
      <c r="Q17" s="63">
        <f t="shared" si="12"/>
        <v>511.92542428200119</v>
      </c>
      <c r="R17" s="63">
        <f t="shared" si="12"/>
        <v>501.33811643326578</v>
      </c>
      <c r="S17" s="63">
        <f t="shared" si="12"/>
        <v>519.54170511372047</v>
      </c>
      <c r="T17" s="63">
        <f t="shared" si="12"/>
        <v>526.08268154647442</v>
      </c>
      <c r="U17" s="63">
        <f t="shared" si="12"/>
        <v>524.22115884455457</v>
      </c>
      <c r="V17" s="63">
        <f t="shared" si="12"/>
        <v>515.93425814256011</v>
      </c>
      <c r="W17" s="63">
        <f t="shared" si="12"/>
        <v>509.86145264770306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28.332712298119368</v>
      </c>
      <c r="C20" s="182">
        <v>30.126904445855057</v>
      </c>
      <c r="D20" s="182">
        <v>32.262720596019761</v>
      </c>
      <c r="E20" s="182">
        <v>34.606868711202011</v>
      </c>
      <c r="F20" s="182">
        <v>36.041330005377596</v>
      </c>
      <c r="G20" s="182">
        <v>37.856335333519311</v>
      </c>
      <c r="H20" s="182">
        <v>39.631549518366718</v>
      </c>
      <c r="I20" s="182">
        <v>41.651506632547324</v>
      </c>
      <c r="J20" s="182">
        <v>42.615361011488794</v>
      </c>
      <c r="K20" s="182">
        <v>43.359784538765133</v>
      </c>
      <c r="L20" s="182">
        <v>44.145694142035666</v>
      </c>
      <c r="M20" s="182">
        <v>44.835340989207701</v>
      </c>
      <c r="N20" s="182">
        <v>45.393461396698747</v>
      </c>
      <c r="O20" s="182">
        <v>46.539512957839001</v>
      </c>
      <c r="P20" s="182">
        <v>48.34030985341159</v>
      </c>
      <c r="Q20" s="182">
        <v>48.656659518699328</v>
      </c>
      <c r="R20" s="182">
        <v>50.148414188811245</v>
      </c>
      <c r="S20" s="182">
        <v>51.889340378846484</v>
      </c>
      <c r="T20" s="182">
        <v>53.649540241462297</v>
      </c>
      <c r="U20" s="182">
        <v>55.318599090107618</v>
      </c>
      <c r="V20" s="182">
        <v>56.941823052492097</v>
      </c>
      <c r="W20" s="182">
        <v>58.522624664780722</v>
      </c>
      <c r="DA20" s="191" t="s">
        <v>921</v>
      </c>
    </row>
    <row r="21" spans="1:105" ht="12" customHeight="1" x14ac:dyDescent="0.25">
      <c r="A21" s="132" t="s">
        <v>163</v>
      </c>
      <c r="B21" s="182">
        <v>729.91896993656621</v>
      </c>
      <c r="C21" s="182">
        <v>769.64442647917815</v>
      </c>
      <c r="D21" s="182">
        <v>818.52961306231759</v>
      </c>
      <c r="E21" s="182">
        <v>868.834650471744</v>
      </c>
      <c r="F21" s="182">
        <v>919.73625068404635</v>
      </c>
      <c r="G21" s="182">
        <v>972.85430968102287</v>
      </c>
      <c r="H21" s="182">
        <v>1023.9270725471466</v>
      </c>
      <c r="I21" s="182">
        <v>1067.1787129864583</v>
      </c>
      <c r="J21" s="182">
        <v>1099.6772383649202</v>
      </c>
      <c r="K21" s="182">
        <v>1134.7001231430074</v>
      </c>
      <c r="L21" s="182">
        <v>1165.702533062861</v>
      </c>
      <c r="M21" s="182">
        <v>1179.5774092875736</v>
      </c>
      <c r="N21" s="182">
        <v>1189.7899034170732</v>
      </c>
      <c r="O21" s="182">
        <v>1211.9417670180349</v>
      </c>
      <c r="P21" s="182">
        <v>1234.7215237396433</v>
      </c>
      <c r="Q21" s="182">
        <v>1253.3021253449106</v>
      </c>
      <c r="R21" s="182">
        <v>1292.0295270537792</v>
      </c>
      <c r="S21" s="182">
        <v>1332.01830207035</v>
      </c>
      <c r="T21" s="182">
        <v>1372.5642561291081</v>
      </c>
      <c r="U21" s="182">
        <v>1413.7292168064726</v>
      </c>
      <c r="V21" s="182">
        <v>1455.803826066779</v>
      </c>
      <c r="W21" s="182">
        <v>1499.403098224127</v>
      </c>
      <c r="DA21" s="191" t="s">
        <v>922</v>
      </c>
    </row>
    <row r="22" spans="1:105" ht="12" customHeight="1" x14ac:dyDescent="0.25">
      <c r="A22" s="132" t="s">
        <v>167</v>
      </c>
      <c r="B22" s="182">
        <v>14.376218475552813</v>
      </c>
      <c r="C22" s="182">
        <v>14.835212253539481</v>
      </c>
      <c r="D22" s="182">
        <v>15.372232953457235</v>
      </c>
      <c r="E22" s="182">
        <v>16.173122096916799</v>
      </c>
      <c r="F22" s="182">
        <v>16.728135266780725</v>
      </c>
      <c r="G22" s="182">
        <v>17.471116839849486</v>
      </c>
      <c r="H22" s="182">
        <v>18.069022111043367</v>
      </c>
      <c r="I22" s="182">
        <v>18.765265455947866</v>
      </c>
      <c r="J22" s="182">
        <v>19.050513485966242</v>
      </c>
      <c r="K22" s="182">
        <v>19.418495357099289</v>
      </c>
      <c r="L22" s="182">
        <v>19.86196524397905</v>
      </c>
      <c r="M22" s="182">
        <v>20.398801955024759</v>
      </c>
      <c r="N22" s="182">
        <v>20.890301765462866</v>
      </c>
      <c r="O22" s="182">
        <v>21.522626487990856</v>
      </c>
      <c r="P22" s="182">
        <v>22.532486726723274</v>
      </c>
      <c r="Q22" s="182">
        <v>23.10929130247586</v>
      </c>
      <c r="R22" s="182">
        <v>23.693369828181197</v>
      </c>
      <c r="S22" s="182">
        <v>24.394903475588436</v>
      </c>
      <c r="T22" s="182">
        <v>25.096573253911586</v>
      </c>
      <c r="U22" s="182">
        <v>25.74159390499905</v>
      </c>
      <c r="V22" s="182">
        <v>26.341522629962377</v>
      </c>
      <c r="W22" s="182">
        <v>26.884365349365442</v>
      </c>
      <c r="DA22" s="191" t="s">
        <v>923</v>
      </c>
    </row>
    <row r="23" spans="1:105" ht="12" customHeight="1" x14ac:dyDescent="0.25">
      <c r="A23" s="132" t="s">
        <v>180</v>
      </c>
      <c r="B23" s="182">
        <v>143.58196353559904</v>
      </c>
      <c r="C23" s="182">
        <v>147.31123312918498</v>
      </c>
      <c r="D23" s="182">
        <v>150.30444740382441</v>
      </c>
      <c r="E23" s="182">
        <v>154.30939529526444</v>
      </c>
      <c r="F23" s="182">
        <v>159.66169307342901</v>
      </c>
      <c r="G23" s="182">
        <v>167.09794038842622</v>
      </c>
      <c r="H23" s="182">
        <v>175.91279579034094</v>
      </c>
      <c r="I23" s="182">
        <v>185.9647127243185</v>
      </c>
      <c r="J23" s="182">
        <v>192.97591301620182</v>
      </c>
      <c r="K23" s="182">
        <v>197.94311722237336</v>
      </c>
      <c r="L23" s="182">
        <v>202.17883903019441</v>
      </c>
      <c r="M23" s="182">
        <v>202.77149094732906</v>
      </c>
      <c r="N23" s="182">
        <v>203.08775291588748</v>
      </c>
      <c r="O23" s="182">
        <v>205.17411244985382</v>
      </c>
      <c r="P23" s="182">
        <v>208.82979631364418</v>
      </c>
      <c r="Q23" s="182">
        <v>215.75942913976181</v>
      </c>
      <c r="R23" s="182">
        <v>221.83823550360609</v>
      </c>
      <c r="S23" s="182">
        <v>228.16279958758085</v>
      </c>
      <c r="T23" s="182">
        <v>234.46883511179666</v>
      </c>
      <c r="U23" s="182">
        <v>240.68073553270625</v>
      </c>
      <c r="V23" s="182">
        <v>246.68825795239209</v>
      </c>
      <c r="W23" s="182">
        <v>252.35648034510589</v>
      </c>
      <c r="DA23" s="191" t="s">
        <v>924</v>
      </c>
    </row>
    <row r="24" spans="1:105" ht="12" customHeight="1" x14ac:dyDescent="0.25">
      <c r="A24" s="60" t="s">
        <v>166</v>
      </c>
      <c r="B24" s="36">
        <v>5.6412263753804304</v>
      </c>
      <c r="C24" s="36">
        <v>6.2189646944547361</v>
      </c>
      <c r="D24" s="36">
        <v>6.8193602936555777</v>
      </c>
      <c r="E24" s="36">
        <v>7.689428821825925</v>
      </c>
      <c r="F24" s="36">
        <v>8.4296690171769839</v>
      </c>
      <c r="G24" s="36">
        <v>9.1498122943546711</v>
      </c>
      <c r="H24" s="36">
        <v>9.7861229706572228</v>
      </c>
      <c r="I24" s="36">
        <v>10.461902824427765</v>
      </c>
      <c r="J24" s="36">
        <v>10.830170206759842</v>
      </c>
      <c r="K24" s="36">
        <v>11.199392555064899</v>
      </c>
      <c r="L24" s="36">
        <v>11.59174097640827</v>
      </c>
      <c r="M24" s="36">
        <v>12.019719300940663</v>
      </c>
      <c r="N24" s="36">
        <v>12.190921038502152</v>
      </c>
      <c r="O24" s="36">
        <v>12.470290925826399</v>
      </c>
      <c r="P24" s="36">
        <v>12.974878338653575</v>
      </c>
      <c r="Q24" s="36">
        <v>12.996236715610799</v>
      </c>
      <c r="R24" s="36">
        <v>13.537848747482547</v>
      </c>
      <c r="S24" s="36">
        <v>14.119341187435438</v>
      </c>
      <c r="T24" s="36">
        <v>14.842155341186997</v>
      </c>
      <c r="U24" s="36">
        <v>15.699244537838164</v>
      </c>
      <c r="V24" s="36">
        <v>16.525040250132278</v>
      </c>
      <c r="W24" s="36">
        <v>17.305503675026301</v>
      </c>
      <c r="DA24" s="89" t="s">
        <v>925</v>
      </c>
    </row>
    <row r="25" spans="1:105" ht="12" customHeight="1" x14ac:dyDescent="0.25">
      <c r="A25" s="62" t="s">
        <v>164</v>
      </c>
      <c r="B25" s="38">
        <v>678.10605044840486</v>
      </c>
      <c r="C25" s="38">
        <v>762.50679529859701</v>
      </c>
      <c r="D25" s="38">
        <v>838.0174744118242</v>
      </c>
      <c r="E25" s="38">
        <v>920.32432144198901</v>
      </c>
      <c r="F25" s="38">
        <v>1083.8802722886564</v>
      </c>
      <c r="G25" s="38">
        <v>1295.8361079318679</v>
      </c>
      <c r="H25" s="38">
        <v>1507.6554810017651</v>
      </c>
      <c r="I25" s="38">
        <v>1721.9436381443875</v>
      </c>
      <c r="J25" s="38">
        <v>1824.2431913864084</v>
      </c>
      <c r="K25" s="38">
        <v>2018.0494747021453</v>
      </c>
      <c r="L25" s="38">
        <v>2118.8089339571975</v>
      </c>
      <c r="M25" s="38">
        <v>2383.5072146256121</v>
      </c>
      <c r="N25" s="38">
        <v>2214.5858784312845</v>
      </c>
      <c r="O25" s="38">
        <v>2325.6024094829436</v>
      </c>
      <c r="P25" s="38">
        <v>2516.1469349960898</v>
      </c>
      <c r="Q25" s="38">
        <v>2893.0413984766083</v>
      </c>
      <c r="R25" s="38">
        <v>3017.7331815043653</v>
      </c>
      <c r="S25" s="38">
        <v>3194.1196515616211</v>
      </c>
      <c r="T25" s="38">
        <v>3316.9466247391329</v>
      </c>
      <c r="U25" s="38">
        <v>3432.8067417235166</v>
      </c>
      <c r="V25" s="38">
        <v>3482.6340661686668</v>
      </c>
      <c r="W25" s="38">
        <v>3543.3699110015623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3.0230761471824721</v>
      </c>
      <c r="D28" s="183">
        <v>3.3994598638590077</v>
      </c>
      <c r="E28" s="183">
        <v>3.6435347422991882</v>
      </c>
      <c r="F28" s="183">
        <v>2.7706018442632541</v>
      </c>
      <c r="G28" s="183">
        <v>3.1889394077541269</v>
      </c>
      <c r="H28" s="183">
        <v>3.1880108064277763</v>
      </c>
      <c r="I28" s="183">
        <v>3.4727155278244268</v>
      </c>
      <c r="J28" s="183">
        <v>2.4577049276864713</v>
      </c>
      <c r="K28" s="183">
        <v>2.280528526584817</v>
      </c>
      <c r="L28" s="183">
        <v>2.3654642453884094</v>
      </c>
      <c r="M28" s="183">
        <v>2.3138801310682098</v>
      </c>
      <c r="N28" s="183">
        <v>2.2282960951006388</v>
      </c>
      <c r="O28" s="183">
        <v>2.8634691606557681</v>
      </c>
      <c r="P28" s="183">
        <v>3.5667926725480541</v>
      </c>
      <c r="Q28" s="183">
        <v>2.1322976823425179</v>
      </c>
      <c r="R28" s="183">
        <v>3.3590678560431613</v>
      </c>
      <c r="S28" s="183">
        <v>3.6610574391708397</v>
      </c>
      <c r="T28" s="183">
        <v>3.734643165263158</v>
      </c>
      <c r="U28" s="183">
        <v>4.6921349958277929</v>
      </c>
      <c r="V28" s="183">
        <v>5.0226838262434867</v>
      </c>
      <c r="W28" s="183">
        <v>5.2243363545878125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131.28972534989839</v>
      </c>
      <c r="D29" s="183">
        <v>144.39082849184331</v>
      </c>
      <c r="E29" s="183">
        <v>149.92170835768729</v>
      </c>
      <c r="F29" s="183">
        <v>154.80625895801484</v>
      </c>
      <c r="G29" s="183">
        <v>161.49528146680086</v>
      </c>
      <c r="H29" s="183">
        <v>164.11507003561314</v>
      </c>
      <c r="I29" s="183">
        <v>161.15984032660037</v>
      </c>
      <c r="J29" s="183">
        <v>163.78825072836025</v>
      </c>
      <c r="K29" s="183">
        <v>179.41371326993055</v>
      </c>
      <c r="L29" s="183">
        <v>180.92411827754086</v>
      </c>
      <c r="M29" s="183">
        <v>168.68113518272742</v>
      </c>
      <c r="N29" s="183">
        <v>171.70777559630051</v>
      </c>
      <c r="O29" s="183">
        <v>186.26693363657478</v>
      </c>
      <c r="P29" s="183">
        <v>183.93959704820895</v>
      </c>
      <c r="Q29" s="183">
        <v>182.3688523336275</v>
      </c>
      <c r="R29" s="183">
        <v>218.14111497879935</v>
      </c>
      <c r="S29" s="183">
        <v>220.91289329411165</v>
      </c>
      <c r="T29" s="183">
        <v>209.2270892414856</v>
      </c>
      <c r="U29" s="183">
        <v>212.87273627366494</v>
      </c>
      <c r="V29" s="183">
        <v>228.34154289688126</v>
      </c>
      <c r="W29" s="183">
        <v>227.53886920555692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2.7040717103988552</v>
      </c>
      <c r="D30" s="183">
        <v>2.8404220573167542</v>
      </c>
      <c r="E30" s="183">
        <v>3.1641290723144984</v>
      </c>
      <c r="F30" s="183">
        <v>2.9796461776523486</v>
      </c>
      <c r="G30" s="183">
        <v>3.2306025508107972</v>
      </c>
      <c r="H30" s="183">
        <v>3.1501505425501151</v>
      </c>
      <c r="I30" s="183">
        <v>3.4003150553033539</v>
      </c>
      <c r="J30" s="183">
        <v>3.1256700873351306</v>
      </c>
      <c r="K30" s="183">
        <v>3.5321109434475453</v>
      </c>
      <c r="L30" s="183">
        <v>3.4231160645321097</v>
      </c>
      <c r="M30" s="183">
        <v>3.7674392618565058</v>
      </c>
      <c r="N30" s="183">
        <v>3.641650352988222</v>
      </c>
      <c r="O30" s="183">
        <v>4.0326397778313421</v>
      </c>
      <c r="P30" s="183">
        <v>4.1355303260675491</v>
      </c>
      <c r="Q30" s="183">
        <v>4.1089155192001314</v>
      </c>
      <c r="R30" s="183">
        <v>4.0071945902374466</v>
      </c>
      <c r="S30" s="183">
        <v>4.4689729092637442</v>
      </c>
      <c r="T30" s="183">
        <v>4.3433201313113727</v>
      </c>
      <c r="U30" s="183">
        <v>4.6776604289188057</v>
      </c>
      <c r="V30" s="183">
        <v>4.7354590510308761</v>
      </c>
      <c r="W30" s="183">
        <v>4.6517582386031968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16.778443885620561</v>
      </c>
      <c r="D31" s="183">
        <v>16.317258790586976</v>
      </c>
      <c r="E31" s="183">
        <v>17.609652548601247</v>
      </c>
      <c r="F31" s="183">
        <v>19.243574453730474</v>
      </c>
      <c r="G31" s="183">
        <v>21.620132415034846</v>
      </c>
      <c r="H31" s="183">
        <v>23.297512484466381</v>
      </c>
      <c r="I31" s="183">
        <v>24.839639387413655</v>
      </c>
      <c r="J31" s="183">
        <v>22.110414069672345</v>
      </c>
      <c r="K31" s="183">
        <v>20.384470619255922</v>
      </c>
      <c r="L31" s="183">
        <v>19.977740375812004</v>
      </c>
      <c r="M31" s="183">
        <v>17.371095802755207</v>
      </c>
      <c r="N31" s="183">
        <v>16.633520759145398</v>
      </c>
      <c r="O31" s="183">
        <v>19.696012082567592</v>
      </c>
      <c r="P31" s="183">
        <v>22.899258317520832</v>
      </c>
      <c r="Q31" s="183">
        <v>28.549765241152471</v>
      </c>
      <c r="R31" s="183">
        <v>29.37631884831066</v>
      </c>
      <c r="S31" s="183">
        <v>31.164203471388419</v>
      </c>
      <c r="T31" s="183">
        <v>28.41644959388816</v>
      </c>
      <c r="U31" s="183">
        <v>26.596371040165508</v>
      </c>
      <c r="V31" s="183">
        <v>25.985262795497846</v>
      </c>
      <c r="W31" s="183">
        <v>23.039318195469008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0.73841429288918103</v>
      </c>
      <c r="D32" s="41">
        <v>0.77915267752234474</v>
      </c>
      <c r="E32" s="41">
        <v>1.068941404378065</v>
      </c>
      <c r="F32" s="41">
        <v>0.96149252987398448</v>
      </c>
      <c r="G32" s="41">
        <v>0.96629346349427081</v>
      </c>
      <c r="H32" s="41">
        <v>0.9101605064267666</v>
      </c>
      <c r="I32" s="41">
        <v>0.98044640950740813</v>
      </c>
      <c r="J32" s="41">
        <v>0.70721851530324287</v>
      </c>
      <c r="K32" s="41">
        <v>0.74631615259404605</v>
      </c>
      <c r="L32" s="41">
        <v>0.81187714805583866</v>
      </c>
      <c r="M32" s="41">
        <v>0.89471723812669524</v>
      </c>
      <c r="N32" s="41">
        <v>0.69046347005422781</v>
      </c>
      <c r="O32" s="41">
        <v>0.85706490905481303</v>
      </c>
      <c r="P32" s="41">
        <v>1.1472913080866753</v>
      </c>
      <c r="Q32" s="41">
        <v>0.73638669024323633</v>
      </c>
      <c r="R32" s="41">
        <v>1.2800263247609305</v>
      </c>
      <c r="S32" s="41">
        <v>1.3606451174752365</v>
      </c>
      <c r="T32" s="41">
        <v>1.7917555581296245</v>
      </c>
      <c r="U32" s="41">
        <v>1.8185817265251512</v>
      </c>
      <c r="V32" s="41">
        <v>1.7920891757883854</v>
      </c>
      <c r="W32" s="41">
        <v>1.6906239313207898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220.02195493987313</v>
      </c>
      <c r="D33" s="42">
        <v>211.13188920290816</v>
      </c>
      <c r="E33" s="42">
        <v>217.92805711984579</v>
      </c>
      <c r="F33" s="42">
        <v>299.1771609363484</v>
      </c>
      <c r="G33" s="42">
        <v>347.57704573289243</v>
      </c>
      <c r="H33" s="42">
        <v>431.84132800977022</v>
      </c>
      <c r="I33" s="42">
        <v>425.42004634553041</v>
      </c>
      <c r="J33" s="42">
        <v>320.22761036186671</v>
      </c>
      <c r="K33" s="42">
        <v>492.98344425208529</v>
      </c>
      <c r="L33" s="42">
        <v>448.33650498794464</v>
      </c>
      <c r="M33" s="42">
        <v>696.53960867818478</v>
      </c>
      <c r="N33" s="42">
        <v>256.49871015120289</v>
      </c>
      <c r="O33" s="42">
        <v>431.24414141352577</v>
      </c>
      <c r="P33" s="42">
        <v>683.52796976523155</v>
      </c>
      <c r="Q33" s="42">
        <v>825.23096846846329</v>
      </c>
      <c r="R33" s="42">
        <v>821.23139170594186</v>
      </c>
      <c r="S33" s="42">
        <v>432.88518020845868</v>
      </c>
      <c r="T33" s="42">
        <v>554.07111459103726</v>
      </c>
      <c r="U33" s="42">
        <v>799.38808674961501</v>
      </c>
      <c r="V33" s="42">
        <v>875.05829291361351</v>
      </c>
      <c r="W33" s="42">
        <v>881.96723653883737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1.2288839994467828</v>
      </c>
      <c r="D36" s="183">
        <v>1.2636437136943073</v>
      </c>
      <c r="E36" s="183">
        <v>1.2993866271169381</v>
      </c>
      <c r="F36" s="183">
        <v>1.33614055008767</v>
      </c>
      <c r="G36" s="183">
        <v>1.3739340796124111</v>
      </c>
      <c r="H36" s="183">
        <v>1.4127966215803696</v>
      </c>
      <c r="I36" s="183">
        <v>1.4527584136438207</v>
      </c>
      <c r="J36" s="183">
        <v>1.4938505487450016</v>
      </c>
      <c r="K36" s="183">
        <v>1.5361049993084777</v>
      </c>
      <c r="L36" s="183">
        <v>1.579554642117877</v>
      </c>
      <c r="M36" s="183">
        <v>1.6242332838961744</v>
      </c>
      <c r="N36" s="183">
        <v>1.6701756876095928</v>
      </c>
      <c r="O36" s="183">
        <v>1.7174175995155139</v>
      </c>
      <c r="P36" s="183">
        <v>1.7659957769754655</v>
      </c>
      <c r="Q36" s="183">
        <v>1.8159480170547795</v>
      </c>
      <c r="R36" s="183">
        <v>1.8673131859312448</v>
      </c>
      <c r="S36" s="183">
        <v>1.9201312491356006</v>
      </c>
      <c r="T36" s="183">
        <v>1.9744433026473445</v>
      </c>
      <c r="U36" s="183">
        <v>3.0230761471824721</v>
      </c>
      <c r="V36" s="183">
        <v>3.3994598638590077</v>
      </c>
      <c r="W36" s="183">
        <v>3.6435347422991882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91.564268807286453</v>
      </c>
      <c r="D37" s="183">
        <v>95.505641908703865</v>
      </c>
      <c r="E37" s="183">
        <v>99.616670948260889</v>
      </c>
      <c r="F37" s="183">
        <v>103.90465874571248</v>
      </c>
      <c r="G37" s="183">
        <v>108.37722246982435</v>
      </c>
      <c r="H37" s="183">
        <v>113.04230716948939</v>
      </c>
      <c r="I37" s="183">
        <v>117.90819988728867</v>
      </c>
      <c r="J37" s="183">
        <v>131.28972534989839</v>
      </c>
      <c r="K37" s="183">
        <v>144.39082849184319</v>
      </c>
      <c r="L37" s="183">
        <v>149.92170835768729</v>
      </c>
      <c r="M37" s="183">
        <v>154.80625895801495</v>
      </c>
      <c r="N37" s="183">
        <v>161.49528146680086</v>
      </c>
      <c r="O37" s="183">
        <v>164.11507003561314</v>
      </c>
      <c r="P37" s="183">
        <v>161.15984032660049</v>
      </c>
      <c r="Q37" s="183">
        <v>163.78825072836025</v>
      </c>
      <c r="R37" s="183">
        <v>179.41371326993067</v>
      </c>
      <c r="S37" s="183">
        <v>180.92411827754086</v>
      </c>
      <c r="T37" s="183">
        <v>168.68113518272753</v>
      </c>
      <c r="U37" s="183">
        <v>171.70777559630051</v>
      </c>
      <c r="V37" s="183">
        <v>186.26693363657478</v>
      </c>
      <c r="W37" s="183">
        <v>183.93959704820895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2.2450779324121868</v>
      </c>
      <c r="D38" s="183">
        <v>2.3034013573990002</v>
      </c>
      <c r="E38" s="183">
        <v>2.3632399288549344</v>
      </c>
      <c r="F38" s="183">
        <v>2.4246330077884224</v>
      </c>
      <c r="G38" s="183">
        <v>2.4876209777420364</v>
      </c>
      <c r="H38" s="183">
        <v>2.5522452713562345</v>
      </c>
      <c r="I38" s="183">
        <v>2.7040717103988534</v>
      </c>
      <c r="J38" s="183">
        <v>2.8404220573167542</v>
      </c>
      <c r="K38" s="183">
        <v>3.1641290723144984</v>
      </c>
      <c r="L38" s="183">
        <v>2.9796461776523486</v>
      </c>
      <c r="M38" s="183">
        <v>3.2306025508107972</v>
      </c>
      <c r="N38" s="183">
        <v>3.1501505425501151</v>
      </c>
      <c r="O38" s="183">
        <v>3.4003150553033521</v>
      </c>
      <c r="P38" s="183">
        <v>3.1256700873351306</v>
      </c>
      <c r="Q38" s="183">
        <v>3.5321109434475453</v>
      </c>
      <c r="R38" s="183">
        <v>3.4231160645321097</v>
      </c>
      <c r="S38" s="183">
        <v>3.7674392618565058</v>
      </c>
      <c r="T38" s="183">
        <v>3.641650352988222</v>
      </c>
      <c r="U38" s="183">
        <v>4.0326397778313421</v>
      </c>
      <c r="V38" s="183">
        <v>4.1355303260675491</v>
      </c>
      <c r="W38" s="183">
        <v>4.1089155192001314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13.049174292034621</v>
      </c>
      <c r="D39" s="183">
        <v>13.324044515947548</v>
      </c>
      <c r="E39" s="183">
        <v>13.604704657161221</v>
      </c>
      <c r="F39" s="183">
        <v>13.891276675565905</v>
      </c>
      <c r="G39" s="183">
        <v>14.183885100037628</v>
      </c>
      <c r="H39" s="183">
        <v>14.482657082551668</v>
      </c>
      <c r="I39" s="183">
        <v>14.787722453436089</v>
      </c>
      <c r="J39" s="183">
        <v>15.099213777789032</v>
      </c>
      <c r="K39" s="183">
        <v>15.417266413084377</v>
      </c>
      <c r="L39" s="183">
        <v>15.742018567990954</v>
      </c>
      <c r="M39" s="183">
        <v>16.778443885620561</v>
      </c>
      <c r="N39" s="183">
        <v>16.317258790586976</v>
      </c>
      <c r="O39" s="183">
        <v>17.609652548601247</v>
      </c>
      <c r="P39" s="183">
        <v>19.243574453730474</v>
      </c>
      <c r="Q39" s="183">
        <v>21.620132415034846</v>
      </c>
      <c r="R39" s="183">
        <v>23.297512484466381</v>
      </c>
      <c r="S39" s="183">
        <v>24.839639387413655</v>
      </c>
      <c r="T39" s="183">
        <v>22.110414069672316</v>
      </c>
      <c r="U39" s="183">
        <v>20.384470619255922</v>
      </c>
      <c r="V39" s="183">
        <v>19.977740375811976</v>
      </c>
      <c r="W39" s="183">
        <v>17.371095802755207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0.16067597381487531</v>
      </c>
      <c r="D40" s="41">
        <v>0.17875707832150312</v>
      </c>
      <c r="E40" s="41">
        <v>0.19887287620771765</v>
      </c>
      <c r="F40" s="41">
        <v>0.22125233452292647</v>
      </c>
      <c r="G40" s="41">
        <v>0.24615018631658359</v>
      </c>
      <c r="H40" s="41">
        <v>0.27384983012421493</v>
      </c>
      <c r="I40" s="41">
        <v>0.30466655573686552</v>
      </c>
      <c r="J40" s="41">
        <v>0.3389511329711663</v>
      </c>
      <c r="K40" s="41">
        <v>0.37709380428898953</v>
      </c>
      <c r="L40" s="41">
        <v>0.41952872671246766</v>
      </c>
      <c r="M40" s="41">
        <v>0.46673891359430186</v>
      </c>
      <c r="N40" s="41">
        <v>0.51926173249273866</v>
      </c>
      <c r="O40" s="41">
        <v>0.57769502173056608</v>
      </c>
      <c r="P40" s="41">
        <v>0.64270389525949945</v>
      </c>
      <c r="Q40" s="41">
        <v>0.71502831328601246</v>
      </c>
      <c r="R40" s="41">
        <v>0.73841429288918192</v>
      </c>
      <c r="S40" s="41">
        <v>0.77915267752234563</v>
      </c>
      <c r="T40" s="41">
        <v>1.0689414043780658</v>
      </c>
      <c r="U40" s="41">
        <v>0.96149252987398448</v>
      </c>
      <c r="V40" s="41">
        <v>0.96629346349427081</v>
      </c>
      <c r="W40" s="41">
        <v>0.9101605064267666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135.62121008968097</v>
      </c>
      <c r="D41" s="42">
        <v>135.62121008968097</v>
      </c>
      <c r="E41" s="42">
        <v>135.62121008968097</v>
      </c>
      <c r="F41" s="42">
        <v>135.62121008968097</v>
      </c>
      <c r="G41" s="42">
        <v>135.62121008968097</v>
      </c>
      <c r="H41" s="42">
        <v>220.02195493987301</v>
      </c>
      <c r="I41" s="42">
        <v>211.13188920290804</v>
      </c>
      <c r="J41" s="42">
        <v>217.92805711984579</v>
      </c>
      <c r="K41" s="42">
        <v>299.17716093634817</v>
      </c>
      <c r="L41" s="42">
        <v>347.5770457328922</v>
      </c>
      <c r="M41" s="42">
        <v>431.84132800977022</v>
      </c>
      <c r="N41" s="42">
        <v>425.42004634553041</v>
      </c>
      <c r="O41" s="42">
        <v>320.22761036186694</v>
      </c>
      <c r="P41" s="42">
        <v>492.98344425208506</v>
      </c>
      <c r="Q41" s="42">
        <v>448.33650498794486</v>
      </c>
      <c r="R41" s="42">
        <v>696.53960867818478</v>
      </c>
      <c r="S41" s="42">
        <v>256.49871015120289</v>
      </c>
      <c r="T41" s="42">
        <v>431.24414141352554</v>
      </c>
      <c r="U41" s="42">
        <v>683.52796976523086</v>
      </c>
      <c r="V41" s="42">
        <v>825.23096846846374</v>
      </c>
      <c r="W41" s="42">
        <v>821.23139170594186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8760</v>
      </c>
      <c r="C44" s="185">
        <v>8759.9999999999982</v>
      </c>
      <c r="D44" s="185">
        <v>8759.9999999999982</v>
      </c>
      <c r="E44" s="185">
        <v>8759.9999999999982</v>
      </c>
      <c r="F44" s="185">
        <v>8760</v>
      </c>
      <c r="G44" s="185">
        <v>8760</v>
      </c>
      <c r="H44" s="185">
        <v>8759.9999999999964</v>
      </c>
      <c r="I44" s="185">
        <v>8760.0000000000018</v>
      </c>
      <c r="J44" s="185">
        <v>8760</v>
      </c>
      <c r="K44" s="185">
        <v>8760.0000000000018</v>
      </c>
      <c r="L44" s="185">
        <v>8760.0000000000036</v>
      </c>
      <c r="M44" s="185">
        <v>8760</v>
      </c>
      <c r="N44" s="185">
        <v>8759.9999999999982</v>
      </c>
      <c r="O44" s="185">
        <v>8760</v>
      </c>
      <c r="P44" s="185">
        <v>8760</v>
      </c>
      <c r="Q44" s="185">
        <v>8759.9999999999964</v>
      </c>
      <c r="R44" s="185">
        <v>8759.9999999999964</v>
      </c>
      <c r="S44" s="185">
        <v>8759.9999999999982</v>
      </c>
      <c r="T44" s="185">
        <v>8759.9999999999964</v>
      </c>
      <c r="U44" s="185">
        <v>8759.9999999999982</v>
      </c>
      <c r="V44" s="185">
        <v>8759.9999999999982</v>
      </c>
      <c r="W44" s="185">
        <v>8759.9999999999945</v>
      </c>
      <c r="DA44" s="194" t="s">
        <v>939</v>
      </c>
    </row>
    <row r="45" spans="1:105" ht="12" customHeight="1" x14ac:dyDescent="0.25">
      <c r="A45" s="132" t="s">
        <v>6</v>
      </c>
      <c r="B45" s="185">
        <v>3763.4981554824249</v>
      </c>
      <c r="C45" s="185">
        <v>3774.6612069434887</v>
      </c>
      <c r="D45" s="185">
        <v>3783.9703039007163</v>
      </c>
      <c r="E45" s="185">
        <v>3791.4015442242189</v>
      </c>
      <c r="F45" s="185">
        <v>3793.1503459678556</v>
      </c>
      <c r="G45" s="185">
        <v>3802.6472769669281</v>
      </c>
      <c r="H45" s="185">
        <v>3810.4903536202046</v>
      </c>
      <c r="I45" s="185">
        <v>3815.2789879118654</v>
      </c>
      <c r="J45" s="185">
        <v>3817.2778744558982</v>
      </c>
      <c r="K45" s="185">
        <v>3819.7324862140254</v>
      </c>
      <c r="L45" s="185">
        <v>3820.9848024861608</v>
      </c>
      <c r="M45" s="185">
        <v>3815.5624608367448</v>
      </c>
      <c r="N45" s="185">
        <v>3808.4902906962925</v>
      </c>
      <c r="O45" s="185">
        <v>3794.5538808496699</v>
      </c>
      <c r="P45" s="185">
        <v>3778.2569887062587</v>
      </c>
      <c r="Q45" s="185">
        <v>3758.4015871093056</v>
      </c>
      <c r="R45" s="185">
        <v>3730.2121977758857</v>
      </c>
      <c r="S45" s="185">
        <v>3752.5883570793926</v>
      </c>
      <c r="T45" s="185">
        <v>3715.823544317208</v>
      </c>
      <c r="U45" s="185">
        <v>3683.6320497015358</v>
      </c>
      <c r="V45" s="185">
        <v>3667.316218470226</v>
      </c>
      <c r="W45" s="185">
        <v>3685.0155240180743</v>
      </c>
      <c r="DA45" s="194" t="s">
        <v>940</v>
      </c>
    </row>
    <row r="46" spans="1:105" ht="12" customHeight="1" x14ac:dyDescent="0.25">
      <c r="A46" s="132" t="s">
        <v>5</v>
      </c>
      <c r="B46" s="185">
        <v>2172.4612573510444</v>
      </c>
      <c r="C46" s="185">
        <v>2193.0941529448573</v>
      </c>
      <c r="D46" s="185">
        <v>2213.1336806227168</v>
      </c>
      <c r="E46" s="185">
        <v>2229.0182054389315</v>
      </c>
      <c r="F46" s="185">
        <v>2246.4042625989428</v>
      </c>
      <c r="G46" s="185">
        <v>2261.8975245961901</v>
      </c>
      <c r="H46" s="185">
        <v>2274.8138726028101</v>
      </c>
      <c r="I46" s="185">
        <v>2283.3315241058913</v>
      </c>
      <c r="J46" s="185">
        <v>2292.1788691891034</v>
      </c>
      <c r="K46" s="185">
        <v>2295.1743033780094</v>
      </c>
      <c r="L46" s="185">
        <v>2305.0758023407984</v>
      </c>
      <c r="M46" s="185">
        <v>2313.7438169497664</v>
      </c>
      <c r="N46" s="185">
        <v>2317.6031404151354</v>
      </c>
      <c r="O46" s="185">
        <v>2329.4169848887</v>
      </c>
      <c r="P46" s="185">
        <v>2344.2161925459432</v>
      </c>
      <c r="Q46" s="185">
        <v>2366.1270313477939</v>
      </c>
      <c r="R46" s="185">
        <v>2358.740669499929</v>
      </c>
      <c r="S46" s="185">
        <v>2390.2655650527049</v>
      </c>
      <c r="T46" s="185">
        <v>2363.5534113718222</v>
      </c>
      <c r="U46" s="185">
        <v>2332.7494248093676</v>
      </c>
      <c r="V46" s="185">
        <v>2176.8003553950466</v>
      </c>
      <c r="W46" s="185">
        <v>2228.9635623221939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8760</v>
      </c>
      <c r="D47" s="185">
        <v>8759.9999999999982</v>
      </c>
      <c r="E47" s="185">
        <v>8760</v>
      </c>
      <c r="F47" s="185">
        <v>8759.9999999999982</v>
      </c>
      <c r="G47" s="185">
        <v>8759.9999999999982</v>
      </c>
      <c r="H47" s="185">
        <v>8760</v>
      </c>
      <c r="I47" s="185">
        <v>8759.9999999999982</v>
      </c>
      <c r="J47" s="185">
        <v>8759.9999999999982</v>
      </c>
      <c r="K47" s="185">
        <v>8760</v>
      </c>
      <c r="L47" s="185">
        <v>8760</v>
      </c>
      <c r="M47" s="185">
        <v>8759.9999999999964</v>
      </c>
      <c r="N47" s="185">
        <v>8759.9999999999982</v>
      </c>
      <c r="O47" s="185">
        <v>8760.0000000000036</v>
      </c>
      <c r="P47" s="185">
        <v>8760</v>
      </c>
      <c r="Q47" s="185">
        <v>8759.9999999999982</v>
      </c>
      <c r="R47" s="185">
        <v>8759.9999999999982</v>
      </c>
      <c r="S47" s="185">
        <v>8759.9999999999964</v>
      </c>
      <c r="T47" s="185">
        <v>8760</v>
      </c>
      <c r="U47" s="185">
        <v>8760</v>
      </c>
      <c r="V47" s="185">
        <v>8759.9999999999982</v>
      </c>
      <c r="W47" s="185">
        <v>8759.9999999999982</v>
      </c>
      <c r="DA47" s="194" t="s">
        <v>942</v>
      </c>
    </row>
    <row r="48" spans="1:105" ht="12" customHeight="1" x14ac:dyDescent="0.25">
      <c r="A48" s="60" t="s">
        <v>4</v>
      </c>
      <c r="B48" s="44">
        <v>917.28022087851855</v>
      </c>
      <c r="C48" s="44">
        <v>921.66196033458141</v>
      </c>
      <c r="D48" s="44">
        <v>925.68044916682277</v>
      </c>
      <c r="E48" s="44">
        <v>929.39257089849684</v>
      </c>
      <c r="F48" s="44">
        <v>932.84272899465168</v>
      </c>
      <c r="G48" s="44">
        <v>936.0662607417147</v>
      </c>
      <c r="H48" s="44">
        <v>939.09175624922409</v>
      </c>
      <c r="I48" s="44">
        <v>941.94267909794769</v>
      </c>
      <c r="J48" s="44">
        <v>944.63852699605411</v>
      </c>
      <c r="K48" s="44">
        <v>947.19568090684709</v>
      </c>
      <c r="L48" s="44">
        <v>949.62803800900167</v>
      </c>
      <c r="M48" s="44">
        <v>946.17371149183998</v>
      </c>
      <c r="N48" s="44">
        <v>932.64980952879171</v>
      </c>
      <c r="O48" s="44">
        <v>914.0624212599065</v>
      </c>
      <c r="P48" s="44">
        <v>895.41686606956898</v>
      </c>
      <c r="Q48" s="44">
        <v>876.71781839568723</v>
      </c>
      <c r="R48" s="44">
        <v>935.82927912942546</v>
      </c>
      <c r="S48" s="44">
        <v>942.5377531642057</v>
      </c>
      <c r="T48" s="44">
        <v>938.35583978865327</v>
      </c>
      <c r="U48" s="44">
        <v>930.44990187401049</v>
      </c>
      <c r="V48" s="44">
        <v>868.24742320626581</v>
      </c>
      <c r="W48" s="44">
        <v>889.05345159946285</v>
      </c>
      <c r="DA48" s="95" t="s">
        <v>943</v>
      </c>
    </row>
    <row r="49" spans="1:105" ht="12" customHeight="1" x14ac:dyDescent="0.25">
      <c r="A49" s="62" t="s">
        <v>3</v>
      </c>
      <c r="B49" s="186">
        <v>1569.7883935795667</v>
      </c>
      <c r="C49" s="186">
        <v>1585.2651256772754</v>
      </c>
      <c r="D49" s="186">
        <v>1614.9487283697347</v>
      </c>
      <c r="E49" s="186">
        <v>1642.357935766538</v>
      </c>
      <c r="F49" s="186">
        <v>1670.6677703635264</v>
      </c>
      <c r="G49" s="186">
        <v>1696.5990044148141</v>
      </c>
      <c r="H49" s="186">
        <v>1723.6465068971038</v>
      </c>
      <c r="I49" s="186">
        <v>1744.8028499278805</v>
      </c>
      <c r="J49" s="186">
        <v>1765.7326839279913</v>
      </c>
      <c r="K49" s="186">
        <v>1781.3418389091162</v>
      </c>
      <c r="L49" s="186">
        <v>1803.2133453982876</v>
      </c>
      <c r="M49" s="186">
        <v>1819.676499714154</v>
      </c>
      <c r="N49" s="186">
        <v>1831.7850785093497</v>
      </c>
      <c r="O49" s="186">
        <v>1840.0373550718616</v>
      </c>
      <c r="P49" s="186">
        <v>1848.1623257806853</v>
      </c>
      <c r="Q49" s="186">
        <v>1852.3670109927159</v>
      </c>
      <c r="R49" s="186">
        <v>1850.610502371786</v>
      </c>
      <c r="S49" s="186">
        <v>1869.7027836448008</v>
      </c>
      <c r="T49" s="186">
        <v>1867.277440392935</v>
      </c>
      <c r="U49" s="186">
        <v>1863.0946211257954</v>
      </c>
      <c r="V49" s="186">
        <v>1788.3636099064986</v>
      </c>
      <c r="W49" s="186">
        <v>1813.3602913022078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0.78206719018349924</v>
      </c>
      <c r="C52" s="181">
        <v>0.77356161383707112</v>
      </c>
      <c r="D52" s="181">
        <v>0.76406719517783461</v>
      </c>
      <c r="E52" s="181">
        <v>0.75404400157067186</v>
      </c>
      <c r="F52" s="181">
        <v>0.74621821414523704</v>
      </c>
      <c r="G52" s="181">
        <v>0.73733100891586112</v>
      </c>
      <c r="H52" s="181">
        <v>0.72846230625913955</v>
      </c>
      <c r="I52" s="181">
        <v>0.71909953755425859</v>
      </c>
      <c r="J52" s="181">
        <v>0.7117813029020198</v>
      </c>
      <c r="K52" s="181">
        <v>0.70462216359215168</v>
      </c>
      <c r="L52" s="181">
        <v>0.69696086509603872</v>
      </c>
      <c r="M52" s="181">
        <v>0.68910425352836491</v>
      </c>
      <c r="N52" s="181">
        <v>0.68061734169978516</v>
      </c>
      <c r="O52" s="181">
        <v>0.66979458019386084</v>
      </c>
      <c r="P52" s="181">
        <v>0.65588235547509577</v>
      </c>
      <c r="Q52" s="181">
        <v>0.64489454538308899</v>
      </c>
      <c r="R52" s="181">
        <v>0.63071290767139554</v>
      </c>
      <c r="S52" s="181">
        <v>0.61623587386752743</v>
      </c>
      <c r="T52" s="181">
        <v>0.60208638720746721</v>
      </c>
      <c r="U52" s="181">
        <v>0.58793704855488149</v>
      </c>
      <c r="V52" s="181">
        <v>0.57364062008428274</v>
      </c>
      <c r="W52" s="181">
        <v>0.55995078440001744</v>
      </c>
      <c r="DA52" s="190" t="s">
        <v>945</v>
      </c>
    </row>
    <row r="53" spans="1:105" ht="12" customHeight="1" x14ac:dyDescent="0.25">
      <c r="A53" s="132" t="s">
        <v>100</v>
      </c>
      <c r="B53" s="181">
        <v>204.86624278093518</v>
      </c>
      <c r="C53" s="181">
        <v>202.45288277156573</v>
      </c>
      <c r="D53" s="181">
        <v>199.4960496589926</v>
      </c>
      <c r="E53" s="181">
        <v>196.18121229123429</v>
      </c>
      <c r="F53" s="181">
        <v>192.39758100572649</v>
      </c>
      <c r="G53" s="181">
        <v>188.37314521388464</v>
      </c>
      <c r="H53" s="181">
        <v>184.02814440325025</v>
      </c>
      <c r="I53" s="181">
        <v>179.71700904319016</v>
      </c>
      <c r="J53" s="181">
        <v>176.80282662674165</v>
      </c>
      <c r="K53" s="181">
        <v>173.95137144338437</v>
      </c>
      <c r="L53" s="181">
        <v>170.98827409585064</v>
      </c>
      <c r="M53" s="181">
        <v>168.0626928711815</v>
      </c>
      <c r="N53" s="181">
        <v>164.78216074758632</v>
      </c>
      <c r="O53" s="181">
        <v>160.94988374894248</v>
      </c>
      <c r="P53" s="181">
        <v>156.55664403704333</v>
      </c>
      <c r="Q53" s="181">
        <v>151.44783500425561</v>
      </c>
      <c r="R53" s="181">
        <v>144.79353446982071</v>
      </c>
      <c r="S53" s="181">
        <v>138.06940341518597</v>
      </c>
      <c r="T53" s="181">
        <v>131.81319714644229</v>
      </c>
      <c r="U53" s="181">
        <v>125.55192493701962</v>
      </c>
      <c r="V53" s="181">
        <v>119.10244000618563</v>
      </c>
      <c r="W53" s="181">
        <v>113.56907200816715</v>
      </c>
      <c r="DA53" s="190" t="s">
        <v>946</v>
      </c>
    </row>
    <row r="54" spans="1:105" ht="12" customHeight="1" x14ac:dyDescent="0.25">
      <c r="A54" s="132" t="s">
        <v>140</v>
      </c>
      <c r="B54" s="181">
        <v>48.28085742547367</v>
      </c>
      <c r="C54" s="181">
        <v>47.725732187694618</v>
      </c>
      <c r="D54" s="181">
        <v>46.925442254976311</v>
      </c>
      <c r="E54" s="181">
        <v>45.979994174895253</v>
      </c>
      <c r="F54" s="181">
        <v>45.005438631982855</v>
      </c>
      <c r="G54" s="181">
        <v>43.848009154580005</v>
      </c>
      <c r="H54" s="181">
        <v>42.565525493742037</v>
      </c>
      <c r="I54" s="181">
        <v>41.518562761769608</v>
      </c>
      <c r="J54" s="181">
        <v>40.546263241251864</v>
      </c>
      <c r="K54" s="181">
        <v>39.398538076565401</v>
      </c>
      <c r="L54" s="181">
        <v>38.265734605830801</v>
      </c>
      <c r="M54" s="181">
        <v>36.9519920982695</v>
      </c>
      <c r="N54" s="181">
        <v>35.518593830899796</v>
      </c>
      <c r="O54" s="181">
        <v>33.776568762862645</v>
      </c>
      <c r="P54" s="181">
        <v>31.977327075023457</v>
      </c>
      <c r="Q54" s="181">
        <v>29.926401516481494</v>
      </c>
      <c r="R54" s="181">
        <v>27.787373401688317</v>
      </c>
      <c r="S54" s="181">
        <v>25.591873667058515</v>
      </c>
      <c r="T54" s="181">
        <v>23.577471365900124</v>
      </c>
      <c r="U54" s="181">
        <v>21.569722820194702</v>
      </c>
      <c r="V54" s="181">
        <v>19.726062648226574</v>
      </c>
      <c r="W54" s="181">
        <v>18.151397400523752</v>
      </c>
      <c r="DA54" s="190" t="s">
        <v>947</v>
      </c>
    </row>
    <row r="55" spans="1:105" ht="12" customHeight="1" x14ac:dyDescent="0.25">
      <c r="A55" s="132" t="s">
        <v>181</v>
      </c>
      <c r="B55" s="181">
        <v>718.21685734730875</v>
      </c>
      <c r="C55" s="181">
        <v>710.1326391625015</v>
      </c>
      <c r="D55" s="181">
        <v>700.56802778280371</v>
      </c>
      <c r="E55" s="181">
        <v>689.96261710139197</v>
      </c>
      <c r="F55" s="181">
        <v>678.14077505702494</v>
      </c>
      <c r="G55" s="181">
        <v>665.65189406054481</v>
      </c>
      <c r="H55" s="181">
        <v>652.44605020263737</v>
      </c>
      <c r="I55" s="181">
        <v>638.15783765357912</v>
      </c>
      <c r="J55" s="181">
        <v>623.85337567460658</v>
      </c>
      <c r="K55" s="181">
        <v>609.12943654204128</v>
      </c>
      <c r="L55" s="181">
        <v>593.60094162335702</v>
      </c>
      <c r="M55" s="181">
        <v>583.25198327309431</v>
      </c>
      <c r="N55" s="181">
        <v>573.5886063852256</v>
      </c>
      <c r="O55" s="181">
        <v>562.37933715588736</v>
      </c>
      <c r="P55" s="181">
        <v>548.43786784965482</v>
      </c>
      <c r="Q55" s="181">
        <v>530.75925918999212</v>
      </c>
      <c r="R55" s="181">
        <v>513.37329861914134</v>
      </c>
      <c r="S55" s="181">
        <v>496.33525425583872</v>
      </c>
      <c r="T55" s="181">
        <v>482.49389002814848</v>
      </c>
      <c r="U55" s="181">
        <v>470.84802664826748</v>
      </c>
      <c r="V55" s="181">
        <v>460.40946909344393</v>
      </c>
      <c r="W55" s="181">
        <v>451.74918344864113</v>
      </c>
      <c r="DA55" s="190" t="s">
        <v>948</v>
      </c>
    </row>
    <row r="56" spans="1:105" ht="12" customHeight="1" x14ac:dyDescent="0.25">
      <c r="A56" s="60" t="s">
        <v>99</v>
      </c>
      <c r="B56" s="55">
        <v>55.553390927243917</v>
      </c>
      <c r="C56" s="55">
        <v>55.133408542843085</v>
      </c>
      <c r="D56" s="55">
        <v>54.66607969502374</v>
      </c>
      <c r="E56" s="55">
        <v>54.016079046549883</v>
      </c>
      <c r="F56" s="55">
        <v>53.417453973544113</v>
      </c>
      <c r="G56" s="55">
        <v>52.808745912370853</v>
      </c>
      <c r="H56" s="55">
        <v>52.22918975178964</v>
      </c>
      <c r="I56" s="55">
        <v>51.585481866461627</v>
      </c>
      <c r="J56" s="55">
        <v>51.069130184420509</v>
      </c>
      <c r="K56" s="55">
        <v>50.5061259403371</v>
      </c>
      <c r="L56" s="55">
        <v>49.856497385439916</v>
      </c>
      <c r="M56" s="55">
        <v>49.06901199236259</v>
      </c>
      <c r="N56" s="55">
        <v>48.299325006955385</v>
      </c>
      <c r="O56" s="55">
        <v>47.282323358259312</v>
      </c>
      <c r="P56" s="55">
        <v>45.94016853405541</v>
      </c>
      <c r="Q56" s="55">
        <v>44.814413754955773</v>
      </c>
      <c r="R56" s="55">
        <v>43.491313787877729</v>
      </c>
      <c r="S56" s="55">
        <v>42.200094766026915</v>
      </c>
      <c r="T56" s="55">
        <v>40.636720072685222</v>
      </c>
      <c r="U56" s="55">
        <v>39.293833757630146</v>
      </c>
      <c r="V56" s="55">
        <v>38.098077666299261</v>
      </c>
      <c r="W56" s="55">
        <v>37.095047205631879</v>
      </c>
      <c r="DA56" s="101" t="s">
        <v>949</v>
      </c>
    </row>
    <row r="57" spans="1:105" ht="12" customHeight="1" x14ac:dyDescent="0.25">
      <c r="A57" s="62" t="s">
        <v>98</v>
      </c>
      <c r="B57" s="63">
        <v>388.29059637813026</v>
      </c>
      <c r="C57" s="63">
        <v>378.02109424315324</v>
      </c>
      <c r="D57" s="63">
        <v>366.18465653909772</v>
      </c>
      <c r="E57" s="63">
        <v>353.26352587099336</v>
      </c>
      <c r="F57" s="63">
        <v>337.62044930985269</v>
      </c>
      <c r="G57" s="63">
        <v>321.44325546124702</v>
      </c>
      <c r="H57" s="63">
        <v>304.78160011497658</v>
      </c>
      <c r="I57" s="63">
        <v>290.28427143943549</v>
      </c>
      <c r="J57" s="63">
        <v>278.40335007191521</v>
      </c>
      <c r="K57" s="63">
        <v>261.97625548596926</v>
      </c>
      <c r="L57" s="63">
        <v>245.62718751696008</v>
      </c>
      <c r="M57" s="63">
        <v>226.05084419105467</v>
      </c>
      <c r="N57" s="63">
        <v>214.44783108851479</v>
      </c>
      <c r="O57" s="63">
        <v>202.85064744746657</v>
      </c>
      <c r="P57" s="63">
        <v>188.82583687297065</v>
      </c>
      <c r="Q57" s="63">
        <v>176.95060449240938</v>
      </c>
      <c r="R57" s="63">
        <v>166.13069687736427</v>
      </c>
      <c r="S57" s="63">
        <v>162.65568037180884</v>
      </c>
      <c r="T57" s="63">
        <v>158.60450621144653</v>
      </c>
      <c r="U57" s="63">
        <v>152.7091963765364</v>
      </c>
      <c r="V57" s="63">
        <v>148.14483759706411</v>
      </c>
      <c r="W57" s="63">
        <v>143.89168092912618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0.69730363367018156</v>
      </c>
      <c r="D60" s="181">
        <v>0.68661610773318338</v>
      </c>
      <c r="E60" s="181">
        <v>0.67528462130085776</v>
      </c>
      <c r="F60" s="181">
        <v>0.66575673322493378</v>
      </c>
      <c r="G60" s="181">
        <v>0.65616228810770016</v>
      </c>
      <c r="H60" s="181">
        <v>0.64690556174831382</v>
      </c>
      <c r="I60" s="181">
        <v>0.63859071321438587</v>
      </c>
      <c r="J60" s="181">
        <v>0.63047826053073985</v>
      </c>
      <c r="K60" s="181">
        <v>0.62300704168804011</v>
      </c>
      <c r="L60" s="181">
        <v>0.61335691225731748</v>
      </c>
      <c r="M60" s="181">
        <v>0.60446630156803871</v>
      </c>
      <c r="N60" s="181">
        <v>0.58589271520394837</v>
      </c>
      <c r="O60" s="181">
        <v>0.56556309260320903</v>
      </c>
      <c r="P60" s="181">
        <v>0.53683246490363135</v>
      </c>
      <c r="Q60" s="181">
        <v>0.51261669577780833</v>
      </c>
      <c r="R60" s="181">
        <v>0.50942769179210046</v>
      </c>
      <c r="S60" s="181">
        <v>0.50490672876388687</v>
      </c>
      <c r="T60" s="181">
        <v>0.50064546723620273</v>
      </c>
      <c r="U60" s="181">
        <v>0.49661785184547119</v>
      </c>
      <c r="V60" s="181">
        <v>0.49264751496435111</v>
      </c>
      <c r="W60" s="181">
        <v>0.49117623868671895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190.71868420124662</v>
      </c>
      <c r="D61" s="181">
        <v>187.28733528115538</v>
      </c>
      <c r="E61" s="181">
        <v>183.85398667612688</v>
      </c>
      <c r="F61" s="181">
        <v>179.5311896072395</v>
      </c>
      <c r="G61" s="181">
        <v>176.52175633934351</v>
      </c>
      <c r="H61" s="181">
        <v>172.62476721096181</v>
      </c>
      <c r="I61" s="181">
        <v>170.72601397219614</v>
      </c>
      <c r="J61" s="181">
        <v>168.96988185858518</v>
      </c>
      <c r="K61" s="181">
        <v>167.20668358186046</v>
      </c>
      <c r="L61" s="181">
        <v>163.06574099466175</v>
      </c>
      <c r="M61" s="181">
        <v>158.37007154203576</v>
      </c>
      <c r="N61" s="181">
        <v>153.28732725979904</v>
      </c>
      <c r="O61" s="181">
        <v>146.75745511201185</v>
      </c>
      <c r="P61" s="181">
        <v>140.02503609675759</v>
      </c>
      <c r="Q61" s="181">
        <v>132.59565149806201</v>
      </c>
      <c r="R61" s="181">
        <v>124.9961537942562</v>
      </c>
      <c r="S61" s="181">
        <v>119.21429963413404</v>
      </c>
      <c r="T61" s="181">
        <v>113.39427469471251</v>
      </c>
      <c r="U61" s="181">
        <v>107.55237148782021</v>
      </c>
      <c r="V61" s="181">
        <v>101.73104815906557</v>
      </c>
      <c r="W61" s="181">
        <v>99.553009874657903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45.23530182941515</v>
      </c>
      <c r="D62" s="181">
        <v>43.844771250417807</v>
      </c>
      <c r="E62" s="181">
        <v>43.10522009965522</v>
      </c>
      <c r="F62" s="181">
        <v>42.380993715210138</v>
      </c>
      <c r="G62" s="181">
        <v>41.268183757042358</v>
      </c>
      <c r="H62" s="181">
        <v>40.083265398205583</v>
      </c>
      <c r="I62" s="181">
        <v>38.910785646568542</v>
      </c>
      <c r="J62" s="181">
        <v>37.706454991590078</v>
      </c>
      <c r="K62" s="181">
        <v>36.528771656639584</v>
      </c>
      <c r="L62" s="181">
        <v>35.421740222314298</v>
      </c>
      <c r="M62" s="181">
        <v>33.727093859004015</v>
      </c>
      <c r="N62" s="181">
        <v>31.437970123507053</v>
      </c>
      <c r="O62" s="181">
        <v>29.081511571907438</v>
      </c>
      <c r="P62" s="181">
        <v>26.943621259244573</v>
      </c>
      <c r="Q62" s="181">
        <v>24.355065480578549</v>
      </c>
      <c r="R62" s="181">
        <v>21.97330583444672</v>
      </c>
      <c r="S62" s="181">
        <v>20.810050270685561</v>
      </c>
      <c r="T62" s="181">
        <v>18.853904831037074</v>
      </c>
      <c r="U62" s="181">
        <v>17.273714027920601</v>
      </c>
      <c r="V62" s="181">
        <v>16.007242837979092</v>
      </c>
      <c r="W62" s="181">
        <v>14.714260002842368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647.23911007779338</v>
      </c>
      <c r="D63" s="181">
        <v>628.63064411821244</v>
      </c>
      <c r="E63" s="181">
        <v>621.2701886299327</v>
      </c>
      <c r="F63" s="181">
        <v>612.27393971294987</v>
      </c>
      <c r="G63" s="181">
        <v>607.9084695070818</v>
      </c>
      <c r="H63" s="181">
        <v>598.61484119846739</v>
      </c>
      <c r="I63" s="181">
        <v>584.63093927597572</v>
      </c>
      <c r="J63" s="181">
        <v>567.98328766493034</v>
      </c>
      <c r="K63" s="181">
        <v>552.2461458209483</v>
      </c>
      <c r="L63" s="181">
        <v>537.93635644690187</v>
      </c>
      <c r="M63" s="181">
        <v>524.60651959591769</v>
      </c>
      <c r="N63" s="181">
        <v>509.78238156627634</v>
      </c>
      <c r="O63" s="181">
        <v>499.45198609261018</v>
      </c>
      <c r="P63" s="181">
        <v>477.1694290736512</v>
      </c>
      <c r="Q63" s="181">
        <v>459.87096691717437</v>
      </c>
      <c r="R63" s="181">
        <v>453.28173185438089</v>
      </c>
      <c r="S63" s="181">
        <v>445.42887623533596</v>
      </c>
      <c r="T63" s="181">
        <v>437.87612636995442</v>
      </c>
      <c r="U63" s="181">
        <v>430.56679992768545</v>
      </c>
      <c r="V63" s="181">
        <v>423.32892501404569</v>
      </c>
      <c r="W63" s="181">
        <v>413.95383700866392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52.016276808471538</v>
      </c>
      <c r="D64" s="55">
        <v>51.139571321090258</v>
      </c>
      <c r="E64" s="55">
        <v>50.155381948646642</v>
      </c>
      <c r="F64" s="55">
        <v>49.121524755061529</v>
      </c>
      <c r="G64" s="55">
        <v>48.197711304021141</v>
      </c>
      <c r="H64" s="55">
        <v>47.403119926586115</v>
      </c>
      <c r="I64" s="55">
        <v>46.393443539212704</v>
      </c>
      <c r="J64" s="55">
        <v>45.579913234605201</v>
      </c>
      <c r="K64" s="55">
        <v>44.886336765459582</v>
      </c>
      <c r="L64" s="55">
        <v>43.839041765260994</v>
      </c>
      <c r="M64" s="55">
        <v>42.249187292625379</v>
      </c>
      <c r="N64" s="55">
        <v>40.355874100905979</v>
      </c>
      <c r="O64" s="55">
        <v>38.391477220731176</v>
      </c>
      <c r="P64" s="55">
        <v>36.737095545701344</v>
      </c>
      <c r="Q64" s="55">
        <v>35.406505307059959</v>
      </c>
      <c r="R64" s="55">
        <v>34.975578119831354</v>
      </c>
      <c r="S64" s="55">
        <v>34.472061505102587</v>
      </c>
      <c r="T64" s="55">
        <v>33.995786909891216</v>
      </c>
      <c r="U64" s="55">
        <v>33.529959821818593</v>
      </c>
      <c r="V64" s="55">
        <v>33.068608463891799</v>
      </c>
      <c r="W64" s="55">
        <v>32.840335135496908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352.70067007103353</v>
      </c>
      <c r="D65" s="63">
        <v>337.63695636416566</v>
      </c>
      <c r="E65" s="63">
        <v>325.37487453679137</v>
      </c>
      <c r="F65" s="63">
        <v>312.46893995992633</v>
      </c>
      <c r="G65" s="63">
        <v>297.07966726970773</v>
      </c>
      <c r="H65" s="63">
        <v>279.19922425508429</v>
      </c>
      <c r="I65" s="63">
        <v>262.40755215352056</v>
      </c>
      <c r="J65" s="63">
        <v>246.48272996687015</v>
      </c>
      <c r="K65" s="63">
        <v>231.83171891589305</v>
      </c>
      <c r="L65" s="63">
        <v>211.92587845437694</v>
      </c>
      <c r="M65" s="63">
        <v>199.45240833199219</v>
      </c>
      <c r="N65" s="63">
        <v>186.17151469366704</v>
      </c>
      <c r="O65" s="63">
        <v>175.69488931390919</v>
      </c>
      <c r="P65" s="63">
        <v>172.12579544541737</v>
      </c>
      <c r="Q65" s="63">
        <v>159.74434586888344</v>
      </c>
      <c r="R65" s="63">
        <v>156.27653289550133</v>
      </c>
      <c r="S65" s="63">
        <v>152.36451854164716</v>
      </c>
      <c r="T65" s="63">
        <v>148.55199261998595</v>
      </c>
      <c r="U65" s="63">
        <v>144.84988545917619</v>
      </c>
      <c r="V65" s="63">
        <v>141.17811527207758</v>
      </c>
      <c r="W65" s="63">
        <v>138.6291735571867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332.42467781839645</v>
      </c>
      <c r="C68" s="188">
        <f>1000000*C20/SER_summary!C$8</f>
        <v>346.72866994116094</v>
      </c>
      <c r="D68" s="188">
        <f>1000000*D20/SER_summary!D$8</f>
        <v>363.18462538075318</v>
      </c>
      <c r="E68" s="188">
        <f>1000000*E20/SER_summary!E$8</f>
        <v>375.66538914813805</v>
      </c>
      <c r="F68" s="188">
        <f>1000000*F20/SER_summary!F$8</f>
        <v>385.22335206613639</v>
      </c>
      <c r="G68" s="188">
        <f>1000000*G20/SER_summary!G$8</f>
        <v>395.30581117429534</v>
      </c>
      <c r="H68" s="188">
        <f>1000000*H20/SER_summary!H$8</f>
        <v>408.22185563498675</v>
      </c>
      <c r="I68" s="188">
        <f>1000000*I20/SER_summary!I$8</f>
        <v>420.81387939189949</v>
      </c>
      <c r="J68" s="188">
        <f>1000000*J20/SER_summary!J$8</f>
        <v>433.04913432396171</v>
      </c>
      <c r="K68" s="188">
        <f>1000000*K20/SER_summary!K$8</f>
        <v>442.50563742491897</v>
      </c>
      <c r="L68" s="188">
        <f>1000000*L20/SER_summary!L$8</f>
        <v>450.41884275233127</v>
      </c>
      <c r="M68" s="188">
        <f>1000000*M20/SER_summary!M$8</f>
        <v>455.44143005436422</v>
      </c>
      <c r="N68" s="188">
        <f>1000000*N20/SER_summary!N$8</f>
        <v>457.79015293595342</v>
      </c>
      <c r="O68" s="188">
        <f>1000000*O20/SER_summary!O$8</f>
        <v>464.4595707790815</v>
      </c>
      <c r="P68" s="188">
        <f>1000000*P20/SER_summary!P$8</f>
        <v>467.74160618941613</v>
      </c>
      <c r="Q68" s="188">
        <f>1000000*Q20/SER_summary!Q$8</f>
        <v>470.46877518611188</v>
      </c>
      <c r="R68" s="188">
        <f>1000000*R20/SER_summary!R$8</f>
        <v>480.28277353289491</v>
      </c>
      <c r="S68" s="188">
        <f>1000000*S20/SER_summary!S$8</f>
        <v>490.11250445320053</v>
      </c>
      <c r="T68" s="188">
        <f>1000000*T20/SER_summary!T$8</f>
        <v>499.87476266944356</v>
      </c>
      <c r="U68" s="188">
        <f>1000000*U20/SER_summary!U$8</f>
        <v>509.51908302910869</v>
      </c>
      <c r="V68" s="188">
        <f>1000000*V20/SER_summary!V$8</f>
        <v>518.95153179917736</v>
      </c>
      <c r="W68" s="188">
        <f>1000000*W20/SER_summary!W$8</f>
        <v>528.05729906966258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7.1409155898656443E-2</v>
      </c>
      <c r="C69" s="188">
        <f>1000*C21/SER_summary!C$3</f>
        <v>7.5453131514312433E-2</v>
      </c>
      <c r="D69" s="188">
        <f>1000*D21/SER_summary!D$3</f>
        <v>8.0446333039142448E-2</v>
      </c>
      <c r="E69" s="188">
        <f>1000*E21/SER_summary!E$3</f>
        <v>8.56639361197859E-2</v>
      </c>
      <c r="F69" s="188">
        <f>1000*F21/SER_summary!F$3</f>
        <v>9.0912296733874035E-2</v>
      </c>
      <c r="G69" s="188">
        <f>1000*G21/SER_summary!G$3</f>
        <v>9.6345589378276142E-2</v>
      </c>
      <c r="H69" s="188">
        <f>1000*H21/SER_summary!H$3</f>
        <v>0.1016145329995508</v>
      </c>
      <c r="I69" s="188">
        <f>1000*I21/SER_summary!I$3</f>
        <v>0.10601648742116489</v>
      </c>
      <c r="J69" s="188">
        <f>1000*J21/SER_summary!J$3</f>
        <v>0.10947071583950907</v>
      </c>
      <c r="K69" s="188">
        <f>1000*K21/SER_summary!K$3</f>
        <v>0.11311962427809934</v>
      </c>
      <c r="L69" s="188">
        <f>1000*L21/SER_summary!L$3</f>
        <v>0.11640351690866613</v>
      </c>
      <c r="M69" s="188">
        <f>1000*M21/SER_summary!M$3</f>
        <v>0.1181264018052549</v>
      </c>
      <c r="N69" s="188">
        <f>1000*N21/SER_summary!N$3</f>
        <v>0.11979449134151468</v>
      </c>
      <c r="O69" s="188">
        <f>1000*O21/SER_summary!O$3</f>
        <v>0.1223096653113763</v>
      </c>
      <c r="P69" s="188">
        <f>1000*P21/SER_summary!P$3</f>
        <v>0.12500515306862137</v>
      </c>
      <c r="Q69" s="188">
        <f>1000*Q21/SER_summary!Q$3</f>
        <v>0.12716687093471404</v>
      </c>
      <c r="R69" s="188">
        <f>1000*R21/SER_summary!R$3</f>
        <v>0.13143090366892166</v>
      </c>
      <c r="S69" s="188">
        <f>1000*S21/SER_summary!S$3</f>
        <v>0.13595407082133504</v>
      </c>
      <c r="T69" s="188">
        <f>1000*T21/SER_summary!T$3</f>
        <v>0.14036737367902161</v>
      </c>
      <c r="U69" s="188">
        <f>1000*U21/SER_summary!U$3</f>
        <v>0.1446602388114952</v>
      </c>
      <c r="V69" s="188">
        <f>1000*V21/SER_summary!V$3</f>
        <v>0.14901478598519305</v>
      </c>
      <c r="W69" s="188">
        <f>1000*W21/SER_summary!W$3</f>
        <v>0.15408881209261988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168.67463110122841</v>
      </c>
      <c r="C70" s="188">
        <f>1000000*C22/SER_summary!C$8</f>
        <v>170.73753535512191</v>
      </c>
      <c r="D70" s="188">
        <f>1000000*D22/SER_summary!D$8</f>
        <v>173.04674135744776</v>
      </c>
      <c r="E70" s="188">
        <f>1000000*E22/SER_summary!E$8</f>
        <v>175.56289928975696</v>
      </c>
      <c r="F70" s="188">
        <f>1000000*F22/SER_summary!F$8</f>
        <v>178.79662987807404</v>
      </c>
      <c r="G70" s="188">
        <f>1000000*G22/SER_summary!G$8</f>
        <v>182.43799759408822</v>
      </c>
      <c r="H70" s="188">
        <f>1000000*H22/SER_summary!H$8</f>
        <v>186.11863087163275</v>
      </c>
      <c r="I70" s="188">
        <f>1000000*I22/SER_summary!I$8</f>
        <v>189.58940006663755</v>
      </c>
      <c r="J70" s="188">
        <f>1000000*J22/SER_summary!J$8</f>
        <v>193.58766833632009</v>
      </c>
      <c r="K70" s="188">
        <f>1000000*K22/SER_summary!K$8</f>
        <v>198.17427040357632</v>
      </c>
      <c r="L70" s="188">
        <f>1000000*L22/SER_summary!L$8</f>
        <v>202.65177779731562</v>
      </c>
      <c r="M70" s="188">
        <f>1000000*M22/SER_summary!M$8</f>
        <v>207.21286665419899</v>
      </c>
      <c r="N70" s="188">
        <f>1000000*N22/SER_summary!N$8</f>
        <v>210.67735629398291</v>
      </c>
      <c r="O70" s="188">
        <f>1000000*O22/SER_summary!O$8</f>
        <v>214.79360709482791</v>
      </c>
      <c r="P70" s="188">
        <f>1000000*P22/SER_summary!P$8</f>
        <v>218.02469957183013</v>
      </c>
      <c r="Q70" s="188">
        <f>1000000*Q22/SER_summary!Q$8</f>
        <v>223.44731599004595</v>
      </c>
      <c r="R70" s="188">
        <f>1000000*R22/SER_summary!R$8</f>
        <v>226.91679406999856</v>
      </c>
      <c r="S70" s="188">
        <f>1000000*S22/SER_summary!S$8</f>
        <v>230.41817743339226</v>
      </c>
      <c r="T70" s="188">
        <f>1000000*T22/SER_summary!T$8</f>
        <v>233.83506256816008</v>
      </c>
      <c r="U70" s="188">
        <f>1000000*U22/SER_summary!U$8</f>
        <v>237.09626667910786</v>
      </c>
      <c r="V70" s="188">
        <f>1000000*V22/SER_summary!V$8</f>
        <v>240.06912293868672</v>
      </c>
      <c r="W70" s="188">
        <f>1000000*W22/SER_summary!W$8</f>
        <v>242.58114592272338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1.4046856213697037E-2</v>
      </c>
      <c r="C71" s="188">
        <f>1000*C23/SER_summary!C$3</f>
        <v>1.444185582903411E-2</v>
      </c>
      <c r="D71" s="188">
        <f>1000*D23/SER_summary!D$3</f>
        <v>1.4772149278601314E-2</v>
      </c>
      <c r="E71" s="188">
        <f>1000*E23/SER_summary!E$3</f>
        <v>1.5214345070237528E-2</v>
      </c>
      <c r="F71" s="188">
        <f>1000*F23/SER_summary!F$3</f>
        <v>1.5781927924368239E-2</v>
      </c>
      <c r="G71" s="188">
        <f>1000*G23/SER_summary!G$3</f>
        <v>1.6548366379645813E-2</v>
      </c>
      <c r="H71" s="188">
        <f>1000*H23/SER_summary!H$3</f>
        <v>1.7457587627226032E-2</v>
      </c>
      <c r="I71" s="188">
        <f>1000*I23/SER_summary!I$3</f>
        <v>1.8474249333690022E-2</v>
      </c>
      <c r="J71" s="188">
        <f>1000*J23/SER_summary!J$3</f>
        <v>1.9210374281345446E-2</v>
      </c>
      <c r="K71" s="188">
        <f>1000*K23/SER_summary!K$3</f>
        <v>1.9733188171874954E-2</v>
      </c>
      <c r="L71" s="188">
        <f>1000*L23/SER_summary!L$3</f>
        <v>2.01889652292251E-2</v>
      </c>
      <c r="M71" s="188">
        <f>1000*M23/SER_summary!M$3</f>
        <v>2.0306142204572594E-2</v>
      </c>
      <c r="N71" s="188">
        <f>1000*N23/SER_summary!N$3</f>
        <v>2.0447974880588353E-2</v>
      </c>
      <c r="O71" s="188">
        <f>1000*O23/SER_summary!O$3</f>
        <v>2.0706256445015211E-2</v>
      </c>
      <c r="P71" s="188">
        <f>1000*P23/SER_summary!P$3</f>
        <v>2.1142257708775994E-2</v>
      </c>
      <c r="Q71" s="188">
        <f>1000*Q23/SER_summary!Q$3</f>
        <v>2.1892128740157401E-2</v>
      </c>
      <c r="R71" s="188">
        <f>1000*R23/SER_summary!R$3</f>
        <v>2.2566357153650719E-2</v>
      </c>
      <c r="S71" s="188">
        <f>1000*S23/SER_summary!S$3</f>
        <v>2.3287714114521036E-2</v>
      </c>
      <c r="T71" s="188">
        <f>1000*T23/SER_summary!T$3</f>
        <v>2.3978312452227129E-2</v>
      </c>
      <c r="U71" s="188">
        <f>1000*U23/SER_summary!U$3</f>
        <v>2.4627723799991143E-2</v>
      </c>
      <c r="V71" s="188">
        <f>1000*V23/SER_summary!V$3</f>
        <v>2.5250790872801004E-2</v>
      </c>
      <c r="W71" s="188">
        <f>1000*W23/SER_summary!W$3</f>
        <v>2.5933860164959768E-2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66.187904659623953</v>
      </c>
      <c r="C72" s="188">
        <f>1000000*C24/SER_summary!C$8</f>
        <v>71.573677965974952</v>
      </c>
      <c r="D72" s="188">
        <f>1000000*D24/SER_summary!D$8</f>
        <v>76.766210903281106</v>
      </c>
      <c r="E72" s="188">
        <f>1000000*E24/SER_summary!E$8</f>
        <v>83.470489479538131</v>
      </c>
      <c r="F72" s="188">
        <f>1000000*F24/SER_summary!F$8</f>
        <v>90.099487314159944</v>
      </c>
      <c r="G72" s="188">
        <f>1000000*G24/SER_summary!G$8</f>
        <v>95.544746717990421</v>
      </c>
      <c r="H72" s="188">
        <f>1000000*H24/SER_summary!H$8</f>
        <v>100.80123858650725</v>
      </c>
      <c r="I72" s="188">
        <f>1000000*I24/SER_summary!I$8</f>
        <v>105.69879145568062</v>
      </c>
      <c r="J72" s="188">
        <f>1000000*J24/SER_summary!J$8</f>
        <v>110.05411479100511</v>
      </c>
      <c r="K72" s="188">
        <f>1000000*K24/SER_summary!K$8</f>
        <v>114.29471788357792</v>
      </c>
      <c r="L72" s="188">
        <f>1000000*L24/SER_summary!L$8</f>
        <v>118.27061863111598</v>
      </c>
      <c r="M72" s="188">
        <f>1000000*M24/SER_summary!M$8</f>
        <v>122.0973907300085</v>
      </c>
      <c r="N72" s="188">
        <f>1000000*N24/SER_summary!N$8</f>
        <v>122.94465843602539</v>
      </c>
      <c r="O72" s="188">
        <f>1000000*O24/SER_summary!O$8</f>
        <v>124.45222570650091</v>
      </c>
      <c r="P72" s="188">
        <f>1000000*P24/SER_summary!P$8</f>
        <v>125.54512895423193</v>
      </c>
      <c r="Q72" s="188">
        <f>1000000*Q24/SER_summary!Q$8</f>
        <v>125.66262522137146</v>
      </c>
      <c r="R72" s="188">
        <f>1000000*R24/SER_summary!R$8</f>
        <v>129.65505787739195</v>
      </c>
      <c r="S72" s="188">
        <f>1000000*S24/SER_summary!S$8</f>
        <v>133.36198957395658</v>
      </c>
      <c r="T72" s="188">
        <f>1000000*T24/SER_summary!T$8</f>
        <v>138.29044657767682</v>
      </c>
      <c r="U72" s="188">
        <f>1000000*U24/SER_summary!U$8</f>
        <v>144.5999141832838</v>
      </c>
      <c r="V72" s="188">
        <f>1000000*V24/SER_summary!V$8</f>
        <v>150.60450282639636</v>
      </c>
      <c r="W72" s="188">
        <f>1000000*W24/SER_summary!W$8</f>
        <v>156.14982379923902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6.6340214005536177E-2</v>
      </c>
      <c r="C73" s="52">
        <f>1000*C25/SER_summary!C$3</f>
        <v>7.4753384195108505E-2</v>
      </c>
      <c r="D73" s="52">
        <f>1000*D25/SER_summary!D$3</f>
        <v>8.2361629638464967E-2</v>
      </c>
      <c r="E73" s="52">
        <f>1000*E25/SER_summary!E$3</f>
        <v>9.0740630381955317E-2</v>
      </c>
      <c r="F73" s="52">
        <f>1000*F25/SER_summary!F$3</f>
        <v>0.10713728513474559</v>
      </c>
      <c r="G73" s="52">
        <f>1000*G25/SER_summary!G$3</f>
        <v>0.12833174743018014</v>
      </c>
      <c r="H73" s="52">
        <f>1000*H25/SER_summary!H$3</f>
        <v>0.14961974512999648</v>
      </c>
      <c r="I73" s="52">
        <f>1000*I25/SER_summary!I$3</f>
        <v>0.17106264755077233</v>
      </c>
      <c r="J73" s="52">
        <f>1000*J25/SER_summary!J$3</f>
        <v>0.18159983771542901</v>
      </c>
      <c r="K73" s="52">
        <f>1000*K25/SER_summary!K$3</f>
        <v>0.20118178688533719</v>
      </c>
      <c r="L73" s="52">
        <f>1000*L25/SER_summary!L$3</f>
        <v>0.21157782931301181</v>
      </c>
      <c r="M73" s="52">
        <f>1000*M25/SER_summary!M$3</f>
        <v>0.23869152522227355</v>
      </c>
      <c r="N73" s="52">
        <f>1000*N25/SER_summary!N$3</f>
        <v>0.22297650036939307</v>
      </c>
      <c r="O73" s="52">
        <f>1000*O25/SER_summary!O$3</f>
        <v>0.23470075880878219</v>
      </c>
      <c r="P73" s="52">
        <f>1000*P25/SER_summary!P$3</f>
        <v>0.25473868131795169</v>
      </c>
      <c r="Q73" s="52">
        <f>1000*Q25/SER_summary!Q$3</f>
        <v>0.2935437630632064</v>
      </c>
      <c r="R73" s="52">
        <f>1000*R25/SER_summary!R$3</f>
        <v>0.30697703943440896</v>
      </c>
      <c r="S73" s="52">
        <f>1000*S25/SER_summary!S$3</f>
        <v>0.32601171368686771</v>
      </c>
      <c r="T73" s="52">
        <f>1000*T25/SER_summary!T$3</f>
        <v>0.33921259734766995</v>
      </c>
      <c r="U73" s="52">
        <f>1000*U25/SER_summary!U$3</f>
        <v>0.35126291311514546</v>
      </c>
      <c r="V73" s="52">
        <f>1000*V25/SER_summary!V$3</f>
        <v>0.35647932828764334</v>
      </c>
      <c r="W73" s="52">
        <f>1000*W25/SER_summary!W$3</f>
        <v>0.36414067773878189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16.69001048564617</v>
      </c>
      <c r="C3" s="199">
        <f>'SER_se-appl'!C4</f>
        <v>17.553907770414927</v>
      </c>
      <c r="D3" s="199">
        <f>'SER_se-appl'!D4</f>
        <v>18.567649627442567</v>
      </c>
      <c r="E3" s="199">
        <f>'SER_se-appl'!E4</f>
        <v>19.655467881330406</v>
      </c>
      <c r="F3" s="199">
        <f>'SER_se-appl'!F4</f>
        <v>20.257742472003478</v>
      </c>
      <c r="G3" s="199">
        <f>'SER_se-appl'!G4</f>
        <v>21.024489539622664</v>
      </c>
      <c r="H3" s="199">
        <f>'SER_se-appl'!H4</f>
        <v>21.745656756138334</v>
      </c>
      <c r="I3" s="199">
        <f>'SER_se-appl'!I4</f>
        <v>22.560260827448804</v>
      </c>
      <c r="J3" s="199">
        <f>'SER_se-appl'!J4</f>
        <v>22.847418618686284</v>
      </c>
      <c r="K3" s="199">
        <f>'SER_se-appl'!K4</f>
        <v>23.012712218800118</v>
      </c>
      <c r="L3" s="199">
        <f>'SER_se-appl'!L4</f>
        <v>23.17507425042178</v>
      </c>
      <c r="M3" s="199">
        <f>'SER_se-appl'!M4</f>
        <v>23.27179052900647</v>
      </c>
      <c r="N3" s="199">
        <f>'SER_se-appl'!N4</f>
        <v>23.271303074034968</v>
      </c>
      <c r="O3" s="199">
        <f>'SER_se-appl'!O4</f>
        <v>23.479446487157119</v>
      </c>
      <c r="P3" s="199">
        <f>'SER_se-appl'!P4</f>
        <v>23.881399235564214</v>
      </c>
      <c r="Q3" s="199">
        <f>'SER_se-appl'!Q4</f>
        <v>23.634987914419685</v>
      </c>
      <c r="R3" s="199">
        <f>'SER_se-appl'!R4</f>
        <v>23.823925076737666</v>
      </c>
      <c r="S3" s="199">
        <f>'SER_se-appl'!S4</f>
        <v>24.085159036272398</v>
      </c>
      <c r="T3" s="199">
        <f>'SER_se-appl'!T4</f>
        <v>24.33039749335126</v>
      </c>
      <c r="U3" s="199">
        <f>'SER_se-appl'!U4</f>
        <v>24.497760961482602</v>
      </c>
      <c r="V3" s="199">
        <f>'SER_se-appl'!V4</f>
        <v>24.60342991545614</v>
      </c>
      <c r="W3" s="199">
        <f>'SER_se-appl'!W4</f>
        <v>24.683005741619926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22.158084697267689</v>
      </c>
      <c r="C5" s="59">
        <f>'SER_se-appl'!C12</f>
        <v>23.30501682305087</v>
      </c>
      <c r="D5" s="59">
        <f>'SER_se-appl'!D12</f>
        <v>24.650886434606974</v>
      </c>
      <c r="E5" s="59">
        <f>'SER_se-appl'!E12</f>
        <v>26.095101764825646</v>
      </c>
      <c r="F5" s="59">
        <f>'SER_se-appl'!F12</f>
        <v>26.894696912032014</v>
      </c>
      <c r="G5" s="59">
        <f>'SER_se-appl'!G12</f>
        <v>27.912649925320956</v>
      </c>
      <c r="H5" s="59">
        <f>'SER_se-appl'!H12</f>
        <v>28.87008996277271</v>
      </c>
      <c r="I5" s="59">
        <f>'SER_se-appl'!I12</f>
        <v>29.951579157902916</v>
      </c>
      <c r="J5" s="59">
        <f>'SER_se-appl'!J12</f>
        <v>30.332817184397431</v>
      </c>
      <c r="K5" s="59">
        <f>'SER_se-appl'!K12</f>
        <v>30.552265194594217</v>
      </c>
      <c r="L5" s="59">
        <f>'SER_se-appl'!L12</f>
        <v>30.767821179498306</v>
      </c>
      <c r="M5" s="59">
        <f>'SER_se-appl'!M12</f>
        <v>30.896224184057676</v>
      </c>
      <c r="N5" s="59">
        <f>'SER_se-appl'!N12</f>
        <v>30.895577026372919</v>
      </c>
      <c r="O5" s="59">
        <f>'SER_se-appl'!O12</f>
        <v>31.171913544022519</v>
      </c>
      <c r="P5" s="59">
        <f>'SER_se-appl'!P12</f>
        <v>31.705556291051575</v>
      </c>
      <c r="Q5" s="59">
        <f>'SER_se-appl'!Q12</f>
        <v>31.378414320171352</v>
      </c>
      <c r="R5" s="59">
        <f>'SER_se-appl'!R12</f>
        <v>31.62925212813461</v>
      </c>
      <c r="S5" s="59">
        <f>'SER_se-appl'!S12</f>
        <v>31.97607301276804</v>
      </c>
      <c r="T5" s="59">
        <f>'SER_se-appl'!T12</f>
        <v>32.301657859323662</v>
      </c>
      <c r="U5" s="59">
        <f>'SER_se-appl'!U12</f>
        <v>32.523853879228625</v>
      </c>
      <c r="V5" s="59">
        <f>'SER_se-appl'!V12</f>
        <v>32.664142684561071</v>
      </c>
      <c r="W5" s="59">
        <f>'SER_se-appl'!W12</f>
        <v>32.76978958619177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332.42467781839645</v>
      </c>
      <c r="C6" s="202">
        <f>'SER_se-appl'!C68</f>
        <v>346.72866994116094</v>
      </c>
      <c r="D6" s="202">
        <f>'SER_se-appl'!D68</f>
        <v>363.18462538075318</v>
      </c>
      <c r="E6" s="202">
        <f>'SER_se-appl'!E68</f>
        <v>375.66538914813805</v>
      </c>
      <c r="F6" s="202">
        <f>'SER_se-appl'!F68</f>
        <v>385.22335206613639</v>
      </c>
      <c r="G6" s="202">
        <f>'SER_se-appl'!G68</f>
        <v>395.30581117429534</v>
      </c>
      <c r="H6" s="202">
        <f>'SER_se-appl'!H68</f>
        <v>408.22185563498675</v>
      </c>
      <c r="I6" s="202">
        <f>'SER_se-appl'!I68</f>
        <v>420.81387939189949</v>
      </c>
      <c r="J6" s="202">
        <f>'SER_se-appl'!J68</f>
        <v>433.04913432396171</v>
      </c>
      <c r="K6" s="202">
        <f>'SER_se-appl'!K68</f>
        <v>442.50563742491897</v>
      </c>
      <c r="L6" s="202">
        <f>'SER_se-appl'!L68</f>
        <v>450.41884275233127</v>
      </c>
      <c r="M6" s="202">
        <f>'SER_se-appl'!M68</f>
        <v>455.44143005436422</v>
      </c>
      <c r="N6" s="202">
        <f>'SER_se-appl'!N68</f>
        <v>457.79015293595342</v>
      </c>
      <c r="O6" s="202">
        <f>'SER_se-appl'!O68</f>
        <v>464.4595707790815</v>
      </c>
      <c r="P6" s="202">
        <f>'SER_se-appl'!P68</f>
        <v>467.74160618941613</v>
      </c>
      <c r="Q6" s="202">
        <f>'SER_se-appl'!Q68</f>
        <v>470.46877518611188</v>
      </c>
      <c r="R6" s="202">
        <f>'SER_se-appl'!R68</f>
        <v>480.28277353289491</v>
      </c>
      <c r="S6" s="202">
        <f>'SER_se-appl'!S68</f>
        <v>490.11250445320053</v>
      </c>
      <c r="T6" s="202">
        <f>'SER_se-appl'!T68</f>
        <v>499.87476266944356</v>
      </c>
      <c r="U6" s="202">
        <f>'SER_se-appl'!U68</f>
        <v>509.51908302910869</v>
      </c>
      <c r="V6" s="202">
        <f>'SER_se-appl'!V68</f>
        <v>518.95153179917736</v>
      </c>
      <c r="W6" s="202">
        <f>'SER_se-appl'!W68</f>
        <v>528.05729906966258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28.332712298119368</v>
      </c>
      <c r="C8" s="34">
        <f>'SER_se-appl'!C20</f>
        <v>30.126904445855057</v>
      </c>
      <c r="D8" s="34">
        <f>'SER_se-appl'!D20</f>
        <v>32.262720596019761</v>
      </c>
      <c r="E8" s="34">
        <f>'SER_se-appl'!E20</f>
        <v>34.606868711202011</v>
      </c>
      <c r="F8" s="34">
        <f>'SER_se-appl'!F20</f>
        <v>36.041330005377596</v>
      </c>
      <c r="G8" s="34">
        <f>'SER_se-appl'!G20</f>
        <v>37.856335333519311</v>
      </c>
      <c r="H8" s="34">
        <f>'SER_se-appl'!H20</f>
        <v>39.631549518366718</v>
      </c>
      <c r="I8" s="34">
        <f>'SER_se-appl'!I20</f>
        <v>41.651506632547324</v>
      </c>
      <c r="J8" s="34">
        <f>'SER_se-appl'!J20</f>
        <v>42.615361011488794</v>
      </c>
      <c r="K8" s="34">
        <f>'SER_se-appl'!K20</f>
        <v>43.359784538765133</v>
      </c>
      <c r="L8" s="34">
        <f>'SER_se-appl'!L20</f>
        <v>44.145694142035666</v>
      </c>
      <c r="M8" s="34">
        <f>'SER_se-appl'!M20</f>
        <v>44.835340989207701</v>
      </c>
      <c r="N8" s="34">
        <f>'SER_se-appl'!N20</f>
        <v>45.393461396698747</v>
      </c>
      <c r="O8" s="34">
        <f>'SER_se-appl'!O20</f>
        <v>46.539512957839001</v>
      </c>
      <c r="P8" s="34">
        <f>'SER_se-appl'!P20</f>
        <v>48.34030985341159</v>
      </c>
      <c r="Q8" s="34">
        <f>'SER_se-appl'!Q20</f>
        <v>48.656659518699328</v>
      </c>
      <c r="R8" s="34">
        <f>'SER_se-appl'!R20</f>
        <v>50.148414188811245</v>
      </c>
      <c r="S8" s="34">
        <f>'SER_se-appl'!S20</f>
        <v>51.889340378846484</v>
      </c>
      <c r="T8" s="34">
        <f>'SER_se-appl'!T20</f>
        <v>53.649540241462297</v>
      </c>
      <c r="U8" s="34">
        <f>'SER_se-appl'!U20</f>
        <v>55.318599090107618</v>
      </c>
      <c r="V8" s="34">
        <f>'SER_se-appl'!V20</f>
        <v>56.941823052492097</v>
      </c>
      <c r="W8" s="34">
        <f>'SER_se-appl'!W20</f>
        <v>58.522624664780722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3.0230761471824721</v>
      </c>
      <c r="D9" s="36">
        <f>'SER_se-appl'!D28</f>
        <v>3.3994598638590077</v>
      </c>
      <c r="E9" s="36">
        <f>'SER_se-appl'!E28</f>
        <v>3.6435347422991882</v>
      </c>
      <c r="F9" s="36">
        <f>'SER_se-appl'!F28</f>
        <v>2.7706018442632541</v>
      </c>
      <c r="G9" s="36">
        <f>'SER_se-appl'!G28</f>
        <v>3.1889394077541269</v>
      </c>
      <c r="H9" s="36">
        <f>'SER_se-appl'!H28</f>
        <v>3.1880108064277763</v>
      </c>
      <c r="I9" s="36">
        <f>'SER_se-appl'!I28</f>
        <v>3.4727155278244268</v>
      </c>
      <c r="J9" s="36">
        <f>'SER_se-appl'!J28</f>
        <v>2.4577049276864713</v>
      </c>
      <c r="K9" s="36">
        <f>'SER_se-appl'!K28</f>
        <v>2.280528526584817</v>
      </c>
      <c r="L9" s="36">
        <f>'SER_se-appl'!L28</f>
        <v>2.3654642453884094</v>
      </c>
      <c r="M9" s="36">
        <f>'SER_se-appl'!M28</f>
        <v>2.3138801310682098</v>
      </c>
      <c r="N9" s="36">
        <f>'SER_se-appl'!N28</f>
        <v>2.2282960951006388</v>
      </c>
      <c r="O9" s="36">
        <f>'SER_se-appl'!O28</f>
        <v>2.8634691606557681</v>
      </c>
      <c r="P9" s="36">
        <f>'SER_se-appl'!P28</f>
        <v>3.5667926725480541</v>
      </c>
      <c r="Q9" s="36">
        <f>'SER_se-appl'!Q28</f>
        <v>2.1322976823425179</v>
      </c>
      <c r="R9" s="36">
        <f>'SER_se-appl'!R28</f>
        <v>3.3590678560431613</v>
      </c>
      <c r="S9" s="36">
        <f>'SER_se-appl'!S28</f>
        <v>3.6610574391708397</v>
      </c>
      <c r="T9" s="36">
        <f>'SER_se-appl'!T28</f>
        <v>3.734643165263158</v>
      </c>
      <c r="U9" s="36">
        <f>'SER_se-appl'!U28</f>
        <v>4.6921349958277929</v>
      </c>
      <c r="V9" s="36">
        <f>'SER_se-appl'!V28</f>
        <v>5.0226838262434867</v>
      </c>
      <c r="W9" s="36">
        <f>'SER_se-appl'!W28</f>
        <v>5.2243363545878125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1.2288839994467828</v>
      </c>
      <c r="D10" s="38">
        <f>'SER_se-appl'!D36</f>
        <v>1.2636437136943073</v>
      </c>
      <c r="E10" s="38">
        <f>'SER_se-appl'!E36</f>
        <v>1.2993866271169381</v>
      </c>
      <c r="F10" s="38">
        <f>'SER_se-appl'!F36</f>
        <v>1.33614055008767</v>
      </c>
      <c r="G10" s="38">
        <f>'SER_se-appl'!G36</f>
        <v>1.3739340796124111</v>
      </c>
      <c r="H10" s="38">
        <f>'SER_se-appl'!H36</f>
        <v>1.4127966215803696</v>
      </c>
      <c r="I10" s="38">
        <f>'SER_se-appl'!I36</f>
        <v>1.4527584136438207</v>
      </c>
      <c r="J10" s="38">
        <f>'SER_se-appl'!J36</f>
        <v>1.4938505487450016</v>
      </c>
      <c r="K10" s="38">
        <f>'SER_se-appl'!K36</f>
        <v>1.5361049993084777</v>
      </c>
      <c r="L10" s="38">
        <f>'SER_se-appl'!L36</f>
        <v>1.579554642117877</v>
      </c>
      <c r="M10" s="38">
        <f>'SER_se-appl'!M36</f>
        <v>1.6242332838961744</v>
      </c>
      <c r="N10" s="38">
        <f>'SER_se-appl'!N36</f>
        <v>1.6701756876095928</v>
      </c>
      <c r="O10" s="38">
        <f>'SER_se-appl'!O36</f>
        <v>1.7174175995155139</v>
      </c>
      <c r="P10" s="38">
        <f>'SER_se-appl'!P36</f>
        <v>1.7659957769754655</v>
      </c>
      <c r="Q10" s="38">
        <f>'SER_se-appl'!Q36</f>
        <v>1.8159480170547795</v>
      </c>
      <c r="R10" s="38">
        <f>'SER_se-appl'!R36</f>
        <v>1.8673131859312448</v>
      </c>
      <c r="S10" s="38">
        <f>'SER_se-appl'!S36</f>
        <v>1.9201312491356006</v>
      </c>
      <c r="T10" s="38">
        <f>'SER_se-appl'!T36</f>
        <v>1.9744433026473445</v>
      </c>
      <c r="U10" s="38">
        <f>'SER_se-appl'!U36</f>
        <v>3.0230761471824721</v>
      </c>
      <c r="V10" s="38">
        <f>'SER_se-appl'!V36</f>
        <v>3.3994598638590077</v>
      </c>
      <c r="W10" s="38">
        <f>'SER_se-appl'!W36</f>
        <v>3.6435347422991882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8760</v>
      </c>
      <c r="C12" s="205">
        <f>'SER_se-appl'!C44</f>
        <v>8759.9999999999982</v>
      </c>
      <c r="D12" s="205">
        <f>'SER_se-appl'!D44</f>
        <v>8759.9999999999982</v>
      </c>
      <c r="E12" s="205">
        <f>'SER_se-appl'!E44</f>
        <v>8759.9999999999982</v>
      </c>
      <c r="F12" s="205">
        <f>'SER_se-appl'!F44</f>
        <v>8760</v>
      </c>
      <c r="G12" s="205">
        <f>'SER_se-appl'!G44</f>
        <v>8760</v>
      </c>
      <c r="H12" s="205">
        <f>'SER_se-appl'!H44</f>
        <v>8759.9999999999964</v>
      </c>
      <c r="I12" s="205">
        <f>'SER_se-appl'!I44</f>
        <v>8760.0000000000018</v>
      </c>
      <c r="J12" s="205">
        <f>'SER_se-appl'!J44</f>
        <v>8760</v>
      </c>
      <c r="K12" s="205">
        <f>'SER_se-appl'!K44</f>
        <v>8760.0000000000018</v>
      </c>
      <c r="L12" s="205">
        <f>'SER_se-appl'!L44</f>
        <v>8760.0000000000036</v>
      </c>
      <c r="M12" s="205">
        <f>'SER_se-appl'!M44</f>
        <v>8760</v>
      </c>
      <c r="N12" s="205">
        <f>'SER_se-appl'!N44</f>
        <v>8759.9999999999982</v>
      </c>
      <c r="O12" s="205">
        <f>'SER_se-appl'!O44</f>
        <v>8760</v>
      </c>
      <c r="P12" s="205">
        <f>'SER_se-appl'!P44</f>
        <v>8760</v>
      </c>
      <c r="Q12" s="205">
        <f>'SER_se-appl'!Q44</f>
        <v>8759.9999999999964</v>
      </c>
      <c r="R12" s="205">
        <f>'SER_se-appl'!R44</f>
        <v>8759.9999999999964</v>
      </c>
      <c r="S12" s="205">
        <f>'SER_se-appl'!S44</f>
        <v>8759.9999999999982</v>
      </c>
      <c r="T12" s="205">
        <f>'SER_se-appl'!T44</f>
        <v>8759.9999999999964</v>
      </c>
      <c r="U12" s="205">
        <f>'SER_se-appl'!U44</f>
        <v>8759.9999999999982</v>
      </c>
      <c r="V12" s="205">
        <f>'SER_se-appl'!V44</f>
        <v>8759.9999999999982</v>
      </c>
      <c r="W12" s="205">
        <f>'SER_se-appl'!W44</f>
        <v>8759.9999999999945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0.78206719018349924</v>
      </c>
      <c r="C14" s="59">
        <f>'SER_se-appl'!C52</f>
        <v>0.77356161383707112</v>
      </c>
      <c r="D14" s="59">
        <f>'SER_se-appl'!D52</f>
        <v>0.76406719517783461</v>
      </c>
      <c r="E14" s="59">
        <f>'SER_se-appl'!E52</f>
        <v>0.75404400157067186</v>
      </c>
      <c r="F14" s="59">
        <f>'SER_se-appl'!F52</f>
        <v>0.74621821414523704</v>
      </c>
      <c r="G14" s="59">
        <f>'SER_se-appl'!G52</f>
        <v>0.73733100891586112</v>
      </c>
      <c r="H14" s="59">
        <f>'SER_se-appl'!H52</f>
        <v>0.72846230625913955</v>
      </c>
      <c r="I14" s="59">
        <f>'SER_se-appl'!I52</f>
        <v>0.71909953755425859</v>
      </c>
      <c r="J14" s="59">
        <f>'SER_se-appl'!J52</f>
        <v>0.7117813029020198</v>
      </c>
      <c r="K14" s="59">
        <f>'SER_se-appl'!K52</f>
        <v>0.70462216359215168</v>
      </c>
      <c r="L14" s="59">
        <f>'SER_se-appl'!L52</f>
        <v>0.69696086509603872</v>
      </c>
      <c r="M14" s="59">
        <f>'SER_se-appl'!M52</f>
        <v>0.68910425352836491</v>
      </c>
      <c r="N14" s="59">
        <f>'SER_se-appl'!N52</f>
        <v>0.68061734169978516</v>
      </c>
      <c r="O14" s="59">
        <f>'SER_se-appl'!O52</f>
        <v>0.66979458019386084</v>
      </c>
      <c r="P14" s="59">
        <f>'SER_se-appl'!P52</f>
        <v>0.65588235547509577</v>
      </c>
      <c r="Q14" s="59">
        <f>'SER_se-appl'!Q52</f>
        <v>0.64489454538308899</v>
      </c>
      <c r="R14" s="59">
        <f>'SER_se-appl'!R52</f>
        <v>0.63071290767139554</v>
      </c>
      <c r="S14" s="59">
        <f>'SER_se-appl'!S52</f>
        <v>0.61623587386752743</v>
      </c>
      <c r="T14" s="59">
        <f>'SER_se-appl'!T52</f>
        <v>0.60208638720746721</v>
      </c>
      <c r="U14" s="59">
        <f>'SER_se-appl'!U52</f>
        <v>0.58793704855488149</v>
      </c>
      <c r="V14" s="59">
        <f>'SER_se-appl'!V52</f>
        <v>0.57364062008428274</v>
      </c>
      <c r="W14" s="59">
        <f>'SER_se-appl'!W52</f>
        <v>0.55995078440001744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0.69730363367018156</v>
      </c>
      <c r="D15" s="63">
        <f>'SER_se-appl'!D60</f>
        <v>0.68661610773318338</v>
      </c>
      <c r="E15" s="63">
        <f>'SER_se-appl'!E60</f>
        <v>0.67528462130085776</v>
      </c>
      <c r="F15" s="63">
        <f>'SER_se-appl'!F60</f>
        <v>0.66575673322493378</v>
      </c>
      <c r="G15" s="63">
        <f>'SER_se-appl'!G60</f>
        <v>0.65616228810770016</v>
      </c>
      <c r="H15" s="63">
        <f>'SER_se-appl'!H60</f>
        <v>0.64690556174831382</v>
      </c>
      <c r="I15" s="63">
        <f>'SER_se-appl'!I60</f>
        <v>0.63859071321438587</v>
      </c>
      <c r="J15" s="63">
        <f>'SER_se-appl'!J60</f>
        <v>0.63047826053073985</v>
      </c>
      <c r="K15" s="63">
        <f>'SER_se-appl'!K60</f>
        <v>0.62300704168804011</v>
      </c>
      <c r="L15" s="63">
        <f>'SER_se-appl'!L60</f>
        <v>0.61335691225731748</v>
      </c>
      <c r="M15" s="63">
        <f>'SER_se-appl'!M60</f>
        <v>0.60446630156803871</v>
      </c>
      <c r="N15" s="63">
        <f>'SER_se-appl'!N60</f>
        <v>0.58589271520394837</v>
      </c>
      <c r="O15" s="63">
        <f>'SER_se-appl'!O60</f>
        <v>0.56556309260320903</v>
      </c>
      <c r="P15" s="63">
        <f>'SER_se-appl'!P60</f>
        <v>0.53683246490363135</v>
      </c>
      <c r="Q15" s="63">
        <f>'SER_se-appl'!Q60</f>
        <v>0.51261669577780833</v>
      </c>
      <c r="R15" s="63">
        <f>'SER_se-appl'!R60</f>
        <v>0.50942769179210046</v>
      </c>
      <c r="S15" s="63">
        <f>'SER_se-appl'!S60</f>
        <v>0.50490672876388687</v>
      </c>
      <c r="T15" s="63">
        <f>'SER_se-appl'!T60</f>
        <v>0.50064546723620273</v>
      </c>
      <c r="U15" s="63">
        <f>'SER_se-appl'!U60</f>
        <v>0.49661785184547119</v>
      </c>
      <c r="V15" s="63">
        <f>'SER_se-appl'!V60</f>
        <v>0.49264751496435111</v>
      </c>
      <c r="W15" s="63">
        <f>'SER_se-appl'!W60</f>
        <v>0.49117623868671895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48.390158666575388</v>
      </c>
      <c r="C3" s="199">
        <f>'SER_se-appl'!C5</f>
        <v>50.572259405050225</v>
      </c>
      <c r="D3" s="199">
        <f>'SER_se-appl'!D5</f>
        <v>53.129618960041142</v>
      </c>
      <c r="E3" s="199">
        <f>'SER_se-appl'!E5</f>
        <v>55.566701165014202</v>
      </c>
      <c r="F3" s="199">
        <f>'SER_se-appl'!F5</f>
        <v>57.714276224181226</v>
      </c>
      <c r="G3" s="199">
        <f>'SER_se-appl'!G5</f>
        <v>59.920182145774838</v>
      </c>
      <c r="H3" s="199">
        <f>'SER_se-appl'!H5</f>
        <v>61.738265592242946</v>
      </c>
      <c r="I3" s="199">
        <f>'SER_se-appl'!I5</f>
        <v>62.917712123962431</v>
      </c>
      <c r="J3" s="199">
        <f>'SER_se-appl'!J5</f>
        <v>63.815841482140073</v>
      </c>
      <c r="K3" s="199">
        <f>'SER_se-appl'!K5</f>
        <v>64.827935696063591</v>
      </c>
      <c r="L3" s="199">
        <f>'SER_se-appl'!L5</f>
        <v>65.486181054263241</v>
      </c>
      <c r="M3" s="199">
        <f>'SER_se-appl'!M5</f>
        <v>65.039413627274428</v>
      </c>
      <c r="N3" s="199">
        <f>'SER_se-appl'!N5</f>
        <v>64.202747031347812</v>
      </c>
      <c r="O3" s="199">
        <f>'SER_se-appl'!O5</f>
        <v>63.64340829493738</v>
      </c>
      <c r="P3" s="199">
        <f>'SER_se-appl'!P5</f>
        <v>62.798938325300433</v>
      </c>
      <c r="Q3" s="199">
        <f>'SER_se-appl'!Q5</f>
        <v>61.339794061978317</v>
      </c>
      <c r="R3" s="199">
        <f>'SER_se-appl'!R5</f>
        <v>60.003340840705562</v>
      </c>
      <c r="S3" s="199">
        <f>'SER_se-appl'!S5</f>
        <v>59.341545435146323</v>
      </c>
      <c r="T3" s="199">
        <f>'SER_se-appl'!T5</f>
        <v>57.805205097763789</v>
      </c>
      <c r="U3" s="199">
        <f>'SER_se-appl'!U5</f>
        <v>56.219391060324426</v>
      </c>
      <c r="V3" s="199">
        <f>'SER_se-appl'!V5</f>
        <v>54.675423999773415</v>
      </c>
      <c r="W3" s="199">
        <f>'SER_se-appl'!W5</f>
        <v>53.955794018929033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149.53575690543471</v>
      </c>
      <c r="C5" s="59">
        <f>'SER_se-appl'!C13</f>
        <v>155.81673284977799</v>
      </c>
      <c r="D5" s="59">
        <f>'SER_se-appl'!D13</f>
        <v>163.29342433483612</v>
      </c>
      <c r="E5" s="59">
        <f>'SER_se-appl'!E13</f>
        <v>170.44903501017757</v>
      </c>
      <c r="F5" s="59">
        <f>'SER_se-appl'!F13</f>
        <v>176.95502979488697</v>
      </c>
      <c r="G5" s="59">
        <f>'SER_se-appl'!G13</f>
        <v>183.25962614949682</v>
      </c>
      <c r="H5" s="59">
        <f>'SER_se-appl'!H13</f>
        <v>188.43139916510358</v>
      </c>
      <c r="I5" s="59">
        <f>'SER_se-appl'!I13</f>
        <v>191.79016641248737</v>
      </c>
      <c r="J5" s="59">
        <f>'SER_se-appl'!J13</f>
        <v>194.42604412000702</v>
      </c>
      <c r="K5" s="59">
        <f>'SER_se-appl'!K13</f>
        <v>197.38264259770327</v>
      </c>
      <c r="L5" s="59">
        <f>'SER_se-appl'!L13</f>
        <v>199.32146423757987</v>
      </c>
      <c r="M5" s="59">
        <f>'SER_se-appl'!M13</f>
        <v>198.24295585488144</v>
      </c>
      <c r="N5" s="59">
        <f>'SER_se-appl'!N13</f>
        <v>196.05615112072735</v>
      </c>
      <c r="O5" s="59">
        <f>'SER_se-appl'!O13</f>
        <v>195.06188651204064</v>
      </c>
      <c r="P5" s="59">
        <f>'SER_se-appl'!P13</f>
        <v>193.30385807698306</v>
      </c>
      <c r="Q5" s="59">
        <f>'SER_se-appl'!Q13</f>
        <v>189.80989348971892</v>
      </c>
      <c r="R5" s="59">
        <f>'SER_se-appl'!R13</f>
        <v>187.07752186148753</v>
      </c>
      <c r="S5" s="59">
        <f>'SER_se-appl'!S13</f>
        <v>183.9109723049622</v>
      </c>
      <c r="T5" s="59">
        <f>'SER_se-appl'!T13</f>
        <v>180.92208288930604</v>
      </c>
      <c r="U5" s="59">
        <f>'SER_se-appl'!U13</f>
        <v>177.49642450975779</v>
      </c>
      <c r="V5" s="59">
        <f>'SER_se-appl'!V13</f>
        <v>173.38978785489405</v>
      </c>
      <c r="W5" s="59">
        <f>'SER_se-appl'!W13</f>
        <v>170.28581843148481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7.1409155898656443E-2</v>
      </c>
      <c r="C6" s="202">
        <f>'SER_se-appl'!C69</f>
        <v>7.5453131514312433E-2</v>
      </c>
      <c r="D6" s="202">
        <f>'SER_se-appl'!D69</f>
        <v>8.0446333039142448E-2</v>
      </c>
      <c r="E6" s="202">
        <f>'SER_se-appl'!E69</f>
        <v>8.56639361197859E-2</v>
      </c>
      <c r="F6" s="202">
        <f>'SER_se-appl'!F69</f>
        <v>9.0912296733874035E-2</v>
      </c>
      <c r="G6" s="202">
        <f>'SER_se-appl'!G69</f>
        <v>9.6345589378276142E-2</v>
      </c>
      <c r="H6" s="202">
        <f>'SER_se-appl'!H69</f>
        <v>0.1016145329995508</v>
      </c>
      <c r="I6" s="202">
        <f>'SER_se-appl'!I69</f>
        <v>0.10601648742116489</v>
      </c>
      <c r="J6" s="202">
        <f>'SER_se-appl'!J69</f>
        <v>0.10947071583950907</v>
      </c>
      <c r="K6" s="202">
        <f>'SER_se-appl'!K69</f>
        <v>0.11311962427809934</v>
      </c>
      <c r="L6" s="202">
        <f>'SER_se-appl'!L69</f>
        <v>0.11640351690866613</v>
      </c>
      <c r="M6" s="202">
        <f>'SER_se-appl'!M69</f>
        <v>0.1181264018052549</v>
      </c>
      <c r="N6" s="202">
        <f>'SER_se-appl'!N69</f>
        <v>0.11979449134151468</v>
      </c>
      <c r="O6" s="202">
        <f>'SER_se-appl'!O69</f>
        <v>0.1223096653113763</v>
      </c>
      <c r="P6" s="202">
        <f>'SER_se-appl'!P69</f>
        <v>0.12500515306862137</v>
      </c>
      <c r="Q6" s="202">
        <f>'SER_se-appl'!Q69</f>
        <v>0.12716687093471404</v>
      </c>
      <c r="R6" s="202">
        <f>'SER_se-appl'!R69</f>
        <v>0.13143090366892166</v>
      </c>
      <c r="S6" s="202">
        <f>'SER_se-appl'!S69</f>
        <v>0.13595407082133504</v>
      </c>
      <c r="T6" s="202">
        <f>'SER_se-appl'!T69</f>
        <v>0.14036737367902161</v>
      </c>
      <c r="U6" s="202">
        <f>'SER_se-appl'!U69</f>
        <v>0.1446602388114952</v>
      </c>
      <c r="V6" s="202">
        <f>'SER_se-appl'!V69</f>
        <v>0.14901478598519305</v>
      </c>
      <c r="W6" s="202">
        <f>'SER_se-appl'!W69</f>
        <v>0.15408881209261988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729.91896993656621</v>
      </c>
      <c r="C8" s="34">
        <f>'SER_se-appl'!C21</f>
        <v>769.64442647917815</v>
      </c>
      <c r="D8" s="34">
        <f>'SER_se-appl'!D21</f>
        <v>818.52961306231759</v>
      </c>
      <c r="E8" s="34">
        <f>'SER_se-appl'!E21</f>
        <v>868.834650471744</v>
      </c>
      <c r="F8" s="34">
        <f>'SER_se-appl'!F21</f>
        <v>919.73625068404635</v>
      </c>
      <c r="G8" s="34">
        <f>'SER_se-appl'!G21</f>
        <v>972.85430968102287</v>
      </c>
      <c r="H8" s="34">
        <f>'SER_se-appl'!H21</f>
        <v>1023.9270725471466</v>
      </c>
      <c r="I8" s="34">
        <f>'SER_se-appl'!I21</f>
        <v>1067.1787129864583</v>
      </c>
      <c r="J8" s="34">
        <f>'SER_se-appl'!J21</f>
        <v>1099.6772383649202</v>
      </c>
      <c r="K8" s="34">
        <f>'SER_se-appl'!K21</f>
        <v>1134.7001231430074</v>
      </c>
      <c r="L8" s="34">
        <f>'SER_se-appl'!L21</f>
        <v>1165.702533062861</v>
      </c>
      <c r="M8" s="34">
        <f>'SER_se-appl'!M21</f>
        <v>1179.5774092875736</v>
      </c>
      <c r="N8" s="34">
        <f>'SER_se-appl'!N21</f>
        <v>1189.7899034170732</v>
      </c>
      <c r="O8" s="34">
        <f>'SER_se-appl'!O21</f>
        <v>1211.9417670180349</v>
      </c>
      <c r="P8" s="34">
        <f>'SER_se-appl'!P21</f>
        <v>1234.7215237396433</v>
      </c>
      <c r="Q8" s="34">
        <f>'SER_se-appl'!Q21</f>
        <v>1253.3021253449106</v>
      </c>
      <c r="R8" s="34">
        <f>'SER_se-appl'!R21</f>
        <v>1292.0295270537792</v>
      </c>
      <c r="S8" s="34">
        <f>'SER_se-appl'!S21</f>
        <v>1332.01830207035</v>
      </c>
      <c r="T8" s="34">
        <f>'SER_se-appl'!T21</f>
        <v>1372.5642561291081</v>
      </c>
      <c r="U8" s="34">
        <f>'SER_se-appl'!U21</f>
        <v>1413.7292168064726</v>
      </c>
      <c r="V8" s="34">
        <f>'SER_se-appl'!V21</f>
        <v>1455.803826066779</v>
      </c>
      <c r="W8" s="34">
        <f>'SER_se-appl'!W21</f>
        <v>1499.403098224127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131.28972534989839</v>
      </c>
      <c r="D9" s="36">
        <f>'SER_se-appl'!D29</f>
        <v>144.39082849184331</v>
      </c>
      <c r="E9" s="36">
        <f>'SER_se-appl'!E29</f>
        <v>149.92170835768729</v>
      </c>
      <c r="F9" s="36">
        <f>'SER_se-appl'!F29</f>
        <v>154.80625895801484</v>
      </c>
      <c r="G9" s="36">
        <f>'SER_se-appl'!G29</f>
        <v>161.49528146680086</v>
      </c>
      <c r="H9" s="36">
        <f>'SER_se-appl'!H29</f>
        <v>164.11507003561314</v>
      </c>
      <c r="I9" s="36">
        <f>'SER_se-appl'!I29</f>
        <v>161.15984032660037</v>
      </c>
      <c r="J9" s="36">
        <f>'SER_se-appl'!J29</f>
        <v>163.78825072836025</v>
      </c>
      <c r="K9" s="36">
        <f>'SER_se-appl'!K29</f>
        <v>179.41371326993055</v>
      </c>
      <c r="L9" s="36">
        <f>'SER_se-appl'!L29</f>
        <v>180.92411827754086</v>
      </c>
      <c r="M9" s="36">
        <f>'SER_se-appl'!M29</f>
        <v>168.68113518272742</v>
      </c>
      <c r="N9" s="36">
        <f>'SER_se-appl'!N29</f>
        <v>171.70777559630051</v>
      </c>
      <c r="O9" s="36">
        <f>'SER_se-appl'!O29</f>
        <v>186.26693363657478</v>
      </c>
      <c r="P9" s="36">
        <f>'SER_se-appl'!P29</f>
        <v>183.93959704820895</v>
      </c>
      <c r="Q9" s="36">
        <f>'SER_se-appl'!Q29</f>
        <v>182.3688523336275</v>
      </c>
      <c r="R9" s="36">
        <f>'SER_se-appl'!R29</f>
        <v>218.14111497879935</v>
      </c>
      <c r="S9" s="36">
        <f>'SER_se-appl'!S29</f>
        <v>220.91289329411165</v>
      </c>
      <c r="T9" s="36">
        <f>'SER_se-appl'!T29</f>
        <v>209.2270892414856</v>
      </c>
      <c r="U9" s="36">
        <f>'SER_se-appl'!U29</f>
        <v>212.87273627366494</v>
      </c>
      <c r="V9" s="36">
        <f>'SER_se-appl'!V29</f>
        <v>228.34154289688126</v>
      </c>
      <c r="W9" s="36">
        <f>'SER_se-appl'!W29</f>
        <v>227.53886920555692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91.564268807286453</v>
      </c>
      <c r="D10" s="38">
        <f>'SER_se-appl'!D37</f>
        <v>95.505641908703865</v>
      </c>
      <c r="E10" s="38">
        <f>'SER_se-appl'!E37</f>
        <v>99.616670948260889</v>
      </c>
      <c r="F10" s="38">
        <f>'SER_se-appl'!F37</f>
        <v>103.90465874571248</v>
      </c>
      <c r="G10" s="38">
        <f>'SER_se-appl'!G37</f>
        <v>108.37722246982435</v>
      </c>
      <c r="H10" s="38">
        <f>'SER_se-appl'!H37</f>
        <v>113.04230716948939</v>
      </c>
      <c r="I10" s="38">
        <f>'SER_se-appl'!I37</f>
        <v>117.90819988728867</v>
      </c>
      <c r="J10" s="38">
        <f>'SER_se-appl'!J37</f>
        <v>131.28972534989839</v>
      </c>
      <c r="K10" s="38">
        <f>'SER_se-appl'!K37</f>
        <v>144.39082849184319</v>
      </c>
      <c r="L10" s="38">
        <f>'SER_se-appl'!L37</f>
        <v>149.92170835768729</v>
      </c>
      <c r="M10" s="38">
        <f>'SER_se-appl'!M37</f>
        <v>154.80625895801495</v>
      </c>
      <c r="N10" s="38">
        <f>'SER_se-appl'!N37</f>
        <v>161.49528146680086</v>
      </c>
      <c r="O10" s="38">
        <f>'SER_se-appl'!O37</f>
        <v>164.11507003561314</v>
      </c>
      <c r="P10" s="38">
        <f>'SER_se-appl'!P37</f>
        <v>161.15984032660049</v>
      </c>
      <c r="Q10" s="38">
        <f>'SER_se-appl'!Q37</f>
        <v>163.78825072836025</v>
      </c>
      <c r="R10" s="38">
        <f>'SER_se-appl'!R37</f>
        <v>179.41371326993067</v>
      </c>
      <c r="S10" s="38">
        <f>'SER_se-appl'!S37</f>
        <v>180.92411827754086</v>
      </c>
      <c r="T10" s="38">
        <f>'SER_se-appl'!T37</f>
        <v>168.68113518272753</v>
      </c>
      <c r="U10" s="38">
        <f>'SER_se-appl'!U37</f>
        <v>171.70777559630051</v>
      </c>
      <c r="V10" s="38">
        <f>'SER_se-appl'!V37</f>
        <v>186.26693363657478</v>
      </c>
      <c r="W10" s="38">
        <f>'SER_se-appl'!W37</f>
        <v>183.93959704820895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3763.4981554824249</v>
      </c>
      <c r="C12" s="205">
        <f>'SER_se-appl'!C45</f>
        <v>3774.6612069434887</v>
      </c>
      <c r="D12" s="205">
        <f>'SER_se-appl'!D45</f>
        <v>3783.9703039007163</v>
      </c>
      <c r="E12" s="205">
        <f>'SER_se-appl'!E45</f>
        <v>3791.4015442242189</v>
      </c>
      <c r="F12" s="205">
        <f>'SER_se-appl'!F45</f>
        <v>3793.1503459678556</v>
      </c>
      <c r="G12" s="205">
        <f>'SER_se-appl'!G45</f>
        <v>3802.6472769669281</v>
      </c>
      <c r="H12" s="205">
        <f>'SER_se-appl'!H45</f>
        <v>3810.4903536202046</v>
      </c>
      <c r="I12" s="205">
        <f>'SER_se-appl'!I45</f>
        <v>3815.2789879118654</v>
      </c>
      <c r="J12" s="205">
        <f>'SER_se-appl'!J45</f>
        <v>3817.2778744558982</v>
      </c>
      <c r="K12" s="205">
        <f>'SER_se-appl'!K45</f>
        <v>3819.7324862140254</v>
      </c>
      <c r="L12" s="205">
        <f>'SER_se-appl'!L45</f>
        <v>3820.9848024861608</v>
      </c>
      <c r="M12" s="205">
        <f>'SER_se-appl'!M45</f>
        <v>3815.5624608367448</v>
      </c>
      <c r="N12" s="205">
        <f>'SER_se-appl'!N45</f>
        <v>3808.4902906962925</v>
      </c>
      <c r="O12" s="205">
        <f>'SER_se-appl'!O45</f>
        <v>3794.5538808496699</v>
      </c>
      <c r="P12" s="205">
        <f>'SER_se-appl'!P45</f>
        <v>3778.2569887062587</v>
      </c>
      <c r="Q12" s="205">
        <f>'SER_se-appl'!Q45</f>
        <v>3758.4015871093056</v>
      </c>
      <c r="R12" s="205">
        <f>'SER_se-appl'!R45</f>
        <v>3730.2121977758857</v>
      </c>
      <c r="S12" s="205">
        <f>'SER_se-appl'!S45</f>
        <v>3752.5883570793926</v>
      </c>
      <c r="T12" s="205">
        <f>'SER_se-appl'!T45</f>
        <v>3715.823544317208</v>
      </c>
      <c r="U12" s="205">
        <f>'SER_se-appl'!U45</f>
        <v>3683.6320497015358</v>
      </c>
      <c r="V12" s="205">
        <f>'SER_se-appl'!V45</f>
        <v>3667.316218470226</v>
      </c>
      <c r="W12" s="205">
        <f>'SER_se-appl'!W45</f>
        <v>3685.0155240180743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204.86624278093518</v>
      </c>
      <c r="C14" s="59">
        <f>'SER_se-appl'!C53</f>
        <v>202.45288277156573</v>
      </c>
      <c r="D14" s="59">
        <f>'SER_se-appl'!D53</f>
        <v>199.4960496589926</v>
      </c>
      <c r="E14" s="59">
        <f>'SER_se-appl'!E53</f>
        <v>196.18121229123429</v>
      </c>
      <c r="F14" s="59">
        <f>'SER_se-appl'!F53</f>
        <v>192.39758100572649</v>
      </c>
      <c r="G14" s="59">
        <f>'SER_se-appl'!G53</f>
        <v>188.37314521388464</v>
      </c>
      <c r="H14" s="59">
        <f>'SER_se-appl'!H53</f>
        <v>184.02814440325025</v>
      </c>
      <c r="I14" s="59">
        <f>'SER_se-appl'!I53</f>
        <v>179.71700904319016</v>
      </c>
      <c r="J14" s="59">
        <f>'SER_se-appl'!J53</f>
        <v>176.80282662674165</v>
      </c>
      <c r="K14" s="59">
        <f>'SER_se-appl'!K53</f>
        <v>173.95137144338437</v>
      </c>
      <c r="L14" s="59">
        <f>'SER_se-appl'!L53</f>
        <v>170.98827409585064</v>
      </c>
      <c r="M14" s="59">
        <f>'SER_se-appl'!M53</f>
        <v>168.0626928711815</v>
      </c>
      <c r="N14" s="59">
        <f>'SER_se-appl'!N53</f>
        <v>164.78216074758632</v>
      </c>
      <c r="O14" s="59">
        <f>'SER_se-appl'!O53</f>
        <v>160.94988374894248</v>
      </c>
      <c r="P14" s="59">
        <f>'SER_se-appl'!P53</f>
        <v>156.55664403704333</v>
      </c>
      <c r="Q14" s="59">
        <f>'SER_se-appl'!Q53</f>
        <v>151.44783500425561</v>
      </c>
      <c r="R14" s="59">
        <f>'SER_se-appl'!R53</f>
        <v>144.79353446982071</v>
      </c>
      <c r="S14" s="59">
        <f>'SER_se-appl'!S53</f>
        <v>138.06940341518597</v>
      </c>
      <c r="T14" s="59">
        <f>'SER_se-appl'!T53</f>
        <v>131.81319714644229</v>
      </c>
      <c r="U14" s="59">
        <f>'SER_se-appl'!U53</f>
        <v>125.55192493701962</v>
      </c>
      <c r="V14" s="59">
        <f>'SER_se-appl'!V53</f>
        <v>119.10244000618563</v>
      </c>
      <c r="W14" s="59">
        <f>'SER_se-appl'!W53</f>
        <v>113.56907200816715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190.71868420124662</v>
      </c>
      <c r="D15" s="63">
        <f>'SER_se-appl'!D61</f>
        <v>187.28733528115538</v>
      </c>
      <c r="E15" s="63">
        <f>'SER_se-appl'!E61</f>
        <v>183.85398667612688</v>
      </c>
      <c r="F15" s="63">
        <f>'SER_se-appl'!F61</f>
        <v>179.5311896072395</v>
      </c>
      <c r="G15" s="63">
        <f>'SER_se-appl'!G61</f>
        <v>176.52175633934351</v>
      </c>
      <c r="H15" s="63">
        <f>'SER_se-appl'!H61</f>
        <v>172.62476721096181</v>
      </c>
      <c r="I15" s="63">
        <f>'SER_se-appl'!I61</f>
        <v>170.72601397219614</v>
      </c>
      <c r="J15" s="63">
        <f>'SER_se-appl'!J61</f>
        <v>168.96988185858518</v>
      </c>
      <c r="K15" s="63">
        <f>'SER_se-appl'!K61</f>
        <v>167.20668358186046</v>
      </c>
      <c r="L15" s="63">
        <f>'SER_se-appl'!L61</f>
        <v>163.06574099466175</v>
      </c>
      <c r="M15" s="63">
        <f>'SER_se-appl'!M61</f>
        <v>158.37007154203576</v>
      </c>
      <c r="N15" s="63">
        <f>'SER_se-appl'!N61</f>
        <v>153.28732725979904</v>
      </c>
      <c r="O15" s="63">
        <f>'SER_se-appl'!O61</f>
        <v>146.75745511201185</v>
      </c>
      <c r="P15" s="63">
        <f>'SER_se-appl'!P61</f>
        <v>140.02503609675759</v>
      </c>
      <c r="Q15" s="63">
        <f>'SER_se-appl'!Q61</f>
        <v>132.59565149806201</v>
      </c>
      <c r="R15" s="63">
        <f>'SER_se-appl'!R61</f>
        <v>124.9961537942562</v>
      </c>
      <c r="S15" s="63">
        <f>'SER_se-appl'!S61</f>
        <v>119.21429963413404</v>
      </c>
      <c r="T15" s="63">
        <f>'SER_se-appl'!T61</f>
        <v>113.39427469471251</v>
      </c>
      <c r="U15" s="63">
        <f>'SER_se-appl'!U61</f>
        <v>107.55237148782021</v>
      </c>
      <c r="V15" s="63">
        <f>'SER_se-appl'!V61</f>
        <v>101.73104815906557</v>
      </c>
      <c r="W15" s="63">
        <f>'SER_se-appl'!W61</f>
        <v>99.553009874657903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129.65580435124596</v>
      </c>
      <c r="C3" s="199">
        <f>'SER_se-appl'!C6</f>
        <v>133.51311436286059</v>
      </c>
      <c r="D3" s="199">
        <f>'SER_se-appl'!D6</f>
        <v>137.26925113331924</v>
      </c>
      <c r="E3" s="199">
        <f>'SER_se-appl'!E6</f>
        <v>142.52684708525382</v>
      </c>
      <c r="F3" s="199">
        <f>'SER_se-appl'!F6</f>
        <v>145.41885815481191</v>
      </c>
      <c r="G3" s="199">
        <f>'SER_se-appl'!G6</f>
        <v>148.99227735471152</v>
      </c>
      <c r="H3" s="199">
        <f>'SER_se-appl'!H6</f>
        <v>150.43843333335886</v>
      </c>
      <c r="I3" s="199">
        <f>'SER_se-appl'!I6</f>
        <v>152.96296086379124</v>
      </c>
      <c r="J3" s="199">
        <f>'SER_se-appl'!J6</f>
        <v>152.23913638079722</v>
      </c>
      <c r="K3" s="199">
        <f>'SER_se-appl'!K6</f>
        <v>150.9842482376225</v>
      </c>
      <c r="L3" s="199">
        <f>'SER_se-appl'!L6</f>
        <v>150.6391199051163</v>
      </c>
      <c r="M3" s="199">
        <f>'SER_se-appl'!M6</f>
        <v>149.96091249709556</v>
      </c>
      <c r="N3" s="199">
        <f>'SER_se-appl'!N6</f>
        <v>147.86310893742279</v>
      </c>
      <c r="O3" s="199">
        <f>'SER_se-appl'!O6</f>
        <v>145.60568137414097</v>
      </c>
      <c r="P3" s="199">
        <f>'SER_se-appl'!P6</f>
        <v>145.23431132849552</v>
      </c>
      <c r="Q3" s="199">
        <f>'SER_se-appl'!Q6</f>
        <v>140.70173990689915</v>
      </c>
      <c r="R3" s="199">
        <f>'SER_se-appl'!R6</f>
        <v>133.52875844679326</v>
      </c>
      <c r="S3" s="199">
        <f>'SER_se-appl'!S6</f>
        <v>128.3121043218421</v>
      </c>
      <c r="T3" s="199">
        <f>'SER_se-appl'!T6</f>
        <v>120.25339830567542</v>
      </c>
      <c r="U3" s="199">
        <f>'SER_se-appl'!U6</f>
        <v>111.37003989485282</v>
      </c>
      <c r="V3" s="199">
        <f>'SER_se-appl'!V6</f>
        <v>97.256843000832546</v>
      </c>
      <c r="W3" s="199">
        <f>'SER_se-appl'!W6</f>
        <v>93.526161005967523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694.09615453562583</v>
      </c>
      <c r="C5" s="59">
        <f>'SER_se-appl'!C14</f>
        <v>708.02136696003083</v>
      </c>
      <c r="D5" s="59">
        <f>'SER_se-appl'!D14</f>
        <v>721.34882978750147</v>
      </c>
      <c r="E5" s="59">
        <f>'SER_se-appl'!E14</f>
        <v>743.64005980610409</v>
      </c>
      <c r="F5" s="59">
        <f>'SER_se-appl'!F14</f>
        <v>752.8570651766081</v>
      </c>
      <c r="G5" s="59">
        <f>'SER_se-appl'!G14</f>
        <v>766.07369113445714</v>
      </c>
      <c r="H5" s="59">
        <f>'SER_se-appl'!H14</f>
        <v>769.11742131460494</v>
      </c>
      <c r="I5" s="59">
        <f>'SER_se-appl'!I14</f>
        <v>779.10685157403861</v>
      </c>
      <c r="J5" s="59">
        <f>'SER_se-appl'!J14</f>
        <v>772.42713468300599</v>
      </c>
      <c r="K5" s="59">
        <f>'SER_se-appl'!K14</f>
        <v>765.06032871628474</v>
      </c>
      <c r="L5" s="59">
        <f>'SER_se-appl'!L14</f>
        <v>760.03269077633774</v>
      </c>
      <c r="M5" s="59">
        <f>'SER_se-appl'!M14</f>
        <v>753.77636865623936</v>
      </c>
      <c r="N5" s="59">
        <f>'SER_se-appl'!N14</f>
        <v>741.99414341240447</v>
      </c>
      <c r="O5" s="59">
        <f>'SER_se-appl'!O14</f>
        <v>726.96047352903213</v>
      </c>
      <c r="P5" s="59">
        <f>'SER_se-appl'!P14</f>
        <v>720.52869787405484</v>
      </c>
      <c r="Q5" s="59">
        <f>'SER_se-appl'!Q14</f>
        <v>691.57793027922617</v>
      </c>
      <c r="R5" s="59">
        <f>'SER_se-appl'!R14</f>
        <v>658.37651455996672</v>
      </c>
      <c r="S5" s="59">
        <f>'SER_se-appl'!S14</f>
        <v>624.31128786734587</v>
      </c>
      <c r="T5" s="59">
        <f>'SER_se-appl'!T14</f>
        <v>591.71373727631533</v>
      </c>
      <c r="U5" s="59">
        <f>'SER_se-appl'!U14</f>
        <v>555.23904548084283</v>
      </c>
      <c r="V5" s="59">
        <f>'SER_se-appl'!V14</f>
        <v>519.61452564831586</v>
      </c>
      <c r="W5" s="59">
        <f>'SER_se-appl'!W14</f>
        <v>487.98879931720273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168.67463110122841</v>
      </c>
      <c r="C6" s="202">
        <f>'SER_se-appl'!C70</f>
        <v>170.73753535512191</v>
      </c>
      <c r="D6" s="202">
        <f>'SER_se-appl'!D70</f>
        <v>173.04674135744776</v>
      </c>
      <c r="E6" s="202">
        <f>'SER_se-appl'!E70</f>
        <v>175.56289928975696</v>
      </c>
      <c r="F6" s="202">
        <f>'SER_se-appl'!F70</f>
        <v>178.79662987807404</v>
      </c>
      <c r="G6" s="202">
        <f>'SER_se-appl'!G70</f>
        <v>182.43799759408822</v>
      </c>
      <c r="H6" s="202">
        <f>'SER_se-appl'!H70</f>
        <v>186.11863087163275</v>
      </c>
      <c r="I6" s="202">
        <f>'SER_se-appl'!I70</f>
        <v>189.58940006663755</v>
      </c>
      <c r="J6" s="202">
        <f>'SER_se-appl'!J70</f>
        <v>193.58766833632009</v>
      </c>
      <c r="K6" s="202">
        <f>'SER_se-appl'!K70</f>
        <v>198.17427040357632</v>
      </c>
      <c r="L6" s="202">
        <f>'SER_se-appl'!L70</f>
        <v>202.65177779731562</v>
      </c>
      <c r="M6" s="202">
        <f>'SER_se-appl'!M70</f>
        <v>207.21286665419899</v>
      </c>
      <c r="N6" s="202">
        <f>'SER_se-appl'!N70</f>
        <v>210.67735629398291</v>
      </c>
      <c r="O6" s="202">
        <f>'SER_se-appl'!O70</f>
        <v>214.79360709482791</v>
      </c>
      <c r="P6" s="202">
        <f>'SER_se-appl'!P70</f>
        <v>218.02469957183013</v>
      </c>
      <c r="Q6" s="202">
        <f>'SER_se-appl'!Q70</f>
        <v>223.44731599004595</v>
      </c>
      <c r="R6" s="202">
        <f>'SER_se-appl'!R70</f>
        <v>226.91679406999856</v>
      </c>
      <c r="S6" s="202">
        <f>'SER_se-appl'!S70</f>
        <v>230.41817743339226</v>
      </c>
      <c r="T6" s="202">
        <f>'SER_se-appl'!T70</f>
        <v>233.83506256816008</v>
      </c>
      <c r="U6" s="202">
        <f>'SER_se-appl'!U70</f>
        <v>237.09626667910786</v>
      </c>
      <c r="V6" s="202">
        <f>'SER_se-appl'!V70</f>
        <v>240.06912293868672</v>
      </c>
      <c r="W6" s="202">
        <f>'SER_se-appl'!W70</f>
        <v>242.58114592272338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14.376218475552813</v>
      </c>
      <c r="C8" s="34">
        <f>'SER_se-appl'!C22</f>
        <v>14.835212253539481</v>
      </c>
      <c r="D8" s="34">
        <f>'SER_se-appl'!D22</f>
        <v>15.372232953457235</v>
      </c>
      <c r="E8" s="34">
        <f>'SER_se-appl'!E22</f>
        <v>16.173122096916799</v>
      </c>
      <c r="F8" s="34">
        <f>'SER_se-appl'!F22</f>
        <v>16.728135266780725</v>
      </c>
      <c r="G8" s="34">
        <f>'SER_se-appl'!G22</f>
        <v>17.471116839849486</v>
      </c>
      <c r="H8" s="34">
        <f>'SER_se-appl'!H22</f>
        <v>18.069022111043367</v>
      </c>
      <c r="I8" s="34">
        <f>'SER_se-appl'!I22</f>
        <v>18.765265455947866</v>
      </c>
      <c r="J8" s="34">
        <f>'SER_se-appl'!J22</f>
        <v>19.050513485966242</v>
      </c>
      <c r="K8" s="34">
        <f>'SER_se-appl'!K22</f>
        <v>19.418495357099289</v>
      </c>
      <c r="L8" s="34">
        <f>'SER_se-appl'!L22</f>
        <v>19.86196524397905</v>
      </c>
      <c r="M8" s="34">
        <f>'SER_se-appl'!M22</f>
        <v>20.398801955024759</v>
      </c>
      <c r="N8" s="34">
        <f>'SER_se-appl'!N22</f>
        <v>20.890301765462866</v>
      </c>
      <c r="O8" s="34">
        <f>'SER_se-appl'!O22</f>
        <v>21.522626487990856</v>
      </c>
      <c r="P8" s="34">
        <f>'SER_se-appl'!P22</f>
        <v>22.532486726723274</v>
      </c>
      <c r="Q8" s="34">
        <f>'SER_se-appl'!Q22</f>
        <v>23.10929130247586</v>
      </c>
      <c r="R8" s="34">
        <f>'SER_se-appl'!R22</f>
        <v>23.693369828181197</v>
      </c>
      <c r="S8" s="34">
        <f>'SER_se-appl'!S22</f>
        <v>24.394903475588436</v>
      </c>
      <c r="T8" s="34">
        <f>'SER_se-appl'!T22</f>
        <v>25.096573253911586</v>
      </c>
      <c r="U8" s="34">
        <f>'SER_se-appl'!U22</f>
        <v>25.74159390499905</v>
      </c>
      <c r="V8" s="34">
        <f>'SER_se-appl'!V22</f>
        <v>26.341522629962377</v>
      </c>
      <c r="W8" s="34">
        <f>'SER_se-appl'!W22</f>
        <v>26.884365349365442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2.7040717103988552</v>
      </c>
      <c r="D9" s="36">
        <f>'SER_se-appl'!D30</f>
        <v>2.8404220573167542</v>
      </c>
      <c r="E9" s="36">
        <f>'SER_se-appl'!E30</f>
        <v>3.1641290723144984</v>
      </c>
      <c r="F9" s="36">
        <f>'SER_se-appl'!F30</f>
        <v>2.9796461776523486</v>
      </c>
      <c r="G9" s="36">
        <f>'SER_se-appl'!G30</f>
        <v>3.2306025508107972</v>
      </c>
      <c r="H9" s="36">
        <f>'SER_se-appl'!H30</f>
        <v>3.1501505425501151</v>
      </c>
      <c r="I9" s="36">
        <f>'SER_se-appl'!I30</f>
        <v>3.4003150553033539</v>
      </c>
      <c r="J9" s="36">
        <f>'SER_se-appl'!J30</f>
        <v>3.1256700873351306</v>
      </c>
      <c r="K9" s="36">
        <f>'SER_se-appl'!K30</f>
        <v>3.5321109434475453</v>
      </c>
      <c r="L9" s="36">
        <f>'SER_se-appl'!L30</f>
        <v>3.4231160645321097</v>
      </c>
      <c r="M9" s="36">
        <f>'SER_se-appl'!M30</f>
        <v>3.7674392618565058</v>
      </c>
      <c r="N9" s="36">
        <f>'SER_se-appl'!N30</f>
        <v>3.641650352988222</v>
      </c>
      <c r="O9" s="36">
        <f>'SER_se-appl'!O30</f>
        <v>4.0326397778313421</v>
      </c>
      <c r="P9" s="36">
        <f>'SER_se-appl'!P30</f>
        <v>4.1355303260675491</v>
      </c>
      <c r="Q9" s="36">
        <f>'SER_se-appl'!Q30</f>
        <v>4.1089155192001314</v>
      </c>
      <c r="R9" s="36">
        <f>'SER_se-appl'!R30</f>
        <v>4.0071945902374466</v>
      </c>
      <c r="S9" s="36">
        <f>'SER_se-appl'!S30</f>
        <v>4.4689729092637442</v>
      </c>
      <c r="T9" s="36">
        <f>'SER_se-appl'!T30</f>
        <v>4.3433201313113727</v>
      </c>
      <c r="U9" s="36">
        <f>'SER_se-appl'!U30</f>
        <v>4.6776604289188057</v>
      </c>
      <c r="V9" s="36">
        <f>'SER_se-appl'!V30</f>
        <v>4.7354590510308761</v>
      </c>
      <c r="W9" s="36">
        <f>'SER_se-appl'!W30</f>
        <v>4.6517582386031968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2.2450779324121868</v>
      </c>
      <c r="D10" s="38">
        <f>'SER_se-appl'!D38</f>
        <v>2.3034013573990002</v>
      </c>
      <c r="E10" s="38">
        <f>'SER_se-appl'!E38</f>
        <v>2.3632399288549344</v>
      </c>
      <c r="F10" s="38">
        <f>'SER_se-appl'!F38</f>
        <v>2.4246330077884224</v>
      </c>
      <c r="G10" s="38">
        <f>'SER_se-appl'!G38</f>
        <v>2.4876209777420364</v>
      </c>
      <c r="H10" s="38">
        <f>'SER_se-appl'!H38</f>
        <v>2.5522452713562345</v>
      </c>
      <c r="I10" s="38">
        <f>'SER_se-appl'!I38</f>
        <v>2.7040717103988534</v>
      </c>
      <c r="J10" s="38">
        <f>'SER_se-appl'!J38</f>
        <v>2.8404220573167542</v>
      </c>
      <c r="K10" s="38">
        <f>'SER_se-appl'!K38</f>
        <v>3.1641290723144984</v>
      </c>
      <c r="L10" s="38">
        <f>'SER_se-appl'!L38</f>
        <v>2.9796461776523486</v>
      </c>
      <c r="M10" s="38">
        <f>'SER_se-appl'!M38</f>
        <v>3.2306025508107972</v>
      </c>
      <c r="N10" s="38">
        <f>'SER_se-appl'!N38</f>
        <v>3.1501505425501151</v>
      </c>
      <c r="O10" s="38">
        <f>'SER_se-appl'!O38</f>
        <v>3.4003150553033521</v>
      </c>
      <c r="P10" s="38">
        <f>'SER_se-appl'!P38</f>
        <v>3.1256700873351306</v>
      </c>
      <c r="Q10" s="38">
        <f>'SER_se-appl'!Q38</f>
        <v>3.5321109434475453</v>
      </c>
      <c r="R10" s="38">
        <f>'SER_se-appl'!R38</f>
        <v>3.4231160645321097</v>
      </c>
      <c r="S10" s="38">
        <f>'SER_se-appl'!S38</f>
        <v>3.7674392618565058</v>
      </c>
      <c r="T10" s="38">
        <f>'SER_se-appl'!T38</f>
        <v>3.641650352988222</v>
      </c>
      <c r="U10" s="38">
        <f>'SER_se-appl'!U38</f>
        <v>4.0326397778313421</v>
      </c>
      <c r="V10" s="38">
        <f>'SER_se-appl'!V38</f>
        <v>4.1355303260675491</v>
      </c>
      <c r="W10" s="38">
        <f>'SER_se-appl'!W38</f>
        <v>4.1089155192001314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2172.4612573510444</v>
      </c>
      <c r="C12" s="205">
        <f>'SER_se-appl'!C46</f>
        <v>2193.0941529448573</v>
      </c>
      <c r="D12" s="205">
        <f>'SER_se-appl'!D46</f>
        <v>2213.1336806227168</v>
      </c>
      <c r="E12" s="205">
        <f>'SER_se-appl'!E46</f>
        <v>2229.0182054389315</v>
      </c>
      <c r="F12" s="205">
        <f>'SER_se-appl'!F46</f>
        <v>2246.4042625989428</v>
      </c>
      <c r="G12" s="205">
        <f>'SER_se-appl'!G46</f>
        <v>2261.8975245961901</v>
      </c>
      <c r="H12" s="205">
        <f>'SER_se-appl'!H46</f>
        <v>2274.8138726028101</v>
      </c>
      <c r="I12" s="205">
        <f>'SER_se-appl'!I46</f>
        <v>2283.3315241058913</v>
      </c>
      <c r="J12" s="205">
        <f>'SER_se-appl'!J46</f>
        <v>2292.1788691891034</v>
      </c>
      <c r="K12" s="205">
        <f>'SER_se-appl'!K46</f>
        <v>2295.1743033780094</v>
      </c>
      <c r="L12" s="205">
        <f>'SER_se-appl'!L46</f>
        <v>2305.0758023407984</v>
      </c>
      <c r="M12" s="205">
        <f>'SER_se-appl'!M46</f>
        <v>2313.7438169497664</v>
      </c>
      <c r="N12" s="205">
        <f>'SER_se-appl'!N46</f>
        <v>2317.6031404151354</v>
      </c>
      <c r="O12" s="205">
        <f>'SER_se-appl'!O46</f>
        <v>2329.4169848887</v>
      </c>
      <c r="P12" s="205">
        <f>'SER_se-appl'!P46</f>
        <v>2344.2161925459432</v>
      </c>
      <c r="Q12" s="205">
        <f>'SER_se-appl'!Q46</f>
        <v>2366.1270313477939</v>
      </c>
      <c r="R12" s="205">
        <f>'SER_se-appl'!R46</f>
        <v>2358.740669499929</v>
      </c>
      <c r="S12" s="205">
        <f>'SER_se-appl'!S46</f>
        <v>2390.2655650527049</v>
      </c>
      <c r="T12" s="205">
        <f>'SER_se-appl'!T46</f>
        <v>2363.5534113718222</v>
      </c>
      <c r="U12" s="205">
        <f>'SER_se-appl'!U46</f>
        <v>2332.7494248093676</v>
      </c>
      <c r="V12" s="205">
        <f>'SER_se-appl'!V46</f>
        <v>2176.8003553950466</v>
      </c>
      <c r="W12" s="205">
        <f>'SER_se-appl'!W46</f>
        <v>2228.9635623221939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48.28085742547367</v>
      </c>
      <c r="C14" s="59">
        <f>'SER_se-appl'!C54</f>
        <v>47.725732187694618</v>
      </c>
      <c r="D14" s="59">
        <f>'SER_se-appl'!D54</f>
        <v>46.925442254976311</v>
      </c>
      <c r="E14" s="59">
        <f>'SER_se-appl'!E54</f>
        <v>45.979994174895253</v>
      </c>
      <c r="F14" s="59">
        <f>'SER_se-appl'!F54</f>
        <v>45.005438631982855</v>
      </c>
      <c r="G14" s="59">
        <f>'SER_se-appl'!G54</f>
        <v>43.848009154580005</v>
      </c>
      <c r="H14" s="59">
        <f>'SER_se-appl'!H54</f>
        <v>42.565525493742037</v>
      </c>
      <c r="I14" s="59">
        <f>'SER_se-appl'!I54</f>
        <v>41.518562761769608</v>
      </c>
      <c r="J14" s="59">
        <f>'SER_se-appl'!J54</f>
        <v>40.546263241251864</v>
      </c>
      <c r="K14" s="59">
        <f>'SER_se-appl'!K54</f>
        <v>39.398538076565401</v>
      </c>
      <c r="L14" s="59">
        <f>'SER_se-appl'!L54</f>
        <v>38.265734605830801</v>
      </c>
      <c r="M14" s="59">
        <f>'SER_se-appl'!M54</f>
        <v>36.9519920982695</v>
      </c>
      <c r="N14" s="59">
        <f>'SER_se-appl'!N54</f>
        <v>35.518593830899796</v>
      </c>
      <c r="O14" s="59">
        <f>'SER_se-appl'!O54</f>
        <v>33.776568762862645</v>
      </c>
      <c r="P14" s="59">
        <f>'SER_se-appl'!P54</f>
        <v>31.977327075023457</v>
      </c>
      <c r="Q14" s="59">
        <f>'SER_se-appl'!Q54</f>
        <v>29.926401516481494</v>
      </c>
      <c r="R14" s="59">
        <f>'SER_se-appl'!R54</f>
        <v>27.787373401688317</v>
      </c>
      <c r="S14" s="59">
        <f>'SER_se-appl'!S54</f>
        <v>25.591873667058515</v>
      </c>
      <c r="T14" s="59">
        <f>'SER_se-appl'!T54</f>
        <v>23.577471365900124</v>
      </c>
      <c r="U14" s="59">
        <f>'SER_se-appl'!U54</f>
        <v>21.569722820194702</v>
      </c>
      <c r="V14" s="59">
        <f>'SER_se-appl'!V54</f>
        <v>19.726062648226574</v>
      </c>
      <c r="W14" s="59">
        <f>'SER_se-appl'!W54</f>
        <v>18.151397400523752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45.23530182941515</v>
      </c>
      <c r="D15" s="63">
        <f>'SER_se-appl'!D62</f>
        <v>43.844771250417807</v>
      </c>
      <c r="E15" s="63">
        <f>'SER_se-appl'!E62</f>
        <v>43.10522009965522</v>
      </c>
      <c r="F15" s="63">
        <f>'SER_se-appl'!F62</f>
        <v>42.380993715210138</v>
      </c>
      <c r="G15" s="63">
        <f>'SER_se-appl'!G62</f>
        <v>41.268183757042358</v>
      </c>
      <c r="H15" s="63">
        <f>'SER_se-appl'!H62</f>
        <v>40.083265398205583</v>
      </c>
      <c r="I15" s="63">
        <f>'SER_se-appl'!I62</f>
        <v>38.910785646568542</v>
      </c>
      <c r="J15" s="63">
        <f>'SER_se-appl'!J62</f>
        <v>37.706454991590078</v>
      </c>
      <c r="K15" s="63">
        <f>'SER_se-appl'!K62</f>
        <v>36.528771656639584</v>
      </c>
      <c r="L15" s="63">
        <f>'SER_se-appl'!L62</f>
        <v>35.421740222314298</v>
      </c>
      <c r="M15" s="63">
        <f>'SER_se-appl'!M62</f>
        <v>33.727093859004015</v>
      </c>
      <c r="N15" s="63">
        <f>'SER_se-appl'!N62</f>
        <v>31.437970123507053</v>
      </c>
      <c r="O15" s="63">
        <f>'SER_se-appl'!O62</f>
        <v>29.081511571907438</v>
      </c>
      <c r="P15" s="63">
        <f>'SER_se-appl'!P62</f>
        <v>26.943621259244573</v>
      </c>
      <c r="Q15" s="63">
        <f>'SER_se-appl'!Q62</f>
        <v>24.355065480578549</v>
      </c>
      <c r="R15" s="63">
        <f>'SER_se-appl'!R62</f>
        <v>21.97330583444672</v>
      </c>
      <c r="S15" s="63">
        <f>'SER_se-appl'!S62</f>
        <v>20.810050270685561</v>
      </c>
      <c r="T15" s="63">
        <f>'SER_se-appl'!T62</f>
        <v>18.853904831037074</v>
      </c>
      <c r="U15" s="63">
        <f>'SER_se-appl'!U62</f>
        <v>17.273714027920601</v>
      </c>
      <c r="V15" s="63">
        <f>'SER_se-appl'!V62</f>
        <v>16.007242837979092</v>
      </c>
      <c r="W15" s="63">
        <f>'SER_se-appl'!W62</f>
        <v>14.714260002842368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77.674751746456892</v>
      </c>
      <c r="C3" s="199">
        <f>'SER_se-appl'!C7</f>
        <v>78.795194264859973</v>
      </c>
      <c r="D3" s="199">
        <f>'SER_se-appl'!D7</f>
        <v>79.313394229906194</v>
      </c>
      <c r="E3" s="199">
        <f>'SER_se-appl'!E7</f>
        <v>80.194082250918655</v>
      </c>
      <c r="F3" s="199">
        <f>'SER_se-appl'!F7</f>
        <v>81.553946135901285</v>
      </c>
      <c r="G3" s="199">
        <f>'SER_se-appl'!G7</f>
        <v>83.780444548184505</v>
      </c>
      <c r="H3" s="199">
        <f>'SER_se-appl'!H7</f>
        <v>86.450284869403021</v>
      </c>
      <c r="I3" s="199">
        <f>'SER_se-appl'!I7</f>
        <v>89.38878669128944</v>
      </c>
      <c r="J3" s="199">
        <f>'SER_se-appl'!J7</f>
        <v>90.679689672334433</v>
      </c>
      <c r="K3" s="199">
        <f>'SER_se-appl'!K7</f>
        <v>90.818512474523317</v>
      </c>
      <c r="L3" s="199">
        <f>'SER_se-appl'!L7</f>
        <v>90.397135959402505</v>
      </c>
      <c r="M3" s="199">
        <f>'SER_se-appl'!M7</f>
        <v>89.081497712583143</v>
      </c>
      <c r="N3" s="199">
        <f>'SER_se-appl'!N7</f>
        <v>87.742224715377034</v>
      </c>
      <c r="O3" s="199">
        <f>'SER_se-appl'!O7</f>
        <v>86.911312873878245</v>
      </c>
      <c r="P3" s="199">
        <f>'SER_se-appl'!P7</f>
        <v>86.266919495055774</v>
      </c>
      <c r="Q3" s="199">
        <f>'SER_se-appl'!Q7</f>
        <v>86.256484730494051</v>
      </c>
      <c r="R3" s="199">
        <f>'SER_se-appl'!R7</f>
        <v>85.781585732600561</v>
      </c>
      <c r="S3" s="199">
        <f>'SER_se-appl'!S7</f>
        <v>85.299081034430486</v>
      </c>
      <c r="T3" s="199">
        <f>'SER_se-appl'!T7</f>
        <v>85.21211313918343</v>
      </c>
      <c r="U3" s="199">
        <f>'SER_se-appl'!U7</f>
        <v>85.358441319843152</v>
      </c>
      <c r="V3" s="199">
        <f>'SER_se-appl'!V7</f>
        <v>85.549429278496902</v>
      </c>
      <c r="W3" s="199">
        <f>'SER_se-appl'!W7</f>
        <v>85.868965198688031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103.12298662229382</v>
      </c>
      <c r="C5" s="59">
        <f>'SER_se-appl'!C15</f>
        <v>104.61051476031066</v>
      </c>
      <c r="D5" s="59">
        <f>'SER_se-appl'!D15</f>
        <v>105.29849028468142</v>
      </c>
      <c r="E5" s="59">
        <f>'SER_se-appl'!E15</f>
        <v>106.46771422125387</v>
      </c>
      <c r="F5" s="59">
        <f>'SER_se-appl'!F15</f>
        <v>108.27310428773197</v>
      </c>
      <c r="G5" s="59">
        <f>'SER_se-appl'!G15</f>
        <v>111.22906051317192</v>
      </c>
      <c r="H5" s="59">
        <f>'SER_se-appl'!H15</f>
        <v>114.77360879351109</v>
      </c>
      <c r="I5" s="59">
        <f>'SER_se-appl'!I15</f>
        <v>118.67483895202012</v>
      </c>
      <c r="J5" s="59">
        <f>'SER_se-appl'!J15</f>
        <v>120.38867475904675</v>
      </c>
      <c r="K5" s="59">
        <f>'SER_se-appl'!K15</f>
        <v>120.57297946103951</v>
      </c>
      <c r="L5" s="59">
        <f>'SER_se-appl'!L15</f>
        <v>120.01354922464053</v>
      </c>
      <c r="M5" s="59">
        <f>'SER_se-appl'!M15</f>
        <v>118.26687424627197</v>
      </c>
      <c r="N5" s="59">
        <f>'SER_se-appl'!N15</f>
        <v>116.48882116893094</v>
      </c>
      <c r="O5" s="59">
        <f>'SER_se-appl'!O15</f>
        <v>115.38568136109629</v>
      </c>
      <c r="P5" s="59">
        <f>'SER_se-appl'!P15</f>
        <v>114.53016823373272</v>
      </c>
      <c r="Q5" s="59">
        <f>'SER_se-appl'!Q15</f>
        <v>114.51631477347557</v>
      </c>
      <c r="R5" s="59">
        <f>'SER_se-appl'!R15</f>
        <v>113.88582672033617</v>
      </c>
      <c r="S5" s="59">
        <f>'SER_se-appl'!S15</f>
        <v>113.24524114502591</v>
      </c>
      <c r="T5" s="59">
        <f>'SER_se-appl'!T15</f>
        <v>113.12978034345929</v>
      </c>
      <c r="U5" s="59">
        <f>'SER_se-appl'!U15</f>
        <v>113.32404937782829</v>
      </c>
      <c r="V5" s="59">
        <f>'SER_se-appl'!V15</f>
        <v>113.57760987544739</v>
      </c>
      <c r="W5" s="59">
        <f>'SER_se-appl'!W15</f>
        <v>114.00183393387465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1.4046856213697037E-2</v>
      </c>
      <c r="C6" s="202">
        <f>'SER_se-appl'!C71</f>
        <v>1.444185582903411E-2</v>
      </c>
      <c r="D6" s="202">
        <f>'SER_se-appl'!D71</f>
        <v>1.4772149278601314E-2</v>
      </c>
      <c r="E6" s="202">
        <f>'SER_se-appl'!E71</f>
        <v>1.5214345070237528E-2</v>
      </c>
      <c r="F6" s="202">
        <f>'SER_se-appl'!F71</f>
        <v>1.5781927924368239E-2</v>
      </c>
      <c r="G6" s="202">
        <f>'SER_se-appl'!G71</f>
        <v>1.6548366379645813E-2</v>
      </c>
      <c r="H6" s="202">
        <f>'SER_se-appl'!H71</f>
        <v>1.7457587627226032E-2</v>
      </c>
      <c r="I6" s="202">
        <f>'SER_se-appl'!I71</f>
        <v>1.8474249333690022E-2</v>
      </c>
      <c r="J6" s="202">
        <f>'SER_se-appl'!J71</f>
        <v>1.9210374281345446E-2</v>
      </c>
      <c r="K6" s="202">
        <f>'SER_se-appl'!K71</f>
        <v>1.9733188171874954E-2</v>
      </c>
      <c r="L6" s="202">
        <f>'SER_se-appl'!L71</f>
        <v>2.01889652292251E-2</v>
      </c>
      <c r="M6" s="202">
        <f>'SER_se-appl'!M71</f>
        <v>2.0306142204572594E-2</v>
      </c>
      <c r="N6" s="202">
        <f>'SER_se-appl'!N71</f>
        <v>2.0447974880588353E-2</v>
      </c>
      <c r="O6" s="202">
        <f>'SER_se-appl'!O71</f>
        <v>2.0706256445015211E-2</v>
      </c>
      <c r="P6" s="202">
        <f>'SER_se-appl'!P71</f>
        <v>2.1142257708775994E-2</v>
      </c>
      <c r="Q6" s="202">
        <f>'SER_se-appl'!Q71</f>
        <v>2.1892128740157401E-2</v>
      </c>
      <c r="R6" s="202">
        <f>'SER_se-appl'!R71</f>
        <v>2.2566357153650719E-2</v>
      </c>
      <c r="S6" s="202">
        <f>'SER_se-appl'!S71</f>
        <v>2.3287714114521036E-2</v>
      </c>
      <c r="T6" s="202">
        <f>'SER_se-appl'!T71</f>
        <v>2.3978312452227129E-2</v>
      </c>
      <c r="U6" s="202">
        <f>'SER_se-appl'!U71</f>
        <v>2.4627723799991143E-2</v>
      </c>
      <c r="V6" s="202">
        <f>'SER_se-appl'!V71</f>
        <v>2.5250790872801004E-2</v>
      </c>
      <c r="W6" s="202">
        <f>'SER_se-appl'!W71</f>
        <v>2.5933860164959768E-2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143.58196353559904</v>
      </c>
      <c r="C8" s="34">
        <f>'SER_se-appl'!C23</f>
        <v>147.31123312918498</v>
      </c>
      <c r="D8" s="34">
        <f>'SER_se-appl'!D23</f>
        <v>150.30444740382441</v>
      </c>
      <c r="E8" s="34">
        <f>'SER_se-appl'!E23</f>
        <v>154.30939529526444</v>
      </c>
      <c r="F8" s="34">
        <f>'SER_se-appl'!F23</f>
        <v>159.66169307342901</v>
      </c>
      <c r="G8" s="34">
        <f>'SER_se-appl'!G23</f>
        <v>167.09794038842622</v>
      </c>
      <c r="H8" s="34">
        <f>'SER_se-appl'!H23</f>
        <v>175.91279579034094</v>
      </c>
      <c r="I8" s="34">
        <f>'SER_se-appl'!I23</f>
        <v>185.9647127243185</v>
      </c>
      <c r="J8" s="34">
        <f>'SER_se-appl'!J23</f>
        <v>192.97591301620182</v>
      </c>
      <c r="K8" s="34">
        <f>'SER_se-appl'!K23</f>
        <v>197.94311722237336</v>
      </c>
      <c r="L8" s="34">
        <f>'SER_se-appl'!L23</f>
        <v>202.17883903019441</v>
      </c>
      <c r="M8" s="34">
        <f>'SER_se-appl'!M23</f>
        <v>202.77149094732906</v>
      </c>
      <c r="N8" s="34">
        <f>'SER_se-appl'!N23</f>
        <v>203.08775291588748</v>
      </c>
      <c r="O8" s="34">
        <f>'SER_se-appl'!O23</f>
        <v>205.17411244985382</v>
      </c>
      <c r="P8" s="34">
        <f>'SER_se-appl'!P23</f>
        <v>208.82979631364418</v>
      </c>
      <c r="Q8" s="34">
        <f>'SER_se-appl'!Q23</f>
        <v>215.75942913976181</v>
      </c>
      <c r="R8" s="34">
        <f>'SER_se-appl'!R23</f>
        <v>221.83823550360609</v>
      </c>
      <c r="S8" s="34">
        <f>'SER_se-appl'!S23</f>
        <v>228.16279958758085</v>
      </c>
      <c r="T8" s="34">
        <f>'SER_se-appl'!T23</f>
        <v>234.46883511179666</v>
      </c>
      <c r="U8" s="34">
        <f>'SER_se-appl'!U23</f>
        <v>240.68073553270625</v>
      </c>
      <c r="V8" s="34">
        <f>'SER_se-appl'!V23</f>
        <v>246.68825795239209</v>
      </c>
      <c r="W8" s="34">
        <f>'SER_se-appl'!W23</f>
        <v>252.35648034510589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16.778443885620561</v>
      </c>
      <c r="D9" s="36">
        <f>'SER_se-appl'!D31</f>
        <v>16.317258790586976</v>
      </c>
      <c r="E9" s="36">
        <f>'SER_se-appl'!E31</f>
        <v>17.609652548601247</v>
      </c>
      <c r="F9" s="36">
        <f>'SER_se-appl'!F31</f>
        <v>19.243574453730474</v>
      </c>
      <c r="G9" s="36">
        <f>'SER_se-appl'!G31</f>
        <v>21.620132415034846</v>
      </c>
      <c r="H9" s="36">
        <f>'SER_se-appl'!H31</f>
        <v>23.297512484466381</v>
      </c>
      <c r="I9" s="36">
        <f>'SER_se-appl'!I31</f>
        <v>24.839639387413655</v>
      </c>
      <c r="J9" s="36">
        <f>'SER_se-appl'!J31</f>
        <v>22.110414069672345</v>
      </c>
      <c r="K9" s="36">
        <f>'SER_se-appl'!K31</f>
        <v>20.384470619255922</v>
      </c>
      <c r="L9" s="36">
        <f>'SER_se-appl'!L31</f>
        <v>19.977740375812004</v>
      </c>
      <c r="M9" s="36">
        <f>'SER_se-appl'!M31</f>
        <v>17.371095802755207</v>
      </c>
      <c r="N9" s="36">
        <f>'SER_se-appl'!N31</f>
        <v>16.633520759145398</v>
      </c>
      <c r="O9" s="36">
        <f>'SER_se-appl'!O31</f>
        <v>19.696012082567592</v>
      </c>
      <c r="P9" s="36">
        <f>'SER_se-appl'!P31</f>
        <v>22.899258317520832</v>
      </c>
      <c r="Q9" s="36">
        <f>'SER_se-appl'!Q31</f>
        <v>28.549765241152471</v>
      </c>
      <c r="R9" s="36">
        <f>'SER_se-appl'!R31</f>
        <v>29.37631884831066</v>
      </c>
      <c r="S9" s="36">
        <f>'SER_se-appl'!S31</f>
        <v>31.164203471388419</v>
      </c>
      <c r="T9" s="36">
        <f>'SER_se-appl'!T31</f>
        <v>28.41644959388816</v>
      </c>
      <c r="U9" s="36">
        <f>'SER_se-appl'!U31</f>
        <v>26.596371040165508</v>
      </c>
      <c r="V9" s="36">
        <f>'SER_se-appl'!V31</f>
        <v>25.985262795497846</v>
      </c>
      <c r="W9" s="36">
        <f>'SER_se-appl'!W31</f>
        <v>23.039318195469008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13.049174292034621</v>
      </c>
      <c r="D10" s="38">
        <f>'SER_se-appl'!D39</f>
        <v>13.324044515947548</v>
      </c>
      <c r="E10" s="38">
        <f>'SER_se-appl'!E39</f>
        <v>13.604704657161221</v>
      </c>
      <c r="F10" s="38">
        <f>'SER_se-appl'!F39</f>
        <v>13.891276675565905</v>
      </c>
      <c r="G10" s="38">
        <f>'SER_se-appl'!G39</f>
        <v>14.183885100037628</v>
      </c>
      <c r="H10" s="38">
        <f>'SER_se-appl'!H39</f>
        <v>14.482657082551668</v>
      </c>
      <c r="I10" s="38">
        <f>'SER_se-appl'!I39</f>
        <v>14.787722453436089</v>
      </c>
      <c r="J10" s="38">
        <f>'SER_se-appl'!J39</f>
        <v>15.099213777789032</v>
      </c>
      <c r="K10" s="38">
        <f>'SER_se-appl'!K39</f>
        <v>15.417266413084377</v>
      </c>
      <c r="L10" s="38">
        <f>'SER_se-appl'!L39</f>
        <v>15.742018567990954</v>
      </c>
      <c r="M10" s="38">
        <f>'SER_se-appl'!M39</f>
        <v>16.778443885620561</v>
      </c>
      <c r="N10" s="38">
        <f>'SER_se-appl'!N39</f>
        <v>16.317258790586976</v>
      </c>
      <c r="O10" s="38">
        <f>'SER_se-appl'!O39</f>
        <v>17.609652548601247</v>
      </c>
      <c r="P10" s="38">
        <f>'SER_se-appl'!P39</f>
        <v>19.243574453730474</v>
      </c>
      <c r="Q10" s="38">
        <f>'SER_se-appl'!Q39</f>
        <v>21.620132415034846</v>
      </c>
      <c r="R10" s="38">
        <f>'SER_se-appl'!R39</f>
        <v>23.297512484466381</v>
      </c>
      <c r="S10" s="38">
        <f>'SER_se-appl'!S39</f>
        <v>24.839639387413655</v>
      </c>
      <c r="T10" s="38">
        <f>'SER_se-appl'!T39</f>
        <v>22.110414069672316</v>
      </c>
      <c r="U10" s="38">
        <f>'SER_se-appl'!U39</f>
        <v>20.384470619255922</v>
      </c>
      <c r="V10" s="38">
        <f>'SER_se-appl'!V39</f>
        <v>19.977740375811976</v>
      </c>
      <c r="W10" s="38">
        <f>'SER_se-appl'!W39</f>
        <v>17.371095802755207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8760</v>
      </c>
      <c r="D12" s="205">
        <f>'SER_se-appl'!D47</f>
        <v>8759.9999999999982</v>
      </c>
      <c r="E12" s="205">
        <f>'SER_se-appl'!E47</f>
        <v>8760</v>
      </c>
      <c r="F12" s="205">
        <f>'SER_se-appl'!F47</f>
        <v>8759.9999999999982</v>
      </c>
      <c r="G12" s="205">
        <f>'SER_se-appl'!G47</f>
        <v>8759.9999999999982</v>
      </c>
      <c r="H12" s="205">
        <f>'SER_se-appl'!H47</f>
        <v>8760</v>
      </c>
      <c r="I12" s="205">
        <f>'SER_se-appl'!I47</f>
        <v>8759.9999999999982</v>
      </c>
      <c r="J12" s="205">
        <f>'SER_se-appl'!J47</f>
        <v>8759.9999999999982</v>
      </c>
      <c r="K12" s="205">
        <f>'SER_se-appl'!K47</f>
        <v>8760</v>
      </c>
      <c r="L12" s="205">
        <f>'SER_se-appl'!L47</f>
        <v>8760</v>
      </c>
      <c r="M12" s="205">
        <f>'SER_se-appl'!M47</f>
        <v>8759.9999999999964</v>
      </c>
      <c r="N12" s="205">
        <f>'SER_se-appl'!N47</f>
        <v>8759.9999999999982</v>
      </c>
      <c r="O12" s="205">
        <f>'SER_se-appl'!O47</f>
        <v>8760.0000000000036</v>
      </c>
      <c r="P12" s="205">
        <f>'SER_se-appl'!P47</f>
        <v>8760</v>
      </c>
      <c r="Q12" s="205">
        <f>'SER_se-appl'!Q47</f>
        <v>8759.9999999999982</v>
      </c>
      <c r="R12" s="205">
        <f>'SER_se-appl'!R47</f>
        <v>8759.9999999999982</v>
      </c>
      <c r="S12" s="205">
        <f>'SER_se-appl'!S47</f>
        <v>8759.9999999999964</v>
      </c>
      <c r="T12" s="205">
        <f>'SER_se-appl'!T47</f>
        <v>8760</v>
      </c>
      <c r="U12" s="205">
        <f>'SER_se-appl'!U47</f>
        <v>8760</v>
      </c>
      <c r="V12" s="205">
        <f>'SER_se-appl'!V47</f>
        <v>8759.9999999999982</v>
      </c>
      <c r="W12" s="205">
        <f>'SER_se-appl'!W47</f>
        <v>8759.9999999999982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718.21685734730875</v>
      </c>
      <c r="C14" s="59">
        <f>'SER_se-appl'!C55</f>
        <v>710.1326391625015</v>
      </c>
      <c r="D14" s="59">
        <f>'SER_se-appl'!D55</f>
        <v>700.56802778280371</v>
      </c>
      <c r="E14" s="59">
        <f>'SER_se-appl'!E55</f>
        <v>689.96261710139197</v>
      </c>
      <c r="F14" s="59">
        <f>'SER_se-appl'!F55</f>
        <v>678.14077505702494</v>
      </c>
      <c r="G14" s="59">
        <f>'SER_se-appl'!G55</f>
        <v>665.65189406054481</v>
      </c>
      <c r="H14" s="59">
        <f>'SER_se-appl'!H55</f>
        <v>652.44605020263737</v>
      </c>
      <c r="I14" s="59">
        <f>'SER_se-appl'!I55</f>
        <v>638.15783765357912</v>
      </c>
      <c r="J14" s="59">
        <f>'SER_se-appl'!J55</f>
        <v>623.85337567460658</v>
      </c>
      <c r="K14" s="59">
        <f>'SER_se-appl'!K55</f>
        <v>609.12943654204128</v>
      </c>
      <c r="L14" s="59">
        <f>'SER_se-appl'!L55</f>
        <v>593.60094162335702</v>
      </c>
      <c r="M14" s="59">
        <f>'SER_se-appl'!M55</f>
        <v>583.25198327309431</v>
      </c>
      <c r="N14" s="59">
        <f>'SER_se-appl'!N55</f>
        <v>573.5886063852256</v>
      </c>
      <c r="O14" s="59">
        <f>'SER_se-appl'!O55</f>
        <v>562.37933715588736</v>
      </c>
      <c r="P14" s="59">
        <f>'SER_se-appl'!P55</f>
        <v>548.43786784965482</v>
      </c>
      <c r="Q14" s="59">
        <f>'SER_se-appl'!Q55</f>
        <v>530.75925918999212</v>
      </c>
      <c r="R14" s="59">
        <f>'SER_se-appl'!R55</f>
        <v>513.37329861914134</v>
      </c>
      <c r="S14" s="59">
        <f>'SER_se-appl'!S55</f>
        <v>496.33525425583872</v>
      </c>
      <c r="T14" s="59">
        <f>'SER_se-appl'!T55</f>
        <v>482.49389002814848</v>
      </c>
      <c r="U14" s="59">
        <f>'SER_se-appl'!U55</f>
        <v>470.84802664826748</v>
      </c>
      <c r="V14" s="59">
        <f>'SER_se-appl'!V55</f>
        <v>460.40946909344393</v>
      </c>
      <c r="W14" s="59">
        <f>'SER_se-appl'!W55</f>
        <v>451.74918344864113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647.23911007779338</v>
      </c>
      <c r="D15" s="63">
        <f>'SER_se-appl'!D63</f>
        <v>628.63064411821244</v>
      </c>
      <c r="E15" s="63">
        <f>'SER_se-appl'!E63</f>
        <v>621.2701886299327</v>
      </c>
      <c r="F15" s="63">
        <f>'SER_se-appl'!F63</f>
        <v>612.27393971294987</v>
      </c>
      <c r="G15" s="63">
        <f>'SER_se-appl'!G63</f>
        <v>607.9084695070818</v>
      </c>
      <c r="H15" s="63">
        <f>'SER_se-appl'!H63</f>
        <v>598.61484119846739</v>
      </c>
      <c r="I15" s="63">
        <f>'SER_se-appl'!I63</f>
        <v>584.63093927597572</v>
      </c>
      <c r="J15" s="63">
        <f>'SER_se-appl'!J63</f>
        <v>567.98328766493034</v>
      </c>
      <c r="K15" s="63">
        <f>'SER_se-appl'!K63</f>
        <v>552.2461458209483</v>
      </c>
      <c r="L15" s="63">
        <f>'SER_se-appl'!L63</f>
        <v>537.93635644690187</v>
      </c>
      <c r="M15" s="63">
        <f>'SER_se-appl'!M63</f>
        <v>524.60651959591769</v>
      </c>
      <c r="N15" s="63">
        <f>'SER_se-appl'!N63</f>
        <v>509.78238156627634</v>
      </c>
      <c r="O15" s="63">
        <f>'SER_se-appl'!O63</f>
        <v>499.45198609261018</v>
      </c>
      <c r="P15" s="63">
        <f>'SER_se-appl'!P63</f>
        <v>477.1694290736512</v>
      </c>
      <c r="Q15" s="63">
        <f>'SER_se-appl'!Q63</f>
        <v>459.87096691717437</v>
      </c>
      <c r="R15" s="63">
        <f>'SER_se-appl'!R63</f>
        <v>453.28173185438089</v>
      </c>
      <c r="S15" s="63">
        <f>'SER_se-appl'!S63</f>
        <v>445.42887623533596</v>
      </c>
      <c r="T15" s="63">
        <f>'SER_se-appl'!T63</f>
        <v>437.87612636995442</v>
      </c>
      <c r="U15" s="63">
        <f>'SER_se-appl'!U63</f>
        <v>430.56679992768545</v>
      </c>
      <c r="V15" s="63">
        <f>'SER_se-appl'!V63</f>
        <v>423.32892501404569</v>
      </c>
      <c r="W15" s="63">
        <f>'SER_se-appl'!W63</f>
        <v>413.95383700866392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24.717606557096559</v>
      </c>
      <c r="C3" s="199">
        <f>'SER_se-appl'!C8</f>
        <v>27.172205019632408</v>
      </c>
      <c r="D3" s="199">
        <f>'SER_se-appl'!D8</f>
        <v>29.671735112742702</v>
      </c>
      <c r="E3" s="199">
        <f>'SER_se-appl'!E8</f>
        <v>33.192244370857836</v>
      </c>
      <c r="F3" s="199">
        <f>'SER_se-appl'!F8</f>
        <v>36.117894354751932</v>
      </c>
      <c r="G3" s="199">
        <f>'SER_se-appl'!G8</f>
        <v>38.89062441336295</v>
      </c>
      <c r="H3" s="199">
        <f>'SER_se-appl'!H8</f>
        <v>41.271691698372116</v>
      </c>
      <c r="I3" s="199">
        <f>'SER_se-appl'!I8</f>
        <v>43.710214105986104</v>
      </c>
      <c r="J3" s="199">
        <f>'SER_se-appl'!J8</f>
        <v>44.92413074661301</v>
      </c>
      <c r="K3" s="199">
        <f>'SER_se-appl'!K8</f>
        <v>46.067911010321794</v>
      </c>
      <c r="L3" s="199">
        <f>'SER_se-appl'!L8</f>
        <v>47.189377290161211</v>
      </c>
      <c r="M3" s="199">
        <f>'SER_se-appl'!M8</f>
        <v>47.983597101820159</v>
      </c>
      <c r="N3" s="199">
        <f>'SER_se-appl'!N8</f>
        <v>47.218965807112518</v>
      </c>
      <c r="O3" s="199">
        <f>'SER_se-appl'!O8</f>
        <v>46.341654412573789</v>
      </c>
      <c r="P3" s="199">
        <f>'SER_se-appl'!P8</f>
        <v>45.892470155206574</v>
      </c>
      <c r="Q3" s="199">
        <f>'SER_se-appl'!Q8</f>
        <v>43.905148569157134</v>
      </c>
      <c r="R3" s="199">
        <f>'SER_se-appl'!R8</f>
        <v>47.377168191795704</v>
      </c>
      <c r="S3" s="199">
        <f>'SER_se-appl'!S8</f>
        <v>48.288854047095874</v>
      </c>
      <c r="T3" s="199">
        <f>'SER_se-appl'!T8</f>
        <v>48.663514024744863</v>
      </c>
      <c r="U3" s="199">
        <f>'SER_se-appl'!U8</f>
        <v>49.353327316063918</v>
      </c>
      <c r="V3" s="199">
        <f>'SER_se-appl'!V8</f>
        <v>47.001246642120371</v>
      </c>
      <c r="W3" s="199">
        <f>'SER_se-appl'!W8</f>
        <v>49.073646440906145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313.38925414058826</v>
      </c>
      <c r="C5" s="59">
        <f>'SER_se-appl'!C16</f>
        <v>342.87272121289027</v>
      </c>
      <c r="D5" s="59">
        <f>'SER_se-appl'!D16</f>
        <v>372.7876932820563</v>
      </c>
      <c r="E5" s="59">
        <f>'SER_se-appl'!E16</f>
        <v>415.35279506256808</v>
      </c>
      <c r="F5" s="59">
        <f>'SER_se-appl'!F16</f>
        <v>450.29145673726237</v>
      </c>
      <c r="G5" s="59">
        <f>'SER_se-appl'!G16</f>
        <v>483.1901125984628</v>
      </c>
      <c r="H5" s="59">
        <f>'SER_se-appl'!H16</f>
        <v>511.12127356880342</v>
      </c>
      <c r="I5" s="59">
        <f>'SER_se-appl'!I16</f>
        <v>539.68229843820222</v>
      </c>
      <c r="J5" s="59">
        <f>'SER_se-appl'!J16</f>
        <v>553.0873722084508</v>
      </c>
      <c r="K5" s="59">
        <f>'SER_se-appl'!K16</f>
        <v>565.63793084138149</v>
      </c>
      <c r="L5" s="59">
        <f>'SER_se-appl'!L16</f>
        <v>577.92360368299558</v>
      </c>
      <c r="M5" s="59">
        <f>'SER_se-appl'!M16</f>
        <v>589.79575052268945</v>
      </c>
      <c r="N5" s="59">
        <f>'SER_se-appl'!N16</f>
        <v>588.81325737274551</v>
      </c>
      <c r="O5" s="59">
        <f>'SER_se-appl'!O16</f>
        <v>589.62432792649065</v>
      </c>
      <c r="P5" s="59">
        <f>'SER_se-appl'!P16</f>
        <v>596.06809758661007</v>
      </c>
      <c r="Q5" s="59">
        <f>'SER_se-appl'!Q16</f>
        <v>582.41872943072985</v>
      </c>
      <c r="R5" s="59">
        <f>'SER_se-appl'!R16</f>
        <v>588.77882788959096</v>
      </c>
      <c r="S5" s="59">
        <f>'SER_se-appl'!S16</f>
        <v>595.83753614364252</v>
      </c>
      <c r="T5" s="59">
        <f>'SER_se-appl'!T16</f>
        <v>603.13651187512585</v>
      </c>
      <c r="U5" s="59">
        <f>'SER_se-appl'!U16</f>
        <v>616.88350499019589</v>
      </c>
      <c r="V5" s="59">
        <f>'SER_se-appl'!V16</f>
        <v>629.57226688826086</v>
      </c>
      <c r="W5" s="59">
        <f>'SER_se-appl'!W16</f>
        <v>641.94847574233665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66.187904659623953</v>
      </c>
      <c r="C6" s="202">
        <f>'SER_se-appl'!C72</f>
        <v>71.573677965974952</v>
      </c>
      <c r="D6" s="202">
        <f>'SER_se-appl'!D72</f>
        <v>76.766210903281106</v>
      </c>
      <c r="E6" s="202">
        <f>'SER_se-appl'!E72</f>
        <v>83.470489479538131</v>
      </c>
      <c r="F6" s="202">
        <f>'SER_se-appl'!F72</f>
        <v>90.099487314159944</v>
      </c>
      <c r="G6" s="202">
        <f>'SER_se-appl'!G72</f>
        <v>95.544746717990421</v>
      </c>
      <c r="H6" s="202">
        <f>'SER_se-appl'!H72</f>
        <v>100.80123858650725</v>
      </c>
      <c r="I6" s="202">
        <f>'SER_se-appl'!I72</f>
        <v>105.69879145568062</v>
      </c>
      <c r="J6" s="202">
        <f>'SER_se-appl'!J72</f>
        <v>110.05411479100511</v>
      </c>
      <c r="K6" s="202">
        <f>'SER_se-appl'!K72</f>
        <v>114.29471788357792</v>
      </c>
      <c r="L6" s="202">
        <f>'SER_se-appl'!L72</f>
        <v>118.27061863111598</v>
      </c>
      <c r="M6" s="202">
        <f>'SER_se-appl'!M72</f>
        <v>122.0973907300085</v>
      </c>
      <c r="N6" s="202">
        <f>'SER_se-appl'!N72</f>
        <v>122.94465843602539</v>
      </c>
      <c r="O6" s="202">
        <f>'SER_se-appl'!O72</f>
        <v>124.45222570650091</v>
      </c>
      <c r="P6" s="202">
        <f>'SER_se-appl'!P72</f>
        <v>125.54512895423193</v>
      </c>
      <c r="Q6" s="202">
        <f>'SER_se-appl'!Q72</f>
        <v>125.66262522137146</v>
      </c>
      <c r="R6" s="202">
        <f>'SER_se-appl'!R72</f>
        <v>129.65505787739195</v>
      </c>
      <c r="S6" s="202">
        <f>'SER_se-appl'!S72</f>
        <v>133.36198957395658</v>
      </c>
      <c r="T6" s="202">
        <f>'SER_se-appl'!T72</f>
        <v>138.29044657767682</v>
      </c>
      <c r="U6" s="202">
        <f>'SER_se-appl'!U72</f>
        <v>144.5999141832838</v>
      </c>
      <c r="V6" s="202">
        <f>'SER_se-appl'!V72</f>
        <v>150.60450282639636</v>
      </c>
      <c r="W6" s="202">
        <f>'SER_se-appl'!W72</f>
        <v>156.14982379923902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5.6412263753804304</v>
      </c>
      <c r="C8" s="34">
        <f>'SER_se-appl'!C24</f>
        <v>6.2189646944547361</v>
      </c>
      <c r="D8" s="34">
        <f>'SER_se-appl'!D24</f>
        <v>6.8193602936555777</v>
      </c>
      <c r="E8" s="34">
        <f>'SER_se-appl'!E24</f>
        <v>7.689428821825925</v>
      </c>
      <c r="F8" s="34">
        <f>'SER_se-appl'!F24</f>
        <v>8.4296690171769839</v>
      </c>
      <c r="G8" s="34">
        <f>'SER_se-appl'!G24</f>
        <v>9.1498122943546711</v>
      </c>
      <c r="H8" s="34">
        <f>'SER_se-appl'!H24</f>
        <v>9.7861229706572228</v>
      </c>
      <c r="I8" s="34">
        <f>'SER_se-appl'!I24</f>
        <v>10.461902824427765</v>
      </c>
      <c r="J8" s="34">
        <f>'SER_se-appl'!J24</f>
        <v>10.830170206759842</v>
      </c>
      <c r="K8" s="34">
        <f>'SER_se-appl'!K24</f>
        <v>11.199392555064899</v>
      </c>
      <c r="L8" s="34">
        <f>'SER_se-appl'!L24</f>
        <v>11.59174097640827</v>
      </c>
      <c r="M8" s="34">
        <f>'SER_se-appl'!M24</f>
        <v>12.019719300940663</v>
      </c>
      <c r="N8" s="34">
        <f>'SER_se-appl'!N24</f>
        <v>12.190921038502152</v>
      </c>
      <c r="O8" s="34">
        <f>'SER_se-appl'!O24</f>
        <v>12.470290925826399</v>
      </c>
      <c r="P8" s="34">
        <f>'SER_se-appl'!P24</f>
        <v>12.974878338653575</v>
      </c>
      <c r="Q8" s="34">
        <f>'SER_se-appl'!Q24</f>
        <v>12.996236715610799</v>
      </c>
      <c r="R8" s="34">
        <f>'SER_se-appl'!R24</f>
        <v>13.537848747482547</v>
      </c>
      <c r="S8" s="34">
        <f>'SER_se-appl'!S24</f>
        <v>14.119341187435438</v>
      </c>
      <c r="T8" s="34">
        <f>'SER_se-appl'!T24</f>
        <v>14.842155341186997</v>
      </c>
      <c r="U8" s="34">
        <f>'SER_se-appl'!U24</f>
        <v>15.699244537838164</v>
      </c>
      <c r="V8" s="34">
        <f>'SER_se-appl'!V24</f>
        <v>16.525040250132278</v>
      </c>
      <c r="W8" s="34">
        <f>'SER_se-appl'!W24</f>
        <v>17.305503675026301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0.73841429288918103</v>
      </c>
      <c r="D9" s="36">
        <f>'SER_se-appl'!D32</f>
        <v>0.77915267752234474</v>
      </c>
      <c r="E9" s="36">
        <f>'SER_se-appl'!E32</f>
        <v>1.068941404378065</v>
      </c>
      <c r="F9" s="36">
        <f>'SER_se-appl'!F32</f>
        <v>0.96149252987398448</v>
      </c>
      <c r="G9" s="36">
        <f>'SER_se-appl'!G32</f>
        <v>0.96629346349427081</v>
      </c>
      <c r="H9" s="36">
        <f>'SER_se-appl'!H32</f>
        <v>0.9101605064267666</v>
      </c>
      <c r="I9" s="36">
        <f>'SER_se-appl'!I32</f>
        <v>0.98044640950740813</v>
      </c>
      <c r="J9" s="36">
        <f>'SER_se-appl'!J32</f>
        <v>0.70721851530324287</v>
      </c>
      <c r="K9" s="36">
        <f>'SER_se-appl'!K32</f>
        <v>0.74631615259404605</v>
      </c>
      <c r="L9" s="36">
        <f>'SER_se-appl'!L32</f>
        <v>0.81187714805583866</v>
      </c>
      <c r="M9" s="36">
        <f>'SER_se-appl'!M32</f>
        <v>0.89471723812669524</v>
      </c>
      <c r="N9" s="36">
        <f>'SER_se-appl'!N32</f>
        <v>0.69046347005422781</v>
      </c>
      <c r="O9" s="36">
        <f>'SER_se-appl'!O32</f>
        <v>0.85706490905481303</v>
      </c>
      <c r="P9" s="36">
        <f>'SER_se-appl'!P32</f>
        <v>1.1472913080866753</v>
      </c>
      <c r="Q9" s="36">
        <f>'SER_se-appl'!Q32</f>
        <v>0.73638669024323633</v>
      </c>
      <c r="R9" s="36">
        <f>'SER_se-appl'!R32</f>
        <v>1.2800263247609305</v>
      </c>
      <c r="S9" s="36">
        <f>'SER_se-appl'!S32</f>
        <v>1.3606451174752365</v>
      </c>
      <c r="T9" s="36">
        <f>'SER_se-appl'!T32</f>
        <v>1.7917555581296245</v>
      </c>
      <c r="U9" s="36">
        <f>'SER_se-appl'!U32</f>
        <v>1.8185817265251512</v>
      </c>
      <c r="V9" s="36">
        <f>'SER_se-appl'!V32</f>
        <v>1.7920891757883854</v>
      </c>
      <c r="W9" s="36">
        <f>'SER_se-appl'!W32</f>
        <v>1.6906239313207898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0.16067597381487531</v>
      </c>
      <c r="D10" s="38">
        <f>'SER_se-appl'!D40</f>
        <v>0.17875707832150312</v>
      </c>
      <c r="E10" s="38">
        <f>'SER_se-appl'!E40</f>
        <v>0.19887287620771765</v>
      </c>
      <c r="F10" s="38">
        <f>'SER_se-appl'!F40</f>
        <v>0.22125233452292647</v>
      </c>
      <c r="G10" s="38">
        <f>'SER_se-appl'!G40</f>
        <v>0.24615018631658359</v>
      </c>
      <c r="H10" s="38">
        <f>'SER_se-appl'!H40</f>
        <v>0.27384983012421493</v>
      </c>
      <c r="I10" s="38">
        <f>'SER_se-appl'!I40</f>
        <v>0.30466655573686552</v>
      </c>
      <c r="J10" s="38">
        <f>'SER_se-appl'!J40</f>
        <v>0.3389511329711663</v>
      </c>
      <c r="K10" s="38">
        <f>'SER_se-appl'!K40</f>
        <v>0.37709380428898953</v>
      </c>
      <c r="L10" s="38">
        <f>'SER_se-appl'!L40</f>
        <v>0.41952872671246766</v>
      </c>
      <c r="M10" s="38">
        <f>'SER_se-appl'!M40</f>
        <v>0.46673891359430186</v>
      </c>
      <c r="N10" s="38">
        <f>'SER_se-appl'!N40</f>
        <v>0.51926173249273866</v>
      </c>
      <c r="O10" s="38">
        <f>'SER_se-appl'!O40</f>
        <v>0.57769502173056608</v>
      </c>
      <c r="P10" s="38">
        <f>'SER_se-appl'!P40</f>
        <v>0.64270389525949945</v>
      </c>
      <c r="Q10" s="38">
        <f>'SER_se-appl'!Q40</f>
        <v>0.71502831328601246</v>
      </c>
      <c r="R10" s="38">
        <f>'SER_se-appl'!R40</f>
        <v>0.73841429288918192</v>
      </c>
      <c r="S10" s="38">
        <f>'SER_se-appl'!S40</f>
        <v>0.77915267752234563</v>
      </c>
      <c r="T10" s="38">
        <f>'SER_se-appl'!T40</f>
        <v>1.0689414043780658</v>
      </c>
      <c r="U10" s="38">
        <f>'SER_se-appl'!U40</f>
        <v>0.96149252987398448</v>
      </c>
      <c r="V10" s="38">
        <f>'SER_se-appl'!V40</f>
        <v>0.96629346349427081</v>
      </c>
      <c r="W10" s="38">
        <f>'SER_se-appl'!W40</f>
        <v>0.9101605064267666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917.28022087851855</v>
      </c>
      <c r="C12" s="205">
        <f>'SER_se-appl'!C48</f>
        <v>921.66196033458141</v>
      </c>
      <c r="D12" s="205">
        <f>'SER_se-appl'!D48</f>
        <v>925.68044916682277</v>
      </c>
      <c r="E12" s="205">
        <f>'SER_se-appl'!E48</f>
        <v>929.39257089849684</v>
      </c>
      <c r="F12" s="205">
        <f>'SER_se-appl'!F48</f>
        <v>932.84272899465168</v>
      </c>
      <c r="G12" s="205">
        <f>'SER_se-appl'!G48</f>
        <v>936.0662607417147</v>
      </c>
      <c r="H12" s="205">
        <f>'SER_se-appl'!H48</f>
        <v>939.09175624922409</v>
      </c>
      <c r="I12" s="205">
        <f>'SER_se-appl'!I48</f>
        <v>941.94267909794769</v>
      </c>
      <c r="J12" s="205">
        <f>'SER_se-appl'!J48</f>
        <v>944.63852699605411</v>
      </c>
      <c r="K12" s="205">
        <f>'SER_se-appl'!K48</f>
        <v>947.19568090684709</v>
      </c>
      <c r="L12" s="205">
        <f>'SER_se-appl'!L48</f>
        <v>949.62803800900167</v>
      </c>
      <c r="M12" s="205">
        <f>'SER_se-appl'!M48</f>
        <v>946.17371149183998</v>
      </c>
      <c r="N12" s="205">
        <f>'SER_se-appl'!N48</f>
        <v>932.64980952879171</v>
      </c>
      <c r="O12" s="205">
        <f>'SER_se-appl'!O48</f>
        <v>914.0624212599065</v>
      </c>
      <c r="P12" s="205">
        <f>'SER_se-appl'!P48</f>
        <v>895.41686606956898</v>
      </c>
      <c r="Q12" s="205">
        <f>'SER_se-appl'!Q48</f>
        <v>876.71781839568723</v>
      </c>
      <c r="R12" s="205">
        <f>'SER_se-appl'!R48</f>
        <v>935.82927912942546</v>
      </c>
      <c r="S12" s="205">
        <f>'SER_se-appl'!S48</f>
        <v>942.5377531642057</v>
      </c>
      <c r="T12" s="205">
        <f>'SER_se-appl'!T48</f>
        <v>938.35583978865327</v>
      </c>
      <c r="U12" s="205">
        <f>'SER_se-appl'!U48</f>
        <v>930.44990187401049</v>
      </c>
      <c r="V12" s="205">
        <f>'SER_se-appl'!V48</f>
        <v>868.24742320626581</v>
      </c>
      <c r="W12" s="205">
        <f>'SER_se-appl'!W48</f>
        <v>889.05345159946285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55.553390927243917</v>
      </c>
      <c r="C14" s="59">
        <f>'SER_se-appl'!C56</f>
        <v>55.133408542843085</v>
      </c>
      <c r="D14" s="59">
        <f>'SER_se-appl'!D56</f>
        <v>54.66607969502374</v>
      </c>
      <c r="E14" s="59">
        <f>'SER_se-appl'!E56</f>
        <v>54.016079046549883</v>
      </c>
      <c r="F14" s="59">
        <f>'SER_se-appl'!F56</f>
        <v>53.417453973544113</v>
      </c>
      <c r="G14" s="59">
        <f>'SER_se-appl'!G56</f>
        <v>52.808745912370853</v>
      </c>
      <c r="H14" s="59">
        <f>'SER_se-appl'!H56</f>
        <v>52.22918975178964</v>
      </c>
      <c r="I14" s="59">
        <f>'SER_se-appl'!I56</f>
        <v>51.585481866461627</v>
      </c>
      <c r="J14" s="59">
        <f>'SER_se-appl'!J56</f>
        <v>51.069130184420509</v>
      </c>
      <c r="K14" s="59">
        <f>'SER_se-appl'!K56</f>
        <v>50.5061259403371</v>
      </c>
      <c r="L14" s="59">
        <f>'SER_se-appl'!L56</f>
        <v>49.856497385439916</v>
      </c>
      <c r="M14" s="59">
        <f>'SER_se-appl'!M56</f>
        <v>49.06901199236259</v>
      </c>
      <c r="N14" s="59">
        <f>'SER_se-appl'!N56</f>
        <v>48.299325006955385</v>
      </c>
      <c r="O14" s="59">
        <f>'SER_se-appl'!O56</f>
        <v>47.282323358259312</v>
      </c>
      <c r="P14" s="59">
        <f>'SER_se-appl'!P56</f>
        <v>45.94016853405541</v>
      </c>
      <c r="Q14" s="59">
        <f>'SER_se-appl'!Q56</f>
        <v>44.814413754955773</v>
      </c>
      <c r="R14" s="59">
        <f>'SER_se-appl'!R56</f>
        <v>43.491313787877729</v>
      </c>
      <c r="S14" s="59">
        <f>'SER_se-appl'!S56</f>
        <v>42.200094766026915</v>
      </c>
      <c r="T14" s="59">
        <f>'SER_se-appl'!T56</f>
        <v>40.636720072685222</v>
      </c>
      <c r="U14" s="59">
        <f>'SER_se-appl'!U56</f>
        <v>39.293833757630146</v>
      </c>
      <c r="V14" s="59">
        <f>'SER_se-appl'!V56</f>
        <v>38.098077666299261</v>
      </c>
      <c r="W14" s="59">
        <f>'SER_se-appl'!W56</f>
        <v>37.095047205631879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52.016276808471538</v>
      </c>
      <c r="D15" s="63">
        <f>'SER_se-appl'!D64</f>
        <v>51.139571321090258</v>
      </c>
      <c r="E15" s="63">
        <f>'SER_se-appl'!E64</f>
        <v>50.155381948646642</v>
      </c>
      <c r="F15" s="63">
        <f>'SER_se-appl'!F64</f>
        <v>49.121524755061529</v>
      </c>
      <c r="G15" s="63">
        <f>'SER_se-appl'!G64</f>
        <v>48.197711304021141</v>
      </c>
      <c r="H15" s="63">
        <f>'SER_se-appl'!H64</f>
        <v>47.403119926586115</v>
      </c>
      <c r="I15" s="63">
        <f>'SER_se-appl'!I64</f>
        <v>46.393443539212704</v>
      </c>
      <c r="J15" s="63">
        <f>'SER_se-appl'!J64</f>
        <v>45.579913234605201</v>
      </c>
      <c r="K15" s="63">
        <f>'SER_se-appl'!K64</f>
        <v>44.886336765459582</v>
      </c>
      <c r="L15" s="63">
        <f>'SER_se-appl'!L64</f>
        <v>43.839041765260994</v>
      </c>
      <c r="M15" s="63">
        <f>'SER_se-appl'!M64</f>
        <v>42.249187292625379</v>
      </c>
      <c r="N15" s="63">
        <f>'SER_se-appl'!N64</f>
        <v>40.355874100905979</v>
      </c>
      <c r="O15" s="63">
        <f>'SER_se-appl'!O64</f>
        <v>38.391477220731176</v>
      </c>
      <c r="P15" s="63">
        <f>'SER_se-appl'!P64</f>
        <v>36.737095545701344</v>
      </c>
      <c r="Q15" s="63">
        <f>'SER_se-appl'!Q64</f>
        <v>35.406505307059959</v>
      </c>
      <c r="R15" s="63">
        <f>'SER_se-appl'!R64</f>
        <v>34.975578119831354</v>
      </c>
      <c r="S15" s="63">
        <f>'SER_se-appl'!S64</f>
        <v>34.472061505102587</v>
      </c>
      <c r="T15" s="63">
        <f>'SER_se-appl'!T64</f>
        <v>33.995786909891216</v>
      </c>
      <c r="U15" s="63">
        <f>'SER_se-appl'!U64</f>
        <v>33.529959821818593</v>
      </c>
      <c r="V15" s="63">
        <f>'SER_se-appl'!V64</f>
        <v>33.068608463891799</v>
      </c>
      <c r="W15" s="63">
        <f>'SER_se-appl'!W64</f>
        <v>32.840335135496908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35.539874622464943</v>
      </c>
      <c r="C3" s="199">
        <f>'SER_se-appl'!C9</f>
        <v>39.289992347329445</v>
      </c>
      <c r="D3" s="199">
        <f>'SER_se-appl'!D9</f>
        <v>42.61203173692941</v>
      </c>
      <c r="E3" s="199">
        <f>'SER_se-appl'!E9</f>
        <v>45.912167601611259</v>
      </c>
      <c r="F3" s="199">
        <f>'SER_se-appl'!F9</f>
        <v>52.567876641909187</v>
      </c>
      <c r="G3" s="199">
        <f>'SER_se-appl'!G9</f>
        <v>60.76505398894605</v>
      </c>
      <c r="H3" s="199">
        <f>'SER_se-appl'!H9</f>
        <v>68.101918176031845</v>
      </c>
      <c r="I3" s="199">
        <f>'SER_se-appl'!I9</f>
        <v>74.99098954812186</v>
      </c>
      <c r="J3" s="199">
        <f>'SER_se-appl'!J9</f>
        <v>77.108531478140023</v>
      </c>
      <c r="K3" s="199">
        <f>'SER_se-appl'!K9</f>
        <v>80.976927298644483</v>
      </c>
      <c r="L3" s="199">
        <f>'SER_se-appl'!L9</f>
        <v>80.69295674072761</v>
      </c>
      <c r="M3" s="199">
        <f>'SER_se-appl'!M9</f>
        <v>84.301844265585231</v>
      </c>
      <c r="N3" s="199">
        <f>'SER_se-appl'!N9</f>
        <v>74.80127261296019</v>
      </c>
      <c r="O3" s="199">
        <f>'SER_se-appl'!O9</f>
        <v>74.637793506140667</v>
      </c>
      <c r="P3" s="199">
        <f>'SER_se-appl'!P9</f>
        <v>75.50188863836911</v>
      </c>
      <c r="Q3" s="199">
        <f>'SER_se-appl'!Q9</f>
        <v>81.536867414310265</v>
      </c>
      <c r="R3" s="199">
        <f>'SER_se-appl'!R9</f>
        <v>79.774856707712033</v>
      </c>
      <c r="S3" s="199">
        <f>'SER_se-appl'!S9</f>
        <v>83.524382826370541</v>
      </c>
      <c r="T3" s="199">
        <f>'SER_se-appl'!T9</f>
        <v>84.466235858396587</v>
      </c>
      <c r="U3" s="199">
        <f>'SER_se-appl'!U9</f>
        <v>83.978815247086914</v>
      </c>
      <c r="V3" s="199">
        <f>'SER_se-appl'!V9</f>
        <v>79.336032017735178</v>
      </c>
      <c r="W3" s="199">
        <f>'SER_se-appl'!W9</f>
        <v>79.498066405589483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263.30220273622962</v>
      </c>
      <c r="C5" s="59">
        <f>'SER_se-appl'!C17</f>
        <v>288.2436531266157</v>
      </c>
      <c r="D5" s="59">
        <f>'SER_se-appl'!D17</f>
        <v>306.86914104125594</v>
      </c>
      <c r="E5" s="59">
        <f>'SER_se-appl'!E17</f>
        <v>325.11701473742647</v>
      </c>
      <c r="F5" s="59">
        <f>'SER_se-appl'!F17</f>
        <v>365.94014452818163</v>
      </c>
      <c r="G5" s="59">
        <f>'SER_se-appl'!G17</f>
        <v>416.53777707785144</v>
      </c>
      <c r="H5" s="59">
        <f>'SER_se-appl'!H17</f>
        <v>459.50564992183268</v>
      </c>
      <c r="I5" s="59">
        <f>'SER_se-appl'!I17</f>
        <v>499.8531544585145</v>
      </c>
      <c r="J5" s="59">
        <f>'SER_se-appl'!J17</f>
        <v>507.87541582785809</v>
      </c>
      <c r="K5" s="59">
        <f>'SER_se-appl'!K17</f>
        <v>528.68104476789529</v>
      </c>
      <c r="L5" s="59">
        <f>'SER_se-appl'!L17</f>
        <v>520.43707933371491</v>
      </c>
      <c r="M5" s="59">
        <f>'SER_se-appl'!M17</f>
        <v>538.79381800158887</v>
      </c>
      <c r="N5" s="59">
        <f>'SER_se-appl'!N17</f>
        <v>474.91313838884224</v>
      </c>
      <c r="O5" s="59">
        <f>'SER_se-appl'!O17</f>
        <v>471.74995446900334</v>
      </c>
      <c r="P5" s="59">
        <f>'SER_se-appl'!P17</f>
        <v>475.11355069599671</v>
      </c>
      <c r="Q5" s="59">
        <f>'SER_se-appl'!Q17</f>
        <v>511.92542428200119</v>
      </c>
      <c r="R5" s="59">
        <f>'SER_se-appl'!R17</f>
        <v>501.33811643326578</v>
      </c>
      <c r="S5" s="59">
        <f>'SER_se-appl'!S17</f>
        <v>519.54170511372047</v>
      </c>
      <c r="T5" s="59">
        <f>'SER_se-appl'!T17</f>
        <v>526.08268154647442</v>
      </c>
      <c r="U5" s="59">
        <f>'SER_se-appl'!U17</f>
        <v>524.22115884455457</v>
      </c>
      <c r="V5" s="59">
        <f>'SER_se-appl'!V17</f>
        <v>515.93425814256011</v>
      </c>
      <c r="W5" s="59">
        <f>'SER_se-appl'!W17</f>
        <v>509.86145264770306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6.6340214005536177E-2</v>
      </c>
      <c r="C6" s="202">
        <f>'SER_se-appl'!C73</f>
        <v>7.4753384195108505E-2</v>
      </c>
      <c r="D6" s="202">
        <f>'SER_se-appl'!D73</f>
        <v>8.2361629638464967E-2</v>
      </c>
      <c r="E6" s="202">
        <f>'SER_se-appl'!E73</f>
        <v>9.0740630381955317E-2</v>
      </c>
      <c r="F6" s="202">
        <f>'SER_se-appl'!F73</f>
        <v>0.10713728513474559</v>
      </c>
      <c r="G6" s="202">
        <f>'SER_se-appl'!G73</f>
        <v>0.12833174743018014</v>
      </c>
      <c r="H6" s="202">
        <f>'SER_se-appl'!H73</f>
        <v>0.14961974512999648</v>
      </c>
      <c r="I6" s="202">
        <f>'SER_se-appl'!I73</f>
        <v>0.17106264755077233</v>
      </c>
      <c r="J6" s="202">
        <f>'SER_se-appl'!J73</f>
        <v>0.18159983771542901</v>
      </c>
      <c r="K6" s="202">
        <f>'SER_se-appl'!K73</f>
        <v>0.20118178688533719</v>
      </c>
      <c r="L6" s="202">
        <f>'SER_se-appl'!L73</f>
        <v>0.21157782931301181</v>
      </c>
      <c r="M6" s="202">
        <f>'SER_se-appl'!M73</f>
        <v>0.23869152522227355</v>
      </c>
      <c r="N6" s="202">
        <f>'SER_se-appl'!N73</f>
        <v>0.22297650036939307</v>
      </c>
      <c r="O6" s="202">
        <f>'SER_se-appl'!O73</f>
        <v>0.23470075880878219</v>
      </c>
      <c r="P6" s="202">
        <f>'SER_se-appl'!P73</f>
        <v>0.25473868131795169</v>
      </c>
      <c r="Q6" s="202">
        <f>'SER_se-appl'!Q73</f>
        <v>0.2935437630632064</v>
      </c>
      <c r="R6" s="202">
        <f>'SER_se-appl'!R73</f>
        <v>0.30697703943440896</v>
      </c>
      <c r="S6" s="202">
        <f>'SER_se-appl'!S73</f>
        <v>0.32601171368686771</v>
      </c>
      <c r="T6" s="202">
        <f>'SER_se-appl'!T73</f>
        <v>0.33921259734766995</v>
      </c>
      <c r="U6" s="202">
        <f>'SER_se-appl'!U73</f>
        <v>0.35126291311514546</v>
      </c>
      <c r="V6" s="202">
        <f>'SER_se-appl'!V73</f>
        <v>0.35647932828764334</v>
      </c>
      <c r="W6" s="202">
        <f>'SER_se-appl'!W73</f>
        <v>0.36414067773878189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678.10605044840486</v>
      </c>
      <c r="C8" s="34">
        <f>'SER_se-appl'!C25</f>
        <v>762.50679529859701</v>
      </c>
      <c r="D8" s="34">
        <f>'SER_se-appl'!D25</f>
        <v>838.0174744118242</v>
      </c>
      <c r="E8" s="34">
        <f>'SER_se-appl'!E25</f>
        <v>920.32432144198901</v>
      </c>
      <c r="F8" s="34">
        <f>'SER_se-appl'!F25</f>
        <v>1083.8802722886564</v>
      </c>
      <c r="G8" s="34">
        <f>'SER_se-appl'!G25</f>
        <v>1295.8361079318679</v>
      </c>
      <c r="H8" s="34">
        <f>'SER_se-appl'!H25</f>
        <v>1507.6554810017651</v>
      </c>
      <c r="I8" s="34">
        <f>'SER_se-appl'!I25</f>
        <v>1721.9436381443875</v>
      </c>
      <c r="J8" s="34">
        <f>'SER_se-appl'!J25</f>
        <v>1824.2431913864084</v>
      </c>
      <c r="K8" s="34">
        <f>'SER_se-appl'!K25</f>
        <v>2018.0494747021453</v>
      </c>
      <c r="L8" s="34">
        <f>'SER_se-appl'!L25</f>
        <v>2118.8089339571975</v>
      </c>
      <c r="M8" s="34">
        <f>'SER_se-appl'!M25</f>
        <v>2383.5072146256121</v>
      </c>
      <c r="N8" s="34">
        <f>'SER_se-appl'!N25</f>
        <v>2214.5858784312845</v>
      </c>
      <c r="O8" s="34">
        <f>'SER_se-appl'!O25</f>
        <v>2325.6024094829436</v>
      </c>
      <c r="P8" s="34">
        <f>'SER_se-appl'!P25</f>
        <v>2516.1469349960898</v>
      </c>
      <c r="Q8" s="34">
        <f>'SER_se-appl'!Q25</f>
        <v>2893.0413984766083</v>
      </c>
      <c r="R8" s="34">
        <f>'SER_se-appl'!R25</f>
        <v>3017.7331815043653</v>
      </c>
      <c r="S8" s="34">
        <f>'SER_se-appl'!S25</f>
        <v>3194.1196515616211</v>
      </c>
      <c r="T8" s="34">
        <f>'SER_se-appl'!T25</f>
        <v>3316.9466247391329</v>
      </c>
      <c r="U8" s="34">
        <f>'SER_se-appl'!U25</f>
        <v>3432.8067417235166</v>
      </c>
      <c r="V8" s="34">
        <f>'SER_se-appl'!V25</f>
        <v>3482.6340661686668</v>
      </c>
      <c r="W8" s="34">
        <f>'SER_se-appl'!W25</f>
        <v>3543.3699110015623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220.02195493987313</v>
      </c>
      <c r="D9" s="36">
        <f>'SER_se-appl'!D33</f>
        <v>211.13188920290816</v>
      </c>
      <c r="E9" s="36">
        <f>'SER_se-appl'!E33</f>
        <v>217.92805711984579</v>
      </c>
      <c r="F9" s="36">
        <f>'SER_se-appl'!F33</f>
        <v>299.1771609363484</v>
      </c>
      <c r="G9" s="36">
        <f>'SER_se-appl'!G33</f>
        <v>347.57704573289243</v>
      </c>
      <c r="H9" s="36">
        <f>'SER_se-appl'!H33</f>
        <v>431.84132800977022</v>
      </c>
      <c r="I9" s="36">
        <f>'SER_se-appl'!I33</f>
        <v>425.42004634553041</v>
      </c>
      <c r="J9" s="36">
        <f>'SER_se-appl'!J33</f>
        <v>320.22761036186671</v>
      </c>
      <c r="K9" s="36">
        <f>'SER_se-appl'!K33</f>
        <v>492.98344425208529</v>
      </c>
      <c r="L9" s="36">
        <f>'SER_se-appl'!L33</f>
        <v>448.33650498794464</v>
      </c>
      <c r="M9" s="36">
        <f>'SER_se-appl'!M33</f>
        <v>696.53960867818478</v>
      </c>
      <c r="N9" s="36">
        <f>'SER_se-appl'!N33</f>
        <v>256.49871015120289</v>
      </c>
      <c r="O9" s="36">
        <f>'SER_se-appl'!O33</f>
        <v>431.24414141352577</v>
      </c>
      <c r="P9" s="36">
        <f>'SER_se-appl'!P33</f>
        <v>683.52796976523155</v>
      </c>
      <c r="Q9" s="36">
        <f>'SER_se-appl'!Q33</f>
        <v>825.23096846846329</v>
      </c>
      <c r="R9" s="36">
        <f>'SER_se-appl'!R33</f>
        <v>821.23139170594186</v>
      </c>
      <c r="S9" s="36">
        <f>'SER_se-appl'!S33</f>
        <v>432.88518020845868</v>
      </c>
      <c r="T9" s="36">
        <f>'SER_se-appl'!T33</f>
        <v>554.07111459103726</v>
      </c>
      <c r="U9" s="36">
        <f>'SER_se-appl'!U33</f>
        <v>799.38808674961501</v>
      </c>
      <c r="V9" s="36">
        <f>'SER_se-appl'!V33</f>
        <v>875.05829291361351</v>
      </c>
      <c r="W9" s="36">
        <f>'SER_se-appl'!W33</f>
        <v>881.96723653883737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135.62121008968097</v>
      </c>
      <c r="D10" s="38">
        <f>'SER_se-appl'!D41</f>
        <v>135.62121008968097</v>
      </c>
      <c r="E10" s="38">
        <f>'SER_se-appl'!E41</f>
        <v>135.62121008968097</v>
      </c>
      <c r="F10" s="38">
        <f>'SER_se-appl'!F41</f>
        <v>135.62121008968097</v>
      </c>
      <c r="G10" s="38">
        <f>'SER_se-appl'!G41</f>
        <v>135.62121008968097</v>
      </c>
      <c r="H10" s="38">
        <f>'SER_se-appl'!H41</f>
        <v>220.02195493987301</v>
      </c>
      <c r="I10" s="38">
        <f>'SER_se-appl'!I41</f>
        <v>211.13188920290804</v>
      </c>
      <c r="J10" s="38">
        <f>'SER_se-appl'!J41</f>
        <v>217.92805711984579</v>
      </c>
      <c r="K10" s="38">
        <f>'SER_se-appl'!K41</f>
        <v>299.17716093634817</v>
      </c>
      <c r="L10" s="38">
        <f>'SER_se-appl'!L41</f>
        <v>347.5770457328922</v>
      </c>
      <c r="M10" s="38">
        <f>'SER_se-appl'!M41</f>
        <v>431.84132800977022</v>
      </c>
      <c r="N10" s="38">
        <f>'SER_se-appl'!N41</f>
        <v>425.42004634553041</v>
      </c>
      <c r="O10" s="38">
        <f>'SER_se-appl'!O41</f>
        <v>320.22761036186694</v>
      </c>
      <c r="P10" s="38">
        <f>'SER_se-appl'!P41</f>
        <v>492.98344425208506</v>
      </c>
      <c r="Q10" s="38">
        <f>'SER_se-appl'!Q41</f>
        <v>448.33650498794486</v>
      </c>
      <c r="R10" s="38">
        <f>'SER_se-appl'!R41</f>
        <v>696.53960867818478</v>
      </c>
      <c r="S10" s="38">
        <f>'SER_se-appl'!S41</f>
        <v>256.49871015120289</v>
      </c>
      <c r="T10" s="38">
        <f>'SER_se-appl'!T41</f>
        <v>431.24414141352554</v>
      </c>
      <c r="U10" s="38">
        <f>'SER_se-appl'!U41</f>
        <v>683.52796976523086</v>
      </c>
      <c r="V10" s="38">
        <f>'SER_se-appl'!V41</f>
        <v>825.23096846846374</v>
      </c>
      <c r="W10" s="38">
        <f>'SER_se-appl'!W41</f>
        <v>821.23139170594186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1569.7883935795667</v>
      </c>
      <c r="C12" s="205">
        <f>'SER_se-appl'!C49</f>
        <v>1585.2651256772754</v>
      </c>
      <c r="D12" s="205">
        <f>'SER_se-appl'!D49</f>
        <v>1614.9487283697347</v>
      </c>
      <c r="E12" s="205">
        <f>'SER_se-appl'!E49</f>
        <v>1642.357935766538</v>
      </c>
      <c r="F12" s="205">
        <f>'SER_se-appl'!F49</f>
        <v>1670.6677703635264</v>
      </c>
      <c r="G12" s="205">
        <f>'SER_se-appl'!G49</f>
        <v>1696.5990044148141</v>
      </c>
      <c r="H12" s="205">
        <f>'SER_se-appl'!H49</f>
        <v>1723.6465068971038</v>
      </c>
      <c r="I12" s="205">
        <f>'SER_se-appl'!I49</f>
        <v>1744.8028499278805</v>
      </c>
      <c r="J12" s="205">
        <f>'SER_se-appl'!J49</f>
        <v>1765.7326839279913</v>
      </c>
      <c r="K12" s="205">
        <f>'SER_se-appl'!K49</f>
        <v>1781.3418389091162</v>
      </c>
      <c r="L12" s="205">
        <f>'SER_se-appl'!L49</f>
        <v>1803.2133453982876</v>
      </c>
      <c r="M12" s="205">
        <f>'SER_se-appl'!M49</f>
        <v>1819.676499714154</v>
      </c>
      <c r="N12" s="205">
        <f>'SER_se-appl'!N49</f>
        <v>1831.7850785093497</v>
      </c>
      <c r="O12" s="205">
        <f>'SER_se-appl'!O49</f>
        <v>1840.0373550718616</v>
      </c>
      <c r="P12" s="205">
        <f>'SER_se-appl'!P49</f>
        <v>1848.1623257806853</v>
      </c>
      <c r="Q12" s="205">
        <f>'SER_se-appl'!Q49</f>
        <v>1852.3670109927159</v>
      </c>
      <c r="R12" s="205">
        <f>'SER_se-appl'!R49</f>
        <v>1850.610502371786</v>
      </c>
      <c r="S12" s="205">
        <f>'SER_se-appl'!S49</f>
        <v>1869.7027836448008</v>
      </c>
      <c r="T12" s="205">
        <f>'SER_se-appl'!T49</f>
        <v>1867.277440392935</v>
      </c>
      <c r="U12" s="205">
        <f>'SER_se-appl'!U49</f>
        <v>1863.0946211257954</v>
      </c>
      <c r="V12" s="205">
        <f>'SER_se-appl'!V49</f>
        <v>1788.3636099064986</v>
      </c>
      <c r="W12" s="205">
        <f>'SER_se-appl'!W49</f>
        <v>1813.3602913022078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388.29059637813026</v>
      </c>
      <c r="C14" s="59">
        <f>'SER_se-appl'!C57</f>
        <v>378.02109424315324</v>
      </c>
      <c r="D14" s="59">
        <f>'SER_se-appl'!D57</f>
        <v>366.18465653909772</v>
      </c>
      <c r="E14" s="59">
        <f>'SER_se-appl'!E57</f>
        <v>353.26352587099336</v>
      </c>
      <c r="F14" s="59">
        <f>'SER_se-appl'!F57</f>
        <v>337.62044930985269</v>
      </c>
      <c r="G14" s="59">
        <f>'SER_se-appl'!G57</f>
        <v>321.44325546124702</v>
      </c>
      <c r="H14" s="59">
        <f>'SER_se-appl'!H57</f>
        <v>304.78160011497658</v>
      </c>
      <c r="I14" s="59">
        <f>'SER_se-appl'!I57</f>
        <v>290.28427143943549</v>
      </c>
      <c r="J14" s="59">
        <f>'SER_se-appl'!J57</f>
        <v>278.40335007191521</v>
      </c>
      <c r="K14" s="59">
        <f>'SER_se-appl'!K57</f>
        <v>261.97625548596926</v>
      </c>
      <c r="L14" s="59">
        <f>'SER_se-appl'!L57</f>
        <v>245.62718751696008</v>
      </c>
      <c r="M14" s="59">
        <f>'SER_se-appl'!M57</f>
        <v>226.05084419105467</v>
      </c>
      <c r="N14" s="59">
        <f>'SER_se-appl'!N57</f>
        <v>214.44783108851479</v>
      </c>
      <c r="O14" s="59">
        <f>'SER_se-appl'!O57</f>
        <v>202.85064744746657</v>
      </c>
      <c r="P14" s="59">
        <f>'SER_se-appl'!P57</f>
        <v>188.82583687297065</v>
      </c>
      <c r="Q14" s="59">
        <f>'SER_se-appl'!Q57</f>
        <v>176.95060449240938</v>
      </c>
      <c r="R14" s="59">
        <f>'SER_se-appl'!R57</f>
        <v>166.13069687736427</v>
      </c>
      <c r="S14" s="59">
        <f>'SER_se-appl'!S57</f>
        <v>162.65568037180884</v>
      </c>
      <c r="T14" s="59">
        <f>'SER_se-appl'!T57</f>
        <v>158.60450621144653</v>
      </c>
      <c r="U14" s="59">
        <f>'SER_se-appl'!U57</f>
        <v>152.7091963765364</v>
      </c>
      <c r="V14" s="59">
        <f>'SER_se-appl'!V57</f>
        <v>148.14483759706411</v>
      </c>
      <c r="W14" s="59">
        <f>'SER_se-appl'!W57</f>
        <v>143.89168092912618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352.70067007103353</v>
      </c>
      <c r="D15" s="63">
        <f>'SER_se-appl'!D65</f>
        <v>337.63695636416566</v>
      </c>
      <c r="E15" s="63">
        <f>'SER_se-appl'!E65</f>
        <v>325.37487453679137</v>
      </c>
      <c r="F15" s="63">
        <f>'SER_se-appl'!F65</f>
        <v>312.46893995992633</v>
      </c>
      <c r="G15" s="63">
        <f>'SER_se-appl'!G65</f>
        <v>297.07966726970773</v>
      </c>
      <c r="H15" s="63">
        <f>'SER_se-appl'!H65</f>
        <v>279.19922425508429</v>
      </c>
      <c r="I15" s="63">
        <f>'SER_se-appl'!I65</f>
        <v>262.40755215352056</v>
      </c>
      <c r="J15" s="63">
        <f>'SER_se-appl'!J65</f>
        <v>246.48272996687015</v>
      </c>
      <c r="K15" s="63">
        <f>'SER_se-appl'!K65</f>
        <v>231.83171891589305</v>
      </c>
      <c r="L15" s="63">
        <f>'SER_se-appl'!L65</f>
        <v>211.92587845437694</v>
      </c>
      <c r="M15" s="63">
        <f>'SER_se-appl'!M65</f>
        <v>199.45240833199219</v>
      </c>
      <c r="N15" s="63">
        <f>'SER_se-appl'!N65</f>
        <v>186.17151469366704</v>
      </c>
      <c r="O15" s="63">
        <f>'SER_se-appl'!O65</f>
        <v>175.69488931390919</v>
      </c>
      <c r="P15" s="63">
        <f>'SER_se-appl'!P65</f>
        <v>172.12579544541737</v>
      </c>
      <c r="Q15" s="63">
        <f>'SER_se-appl'!Q65</f>
        <v>159.74434586888344</v>
      </c>
      <c r="R15" s="63">
        <f>'SER_se-appl'!R65</f>
        <v>156.27653289550133</v>
      </c>
      <c r="S15" s="63">
        <f>'SER_se-appl'!S65</f>
        <v>152.36451854164716</v>
      </c>
      <c r="T15" s="63">
        <f>'SER_se-appl'!T65</f>
        <v>148.55199261998595</v>
      </c>
      <c r="U15" s="63">
        <f>'SER_se-appl'!U65</f>
        <v>144.84988545917619</v>
      </c>
      <c r="V15" s="63">
        <f>'SER_se-appl'!V65</f>
        <v>141.17811527207758</v>
      </c>
      <c r="W15" s="63">
        <f>'SER_se-appl'!W65</f>
        <v>138.6291735571867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3977.5659178151159</v>
      </c>
      <c r="C3" s="220">
        <v>4073.6750507603701</v>
      </c>
      <c r="D3" s="220">
        <v>3686.412578222024</v>
      </c>
      <c r="E3" s="220">
        <v>3554.6403207884441</v>
      </c>
      <c r="F3" s="220">
        <v>4179.7179099693176</v>
      </c>
      <c r="G3" s="220">
        <v>3699.6049156353001</v>
      </c>
      <c r="H3" s="220">
        <v>3624.507600204749</v>
      </c>
      <c r="I3" s="220">
        <v>3615.935351244063</v>
      </c>
      <c r="J3" s="220">
        <v>3625.4482023451892</v>
      </c>
      <c r="K3" s="220">
        <v>3018.812770133422</v>
      </c>
      <c r="L3" s="220">
        <v>3040.1205121767512</v>
      </c>
      <c r="M3" s="220">
        <v>4071.469188639152</v>
      </c>
      <c r="N3" s="220">
        <v>3959.0163102499819</v>
      </c>
      <c r="O3" s="220">
        <v>4069.2156842821869</v>
      </c>
      <c r="P3" s="220">
        <v>4269.3532582067619</v>
      </c>
      <c r="Q3" s="220">
        <v>4274.3</v>
      </c>
      <c r="R3" s="220">
        <v>4458.0367880448712</v>
      </c>
      <c r="S3" s="220">
        <v>4483.9777343162323</v>
      </c>
      <c r="T3" s="220">
        <v>4414.2308086025096</v>
      </c>
      <c r="U3" s="220">
        <v>4415.3730709074307</v>
      </c>
      <c r="V3" s="220">
        <v>4278.3005052354101</v>
      </c>
      <c r="W3" s="220">
        <v>4715.6485532071893</v>
      </c>
      <c r="DA3" s="211" t="s">
        <v>972</v>
      </c>
    </row>
    <row r="5" spans="1:105" x14ac:dyDescent="0.25">
      <c r="A5" s="219" t="s">
        <v>120</v>
      </c>
      <c r="B5" s="220">
        <v>5308.8418250153609</v>
      </c>
      <c r="C5" s="220">
        <v>5182.0889539997715</v>
      </c>
      <c r="D5" s="220">
        <v>5115.2849503425723</v>
      </c>
      <c r="E5" s="220">
        <v>4549.6457256989142</v>
      </c>
      <c r="F5" s="220">
        <v>4350.5237223812364</v>
      </c>
      <c r="G5" s="220">
        <v>3629.687927922746</v>
      </c>
      <c r="H5" s="220">
        <v>3745.8553197326701</v>
      </c>
      <c r="I5" s="220">
        <v>3631.3586271468839</v>
      </c>
      <c r="J5" s="220">
        <v>3780.7250511016709</v>
      </c>
      <c r="K5" s="220">
        <v>2826.11226290989</v>
      </c>
      <c r="L5" s="220">
        <v>3375.6269788646382</v>
      </c>
      <c r="M5" s="220">
        <v>3638.7813155673889</v>
      </c>
      <c r="N5" s="220">
        <v>2955.927065672186</v>
      </c>
      <c r="O5" s="220">
        <v>3932.9751866691108</v>
      </c>
      <c r="P5" s="220">
        <v>4572.5190437318033</v>
      </c>
      <c r="Q5" s="220">
        <v>4492.8075410048723</v>
      </c>
      <c r="R5" s="220">
        <v>4926.2965186751717</v>
      </c>
      <c r="S5" s="220">
        <v>5032.1443805641766</v>
      </c>
      <c r="T5" s="220">
        <v>4739.0088125499778</v>
      </c>
      <c r="U5" s="220">
        <v>4880.2870075269584</v>
      </c>
      <c r="V5" s="220">
        <v>4862.2044070263337</v>
      </c>
      <c r="W5" s="220">
        <v>4824.9689891868411</v>
      </c>
      <c r="DA5" s="211" t="s">
        <v>973</v>
      </c>
    </row>
    <row r="6" spans="1:105" x14ac:dyDescent="0.25">
      <c r="A6" s="221" t="s">
        <v>119</v>
      </c>
      <c r="B6" s="222">
        <v>6636.0522812692006</v>
      </c>
      <c r="C6" s="222">
        <v>6304.2496672057396</v>
      </c>
      <c r="D6" s="222">
        <v>5972.4470531422803</v>
      </c>
      <c r="E6" s="222">
        <v>5972.4470531422803</v>
      </c>
      <c r="F6" s="222">
        <v>5640.6444390788201</v>
      </c>
      <c r="G6" s="222">
        <v>5640.6444390788201</v>
      </c>
      <c r="H6" s="222">
        <v>5308.84182501536</v>
      </c>
      <c r="I6" s="222">
        <v>4977.0392109518998</v>
      </c>
      <c r="J6" s="222">
        <v>4977.0392109518998</v>
      </c>
      <c r="K6" s="222">
        <v>4645.2365968884396</v>
      </c>
      <c r="L6" s="222">
        <v>4313.4339828249786</v>
      </c>
      <c r="M6" s="222">
        <v>4313.4339828249786</v>
      </c>
      <c r="N6" s="222">
        <v>3981.6313687615188</v>
      </c>
      <c r="O6" s="222">
        <v>4313.4339828249786</v>
      </c>
      <c r="P6" s="222">
        <v>4977.0392109518998</v>
      </c>
      <c r="Q6" s="222">
        <v>4977.0392109518998</v>
      </c>
      <c r="R6" s="222">
        <v>5308.84182501536</v>
      </c>
      <c r="S6" s="222">
        <v>5308.84182501536</v>
      </c>
      <c r="T6" s="222">
        <v>5308.84182501536</v>
      </c>
      <c r="U6" s="222">
        <v>5308.84182501536</v>
      </c>
      <c r="V6" s="222">
        <v>5308.84182501536</v>
      </c>
      <c r="W6" s="222">
        <v>5308.84182501536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663.60522812692011</v>
      </c>
      <c r="P7" s="226">
        <v>995.40784219038017</v>
      </c>
      <c r="Q7" s="226">
        <v>0</v>
      </c>
      <c r="R7" s="226">
        <v>663.60522812692011</v>
      </c>
      <c r="S7" s="226">
        <v>0</v>
      </c>
      <c r="T7" s="226">
        <v>331.80261406346011</v>
      </c>
      <c r="U7" s="226">
        <v>331.80261406346011</v>
      </c>
      <c r="V7" s="226">
        <v>0</v>
      </c>
      <c r="W7" s="226">
        <v>331.80261406346011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331.80261406346108</v>
      </c>
      <c r="D8" s="228">
        <f t="shared" ref="D8" si="1">IF(C6=0,0,C6+D7-D6)</f>
        <v>331.80261406345926</v>
      </c>
      <c r="E8" s="228">
        <f t="shared" ref="E8" si="2">IF(D6=0,0,D6+E7-E6)</f>
        <v>0</v>
      </c>
      <c r="F8" s="228">
        <f t="shared" ref="F8" si="3">IF(E6=0,0,E6+F7-F6)</f>
        <v>331.80261406346017</v>
      </c>
      <c r="G8" s="228">
        <f t="shared" ref="G8" si="4">IF(F6=0,0,F6+G7-G6)</f>
        <v>0</v>
      </c>
      <c r="H8" s="228">
        <f t="shared" ref="H8" si="5">IF(G6=0,0,G6+H7-H6)</f>
        <v>331.80261406346017</v>
      </c>
      <c r="I8" s="228">
        <f t="shared" ref="I8" si="6">IF(H6=0,0,H6+I7-I6)</f>
        <v>331.80261406346017</v>
      </c>
      <c r="J8" s="228">
        <f t="shared" ref="J8" si="7">IF(I6=0,0,I6+J7-J6)</f>
        <v>0</v>
      </c>
      <c r="K8" s="228">
        <f t="shared" ref="K8" si="8">IF(J6=0,0,J6+K7-K6)</f>
        <v>331.80261406346017</v>
      </c>
      <c r="L8" s="228">
        <f t="shared" ref="L8" si="9">IF(K6=0,0,K6+L7-L6)</f>
        <v>331.80261406346108</v>
      </c>
      <c r="M8" s="228">
        <f t="shared" ref="M8" si="10">IF(L6=0,0,L6+M7-M6)</f>
        <v>0</v>
      </c>
      <c r="N8" s="228">
        <f t="shared" ref="N8" si="11">IF(M6=0,0,M6+N7-N6)</f>
        <v>331.80261406345971</v>
      </c>
      <c r="O8" s="228">
        <f t="shared" ref="O8" si="12">IF(N6=0,0,N6+O7-O6)</f>
        <v>331.80261406346017</v>
      </c>
      <c r="P8" s="228">
        <f t="shared" ref="P8" si="13">IF(O6=0,0,O6+P7-P6)</f>
        <v>331.80261406345926</v>
      </c>
      <c r="Q8" s="228">
        <f t="shared" ref="Q8" si="14">IF(P6=0,0,P6+Q7-Q6)</f>
        <v>0</v>
      </c>
      <c r="R8" s="228">
        <f t="shared" ref="R8" si="15">IF(Q6=0,0,Q6+R7-R6)</f>
        <v>331.80261406346017</v>
      </c>
      <c r="S8" s="228">
        <f t="shared" ref="S8" si="16">IF(R6=0,0,R6+S7-S6)</f>
        <v>0</v>
      </c>
      <c r="T8" s="228">
        <f t="shared" ref="T8" si="17">IF(S6=0,0,S6+T7-T6)</f>
        <v>331.80261406346017</v>
      </c>
      <c r="U8" s="228">
        <f t="shared" ref="U8" si="18">IF(T6=0,0,T6+U7-U6)</f>
        <v>331.80261406346017</v>
      </c>
      <c r="V8" s="228">
        <f t="shared" ref="V8" si="19">IF(U6=0,0,U6+V7-V6)</f>
        <v>0</v>
      </c>
      <c r="W8" s="228">
        <f t="shared" ref="W8" si="20">IF(V6=0,0,V6+W7-W6)</f>
        <v>331.80261406346017</v>
      </c>
      <c r="DA8" s="214" t="s">
        <v>976</v>
      </c>
    </row>
    <row r="9" spans="1:105" x14ac:dyDescent="0.25">
      <c r="A9" s="223" t="s">
        <v>116</v>
      </c>
      <c r="B9" s="224">
        <f>B6-B5</f>
        <v>1327.2104562538398</v>
      </c>
      <c r="C9" s="224">
        <f t="shared" ref="C9:W9" si="21">C6-C5</f>
        <v>1122.160713205968</v>
      </c>
      <c r="D9" s="224">
        <f t="shared" si="21"/>
        <v>857.16210279970801</v>
      </c>
      <c r="E9" s="224">
        <f t="shared" si="21"/>
        <v>1422.8013274433661</v>
      </c>
      <c r="F9" s="224">
        <f t="shared" si="21"/>
        <v>1290.1207166975837</v>
      </c>
      <c r="G9" s="224">
        <f t="shared" si="21"/>
        <v>2010.9565111560742</v>
      </c>
      <c r="H9" s="224">
        <f t="shared" si="21"/>
        <v>1562.9865052826899</v>
      </c>
      <c r="I9" s="224">
        <f t="shared" si="21"/>
        <v>1345.6805838050159</v>
      </c>
      <c r="J9" s="224">
        <f t="shared" si="21"/>
        <v>1196.3141598502289</v>
      </c>
      <c r="K9" s="224">
        <f t="shared" si="21"/>
        <v>1819.1243339785497</v>
      </c>
      <c r="L9" s="224">
        <f t="shared" si="21"/>
        <v>937.80700396034035</v>
      </c>
      <c r="M9" s="224">
        <f t="shared" si="21"/>
        <v>674.65266725758966</v>
      </c>
      <c r="N9" s="224">
        <f t="shared" si="21"/>
        <v>1025.7043030893328</v>
      </c>
      <c r="O9" s="224">
        <f t="shared" si="21"/>
        <v>380.45879615586773</v>
      </c>
      <c r="P9" s="224">
        <f t="shared" si="21"/>
        <v>404.52016722009648</v>
      </c>
      <c r="Q9" s="224">
        <f t="shared" si="21"/>
        <v>484.23166994702751</v>
      </c>
      <c r="R9" s="224">
        <f t="shared" si="21"/>
        <v>382.54530634018829</v>
      </c>
      <c r="S9" s="224">
        <f t="shared" si="21"/>
        <v>276.6974444511834</v>
      </c>
      <c r="T9" s="224">
        <f t="shared" si="21"/>
        <v>569.83301246538213</v>
      </c>
      <c r="U9" s="224">
        <f t="shared" si="21"/>
        <v>428.55481748840157</v>
      </c>
      <c r="V9" s="224">
        <f t="shared" si="21"/>
        <v>446.63741798902629</v>
      </c>
      <c r="W9" s="224">
        <f t="shared" si="21"/>
        <v>483.87283582851887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671.35021496130685</v>
      </c>
      <c r="C12" s="230">
        <f t="shared" ref="C12:W12" si="22">SUM(C13,C14,C18,C19,C26,C27)</f>
        <v>634.01840068787601</v>
      </c>
      <c r="D12" s="230">
        <f t="shared" si="22"/>
        <v>653.78744625967329</v>
      </c>
      <c r="E12" s="230">
        <f t="shared" si="22"/>
        <v>616.17162510748074</v>
      </c>
      <c r="F12" s="230">
        <f t="shared" si="22"/>
        <v>586.64041272570933</v>
      </c>
      <c r="G12" s="230">
        <f t="shared" si="22"/>
        <v>560.52020636285465</v>
      </c>
      <c r="H12" s="230">
        <f t="shared" si="22"/>
        <v>550.37927773000843</v>
      </c>
      <c r="I12" s="230">
        <f t="shared" si="22"/>
        <v>498.36225279449701</v>
      </c>
      <c r="J12" s="230">
        <f t="shared" si="22"/>
        <v>526.75795356835761</v>
      </c>
      <c r="K12" s="230">
        <f t="shared" si="22"/>
        <v>441.89157351676693</v>
      </c>
      <c r="L12" s="230">
        <f t="shared" si="22"/>
        <v>488.06792777300086</v>
      </c>
      <c r="M12" s="230">
        <f t="shared" si="22"/>
        <v>483.23112639724843</v>
      </c>
      <c r="N12" s="230">
        <f t="shared" si="22"/>
        <v>399.17730008598454</v>
      </c>
      <c r="O12" s="230">
        <f t="shared" si="22"/>
        <v>522.8898538263112</v>
      </c>
      <c r="P12" s="230">
        <f t="shared" si="22"/>
        <v>595.15631986242477</v>
      </c>
      <c r="Q12" s="230">
        <f t="shared" si="22"/>
        <v>597.17575236457435</v>
      </c>
      <c r="R12" s="230">
        <f t="shared" si="22"/>
        <v>666.94866723989674</v>
      </c>
      <c r="S12" s="230">
        <f t="shared" si="22"/>
        <v>628.52545141874464</v>
      </c>
      <c r="T12" s="230">
        <f t="shared" si="22"/>
        <v>669.52648323301798</v>
      </c>
      <c r="U12" s="230">
        <f t="shared" si="22"/>
        <v>693.05924333619942</v>
      </c>
      <c r="V12" s="230">
        <f t="shared" si="22"/>
        <v>722.65004299226132</v>
      </c>
      <c r="W12" s="230">
        <f t="shared" si="22"/>
        <v>687.75176268271719</v>
      </c>
      <c r="DA12" s="211" t="s">
        <v>978</v>
      </c>
    </row>
    <row r="13" spans="1:105" x14ac:dyDescent="0.25">
      <c r="A13" s="58" t="s">
        <v>29</v>
      </c>
      <c r="B13" s="59">
        <v>26.905760963026651</v>
      </c>
      <c r="C13" s="59">
        <v>20.714617368873601</v>
      </c>
      <c r="D13" s="59">
        <v>18.046517626827168</v>
      </c>
      <c r="E13" s="59">
        <v>17.107910576096302</v>
      </c>
      <c r="F13" s="59">
        <v>4.9025795356835769</v>
      </c>
      <c r="G13" s="59">
        <v>4.2361134995700773</v>
      </c>
      <c r="H13" s="59">
        <v>3.0638865004299216</v>
      </c>
      <c r="I13" s="59">
        <v>3.1343938091143588</v>
      </c>
      <c r="J13" s="59">
        <v>2.2929492691315558</v>
      </c>
      <c r="K13" s="59">
        <v>0.8316423043852107</v>
      </c>
      <c r="L13" s="59">
        <v>0.41152192605331028</v>
      </c>
      <c r="M13" s="59">
        <v>0.57609630266552014</v>
      </c>
      <c r="N13" s="59">
        <v>0.42631126397248492</v>
      </c>
      <c r="O13" s="59">
        <v>0.94221840068787621</v>
      </c>
      <c r="P13" s="59">
        <v>0</v>
      </c>
      <c r="Q13" s="59">
        <v>0.44780739466895958</v>
      </c>
      <c r="R13" s="59">
        <v>0.43387790197764398</v>
      </c>
      <c r="S13" s="59">
        <v>0.29776440240756658</v>
      </c>
      <c r="T13" s="59">
        <v>0.88976784178847801</v>
      </c>
      <c r="U13" s="59">
        <v>1.4633705932932068</v>
      </c>
      <c r="V13" s="59">
        <v>1.4801375752364572</v>
      </c>
      <c r="W13" s="59">
        <v>1.4783319002579529</v>
      </c>
      <c r="DA13" s="9" t="s">
        <v>979</v>
      </c>
    </row>
    <row r="14" spans="1:105" x14ac:dyDescent="0.25">
      <c r="A14" s="60" t="s">
        <v>28</v>
      </c>
      <c r="B14" s="55">
        <f>SUM(B15:B17)</f>
        <v>339.71530524505584</v>
      </c>
      <c r="C14" s="55">
        <f t="shared" ref="C14:W14" si="23">SUM(C15:C17)</f>
        <v>285.23938091143583</v>
      </c>
      <c r="D14" s="55">
        <f t="shared" si="23"/>
        <v>296.68245915735167</v>
      </c>
      <c r="E14" s="55">
        <f t="shared" si="23"/>
        <v>278.11453138435081</v>
      </c>
      <c r="F14" s="55">
        <f t="shared" si="23"/>
        <v>252.61771281169388</v>
      </c>
      <c r="G14" s="55">
        <f t="shared" si="23"/>
        <v>232.13912295786761</v>
      </c>
      <c r="H14" s="55">
        <f t="shared" si="23"/>
        <v>251.27067927772993</v>
      </c>
      <c r="I14" s="55">
        <f t="shared" si="23"/>
        <v>236.52433361994844</v>
      </c>
      <c r="J14" s="55">
        <f t="shared" si="23"/>
        <v>252.85666380051586</v>
      </c>
      <c r="K14" s="55">
        <f t="shared" si="23"/>
        <v>222.61392949269128</v>
      </c>
      <c r="L14" s="55">
        <f t="shared" si="23"/>
        <v>271.84006878761829</v>
      </c>
      <c r="M14" s="55">
        <f t="shared" si="23"/>
        <v>265.05683576956147</v>
      </c>
      <c r="N14" s="55">
        <f t="shared" si="23"/>
        <v>208.73224419604475</v>
      </c>
      <c r="O14" s="55">
        <f t="shared" si="23"/>
        <v>332.4544282029234</v>
      </c>
      <c r="P14" s="55">
        <f t="shared" si="23"/>
        <v>334.34135855546003</v>
      </c>
      <c r="Q14" s="55">
        <f t="shared" si="23"/>
        <v>349.79466895958723</v>
      </c>
      <c r="R14" s="55">
        <f t="shared" si="23"/>
        <v>374.205588993981</v>
      </c>
      <c r="S14" s="55">
        <f t="shared" si="23"/>
        <v>359.22751504729155</v>
      </c>
      <c r="T14" s="55">
        <f t="shared" si="23"/>
        <v>398.8792777300086</v>
      </c>
      <c r="U14" s="55">
        <f t="shared" si="23"/>
        <v>401.23817712811694</v>
      </c>
      <c r="V14" s="55">
        <f t="shared" si="23"/>
        <v>416.99475494411007</v>
      </c>
      <c r="W14" s="55">
        <f t="shared" si="23"/>
        <v>393.9882201203784</v>
      </c>
      <c r="DA14" s="10"/>
    </row>
    <row r="15" spans="1:105" x14ac:dyDescent="0.25">
      <c r="A15" s="61" t="s">
        <v>52</v>
      </c>
      <c r="B15" s="55">
        <v>9.0379191745485805</v>
      </c>
      <c r="C15" s="55">
        <v>11.297420464316421</v>
      </c>
      <c r="D15" s="55">
        <v>10.167669819432501</v>
      </c>
      <c r="E15" s="55">
        <v>7.9081685296646604</v>
      </c>
      <c r="F15" s="55">
        <v>14.593465176268269</v>
      </c>
      <c r="G15" s="55">
        <v>14.593465176268269</v>
      </c>
      <c r="H15" s="55">
        <v>10.103181427343079</v>
      </c>
      <c r="I15" s="55">
        <v>8.9805674978503873</v>
      </c>
      <c r="J15" s="55">
        <v>11.22579535683577</v>
      </c>
      <c r="K15" s="55">
        <v>0</v>
      </c>
      <c r="L15" s="55">
        <v>10.103181427343079</v>
      </c>
      <c r="M15" s="55">
        <v>12.348323301805671</v>
      </c>
      <c r="N15" s="55">
        <v>1.1226139294926909</v>
      </c>
      <c r="O15" s="55">
        <v>32.554686156491833</v>
      </c>
      <c r="P15" s="55">
        <v>31.432158211521919</v>
      </c>
      <c r="Q15" s="55">
        <v>25.819260533104039</v>
      </c>
      <c r="R15" s="55">
        <v>31.972828890799651</v>
      </c>
      <c r="S15" s="55">
        <v>23.14273430782459</v>
      </c>
      <c r="T15" s="55">
        <v>18.734565778159929</v>
      </c>
      <c r="U15" s="55">
        <v>23.14273430782459</v>
      </c>
      <c r="V15" s="55">
        <v>28.652880481513321</v>
      </c>
      <c r="W15" s="55">
        <v>22.040670679277731</v>
      </c>
      <c r="DA15" s="10" t="s">
        <v>980</v>
      </c>
    </row>
    <row r="16" spans="1:105" x14ac:dyDescent="0.25">
      <c r="A16" s="61" t="s">
        <v>172</v>
      </c>
      <c r="B16" s="55">
        <v>314.27343078245912</v>
      </c>
      <c r="C16" s="55">
        <v>253.67824591573509</v>
      </c>
      <c r="D16" s="55">
        <v>270.11083404987102</v>
      </c>
      <c r="E16" s="55">
        <v>255.73233018056749</v>
      </c>
      <c r="F16" s="55">
        <v>234.1644883920894</v>
      </c>
      <c r="G16" s="55">
        <v>214.6508168529665</v>
      </c>
      <c r="H16" s="55">
        <v>238.27265692175399</v>
      </c>
      <c r="I16" s="55">
        <v>223.70309544282031</v>
      </c>
      <c r="J16" s="55">
        <v>238.75038693035251</v>
      </c>
      <c r="K16" s="55">
        <v>220.6936371453138</v>
      </c>
      <c r="L16" s="55">
        <v>259.81659501289772</v>
      </c>
      <c r="M16" s="55">
        <v>250.7882201203783</v>
      </c>
      <c r="N16" s="55">
        <v>206.6494411006019</v>
      </c>
      <c r="O16" s="55">
        <v>298.93955288048147</v>
      </c>
      <c r="P16" s="55">
        <v>301.94901117798798</v>
      </c>
      <c r="Q16" s="55">
        <v>323.01521926053306</v>
      </c>
      <c r="R16" s="55">
        <v>342.23276010318136</v>
      </c>
      <c r="S16" s="55">
        <v>336.08478073946696</v>
      </c>
      <c r="T16" s="55">
        <v>380.14471195184865</v>
      </c>
      <c r="U16" s="55">
        <v>378.09544282029236</v>
      </c>
      <c r="V16" s="55">
        <v>388.34187446259676</v>
      </c>
      <c r="W16" s="55">
        <v>371.94754944110065</v>
      </c>
      <c r="DA16" s="10" t="s">
        <v>981</v>
      </c>
    </row>
    <row r="17" spans="1:105" x14ac:dyDescent="0.25">
      <c r="A17" s="61" t="s">
        <v>113</v>
      </c>
      <c r="B17" s="55">
        <v>16.403955288048149</v>
      </c>
      <c r="C17" s="55">
        <v>20.263714531384348</v>
      </c>
      <c r="D17" s="55">
        <v>16.403955288048149</v>
      </c>
      <c r="E17" s="55">
        <v>14.474032674118661</v>
      </c>
      <c r="F17" s="55">
        <v>3.8597592433362</v>
      </c>
      <c r="G17" s="55">
        <v>2.894840928632846</v>
      </c>
      <c r="H17" s="55">
        <v>2.894840928632846</v>
      </c>
      <c r="I17" s="55">
        <v>3.8406706792777299</v>
      </c>
      <c r="J17" s="55">
        <v>2.8804815133276009</v>
      </c>
      <c r="K17" s="55">
        <v>1.920292347377472</v>
      </c>
      <c r="L17" s="55">
        <v>1.920292347377472</v>
      </c>
      <c r="M17" s="55">
        <v>1.920292347377472</v>
      </c>
      <c r="N17" s="55">
        <v>0.96018916595012893</v>
      </c>
      <c r="O17" s="55">
        <v>0.96018916595012893</v>
      </c>
      <c r="P17" s="55">
        <v>0.96018916595012893</v>
      </c>
      <c r="Q17" s="55">
        <v>0.96018916595012893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DA17" s="10" t="s">
        <v>982</v>
      </c>
    </row>
    <row r="18" spans="1:105" x14ac:dyDescent="0.25">
      <c r="A18" s="60" t="s">
        <v>153</v>
      </c>
      <c r="B18" s="55">
        <v>195.3138435081685</v>
      </c>
      <c r="C18" s="55">
        <v>217.49785038693031</v>
      </c>
      <c r="D18" s="55">
        <v>219.66895958727429</v>
      </c>
      <c r="E18" s="55">
        <v>201.8701633705933</v>
      </c>
      <c r="F18" s="55">
        <v>213.58555460017189</v>
      </c>
      <c r="G18" s="55">
        <v>219.8409286328461</v>
      </c>
      <c r="H18" s="55">
        <v>193.8521066208082</v>
      </c>
      <c r="I18" s="55">
        <v>151.8486672398968</v>
      </c>
      <c r="J18" s="55">
        <v>166.14359415305239</v>
      </c>
      <c r="K18" s="55">
        <v>124.26913155631981</v>
      </c>
      <c r="L18" s="55">
        <v>123.4307824591573</v>
      </c>
      <c r="M18" s="55">
        <v>124.2046431642304</v>
      </c>
      <c r="N18" s="55">
        <v>94.582975064488394</v>
      </c>
      <c r="O18" s="55">
        <v>105.9114359415305</v>
      </c>
      <c r="P18" s="55">
        <v>146.43164230438524</v>
      </c>
      <c r="Q18" s="55">
        <v>128.76182287188311</v>
      </c>
      <c r="R18" s="55">
        <v>165.43422184006883</v>
      </c>
      <c r="S18" s="55">
        <v>139.27343078245912</v>
      </c>
      <c r="T18" s="55">
        <v>127.51504729148753</v>
      </c>
      <c r="U18" s="55">
        <v>146.71109200343932</v>
      </c>
      <c r="V18" s="55">
        <v>165.4342218400688</v>
      </c>
      <c r="W18" s="55">
        <v>159.07136715391226</v>
      </c>
      <c r="DA18" s="10" t="s">
        <v>983</v>
      </c>
    </row>
    <row r="19" spans="1:105" x14ac:dyDescent="0.25">
      <c r="A19" s="60" t="s">
        <v>51</v>
      </c>
      <c r="B19" s="55">
        <f>SUM(B20:B25)</f>
        <v>27.180653482373167</v>
      </c>
      <c r="C19" s="55">
        <f t="shared" ref="C19:W19" si="24">SUM(C20:C25)</f>
        <v>27.371711092003437</v>
      </c>
      <c r="D19" s="55">
        <f t="shared" si="24"/>
        <v>28.661478933791916</v>
      </c>
      <c r="E19" s="55">
        <f t="shared" si="24"/>
        <v>27.897248495270848</v>
      </c>
      <c r="F19" s="55">
        <f t="shared" si="24"/>
        <v>23.024763542562329</v>
      </c>
      <c r="G19" s="55">
        <f t="shared" si="24"/>
        <v>24.529492691315561</v>
      </c>
      <c r="H19" s="55">
        <f t="shared" si="24"/>
        <v>24.959415305245056</v>
      </c>
      <c r="I19" s="55">
        <f t="shared" si="24"/>
        <v>25.198194325021497</v>
      </c>
      <c r="J19" s="55">
        <f t="shared" si="24"/>
        <v>24.386156491831464</v>
      </c>
      <c r="K19" s="55">
        <f t="shared" si="24"/>
        <v>26.081943250214962</v>
      </c>
      <c r="L19" s="55">
        <f t="shared" si="24"/>
        <v>26.822355975924332</v>
      </c>
      <c r="M19" s="55">
        <f t="shared" si="24"/>
        <v>27.252364574376614</v>
      </c>
      <c r="N19" s="55">
        <f t="shared" si="24"/>
        <v>27.861478933791915</v>
      </c>
      <c r="O19" s="55">
        <f t="shared" si="24"/>
        <v>21.543938091143598</v>
      </c>
      <c r="P19" s="55">
        <f t="shared" si="24"/>
        <v>43.947635425623389</v>
      </c>
      <c r="Q19" s="55">
        <f t="shared" si="24"/>
        <v>43.25503009458297</v>
      </c>
      <c r="R19" s="55">
        <f t="shared" si="24"/>
        <v>49.130610490111778</v>
      </c>
      <c r="S19" s="55">
        <f t="shared" si="24"/>
        <v>51.59071367153912</v>
      </c>
      <c r="T19" s="55">
        <f t="shared" si="24"/>
        <v>56.415477214101465</v>
      </c>
      <c r="U19" s="55">
        <f t="shared" si="24"/>
        <v>55.388306104901126</v>
      </c>
      <c r="V19" s="55">
        <f t="shared" si="24"/>
        <v>50.420464316423043</v>
      </c>
      <c r="W19" s="55">
        <f t="shared" si="24"/>
        <v>48.843938091143585</v>
      </c>
      <c r="DA19" s="10"/>
    </row>
    <row r="20" spans="1:105" x14ac:dyDescent="0.25">
      <c r="A20" s="61" t="s">
        <v>171</v>
      </c>
      <c r="B20" s="55">
        <v>25.98641444539982</v>
      </c>
      <c r="C20" s="55">
        <v>26.177472055030091</v>
      </c>
      <c r="D20" s="55">
        <v>27.467239896818569</v>
      </c>
      <c r="E20" s="55">
        <v>26.703009458297501</v>
      </c>
      <c r="F20" s="55">
        <v>11.70343938091143</v>
      </c>
      <c r="G20" s="55">
        <v>10.963026655202061</v>
      </c>
      <c r="H20" s="55">
        <v>10.22261392949269</v>
      </c>
      <c r="I20" s="55">
        <v>10.50920034393809</v>
      </c>
      <c r="J20" s="55">
        <v>7.5714531384350812</v>
      </c>
      <c r="K20" s="55">
        <v>9.7687876182287177</v>
      </c>
      <c r="L20" s="55">
        <v>10.05537403267412</v>
      </c>
      <c r="M20" s="55">
        <v>10.24651762682717</v>
      </c>
      <c r="N20" s="55">
        <v>10.24651762682717</v>
      </c>
      <c r="O20" s="55">
        <v>8.16852966466036</v>
      </c>
      <c r="P20" s="55">
        <v>8.3834909716251076</v>
      </c>
      <c r="Q20" s="55">
        <v>9.7210662080825454</v>
      </c>
      <c r="R20" s="55">
        <v>15.166723989681859</v>
      </c>
      <c r="S20" s="55">
        <v>13.66199484092863</v>
      </c>
      <c r="T20" s="55">
        <v>13.06491831470335</v>
      </c>
      <c r="U20" s="55">
        <v>12.921582115219261</v>
      </c>
      <c r="V20" s="55">
        <v>10.91530524505589</v>
      </c>
      <c r="W20" s="55">
        <v>10.93912295786758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0.50154772141014614</v>
      </c>
      <c r="I21" s="55">
        <v>1.4808254514187451</v>
      </c>
      <c r="J21" s="55">
        <v>3.176612209802236</v>
      </c>
      <c r="K21" s="55">
        <v>4.1558899398108338</v>
      </c>
      <c r="L21" s="55">
        <v>3.5349097162510739</v>
      </c>
      <c r="M21" s="55">
        <v>3.1049871023215818</v>
      </c>
      <c r="N21" s="55">
        <v>2.8184006878761818</v>
      </c>
      <c r="O21" s="55">
        <v>1.337575236457438</v>
      </c>
      <c r="P21" s="55">
        <v>0.78822012037833178</v>
      </c>
      <c r="Q21" s="55">
        <v>0.88374892519346515</v>
      </c>
      <c r="R21" s="55">
        <v>1.1942390369733451</v>
      </c>
      <c r="S21" s="55">
        <v>1.0031814273430779</v>
      </c>
      <c r="T21" s="55">
        <v>0.78822012037833178</v>
      </c>
      <c r="U21" s="55">
        <v>0.3821152192605331</v>
      </c>
      <c r="V21" s="55">
        <v>0.66878761822871879</v>
      </c>
      <c r="W21" s="55">
        <v>0.52545141874462586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0.89570077386070501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1.1942390369733451</v>
      </c>
      <c r="C24" s="55">
        <v>1.1942390369733451</v>
      </c>
      <c r="D24" s="55">
        <v>1.1942390369733451</v>
      </c>
      <c r="E24" s="55">
        <v>1.1942390369733451</v>
      </c>
      <c r="F24" s="55">
        <v>11.321324161650899</v>
      </c>
      <c r="G24" s="55">
        <v>13.5664660361135</v>
      </c>
      <c r="H24" s="55">
        <v>14.23525365434222</v>
      </c>
      <c r="I24" s="55">
        <v>13.208168529664659</v>
      </c>
      <c r="J24" s="55">
        <v>13.638091143594149</v>
      </c>
      <c r="K24" s="55">
        <v>12.157265692175409</v>
      </c>
      <c r="L24" s="55">
        <v>13.23207222699914</v>
      </c>
      <c r="M24" s="55">
        <v>13.90085984522786</v>
      </c>
      <c r="N24" s="55">
        <v>13.90085984522786</v>
      </c>
      <c r="O24" s="55">
        <v>12.0378331900258</v>
      </c>
      <c r="P24" s="55">
        <v>34.775924333619948</v>
      </c>
      <c r="Q24" s="55">
        <v>32.650214961306958</v>
      </c>
      <c r="R24" s="55">
        <v>32.769647463456572</v>
      </c>
      <c r="S24" s="55">
        <v>36.925537403267413</v>
      </c>
      <c r="T24" s="55">
        <v>42.562338779019782</v>
      </c>
      <c r="U24" s="55">
        <v>42.084608770421333</v>
      </c>
      <c r="V24" s="55">
        <v>38.836371453138433</v>
      </c>
      <c r="W24" s="55">
        <v>37.37936371453138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0.1194325021496131</v>
      </c>
      <c r="C26" s="55">
        <v>0.47773000859845233</v>
      </c>
      <c r="D26" s="55">
        <v>0.35829750644883918</v>
      </c>
      <c r="E26" s="55">
        <v>0.3821152192605331</v>
      </c>
      <c r="F26" s="55">
        <v>0.3343938091143594</v>
      </c>
      <c r="G26" s="55">
        <v>0.23886500429922611</v>
      </c>
      <c r="H26" s="55">
        <v>0.19105760963026661</v>
      </c>
      <c r="I26" s="55">
        <v>0.14333619948409279</v>
      </c>
      <c r="J26" s="55">
        <v>0.16715391229578669</v>
      </c>
      <c r="K26" s="55">
        <v>0.16715391229578669</v>
      </c>
      <c r="L26" s="55">
        <v>0.2149613069647463</v>
      </c>
      <c r="M26" s="55">
        <v>0.19105760963026661</v>
      </c>
      <c r="N26" s="55">
        <v>0.3343938091143594</v>
      </c>
      <c r="O26" s="55">
        <v>0.2149613069647463</v>
      </c>
      <c r="P26" s="55">
        <v>0.35829750644883918</v>
      </c>
      <c r="Q26" s="55">
        <v>0.45382631126397238</v>
      </c>
      <c r="R26" s="55">
        <v>0.35829750644883918</v>
      </c>
      <c r="S26" s="55">
        <v>0.40601891659501288</v>
      </c>
      <c r="T26" s="55">
        <v>0.35829750644883918</v>
      </c>
      <c r="U26" s="55">
        <v>0.3821152192605331</v>
      </c>
      <c r="V26" s="55">
        <v>0.35829750644883918</v>
      </c>
      <c r="W26" s="55">
        <v>0.62098022355975924</v>
      </c>
      <c r="DA26" s="10" t="s">
        <v>990</v>
      </c>
    </row>
    <row r="27" spans="1:105" x14ac:dyDescent="0.25">
      <c r="A27" s="62" t="s">
        <v>24</v>
      </c>
      <c r="B27" s="63">
        <v>82.115219260533095</v>
      </c>
      <c r="C27" s="63">
        <v>82.717110920034386</v>
      </c>
      <c r="D27" s="63">
        <v>90.369733447979357</v>
      </c>
      <c r="E27" s="63">
        <v>90.799656061908848</v>
      </c>
      <c r="F27" s="63">
        <v>92.17540842648323</v>
      </c>
      <c r="G27" s="63">
        <v>79.535683576956146</v>
      </c>
      <c r="H27" s="63">
        <v>77.042132416165089</v>
      </c>
      <c r="I27" s="63">
        <v>81.513327601031804</v>
      </c>
      <c r="J27" s="63">
        <v>80.911435941530513</v>
      </c>
      <c r="K27" s="63">
        <v>67.927773000859844</v>
      </c>
      <c r="L27" s="63">
        <v>65.34823731728288</v>
      </c>
      <c r="M27" s="63">
        <v>65.950128976784171</v>
      </c>
      <c r="N27" s="63">
        <v>67.23989681857266</v>
      </c>
      <c r="O27" s="63">
        <v>61.82287188306104</v>
      </c>
      <c r="P27" s="63">
        <v>70.077386070507302</v>
      </c>
      <c r="Q27" s="63">
        <v>74.462596732588125</v>
      </c>
      <c r="R27" s="63">
        <v>77.386070507308688</v>
      </c>
      <c r="S27" s="63">
        <v>77.730008598452272</v>
      </c>
      <c r="T27" s="63">
        <v>85.468615649183135</v>
      </c>
      <c r="U27" s="63">
        <v>87.8761822871883</v>
      </c>
      <c r="V27" s="63">
        <v>87.962166809974192</v>
      </c>
      <c r="W27" s="63">
        <v>83.748925193465169</v>
      </c>
      <c r="DA27" s="11" t="s">
        <v>991</v>
      </c>
    </row>
    <row r="29" spans="1:105" x14ac:dyDescent="0.25">
      <c r="A29" s="219" t="s">
        <v>84</v>
      </c>
      <c r="B29" s="220">
        <v>1623.5532825390937</v>
      </c>
      <c r="C29" s="220">
        <v>1481.2086233876232</v>
      </c>
      <c r="D29" s="220">
        <v>1510.7295936508212</v>
      </c>
      <c r="E29" s="220">
        <v>1408.5398410466078</v>
      </c>
      <c r="F29" s="220">
        <v>1299.9213501005565</v>
      </c>
      <c r="G29" s="220">
        <v>1248.2256145151027</v>
      </c>
      <c r="H29" s="220">
        <v>1243.5598470236162</v>
      </c>
      <c r="I29" s="220">
        <v>1099.5546721200001</v>
      </c>
      <c r="J29" s="220">
        <v>1179.0141533999999</v>
      </c>
      <c r="K29" s="220">
        <v>986.13461051999991</v>
      </c>
      <c r="L29" s="220">
        <v>1130.5428262800001</v>
      </c>
      <c r="M29" s="220">
        <v>1110.9086027999999</v>
      </c>
      <c r="N29" s="220">
        <v>871.06115964000014</v>
      </c>
      <c r="O29" s="220">
        <v>1269.0737030400001</v>
      </c>
      <c r="P29" s="220">
        <v>1366.8614427600005</v>
      </c>
      <c r="Q29" s="220">
        <v>1377.687447</v>
      </c>
      <c r="R29" s="220">
        <v>1536.5335805999996</v>
      </c>
      <c r="S29" s="220">
        <v>1432.2854477877106</v>
      </c>
      <c r="T29" s="220">
        <v>1532.0586452122434</v>
      </c>
      <c r="U29" s="220">
        <v>1584.6929817246082</v>
      </c>
      <c r="V29" s="220">
        <v>1675.0744065668289</v>
      </c>
      <c r="W29" s="220">
        <v>1591.7872792148532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168.78418330024326</v>
      </c>
      <c r="C31" s="59">
        <f t="shared" si="25"/>
        <v>155.63794185536071</v>
      </c>
      <c r="D31" s="59">
        <f t="shared" si="25"/>
        <v>177.35059014338498</v>
      </c>
      <c r="E31" s="59">
        <f t="shared" si="25"/>
        <v>173.34288971628206</v>
      </c>
      <c r="F31" s="59">
        <f t="shared" si="25"/>
        <v>140.35406823184769</v>
      </c>
      <c r="G31" s="59">
        <f t="shared" si="25"/>
        <v>151.50812563632934</v>
      </c>
      <c r="H31" s="59">
        <f t="shared" si="25"/>
        <v>151.84939264547754</v>
      </c>
      <c r="I31" s="59">
        <f t="shared" si="25"/>
        <v>137.82388355561596</v>
      </c>
      <c r="J31" s="59">
        <f t="shared" si="25"/>
        <v>145.29457439982573</v>
      </c>
      <c r="K31" s="59">
        <f t="shared" si="25"/>
        <v>146.37925806085573</v>
      </c>
      <c r="L31" s="59">
        <f t="shared" si="25"/>
        <v>160.54229620770536</v>
      </c>
      <c r="M31" s="59">
        <f t="shared" si="25"/>
        <v>118.6871627926438</v>
      </c>
      <c r="N31" s="59">
        <f t="shared" si="25"/>
        <v>100.82739468703515</v>
      </c>
      <c r="O31" s="59">
        <f t="shared" si="25"/>
        <v>128.49892814628464</v>
      </c>
      <c r="P31" s="59">
        <f t="shared" si="25"/>
        <v>139.40198523473921</v>
      </c>
      <c r="Q31" s="59">
        <f t="shared" si="25"/>
        <v>139.71311147195431</v>
      </c>
      <c r="R31" s="59">
        <f t="shared" si="25"/>
        <v>149.60591375747609</v>
      </c>
      <c r="S31" s="59">
        <f t="shared" si="25"/>
        <v>140.17140330751204</v>
      </c>
      <c r="T31" s="59">
        <f t="shared" si="25"/>
        <v>151.6745526600549</v>
      </c>
      <c r="U31" s="59">
        <f t="shared" si="25"/>
        <v>156.96504739377878</v>
      </c>
      <c r="V31" s="59">
        <f t="shared" si="25"/>
        <v>168.91053868421477</v>
      </c>
      <c r="W31" s="59">
        <f t="shared" si="25"/>
        <v>145.84457576147528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126.45888445910974</v>
      </c>
      <c r="C32" s="55">
        <f t="shared" si="26"/>
        <v>122.34803499436494</v>
      </c>
      <c r="D32" s="55">
        <f t="shared" si="26"/>
        <v>127.8105623843866</v>
      </c>
      <c r="E32" s="55">
        <f t="shared" si="26"/>
        <v>135.43288032890183</v>
      </c>
      <c r="F32" s="55">
        <f t="shared" si="26"/>
        <v>134.84363036747558</v>
      </c>
      <c r="G32" s="55">
        <f t="shared" si="26"/>
        <v>154.42655608236763</v>
      </c>
      <c r="H32" s="55">
        <f t="shared" si="26"/>
        <v>146.93020171673029</v>
      </c>
      <c r="I32" s="55">
        <f t="shared" si="26"/>
        <v>137.2385115226293</v>
      </c>
      <c r="J32" s="55">
        <f t="shared" si="26"/>
        <v>139.32723127138399</v>
      </c>
      <c r="K32" s="55">
        <f t="shared" si="26"/>
        <v>156.36023356757099</v>
      </c>
      <c r="L32" s="55">
        <f t="shared" si="26"/>
        <v>144.58585940593417</v>
      </c>
      <c r="M32" s="55">
        <f t="shared" si="26"/>
        <v>132.80026593791032</v>
      </c>
      <c r="N32" s="55">
        <f t="shared" si="26"/>
        <v>135.04301399101351</v>
      </c>
      <c r="O32" s="55">
        <f t="shared" si="26"/>
        <v>132.95020410976801</v>
      </c>
      <c r="P32" s="55">
        <f t="shared" si="26"/>
        <v>130.15939664117735</v>
      </c>
      <c r="Q32" s="55">
        <f t="shared" si="26"/>
        <v>132.91816907674809</v>
      </c>
      <c r="R32" s="55">
        <f t="shared" si="26"/>
        <v>135.38540863538176</v>
      </c>
      <c r="S32" s="55">
        <f t="shared" si="26"/>
        <v>124.90211009173743</v>
      </c>
      <c r="T32" s="55">
        <f t="shared" si="26"/>
        <v>141.27985612939966</v>
      </c>
      <c r="U32" s="55">
        <f t="shared" si="26"/>
        <v>142.0119845958406</v>
      </c>
      <c r="V32" s="55">
        <f t="shared" si="26"/>
        <v>148.62601044661253</v>
      </c>
      <c r="W32" s="55">
        <f t="shared" si="26"/>
        <v>142.5401415478579</v>
      </c>
      <c r="DA32" s="217"/>
    </row>
    <row r="33" spans="1:105" x14ac:dyDescent="0.25">
      <c r="A33" s="35" t="s">
        <v>111</v>
      </c>
      <c r="B33" s="55">
        <f>IF(AGR_ued!B$5=0,"",AGR_ued!B$5/B$5*1000)</f>
        <v>49.294833751851201</v>
      </c>
      <c r="C33" s="55">
        <f>IF(AGR_ued!C$5=0,"",AGR_ued!C$5/C$5*1000)</f>
        <v>48.23154138570186</v>
      </c>
      <c r="D33" s="55">
        <f>IF(AGR_ued!D$5=0,"",AGR_ued!D$5/D$5*1000)</f>
        <v>50.568781624121492</v>
      </c>
      <c r="E33" s="55">
        <f>IF(AGR_ued!E$5=0,"",AGR_ued!E$5/E$5*1000)</f>
        <v>53.764605564122782</v>
      </c>
      <c r="F33" s="55">
        <f>IF(AGR_ued!F$5=0,"",AGR_ued!F$5/F$5*1000)</f>
        <v>54.41501589819871</v>
      </c>
      <c r="G33" s="55">
        <f>IF(AGR_ued!G$5=0,"",AGR_ued!G$5/G$5*1000)</f>
        <v>62.119805847634339</v>
      </c>
      <c r="H33" s="55">
        <f>IF(AGR_ued!H$5=0,"",AGR_ued!H$5/H$5*1000)</f>
        <v>58.749457830017356</v>
      </c>
      <c r="I33" s="55">
        <f>IF(AGR_ued!I$5=0,"",AGR_ued!I$5/I$5*1000)</f>
        <v>55.158548077433046</v>
      </c>
      <c r="J33" s="55">
        <f>IF(AGR_ued!J$5=0,"",AGR_ued!J$5/J$5*1000)</f>
        <v>55.877969426732491</v>
      </c>
      <c r="K33" s="55">
        <f>IF(AGR_ued!K$5=0,"",AGR_ued!K$5/K$5*1000)</f>
        <v>62.435394390945504</v>
      </c>
      <c r="L33" s="55">
        <f>IF(AGR_ued!L$5=0,"",AGR_ued!L$5/L$5*1000)</f>
        <v>56.992333378057765</v>
      </c>
      <c r="M33" s="55">
        <f>IF(AGR_ued!M$5=0,"",AGR_ued!M$5/M$5*1000)</f>
        <v>52.426654029966137</v>
      </c>
      <c r="N33" s="55">
        <f>IF(AGR_ued!N$5=0,"",AGR_ued!N$5/N$5*1000)</f>
        <v>54.031251677214115</v>
      </c>
      <c r="O33" s="55">
        <f>IF(AGR_ued!O$5=0,"",AGR_ued!O$5/O$5*1000)</f>
        <v>51.679832608439675</v>
      </c>
      <c r="P33" s="55">
        <f>IF(AGR_ued!P$5=0,"",AGR_ued!P$5/P$5*1000)</f>
        <v>50.964047171617921</v>
      </c>
      <c r="Q33" s="55">
        <f>IF(AGR_ued!Q$5=0,"",AGR_ued!Q$5/Q$5*1000)</f>
        <v>51.982779858575825</v>
      </c>
      <c r="R33" s="55">
        <f>IF(AGR_ued!R$5=0,"",AGR_ued!R$5/R$5*1000)</f>
        <v>52.911969402460734</v>
      </c>
      <c r="S33" s="55">
        <f>IF(AGR_ued!S$5=0,"",AGR_ued!S$5/S$5*1000)</f>
        <v>48.843151035504995</v>
      </c>
      <c r="T33" s="55">
        <f>IF(AGR_ued!T$5=0,"",AGR_ued!T$5/T$5*1000)</f>
        <v>55.148328504540693</v>
      </c>
      <c r="U33" s="55">
        <f>IF(AGR_ued!U$5=0,"",AGR_ued!U$5/U$5*1000)</f>
        <v>55.549792698476836</v>
      </c>
      <c r="V33" s="55">
        <f>IF(AGR_ued!V$5=0,"",AGR_ued!V$5/V$5*1000)</f>
        <v>58.141465166612235</v>
      </c>
      <c r="W33" s="55">
        <f>IF(AGR_ued!W$5=0,"",AGR_ued!W$5/W$5*1000)</f>
        <v>55.782470439158061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2.4183403034028474</v>
      </c>
      <c r="C34" s="218">
        <f t="shared" si="27"/>
        <v>2.3362233994795596</v>
      </c>
      <c r="D34" s="218">
        <f t="shared" si="27"/>
        <v>2.3107350902708905</v>
      </c>
      <c r="E34" s="218">
        <f t="shared" si="27"/>
        <v>2.2859537564731447</v>
      </c>
      <c r="F34" s="218">
        <f t="shared" si="27"/>
        <v>2.2158741912455837</v>
      </c>
      <c r="G34" s="218">
        <f t="shared" si="27"/>
        <v>2.2269056500472701</v>
      </c>
      <c r="H34" s="218">
        <f t="shared" si="27"/>
        <v>2.2594597895338118</v>
      </c>
      <c r="I34" s="218">
        <f t="shared" si="27"/>
        <v>2.2063361860863262</v>
      </c>
      <c r="J34" s="218">
        <f t="shared" si="27"/>
        <v>2.2382465141971486</v>
      </c>
      <c r="K34" s="218">
        <f t="shared" si="27"/>
        <v>2.2316212157473569</v>
      </c>
      <c r="L34" s="218">
        <f t="shared" si="27"/>
        <v>2.3163636902726634</v>
      </c>
      <c r="M34" s="218">
        <f t="shared" si="27"/>
        <v>2.2989177271804269</v>
      </c>
      <c r="N34" s="218">
        <f t="shared" si="27"/>
        <v>2.1821410171679845</v>
      </c>
      <c r="O34" s="218">
        <f t="shared" si="27"/>
        <v>2.4270383021460376</v>
      </c>
      <c r="P34" s="218">
        <f t="shared" si="27"/>
        <v>2.2966427426595448</v>
      </c>
      <c r="Q34" s="218">
        <f t="shared" si="27"/>
        <v>2.307005000696889</v>
      </c>
      <c r="R34" s="218">
        <f t="shared" si="27"/>
        <v>2.303825850584269</v>
      </c>
      <c r="S34" s="218">
        <f t="shared" si="27"/>
        <v>2.2788026237516261</v>
      </c>
      <c r="T34" s="218">
        <f t="shared" si="27"/>
        <v>2.2882719109395331</v>
      </c>
      <c r="U34" s="218">
        <f t="shared" si="27"/>
        <v>2.2865187889224674</v>
      </c>
      <c r="V34" s="218">
        <f t="shared" si="27"/>
        <v>2.3179607097660782</v>
      </c>
      <c r="W34" s="218">
        <f t="shared" si="27"/>
        <v>2.3144793886180088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671.35021496130651</v>
      </c>
      <c r="C5" s="80">
        <f t="shared" ref="C5:W5" si="1">SUM(C6:C9,C16:C17,C25:C27)</f>
        <v>634.01840068787578</v>
      </c>
      <c r="D5" s="80">
        <f t="shared" si="1"/>
        <v>653.78744625967306</v>
      </c>
      <c r="E5" s="80">
        <f t="shared" si="1"/>
        <v>616.17162510748062</v>
      </c>
      <c r="F5" s="80">
        <f t="shared" si="1"/>
        <v>586.64041272570898</v>
      </c>
      <c r="G5" s="80">
        <f t="shared" si="1"/>
        <v>560.52020636285442</v>
      </c>
      <c r="H5" s="80">
        <f t="shared" si="1"/>
        <v>550.37927773000843</v>
      </c>
      <c r="I5" s="80">
        <f t="shared" si="1"/>
        <v>498.3622527944969</v>
      </c>
      <c r="J5" s="80">
        <f t="shared" si="1"/>
        <v>526.75795356835749</v>
      </c>
      <c r="K5" s="80">
        <f t="shared" si="1"/>
        <v>441.89157351676681</v>
      </c>
      <c r="L5" s="80">
        <f t="shared" si="1"/>
        <v>488.06792777300063</v>
      </c>
      <c r="M5" s="80">
        <f t="shared" si="1"/>
        <v>483.23112639724837</v>
      </c>
      <c r="N5" s="80">
        <f t="shared" si="1"/>
        <v>399.1773000859846</v>
      </c>
      <c r="O5" s="80">
        <f t="shared" si="1"/>
        <v>522.88985382631085</v>
      </c>
      <c r="P5" s="80">
        <f t="shared" si="1"/>
        <v>595.15631986242431</v>
      </c>
      <c r="Q5" s="80">
        <f t="shared" si="1"/>
        <v>597.17575236457424</v>
      </c>
      <c r="R5" s="80">
        <f t="shared" si="1"/>
        <v>666.94866723989685</v>
      </c>
      <c r="S5" s="80">
        <f t="shared" si="1"/>
        <v>628.52545141874441</v>
      </c>
      <c r="T5" s="80">
        <f t="shared" si="1"/>
        <v>669.52648323301787</v>
      </c>
      <c r="U5" s="80">
        <f t="shared" si="1"/>
        <v>693.05924333619919</v>
      </c>
      <c r="V5" s="80">
        <f t="shared" si="1"/>
        <v>722.65004299226121</v>
      </c>
      <c r="W5" s="80">
        <f t="shared" si="1"/>
        <v>687.75176268271707</v>
      </c>
      <c r="DA5" s="103"/>
    </row>
    <row r="6" spans="1:105" x14ac:dyDescent="0.25">
      <c r="A6" s="239" t="s">
        <v>125</v>
      </c>
      <c r="B6" s="240">
        <v>14.52117205467697</v>
      </c>
      <c r="C6" s="240">
        <v>14.439489412648109</v>
      </c>
      <c r="D6" s="240">
        <v>15.583354451836909</v>
      </c>
      <c r="E6" s="240">
        <v>15.402348749600449</v>
      </c>
      <c r="F6" s="240">
        <v>15.526180994699869</v>
      </c>
      <c r="G6" s="240">
        <v>13.78060557703305</v>
      </c>
      <c r="H6" s="240">
        <v>13.385641618007879</v>
      </c>
      <c r="I6" s="240">
        <v>13.553174126702199</v>
      </c>
      <c r="J6" s="240">
        <v>13.71663725966398</v>
      </c>
      <c r="K6" s="240">
        <v>11.52937027021691</v>
      </c>
      <c r="L6" s="240">
        <v>11.436363894333921</v>
      </c>
      <c r="M6" s="240">
        <v>11.48297424800327</v>
      </c>
      <c r="N6" s="240">
        <v>11.097843461337471</v>
      </c>
      <c r="O6" s="240">
        <v>11.040718713255821</v>
      </c>
      <c r="P6" s="240">
        <v>12.57188735983801</v>
      </c>
      <c r="Q6" s="240">
        <v>13.20340333602719</v>
      </c>
      <c r="R6" s="240">
        <v>13.91472448371079</v>
      </c>
      <c r="S6" s="240">
        <v>13.81517101745251</v>
      </c>
      <c r="T6" s="240">
        <v>15.097812116549701</v>
      </c>
      <c r="U6" s="240">
        <v>15.542300025833461</v>
      </c>
      <c r="V6" s="240">
        <v>15.689325952022649</v>
      </c>
      <c r="W6" s="240">
        <v>14.950906099770419</v>
      </c>
      <c r="DA6" s="268" t="s">
        <v>993</v>
      </c>
    </row>
    <row r="7" spans="1:105" x14ac:dyDescent="0.25">
      <c r="A7" s="241" t="s">
        <v>124</v>
      </c>
      <c r="B7" s="242">
        <v>9.4387618355400331</v>
      </c>
      <c r="C7" s="242">
        <v>9.38566811822127</v>
      </c>
      <c r="D7" s="242">
        <v>10.129180393693989</v>
      </c>
      <c r="E7" s="242">
        <v>10.011526687240289</v>
      </c>
      <c r="F7" s="242">
        <v>10.09201764655492</v>
      </c>
      <c r="G7" s="242">
        <v>8.9573936250714787</v>
      </c>
      <c r="H7" s="242">
        <v>8.700667051705123</v>
      </c>
      <c r="I7" s="242">
        <v>8.8095631823564258</v>
      </c>
      <c r="J7" s="242">
        <v>8.9158142187815876</v>
      </c>
      <c r="K7" s="242">
        <v>7.4940906756409866</v>
      </c>
      <c r="L7" s="242">
        <v>7.4336365313170463</v>
      </c>
      <c r="M7" s="242">
        <v>7.4639332612021283</v>
      </c>
      <c r="N7" s="242">
        <v>7.2135982498693521</v>
      </c>
      <c r="O7" s="242">
        <v>7.1764671636162838</v>
      </c>
      <c r="P7" s="242">
        <v>8.1717267838947052</v>
      </c>
      <c r="Q7" s="242">
        <v>8.5822121684176693</v>
      </c>
      <c r="R7" s="242">
        <v>9.044570914412013</v>
      </c>
      <c r="S7" s="242">
        <v>8.9798611613441306</v>
      </c>
      <c r="T7" s="242">
        <v>9.8135778757573053</v>
      </c>
      <c r="U7" s="242">
        <v>10.102495016791741</v>
      </c>
      <c r="V7" s="242">
        <v>10.198061868814721</v>
      </c>
      <c r="W7" s="242">
        <v>9.7180889648507662</v>
      </c>
      <c r="DA7" s="269" t="s">
        <v>994</v>
      </c>
    </row>
    <row r="8" spans="1:105" x14ac:dyDescent="0.25">
      <c r="A8" s="241" t="s">
        <v>123</v>
      </c>
      <c r="B8" s="242">
        <v>13.06905484920928</v>
      </c>
      <c r="C8" s="242">
        <v>12.9955404713833</v>
      </c>
      <c r="D8" s="242">
        <v>14.025019006653221</v>
      </c>
      <c r="E8" s="242">
        <v>13.8621138746404</v>
      </c>
      <c r="F8" s="242">
        <v>13.97356289522989</v>
      </c>
      <c r="G8" s="242">
        <v>12.40254501932974</v>
      </c>
      <c r="H8" s="242">
        <v>12.0470774562071</v>
      </c>
      <c r="I8" s="242">
        <v>12.19785671403198</v>
      </c>
      <c r="J8" s="242">
        <v>12.344973533697591</v>
      </c>
      <c r="K8" s="242">
        <v>10.376433243195221</v>
      </c>
      <c r="L8" s="242">
        <v>10.292727504900521</v>
      </c>
      <c r="M8" s="242">
        <v>10.33467682320294</v>
      </c>
      <c r="N8" s="242">
        <v>9.9880591152037184</v>
      </c>
      <c r="O8" s="242">
        <v>9.9366468419302389</v>
      </c>
      <c r="P8" s="242">
        <v>11.314698623854211</v>
      </c>
      <c r="Q8" s="242">
        <v>11.883063002424469</v>
      </c>
      <c r="R8" s="242">
        <v>12.523252035339709</v>
      </c>
      <c r="S8" s="242">
        <v>12.433653915707261</v>
      </c>
      <c r="T8" s="242">
        <v>13.58803090489473</v>
      </c>
      <c r="U8" s="242">
        <v>13.98807002325011</v>
      </c>
      <c r="V8" s="242">
        <v>14.12039335682039</v>
      </c>
      <c r="W8" s="242">
        <v>13.45581548979337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137.59328894404868</v>
      </c>
      <c r="C9" s="244">
        <f t="shared" ref="C9:W9" si="3">SUM(C10:C15)</f>
        <v>132.23614488365789</v>
      </c>
      <c r="D9" s="244">
        <f t="shared" si="3"/>
        <v>135.75620459473598</v>
      </c>
      <c r="E9" s="244">
        <f t="shared" si="3"/>
        <v>127.2922339291367</v>
      </c>
      <c r="F9" s="244">
        <f t="shared" si="3"/>
        <v>124.11493862334846</v>
      </c>
      <c r="G9" s="244">
        <f t="shared" si="3"/>
        <v>120.60034736437818</v>
      </c>
      <c r="H9" s="244">
        <f t="shared" si="3"/>
        <v>116.69847894008058</v>
      </c>
      <c r="I9" s="244">
        <f t="shared" si="3"/>
        <v>103.42575829922946</v>
      </c>
      <c r="J9" s="244">
        <f t="shared" si="3"/>
        <v>110.05443446090747</v>
      </c>
      <c r="K9" s="244">
        <f t="shared" si="3"/>
        <v>91.660446884487655</v>
      </c>
      <c r="L9" s="244">
        <f t="shared" si="3"/>
        <v>100.73356425733365</v>
      </c>
      <c r="M9" s="244">
        <f t="shared" si="3"/>
        <v>99.654681326445683</v>
      </c>
      <c r="N9" s="244">
        <f t="shared" si="3"/>
        <v>81.727422527015051</v>
      </c>
      <c r="O9" s="244">
        <f t="shared" si="3"/>
        <v>106.22849038196341</v>
      </c>
      <c r="P9" s="244">
        <f t="shared" si="3"/>
        <v>124.03525019239996</v>
      </c>
      <c r="Q9" s="244">
        <f t="shared" si="3"/>
        <v>122.94309275975323</v>
      </c>
      <c r="R9" s="244">
        <f t="shared" si="3"/>
        <v>138.75832956477589</v>
      </c>
      <c r="S9" s="244">
        <f t="shared" si="3"/>
        <v>129.88724352635751</v>
      </c>
      <c r="T9" s="244">
        <f t="shared" si="3"/>
        <v>137.36721886422427</v>
      </c>
      <c r="U9" s="244">
        <f t="shared" si="3"/>
        <v>142.7586324409115</v>
      </c>
      <c r="V9" s="244">
        <f t="shared" si="3"/>
        <v>149.59894670468944</v>
      </c>
      <c r="W9" s="244">
        <f t="shared" si="3"/>
        <v>142.76505844195418</v>
      </c>
      <c r="DA9" s="270"/>
    </row>
    <row r="10" spans="1:105" x14ac:dyDescent="0.25">
      <c r="A10" s="254" t="s">
        <v>173</v>
      </c>
      <c r="B10" s="255">
        <v>51.316058750991161</v>
      </c>
      <c r="C10" s="255">
        <v>35.947115970597551</v>
      </c>
      <c r="D10" s="255">
        <v>38.746245477128561</v>
      </c>
      <c r="E10" s="255">
        <v>36.62655222168253</v>
      </c>
      <c r="F10" s="255">
        <v>30.120076648041309</v>
      </c>
      <c r="G10" s="255">
        <v>26.501167860600809</v>
      </c>
      <c r="H10" s="255">
        <v>32.809867006421712</v>
      </c>
      <c r="I10" s="255">
        <v>31.81930132187712</v>
      </c>
      <c r="J10" s="255">
        <v>34.056088760313777</v>
      </c>
      <c r="K10" s="255">
        <v>33.44730319250786</v>
      </c>
      <c r="L10" s="255">
        <v>42.740366303198392</v>
      </c>
      <c r="M10" s="255">
        <v>40.716325057558542</v>
      </c>
      <c r="N10" s="255">
        <v>32.340953259918507</v>
      </c>
      <c r="O10" s="255">
        <v>54.700944912234633</v>
      </c>
      <c r="P10" s="255">
        <v>49.397738057357998</v>
      </c>
      <c r="Q10" s="255">
        <v>55.060097801836157</v>
      </c>
      <c r="R10" s="255">
        <v>56.751708029715807</v>
      </c>
      <c r="S10" s="255">
        <v>56.582636748146157</v>
      </c>
      <c r="T10" s="255">
        <v>66.038579928941459</v>
      </c>
      <c r="U10" s="255">
        <v>64.197457620490141</v>
      </c>
      <c r="V10" s="255">
        <v>65.485849610558347</v>
      </c>
      <c r="W10" s="255">
        <v>62.431084954562039</v>
      </c>
      <c r="DA10" s="271" t="s">
        <v>996</v>
      </c>
    </row>
    <row r="11" spans="1:105" x14ac:dyDescent="0.25">
      <c r="A11" s="254" t="s">
        <v>176</v>
      </c>
      <c r="B11" s="256">
        <v>76.182622964203759</v>
      </c>
      <c r="C11" s="256">
        <v>84.825872429188479</v>
      </c>
      <c r="D11" s="256">
        <v>83.743425955211777</v>
      </c>
      <c r="E11" s="256">
        <v>76.045776719348368</v>
      </c>
      <c r="F11" s="256">
        <v>75.133438754034316</v>
      </c>
      <c r="G11" s="256">
        <v>78.390171939705027</v>
      </c>
      <c r="H11" s="256">
        <v>68.561878611344099</v>
      </c>
      <c r="I11" s="256">
        <v>53.138211425267762</v>
      </c>
      <c r="J11" s="256">
        <v>58.769301065408342</v>
      </c>
      <c r="K11" s="256">
        <v>43.63444374095166</v>
      </c>
      <c r="L11" s="256">
        <v>44.92938201234216</v>
      </c>
      <c r="M11" s="256">
        <v>45.269132340110211</v>
      </c>
      <c r="N11" s="256">
        <v>32.642716142038367</v>
      </c>
      <c r="O11" s="256">
        <v>40.183080402095563</v>
      </c>
      <c r="P11" s="256">
        <v>54.24713635241713</v>
      </c>
      <c r="Q11" s="256">
        <v>47.117434300493258</v>
      </c>
      <c r="R11" s="256">
        <v>61.701479856787948</v>
      </c>
      <c r="S11" s="256">
        <v>50.857123480517913</v>
      </c>
      <c r="T11" s="256">
        <v>45.798082754437743</v>
      </c>
      <c r="U11" s="256">
        <v>52.883858832627773</v>
      </c>
      <c r="V11" s="256">
        <v>60.170792321939693</v>
      </c>
      <c r="W11" s="256">
        <v>57.298619632229773</v>
      </c>
      <c r="DA11" s="272" t="s">
        <v>997</v>
      </c>
    </row>
    <row r="12" spans="1:105" x14ac:dyDescent="0.25">
      <c r="A12" s="254" t="s">
        <v>158</v>
      </c>
      <c r="B12" s="256">
        <v>0.46581573865279591</v>
      </c>
      <c r="C12" s="256">
        <v>0.46576261797548912</v>
      </c>
      <c r="D12" s="256">
        <v>0.45527446642212988</v>
      </c>
      <c r="E12" s="256">
        <v>0.44987745409648788</v>
      </c>
      <c r="F12" s="256">
        <v>3.9825259583041221</v>
      </c>
      <c r="G12" s="256">
        <v>4.8374868674304379</v>
      </c>
      <c r="H12" s="256">
        <v>5.0217513859151248</v>
      </c>
      <c r="I12" s="256">
        <v>4.577452384081627</v>
      </c>
      <c r="J12" s="256">
        <v>4.7336410791854329</v>
      </c>
      <c r="K12" s="256">
        <v>4.1306243885270639</v>
      </c>
      <c r="L12" s="256">
        <v>4.6824367883601852</v>
      </c>
      <c r="M12" s="256">
        <v>4.9429085816791849</v>
      </c>
      <c r="N12" s="256">
        <v>4.6586798035757413</v>
      </c>
      <c r="O12" s="256">
        <v>4.5102254429092641</v>
      </c>
      <c r="P12" s="256">
        <v>12.814129004306819</v>
      </c>
      <c r="Q12" s="256">
        <v>11.866154292907771</v>
      </c>
      <c r="R12" s="256">
        <v>12.13439608238671</v>
      </c>
      <c r="S12" s="256">
        <v>13.387310868997661</v>
      </c>
      <c r="T12" s="256">
        <v>15.19270360720126</v>
      </c>
      <c r="U12" s="256">
        <v>15.130518609685121</v>
      </c>
      <c r="V12" s="256">
        <v>14.06847021535266</v>
      </c>
      <c r="W12" s="256">
        <v>13.419978936476429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0.1194325021495348</v>
      </c>
      <c r="C14" s="255">
        <v>0.47773000859829878</v>
      </c>
      <c r="D14" s="255">
        <v>0.35829750644870278</v>
      </c>
      <c r="E14" s="255">
        <v>0.38211521926040681</v>
      </c>
      <c r="F14" s="255">
        <v>0.33439380911424499</v>
      </c>
      <c r="G14" s="255">
        <v>0.23886500429913249</v>
      </c>
      <c r="H14" s="255">
        <v>0.1910576096301711</v>
      </c>
      <c r="I14" s="255">
        <v>0.14333619948404561</v>
      </c>
      <c r="J14" s="255">
        <v>0.16715391229574161</v>
      </c>
      <c r="K14" s="255">
        <v>0.1671539122957364</v>
      </c>
      <c r="L14" s="255">
        <v>0.21496130696456819</v>
      </c>
      <c r="M14" s="255">
        <v>0.19105760963014459</v>
      </c>
      <c r="N14" s="255">
        <v>0.3343938091143035</v>
      </c>
      <c r="O14" s="255">
        <v>0.21496130696452051</v>
      </c>
      <c r="P14" s="255">
        <v>0.35829750644864172</v>
      </c>
      <c r="Q14" s="255">
        <v>0.45382631126364709</v>
      </c>
      <c r="R14" s="255">
        <v>0.35829750644861807</v>
      </c>
      <c r="S14" s="255">
        <v>0.4060189165946898</v>
      </c>
      <c r="T14" s="255">
        <v>0.35829750644862712</v>
      </c>
      <c r="U14" s="255">
        <v>0.38211521926029329</v>
      </c>
      <c r="V14" s="255">
        <v>0.3582975064486898</v>
      </c>
      <c r="W14" s="255">
        <v>0.62098022355949223</v>
      </c>
      <c r="DA14" s="271" t="s">
        <v>1000</v>
      </c>
    </row>
    <row r="15" spans="1:105" x14ac:dyDescent="0.25">
      <c r="A15" s="254" t="s">
        <v>24</v>
      </c>
      <c r="B15" s="256">
        <v>9.5093589880514493</v>
      </c>
      <c r="C15" s="256">
        <v>10.519663857298079</v>
      </c>
      <c r="D15" s="256">
        <v>12.45296118952481</v>
      </c>
      <c r="E15" s="256">
        <v>13.787912314748899</v>
      </c>
      <c r="F15" s="256">
        <v>14.54450345385448</v>
      </c>
      <c r="G15" s="256">
        <v>10.63265569234277</v>
      </c>
      <c r="H15" s="256">
        <v>10.11392432676946</v>
      </c>
      <c r="I15" s="256">
        <v>13.74745696851892</v>
      </c>
      <c r="J15" s="256">
        <v>12.328249643704179</v>
      </c>
      <c r="K15" s="256">
        <v>10.280921650205331</v>
      </c>
      <c r="L15" s="256">
        <v>8.1664178464683612</v>
      </c>
      <c r="M15" s="256">
        <v>8.5352577374675924</v>
      </c>
      <c r="N15" s="256">
        <v>11.75067951236813</v>
      </c>
      <c r="O15" s="256">
        <v>6.6192783177594317</v>
      </c>
      <c r="P15" s="256">
        <v>7.2179492718693794</v>
      </c>
      <c r="Q15" s="256">
        <v>8.4455800532523941</v>
      </c>
      <c r="R15" s="256">
        <v>7.8124480894368116</v>
      </c>
      <c r="S15" s="256">
        <v>8.654153512101086</v>
      </c>
      <c r="T15" s="256">
        <v>9.9795550671951769</v>
      </c>
      <c r="U15" s="256">
        <v>10.16468215884816</v>
      </c>
      <c r="V15" s="256">
        <v>9.515537050390062</v>
      </c>
      <c r="W15" s="256">
        <v>8.9943946951264486</v>
      </c>
      <c r="DA15" s="272" t="s">
        <v>1001</v>
      </c>
    </row>
    <row r="16" spans="1:105" x14ac:dyDescent="0.25">
      <c r="A16" s="257" t="s">
        <v>175</v>
      </c>
      <c r="B16" s="258">
        <v>153.26106128284471</v>
      </c>
      <c r="C16" s="258">
        <v>135.47530395252909</v>
      </c>
      <c r="D16" s="258">
        <v>141.31917063400419</v>
      </c>
      <c r="E16" s="258">
        <v>132.9554475928658</v>
      </c>
      <c r="F16" s="258">
        <v>124.5980904471952</v>
      </c>
      <c r="G16" s="258">
        <v>117.71066326172399</v>
      </c>
      <c r="H16" s="258">
        <v>121.85118546515631</v>
      </c>
      <c r="I16" s="258">
        <v>110.6304310386945</v>
      </c>
      <c r="J16" s="258">
        <v>117.96369763473319</v>
      </c>
      <c r="K16" s="258">
        <v>102.5463093514354</v>
      </c>
      <c r="L16" s="258">
        <v>116.62614460799441</v>
      </c>
      <c r="M16" s="258">
        <v>114.31566632404321</v>
      </c>
      <c r="N16" s="258">
        <v>93.145500828705551</v>
      </c>
      <c r="O16" s="258">
        <v>128.29019725782601</v>
      </c>
      <c r="P16" s="258">
        <v>140.82844302298611</v>
      </c>
      <c r="Q16" s="258">
        <v>143.86937963697591</v>
      </c>
      <c r="R16" s="258">
        <v>158.51203876261391</v>
      </c>
      <c r="S16" s="258">
        <v>150.99988981429169</v>
      </c>
      <c r="T16" s="258">
        <v>163.68439772780761</v>
      </c>
      <c r="U16" s="258">
        <v>167.37219325334391</v>
      </c>
      <c r="V16" s="258">
        <v>174.10985411667971</v>
      </c>
      <c r="W16" s="258">
        <v>166.13146364189919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278.43961429995983</v>
      </c>
      <c r="C17" s="258">
        <f t="shared" ref="C17:W17" si="5">SUM(C18:C24)</f>
        <v>268.07679612001414</v>
      </c>
      <c r="D17" s="258">
        <f t="shared" si="5"/>
        <v>271.63964241928971</v>
      </c>
      <c r="E17" s="258">
        <f t="shared" si="5"/>
        <v>253.36370256834155</v>
      </c>
      <c r="F17" s="258">
        <f t="shared" si="5"/>
        <v>236.35391723599022</v>
      </c>
      <c r="G17" s="258">
        <f t="shared" si="5"/>
        <v>230.68708293752499</v>
      </c>
      <c r="H17" s="258">
        <f t="shared" si="5"/>
        <v>221.48668447330647</v>
      </c>
      <c r="I17" s="258">
        <f t="shared" si="5"/>
        <v>195.28163353536488</v>
      </c>
      <c r="J17" s="258">
        <f t="shared" si="5"/>
        <v>207.48892759684233</v>
      </c>
      <c r="K17" s="258">
        <f t="shared" si="5"/>
        <v>170.33283799511764</v>
      </c>
      <c r="L17" s="258">
        <f t="shared" si="5"/>
        <v>191.11571381933567</v>
      </c>
      <c r="M17" s="258">
        <f t="shared" si="5"/>
        <v>189.8791995472281</v>
      </c>
      <c r="N17" s="258">
        <f t="shared" si="5"/>
        <v>150.91647519033265</v>
      </c>
      <c r="O17" s="258">
        <f t="shared" si="5"/>
        <v>208.51554208190021</v>
      </c>
      <c r="P17" s="258">
        <f t="shared" si="5"/>
        <v>240.37183089543578</v>
      </c>
      <c r="Q17" s="258">
        <f t="shared" si="5"/>
        <v>236.70056302258837</v>
      </c>
      <c r="R17" s="258">
        <f t="shared" si="5"/>
        <v>269.64526724994357</v>
      </c>
      <c r="S17" s="258">
        <f t="shared" si="5"/>
        <v>249.54657577142837</v>
      </c>
      <c r="T17" s="258">
        <f t="shared" si="5"/>
        <v>261.53248493404772</v>
      </c>
      <c r="U17" s="258">
        <f t="shared" si="5"/>
        <v>273.05495574528032</v>
      </c>
      <c r="V17" s="258">
        <f t="shared" si="5"/>
        <v>287.03795295857861</v>
      </c>
      <c r="W17" s="258">
        <f t="shared" si="5"/>
        <v>272.17716486725431</v>
      </c>
      <c r="DA17" s="273"/>
    </row>
    <row r="18" spans="1:105" x14ac:dyDescent="0.25">
      <c r="A18" s="61" t="s">
        <v>29</v>
      </c>
      <c r="B18" s="55">
        <v>26.905760962980111</v>
      </c>
      <c r="C18" s="55">
        <v>20.714617368852391</v>
      </c>
      <c r="D18" s="55">
        <v>18.046517626800771</v>
      </c>
      <c r="E18" s="55">
        <v>17.107910576064981</v>
      </c>
      <c r="F18" s="55">
        <v>4.9025795356739916</v>
      </c>
      <c r="G18" s="55">
        <v>4.2361134995648033</v>
      </c>
      <c r="H18" s="55">
        <v>3.0638865004253231</v>
      </c>
      <c r="I18" s="55">
        <v>3.134393809105767</v>
      </c>
      <c r="J18" s="55">
        <v>2.2929492691286888</v>
      </c>
      <c r="K18" s="55">
        <v>0.83164230438412201</v>
      </c>
      <c r="L18" s="55">
        <v>0.41152192605237198</v>
      </c>
      <c r="M18" s="55">
        <v>0.57609630266442746</v>
      </c>
      <c r="N18" s="55">
        <v>0.42631126397175878</v>
      </c>
      <c r="O18" s="55">
        <v>0.94221840068562768</v>
      </c>
      <c r="P18" s="55">
        <v>0</v>
      </c>
      <c r="Q18" s="55">
        <v>0.44780739466819047</v>
      </c>
      <c r="R18" s="55">
        <v>0.43387790197708959</v>
      </c>
      <c r="S18" s="55">
        <v>0.29776440240701629</v>
      </c>
      <c r="T18" s="55">
        <v>0.88976784178717361</v>
      </c>
      <c r="U18" s="55">
        <v>1.463370593290962</v>
      </c>
      <c r="V18" s="55">
        <v>1.480137575235084</v>
      </c>
      <c r="W18" s="55">
        <v>1.478331900256558</v>
      </c>
      <c r="DA18" s="101" t="s">
        <v>1003</v>
      </c>
    </row>
    <row r="19" spans="1:105" x14ac:dyDescent="0.25">
      <c r="A19" s="61" t="s">
        <v>27</v>
      </c>
      <c r="B19" s="55">
        <v>9.0379191745329504</v>
      </c>
      <c r="C19" s="55">
        <v>11.29742046430486</v>
      </c>
      <c r="D19" s="55">
        <v>10.167669819417631</v>
      </c>
      <c r="E19" s="55">
        <v>7.9081685296501814</v>
      </c>
      <c r="F19" s="55">
        <v>14.593465176239739</v>
      </c>
      <c r="G19" s="55">
        <v>14.593465176250101</v>
      </c>
      <c r="H19" s="55">
        <v>10.103181427327909</v>
      </c>
      <c r="I19" s="55">
        <v>8.9805674978257706</v>
      </c>
      <c r="J19" s="55">
        <v>11.22579535682174</v>
      </c>
      <c r="K19" s="55">
        <v>0</v>
      </c>
      <c r="L19" s="55">
        <v>10.10318142732004</v>
      </c>
      <c r="M19" s="55">
        <v>12.34832330178225</v>
      </c>
      <c r="N19" s="55">
        <v>1.1226139294907791</v>
      </c>
      <c r="O19" s="55">
        <v>32.554686156414149</v>
      </c>
      <c r="P19" s="55">
        <v>31.43215821148538</v>
      </c>
      <c r="Q19" s="55">
        <v>25.819260533059701</v>
      </c>
      <c r="R19" s="55">
        <v>31.972828890758802</v>
      </c>
      <c r="S19" s="55">
        <v>23.142734307781829</v>
      </c>
      <c r="T19" s="55">
        <v>18.73456577813246</v>
      </c>
      <c r="U19" s="55">
        <v>23.142734307789091</v>
      </c>
      <c r="V19" s="55">
        <v>28.652880481486729</v>
      </c>
      <c r="W19" s="55">
        <v>22.04067067925693</v>
      </c>
      <c r="DA19" s="101" t="s">
        <v>1004</v>
      </c>
    </row>
    <row r="20" spans="1:105" x14ac:dyDescent="0.25">
      <c r="A20" s="61" t="s">
        <v>173</v>
      </c>
      <c r="B20" s="55">
        <v>80.245920587044466</v>
      </c>
      <c r="C20" s="55">
        <v>56.223117323914259</v>
      </c>
      <c r="D20" s="55">
        <v>62.889761585887008</v>
      </c>
      <c r="E20" s="55">
        <v>60.601833096420883</v>
      </c>
      <c r="F20" s="55">
        <v>55.503759850687139</v>
      </c>
      <c r="G20" s="55">
        <v>47.819900816287984</v>
      </c>
      <c r="H20" s="55">
        <v>60.196883688385519</v>
      </c>
      <c r="I20" s="55">
        <v>59.994803793943383</v>
      </c>
      <c r="J20" s="55">
        <v>64.062892957453755</v>
      </c>
      <c r="K20" s="55">
        <v>64.994896666451211</v>
      </c>
      <c r="L20" s="55">
        <v>78.039398484481424</v>
      </c>
      <c r="M20" s="55">
        <v>73.789520778814094</v>
      </c>
      <c r="N20" s="55">
        <v>64.160003552265863</v>
      </c>
      <c r="O20" s="55">
        <v>91.296380171427785</v>
      </c>
      <c r="P20" s="55">
        <v>84.661471144896979</v>
      </c>
      <c r="Q20" s="55">
        <v>96.440041556083344</v>
      </c>
      <c r="R20" s="55">
        <v>96.509604066427116</v>
      </c>
      <c r="S20" s="55">
        <v>99.48636695704198</v>
      </c>
      <c r="T20" s="55">
        <v>118.9684131703944</v>
      </c>
      <c r="U20" s="55">
        <v>114.3638301784211</v>
      </c>
      <c r="V20" s="55">
        <v>115.2895112828196</v>
      </c>
      <c r="W20" s="55">
        <v>111.4614556115511</v>
      </c>
      <c r="DA20" s="101" t="s">
        <v>1005</v>
      </c>
    </row>
    <row r="21" spans="1:105" x14ac:dyDescent="0.25">
      <c r="A21" s="61" t="s">
        <v>129</v>
      </c>
      <c r="B21" s="55">
        <v>16.40395528801978</v>
      </c>
      <c r="C21" s="55">
        <v>20.263714531363611</v>
      </c>
      <c r="D21" s="55">
        <v>16.40395528802415</v>
      </c>
      <c r="E21" s="55">
        <v>14.474032674092159</v>
      </c>
      <c r="F21" s="55">
        <v>3.8597592433286532</v>
      </c>
      <c r="G21" s="55">
        <v>2.8948409286292409</v>
      </c>
      <c r="H21" s="55">
        <v>2.8948409286285002</v>
      </c>
      <c r="I21" s="55">
        <v>3.8406706792672032</v>
      </c>
      <c r="J21" s="55">
        <v>2.8804815133240012</v>
      </c>
      <c r="K21" s="55">
        <v>1.920292347374958</v>
      </c>
      <c r="L21" s="55">
        <v>1.920292347373094</v>
      </c>
      <c r="M21" s="55">
        <v>1.9202923473738289</v>
      </c>
      <c r="N21" s="55">
        <v>0.96018916594849313</v>
      </c>
      <c r="O21" s="55">
        <v>0.96018916594783754</v>
      </c>
      <c r="P21" s="55">
        <v>0.96018916594901293</v>
      </c>
      <c r="Q21" s="55">
        <v>0.96018916594847958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1006</v>
      </c>
    </row>
    <row r="22" spans="1:105" x14ac:dyDescent="0.25">
      <c r="A22" s="61" t="s">
        <v>176</v>
      </c>
      <c r="B22" s="55">
        <v>119.13122054370869</v>
      </c>
      <c r="C22" s="55">
        <v>132.6719779575788</v>
      </c>
      <c r="D22" s="55">
        <v>135.9255336318318</v>
      </c>
      <c r="E22" s="55">
        <v>125.8243866509894</v>
      </c>
      <c r="F22" s="55">
        <v>138.45211584584109</v>
      </c>
      <c r="G22" s="55">
        <v>141.45075669293419</v>
      </c>
      <c r="H22" s="55">
        <v>125.7917757306511</v>
      </c>
      <c r="I22" s="55">
        <v>100.19128126575561</v>
      </c>
      <c r="J22" s="55">
        <v>110.5509052972922</v>
      </c>
      <c r="K22" s="55">
        <v>84.790577755054855</v>
      </c>
      <c r="L22" s="55">
        <v>82.036310162841957</v>
      </c>
      <c r="M22" s="55">
        <v>82.04049792625726</v>
      </c>
      <c r="N22" s="55">
        <v>64.758659610210444</v>
      </c>
      <c r="O22" s="55">
        <v>67.06593077569012</v>
      </c>
      <c r="P22" s="55">
        <v>92.972726072208488</v>
      </c>
      <c r="Q22" s="55">
        <v>82.528137496407808</v>
      </c>
      <c r="R22" s="55">
        <v>104.9269810200821</v>
      </c>
      <c r="S22" s="55">
        <v>89.419488729078552</v>
      </c>
      <c r="T22" s="55">
        <v>82.505184657280054</v>
      </c>
      <c r="U22" s="55">
        <v>94.209348389894359</v>
      </c>
      <c r="V22" s="55">
        <v>105.9322171362345</v>
      </c>
      <c r="W22" s="55">
        <v>102.29819894030589</v>
      </c>
      <c r="DA22" s="101" t="s">
        <v>1007</v>
      </c>
    </row>
    <row r="23" spans="1:105" x14ac:dyDescent="0.25">
      <c r="A23" s="61" t="s">
        <v>171</v>
      </c>
      <c r="B23" s="55">
        <v>25.986414445354871</v>
      </c>
      <c r="C23" s="55">
        <v>26.177472055003289</v>
      </c>
      <c r="D23" s="55">
        <v>27.467239896778381</v>
      </c>
      <c r="E23" s="55">
        <v>26.703009458248609</v>
      </c>
      <c r="F23" s="55">
        <v>11.70343938088855</v>
      </c>
      <c r="G23" s="55">
        <v>10.963026655188409</v>
      </c>
      <c r="H23" s="55">
        <v>10.22261392947734</v>
      </c>
      <c r="I23" s="55">
        <v>10.50920034390928</v>
      </c>
      <c r="J23" s="55">
        <v>7.5714531384256167</v>
      </c>
      <c r="K23" s="55">
        <v>9.7687876182159297</v>
      </c>
      <c r="L23" s="55">
        <v>10.055374032651191</v>
      </c>
      <c r="M23" s="55">
        <v>10.246517626807741</v>
      </c>
      <c r="N23" s="55">
        <v>10.24651762680972</v>
      </c>
      <c r="O23" s="55">
        <v>8.168529664640868</v>
      </c>
      <c r="P23" s="55">
        <v>8.3834909716153625</v>
      </c>
      <c r="Q23" s="55">
        <v>9.7210662080658512</v>
      </c>
      <c r="R23" s="55">
        <v>15.166723989662479</v>
      </c>
      <c r="S23" s="55">
        <v>13.661994840903381</v>
      </c>
      <c r="T23" s="55">
        <v>13.064918314684199</v>
      </c>
      <c r="U23" s="55">
        <v>12.92158211519944</v>
      </c>
      <c r="V23" s="55">
        <v>10.91530524504576</v>
      </c>
      <c r="W23" s="55">
        <v>10.93912295785726</v>
      </c>
      <c r="DA23" s="101" t="s">
        <v>1008</v>
      </c>
    </row>
    <row r="24" spans="1:105" x14ac:dyDescent="0.25">
      <c r="A24" s="61" t="s">
        <v>158</v>
      </c>
      <c r="B24" s="55">
        <v>0.72842329831898389</v>
      </c>
      <c r="C24" s="55">
        <v>0.72847641899696092</v>
      </c>
      <c r="D24" s="55">
        <v>0.73896457054996101</v>
      </c>
      <c r="E24" s="55">
        <v>0.74436158287534548</v>
      </c>
      <c r="F24" s="55">
        <v>7.338798203331069</v>
      </c>
      <c r="G24" s="55">
        <v>8.7289791686702944</v>
      </c>
      <c r="H24" s="55">
        <v>9.2135022684107533</v>
      </c>
      <c r="I24" s="55">
        <v>8.6307161455578676</v>
      </c>
      <c r="J24" s="55">
        <v>8.9044500643963058</v>
      </c>
      <c r="K24" s="55">
        <v>8.0266413036365947</v>
      </c>
      <c r="L24" s="55">
        <v>8.549635438615578</v>
      </c>
      <c r="M24" s="55">
        <v>8.9579512635285266</v>
      </c>
      <c r="N24" s="55">
        <v>9.2421800416355975</v>
      </c>
      <c r="O24" s="55">
        <v>7.5276077470938354</v>
      </c>
      <c r="P24" s="55">
        <v>21.961795329280541</v>
      </c>
      <c r="Q24" s="55">
        <v>20.784060668354989</v>
      </c>
      <c r="R24" s="55">
        <v>20.63525138103601</v>
      </c>
      <c r="S24" s="55">
        <v>23.53822653421561</v>
      </c>
      <c r="T24" s="55">
        <v>27.36963517176941</v>
      </c>
      <c r="U24" s="55">
        <v>26.954090160685361</v>
      </c>
      <c r="V24" s="55">
        <v>24.767901237756931</v>
      </c>
      <c r="W24" s="55">
        <v>23.959384778026571</v>
      </c>
      <c r="DA24" s="101" t="s">
        <v>1009</v>
      </c>
    </row>
    <row r="25" spans="1:105" x14ac:dyDescent="0.25">
      <c r="A25" s="257" t="s">
        <v>174</v>
      </c>
      <c r="B25" s="258">
        <v>29.450390161068459</v>
      </c>
      <c r="C25" s="258">
        <v>26.0327086684341</v>
      </c>
      <c r="D25" s="258">
        <v>27.155656352458621</v>
      </c>
      <c r="E25" s="258">
        <v>25.54849726913433</v>
      </c>
      <c r="F25" s="258">
        <v>23.9425614456758</v>
      </c>
      <c r="G25" s="258">
        <v>22.619084914061961</v>
      </c>
      <c r="H25" s="258">
        <v>23.414720761425741</v>
      </c>
      <c r="I25" s="258">
        <v>21.258559287697089</v>
      </c>
      <c r="J25" s="258">
        <v>22.667707577554619</v>
      </c>
      <c r="K25" s="258">
        <v>19.70512793464156</v>
      </c>
      <c r="L25" s="258">
        <v>22.410685616667379</v>
      </c>
      <c r="M25" s="258">
        <v>21.966707959515041</v>
      </c>
      <c r="N25" s="258">
        <v>17.898684233244062</v>
      </c>
      <c r="O25" s="258">
        <v>24.652030538342121</v>
      </c>
      <c r="P25" s="258">
        <v>27.061358952412441</v>
      </c>
      <c r="Q25" s="258">
        <v>27.64570026512067</v>
      </c>
      <c r="R25" s="258">
        <v>30.459409244009489</v>
      </c>
      <c r="S25" s="258">
        <v>29.015887219404341</v>
      </c>
      <c r="T25" s="258">
        <v>31.45332112418977</v>
      </c>
      <c r="U25" s="258">
        <v>32.161961767496088</v>
      </c>
      <c r="V25" s="258">
        <v>33.456659452200242</v>
      </c>
      <c r="W25" s="258">
        <v>31.923545232757359</v>
      </c>
      <c r="DA25" s="273" t="s">
        <v>1010</v>
      </c>
    </row>
    <row r="26" spans="1:105" x14ac:dyDescent="0.25">
      <c r="A26" s="257" t="s">
        <v>177</v>
      </c>
      <c r="B26" s="258">
        <v>14.52117205467697</v>
      </c>
      <c r="C26" s="258">
        <v>14.439489412648109</v>
      </c>
      <c r="D26" s="258">
        <v>15.583354451836909</v>
      </c>
      <c r="E26" s="258">
        <v>15.402348749600449</v>
      </c>
      <c r="F26" s="258">
        <v>15.526180994699869</v>
      </c>
      <c r="G26" s="258">
        <v>13.78060557703305</v>
      </c>
      <c r="H26" s="258">
        <v>13.385641618007879</v>
      </c>
      <c r="I26" s="258">
        <v>13.553174126702199</v>
      </c>
      <c r="J26" s="258">
        <v>13.71663725966398</v>
      </c>
      <c r="K26" s="258">
        <v>11.52937027021691</v>
      </c>
      <c r="L26" s="258">
        <v>11.436363894333921</v>
      </c>
      <c r="M26" s="258">
        <v>11.48297424800327</v>
      </c>
      <c r="N26" s="258">
        <v>11.097843461337471</v>
      </c>
      <c r="O26" s="258">
        <v>11.040718713255821</v>
      </c>
      <c r="P26" s="258">
        <v>12.57188735983801</v>
      </c>
      <c r="Q26" s="258">
        <v>13.20340333602719</v>
      </c>
      <c r="R26" s="258">
        <v>13.91472448371079</v>
      </c>
      <c r="S26" s="258">
        <v>13.81517101745251</v>
      </c>
      <c r="T26" s="258">
        <v>15.097812116549701</v>
      </c>
      <c r="U26" s="258">
        <v>15.542300025833461</v>
      </c>
      <c r="V26" s="258">
        <v>15.689325952022649</v>
      </c>
      <c r="W26" s="258">
        <v>14.950906099770419</v>
      </c>
      <c r="DA26" s="273" t="s">
        <v>1011</v>
      </c>
    </row>
    <row r="27" spans="1:105" x14ac:dyDescent="0.25">
      <c r="A27" s="129" t="s">
        <v>33</v>
      </c>
      <c r="B27" s="259">
        <v>21.055699479281611</v>
      </c>
      <c r="C27" s="259">
        <v>20.937259648339769</v>
      </c>
      <c r="D27" s="259">
        <v>22.595863955163519</v>
      </c>
      <c r="E27" s="259">
        <v>22.333405686920649</v>
      </c>
      <c r="F27" s="259">
        <v>22.512962442314819</v>
      </c>
      <c r="G27" s="259">
        <v>19.981878086697922</v>
      </c>
      <c r="H27" s="259">
        <v>19.40918034611143</v>
      </c>
      <c r="I27" s="259">
        <v>19.652102483718199</v>
      </c>
      <c r="J27" s="259">
        <v>19.889124026512771</v>
      </c>
      <c r="K27" s="259">
        <v>16.71758689181452</v>
      </c>
      <c r="L27" s="259">
        <v>16.582727646784178</v>
      </c>
      <c r="M27" s="259">
        <v>16.650312659604751</v>
      </c>
      <c r="N27" s="259">
        <v>16.091873018939321</v>
      </c>
      <c r="O27" s="259">
        <v>16.009042134220941</v>
      </c>
      <c r="P27" s="259">
        <v>18.229236671765111</v>
      </c>
      <c r="Q27" s="259">
        <v>19.144934837239418</v>
      </c>
      <c r="R27" s="259">
        <v>20.17635050138065</v>
      </c>
      <c r="S27" s="259">
        <v>20.03199797530614</v>
      </c>
      <c r="T27" s="259">
        <v>21.891827568997069</v>
      </c>
      <c r="U27" s="259">
        <v>22.536335037458521</v>
      </c>
      <c r="V27" s="259">
        <v>22.74952263043286</v>
      </c>
      <c r="W27" s="259">
        <v>21.678813844667101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0.99999999999999989</v>
      </c>
      <c r="D31" s="236">
        <f t="shared" si="6"/>
        <v>1</v>
      </c>
      <c r="E31" s="236">
        <f t="shared" si="6"/>
        <v>0.99999999999999989</v>
      </c>
      <c r="F31" s="236">
        <f t="shared" si="6"/>
        <v>1</v>
      </c>
      <c r="G31" s="236">
        <f t="shared" si="6"/>
        <v>0.99999999999999989</v>
      </c>
      <c r="H31" s="236">
        <f t="shared" si="6"/>
        <v>1.0000000000000002</v>
      </c>
      <c r="I31" s="236">
        <f t="shared" si="6"/>
        <v>0.99999999999999989</v>
      </c>
      <c r="J31" s="236">
        <f t="shared" si="6"/>
        <v>1.0000000000000002</v>
      </c>
      <c r="K31" s="236">
        <f t="shared" si="6"/>
        <v>1</v>
      </c>
      <c r="L31" s="236">
        <f t="shared" si="6"/>
        <v>1.0000000000000002</v>
      </c>
      <c r="M31" s="236">
        <f t="shared" si="6"/>
        <v>1</v>
      </c>
      <c r="N31" s="236">
        <f t="shared" si="6"/>
        <v>1.0000000000000002</v>
      </c>
      <c r="O31" s="236">
        <f t="shared" si="6"/>
        <v>0.99999999999999989</v>
      </c>
      <c r="P31" s="236">
        <f t="shared" si="6"/>
        <v>1</v>
      </c>
      <c r="Q31" s="236">
        <f t="shared" si="6"/>
        <v>0.99999999999999978</v>
      </c>
      <c r="R31" s="236">
        <f t="shared" ref="R31:W31" si="7">SUM(R32:R40)</f>
        <v>1</v>
      </c>
      <c r="S31" s="236">
        <f t="shared" si="7"/>
        <v>1</v>
      </c>
      <c r="T31" s="236">
        <f t="shared" si="7"/>
        <v>1</v>
      </c>
      <c r="U31" s="236">
        <f t="shared" si="7"/>
        <v>1</v>
      </c>
      <c r="V31" s="236">
        <f t="shared" si="7"/>
        <v>1.0000000000000002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2.1629801750363487E-2</v>
      </c>
      <c r="C32" s="245">
        <f t="shared" si="8"/>
        <v>2.2774558903940395E-2</v>
      </c>
      <c r="D32" s="245">
        <f t="shared" si="8"/>
        <v>2.3835505776364313E-2</v>
      </c>
      <c r="E32" s="245">
        <f t="shared" si="8"/>
        <v>2.4996848478561103E-2</v>
      </c>
      <c r="F32" s="245">
        <f t="shared" si="8"/>
        <v>2.6466265633764526E-2</v>
      </c>
      <c r="G32" s="245">
        <f t="shared" si="8"/>
        <v>2.458538589795661E-2</v>
      </c>
      <c r="H32" s="245">
        <f t="shared" si="8"/>
        <v>2.4320758719724691E-2</v>
      </c>
      <c r="I32" s="245">
        <f t="shared" si="8"/>
        <v>2.7195426721636048E-2</v>
      </c>
      <c r="J32" s="245">
        <f t="shared" si="8"/>
        <v>2.603973450565843E-2</v>
      </c>
      <c r="K32" s="245">
        <f t="shared" si="8"/>
        <v>2.6090948461544829E-2</v>
      </c>
      <c r="L32" s="245">
        <f t="shared" si="8"/>
        <v>2.3431910280433239E-2</v>
      </c>
      <c r="M32" s="245">
        <f t="shared" si="8"/>
        <v>2.3762902720309238E-2</v>
      </c>
      <c r="N32" s="245">
        <f t="shared" si="8"/>
        <v>2.7801789978906477E-2</v>
      </c>
      <c r="O32" s="245">
        <f t="shared" si="8"/>
        <v>2.1114807702738929E-2</v>
      </c>
      <c r="P32" s="245">
        <f t="shared" si="8"/>
        <v>2.1123672790274856E-2</v>
      </c>
      <c r="Q32" s="245">
        <f t="shared" si="8"/>
        <v>2.2109744549652355E-2</v>
      </c>
      <c r="R32" s="245">
        <f t="shared" si="8"/>
        <v>2.0863261547992208E-2</v>
      </c>
      <c r="S32" s="245">
        <f t="shared" si="8"/>
        <v>2.1980288922696923E-2</v>
      </c>
      <c r="T32" s="245">
        <f t="shared" si="8"/>
        <v>2.2549984944053591E-2</v>
      </c>
      <c r="U32" s="245">
        <f t="shared" si="8"/>
        <v>2.2425644236439363E-2</v>
      </c>
      <c r="V32" s="245">
        <f t="shared" si="8"/>
        <v>2.1710821308552342E-2</v>
      </c>
      <c r="W32" s="245">
        <f t="shared" si="8"/>
        <v>2.1738811750116549E-2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1.405937113773627E-2</v>
      </c>
      <c r="C33" s="246">
        <f t="shared" si="9"/>
        <v>1.4803463287561254E-2</v>
      </c>
      <c r="D33" s="246">
        <f t="shared" si="9"/>
        <v>1.54930787546368E-2</v>
      </c>
      <c r="E33" s="246">
        <f t="shared" si="9"/>
        <v>1.6247951511064711E-2</v>
      </c>
      <c r="F33" s="246">
        <f t="shared" si="9"/>
        <v>1.7203072661946952E-2</v>
      </c>
      <c r="G33" s="246">
        <f t="shared" si="9"/>
        <v>1.598050083367179E-2</v>
      </c>
      <c r="H33" s="246">
        <f t="shared" si="9"/>
        <v>1.5808493167821052E-2</v>
      </c>
      <c r="I33" s="246">
        <f t="shared" si="9"/>
        <v>1.7677027369063424E-2</v>
      </c>
      <c r="J33" s="246">
        <f t="shared" si="9"/>
        <v>1.6925827428677979E-2</v>
      </c>
      <c r="K33" s="246">
        <f t="shared" si="9"/>
        <v>1.6959116500004128E-2</v>
      </c>
      <c r="L33" s="246">
        <f t="shared" si="9"/>
        <v>1.52307416822816E-2</v>
      </c>
      <c r="M33" s="246">
        <f t="shared" si="9"/>
        <v>1.544588676820101E-2</v>
      </c>
      <c r="N33" s="246">
        <f t="shared" si="9"/>
        <v>1.8071163486289201E-2</v>
      </c>
      <c r="O33" s="246">
        <f t="shared" si="9"/>
        <v>1.3724625006780304E-2</v>
      </c>
      <c r="P33" s="246">
        <f t="shared" si="9"/>
        <v>1.3730387313678653E-2</v>
      </c>
      <c r="Q33" s="246">
        <f t="shared" si="9"/>
        <v>1.4371333957274024E-2</v>
      </c>
      <c r="R33" s="246">
        <f t="shared" si="9"/>
        <v>1.3561120006194935E-2</v>
      </c>
      <c r="S33" s="246">
        <f t="shared" si="9"/>
        <v>1.4287187799752998E-2</v>
      </c>
      <c r="T33" s="246">
        <f t="shared" si="9"/>
        <v>1.4657490213634832E-2</v>
      </c>
      <c r="U33" s="246">
        <f t="shared" si="9"/>
        <v>1.4576668753685573E-2</v>
      </c>
      <c r="V33" s="246">
        <f t="shared" si="9"/>
        <v>1.4112033850559019E-2</v>
      </c>
      <c r="W33" s="246">
        <f t="shared" si="9"/>
        <v>1.413022763757575E-2</v>
      </c>
      <c r="DA33" s="277"/>
    </row>
    <row r="34" spans="1:105" x14ac:dyDescent="0.25">
      <c r="A34" s="241" t="s">
        <v>123</v>
      </c>
      <c r="B34" s="246">
        <f t="shared" ref="B34:W34" si="10">IF(B$8=0,0,B$8/B$5)</f>
        <v>1.9466821575327149E-2</v>
      </c>
      <c r="C34" s="246">
        <f t="shared" si="10"/>
        <v>2.0497103013546358E-2</v>
      </c>
      <c r="D34" s="246">
        <f t="shared" si="10"/>
        <v>2.1451955198727883E-2</v>
      </c>
      <c r="E34" s="246">
        <f t="shared" si="10"/>
        <v>2.2497163630704985E-2</v>
      </c>
      <c r="F34" s="246">
        <f t="shared" si="10"/>
        <v>2.3819639070388084E-2</v>
      </c>
      <c r="G34" s="246">
        <f t="shared" si="10"/>
        <v>2.2126847308160939E-2</v>
      </c>
      <c r="H34" s="246">
        <f t="shared" si="10"/>
        <v>2.1888682847752236E-2</v>
      </c>
      <c r="I34" s="246">
        <f t="shared" si="10"/>
        <v>2.4475884049472443E-2</v>
      </c>
      <c r="J34" s="246">
        <f t="shared" si="10"/>
        <v>2.3435761055092603E-2</v>
      </c>
      <c r="K34" s="246">
        <f t="shared" si="10"/>
        <v>2.348185361539035E-2</v>
      </c>
      <c r="L34" s="246">
        <f t="shared" si="10"/>
        <v>2.1088719252389899E-2</v>
      </c>
      <c r="M34" s="246">
        <f t="shared" si="10"/>
        <v>2.1386612448278306E-2</v>
      </c>
      <c r="N34" s="246">
        <f t="shared" si="10"/>
        <v>2.5021610981015817E-2</v>
      </c>
      <c r="O34" s="246">
        <f t="shared" si="10"/>
        <v>1.9003326932465037E-2</v>
      </c>
      <c r="P34" s="246">
        <f t="shared" si="10"/>
        <v>1.901130551124737E-2</v>
      </c>
      <c r="Q34" s="246">
        <f t="shared" si="10"/>
        <v>1.9898770094687119E-2</v>
      </c>
      <c r="R34" s="246">
        <f t="shared" si="10"/>
        <v>1.8776935393192983E-2</v>
      </c>
      <c r="S34" s="246">
        <f t="shared" si="10"/>
        <v>1.9782260030427233E-2</v>
      </c>
      <c r="T34" s="246">
        <f t="shared" si="10"/>
        <v>2.0294986449648229E-2</v>
      </c>
      <c r="U34" s="246">
        <f t="shared" si="10"/>
        <v>2.0183079812795417E-2</v>
      </c>
      <c r="V34" s="246">
        <f t="shared" si="10"/>
        <v>1.9539739177697114E-2</v>
      </c>
      <c r="W34" s="246">
        <f t="shared" si="10"/>
        <v>1.9564930575104885E-2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0.204950092928739</v>
      </c>
      <c r="C35" s="247">
        <f t="shared" si="11"/>
        <v>0.20856830770240864</v>
      </c>
      <c r="D35" s="247">
        <f t="shared" si="11"/>
        <v>0.20764578055360206</v>
      </c>
      <c r="E35" s="247">
        <f t="shared" si="11"/>
        <v>0.20658567960985341</v>
      </c>
      <c r="F35" s="247">
        <f t="shared" si="11"/>
        <v>0.21156902240449627</v>
      </c>
      <c r="G35" s="247">
        <f t="shared" si="11"/>
        <v>0.2151578943905319</v>
      </c>
      <c r="H35" s="247">
        <f t="shared" si="11"/>
        <v>0.21203283564997819</v>
      </c>
      <c r="I35" s="247">
        <f t="shared" si="11"/>
        <v>0.20753128415983338</v>
      </c>
      <c r="J35" s="247">
        <f t="shared" si="11"/>
        <v>0.20892790268353431</v>
      </c>
      <c r="K35" s="247">
        <f t="shared" si="11"/>
        <v>0.2074274604401565</v>
      </c>
      <c r="L35" s="247">
        <f t="shared" si="11"/>
        <v>0.2063925091676678</v>
      </c>
      <c r="M35" s="247">
        <f t="shared" si="11"/>
        <v>0.20622570832600476</v>
      </c>
      <c r="N35" s="247">
        <f t="shared" si="11"/>
        <v>0.20473965455803872</v>
      </c>
      <c r="O35" s="247">
        <f t="shared" si="11"/>
        <v>0.20315653402838735</v>
      </c>
      <c r="P35" s="247">
        <f t="shared" si="11"/>
        <v>0.20840785194227932</v>
      </c>
      <c r="Q35" s="247">
        <f t="shared" si="11"/>
        <v>0.20587422090221907</v>
      </c>
      <c r="R35" s="247">
        <f t="shared" si="11"/>
        <v>0.20804948923432734</v>
      </c>
      <c r="S35" s="247">
        <f t="shared" si="11"/>
        <v>0.20665391231678595</v>
      </c>
      <c r="T35" s="247">
        <f t="shared" si="11"/>
        <v>0.2051707024357031</v>
      </c>
      <c r="U35" s="247">
        <f t="shared" si="11"/>
        <v>0.20598330346726229</v>
      </c>
      <c r="V35" s="247">
        <f t="shared" si="11"/>
        <v>0.20701437459997699</v>
      </c>
      <c r="W35" s="247">
        <f t="shared" si="11"/>
        <v>0.2075822501494867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0.2282877965439811</v>
      </c>
      <c r="C36" s="260">
        <f t="shared" si="12"/>
        <v>0.21367724312976671</v>
      </c>
      <c r="D36" s="260">
        <f t="shared" si="12"/>
        <v>0.21615461025214402</v>
      </c>
      <c r="E36" s="260">
        <f t="shared" si="12"/>
        <v>0.21577664756905024</v>
      </c>
      <c r="F36" s="260">
        <f t="shared" si="12"/>
        <v>0.21239261350624439</v>
      </c>
      <c r="G36" s="260">
        <f t="shared" si="12"/>
        <v>0.21000253322807713</v>
      </c>
      <c r="H36" s="260">
        <f t="shared" si="12"/>
        <v>0.22139493690191417</v>
      </c>
      <c r="I36" s="260">
        <f t="shared" si="12"/>
        <v>0.2219879824732908</v>
      </c>
      <c r="J36" s="260">
        <f t="shared" si="12"/>
        <v>0.22394288844738824</v>
      </c>
      <c r="K36" s="260">
        <f t="shared" si="12"/>
        <v>0.23206215166160993</v>
      </c>
      <c r="L36" s="260">
        <f t="shared" si="12"/>
        <v>0.23895473964074315</v>
      </c>
      <c r="M36" s="260">
        <f t="shared" si="12"/>
        <v>0.23656519640265902</v>
      </c>
      <c r="N36" s="260">
        <f t="shared" si="12"/>
        <v>0.23334368163881461</v>
      </c>
      <c r="O36" s="260">
        <f t="shared" si="12"/>
        <v>0.24534841576872587</v>
      </c>
      <c r="P36" s="260">
        <f t="shared" si="12"/>
        <v>0.23662429234648782</v>
      </c>
      <c r="Q36" s="260">
        <f t="shared" si="12"/>
        <v>0.24091631160058224</v>
      </c>
      <c r="R36" s="260">
        <f t="shared" si="12"/>
        <v>0.23766752457666765</v>
      </c>
      <c r="S36" s="260">
        <f t="shared" si="12"/>
        <v>0.24024467024119056</v>
      </c>
      <c r="T36" s="260">
        <f t="shared" si="12"/>
        <v>0.24447785386681992</v>
      </c>
      <c r="U36" s="260">
        <f t="shared" si="12"/>
        <v>0.24149767117693946</v>
      </c>
      <c r="V36" s="260">
        <f t="shared" si="12"/>
        <v>0.2409324621302821</v>
      </c>
      <c r="W36" s="260">
        <f t="shared" si="12"/>
        <v>0.24155730694730504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0.41474569918177173</v>
      </c>
      <c r="C37" s="260">
        <f t="shared" si="13"/>
        <v>0.42282179165331046</v>
      </c>
      <c r="D37" s="260">
        <f t="shared" si="13"/>
        <v>0.41548617057935855</v>
      </c>
      <c r="E37" s="260">
        <f t="shared" si="13"/>
        <v>0.41119014937461063</v>
      </c>
      <c r="F37" s="260">
        <f t="shared" si="13"/>
        <v>0.40289402521353473</v>
      </c>
      <c r="G37" s="260">
        <f t="shared" si="13"/>
        <v>0.41155890602842787</v>
      </c>
      <c r="H37" s="260">
        <f t="shared" si="13"/>
        <v>0.4024255516792149</v>
      </c>
      <c r="I37" s="260">
        <f t="shared" si="13"/>
        <v>0.39184675893960735</v>
      </c>
      <c r="J37" s="260">
        <f t="shared" si="13"/>
        <v>0.39389804404712503</v>
      </c>
      <c r="K37" s="260">
        <f t="shared" si="13"/>
        <v>0.38546296920652789</v>
      </c>
      <c r="L37" s="260">
        <f t="shared" si="13"/>
        <v>0.39157605518431687</v>
      </c>
      <c r="M37" s="260">
        <f t="shared" si="13"/>
        <v>0.39293660771167849</v>
      </c>
      <c r="N37" s="260">
        <f t="shared" si="13"/>
        <v>0.37806878085959433</v>
      </c>
      <c r="O37" s="260">
        <f t="shared" si="13"/>
        <v>0.39877526893295417</v>
      </c>
      <c r="P37" s="260">
        <f t="shared" si="13"/>
        <v>0.40388016202365096</v>
      </c>
      <c r="Q37" s="260">
        <f t="shared" si="13"/>
        <v>0.39636666774454582</v>
      </c>
      <c r="R37" s="260">
        <f t="shared" si="13"/>
        <v>0.40429688294579652</v>
      </c>
      <c r="S37" s="260">
        <f t="shared" si="13"/>
        <v>0.39703495730862964</v>
      </c>
      <c r="T37" s="260">
        <f t="shared" si="13"/>
        <v>0.39062306194544594</v>
      </c>
      <c r="U37" s="260">
        <f t="shared" si="13"/>
        <v>0.39398501408172243</v>
      </c>
      <c r="V37" s="260">
        <f t="shared" si="13"/>
        <v>0.39720187626371245</v>
      </c>
      <c r="W37" s="260">
        <f t="shared" si="13"/>
        <v>0.39574913455048277</v>
      </c>
      <c r="DA37" s="279"/>
    </row>
    <row r="38" spans="1:105" x14ac:dyDescent="0.25">
      <c r="A38" s="128" t="s">
        <v>174</v>
      </c>
      <c r="B38" s="260">
        <f t="shared" ref="B38:W38" si="14">IF(B$25=0,0,B$25/B$5)</f>
        <v>4.3867402593690749E-2</v>
      </c>
      <c r="C38" s="260">
        <f t="shared" si="14"/>
        <v>4.1059862994812159E-2</v>
      </c>
      <c r="D38" s="260">
        <f t="shared" si="14"/>
        <v>4.1535909733073806E-2</v>
      </c>
      <c r="E38" s="260">
        <f t="shared" si="14"/>
        <v>4.1463281053680183E-2</v>
      </c>
      <c r="F38" s="260">
        <f t="shared" si="14"/>
        <v>4.0813010706902055E-2</v>
      </c>
      <c r="G38" s="260">
        <f t="shared" si="14"/>
        <v>4.0353736863179966E-2</v>
      </c>
      <c r="H38" s="260">
        <f t="shared" si="14"/>
        <v>4.2542882170269428E-2</v>
      </c>
      <c r="I38" s="260">
        <f t="shared" si="14"/>
        <v>4.2656840819088285E-2</v>
      </c>
      <c r="J38" s="260">
        <f t="shared" si="14"/>
        <v>4.303249229366031E-2</v>
      </c>
      <c r="K38" s="260">
        <f t="shared" si="14"/>
        <v>4.4592676383981518E-2</v>
      </c>
      <c r="L38" s="260">
        <f t="shared" si="14"/>
        <v>4.591714460510616E-2</v>
      </c>
      <c r="M38" s="260">
        <f t="shared" si="14"/>
        <v>4.5457973958111582E-2</v>
      </c>
      <c r="N38" s="260">
        <f t="shared" si="14"/>
        <v>4.4838933049020084E-2</v>
      </c>
      <c r="O38" s="260">
        <f t="shared" si="14"/>
        <v>4.7145742756237959E-2</v>
      </c>
      <c r="P38" s="260">
        <f t="shared" si="14"/>
        <v>4.5469329736207646E-2</v>
      </c>
      <c r="Q38" s="260">
        <f t="shared" si="14"/>
        <v>4.62940770043909E-2</v>
      </c>
      <c r="R38" s="260">
        <f t="shared" si="14"/>
        <v>4.5669795503247401E-2</v>
      </c>
      <c r="S38" s="260">
        <f t="shared" si="14"/>
        <v>4.6165015519909314E-2</v>
      </c>
      <c r="T38" s="260">
        <f t="shared" si="14"/>
        <v>4.6978457031763073E-2</v>
      </c>
      <c r="U38" s="260">
        <f t="shared" si="14"/>
        <v>4.640579009187891E-2</v>
      </c>
      <c r="V38" s="260">
        <f t="shared" si="14"/>
        <v>4.6297180463266821E-2</v>
      </c>
      <c r="W38" s="260">
        <f t="shared" si="14"/>
        <v>4.6417249602142802E-2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2.1629801750363487E-2</v>
      </c>
      <c r="C39" s="260">
        <f t="shared" si="15"/>
        <v>2.2774558903940395E-2</v>
      </c>
      <c r="D39" s="260">
        <f t="shared" si="15"/>
        <v>2.3835505776364313E-2</v>
      </c>
      <c r="E39" s="260">
        <f t="shared" si="15"/>
        <v>2.4996848478561103E-2</v>
      </c>
      <c r="F39" s="260">
        <f t="shared" si="15"/>
        <v>2.6466265633764526E-2</v>
      </c>
      <c r="G39" s="260">
        <f t="shared" si="15"/>
        <v>2.458538589795661E-2</v>
      </c>
      <c r="H39" s="260">
        <f t="shared" si="15"/>
        <v>2.4320758719724691E-2</v>
      </c>
      <c r="I39" s="260">
        <f t="shared" si="15"/>
        <v>2.7195426721636048E-2</v>
      </c>
      <c r="J39" s="260">
        <f t="shared" si="15"/>
        <v>2.603973450565843E-2</v>
      </c>
      <c r="K39" s="260">
        <f t="shared" si="15"/>
        <v>2.6090948461544829E-2</v>
      </c>
      <c r="L39" s="260">
        <f t="shared" si="15"/>
        <v>2.3431910280433239E-2</v>
      </c>
      <c r="M39" s="260">
        <f t="shared" si="15"/>
        <v>2.3762902720309238E-2</v>
      </c>
      <c r="N39" s="260">
        <f t="shared" si="15"/>
        <v>2.7801789978906477E-2</v>
      </c>
      <c r="O39" s="260">
        <f t="shared" si="15"/>
        <v>2.1114807702738929E-2</v>
      </c>
      <c r="P39" s="260">
        <f t="shared" si="15"/>
        <v>2.1123672790274856E-2</v>
      </c>
      <c r="Q39" s="260">
        <f t="shared" si="15"/>
        <v>2.2109744549652355E-2</v>
      </c>
      <c r="R39" s="260">
        <f t="shared" si="15"/>
        <v>2.0863261547992208E-2</v>
      </c>
      <c r="S39" s="260">
        <f t="shared" si="15"/>
        <v>2.1980288922696923E-2</v>
      </c>
      <c r="T39" s="260">
        <f t="shared" si="15"/>
        <v>2.2549984944053591E-2</v>
      </c>
      <c r="U39" s="260">
        <f t="shared" si="15"/>
        <v>2.2425644236439363E-2</v>
      </c>
      <c r="V39" s="260">
        <f t="shared" si="15"/>
        <v>2.1710821308552342E-2</v>
      </c>
      <c r="W39" s="260">
        <f t="shared" si="15"/>
        <v>2.1738811750116549E-2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3.1363212538027062E-2</v>
      </c>
      <c r="C40" s="262">
        <f t="shared" si="16"/>
        <v>3.3023110410713589E-2</v>
      </c>
      <c r="D40" s="262">
        <f t="shared" si="16"/>
        <v>3.4561483375728251E-2</v>
      </c>
      <c r="E40" s="262">
        <f t="shared" si="16"/>
        <v>3.6245430293913597E-2</v>
      </c>
      <c r="F40" s="262">
        <f t="shared" si="16"/>
        <v>3.8376085168958581E-2</v>
      </c>
      <c r="G40" s="262">
        <f t="shared" si="16"/>
        <v>3.5648809552037086E-2</v>
      </c>
      <c r="H40" s="262">
        <f t="shared" si="16"/>
        <v>3.5265100143600812E-2</v>
      </c>
      <c r="I40" s="262">
        <f t="shared" si="16"/>
        <v>3.9433368746372287E-2</v>
      </c>
      <c r="J40" s="262">
        <f t="shared" si="16"/>
        <v>3.7757615033204725E-2</v>
      </c>
      <c r="K40" s="262">
        <f t="shared" si="16"/>
        <v>3.7831875269239999E-2</v>
      </c>
      <c r="L40" s="262">
        <f t="shared" si="16"/>
        <v>3.3976269906628179E-2</v>
      </c>
      <c r="M40" s="262">
        <f t="shared" si="16"/>
        <v>3.445620894444841E-2</v>
      </c>
      <c r="N40" s="262">
        <f t="shared" si="16"/>
        <v>4.0312595469414361E-2</v>
      </c>
      <c r="O40" s="262">
        <f t="shared" si="16"/>
        <v>3.0616471168971447E-2</v>
      </c>
      <c r="P40" s="262">
        <f t="shared" si="16"/>
        <v>3.0629325545898534E-2</v>
      </c>
      <c r="Q40" s="262">
        <f t="shared" si="16"/>
        <v>3.2059129596995903E-2</v>
      </c>
      <c r="R40" s="262">
        <f t="shared" si="16"/>
        <v>3.0251729244588708E-2</v>
      </c>
      <c r="S40" s="262">
        <f t="shared" si="16"/>
        <v>3.1871418937910539E-2</v>
      </c>
      <c r="T40" s="262">
        <f t="shared" si="16"/>
        <v>3.2697478168877706E-2</v>
      </c>
      <c r="U40" s="262">
        <f t="shared" si="16"/>
        <v>3.251718414283708E-2</v>
      </c>
      <c r="V40" s="262">
        <f t="shared" si="16"/>
        <v>3.1480690897400916E-2</v>
      </c>
      <c r="W40" s="262">
        <f t="shared" si="16"/>
        <v>3.1521277037668986E-2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</v>
      </c>
      <c r="C44" s="237">
        <f t="shared" si="17"/>
        <v>122.34803499436489</v>
      </c>
      <c r="D44" s="237">
        <f t="shared" si="17"/>
        <v>127.81056238438656</v>
      </c>
      <c r="E44" s="237">
        <f t="shared" si="17"/>
        <v>135.43288032890177</v>
      </c>
      <c r="F44" s="237">
        <f t="shared" si="17"/>
        <v>134.8436303674755</v>
      </c>
      <c r="G44" s="237">
        <f t="shared" si="17"/>
        <v>154.42655608236751</v>
      </c>
      <c r="H44" s="237">
        <f t="shared" si="17"/>
        <v>146.93020171673032</v>
      </c>
      <c r="I44" s="237">
        <f t="shared" si="17"/>
        <v>137.2385115226293</v>
      </c>
      <c r="J44" s="237">
        <f t="shared" si="17"/>
        <v>139.32723127138399</v>
      </c>
      <c r="K44" s="237">
        <f t="shared" si="17"/>
        <v>156.3602335675709</v>
      </c>
      <c r="L44" s="237">
        <f t="shared" si="17"/>
        <v>144.58585940593414</v>
      </c>
      <c r="M44" s="237">
        <f t="shared" si="17"/>
        <v>132.80026593791032</v>
      </c>
      <c r="N44" s="237">
        <f t="shared" si="17"/>
        <v>135.04301399101354</v>
      </c>
      <c r="O44" s="237">
        <f t="shared" si="17"/>
        <v>132.9502041097679</v>
      </c>
      <c r="P44" s="237">
        <f t="shared" si="17"/>
        <v>130.15939664117727</v>
      </c>
      <c r="Q44" s="237">
        <f t="shared" si="17"/>
        <v>132.91816907674803</v>
      </c>
      <c r="R44" s="237">
        <f t="shared" si="17"/>
        <v>135.38540863538176</v>
      </c>
      <c r="S44" s="237">
        <f t="shared" si="17"/>
        <v>124.9021100917374</v>
      </c>
      <c r="T44" s="237">
        <f t="shared" si="17"/>
        <v>141.27985612939963</v>
      </c>
      <c r="U44" s="237">
        <f t="shared" si="17"/>
        <v>142.01198459584054</v>
      </c>
      <c r="V44" s="237">
        <f t="shared" si="17"/>
        <v>148.62601044661253</v>
      </c>
      <c r="W44" s="237">
        <f t="shared" si="17"/>
        <v>142.5401415478579</v>
      </c>
      <c r="DA44" s="281"/>
    </row>
    <row r="45" spans="1:105" x14ac:dyDescent="0.25">
      <c r="A45" s="239" t="s">
        <v>125</v>
      </c>
      <c r="B45" s="248">
        <f>IF(B$6=0,0,B$6/AGR!B$5*1000)</f>
        <v>2.7352806004226644</v>
      </c>
      <c r="C45" s="248">
        <f>IF(C$6=0,0,C$6/AGR!C$5*1000)</f>
        <v>2.7864225297605238</v>
      </c>
      <c r="D45" s="248">
        <f>IF(D$6=0,0,D$6/AGR!D$5*1000)</f>
        <v>3.0464293979934172</v>
      </c>
      <c r="E45" s="248">
        <f>IF(E$6=0,0,E$6/AGR!E$5*1000)</f>
        <v>3.3853951885966569</v>
      </c>
      <c r="F45" s="248">
        <f>IF(F$6=0,0,F$6/AGR!F$5*1000)</f>
        <v>3.5688073403267633</v>
      </c>
      <c r="G45" s="248">
        <f>IF(G$6=0,0,G$6/AGR!G$5*1000)</f>
        <v>3.7966364741774452</v>
      </c>
      <c r="H45" s="248">
        <f>IF(H$6=0,0,H$6/AGR!H$5*1000)</f>
        <v>3.5734539845930757</v>
      </c>
      <c r="I45" s="248">
        <f>IF(I$6=0,0,I$6/AGR!I$5*1000)</f>
        <v>3.7322598835000691</v>
      </c>
      <c r="J45" s="248">
        <f>IF(J$6=0,0,J$6/AGR!J$5*1000)</f>
        <v>3.6280441117153095</v>
      </c>
      <c r="K45" s="248">
        <f>IF(K$6=0,0,K$6/AGR!K$5*1000)</f>
        <v>4.0795867954466045</v>
      </c>
      <c r="L45" s="248">
        <f>IF(L$6=0,0,L$6/AGR!L$5*1000)</f>
        <v>3.3879228854191816</v>
      </c>
      <c r="M45" s="248">
        <f>IF(M$6=0,0,M$6/AGR!M$5*1000)</f>
        <v>3.1557198007137588</v>
      </c>
      <c r="N45" s="248">
        <f>IF(N$6=0,0,N$6/AGR!N$5*1000)</f>
        <v>3.7544375130966872</v>
      </c>
      <c r="O45" s="248">
        <f>IF(O$6=0,0,O$6/AGR!O$5*1000)</f>
        <v>2.8072179938176403</v>
      </c>
      <c r="P45" s="248">
        <f>IF(P$6=0,0,P$6/AGR!P$5*1000)</f>
        <v>2.749444505227828</v>
      </c>
      <c r="Q45" s="248">
        <f>IF(Q$6=0,0,Q$6/AGR!Q$5*1000)</f>
        <v>2.9387867642944006</v>
      </c>
      <c r="R45" s="248">
        <f>IF(R$6=0,0,R$6/AGR!R$5*1000)</f>
        <v>2.8245811901417732</v>
      </c>
      <c r="S45" s="248">
        <f>IF(S$6=0,0,S$6/AGR!S$5*1000)</f>
        <v>2.7453844668708864</v>
      </c>
      <c r="T45" s="248">
        <f>IF(T$6=0,0,T$6/AGR!T$5*1000)</f>
        <v>3.1858586286160189</v>
      </c>
      <c r="U45" s="248">
        <f>IF(U$6=0,0,U$6/AGR!U$5*1000)</f>
        <v>3.1847102438570269</v>
      </c>
      <c r="V45" s="248">
        <f>IF(V$6=0,0,V$6/AGR!V$5*1000)</f>
        <v>3.2267927546094373</v>
      </c>
      <c r="W45" s="248">
        <f>IF(W$6=0,0,W$6/AGR!W$5*1000)</f>
        <v>3.0986533039438493</v>
      </c>
      <c r="DA45" s="282"/>
    </row>
    <row r="46" spans="1:105" x14ac:dyDescent="0.25">
      <c r="A46" s="241" t="s">
        <v>124</v>
      </c>
      <c r="B46" s="249">
        <f>IF(B$7=0,0,B$7/AGR!B$5*1000)</f>
        <v>1.7779323902747324</v>
      </c>
      <c r="C46" s="249">
        <f>IF(C$7=0,0,C$7/AGR!C$5*1000)</f>
        <v>1.8111746443443402</v>
      </c>
      <c r="D46" s="249">
        <f>IF(D$7=0,0,D$7/AGR!D$5*1000)</f>
        <v>1.9801791086957208</v>
      </c>
      <c r="E46" s="249">
        <f>IF(E$7=0,0,E$7/AGR!E$5*1000)</f>
        <v>2.2005068725878263</v>
      </c>
      <c r="F46" s="249">
        <f>IF(F$7=0,0,F$7/AGR!F$5*1000)</f>
        <v>2.3197247712123974</v>
      </c>
      <c r="G46" s="249">
        <f>IF(G$7=0,0,G$7/AGR!G$5*1000)</f>
        <v>2.467813708215338</v>
      </c>
      <c r="H46" s="249">
        <f>IF(H$7=0,0,H$7/AGR!H$5*1000)</f>
        <v>2.3227450899854998</v>
      </c>
      <c r="I46" s="249">
        <f>IF(I$7=0,0,I$7/AGR!I$5*1000)</f>
        <v>2.4259689242750437</v>
      </c>
      <c r="J46" s="249">
        <f>IF(J$7=0,0,J$7/AGR!J$5*1000)</f>
        <v>2.3582286726149517</v>
      </c>
      <c r="K46" s="249">
        <f>IF(K$7=0,0,K$7/AGR!K$5*1000)</f>
        <v>2.651731417040291</v>
      </c>
      <c r="L46" s="249">
        <f>IF(L$7=0,0,L$7/AGR!L$5*1000)</f>
        <v>2.2021498755224673</v>
      </c>
      <c r="M46" s="249">
        <f>IF(M$7=0,0,M$7/AGR!M$5*1000)</f>
        <v>2.0512178704639443</v>
      </c>
      <c r="N46" s="249">
        <f>IF(N$7=0,0,N$7/AGR!N$5*1000)</f>
        <v>2.4403843835128454</v>
      </c>
      <c r="O46" s="249">
        <f>IF(O$7=0,0,O$7/AGR!O$5*1000)</f>
        <v>1.8246916959814663</v>
      </c>
      <c r="P46" s="249">
        <f>IF(P$7=0,0,P$7/AGR!P$5*1000)</f>
        <v>1.7871389283980881</v>
      </c>
      <c r="Q46" s="249">
        <f>IF(Q$7=0,0,Q$7/AGR!Q$5*1000)</f>
        <v>1.9102113967913592</v>
      </c>
      <c r="R46" s="249">
        <f>IF(R$7=0,0,R$7/AGR!R$5*1000)</f>
        <v>1.8359777735921525</v>
      </c>
      <c r="S46" s="249">
        <f>IF(S$7=0,0,S$7/AGR!S$5*1000)</f>
        <v>1.7844999034660762</v>
      </c>
      <c r="T46" s="249">
        <f>IF(T$7=0,0,T$7/AGR!T$5*1000)</f>
        <v>2.0708081086004126</v>
      </c>
      <c r="U46" s="249">
        <f>IF(U$7=0,0,U$7/AGR!U$5*1000)</f>
        <v>2.0700616585070661</v>
      </c>
      <c r="V46" s="249">
        <f>IF(V$7=0,0,V$7/AGR!V$5*1000)</f>
        <v>2.0974152904961341</v>
      </c>
      <c r="W46" s="249">
        <f>IF(W$7=0,0,W$7/AGR!W$5*1000)</f>
        <v>2.0141246475635004</v>
      </c>
      <c r="DA46" s="283"/>
    </row>
    <row r="47" spans="1:105" x14ac:dyDescent="0.25">
      <c r="A47" s="241" t="s">
        <v>123</v>
      </c>
      <c r="B47" s="249">
        <f>IF(B$8=0,0,B$8/AGR!B$5*1000)</f>
        <v>2.4617525403803997</v>
      </c>
      <c r="C47" s="249">
        <f>IF(C$8=0,0,C$8/AGR!C$5*1000)</f>
        <v>2.5077802767844717</v>
      </c>
      <c r="D47" s="249">
        <f>IF(D$8=0,0,D$8/AGR!D$5*1000)</f>
        <v>2.7417864581940758</v>
      </c>
      <c r="E47" s="249">
        <f>IF(E$8=0,0,E$8/AGR!E$5*1000)</f>
        <v>3.0468556697369902</v>
      </c>
      <c r="F47" s="249">
        <f>IF(F$8=0,0,F$8/AGR!F$5*1000)</f>
        <v>3.2119266062940883</v>
      </c>
      <c r="G47" s="249">
        <f>IF(G$8=0,0,G$8/AGR!G$5*1000)</f>
        <v>3.4169728267596988</v>
      </c>
      <c r="H47" s="249">
        <f>IF(H$8=0,0,H$8/AGR!H$5*1000)</f>
        <v>3.2161085861337706</v>
      </c>
      <c r="I47" s="249">
        <f>IF(I$8=0,0,I$8/AGR!I$5*1000)</f>
        <v>3.3590338951500622</v>
      </c>
      <c r="J47" s="249">
        <f>IF(J$8=0,0,J$8/AGR!J$5*1000)</f>
        <v>3.265239700543781</v>
      </c>
      <c r="K47" s="249">
        <f>IF(K$8=0,0,K$8/AGR!K$5*1000)</f>
        <v>3.671628115901945</v>
      </c>
      <c r="L47" s="249">
        <f>IF(L$8=0,0,L$8/AGR!L$5*1000)</f>
        <v>3.0491305968772613</v>
      </c>
      <c r="M47" s="249">
        <f>IF(M$8=0,0,M$8/AGR!M$5*1000)</f>
        <v>2.8401478206423825</v>
      </c>
      <c r="N47" s="249">
        <f>IF(N$8=0,0,N$8/AGR!N$5*1000)</f>
        <v>3.3789937617870169</v>
      </c>
      <c r="O47" s="249">
        <f>IF(O$8=0,0,O$8/AGR!O$5*1000)</f>
        <v>2.5264961944358761</v>
      </c>
      <c r="P47" s="249">
        <f>IF(P$8=0,0,P$8/AGR!P$5*1000)</f>
        <v>2.4745000547050457</v>
      </c>
      <c r="Q47" s="249">
        <f>IF(Q$8=0,0,Q$8/AGR!Q$5*1000)</f>
        <v>2.6449080878649602</v>
      </c>
      <c r="R47" s="249">
        <f>IF(R$8=0,0,R$8/AGR!R$5*1000)</f>
        <v>2.5421230711275955</v>
      </c>
      <c r="S47" s="249">
        <f>IF(S$8=0,0,S$8/AGR!S$5*1000)</f>
        <v>2.4708460201837981</v>
      </c>
      <c r="T47" s="249">
        <f>IF(T$8=0,0,T$8/AGR!T$5*1000)</f>
        <v>2.8672727657544166</v>
      </c>
      <c r="U47" s="249">
        <f>IF(U$8=0,0,U$8/AGR!U$5*1000)</f>
        <v>2.8662392194713235</v>
      </c>
      <c r="V47" s="249">
        <f>IF(V$8=0,0,V$8/AGR!V$5*1000)</f>
        <v>2.9041134791484948</v>
      </c>
      <c r="W47" s="249">
        <f>IF(W$8=0,0,W$8/AGR!W$5*1000)</f>
        <v>2.7887879735494625</v>
      </c>
      <c r="DA47" s="283"/>
    </row>
    <row r="48" spans="1:105" x14ac:dyDescent="0.25">
      <c r="A48" s="243" t="s">
        <v>122</v>
      </c>
      <c r="B48" s="250">
        <f>IF(B$9=0,0,B$9/AGR!B$5*1000)</f>
        <v>25.917760121559198</v>
      </c>
      <c r="C48" s="250">
        <f>IF(C$9=0,0,C$9/AGR!C$5*1000)</f>
        <v>25.517922609489755</v>
      </c>
      <c r="D48" s="250">
        <f>IF(D$9=0,0,D$9/AGR!D$5*1000)</f>
        <v>26.539323989300797</v>
      </c>
      <c r="E48" s="250">
        <f>IF(E$9=0,0,E$9/AGR!E$5*1000)</f>
        <v>27.978493624266125</v>
      </c>
      <c r="F48" s="250">
        <f>IF(F$9=0,0,F$9/AGR!F$5*1000)</f>
        <v>28.528735054320034</v>
      </c>
      <c r="G48" s="250">
        <f>IF(G$9=0,0,G$9/AGR!G$5*1000)</f>
        <v>33.226092644663595</v>
      </c>
      <c r="H48" s="250">
        <f>IF(H$9=0,0,H$9/AGR!H$5*1000)</f>
        <v>31.154027312621619</v>
      </c>
      <c r="I48" s="250">
        <f>IF(I$9=0,0,I$9/AGR!I$5*1000)</f>
        <v>28.481284532475346</v>
      </c>
      <c r="J48" s="250">
        <f>IF(J$9=0,0,J$9/AGR!J$5*1000)</f>
        <v>29.109346216233988</v>
      </c>
      <c r="K48" s="250">
        <f>IF(K$9=0,0,K$9/AGR!K$5*1000)</f>
        <v>32.433406162750948</v>
      </c>
      <c r="L48" s="250">
        <f>IF(L$9=0,0,L$9/AGR!L$5*1000)</f>
        <v>29.841438312954381</v>
      </c>
      <c r="M48" s="250">
        <f>IF(M$9=0,0,M$9/AGR!M$5*1000)</f>
        <v>27.386828908927356</v>
      </c>
      <c r="N48" s="250">
        <f>IF(N$9=0,0,N$9/AGR!N$5*1000)</f>
        <v>27.648660034996499</v>
      </c>
      <c r="O48" s="250">
        <f>IF(O$9=0,0,O$9/AGR!O$5*1000)</f>
        <v>27.00970266530711</v>
      </c>
      <c r="P48" s="250">
        <f>IF(P$9=0,0,P$9/AGR!P$5*1000)</f>
        <v>27.126240264090878</v>
      </c>
      <c r="Q48" s="250">
        <f>IF(Q$9=0,0,Q$9/AGR!Q$5*1000)</f>
        <v>27.364424502424932</v>
      </c>
      <c r="R48" s="250">
        <f>IF(R$9=0,0,R$9/AGR!R$5*1000)</f>
        <v>28.166865116371874</v>
      </c>
      <c r="S48" s="250">
        <f>IF(S$9=0,0,S$9/AGR!S$5*1000)</f>
        <v>25.811509707079445</v>
      </c>
      <c r="T48" s="250">
        <f>IF(T$9=0,0,T$9/AGR!T$5*1000)</f>
        <v>28.986487322083995</v>
      </c>
      <c r="U48" s="250">
        <f>IF(U$9=0,0,U$9/AGR!U$5*1000)</f>
        <v>29.252097718993202</v>
      </c>
      <c r="V48" s="250">
        <f>IF(V$9=0,0,V$9/AGR!V$5*1000)</f>
        <v>30.767720601895132</v>
      </c>
      <c r="W48" s="250">
        <f>IF(W$9=0,0,W$9/AGR!W$5*1000)</f>
        <v>29.588803319130673</v>
      </c>
      <c r="DA48" s="284"/>
    </row>
    <row r="49" spans="1:105" x14ac:dyDescent="0.25">
      <c r="A49" s="128" t="s">
        <v>175</v>
      </c>
      <c r="B49" s="263">
        <f>IF(B$16=0,0,B$16/AGR!B$5*1000)</f>
        <v>28.869020086580043</v>
      </c>
      <c r="C49" s="263">
        <f>IF(C$16=0,0,C$16/AGR!C$5*1000)</f>
        <v>26.142990819940113</v>
      </c>
      <c r="D49" s="263">
        <f>IF(D$16=0,0,D$16/AGR!D$5*1000)</f>
        <v>27.626842298304418</v>
      </c>
      <c r="E49" s="263">
        <f>IF(E$16=0,0,E$16/AGR!E$5*1000)</f>
        <v>29.2232528879908</v>
      </c>
      <c r="F49" s="263">
        <f>IF(F$16=0,0,F$16/AGR!F$5*1000)</f>
        <v>28.639791068418102</v>
      </c>
      <c r="G49" s="263">
        <f>IF(G$16=0,0,G$16/AGR!G$5*1000)</f>
        <v>32.429967974984912</v>
      </c>
      <c r="H49" s="263">
        <f>IF(H$16=0,0,H$16/AGR!H$5*1000)</f>
        <v>32.529602738061023</v>
      </c>
      <c r="I49" s="263">
        <f>IF(I$16=0,0,I$16/AGR!I$5*1000)</f>
        <v>30.465300290545947</v>
      </c>
      <c r="J49" s="263">
        <f>IF(J$16=0,0,J$16/AGR!J$5*1000)</f>
        <v>31.201342610291</v>
      </c>
      <c r="K49" s="263">
        <f>IF(K$16=0,0,K$16/AGR!K$5*1000)</f>
        <v>36.285292236002398</v>
      </c>
      <c r="L49" s="263">
        <f>IF(L$16=0,0,L$16/AGR!L$5*1000)</f>
        <v>34.549476390078077</v>
      </c>
      <c r="M49" s="263">
        <f>IF(M$16=0,0,M$16/AGR!M$5*1000)</f>
        <v>31.415920993927099</v>
      </c>
      <c r="N49" s="263">
        <f>IF(N$16=0,0,N$16/AGR!N$5*1000)</f>
        <v>31.51143406426505</v>
      </c>
      <c r="O49" s="263">
        <f>IF(O$16=0,0,O$16/AGR!O$5*1000)</f>
        <v>32.619121954460304</v>
      </c>
      <c r="P49" s="263">
        <f>IF(P$16=0,0,P$16/AGR!P$5*1000)</f>
        <v>30.798875122464391</v>
      </c>
      <c r="Q49" s="263">
        <f>IF(Q$16=0,0,Q$16/AGR!Q$5*1000)</f>
        <v>32.022155038672707</v>
      </c>
      <c r="R49" s="263">
        <f>IF(R$16=0,0,R$16/AGR!R$5*1000)</f>
        <v>32.176714934171791</v>
      </c>
      <c r="S49" s="263">
        <f>IF(S$16=0,0,S$16/AGR!S$5*1000)</f>
        <v>30.00706625141833</v>
      </c>
      <c r="T49" s="263">
        <f>IF(T$16=0,0,T$16/AGR!T$5*1000)</f>
        <v>34.539796021128709</v>
      </c>
      <c r="U49" s="263">
        <f>IF(U$16=0,0,U$16/AGR!U$5*1000)</f>
        <v>34.295563559110896</v>
      </c>
      <c r="V49" s="263">
        <f>IF(V$16=0,0,V$16/AGR!V$5*1000)</f>
        <v>35.808830633503383</v>
      </c>
      <c r="W49" s="263">
        <f>IF(W$16=0,0,W$16/AGR!W$5*1000)</f>
        <v>34.43161272418822</v>
      </c>
      <c r="DA49" s="285"/>
    </row>
    <row r="50" spans="1:105" x14ac:dyDescent="0.25">
      <c r="A50" s="128" t="s">
        <v>121</v>
      </c>
      <c r="B50" s="263">
        <f>IF(B$17=0,0,B$17/AGR!B$5*1000)</f>
        <v>52.448278452740333</v>
      </c>
      <c r="C50" s="263">
        <f>IF(C$17=0,0,C$17/AGR!C$5*1000)</f>
        <v>51.731415361579288</v>
      </c>
      <c r="D50" s="263">
        <f>IF(D$17=0,0,D$17/AGR!D$5*1000)</f>
        <v>53.103521124682977</v>
      </c>
      <c r="E50" s="263">
        <f>IF(E$17=0,0,E$17/AGR!E$5*1000)</f>
        <v>55.688666292674895</v>
      </c>
      <c r="F50" s="263">
        <f>IF(F$17=0,0,F$17/AGR!F$5*1000)</f>
        <v>54.327693013158225</v>
      </c>
      <c r="G50" s="263">
        <f>IF(G$17=0,0,G$17/AGR!G$5*1000)</f>
        <v>63.555624482996855</v>
      </c>
      <c r="H50" s="263">
        <f>IF(H$17=0,0,H$17/AGR!H$5*1000)</f>
        <v>59.128467484193507</v>
      </c>
      <c r="I50" s="263">
        <f>IF(I$17=0,0,I$17/AGR!I$5*1000)</f>
        <v>53.776465941838239</v>
      </c>
      <c r="J50" s="263">
        <f>IF(J$17=0,0,J$17/AGR!J$5*1000)</f>
        <v>54.880723880299584</v>
      </c>
      <c r="K50" s="263">
        <f>IF(K$17=0,0,K$17/AGR!K$5*1000)</f>
        <v>60.271079896782098</v>
      </c>
      <c r="L50" s="263">
        <f>IF(L$17=0,0,L$17/AGR!L$5*1000)</f>
        <v>56.616360461609929</v>
      </c>
      <c r="M50" s="263">
        <f>IF(M$17=0,0,M$17/AGR!M$5*1000)</f>
        <v>52.182086000851235</v>
      </c>
      <c r="N50" s="263">
        <f>IF(N$17=0,0,N$17/AGR!N$5*1000)</f>
        <v>51.055547663187632</v>
      </c>
      <c r="O50" s="263">
        <f>IF(O$17=0,0,O$17/AGR!O$5*1000)</f>
        <v>53.017253398563852</v>
      </c>
      <c r="P50" s="263">
        <f>IF(P$17=0,0,P$17/AGR!P$5*1000)</f>
        <v>52.568798204339323</v>
      </c>
      <c r="Q50" s="263">
        <f>IF(Q$17=0,0,Q$17/AGR!Q$5*1000)</f>
        <v>52.684331759656757</v>
      </c>
      <c r="R50" s="263">
        <f>IF(R$17=0,0,R$17/AGR!R$5*1000)</f>
        <v>54.735898707627783</v>
      </c>
      <c r="S50" s="263">
        <f>IF(S$17=0,0,S$17/AGR!S$5*1000)</f>
        <v>49.590503948030708</v>
      </c>
      <c r="T50" s="263">
        <f>IF(T$17=0,0,T$17/AGR!T$5*1000)</f>
        <v>55.187169992478161</v>
      </c>
      <c r="U50" s="263">
        <f>IF(U$17=0,0,U$17/AGR!U$5*1000)</f>
        <v>55.950593750765591</v>
      </c>
      <c r="V50" s="263">
        <f>IF(V$17=0,0,V$17/AGR!V$5*1000)</f>
        <v>59.034530210984613</v>
      </c>
      <c r="W50" s="263">
        <f>IF(W$17=0,0,W$17/AGR!W$5*1000)</f>
        <v>56.41013765626807</v>
      </c>
      <c r="DA50" s="285"/>
    </row>
    <row r="51" spans="1:105" x14ac:dyDescent="0.25">
      <c r="A51" s="128" t="s">
        <v>174</v>
      </c>
      <c r="B51" s="263">
        <f>IF(B$25=0,0,B$25/AGR!B$5*1000)</f>
        <v>5.5474227961167868</v>
      </c>
      <c r="C51" s="263">
        <f>IF(C$25=0,0,C$25/AGR!C$5*1000)</f>
        <v>5.0235935545531065</v>
      </c>
      <c r="D51" s="263">
        <f>IF(D$25=0,0,D$25/AGR!D$5*1000)</f>
        <v>5.3087279821312787</v>
      </c>
      <c r="E51" s="263">
        <f>IF(E$25=0,0,E$25/AGR!E$5*1000)</f>
        <v>5.6154915809866894</v>
      </c>
      <c r="F51" s="263">
        <f>IF(F$25=0,0,F$25/AGR!F$5*1000)</f>
        <v>5.5033745299453196</v>
      </c>
      <c r="G51" s="263">
        <f>IF(G$25=0,0,G$25/AGR!G$5*1000)</f>
        <v>6.2316886088349639</v>
      </c>
      <c r="H51" s="263">
        <f>IF(H$25=0,0,H$25/AGR!H$5*1000)</f>
        <v>6.2508342588887755</v>
      </c>
      <c r="I51" s="263">
        <f>IF(I$25=0,0,I$25/AGR!I$5*1000)</f>
        <v>5.8541613402694113</v>
      </c>
      <c r="J51" s="263">
        <f>IF(J$25=0,0,J$25/AGR!J$5*1000)</f>
        <v>5.9955980059828589</v>
      </c>
      <c r="K51" s="263">
        <f>IF(K$25=0,0,K$25/AGR!K$5*1000)</f>
        <v>6.972521294802454</v>
      </c>
      <c r="L51" s="263">
        <f>IF(L$25=0,0,L$25/AGR!L$5*1000)</f>
        <v>6.638969814195824</v>
      </c>
      <c r="M51" s="263">
        <f>IF(M$25=0,0,M$25/AGR!M$5*1000)</f>
        <v>6.0368310306358186</v>
      </c>
      <c r="N51" s="263">
        <f>IF(N$25=0,0,N$25/AGR!N$5*1000)</f>
        <v>6.0551846630809383</v>
      </c>
      <c r="O51" s="263">
        <f>IF(O$25=0,0,O$25/AGR!O$5*1000)</f>
        <v>6.2680361223484491</v>
      </c>
      <c r="P51" s="263">
        <f>IF(P$25=0,0,P$25/AGR!P$5*1000)</f>
        <v>5.9182605241435269</v>
      </c>
      <c r="Q51" s="263">
        <f>IF(Q$25=0,0,Q$25/AGR!Q$5*1000)</f>
        <v>6.153323954521623</v>
      </c>
      <c r="R51" s="263">
        <f>IF(R$25=0,0,R$25/AGR!R$5*1000)</f>
        <v>6.1830239265014715</v>
      </c>
      <c r="S51" s="263">
        <f>IF(S$25=0,0,S$25/AGR!S$5*1000)</f>
        <v>5.7661078508544774</v>
      </c>
      <c r="T51" s="263">
        <f>IF(T$25=0,0,T$25/AGR!T$5*1000)</f>
        <v>6.6371096506286698</v>
      </c>
      <c r="U51" s="263">
        <f>IF(U$25=0,0,U$25/AGR!U$5*1000)</f>
        <v>6.5901783476857183</v>
      </c>
      <c r="V51" s="263">
        <f>IF(V$25=0,0,V$25/AGR!V$5*1000)</f>
        <v>6.8809652271821982</v>
      </c>
      <c r="W51" s="263">
        <f>IF(W$25=0,0,W$25/AGR!W$5*1000)</f>
        <v>6.6163213285516846</v>
      </c>
      <c r="DA51" s="285"/>
    </row>
    <row r="52" spans="1:105" x14ac:dyDescent="0.25">
      <c r="A52" s="128" t="s">
        <v>177</v>
      </c>
      <c r="B52" s="263">
        <f>IF(B$26=0,0,B$26/AGR!B$5*1000)</f>
        <v>2.7352806004226644</v>
      </c>
      <c r="C52" s="263">
        <f>IF(C$26=0,0,C$26/AGR!C$5*1000)</f>
        <v>2.7864225297605238</v>
      </c>
      <c r="D52" s="263">
        <f>IF(D$26=0,0,D$26/AGR!D$5*1000)</f>
        <v>3.0464293979934172</v>
      </c>
      <c r="E52" s="263">
        <f>IF(E$26=0,0,E$26/AGR!E$5*1000)</f>
        <v>3.3853951885966569</v>
      </c>
      <c r="F52" s="263">
        <f>IF(F$26=0,0,F$26/AGR!F$5*1000)</f>
        <v>3.5688073403267633</v>
      </c>
      <c r="G52" s="263">
        <f>IF(G$26=0,0,G$26/AGR!G$5*1000)</f>
        <v>3.7966364741774452</v>
      </c>
      <c r="H52" s="263">
        <f>IF(H$26=0,0,H$26/AGR!H$5*1000)</f>
        <v>3.5734539845930757</v>
      </c>
      <c r="I52" s="263">
        <f>IF(I$26=0,0,I$26/AGR!I$5*1000)</f>
        <v>3.7322598835000691</v>
      </c>
      <c r="J52" s="263">
        <f>IF(J$26=0,0,J$26/AGR!J$5*1000)</f>
        <v>3.6280441117153095</v>
      </c>
      <c r="K52" s="263">
        <f>IF(K$26=0,0,K$26/AGR!K$5*1000)</f>
        <v>4.0795867954466045</v>
      </c>
      <c r="L52" s="263">
        <f>IF(L$26=0,0,L$26/AGR!L$5*1000)</f>
        <v>3.3879228854191816</v>
      </c>
      <c r="M52" s="263">
        <f>IF(M$26=0,0,M$26/AGR!M$5*1000)</f>
        <v>3.1557198007137588</v>
      </c>
      <c r="N52" s="263">
        <f>IF(N$26=0,0,N$26/AGR!N$5*1000)</f>
        <v>3.7544375130966872</v>
      </c>
      <c r="O52" s="263">
        <f>IF(O$26=0,0,O$26/AGR!O$5*1000)</f>
        <v>2.8072179938176403</v>
      </c>
      <c r="P52" s="263">
        <f>IF(P$26=0,0,P$26/AGR!P$5*1000)</f>
        <v>2.749444505227828</v>
      </c>
      <c r="Q52" s="263">
        <f>IF(Q$26=0,0,Q$26/AGR!Q$5*1000)</f>
        <v>2.9387867642944006</v>
      </c>
      <c r="R52" s="263">
        <f>IF(R$26=0,0,R$26/AGR!R$5*1000)</f>
        <v>2.8245811901417732</v>
      </c>
      <c r="S52" s="263">
        <f>IF(S$26=0,0,S$26/AGR!S$5*1000)</f>
        <v>2.7453844668708864</v>
      </c>
      <c r="T52" s="263">
        <f>IF(T$26=0,0,T$26/AGR!T$5*1000)</f>
        <v>3.1858586286160189</v>
      </c>
      <c r="U52" s="263">
        <f>IF(U$26=0,0,U$26/AGR!U$5*1000)</f>
        <v>3.1847102438570269</v>
      </c>
      <c r="V52" s="263">
        <f>IF(V$26=0,0,V$26/AGR!V$5*1000)</f>
        <v>3.2267927546094373</v>
      </c>
      <c r="W52" s="263">
        <f>IF(W$26=0,0,W$26/AGR!W$5*1000)</f>
        <v>3.0986533039438493</v>
      </c>
      <c r="DA52" s="285"/>
    </row>
    <row r="53" spans="1:105" x14ac:dyDescent="0.25">
      <c r="A53" s="261" t="s">
        <v>33</v>
      </c>
      <c r="B53" s="264">
        <f>IF(B$27=0,0,B$27/AGR!B$5*1000)</f>
        <v>3.9661568706128643</v>
      </c>
      <c r="C53" s="264">
        <f>IF(C$27=0,0,C$27/AGR!C$5*1000)</f>
        <v>4.0403126681527617</v>
      </c>
      <c r="D53" s="264">
        <f>IF(D$27=0,0,D$27/AGR!D$5*1000)</f>
        <v>4.4173226270904546</v>
      </c>
      <c r="E53" s="264">
        <f>IF(E$27=0,0,E$27/AGR!E$5*1000)</f>
        <v>4.9088230234651524</v>
      </c>
      <c r="F53" s="264">
        <f>IF(F$27=0,0,F$27/AGR!F$5*1000)</f>
        <v>5.1747706434738081</v>
      </c>
      <c r="G53" s="264">
        <f>IF(G$27=0,0,G$27/AGR!G$5*1000)</f>
        <v>5.5051228875572944</v>
      </c>
      <c r="H53" s="264">
        <f>IF(H$27=0,0,H$27/AGR!H$5*1000)</f>
        <v>5.1815082776599617</v>
      </c>
      <c r="I53" s="264">
        <f>IF(I$27=0,0,I$27/AGR!I$5*1000)</f>
        <v>5.4117768310751027</v>
      </c>
      <c r="J53" s="264">
        <f>IF(J$27=0,0,J$27/AGR!J$5*1000)</f>
        <v>5.2606639619871984</v>
      </c>
      <c r="K53" s="264">
        <f>IF(K$27=0,0,K$27/AGR!K$5*1000)</f>
        <v>5.9154008533975766</v>
      </c>
      <c r="L53" s="264">
        <f>IF(L$27=0,0,L$27/AGR!L$5*1000)</f>
        <v>4.9124881838578114</v>
      </c>
      <c r="M53" s="264">
        <f>IF(M$27=0,0,M$27/AGR!M$5*1000)</f>
        <v>4.5757937110349527</v>
      </c>
      <c r="N53" s="264">
        <f>IF(N$27=0,0,N$27/AGR!N$5*1000)</f>
        <v>5.443934393990193</v>
      </c>
      <c r="O53" s="264">
        <f>IF(O$27=0,0,O$27/AGR!O$5*1000)</f>
        <v>4.0704660910355788</v>
      </c>
      <c r="P53" s="264">
        <f>IF(P$27=0,0,P$27/AGR!P$5*1000)</f>
        <v>3.9866945325803504</v>
      </c>
      <c r="Q53" s="264">
        <f>IF(Q$27=0,0,Q$27/AGR!Q$5*1000)</f>
        <v>4.2612408082268791</v>
      </c>
      <c r="R53" s="264">
        <f>IF(R$27=0,0,R$27/AGR!R$5*1000)</f>
        <v>4.0956427257055719</v>
      </c>
      <c r="S53" s="264">
        <f>IF(S$27=0,0,S$27/AGR!S$5*1000)</f>
        <v>3.9808074769627857</v>
      </c>
      <c r="T53" s="264">
        <f>IF(T$27=0,0,T$27/AGR!T$5*1000)</f>
        <v>4.6194950114932274</v>
      </c>
      <c r="U53" s="264">
        <f>IF(U$27=0,0,U$27/AGR!U$5*1000)</f>
        <v>4.6178298535926903</v>
      </c>
      <c r="V53" s="264">
        <f>IF(V$27=0,0,V$27/AGR!V$5*1000)</f>
        <v>4.6788494941836882</v>
      </c>
      <c r="W53" s="264">
        <f>IF(W$27=0,0,W$27/AGR!W$5*1000)</f>
        <v>4.4930472907185797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261.69847517900655</v>
      </c>
      <c r="C5" s="80">
        <f t="shared" ref="C5:W5" si="1">SUM(C6:C9,C16:C17,C25:C27)</f>
        <v>249.94013784922845</v>
      </c>
      <c r="D5" s="80">
        <f t="shared" si="1"/>
        <v>258.67372759902867</v>
      </c>
      <c r="E5" s="80">
        <f t="shared" si="1"/>
        <v>244.60990789869928</v>
      </c>
      <c r="F5" s="80">
        <f t="shared" si="1"/>
        <v>236.73381751886561</v>
      </c>
      <c r="G5" s="80">
        <f t="shared" si="1"/>
        <v>225.47550937006315</v>
      </c>
      <c r="H5" s="80">
        <f t="shared" si="1"/>
        <v>220.06696914398069</v>
      </c>
      <c r="I5" s="80">
        <f t="shared" si="1"/>
        <v>200.30046942188267</v>
      </c>
      <c r="J5" s="80">
        <f t="shared" si="1"/>
        <v>211.2592388163408</v>
      </c>
      <c r="K5" s="80">
        <f t="shared" si="1"/>
        <v>176.44943372786645</v>
      </c>
      <c r="L5" s="80">
        <f t="shared" si="1"/>
        <v>192.38485813941941</v>
      </c>
      <c r="M5" s="80">
        <f t="shared" si="1"/>
        <v>190.76912912195652</v>
      </c>
      <c r="N5" s="80">
        <f t="shared" si="1"/>
        <v>159.7124392248229</v>
      </c>
      <c r="O5" s="80">
        <f t="shared" si="1"/>
        <v>203.25549930020642</v>
      </c>
      <c r="P5" s="80">
        <f t="shared" si="1"/>
        <v>233.03407623786887</v>
      </c>
      <c r="Q5" s="80">
        <f t="shared" si="1"/>
        <v>233.54862535100563</v>
      </c>
      <c r="R5" s="80">
        <f t="shared" si="1"/>
        <v>260.66005066358952</v>
      </c>
      <c r="S5" s="80">
        <f t="shared" si="1"/>
        <v>245.78578801236381</v>
      </c>
      <c r="T5" s="80">
        <f t="shared" si="1"/>
        <v>261.34841478041949</v>
      </c>
      <c r="U5" s="80">
        <f t="shared" si="1"/>
        <v>271.09893157719239</v>
      </c>
      <c r="V5" s="80">
        <f t="shared" si="1"/>
        <v>282.69568816407008</v>
      </c>
      <c r="W5" s="80">
        <f t="shared" si="1"/>
        <v>269.14869000916929</v>
      </c>
      <c r="DA5" s="103"/>
    </row>
    <row r="6" spans="1:105" x14ac:dyDescent="0.25">
      <c r="A6" s="239" t="s">
        <v>125</v>
      </c>
      <c r="B6" s="240">
        <v>6.8048942741516347</v>
      </c>
      <c r="C6" s="240">
        <v>6.7666162521746998</v>
      </c>
      <c r="D6" s="240">
        <v>7.3026529182419591</v>
      </c>
      <c r="E6" s="240">
        <v>7.2178302426273584</v>
      </c>
      <c r="F6" s="240">
        <v>7.2758603611645869</v>
      </c>
      <c r="G6" s="240">
        <v>6.4578508974618947</v>
      </c>
      <c r="H6" s="240">
        <v>6.2727633595450811</v>
      </c>
      <c r="I6" s="240">
        <v>6.3512722433222022</v>
      </c>
      <c r="J6" s="240">
        <v>6.4278741411124196</v>
      </c>
      <c r="K6" s="240">
        <v>5.4028797015116981</v>
      </c>
      <c r="L6" s="240">
        <v>5.3592951649245206</v>
      </c>
      <c r="M6" s="240">
        <v>5.381137653093278</v>
      </c>
      <c r="N6" s="240">
        <v>5.2006581246424357</v>
      </c>
      <c r="O6" s="240">
        <v>5.1738883935443223</v>
      </c>
      <c r="P6" s="240">
        <v>5.8914228127120749</v>
      </c>
      <c r="Q6" s="240">
        <v>6.1873630738854759</v>
      </c>
      <c r="R6" s="240">
        <v>6.5207015390402994</v>
      </c>
      <c r="S6" s="240">
        <v>6.4740489127948333</v>
      </c>
      <c r="T6" s="240">
        <v>7.0751186500153116</v>
      </c>
      <c r="U6" s="240">
        <v>7.2834140422485092</v>
      </c>
      <c r="V6" s="240">
        <v>7.3523131558675416</v>
      </c>
      <c r="W6" s="240">
        <v>7.0062757282004862</v>
      </c>
      <c r="DA6" s="268" t="s">
        <v>1014</v>
      </c>
    </row>
    <row r="7" spans="1:105" x14ac:dyDescent="0.25">
      <c r="A7" s="241" t="s">
        <v>124</v>
      </c>
      <c r="B7" s="242">
        <v>4.3861500231177359</v>
      </c>
      <c r="C7" s="242">
        <v>4.3614776123182333</v>
      </c>
      <c r="D7" s="242">
        <v>4.7069844108872658</v>
      </c>
      <c r="E7" s="242">
        <v>4.6523112645283096</v>
      </c>
      <c r="F7" s="242">
        <v>4.6897150500258222</v>
      </c>
      <c r="G7" s="242">
        <v>4.1624603883687303</v>
      </c>
      <c r="H7" s="242">
        <v>4.0431607084609418</v>
      </c>
      <c r="I7" s="242">
        <v>4.093764248871846</v>
      </c>
      <c r="J7" s="242">
        <v>4.1431386259344967</v>
      </c>
      <c r="K7" s="242">
        <v>3.4824701123872011</v>
      </c>
      <c r="L7" s="242">
        <v>3.4543773443796861</v>
      </c>
      <c r="M7" s="242">
        <v>3.4684560980129731</v>
      </c>
      <c r="N7" s="242">
        <v>3.35212654813387</v>
      </c>
      <c r="O7" s="242">
        <v>3.3348718999432512</v>
      </c>
      <c r="P7" s="242">
        <v>3.7973645533816862</v>
      </c>
      <c r="Q7" s="242">
        <v>3.9881152588434561</v>
      </c>
      <c r="R7" s="242">
        <v>4.2029712812505249</v>
      </c>
      <c r="S7" s="242">
        <v>4.1729009510673931</v>
      </c>
      <c r="T7" s="242">
        <v>4.5603253452742596</v>
      </c>
      <c r="U7" s="242">
        <v>4.6945838366852586</v>
      </c>
      <c r="V7" s="242">
        <v>4.7389933214792874</v>
      </c>
      <c r="W7" s="242">
        <v>4.5159520793652517</v>
      </c>
      <c r="DA7" s="269" t="s">
        <v>1015</v>
      </c>
    </row>
    <row r="8" spans="1:105" x14ac:dyDescent="0.25">
      <c r="A8" s="241" t="s">
        <v>123</v>
      </c>
      <c r="B8" s="242">
        <v>8.7162987022344218</v>
      </c>
      <c r="C8" s="242">
        <v>8.6672688922417809</v>
      </c>
      <c r="D8" s="242">
        <v>9.3538711388835321</v>
      </c>
      <c r="E8" s="242">
        <v>9.2452229001903898</v>
      </c>
      <c r="F8" s="242">
        <v>9.3195529083461235</v>
      </c>
      <c r="G8" s="242">
        <v>8.271775449999625</v>
      </c>
      <c r="H8" s="242">
        <v>8.0346992807677058</v>
      </c>
      <c r="I8" s="242">
        <v>8.135260267347574</v>
      </c>
      <c r="J8" s="242">
        <v>8.2333786209028634</v>
      </c>
      <c r="K8" s="242">
        <v>6.920476855826859</v>
      </c>
      <c r="L8" s="242">
        <v>6.864650001744006</v>
      </c>
      <c r="M8" s="242">
        <v>6.8926277547565844</v>
      </c>
      <c r="N8" s="242">
        <v>6.6614539236521928</v>
      </c>
      <c r="O8" s="242">
        <v>6.6271649306084717</v>
      </c>
      <c r="P8" s="242">
        <v>7.5462452387856516</v>
      </c>
      <c r="Q8" s="242">
        <v>7.9253111890389683</v>
      </c>
      <c r="R8" s="242">
        <v>8.3522800020990395</v>
      </c>
      <c r="S8" s="242">
        <v>8.2925232727191585</v>
      </c>
      <c r="T8" s="242">
        <v>9.0624255165185925</v>
      </c>
      <c r="U8" s="242">
        <v>9.3292283181286066</v>
      </c>
      <c r="V8" s="242">
        <v>9.4174802777371251</v>
      </c>
      <c r="W8" s="242">
        <v>8.9742455322458099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89.91751995271548</v>
      </c>
      <c r="C9" s="244">
        <f t="shared" ref="C9:W9" si="3">SUM(C10:C15)</f>
        <v>87.529995673961295</v>
      </c>
      <c r="D9" s="244">
        <f t="shared" si="3"/>
        <v>90.005332875846932</v>
      </c>
      <c r="E9" s="244">
        <f t="shared" si="3"/>
        <v>84.723500710241154</v>
      </c>
      <c r="F9" s="244">
        <f t="shared" si="3"/>
        <v>83.498381450573973</v>
      </c>
      <c r="G9" s="244">
        <f t="shared" si="3"/>
        <v>80.833897423489418</v>
      </c>
      <c r="H9" s="244">
        <f t="shared" si="3"/>
        <v>77.751224148030317</v>
      </c>
      <c r="I9" s="244">
        <f t="shared" si="3"/>
        <v>69.52402259063814</v>
      </c>
      <c r="J9" s="244">
        <f t="shared" si="3"/>
        <v>73.576851437756744</v>
      </c>
      <c r="K9" s="244">
        <f t="shared" si="3"/>
        <v>60.966338427604519</v>
      </c>
      <c r="L9" s="244">
        <f t="shared" si="3"/>
        <v>66.108945789392848</v>
      </c>
      <c r="M9" s="244">
        <f t="shared" si="3"/>
        <v>65.608252368747401</v>
      </c>
      <c r="N9" s="244">
        <f t="shared" si="3"/>
        <v>54.71526453893712</v>
      </c>
      <c r="O9" s="244">
        <f t="shared" si="3"/>
        <v>68.714145448125549</v>
      </c>
      <c r="P9" s="244">
        <f t="shared" si="3"/>
        <v>81.830998074598483</v>
      </c>
      <c r="Q9" s="244">
        <f t="shared" si="3"/>
        <v>80.842524409161584</v>
      </c>
      <c r="R9" s="244">
        <f t="shared" si="3"/>
        <v>91.190069332992451</v>
      </c>
      <c r="S9" s="244">
        <f t="shared" si="3"/>
        <v>85.549909499106121</v>
      </c>
      <c r="T9" s="244">
        <f t="shared" si="3"/>
        <v>90.303503214630638</v>
      </c>
      <c r="U9" s="244">
        <f t="shared" si="3"/>
        <v>94.041787402265555</v>
      </c>
      <c r="V9" s="244">
        <f t="shared" si="3"/>
        <v>98.305642372129853</v>
      </c>
      <c r="W9" s="244">
        <f t="shared" si="3"/>
        <v>93.809401986378319</v>
      </c>
      <c r="DA9" s="270"/>
    </row>
    <row r="10" spans="1:105" x14ac:dyDescent="0.25">
      <c r="A10" s="254" t="s">
        <v>173</v>
      </c>
      <c r="B10" s="255">
        <v>30.8215218741115</v>
      </c>
      <c r="C10" s="255">
        <v>21.590606296856262</v>
      </c>
      <c r="D10" s="255">
        <v>23.271823315736341</v>
      </c>
      <c r="E10" s="255">
        <v>21.99869023363123</v>
      </c>
      <c r="F10" s="255">
        <v>18.09076191455544</v>
      </c>
      <c r="G10" s="255">
        <v>15.917167935061499</v>
      </c>
      <c r="H10" s="255">
        <v>19.706307503702899</v>
      </c>
      <c r="I10" s="255">
        <v>19.111352578148619</v>
      </c>
      <c r="J10" s="255">
        <v>20.454814929691381</v>
      </c>
      <c r="K10" s="255">
        <v>20.08916530360019</v>
      </c>
      <c r="L10" s="255">
        <v>25.67077766657447</v>
      </c>
      <c r="M10" s="255">
        <v>24.45509522632106</v>
      </c>
      <c r="N10" s="255">
        <v>19.42466788353935</v>
      </c>
      <c r="O10" s="255">
        <v>32.854556861587582</v>
      </c>
      <c r="P10" s="255">
        <v>29.669337457391599</v>
      </c>
      <c r="Q10" s="255">
        <v>33.070271764727721</v>
      </c>
      <c r="R10" s="255">
        <v>34.086289029304901</v>
      </c>
      <c r="S10" s="255">
        <v>33.984741203341308</v>
      </c>
      <c r="T10" s="255">
        <v>39.664182818323248</v>
      </c>
      <c r="U10" s="255">
        <v>38.558365402020783</v>
      </c>
      <c r="V10" s="255">
        <v>39.332201173333793</v>
      </c>
      <c r="W10" s="255">
        <v>37.497444218947962</v>
      </c>
      <c r="DA10" s="271" t="s">
        <v>1017</v>
      </c>
    </row>
    <row r="11" spans="1:105" x14ac:dyDescent="0.25">
      <c r="A11" s="254" t="s">
        <v>176</v>
      </c>
      <c r="B11" s="256">
        <v>50.763535316161438</v>
      </c>
      <c r="C11" s="256">
        <v>56.522878882847358</v>
      </c>
      <c r="D11" s="256">
        <v>55.801601409434703</v>
      </c>
      <c r="E11" s="256">
        <v>50.672349177993617</v>
      </c>
      <c r="F11" s="256">
        <v>50.064421822377938</v>
      </c>
      <c r="G11" s="256">
        <v>52.23451368392741</v>
      </c>
      <c r="H11" s="256">
        <v>45.685527890851297</v>
      </c>
      <c r="I11" s="256">
        <v>35.4081202164923</v>
      </c>
      <c r="J11" s="256">
        <v>39.160340955204099</v>
      </c>
      <c r="K11" s="256">
        <v>29.075378868034619</v>
      </c>
      <c r="L11" s="256">
        <v>29.93824814339245</v>
      </c>
      <c r="M11" s="256">
        <v>30.164637405028071</v>
      </c>
      <c r="N11" s="256">
        <v>21.751150186446161</v>
      </c>
      <c r="O11" s="256">
        <v>26.77559713403933</v>
      </c>
      <c r="P11" s="256">
        <v>36.147041344592203</v>
      </c>
      <c r="Q11" s="256">
        <v>31.39623508688948</v>
      </c>
      <c r="R11" s="256">
        <v>41.114169214693639</v>
      </c>
      <c r="S11" s="256">
        <v>33.888139885846712</v>
      </c>
      <c r="T11" s="256">
        <v>30.51709826806281</v>
      </c>
      <c r="U11" s="256">
        <v>35.23863488877781</v>
      </c>
      <c r="V11" s="256">
        <v>40.094210755534412</v>
      </c>
      <c r="W11" s="256">
        <v>38.180366966817502</v>
      </c>
      <c r="DA11" s="272" t="s">
        <v>1018</v>
      </c>
    </row>
    <row r="12" spans="1:105" x14ac:dyDescent="0.25">
      <c r="A12" s="254" t="s">
        <v>158</v>
      </c>
      <c r="B12" s="256">
        <v>0.35539354290635039</v>
      </c>
      <c r="C12" s="256">
        <v>0.35535301455115942</v>
      </c>
      <c r="D12" s="256">
        <v>0.3473510922677534</v>
      </c>
      <c r="E12" s="256">
        <v>0.34323344837477021</v>
      </c>
      <c r="F12" s="256">
        <v>3.0384632647485041</v>
      </c>
      <c r="G12" s="256">
        <v>3.6907546351938341</v>
      </c>
      <c r="H12" s="256">
        <v>3.831339022156802</v>
      </c>
      <c r="I12" s="256">
        <v>3.4923616470512862</v>
      </c>
      <c r="J12" s="256">
        <v>3.6115256192163301</v>
      </c>
      <c r="K12" s="256">
        <v>3.1514547793075072</v>
      </c>
      <c r="L12" s="256">
        <v>3.572459368726336</v>
      </c>
      <c r="M12" s="256">
        <v>3.7711860019709209</v>
      </c>
      <c r="N12" s="256">
        <v>3.5543340065053539</v>
      </c>
      <c r="O12" s="256">
        <v>3.441070935253737</v>
      </c>
      <c r="P12" s="256">
        <v>9.7765239089400371</v>
      </c>
      <c r="Q12" s="256">
        <v>9.053267772846171</v>
      </c>
      <c r="R12" s="256">
        <v>9.2579225150714386</v>
      </c>
      <c r="S12" s="256">
        <v>10.21383230519837</v>
      </c>
      <c r="T12" s="256">
        <v>11.59125446663767</v>
      </c>
      <c r="U12" s="256">
        <v>11.543810499529989</v>
      </c>
      <c r="V12" s="256">
        <v>10.733521987829119</v>
      </c>
      <c r="W12" s="256">
        <v>10.238756366963139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8.1754894913616066E-2</v>
      </c>
      <c r="C14" s="255">
        <v>0.32701957965457351</v>
      </c>
      <c r="D14" s="255">
        <v>0.24526468474091559</v>
      </c>
      <c r="E14" s="255">
        <v>0.2615685766711503</v>
      </c>
      <c r="F14" s="255">
        <v>0.22890193399507019</v>
      </c>
      <c r="G14" s="255">
        <v>0.16350978982727521</v>
      </c>
      <c r="H14" s="255">
        <v>0.13078428833555311</v>
      </c>
      <c r="I14" s="255">
        <v>9.8117645659497738E-2</v>
      </c>
      <c r="J14" s="255">
        <v>0.11442153758972699</v>
      </c>
      <c r="K14" s="255">
        <v>0.1144215375897235</v>
      </c>
      <c r="L14" s="255">
        <v>0.1471470390813569</v>
      </c>
      <c r="M14" s="255">
        <v>0.1307842883355349</v>
      </c>
      <c r="N14" s="255">
        <v>0.22890193399511019</v>
      </c>
      <c r="O14" s="255">
        <v>0.1471470390813242</v>
      </c>
      <c r="P14" s="255">
        <v>0.24526468474087371</v>
      </c>
      <c r="Q14" s="255">
        <v>0.31065682890859542</v>
      </c>
      <c r="R14" s="255">
        <v>0.24526468474085761</v>
      </c>
      <c r="S14" s="255">
        <v>0.27793132741687609</v>
      </c>
      <c r="T14" s="255">
        <v>0.24526468474086369</v>
      </c>
      <c r="U14" s="255">
        <v>0.26156857667107258</v>
      </c>
      <c r="V14" s="255">
        <v>0.24526468474090671</v>
      </c>
      <c r="W14" s="255">
        <v>0.42507836649839342</v>
      </c>
      <c r="DA14" s="271" t="s">
        <v>1021</v>
      </c>
    </row>
    <row r="15" spans="1:105" x14ac:dyDescent="0.25">
      <c r="A15" s="254" t="s">
        <v>24</v>
      </c>
      <c r="B15" s="256">
        <v>7.8953143246225741</v>
      </c>
      <c r="C15" s="256">
        <v>8.7341379000519535</v>
      </c>
      <c r="D15" s="256">
        <v>10.33929237366722</v>
      </c>
      <c r="E15" s="256">
        <v>11.44765927357038</v>
      </c>
      <c r="F15" s="256">
        <v>12.07583251489701</v>
      </c>
      <c r="G15" s="256">
        <v>8.8279513794794031</v>
      </c>
      <c r="H15" s="256">
        <v>8.3972654429837803</v>
      </c>
      <c r="I15" s="256">
        <v>11.414070503286441</v>
      </c>
      <c r="J15" s="256">
        <v>10.235748396055209</v>
      </c>
      <c r="K15" s="256">
        <v>8.5359179390724833</v>
      </c>
      <c r="L15" s="256">
        <v>6.780313571618235</v>
      </c>
      <c r="M15" s="256">
        <v>7.0865494470918122</v>
      </c>
      <c r="N15" s="256">
        <v>9.7562105284511453</v>
      </c>
      <c r="O15" s="256">
        <v>5.4957734781635841</v>
      </c>
      <c r="P15" s="256">
        <v>5.9928306789337773</v>
      </c>
      <c r="Q15" s="256">
        <v>7.0120929557896243</v>
      </c>
      <c r="R15" s="256">
        <v>6.4864238891816042</v>
      </c>
      <c r="S15" s="256">
        <v>7.1852647773028604</v>
      </c>
      <c r="T15" s="256">
        <v>8.2857029768660553</v>
      </c>
      <c r="U15" s="256">
        <v>8.4394080352658953</v>
      </c>
      <c r="V15" s="256">
        <v>7.9004437706916262</v>
      </c>
      <c r="W15" s="256">
        <v>7.4677560671513197</v>
      </c>
      <c r="DA15" s="272" t="s">
        <v>1022</v>
      </c>
    </row>
    <row r="16" spans="1:105" x14ac:dyDescent="0.25">
      <c r="A16" s="257" t="s">
        <v>175</v>
      </c>
      <c r="B16" s="258">
        <v>51.393661215144832</v>
      </c>
      <c r="C16" s="258">
        <v>45.42949015278942</v>
      </c>
      <c r="D16" s="258">
        <v>47.389137971356512</v>
      </c>
      <c r="E16" s="258">
        <v>44.584496369141</v>
      </c>
      <c r="F16" s="258">
        <v>41.781989468801257</v>
      </c>
      <c r="G16" s="258">
        <v>39.472400219899797</v>
      </c>
      <c r="H16" s="258">
        <v>40.860858537986637</v>
      </c>
      <c r="I16" s="258">
        <v>37.098156865787907</v>
      </c>
      <c r="J16" s="258">
        <v>39.557251275565022</v>
      </c>
      <c r="K16" s="258">
        <v>34.38727513405933</v>
      </c>
      <c r="L16" s="258">
        <v>39.108724124975623</v>
      </c>
      <c r="M16" s="258">
        <v>38.333941951497152</v>
      </c>
      <c r="N16" s="258">
        <v>31.2348633973692</v>
      </c>
      <c r="O16" s="258">
        <v>43.020078811308807</v>
      </c>
      <c r="P16" s="258">
        <v>47.224580265840991</v>
      </c>
      <c r="Q16" s="258">
        <v>48.244310031562051</v>
      </c>
      <c r="R16" s="258">
        <v>53.154493062352039</v>
      </c>
      <c r="S16" s="258">
        <v>50.63541329860653</v>
      </c>
      <c r="T16" s="258">
        <v>54.888961440133272</v>
      </c>
      <c r="U16" s="258">
        <v>56.125605061701037</v>
      </c>
      <c r="V16" s="258">
        <v>58.38497255462066</v>
      </c>
      <c r="W16" s="258">
        <v>55.709546104674097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76.534751945239123</v>
      </c>
      <c r="C17" s="258">
        <f t="shared" ref="C17:W17" si="5">SUM(C18:C24)</f>
        <v>74.138143147424827</v>
      </c>
      <c r="D17" s="258">
        <f t="shared" si="5"/>
        <v>75.263344410526216</v>
      </c>
      <c r="E17" s="258">
        <f t="shared" si="5"/>
        <v>70.123702697673124</v>
      </c>
      <c r="F17" s="258">
        <f t="shared" si="5"/>
        <v>66.337196602801285</v>
      </c>
      <c r="G17" s="258">
        <f t="shared" si="5"/>
        <v>64.804091019622788</v>
      </c>
      <c r="H17" s="258">
        <f t="shared" si="5"/>
        <v>61.907728169972756</v>
      </c>
      <c r="I17" s="258">
        <f t="shared" si="5"/>
        <v>54.211079924467747</v>
      </c>
      <c r="J17" s="258">
        <f t="shared" si="5"/>
        <v>57.91132717214176</v>
      </c>
      <c r="K17" s="258">
        <f t="shared" si="5"/>
        <v>47.141486224115241</v>
      </c>
      <c r="L17" s="258">
        <f t="shared" si="5"/>
        <v>52.814361579601872</v>
      </c>
      <c r="M17" s="258">
        <f t="shared" si="5"/>
        <v>52.459755471698891</v>
      </c>
      <c r="N17" s="258">
        <f t="shared" si="5"/>
        <v>41.329746020661808</v>
      </c>
      <c r="O17" s="258">
        <f t="shared" si="5"/>
        <v>57.648786840669992</v>
      </c>
      <c r="P17" s="258">
        <f t="shared" si="5"/>
        <v>65.645410700974125</v>
      </c>
      <c r="Q17" s="258">
        <f t="shared" si="5"/>
        <v>64.385063432375887</v>
      </c>
      <c r="R17" s="258">
        <f t="shared" si="5"/>
        <v>73.768800812198023</v>
      </c>
      <c r="S17" s="258">
        <f t="shared" si="5"/>
        <v>67.645869363962376</v>
      </c>
      <c r="T17" s="258">
        <f t="shared" si="5"/>
        <v>70.366372276281339</v>
      </c>
      <c r="U17" s="258">
        <f t="shared" si="5"/>
        <v>73.84491319054635</v>
      </c>
      <c r="V17" s="258">
        <f t="shared" si="5"/>
        <v>78.240527482381182</v>
      </c>
      <c r="W17" s="258">
        <f t="shared" si="5"/>
        <v>74.103491938480502</v>
      </c>
      <c r="DA17" s="273"/>
    </row>
    <row r="18" spans="1:105" x14ac:dyDescent="0.25">
      <c r="A18" s="61" t="s">
        <v>29</v>
      </c>
      <c r="B18" s="55">
        <v>6.595510304998534</v>
      </c>
      <c r="C18" s="55">
        <v>5.077852007544001</v>
      </c>
      <c r="D18" s="55">
        <v>4.4238106902336298</v>
      </c>
      <c r="E18" s="55">
        <v>4.1937264163121499</v>
      </c>
      <c r="F18" s="55">
        <v>1.201787746984847</v>
      </c>
      <c r="G18" s="55">
        <v>1.038414422768605</v>
      </c>
      <c r="H18" s="55">
        <v>0.75106201287915031</v>
      </c>
      <c r="I18" s="55">
        <v>0.76834573444418697</v>
      </c>
      <c r="J18" s="55">
        <v>0.56207927195165508</v>
      </c>
      <c r="K18" s="55">
        <v>0.20386360364180781</v>
      </c>
      <c r="L18" s="55">
        <v>0.1008779163594649</v>
      </c>
      <c r="M18" s="55">
        <v>0.1412206518196143</v>
      </c>
      <c r="N18" s="55">
        <v>0.1045032823465348</v>
      </c>
      <c r="O18" s="55">
        <v>0.23096953770725021</v>
      </c>
      <c r="P18" s="55">
        <v>0</v>
      </c>
      <c r="Q18" s="55">
        <v>0.10977270965323629</v>
      </c>
      <c r="R18" s="55">
        <v>0.1063581207585395</v>
      </c>
      <c r="S18" s="55">
        <v>7.2992107052440039E-2</v>
      </c>
      <c r="T18" s="55">
        <v>0.21811213507910429</v>
      </c>
      <c r="U18" s="55">
        <v>0.35872153333117718</v>
      </c>
      <c r="V18" s="55">
        <v>0.36283168663062632</v>
      </c>
      <c r="W18" s="55">
        <v>0.36238905473685701</v>
      </c>
      <c r="DA18" s="101" t="s">
        <v>1024</v>
      </c>
    </row>
    <row r="19" spans="1:105" x14ac:dyDescent="0.25">
      <c r="A19" s="61" t="s">
        <v>27</v>
      </c>
      <c r="B19" s="55">
        <v>2.571422149336446</v>
      </c>
      <c r="C19" s="55">
        <v>3.2142838026410629</v>
      </c>
      <c r="D19" s="55">
        <v>2.8928529759883919</v>
      </c>
      <c r="E19" s="55">
        <v>2.2499913226850441</v>
      </c>
      <c r="F19" s="55">
        <v>4.152057444316787</v>
      </c>
      <c r="G19" s="55">
        <v>4.1520574443197349</v>
      </c>
      <c r="H19" s="55">
        <v>2.874505071277996</v>
      </c>
      <c r="I19" s="55">
        <v>2.5551047460781851</v>
      </c>
      <c r="J19" s="55">
        <v>3.1939053964754409</v>
      </c>
      <c r="K19" s="55">
        <v>0</v>
      </c>
      <c r="L19" s="55">
        <v>2.8745050712757569</v>
      </c>
      <c r="M19" s="55">
        <v>3.513281257796943</v>
      </c>
      <c r="N19" s="55">
        <v>0.31940032519657802</v>
      </c>
      <c r="O19" s="55">
        <v>9.262291400346129</v>
      </c>
      <c r="P19" s="55">
        <v>8.9429155390336579</v>
      </c>
      <c r="Q19" s="55">
        <v>7.3459628407917226</v>
      </c>
      <c r="R19" s="55">
        <v>9.0967443721236911</v>
      </c>
      <c r="S19" s="55">
        <v>6.5844514036953559</v>
      </c>
      <c r="T19" s="55">
        <v>5.3302620293215801</v>
      </c>
      <c r="U19" s="55">
        <v>6.5844514036974218</v>
      </c>
      <c r="V19" s="55">
        <v>8.1521697737679091</v>
      </c>
      <c r="W19" s="55">
        <v>6.2708979441388371</v>
      </c>
      <c r="DA19" s="101" t="s">
        <v>1025</v>
      </c>
    </row>
    <row r="20" spans="1:105" x14ac:dyDescent="0.25">
      <c r="A20" s="61" t="s">
        <v>173</v>
      </c>
      <c r="B20" s="55">
        <v>21.824726517813129</v>
      </c>
      <c r="C20" s="55">
        <v>15.29117182028385</v>
      </c>
      <c r="D20" s="55">
        <v>17.10431928927299</v>
      </c>
      <c r="E20" s="55">
        <v>16.482064435573019</v>
      </c>
      <c r="F20" s="55">
        <v>15.095525985494071</v>
      </c>
      <c r="G20" s="55">
        <v>13.00572352824288</v>
      </c>
      <c r="H20" s="55">
        <v>16.371929116303601</v>
      </c>
      <c r="I20" s="55">
        <v>16.316968834227151</v>
      </c>
      <c r="J20" s="55">
        <v>17.423379388111769</v>
      </c>
      <c r="K20" s="55">
        <v>17.67685926489121</v>
      </c>
      <c r="L20" s="55">
        <v>21.224612006176219</v>
      </c>
      <c r="M20" s="55">
        <v>20.068759870867609</v>
      </c>
      <c r="N20" s="55">
        <v>17.449790851252221</v>
      </c>
      <c r="O20" s="55">
        <v>24.830153542152729</v>
      </c>
      <c r="P20" s="55">
        <v>23.02563720144315</v>
      </c>
      <c r="Q20" s="55">
        <v>26.22909073670548</v>
      </c>
      <c r="R20" s="55">
        <v>26.248009863722029</v>
      </c>
      <c r="S20" s="55">
        <v>27.057609099680349</v>
      </c>
      <c r="T20" s="55">
        <v>32.356200324047968</v>
      </c>
      <c r="U20" s="55">
        <v>31.103877915715891</v>
      </c>
      <c r="V20" s="55">
        <v>31.355638214537461</v>
      </c>
      <c r="W20" s="55">
        <v>30.314510297888091</v>
      </c>
      <c r="DA20" s="101" t="s">
        <v>1026</v>
      </c>
    </row>
    <row r="21" spans="1:105" x14ac:dyDescent="0.25">
      <c r="A21" s="61" t="s">
        <v>129</v>
      </c>
      <c r="B21" s="55">
        <v>4.1588996325323926</v>
      </c>
      <c r="C21" s="55">
        <v>5.1374655342896096</v>
      </c>
      <c r="D21" s="55">
        <v>4.1588996325335028</v>
      </c>
      <c r="E21" s="55">
        <v>3.669605781814488</v>
      </c>
      <c r="F21" s="55">
        <v>0.97856590175337033</v>
      </c>
      <c r="G21" s="55">
        <v>0.73392987623591766</v>
      </c>
      <c r="H21" s="55">
        <v>0.73392987623572947</v>
      </c>
      <c r="I21" s="55">
        <v>0.97372637246504601</v>
      </c>
      <c r="J21" s="55">
        <v>0.73028932942950453</v>
      </c>
      <c r="K21" s="55">
        <v>0.48685228639248218</v>
      </c>
      <c r="L21" s="55">
        <v>0.48685228639200973</v>
      </c>
      <c r="M21" s="55">
        <v>0.48685228639219608</v>
      </c>
      <c r="N21" s="55">
        <v>0.24343704303688291</v>
      </c>
      <c r="O21" s="55">
        <v>0.24343704303671659</v>
      </c>
      <c r="P21" s="55">
        <v>0.24343704303701469</v>
      </c>
      <c r="Q21" s="55">
        <v>0.24343704303687941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1027</v>
      </c>
    </row>
    <row r="22" spans="1:105" x14ac:dyDescent="0.25">
      <c r="A22" s="61" t="s">
        <v>176</v>
      </c>
      <c r="B22" s="55">
        <v>35.0849477569244</v>
      </c>
      <c r="C22" s="55">
        <v>39.072792121202639</v>
      </c>
      <c r="D22" s="55">
        <v>40.030986206132127</v>
      </c>
      <c r="E22" s="55">
        <v>37.056130307817533</v>
      </c>
      <c r="F22" s="55">
        <v>40.775081705007409</v>
      </c>
      <c r="G22" s="55">
        <v>41.658201654436972</v>
      </c>
      <c r="H22" s="55">
        <v>37.046526171881077</v>
      </c>
      <c r="I22" s="55">
        <v>29.50700792676459</v>
      </c>
      <c r="J22" s="55">
        <v>32.557987059430197</v>
      </c>
      <c r="K22" s="55">
        <v>24.97139689527538</v>
      </c>
      <c r="L22" s="55">
        <v>24.160246517227129</v>
      </c>
      <c r="M22" s="55">
        <v>24.161479841791198</v>
      </c>
      <c r="N22" s="55">
        <v>19.07186192555692</v>
      </c>
      <c r="O22" s="55">
        <v>19.75136884181665</v>
      </c>
      <c r="P22" s="55">
        <v>27.38109474724541</v>
      </c>
      <c r="Q22" s="55">
        <v>24.30509298337455</v>
      </c>
      <c r="R22" s="55">
        <v>30.90170343743522</v>
      </c>
      <c r="S22" s="55">
        <v>26.334642390065639</v>
      </c>
      <c r="T22" s="55">
        <v>24.29833321747947</v>
      </c>
      <c r="U22" s="55">
        <v>27.7452883583999</v>
      </c>
      <c r="V22" s="55">
        <v>31.197752251991279</v>
      </c>
      <c r="W22" s="55">
        <v>30.127509388953641</v>
      </c>
      <c r="DA22" s="101" t="s">
        <v>1028</v>
      </c>
    </row>
    <row r="23" spans="1:105" x14ac:dyDescent="0.25">
      <c r="A23" s="61" t="s">
        <v>171</v>
      </c>
      <c r="B23" s="55">
        <v>6.1644649609077451</v>
      </c>
      <c r="C23" s="55">
        <v>6.2097874097846049</v>
      </c>
      <c r="D23" s="55">
        <v>6.5157445353837211</v>
      </c>
      <c r="E23" s="55">
        <v>6.3344547398914433</v>
      </c>
      <c r="F23" s="55">
        <v>2.776275354851482</v>
      </c>
      <c r="G23" s="55">
        <v>2.6006355676162491</v>
      </c>
      <c r="H23" s="55">
        <v>2.424995780378425</v>
      </c>
      <c r="I23" s="55">
        <v>2.4929794536840619</v>
      </c>
      <c r="J23" s="55">
        <v>1.796090710133454</v>
      </c>
      <c r="K23" s="55">
        <v>2.317339666450438</v>
      </c>
      <c r="L23" s="55">
        <v>2.3853233397568632</v>
      </c>
      <c r="M23" s="55">
        <v>2.4306661857719511</v>
      </c>
      <c r="N23" s="55">
        <v>2.430666185772421</v>
      </c>
      <c r="O23" s="55">
        <v>1.93772846214323</v>
      </c>
      <c r="P23" s="55">
        <v>1.988721316412591</v>
      </c>
      <c r="Q23" s="55">
        <v>2.3060192528022281</v>
      </c>
      <c r="R23" s="55">
        <v>3.597831428519592</v>
      </c>
      <c r="S23" s="55">
        <v>3.2408814486488571</v>
      </c>
      <c r="T23" s="55">
        <v>3.0992436966381489</v>
      </c>
      <c r="U23" s="55">
        <v>3.0652416614127209</v>
      </c>
      <c r="V23" s="55">
        <v>2.5893151539698009</v>
      </c>
      <c r="W23" s="55">
        <v>2.5949651622225431</v>
      </c>
      <c r="DA23" s="101" t="s">
        <v>1029</v>
      </c>
    </row>
    <row r="24" spans="1:105" x14ac:dyDescent="0.25">
      <c r="A24" s="61" t="s">
        <v>158</v>
      </c>
      <c r="B24" s="55">
        <v>0.1347806227264696</v>
      </c>
      <c r="C24" s="55">
        <v>0.13479045167904971</v>
      </c>
      <c r="D24" s="55">
        <v>0.13673108098185369</v>
      </c>
      <c r="E24" s="55">
        <v>0.13772969357944151</v>
      </c>
      <c r="F24" s="55">
        <v>1.3579024643933191</v>
      </c>
      <c r="G24" s="55">
        <v>1.6151285260024231</v>
      </c>
      <c r="H24" s="55">
        <v>1.7047801410167751</v>
      </c>
      <c r="I24" s="55">
        <v>1.596946856804524</v>
      </c>
      <c r="J24" s="55">
        <v>1.647596016609741</v>
      </c>
      <c r="K24" s="55">
        <v>1.485174507463922</v>
      </c>
      <c r="L24" s="55">
        <v>1.581944442414424</v>
      </c>
      <c r="M24" s="55">
        <v>1.6574953772593719</v>
      </c>
      <c r="N24" s="55">
        <v>1.7100864075002511</v>
      </c>
      <c r="O24" s="55">
        <v>1.39283801346729</v>
      </c>
      <c r="P24" s="55">
        <v>4.0636048538023006</v>
      </c>
      <c r="Q24" s="55">
        <v>3.8456878660118008</v>
      </c>
      <c r="R24" s="55">
        <v>3.8181535896389551</v>
      </c>
      <c r="S24" s="55">
        <v>4.3552929148197324</v>
      </c>
      <c r="T24" s="55">
        <v>5.0642208737150547</v>
      </c>
      <c r="U24" s="55">
        <v>4.9873323179892344</v>
      </c>
      <c r="V24" s="55">
        <v>4.5828204014840992</v>
      </c>
      <c r="W24" s="55">
        <v>4.4332200905405319</v>
      </c>
      <c r="DA24" s="101" t="s">
        <v>1030</v>
      </c>
    </row>
    <row r="25" spans="1:105" x14ac:dyDescent="0.25">
      <c r="A25" s="257" t="s">
        <v>174</v>
      </c>
      <c r="B25" s="258">
        <v>6.9130042121980599</v>
      </c>
      <c r="C25" s="258">
        <v>6.1107585908220363</v>
      </c>
      <c r="D25" s="258">
        <v>6.374352452474902</v>
      </c>
      <c r="E25" s="258">
        <v>5.997097772590207</v>
      </c>
      <c r="F25" s="258">
        <v>5.6201302332343293</v>
      </c>
      <c r="G25" s="258">
        <v>5.3094654580733387</v>
      </c>
      <c r="H25" s="258">
        <v>5.496228143868672</v>
      </c>
      <c r="I25" s="258">
        <v>4.9901040053243371</v>
      </c>
      <c r="J25" s="258">
        <v>5.3208788443033566</v>
      </c>
      <c r="K25" s="258">
        <v>4.6254610437777854</v>
      </c>
      <c r="L25" s="258">
        <v>5.2605470833819137</v>
      </c>
      <c r="M25" s="258">
        <v>5.1563304873629816</v>
      </c>
      <c r="N25" s="258">
        <v>4.2014275132010717</v>
      </c>
      <c r="O25" s="258">
        <v>5.7866666627757661</v>
      </c>
      <c r="P25" s="258">
        <v>6.3522176583294474</v>
      </c>
      <c r="Q25" s="258">
        <v>6.4893823591711151</v>
      </c>
      <c r="R25" s="258">
        <v>7.1498551718087926</v>
      </c>
      <c r="S25" s="258">
        <v>6.8110116528632343</v>
      </c>
      <c r="T25" s="258">
        <v>7.383159959170249</v>
      </c>
      <c r="U25" s="258">
        <v>7.5495019235829046</v>
      </c>
      <c r="V25" s="258">
        <v>7.8534113284815383</v>
      </c>
      <c r="W25" s="258">
        <v>7.4935374864432811</v>
      </c>
      <c r="DA25" s="273" t="s">
        <v>1031</v>
      </c>
    </row>
    <row r="26" spans="1:105" x14ac:dyDescent="0.25">
      <c r="A26" s="257" t="s">
        <v>177</v>
      </c>
      <c r="B26" s="258">
        <v>6.7479231124888246</v>
      </c>
      <c r="C26" s="258">
        <v>6.7099655574126684</v>
      </c>
      <c r="D26" s="258">
        <v>7.2415144782881029</v>
      </c>
      <c r="E26" s="258">
        <v>7.157401945428175</v>
      </c>
      <c r="F26" s="258">
        <v>7.214946230808958</v>
      </c>
      <c r="G26" s="258">
        <v>6.4037852128749728</v>
      </c>
      <c r="H26" s="258">
        <v>6.2202472437860656</v>
      </c>
      <c r="I26" s="258">
        <v>6.2980988444182282</v>
      </c>
      <c r="J26" s="258">
        <v>6.3740594245146118</v>
      </c>
      <c r="K26" s="258">
        <v>5.3576463267495438</v>
      </c>
      <c r="L26" s="258">
        <v>5.314426683661055</v>
      </c>
      <c r="M26" s="258">
        <v>5.3360863046353408</v>
      </c>
      <c r="N26" s="258">
        <v>5.1571177663597991</v>
      </c>
      <c r="O26" s="258">
        <v>5.1305721537588473</v>
      </c>
      <c r="P26" s="258">
        <v>5.842099312894903</v>
      </c>
      <c r="Q26" s="258">
        <v>6.1355619366822411</v>
      </c>
      <c r="R26" s="258">
        <v>6.4661096634623467</v>
      </c>
      <c r="S26" s="258">
        <v>6.4198476170267584</v>
      </c>
      <c r="T26" s="258">
        <v>7.0158851465757834</v>
      </c>
      <c r="U26" s="258">
        <v>7.2224366718234769</v>
      </c>
      <c r="V26" s="258">
        <v>7.290758956121981</v>
      </c>
      <c r="W26" s="258">
        <v>6.9476185836388531</v>
      </c>
      <c r="DA26" s="273" t="s">
        <v>1032</v>
      </c>
    </row>
    <row r="27" spans="1:105" x14ac:dyDescent="0.25">
      <c r="A27" s="129" t="s">
        <v>33</v>
      </c>
      <c r="B27" s="259">
        <v>10.284271741716481</v>
      </c>
      <c r="C27" s="259">
        <v>10.226421970083511</v>
      </c>
      <c r="D27" s="259">
        <v>11.03653694252321</v>
      </c>
      <c r="E27" s="259">
        <v>10.908343996279561</v>
      </c>
      <c r="F27" s="259">
        <v>10.996045213109319</v>
      </c>
      <c r="G27" s="259">
        <v>9.7597833002726038</v>
      </c>
      <c r="H27" s="259">
        <v>9.4800595515624799</v>
      </c>
      <c r="I27" s="259">
        <v>9.5987104317046885</v>
      </c>
      <c r="J27" s="259">
        <v>9.7144792741095145</v>
      </c>
      <c r="K27" s="259">
        <v>8.1653999018342702</v>
      </c>
      <c r="L27" s="259">
        <v>8.0995303673578967</v>
      </c>
      <c r="M27" s="259">
        <v>8.1325410321519112</v>
      </c>
      <c r="N27" s="259">
        <v>7.8597813918653996</v>
      </c>
      <c r="O27" s="259">
        <v>7.8193241594714431</v>
      </c>
      <c r="P27" s="259">
        <v>8.9037376203515297</v>
      </c>
      <c r="Q27" s="259">
        <v>9.3509936602848267</v>
      </c>
      <c r="R27" s="259">
        <v>9.8547697983859983</v>
      </c>
      <c r="S27" s="259">
        <v>9.7842634442174141</v>
      </c>
      <c r="T27" s="259">
        <v>10.692663231820021</v>
      </c>
      <c r="U27" s="259">
        <v>11.00746113021069</v>
      </c>
      <c r="V27" s="259">
        <v>11.111588715250919</v>
      </c>
      <c r="W27" s="259">
        <v>10.5886205697427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1</v>
      </c>
      <c r="D31" s="236">
        <f t="shared" si="6"/>
        <v>0.99999999999999989</v>
      </c>
      <c r="E31" s="236">
        <f t="shared" si="6"/>
        <v>0.99999999999999989</v>
      </c>
      <c r="F31" s="236">
        <f t="shared" si="6"/>
        <v>1</v>
      </c>
      <c r="G31" s="236">
        <f t="shared" si="6"/>
        <v>1</v>
      </c>
      <c r="H31" s="236">
        <f t="shared" si="6"/>
        <v>0.99999999999999978</v>
      </c>
      <c r="I31" s="236">
        <f t="shared" si="6"/>
        <v>1</v>
      </c>
      <c r="J31" s="236">
        <f t="shared" si="6"/>
        <v>1</v>
      </c>
      <c r="K31" s="236">
        <f t="shared" si="6"/>
        <v>0.99999999999999978</v>
      </c>
      <c r="L31" s="236">
        <f t="shared" si="6"/>
        <v>1</v>
      </c>
      <c r="M31" s="236">
        <f t="shared" si="6"/>
        <v>0.99999999999999978</v>
      </c>
      <c r="N31" s="236">
        <f t="shared" si="6"/>
        <v>1</v>
      </c>
      <c r="O31" s="236">
        <f t="shared" si="6"/>
        <v>1.0000000000000002</v>
      </c>
      <c r="P31" s="236">
        <f t="shared" si="6"/>
        <v>1.0000000000000002</v>
      </c>
      <c r="Q31" s="236">
        <f t="shared" si="6"/>
        <v>1</v>
      </c>
      <c r="R31" s="236">
        <f t="shared" ref="R31:W31" si="7">SUM(R32:R40)</f>
        <v>1</v>
      </c>
      <c r="S31" s="236">
        <f t="shared" si="7"/>
        <v>0.99999999999999989</v>
      </c>
      <c r="T31" s="236">
        <f t="shared" si="7"/>
        <v>0.99999999999999967</v>
      </c>
      <c r="U31" s="236">
        <f t="shared" si="7"/>
        <v>0.99999999999999989</v>
      </c>
      <c r="V31" s="236">
        <f t="shared" si="7"/>
        <v>1</v>
      </c>
      <c r="W31" s="236">
        <f t="shared" si="7"/>
        <v>1.0000000000000002</v>
      </c>
      <c r="DA31" s="275"/>
    </row>
    <row r="32" spans="1:105" x14ac:dyDescent="0.25">
      <c r="A32" s="239" t="s">
        <v>125</v>
      </c>
      <c r="B32" s="245">
        <f t="shared" ref="B32:W32" si="8">IF(B$6=0,0,B$6/B$5)</f>
        <v>2.6002804446976478E-2</v>
      </c>
      <c r="C32" s="245">
        <f t="shared" si="8"/>
        <v>2.7072947588180216E-2</v>
      </c>
      <c r="D32" s="245">
        <f t="shared" si="8"/>
        <v>2.8231134974642014E-2</v>
      </c>
      <c r="E32" s="245">
        <f t="shared" si="8"/>
        <v>2.9507513839613114E-2</v>
      </c>
      <c r="F32" s="245">
        <f t="shared" si="8"/>
        <v>3.0734351506770952E-2</v>
      </c>
      <c r="G32" s="245">
        <f t="shared" si="8"/>
        <v>2.8641030307477451E-2</v>
      </c>
      <c r="H32" s="245">
        <f t="shared" si="8"/>
        <v>2.8503883994699233E-2</v>
      </c>
      <c r="I32" s="245">
        <f t="shared" si="8"/>
        <v>3.1708723707206302E-2</v>
      </c>
      <c r="J32" s="245">
        <f t="shared" si="8"/>
        <v>3.0426475912376651E-2</v>
      </c>
      <c r="K32" s="245">
        <f t="shared" si="8"/>
        <v>3.0619988896334032E-2</v>
      </c>
      <c r="L32" s="245">
        <f t="shared" si="8"/>
        <v>2.7857156830090508E-2</v>
      </c>
      <c r="M32" s="245">
        <f t="shared" si="8"/>
        <v>2.8207591437151125E-2</v>
      </c>
      <c r="N32" s="245">
        <f t="shared" si="8"/>
        <v>3.2562636635469634E-2</v>
      </c>
      <c r="O32" s="245">
        <f t="shared" si="8"/>
        <v>2.5455096719929526E-2</v>
      </c>
      <c r="P32" s="245">
        <f t="shared" si="8"/>
        <v>2.5281379049038398E-2</v>
      </c>
      <c r="Q32" s="245">
        <f t="shared" si="8"/>
        <v>2.6492825914031157E-2</v>
      </c>
      <c r="R32" s="245">
        <f t="shared" si="8"/>
        <v>2.5016113986166537E-2</v>
      </c>
      <c r="S32" s="245">
        <f t="shared" si="8"/>
        <v>2.6340208541549878E-2</v>
      </c>
      <c r="T32" s="245">
        <f t="shared" si="8"/>
        <v>2.7071595808069875E-2</v>
      </c>
      <c r="U32" s="245">
        <f t="shared" si="8"/>
        <v>2.6866258748698309E-2</v>
      </c>
      <c r="V32" s="245">
        <f t="shared" si="8"/>
        <v>2.6007871586638521E-2</v>
      </c>
      <c r="W32" s="245">
        <f t="shared" si="8"/>
        <v>2.6031245881084533E-2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1.6760319371817236E-2</v>
      </c>
      <c r="C33" s="246">
        <f t="shared" si="9"/>
        <v>1.7450088848671479E-2</v>
      </c>
      <c r="D33" s="246">
        <f t="shared" si="9"/>
        <v>1.8196607960834676E-2</v>
      </c>
      <c r="E33" s="246">
        <f t="shared" si="9"/>
        <v>1.9019308353016424E-2</v>
      </c>
      <c r="F33" s="246">
        <f t="shared" si="9"/>
        <v>1.9810076562686667E-2</v>
      </c>
      <c r="G33" s="246">
        <f t="shared" si="9"/>
        <v>1.8460809335780523E-2</v>
      </c>
      <c r="H33" s="246">
        <f t="shared" si="9"/>
        <v>1.8372410562966721E-2</v>
      </c>
      <c r="I33" s="246">
        <f t="shared" si="9"/>
        <v>2.0438116099714968E-2</v>
      </c>
      <c r="J33" s="246">
        <f t="shared" si="9"/>
        <v>1.9611632840996616E-2</v>
      </c>
      <c r="K33" s="246">
        <f t="shared" si="9"/>
        <v>1.9736363210766251E-2</v>
      </c>
      <c r="L33" s="246">
        <f t="shared" si="9"/>
        <v>1.7955557302104998E-2</v>
      </c>
      <c r="M33" s="246">
        <f t="shared" si="9"/>
        <v>1.8181432782007557E-2</v>
      </c>
      <c r="N33" s="246">
        <f t="shared" si="9"/>
        <v>2.0988512631850621E-2</v>
      </c>
      <c r="O33" s="246">
        <f t="shared" si="9"/>
        <v>1.6407289895845216E-2</v>
      </c>
      <c r="P33" s="246">
        <f t="shared" si="9"/>
        <v>1.6295318756324447E-2</v>
      </c>
      <c r="Q33" s="246">
        <f t="shared" si="9"/>
        <v>1.7076166699117264E-2</v>
      </c>
      <c r="R33" s="246">
        <f t="shared" si="9"/>
        <v>1.6124339999745194E-2</v>
      </c>
      <c r="S33" s="246">
        <f t="shared" si="9"/>
        <v>1.6977795928776334E-2</v>
      </c>
      <c r="T33" s="246">
        <f t="shared" si="9"/>
        <v>1.7449217547792543E-2</v>
      </c>
      <c r="U33" s="246">
        <f t="shared" si="9"/>
        <v>1.731686587392001E-2</v>
      </c>
      <c r="V33" s="246">
        <f t="shared" si="9"/>
        <v>1.6763585437952928E-2</v>
      </c>
      <c r="W33" s="246">
        <f t="shared" si="9"/>
        <v>1.6778651529797167E-2</v>
      </c>
      <c r="DA33" s="277"/>
    </row>
    <row r="34" spans="1:105" x14ac:dyDescent="0.25">
      <c r="A34" s="241" t="s">
        <v>123</v>
      </c>
      <c r="B34" s="246">
        <f t="shared" ref="B34:W34" si="10">IF(B$8=0,0,B$8/B$5)</f>
        <v>3.3306646881577411E-2</v>
      </c>
      <c r="C34" s="246">
        <f t="shared" si="10"/>
        <v>3.4677379018931899E-2</v>
      </c>
      <c r="D34" s="246">
        <f t="shared" si="10"/>
        <v>3.6160885860751238E-2</v>
      </c>
      <c r="E34" s="246">
        <f t="shared" si="10"/>
        <v>3.7795782597731607E-2</v>
      </c>
      <c r="F34" s="246">
        <f t="shared" si="10"/>
        <v>3.9367222672373102E-2</v>
      </c>
      <c r="G34" s="246">
        <f t="shared" si="10"/>
        <v>3.6685915348897251E-2</v>
      </c>
      <c r="H34" s="246">
        <f t="shared" si="10"/>
        <v>3.6510246458253966E-2</v>
      </c>
      <c r="I34" s="246">
        <f t="shared" si="10"/>
        <v>4.061528308359922E-2</v>
      </c>
      <c r="J34" s="246">
        <f t="shared" si="10"/>
        <v>3.8972868912306315E-2</v>
      </c>
      <c r="K34" s="246">
        <f t="shared" si="10"/>
        <v>3.9220737123476054E-2</v>
      </c>
      <c r="L34" s="246">
        <f t="shared" si="10"/>
        <v>3.5681862222073951E-2</v>
      </c>
      <c r="M34" s="246">
        <f t="shared" si="10"/>
        <v>3.6130729256253019E-2</v>
      </c>
      <c r="N34" s="246">
        <f t="shared" si="10"/>
        <v>4.1709048812879526E-2</v>
      </c>
      <c r="O34" s="246">
        <f t="shared" si="10"/>
        <v>3.2605095327926222E-2</v>
      </c>
      <c r="P34" s="246">
        <f t="shared" si="10"/>
        <v>3.2382582670368101E-2</v>
      </c>
      <c r="Q34" s="246">
        <f t="shared" si="10"/>
        <v>3.3934308870916433E-2</v>
      </c>
      <c r="R34" s="246">
        <f t="shared" si="10"/>
        <v>3.2042808174232176E-2</v>
      </c>
      <c r="S34" s="246">
        <f t="shared" si="10"/>
        <v>3.3738823305365477E-2</v>
      </c>
      <c r="T34" s="246">
        <f t="shared" si="10"/>
        <v>3.4675647541741121E-2</v>
      </c>
      <c r="U34" s="246">
        <f t="shared" si="10"/>
        <v>3.441263402940492E-2</v>
      </c>
      <c r="V34" s="246">
        <f t="shared" si="10"/>
        <v>3.331313731347553E-2</v>
      </c>
      <c r="W34" s="246">
        <f t="shared" si="10"/>
        <v>3.3343077136805226E-2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0.34359206675243426</v>
      </c>
      <c r="C35" s="247">
        <f t="shared" si="11"/>
        <v>0.35020383851577319</v>
      </c>
      <c r="D35" s="247">
        <f t="shared" si="11"/>
        <v>0.34794926300116807</v>
      </c>
      <c r="E35" s="247">
        <f t="shared" si="11"/>
        <v>0.34636168844529325</v>
      </c>
      <c r="F35" s="247">
        <f t="shared" si="11"/>
        <v>0.35270998594833153</v>
      </c>
      <c r="G35" s="247">
        <f t="shared" si="11"/>
        <v>0.3585041127052972</v>
      </c>
      <c r="H35" s="247">
        <f t="shared" si="11"/>
        <v>0.35330710669787485</v>
      </c>
      <c r="I35" s="247">
        <f t="shared" si="11"/>
        <v>0.34709865029923237</v>
      </c>
      <c r="J35" s="247">
        <f t="shared" si="11"/>
        <v>0.34827755628581586</v>
      </c>
      <c r="K35" s="247">
        <f t="shared" si="11"/>
        <v>0.34551733683448016</v>
      </c>
      <c r="L35" s="247">
        <f t="shared" si="11"/>
        <v>0.34362863288068307</v>
      </c>
      <c r="M35" s="247">
        <f t="shared" si="11"/>
        <v>0.3439144093738814</v>
      </c>
      <c r="N35" s="247">
        <f t="shared" si="11"/>
        <v>0.34258611792858484</v>
      </c>
      <c r="O35" s="247">
        <f t="shared" si="11"/>
        <v>0.33806782933157159</v>
      </c>
      <c r="P35" s="247">
        <f t="shared" si="11"/>
        <v>0.35115464397176716</v>
      </c>
      <c r="Q35" s="247">
        <f t="shared" si="11"/>
        <v>0.34614857735797627</v>
      </c>
      <c r="R35" s="247">
        <f t="shared" si="11"/>
        <v>0.34984290496698811</v>
      </c>
      <c r="S35" s="247">
        <f t="shared" si="11"/>
        <v>0.34806694964316931</v>
      </c>
      <c r="T35" s="247">
        <f t="shared" si="11"/>
        <v>0.34552917908647779</v>
      </c>
      <c r="U35" s="247">
        <f t="shared" si="11"/>
        <v>0.34689102924586113</v>
      </c>
      <c r="V35" s="247">
        <f t="shared" si="11"/>
        <v>0.34774369220331197</v>
      </c>
      <c r="W35" s="247">
        <f t="shared" si="11"/>
        <v>0.34854117990759104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0.19638502356573009</v>
      </c>
      <c r="C36" s="260">
        <f t="shared" si="12"/>
        <v>0.18176148314439147</v>
      </c>
      <c r="D36" s="260">
        <f t="shared" si="12"/>
        <v>0.18320042940276732</v>
      </c>
      <c r="E36" s="260">
        <f t="shared" si="12"/>
        <v>0.18226774521171421</v>
      </c>
      <c r="F36" s="260">
        <f t="shared" si="12"/>
        <v>0.17649353990361599</v>
      </c>
      <c r="G36" s="260">
        <f t="shared" si="12"/>
        <v>0.17506291627937057</v>
      </c>
      <c r="H36" s="260">
        <f t="shared" si="12"/>
        <v>0.18567465484224066</v>
      </c>
      <c r="I36" s="260">
        <f t="shared" si="12"/>
        <v>0.18521253081863703</v>
      </c>
      <c r="J36" s="260">
        <f t="shared" si="12"/>
        <v>0.18724507149225461</v>
      </c>
      <c r="K36" s="260">
        <f t="shared" si="12"/>
        <v>0.19488458765525971</v>
      </c>
      <c r="L36" s="260">
        <f t="shared" si="12"/>
        <v>0.20328379532153157</v>
      </c>
      <c r="M36" s="260">
        <f t="shared" si="12"/>
        <v>0.2009441576209676</v>
      </c>
      <c r="N36" s="260">
        <f t="shared" si="12"/>
        <v>0.19556938425691892</v>
      </c>
      <c r="O36" s="260">
        <f t="shared" si="12"/>
        <v>0.21165517764303421</v>
      </c>
      <c r="P36" s="260">
        <f t="shared" si="12"/>
        <v>0.20265096430633878</v>
      </c>
      <c r="Q36" s="260">
        <f t="shared" si="12"/>
        <v>0.20657073000988366</v>
      </c>
      <c r="R36" s="260">
        <f t="shared" si="12"/>
        <v>0.2039226683453452</v>
      </c>
      <c r="S36" s="260">
        <f t="shared" si="12"/>
        <v>0.2060144067241976</v>
      </c>
      <c r="T36" s="260">
        <f t="shared" si="12"/>
        <v>0.21002217092554415</v>
      </c>
      <c r="U36" s="260">
        <f t="shared" si="12"/>
        <v>0.20702997512817531</v>
      </c>
      <c r="V36" s="260">
        <f t="shared" si="12"/>
        <v>0.20652940599764424</v>
      </c>
      <c r="W36" s="260">
        <f t="shared" si="12"/>
        <v>0.20698427364731442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0.29245394682902892</v>
      </c>
      <c r="C37" s="260">
        <f t="shared" si="13"/>
        <v>0.29662359869604948</v>
      </c>
      <c r="D37" s="260">
        <f t="shared" si="13"/>
        <v>0.29095859525089562</v>
      </c>
      <c r="E37" s="260">
        <f t="shared" si="13"/>
        <v>0.28667564327244494</v>
      </c>
      <c r="F37" s="260">
        <f t="shared" si="13"/>
        <v>0.28021850573805235</v>
      </c>
      <c r="G37" s="260">
        <f t="shared" si="13"/>
        <v>0.28741077556792499</v>
      </c>
      <c r="H37" s="260">
        <f t="shared" si="13"/>
        <v>0.28131313122901735</v>
      </c>
      <c r="I37" s="260">
        <f t="shared" si="13"/>
        <v>0.27064879119322338</v>
      </c>
      <c r="J37" s="260">
        <f t="shared" si="13"/>
        <v>0.27412447141536489</v>
      </c>
      <c r="K37" s="260">
        <f t="shared" si="13"/>
        <v>0.26716711540610766</v>
      </c>
      <c r="L37" s="260">
        <f t="shared" si="13"/>
        <v>0.27452452386521931</v>
      </c>
      <c r="M37" s="260">
        <f t="shared" si="13"/>
        <v>0.27499080020521544</v>
      </c>
      <c r="N37" s="260">
        <f t="shared" si="13"/>
        <v>0.25877599904715648</v>
      </c>
      <c r="O37" s="260">
        <f t="shared" si="13"/>
        <v>0.28362719355269833</v>
      </c>
      <c r="P37" s="260">
        <f t="shared" si="13"/>
        <v>0.28169876166079144</v>
      </c>
      <c r="Q37" s="260">
        <f t="shared" si="13"/>
        <v>0.27568162020054748</v>
      </c>
      <c r="R37" s="260">
        <f t="shared" si="13"/>
        <v>0.28300769766750633</v>
      </c>
      <c r="S37" s="260">
        <f t="shared" si="13"/>
        <v>0.27522286748556662</v>
      </c>
      <c r="T37" s="260">
        <f t="shared" si="13"/>
        <v>0.26924353964573294</v>
      </c>
      <c r="U37" s="260">
        <f t="shared" si="13"/>
        <v>0.27239101519483427</v>
      </c>
      <c r="V37" s="260">
        <f t="shared" si="13"/>
        <v>0.27676590325980555</v>
      </c>
      <c r="W37" s="260">
        <f t="shared" si="13"/>
        <v>0.27532547877515573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2.6415913227883496E-2</v>
      </c>
      <c r="C38" s="260">
        <f t="shared" si="14"/>
        <v>2.4448888615514142E-2</v>
      </c>
      <c r="D38" s="260">
        <f t="shared" si="14"/>
        <v>2.4642442476244881E-2</v>
      </c>
      <c r="E38" s="260">
        <f t="shared" si="14"/>
        <v>2.4516986348213643E-2</v>
      </c>
      <c r="F38" s="260">
        <f t="shared" si="14"/>
        <v>2.3740293178799662E-2</v>
      </c>
      <c r="G38" s="260">
        <f t="shared" si="14"/>
        <v>2.3547858802523622E-2</v>
      </c>
      <c r="H38" s="260">
        <f t="shared" si="14"/>
        <v>2.497525260264169E-2</v>
      </c>
      <c r="I38" s="260">
        <f t="shared" si="14"/>
        <v>2.4913091914996643E-2</v>
      </c>
      <c r="J38" s="260">
        <f t="shared" si="14"/>
        <v>2.518649065534638E-2</v>
      </c>
      <c r="K38" s="260">
        <f t="shared" si="14"/>
        <v>2.6214088342791275E-2</v>
      </c>
      <c r="L38" s="260">
        <f t="shared" si="14"/>
        <v>2.7343872767625232E-2</v>
      </c>
      <c r="M38" s="260">
        <f t="shared" si="14"/>
        <v>2.7029166150182499E-2</v>
      </c>
      <c r="N38" s="260">
        <f t="shared" si="14"/>
        <v>2.6306200904532145E-2</v>
      </c>
      <c r="O38" s="260">
        <f t="shared" si="14"/>
        <v>2.8469914382138882E-2</v>
      </c>
      <c r="P38" s="260">
        <f t="shared" si="14"/>
        <v>2.7258750140238885E-2</v>
      </c>
      <c r="Q38" s="260">
        <f t="shared" si="14"/>
        <v>2.7786001092569363E-2</v>
      </c>
      <c r="R38" s="260">
        <f t="shared" si="14"/>
        <v>2.7429808110627844E-2</v>
      </c>
      <c r="S38" s="260">
        <f t="shared" si="14"/>
        <v>2.7711169583656395E-2</v>
      </c>
      <c r="T38" s="260">
        <f t="shared" si="14"/>
        <v>2.82502572872824E-2</v>
      </c>
      <c r="U38" s="260">
        <f t="shared" si="14"/>
        <v>2.7847774536261014E-2</v>
      </c>
      <c r="V38" s="260">
        <f t="shared" si="14"/>
        <v>2.7780442565235021E-2</v>
      </c>
      <c r="W38" s="260">
        <f t="shared" si="14"/>
        <v>2.7841627191973303E-2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2.5785106725872673E-2</v>
      </c>
      <c r="C39" s="260">
        <f t="shared" si="15"/>
        <v>2.6846290536417666E-2</v>
      </c>
      <c r="D39" s="260">
        <f t="shared" si="15"/>
        <v>2.7994781478207203E-2</v>
      </c>
      <c r="E39" s="260">
        <f t="shared" si="15"/>
        <v>2.9260474389256066E-2</v>
      </c>
      <c r="F39" s="260">
        <f t="shared" si="15"/>
        <v>3.0477040865671802E-2</v>
      </c>
      <c r="G39" s="260">
        <f t="shared" si="15"/>
        <v>2.8401245131970048E-2</v>
      </c>
      <c r="H39" s="260">
        <f t="shared" si="15"/>
        <v>2.8265247019948803E-2</v>
      </c>
      <c r="I39" s="260">
        <f t="shared" si="15"/>
        <v>3.1443255538023046E-2</v>
      </c>
      <c r="J39" s="260">
        <f t="shared" si="15"/>
        <v>3.0171742832302496E-2</v>
      </c>
      <c r="K39" s="260">
        <f t="shared" si="15"/>
        <v>3.0363635708871177E-2</v>
      </c>
      <c r="L39" s="260">
        <f t="shared" si="15"/>
        <v>2.7623934310930763E-2</v>
      </c>
      <c r="M39" s="260">
        <f t="shared" si="15"/>
        <v>2.7971435049242384E-2</v>
      </c>
      <c r="N39" s="260">
        <f t="shared" si="15"/>
        <v>3.2290019433616333E-2</v>
      </c>
      <c r="O39" s="260">
        <f t="shared" si="15"/>
        <v>2.5241984455146482E-2</v>
      </c>
      <c r="P39" s="260">
        <f t="shared" si="15"/>
        <v>2.5069721163576079E-2</v>
      </c>
      <c r="Q39" s="260">
        <f t="shared" si="15"/>
        <v>2.6271025690949641E-2</v>
      </c>
      <c r="R39" s="260">
        <f t="shared" si="15"/>
        <v>2.4806676922684914E-2</v>
      </c>
      <c r="S39" s="260">
        <f t="shared" si="15"/>
        <v>2.6119686044271281E-2</v>
      </c>
      <c r="T39" s="260">
        <f t="shared" si="15"/>
        <v>2.6844950073526986E-2</v>
      </c>
      <c r="U39" s="260">
        <f t="shared" si="15"/>
        <v>2.6641332113723101E-2</v>
      </c>
      <c r="V39" s="260">
        <f t="shared" si="15"/>
        <v>2.5790131443004509E-2</v>
      </c>
      <c r="W39" s="260">
        <f t="shared" si="15"/>
        <v>2.5813310045841812E-2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3.9298172198679607E-2</v>
      </c>
      <c r="C40" s="262">
        <f t="shared" si="16"/>
        <v>4.0915485036070523E-2</v>
      </c>
      <c r="D40" s="262">
        <f t="shared" si="16"/>
        <v>4.2665859594488841E-2</v>
      </c>
      <c r="E40" s="262">
        <f t="shared" si="16"/>
        <v>4.4594857542716755E-2</v>
      </c>
      <c r="F40" s="262">
        <f t="shared" si="16"/>
        <v>4.6448983623698085E-2</v>
      </c>
      <c r="G40" s="262">
        <f t="shared" si="16"/>
        <v>4.328533652075843E-2</v>
      </c>
      <c r="H40" s="262">
        <f t="shared" si="16"/>
        <v>4.3078066592356579E-2</v>
      </c>
      <c r="I40" s="262">
        <f t="shared" si="16"/>
        <v>4.7921557345367044E-2</v>
      </c>
      <c r="J40" s="262">
        <f t="shared" si="16"/>
        <v>4.5983689653236147E-2</v>
      </c>
      <c r="K40" s="262">
        <f t="shared" si="16"/>
        <v>4.6276146821913652E-2</v>
      </c>
      <c r="L40" s="262">
        <f t="shared" si="16"/>
        <v>4.2100664499740655E-2</v>
      </c>
      <c r="M40" s="262">
        <f t="shared" si="16"/>
        <v>4.2630278125098904E-2</v>
      </c>
      <c r="N40" s="262">
        <f t="shared" si="16"/>
        <v>4.9212080348991459E-2</v>
      </c>
      <c r="O40" s="262">
        <f t="shared" si="16"/>
        <v>3.8470418691709668E-2</v>
      </c>
      <c r="P40" s="262">
        <f t="shared" si="16"/>
        <v>3.8207878281556834E-2</v>
      </c>
      <c r="Q40" s="262">
        <f t="shared" si="16"/>
        <v>4.0038744164008683E-2</v>
      </c>
      <c r="R40" s="262">
        <f t="shared" si="16"/>
        <v>3.7806981826703716E-2</v>
      </c>
      <c r="S40" s="262">
        <f t="shared" si="16"/>
        <v>3.9808092743447127E-2</v>
      </c>
      <c r="T40" s="262">
        <f t="shared" si="16"/>
        <v>4.0913442083832095E-2</v>
      </c>
      <c r="U40" s="262">
        <f t="shared" si="16"/>
        <v>4.0603115129121924E-2</v>
      </c>
      <c r="V40" s="262">
        <f t="shared" si="16"/>
        <v>3.9305830192931733E-2</v>
      </c>
      <c r="W40" s="262">
        <f t="shared" si="16"/>
        <v>3.9341155884436853E-2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0.38980917760499956</v>
      </c>
      <c r="C44" s="238">
        <f>IF(C$5=0,0,C$5/AGR_fec!C$5)</f>
        <v>0.39421590537129031</v>
      </c>
      <c r="D44" s="238">
        <f>IF(D$5=0,0,D$5/AGR_fec!D$5)</f>
        <v>0.39565416723570423</v>
      </c>
      <c r="E44" s="238">
        <f>IF(E$5=0,0,E$5/AGR_fec!E$5)</f>
        <v>0.39698340191506098</v>
      </c>
      <c r="F44" s="238">
        <f>IF(F$5=0,0,F$5/AGR_fec!F$5)</f>
        <v>0.40354161149404727</v>
      </c>
      <c r="G44" s="238">
        <f>IF(G$5=0,0,G$5/AGR_fec!G$5)</f>
        <v>0.40226116170395632</v>
      </c>
      <c r="H44" s="238">
        <f>IF(H$5=0,0,H$5/AGR_fec!H$5)</f>
        <v>0.39984602990800783</v>
      </c>
      <c r="I44" s="238">
        <f>IF(I$5=0,0,I$5/AGR_fec!I$5)</f>
        <v>0.40191741709715312</v>
      </c>
      <c r="J44" s="238">
        <f>IF(J$5=0,0,J$5/AGR_fec!J$5)</f>
        <v>0.40105562219845181</v>
      </c>
      <c r="K44" s="238">
        <f>IF(K$5=0,0,K$5/AGR_fec!K$5)</f>
        <v>0.39930481661735373</v>
      </c>
      <c r="L44" s="238">
        <f>IF(L$5=0,0,L$5/AGR_fec!L$5)</f>
        <v>0.39417639880016292</v>
      </c>
      <c r="M44" s="238">
        <f>IF(M$5=0,0,M$5/AGR_fec!M$5)</f>
        <v>0.39477823074900914</v>
      </c>
      <c r="N44" s="238">
        <f>IF(N$5=0,0,N$5/AGR_fec!N$5)</f>
        <v>0.40010401190253081</v>
      </c>
      <c r="O44" s="238">
        <f>IF(O$5=0,0,O$5/AGR_fec!O$5)</f>
        <v>0.38871570716635501</v>
      </c>
      <c r="P44" s="238">
        <f>IF(P$5=0,0,P$5/AGR_fec!P$5)</f>
        <v>0.3915510403917693</v>
      </c>
      <c r="Q44" s="238">
        <f>IF(Q$5=0,0,Q$5/AGR_fec!Q$5)</f>
        <v>0.39108859397965778</v>
      </c>
      <c r="R44" s="238">
        <f>IF(R$5=0,0,R$5/AGR_fec!R$5)</f>
        <v>0.39082475678721446</v>
      </c>
      <c r="S44" s="238">
        <f>IF(S$5=0,0,S$5/AGR_fec!S$5)</f>
        <v>0.3910514482071677</v>
      </c>
      <c r="T44" s="238">
        <f>IF(T$5=0,0,T$5/AGR_fec!T$5)</f>
        <v>0.39034813607135749</v>
      </c>
      <c r="U44" s="238">
        <f>IF(U$5=0,0,U$5/AGR_fec!U$5)</f>
        <v>0.39116270965840622</v>
      </c>
      <c r="V44" s="238">
        <f>IF(V$5=0,0,V$5/AGR_fec!V$5)</f>
        <v>0.39119306904558981</v>
      </c>
      <c r="W44" s="238">
        <f>IF(W$5=0,0,W$5/AGR_fec!W$5)</f>
        <v>0.39134569275300657</v>
      </c>
      <c r="DA44" s="287"/>
    </row>
    <row r="45" spans="1:105" x14ac:dyDescent="0.25">
      <c r="A45" s="239" t="s">
        <v>125</v>
      </c>
      <c r="B45" s="251">
        <f>IF(B$6=0,0,B$6/AGR_fec!B$6)</f>
        <v>0.46861880353245444</v>
      </c>
      <c r="C45" s="251">
        <f>IF(C$6=0,0,C$6/AGR_fec!C$6)</f>
        <v>0.46861880353245439</v>
      </c>
      <c r="D45" s="251">
        <f>IF(D$6=0,0,D$6/AGR_fec!D$6)</f>
        <v>0.46861880353245439</v>
      </c>
      <c r="E45" s="251">
        <f>IF(E$6=0,0,E$6/AGR_fec!E$6)</f>
        <v>0.46861880353245444</v>
      </c>
      <c r="F45" s="251">
        <f>IF(F$6=0,0,F$6/AGR_fec!F$6)</f>
        <v>0.4686188035324545</v>
      </c>
      <c r="G45" s="251">
        <f>IF(G$6=0,0,G$6/AGR_fec!G$6)</f>
        <v>0.46861880353245428</v>
      </c>
      <c r="H45" s="251">
        <f>IF(H$6=0,0,H$6/AGR_fec!H$6)</f>
        <v>0.46861880353245455</v>
      </c>
      <c r="I45" s="251">
        <f>IF(I$6=0,0,I$6/AGR_fec!I$6)</f>
        <v>0.46861880353245439</v>
      </c>
      <c r="J45" s="251">
        <f>IF(J$6=0,0,J$6/AGR_fec!J$6)</f>
        <v>0.4686188035324545</v>
      </c>
      <c r="K45" s="251">
        <f>IF(K$6=0,0,K$6/AGR_fec!K$6)</f>
        <v>0.46861880353245433</v>
      </c>
      <c r="L45" s="251">
        <f>IF(L$6=0,0,L$6/AGR_fec!L$6)</f>
        <v>0.46861880353245422</v>
      </c>
      <c r="M45" s="251">
        <f>IF(M$6=0,0,M$6/AGR_fec!M$6)</f>
        <v>0.46861880353245444</v>
      </c>
      <c r="N45" s="251">
        <f>IF(N$6=0,0,N$6/AGR_fec!N$6)</f>
        <v>0.46861880353245422</v>
      </c>
      <c r="O45" s="251">
        <f>IF(O$6=0,0,O$6/AGR_fec!O$6)</f>
        <v>0.46861880353245439</v>
      </c>
      <c r="P45" s="251">
        <f>IF(P$6=0,0,P$6/AGR_fec!P$6)</f>
        <v>0.46861880353245439</v>
      </c>
      <c r="Q45" s="251">
        <f>IF(Q$6=0,0,Q$6/AGR_fec!Q$6)</f>
        <v>0.46861880353245416</v>
      </c>
      <c r="R45" s="251">
        <f>IF(R$6=0,0,R$6/AGR_fec!R$6)</f>
        <v>0.46861880353245439</v>
      </c>
      <c r="S45" s="251">
        <f>IF(S$6=0,0,S$6/AGR_fec!S$6)</f>
        <v>0.46861880353245422</v>
      </c>
      <c r="T45" s="251">
        <f>IF(T$6=0,0,T$6/AGR_fec!T$6)</f>
        <v>0.46861880353245428</v>
      </c>
      <c r="U45" s="251">
        <f>IF(U$6=0,0,U$6/AGR_fec!U$6)</f>
        <v>0.46861880353245428</v>
      </c>
      <c r="V45" s="251">
        <f>IF(V$6=0,0,V$6/AGR_fec!V$6)</f>
        <v>0.4686188035324545</v>
      </c>
      <c r="W45" s="251">
        <f>IF(W$6=0,0,W$6/AGR_fec!W$6)</f>
        <v>0.46861880353245428</v>
      </c>
      <c r="DA45" s="288"/>
    </row>
    <row r="46" spans="1:105" x14ac:dyDescent="0.25">
      <c r="A46" s="241" t="s">
        <v>124</v>
      </c>
      <c r="B46" s="252">
        <f>IF(B$7=0,0,B$7/AGR_fec!B$7)</f>
        <v>0.464695486499346</v>
      </c>
      <c r="C46" s="252">
        <f>IF(C$7=0,0,C$7/AGR_fec!C$7)</f>
        <v>0.46469548649934589</v>
      </c>
      <c r="D46" s="252">
        <f>IF(D$7=0,0,D$7/AGR_fec!D$7)</f>
        <v>0.46469548649934606</v>
      </c>
      <c r="E46" s="252">
        <f>IF(E$7=0,0,E$7/AGR_fec!E$7)</f>
        <v>0.46469548649934572</v>
      </c>
      <c r="F46" s="252">
        <f>IF(F$7=0,0,F$7/AGR_fec!F$7)</f>
        <v>0.46469548649934589</v>
      </c>
      <c r="G46" s="252">
        <f>IF(G$7=0,0,G$7/AGR_fec!G$7)</f>
        <v>0.46469548649934589</v>
      </c>
      <c r="H46" s="252">
        <f>IF(H$7=0,0,H$7/AGR_fec!H$7)</f>
        <v>0.46469548649934589</v>
      </c>
      <c r="I46" s="252">
        <f>IF(I$7=0,0,I$7/AGR_fec!I$7)</f>
        <v>0.464695486499346</v>
      </c>
      <c r="J46" s="252">
        <f>IF(J$7=0,0,J$7/AGR_fec!J$7)</f>
        <v>0.46469548649934606</v>
      </c>
      <c r="K46" s="252">
        <f>IF(K$7=0,0,K$7/AGR_fec!K$7)</f>
        <v>0.46469548649934606</v>
      </c>
      <c r="L46" s="252">
        <f>IF(L$7=0,0,L$7/AGR_fec!L$7)</f>
        <v>0.46469548649934606</v>
      </c>
      <c r="M46" s="252">
        <f>IF(M$7=0,0,M$7/AGR_fec!M$7)</f>
        <v>0.464695486499346</v>
      </c>
      <c r="N46" s="252">
        <f>IF(N$7=0,0,N$7/AGR_fec!N$7)</f>
        <v>0.46469548649934606</v>
      </c>
      <c r="O46" s="252">
        <f>IF(O$7=0,0,O$7/AGR_fec!O$7)</f>
        <v>0.46469548649934606</v>
      </c>
      <c r="P46" s="252">
        <f>IF(P$7=0,0,P$7/AGR_fec!P$7)</f>
        <v>0.464695486499346</v>
      </c>
      <c r="Q46" s="252">
        <f>IF(Q$7=0,0,Q$7/AGR_fec!Q$7)</f>
        <v>0.464695486499346</v>
      </c>
      <c r="R46" s="252">
        <f>IF(R$7=0,0,R$7/AGR_fec!R$7)</f>
        <v>0.464695486499346</v>
      </c>
      <c r="S46" s="252">
        <f>IF(S$7=0,0,S$7/AGR_fec!S$7)</f>
        <v>0.464695486499346</v>
      </c>
      <c r="T46" s="252">
        <f>IF(T$7=0,0,T$7/AGR_fec!T$7)</f>
        <v>0.464695486499346</v>
      </c>
      <c r="U46" s="252">
        <f>IF(U$7=0,0,U$7/AGR_fec!U$7)</f>
        <v>0.46469548649934622</v>
      </c>
      <c r="V46" s="252">
        <f>IF(V$7=0,0,V$7/AGR_fec!V$7)</f>
        <v>0.46469548649934611</v>
      </c>
      <c r="W46" s="252">
        <f>IF(W$7=0,0,W$7/AGR_fec!W$7)</f>
        <v>0.46469548649934589</v>
      </c>
      <c r="DA46" s="289"/>
    </row>
    <row r="47" spans="1:105" x14ac:dyDescent="0.25">
      <c r="A47" s="241" t="s">
        <v>123</v>
      </c>
      <c r="B47" s="252">
        <f>IF(B$8=0,0,B$8/AGR_fec!B$8)</f>
        <v>0.66694177986113401</v>
      </c>
      <c r="C47" s="252">
        <f>IF(C$8=0,0,C$8/AGR_fec!C$8)</f>
        <v>0.66694177986113412</v>
      </c>
      <c r="D47" s="252">
        <f>IF(D$8=0,0,D$8/AGR_fec!D$8)</f>
        <v>0.66694177986113401</v>
      </c>
      <c r="E47" s="252">
        <f>IF(E$8=0,0,E$8/AGR_fec!E$8)</f>
        <v>0.66694177986113401</v>
      </c>
      <c r="F47" s="252">
        <f>IF(F$8=0,0,F$8/AGR_fec!F$8)</f>
        <v>0.66694177986113401</v>
      </c>
      <c r="G47" s="252">
        <f>IF(G$8=0,0,G$8/AGR_fec!G$8)</f>
        <v>0.66694177986113445</v>
      </c>
      <c r="H47" s="252">
        <f>IF(H$8=0,0,H$8/AGR_fec!H$8)</f>
        <v>0.66694177986113401</v>
      </c>
      <c r="I47" s="252">
        <f>IF(I$8=0,0,I$8/AGR_fec!I$8)</f>
        <v>0.66694177986113412</v>
      </c>
      <c r="J47" s="252">
        <f>IF(J$8=0,0,J$8/AGR_fec!J$8)</f>
        <v>0.66694177986113401</v>
      </c>
      <c r="K47" s="252">
        <f>IF(K$8=0,0,K$8/AGR_fec!K$8)</f>
        <v>0.6669417798611339</v>
      </c>
      <c r="L47" s="252">
        <f>IF(L$8=0,0,L$8/AGR_fec!L$8)</f>
        <v>0.66694177986113434</v>
      </c>
      <c r="M47" s="252">
        <f>IF(M$8=0,0,M$8/AGR_fec!M$8)</f>
        <v>0.66694177986113445</v>
      </c>
      <c r="N47" s="252">
        <f>IF(N$8=0,0,N$8/AGR_fec!N$8)</f>
        <v>0.66694177986113412</v>
      </c>
      <c r="O47" s="252">
        <f>IF(O$8=0,0,O$8/AGR_fec!O$8)</f>
        <v>0.66694177986113423</v>
      </c>
      <c r="P47" s="252">
        <f>IF(P$8=0,0,P$8/AGR_fec!P$8)</f>
        <v>0.66694177986113401</v>
      </c>
      <c r="Q47" s="252">
        <f>IF(Q$8=0,0,Q$8/AGR_fec!Q$8)</f>
        <v>0.66694177986113412</v>
      </c>
      <c r="R47" s="252">
        <f>IF(R$8=0,0,R$8/AGR_fec!R$8)</f>
        <v>0.66694177986113434</v>
      </c>
      <c r="S47" s="252">
        <f>IF(S$8=0,0,S$8/AGR_fec!S$8)</f>
        <v>0.66694177986113401</v>
      </c>
      <c r="T47" s="252">
        <f>IF(T$8=0,0,T$8/AGR_fec!T$8)</f>
        <v>0.66694177986113445</v>
      </c>
      <c r="U47" s="252">
        <f>IF(U$8=0,0,U$8/AGR_fec!U$8)</f>
        <v>0.66694177986113434</v>
      </c>
      <c r="V47" s="252">
        <f>IF(V$8=0,0,V$8/AGR_fec!V$8)</f>
        <v>0.66694177986113412</v>
      </c>
      <c r="W47" s="252">
        <f>IF(W$8=0,0,W$8/AGR_fec!W$8)</f>
        <v>0.66694177986113423</v>
      </c>
      <c r="DA47" s="289"/>
    </row>
    <row r="48" spans="1:105" x14ac:dyDescent="0.25">
      <c r="A48" s="243" t="s">
        <v>122</v>
      </c>
      <c r="B48" s="253">
        <f>IF(B$9=0,0,B$9/AGR_fec!B$9)</f>
        <v>0.65350222124045443</v>
      </c>
      <c r="C48" s="253">
        <f>IF(C$9=0,0,C$9/AGR_fec!C$9)</f>
        <v>0.66192186524320329</v>
      </c>
      <c r="D48" s="253">
        <f>IF(D$9=0,0,D$9/AGR_fec!D$9)</f>
        <v>0.66299240719445496</v>
      </c>
      <c r="E48" s="253">
        <f>IF(E$9=0,0,E$9/AGR_fec!E$9)</f>
        <v>0.66558263685910746</v>
      </c>
      <c r="F48" s="253">
        <f>IF(F$9=0,0,F$9/AGR_fec!F$9)</f>
        <v>0.67275045515646159</v>
      </c>
      <c r="G48" s="253">
        <f>IF(G$9=0,0,G$9/AGR_fec!G$9)</f>
        <v>0.67026255885698538</v>
      </c>
      <c r="H48" s="253">
        <f>IF(H$9=0,0,H$9/AGR_fec!H$9)</f>
        <v>0.6662573913062918</v>
      </c>
      <c r="I48" s="253">
        <f>IF(I$9=0,0,I$9/AGR_fec!I$9)</f>
        <v>0.67221187191581955</v>
      </c>
      <c r="J48" s="253">
        <f>IF(J$9=0,0,J$9/AGR_fec!J$9)</f>
        <v>0.66854962999143885</v>
      </c>
      <c r="K48" s="253">
        <f>IF(K$9=0,0,K$9/AGR_fec!K$9)</f>
        <v>0.66513245898130446</v>
      </c>
      <c r="L48" s="253">
        <f>IF(L$9=0,0,L$9/AGR_fec!L$9)</f>
        <v>0.65627525717754942</v>
      </c>
      <c r="M48" s="253">
        <f>IF(M$9=0,0,M$9/AGR_fec!M$9)</f>
        <v>0.65835594972031408</v>
      </c>
      <c r="N48" s="253">
        <f>IF(N$9=0,0,N$9/AGR_fec!N$9)</f>
        <v>0.66948476835729098</v>
      </c>
      <c r="O48" s="253">
        <f>IF(O$9=0,0,O$9/AGR_fec!O$9)</f>
        <v>0.64685231994779957</v>
      </c>
      <c r="P48" s="253">
        <f>IF(P$9=0,0,P$9/AGR_fec!P$9)</f>
        <v>0.65973985578829053</v>
      </c>
      <c r="Q48" s="253">
        <f>IF(Q$9=0,0,Q$9/AGR_fec!Q$9)</f>
        <v>0.65756052328322645</v>
      </c>
      <c r="R48" s="253">
        <f>IF(R$9=0,0,R$9/AGR_fec!R$9)</f>
        <v>0.65718627212518166</v>
      </c>
      <c r="S48" s="253">
        <f>IF(S$9=0,0,S$9/AGR_fec!S$9)</f>
        <v>0.65864750976677566</v>
      </c>
      <c r="T48" s="253">
        <f>IF(T$9=0,0,T$9/AGR_fec!T$9)</f>
        <v>0.65738757733668551</v>
      </c>
      <c r="U48" s="253">
        <f>IF(U$9=0,0,U$9/AGR_fec!U$9)</f>
        <v>0.65874676574244939</v>
      </c>
      <c r="V48" s="253">
        <f>IF(V$9=0,0,V$9/AGR_fec!V$9)</f>
        <v>0.65712790455795567</v>
      </c>
      <c r="W48" s="253">
        <f>IF(W$9=0,0,W$9/AGR_fec!W$9)</f>
        <v>0.65708936773573068</v>
      </c>
      <c r="DA48" s="290"/>
    </row>
    <row r="49" spans="1:105" x14ac:dyDescent="0.25">
      <c r="A49" s="128" t="s">
        <v>175</v>
      </c>
      <c r="B49" s="265">
        <f>IF(B$16=0,0,B$16/AGR_fec!B$16)</f>
        <v>0.33533410760021654</v>
      </c>
      <c r="C49" s="265">
        <f>IF(C$16=0,0,C$16/AGR_fec!C$16)</f>
        <v>0.33533410760021648</v>
      </c>
      <c r="D49" s="265">
        <f>IF(D$16=0,0,D$16/AGR_fec!D$16)</f>
        <v>0.33533410760021642</v>
      </c>
      <c r="E49" s="265">
        <f>IF(E$16=0,0,E$16/AGR_fec!E$16)</f>
        <v>0.33533410760021648</v>
      </c>
      <c r="F49" s="265">
        <f>IF(F$16=0,0,F$16/AGR_fec!F$16)</f>
        <v>0.33533410760021642</v>
      </c>
      <c r="G49" s="265">
        <f>IF(G$16=0,0,G$16/AGR_fec!G$16)</f>
        <v>0.33533410760021642</v>
      </c>
      <c r="H49" s="265">
        <f>IF(H$16=0,0,H$16/AGR_fec!H$16)</f>
        <v>0.33533410760021631</v>
      </c>
      <c r="I49" s="265">
        <f>IF(I$16=0,0,I$16/AGR_fec!I$16)</f>
        <v>0.33533410760021648</v>
      </c>
      <c r="J49" s="265">
        <f>IF(J$16=0,0,J$16/AGR_fec!J$16)</f>
        <v>0.33533410760021648</v>
      </c>
      <c r="K49" s="265">
        <f>IF(K$16=0,0,K$16/AGR_fec!K$16)</f>
        <v>0.33533410760021654</v>
      </c>
      <c r="L49" s="265">
        <f>IF(L$16=0,0,L$16/AGR_fec!L$16)</f>
        <v>0.33533410760021665</v>
      </c>
      <c r="M49" s="265">
        <f>IF(M$16=0,0,M$16/AGR_fec!M$16)</f>
        <v>0.33533410760021654</v>
      </c>
      <c r="N49" s="265">
        <f>IF(N$16=0,0,N$16/AGR_fec!N$16)</f>
        <v>0.33533410760021648</v>
      </c>
      <c r="O49" s="265">
        <f>IF(O$16=0,0,O$16/AGR_fec!O$16)</f>
        <v>0.33533410760021637</v>
      </c>
      <c r="P49" s="265">
        <f>IF(P$16=0,0,P$16/AGR_fec!P$16)</f>
        <v>0.33533410760021659</v>
      </c>
      <c r="Q49" s="265">
        <f>IF(Q$16=0,0,Q$16/AGR_fec!Q$16)</f>
        <v>0.33533410760021631</v>
      </c>
      <c r="R49" s="265">
        <f>IF(R$16=0,0,R$16/AGR_fec!R$16)</f>
        <v>0.33533410760021637</v>
      </c>
      <c r="S49" s="265">
        <f>IF(S$16=0,0,S$16/AGR_fec!S$16)</f>
        <v>0.33533410760021654</v>
      </c>
      <c r="T49" s="265">
        <f>IF(T$16=0,0,T$16/AGR_fec!T$16)</f>
        <v>0.33533410760021654</v>
      </c>
      <c r="U49" s="265">
        <f>IF(U$16=0,0,U$16/AGR_fec!U$16)</f>
        <v>0.33533410760021637</v>
      </c>
      <c r="V49" s="265">
        <f>IF(V$16=0,0,V$16/AGR_fec!V$16)</f>
        <v>0.33533410760021642</v>
      </c>
      <c r="W49" s="265">
        <f>IF(W$16=0,0,W$16/AGR_fec!W$16)</f>
        <v>0.33533410760021659</v>
      </c>
      <c r="DA49" s="291"/>
    </row>
    <row r="50" spans="1:105" x14ac:dyDescent="0.25">
      <c r="A50" s="128" t="s">
        <v>121</v>
      </c>
      <c r="B50" s="265">
        <f>IF(B$17=0,0,B$17/AGR_fec!B$17)</f>
        <v>0.27487019811336583</v>
      </c>
      <c r="C50" s="265">
        <f>IF(C$17=0,0,C$17/AGR_fec!C$17)</f>
        <v>0.27655561473598872</v>
      </c>
      <c r="D50" s="265">
        <f>IF(D$17=0,0,D$17/AGR_fec!D$17)</f>
        <v>0.2770705473627203</v>
      </c>
      <c r="E50" s="265">
        <f>IF(E$17=0,0,E$17/AGR_fec!E$17)</f>
        <v>0.27677091069806325</v>
      </c>
      <c r="F50" s="265">
        <f>IF(F$17=0,0,F$17/AGR_fec!F$17)</f>
        <v>0.28066891117597248</v>
      </c>
      <c r="G50" s="265">
        <f>IF(G$17=0,0,G$17/AGR_fec!G$17)</f>
        <v>0.28091772714111229</v>
      </c>
      <c r="H50" s="265">
        <f>IF(H$17=0,0,H$17/AGR_fec!H$17)</f>
        <v>0.27950993224350634</v>
      </c>
      <c r="I50" s="265">
        <f>IF(I$17=0,0,I$17/AGR_fec!I$17)</f>
        <v>0.27760460081695443</v>
      </c>
      <c r="J50" s="265">
        <f>IF(J$17=0,0,J$17/AGR_fec!J$17)</f>
        <v>0.27910562670922534</v>
      </c>
      <c r="K50" s="265">
        <f>IF(K$17=0,0,K$17/AGR_fec!K$17)</f>
        <v>0.27676099793198117</v>
      </c>
      <c r="L50" s="265">
        <f>IF(L$17=0,0,L$17/AGR_fec!L$17)</f>
        <v>0.27634756203002764</v>
      </c>
      <c r="M50" s="265">
        <f>IF(M$17=0,0,M$17/AGR_fec!M$17)</f>
        <v>0.27627963250735493</v>
      </c>
      <c r="N50" s="265">
        <f>IF(N$17=0,0,N$17/AGR_fec!N$17)</f>
        <v>0.27385841054488991</v>
      </c>
      <c r="O50" s="265">
        <f>IF(O$17=0,0,O$17/AGR_fec!O$17)</f>
        <v>0.27647237354626952</v>
      </c>
      <c r="P50" s="265">
        <f>IF(P$17=0,0,P$17/AGR_fec!P$17)</f>
        <v>0.27309943289291061</v>
      </c>
      <c r="Q50" s="265">
        <f>IF(Q$17=0,0,Q$17/AGR_fec!Q$17)</f>
        <v>0.27201060534119476</v>
      </c>
      <c r="R50" s="265">
        <f>IF(R$17=0,0,R$17/AGR_fec!R$17)</f>
        <v>0.27357721336832941</v>
      </c>
      <c r="S50" s="265">
        <f>IF(S$17=0,0,S$17/AGR_fec!S$17)</f>
        <v>0.27107512557464408</v>
      </c>
      <c r="T50" s="265">
        <f>IF(T$17=0,0,T$17/AGR_fec!T$17)</f>
        <v>0.26905404234592911</v>
      </c>
      <c r="U50" s="265">
        <f>IF(U$17=0,0,U$17/AGR_fec!U$17)</f>
        <v>0.27043974715270386</v>
      </c>
      <c r="V50" s="265">
        <f>IF(V$17=0,0,V$17/AGR_fec!V$17)</f>
        <v>0.2725790324099468</v>
      </c>
      <c r="W50" s="265">
        <f>IF(W$17=0,0,W$17/AGR_fec!W$17)</f>
        <v>0.27226197309617106</v>
      </c>
      <c r="DA50" s="291"/>
    </row>
    <row r="51" spans="1:105" x14ac:dyDescent="0.25">
      <c r="A51" s="128" t="s">
        <v>174</v>
      </c>
      <c r="B51" s="265">
        <f>IF(B$25=0,0,B$25/AGR_fec!B$25)</f>
        <v>0.2347338753201515</v>
      </c>
      <c r="C51" s="265">
        <f>IF(C$25=0,0,C$25/AGR_fec!C$25)</f>
        <v>0.23473387532015147</v>
      </c>
      <c r="D51" s="265">
        <f>IF(D$25=0,0,D$25/AGR_fec!D$25)</f>
        <v>0.2347338753201515</v>
      </c>
      <c r="E51" s="265">
        <f>IF(E$25=0,0,E$25/AGR_fec!E$25)</f>
        <v>0.23473387532015141</v>
      </c>
      <c r="F51" s="265">
        <f>IF(F$25=0,0,F$25/AGR_fec!F$25)</f>
        <v>0.2347338753201515</v>
      </c>
      <c r="G51" s="265">
        <f>IF(G$25=0,0,G$25/AGR_fec!G$25)</f>
        <v>0.23473387532015144</v>
      </c>
      <c r="H51" s="265">
        <f>IF(H$25=0,0,H$25/AGR_fec!H$25)</f>
        <v>0.23473387532015147</v>
      </c>
      <c r="I51" s="265">
        <f>IF(I$25=0,0,I$25/AGR_fec!I$25)</f>
        <v>0.2347338753201515</v>
      </c>
      <c r="J51" s="265">
        <f>IF(J$25=0,0,J$25/AGR_fec!J$25)</f>
        <v>0.23473387532015139</v>
      </c>
      <c r="K51" s="265">
        <f>IF(K$25=0,0,K$25/AGR_fec!K$25)</f>
        <v>0.23473387532015144</v>
      </c>
      <c r="L51" s="265">
        <f>IF(L$25=0,0,L$25/AGR_fec!L$25)</f>
        <v>0.23473387532015152</v>
      </c>
      <c r="M51" s="265">
        <f>IF(M$25=0,0,M$25/AGR_fec!M$25)</f>
        <v>0.23473387532015141</v>
      </c>
      <c r="N51" s="265">
        <f>IF(N$25=0,0,N$25/AGR_fec!N$25)</f>
        <v>0.23473387532015141</v>
      </c>
      <c r="O51" s="265">
        <f>IF(O$25=0,0,O$25/AGR_fec!O$25)</f>
        <v>0.23473387532015147</v>
      </c>
      <c r="P51" s="265">
        <f>IF(P$25=0,0,P$25/AGR_fec!P$25)</f>
        <v>0.2347338753201515</v>
      </c>
      <c r="Q51" s="265">
        <f>IF(Q$25=0,0,Q$25/AGR_fec!Q$25)</f>
        <v>0.23473387532015152</v>
      </c>
      <c r="R51" s="265">
        <f>IF(R$25=0,0,R$25/AGR_fec!R$25)</f>
        <v>0.23473387532015147</v>
      </c>
      <c r="S51" s="265">
        <f>IF(S$25=0,0,S$25/AGR_fec!S$25)</f>
        <v>0.23473387532015144</v>
      </c>
      <c r="T51" s="265">
        <f>IF(T$25=0,0,T$25/AGR_fec!T$25)</f>
        <v>0.2347338753201515</v>
      </c>
      <c r="U51" s="265">
        <f>IF(U$25=0,0,U$25/AGR_fec!U$25)</f>
        <v>0.23473387532015147</v>
      </c>
      <c r="V51" s="265">
        <f>IF(V$25=0,0,V$25/AGR_fec!V$25)</f>
        <v>0.23473387532015147</v>
      </c>
      <c r="W51" s="265">
        <f>IF(W$25=0,0,W$25/AGR_fec!W$25)</f>
        <v>0.23473387532015144</v>
      </c>
      <c r="DA51" s="291"/>
    </row>
    <row r="52" spans="1:105" x14ac:dyDescent="0.25">
      <c r="A52" s="128" t="s">
        <v>177</v>
      </c>
      <c r="B52" s="265">
        <f>IF(B$26=0,0,B$26/AGR_fec!B$26)</f>
        <v>0.46469548649934617</v>
      </c>
      <c r="C52" s="265">
        <f>IF(C$26=0,0,C$26/AGR_fec!C$26)</f>
        <v>0.46469548649934594</v>
      </c>
      <c r="D52" s="265">
        <f>IF(D$26=0,0,D$26/AGR_fec!D$26)</f>
        <v>0.46469548649934606</v>
      </c>
      <c r="E52" s="265">
        <f>IF(E$26=0,0,E$26/AGR_fec!E$26)</f>
        <v>0.46469548649934606</v>
      </c>
      <c r="F52" s="265">
        <f>IF(F$26=0,0,F$26/AGR_fec!F$26)</f>
        <v>0.46469548649934617</v>
      </c>
      <c r="G52" s="265">
        <f>IF(G$26=0,0,G$26/AGR_fec!G$26)</f>
        <v>0.46469548649934589</v>
      </c>
      <c r="H52" s="265">
        <f>IF(H$26=0,0,H$26/AGR_fec!H$26)</f>
        <v>0.46469548649934611</v>
      </c>
      <c r="I52" s="265">
        <f>IF(I$26=0,0,I$26/AGR_fec!I$26)</f>
        <v>0.46469548649934606</v>
      </c>
      <c r="J52" s="265">
        <f>IF(J$26=0,0,J$26/AGR_fec!J$26)</f>
        <v>0.46469548649934622</v>
      </c>
      <c r="K52" s="265">
        <f>IF(K$26=0,0,K$26/AGR_fec!K$26)</f>
        <v>0.46469548649934606</v>
      </c>
      <c r="L52" s="265">
        <f>IF(L$26=0,0,L$26/AGR_fec!L$26)</f>
        <v>0.46469548649934589</v>
      </c>
      <c r="M52" s="265">
        <f>IF(M$26=0,0,M$26/AGR_fec!M$26)</f>
        <v>0.46469548649934594</v>
      </c>
      <c r="N52" s="265">
        <f>IF(N$26=0,0,N$26/AGR_fec!N$26)</f>
        <v>0.46469548649934578</v>
      </c>
      <c r="O52" s="265">
        <f>IF(O$26=0,0,O$26/AGR_fec!O$26)</f>
        <v>0.46469548649934606</v>
      </c>
      <c r="P52" s="265">
        <f>IF(P$26=0,0,P$26/AGR_fec!P$26)</f>
        <v>0.464695486499346</v>
      </c>
      <c r="Q52" s="265">
        <f>IF(Q$26=0,0,Q$26/AGR_fec!Q$26)</f>
        <v>0.46469548649934589</v>
      </c>
      <c r="R52" s="265">
        <f>IF(R$26=0,0,R$26/AGR_fec!R$26)</f>
        <v>0.464695486499346</v>
      </c>
      <c r="S52" s="265">
        <f>IF(S$26=0,0,S$26/AGR_fec!S$26)</f>
        <v>0.46469548649934594</v>
      </c>
      <c r="T52" s="265">
        <f>IF(T$26=0,0,T$26/AGR_fec!T$26)</f>
        <v>0.46469548649934594</v>
      </c>
      <c r="U52" s="265">
        <f>IF(U$26=0,0,U$26/AGR_fec!U$26)</f>
        <v>0.46469548649934594</v>
      </c>
      <c r="V52" s="265">
        <f>IF(V$26=0,0,V$26/AGR_fec!V$26)</f>
        <v>0.46469548649934606</v>
      </c>
      <c r="W52" s="265">
        <f>IF(W$26=0,0,W$26/AGR_fec!W$26)</f>
        <v>0.46469548649934589</v>
      </c>
      <c r="DA52" s="291"/>
    </row>
    <row r="53" spans="1:105" x14ac:dyDescent="0.25">
      <c r="A53" s="261" t="s">
        <v>33</v>
      </c>
      <c r="B53" s="266">
        <f>IF(B$27=0,0,B$27/AGR_fec!B$27)</f>
        <v>0.48843173088768671</v>
      </c>
      <c r="C53" s="266">
        <f>IF(C$27=0,0,C$27/AGR_fec!C$27)</f>
        <v>0.48843173088768665</v>
      </c>
      <c r="D53" s="266">
        <f>IF(D$27=0,0,D$27/AGR_fec!D$27)</f>
        <v>0.48843173088768677</v>
      </c>
      <c r="E53" s="266">
        <f>IF(E$27=0,0,E$27/AGR_fec!E$27)</f>
        <v>0.48843173088768682</v>
      </c>
      <c r="F53" s="266">
        <f>IF(F$27=0,0,F$27/AGR_fec!F$27)</f>
        <v>0.4884317308876871</v>
      </c>
      <c r="G53" s="266">
        <f>IF(G$27=0,0,G$27/AGR_fec!G$27)</f>
        <v>0.48843173088768671</v>
      </c>
      <c r="H53" s="266">
        <f>IF(H$27=0,0,H$27/AGR_fec!H$27)</f>
        <v>0.48843173088768693</v>
      </c>
      <c r="I53" s="266">
        <f>IF(I$27=0,0,I$27/AGR_fec!I$27)</f>
        <v>0.48843173088768677</v>
      </c>
      <c r="J53" s="266">
        <f>IF(J$27=0,0,J$27/AGR_fec!J$27)</f>
        <v>0.48843173088768693</v>
      </c>
      <c r="K53" s="266">
        <f>IF(K$27=0,0,K$27/AGR_fec!K$27)</f>
        <v>0.48843173088768682</v>
      </c>
      <c r="L53" s="266">
        <f>IF(L$27=0,0,L$27/AGR_fec!L$27)</f>
        <v>0.48843173088768699</v>
      </c>
      <c r="M53" s="266">
        <f>IF(M$27=0,0,M$27/AGR_fec!M$27)</f>
        <v>0.48843173088768671</v>
      </c>
      <c r="N53" s="266">
        <f>IF(N$27=0,0,N$27/AGR_fec!N$27)</f>
        <v>0.48843173088768688</v>
      </c>
      <c r="O53" s="266">
        <f>IF(O$27=0,0,O$27/AGR_fec!O$27)</f>
        <v>0.48843173088768688</v>
      </c>
      <c r="P53" s="266">
        <f>IF(P$27=0,0,P$27/AGR_fec!P$27)</f>
        <v>0.48843173088768688</v>
      </c>
      <c r="Q53" s="266">
        <f>IF(Q$27=0,0,Q$27/AGR_fec!Q$27)</f>
        <v>0.48843173088768699</v>
      </c>
      <c r="R53" s="266">
        <f>IF(R$27=0,0,R$27/AGR_fec!R$27)</f>
        <v>0.48843173088768682</v>
      </c>
      <c r="S53" s="266">
        <f>IF(S$27=0,0,S$27/AGR_fec!S$27)</f>
        <v>0.48843173088768671</v>
      </c>
      <c r="T53" s="266">
        <f>IF(T$27=0,0,T$27/AGR_fec!T$27)</f>
        <v>0.48843173088768688</v>
      </c>
      <c r="U53" s="266">
        <f>IF(U$27=0,0,U$27/AGR_fec!U$27)</f>
        <v>0.48843173088768688</v>
      </c>
      <c r="V53" s="266">
        <f>IF(V$27=0,0,V$27/AGR_fec!V$27)</f>
        <v>0.4884317308876866</v>
      </c>
      <c r="W53" s="266">
        <f>IF(W$27=0,0,W$27/AGR_fec!W$27)</f>
        <v>0.48843173088768677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1623.5532825365813</v>
      </c>
      <c r="C5" s="80">
        <f t="shared" ref="C5:W5" si="0">SUM(C6:C9,C16:C17,C25:C27)</f>
        <v>1481.208623386246</v>
      </c>
      <c r="D5" s="80">
        <f t="shared" si="0"/>
        <v>1510.7295936488324</v>
      </c>
      <c r="E5" s="80">
        <f t="shared" si="0"/>
        <v>1408.5398410443099</v>
      </c>
      <c r="F5" s="80">
        <f t="shared" si="0"/>
        <v>1299.9213500981998</v>
      </c>
      <c r="G5" s="80">
        <f t="shared" si="0"/>
        <v>1248.2256145136298</v>
      </c>
      <c r="H5" s="80">
        <f t="shared" si="0"/>
        <v>1243.5598470218883</v>
      </c>
      <c r="I5" s="80">
        <f t="shared" si="0"/>
        <v>1099.5546721172998</v>
      </c>
      <c r="J5" s="80">
        <f t="shared" si="0"/>
        <v>1179.0141533986628</v>
      </c>
      <c r="K5" s="80">
        <f t="shared" si="0"/>
        <v>986.13461051884349</v>
      </c>
      <c r="L5" s="80">
        <f t="shared" si="0"/>
        <v>1130.5428262776841</v>
      </c>
      <c r="M5" s="80">
        <f t="shared" si="0"/>
        <v>1110.9086027981111</v>
      </c>
      <c r="N5" s="80">
        <f t="shared" si="0"/>
        <v>871.06115963870752</v>
      </c>
      <c r="O5" s="80">
        <f t="shared" si="0"/>
        <v>1269.0737030372898</v>
      </c>
      <c r="P5" s="80">
        <f t="shared" si="0"/>
        <v>1366.8614427585403</v>
      </c>
      <c r="Q5" s="80">
        <f t="shared" si="0"/>
        <v>1377.6874469978609</v>
      </c>
      <c r="R5" s="80">
        <f t="shared" si="0"/>
        <v>1536.5335805982006</v>
      </c>
      <c r="S5" s="80">
        <f t="shared" si="0"/>
        <v>1432.2854477853075</v>
      </c>
      <c r="T5" s="80">
        <f t="shared" si="0"/>
        <v>1532.0586452102207</v>
      </c>
      <c r="U5" s="80">
        <f t="shared" si="0"/>
        <v>1584.6929817224102</v>
      </c>
      <c r="V5" s="80">
        <f t="shared" si="0"/>
        <v>1675.0744065654133</v>
      </c>
      <c r="W5" s="80">
        <f t="shared" si="0"/>
        <v>1591.7872792134822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338.14125407966191</v>
      </c>
      <c r="C9" s="244">
        <f t="shared" ref="C9:W9" si="1">SUM(C10:C15)</f>
        <v>310.76157646010341</v>
      </c>
      <c r="D9" s="244">
        <f t="shared" si="1"/>
        <v>316.90320381544512</v>
      </c>
      <c r="E9" s="244">
        <f t="shared" si="1"/>
        <v>292.24682911209618</v>
      </c>
      <c r="F9" s="244">
        <f t="shared" si="1"/>
        <v>269.91812230191863</v>
      </c>
      <c r="G9" s="244">
        <f t="shared" si="1"/>
        <v>266.34014961576884</v>
      </c>
      <c r="H9" s="244">
        <f t="shared" si="1"/>
        <v>262.41215917437648</v>
      </c>
      <c r="I9" s="244">
        <f t="shared" si="1"/>
        <v>222.32215609450685</v>
      </c>
      <c r="J9" s="244">
        <f t="shared" si="1"/>
        <v>241.10356947945959</v>
      </c>
      <c r="K9" s="244">
        <f t="shared" si="1"/>
        <v>202.93932875468602</v>
      </c>
      <c r="L9" s="244">
        <f t="shared" si="1"/>
        <v>235.19030875382037</v>
      </c>
      <c r="M9" s="244">
        <f t="shared" si="1"/>
        <v>230.05373658036638</v>
      </c>
      <c r="N9" s="244">
        <f t="shared" si="1"/>
        <v>174.35465873764767</v>
      </c>
      <c r="O9" s="244">
        <f t="shared" si="1"/>
        <v>262.9099505319885</v>
      </c>
      <c r="P9" s="244">
        <f t="shared" si="1"/>
        <v>279.98567669104358</v>
      </c>
      <c r="Q9" s="244">
        <f t="shared" si="1"/>
        <v>280.7342737528225</v>
      </c>
      <c r="R9" s="244">
        <f t="shared" si="1"/>
        <v>319.95299864788439</v>
      </c>
      <c r="S9" s="244">
        <f t="shared" si="1"/>
        <v>294.1417211839518</v>
      </c>
      <c r="T9" s="244">
        <f t="shared" si="1"/>
        <v>311.7887816158086</v>
      </c>
      <c r="U9" s="244">
        <f t="shared" si="1"/>
        <v>323.05805363631509</v>
      </c>
      <c r="V9" s="244">
        <f t="shared" si="1"/>
        <v>343.92433674177539</v>
      </c>
      <c r="W9" s="244">
        <f t="shared" si="1"/>
        <v>327.82697576589999</v>
      </c>
      <c r="DA9" s="270"/>
    </row>
    <row r="10" spans="1:105" x14ac:dyDescent="0.25">
      <c r="A10" s="254" t="s">
        <v>173</v>
      </c>
      <c r="B10" s="255">
        <v>159.2039054109795</v>
      </c>
      <c r="C10" s="255">
        <v>111.5230083929621</v>
      </c>
      <c r="D10" s="255">
        <v>120.2070803976586</v>
      </c>
      <c r="E10" s="255">
        <v>113.6309041917297</v>
      </c>
      <c r="F10" s="255">
        <v>93.445092050324348</v>
      </c>
      <c r="G10" s="255">
        <v>82.217721392683742</v>
      </c>
      <c r="H10" s="255">
        <v>101.78994822622241</v>
      </c>
      <c r="I10" s="255">
        <v>98.716798623856434</v>
      </c>
      <c r="J10" s="255">
        <v>105.6562500244662</v>
      </c>
      <c r="K10" s="255">
        <v>103.76754223373641</v>
      </c>
      <c r="L10" s="255">
        <v>132.59851593792919</v>
      </c>
      <c r="M10" s="255">
        <v>126.3190923254807</v>
      </c>
      <c r="N10" s="255">
        <v>99.902165728845077</v>
      </c>
      <c r="O10" s="255">
        <v>169.7052398734811</v>
      </c>
      <c r="P10" s="255">
        <v>153.25247122662299</v>
      </c>
      <c r="Q10" s="255">
        <v>170.8194825502552</v>
      </c>
      <c r="R10" s="255">
        <v>176.06756592350129</v>
      </c>
      <c r="S10" s="255">
        <v>175.54303600101949</v>
      </c>
      <c r="T10" s="255">
        <v>204.8793318968506</v>
      </c>
      <c r="U10" s="255">
        <v>199.16739943401191</v>
      </c>
      <c r="V10" s="255">
        <v>203.1645309657689</v>
      </c>
      <c r="W10" s="255">
        <v>193.6873716674304</v>
      </c>
      <c r="DA10" s="271" t="s">
        <v>1038</v>
      </c>
    </row>
    <row r="11" spans="1:105" x14ac:dyDescent="0.25">
      <c r="A11" s="254" t="s">
        <v>176</v>
      </c>
      <c r="B11" s="256">
        <v>178.9373486686824</v>
      </c>
      <c r="C11" s="256">
        <v>199.2385680671413</v>
      </c>
      <c r="D11" s="256">
        <v>196.69612341778651</v>
      </c>
      <c r="E11" s="256">
        <v>178.6159249203665</v>
      </c>
      <c r="F11" s="256">
        <v>176.47303025159431</v>
      </c>
      <c r="G11" s="256">
        <v>184.12242822308511</v>
      </c>
      <c r="H11" s="256">
        <v>160.62221094815411</v>
      </c>
      <c r="I11" s="256">
        <v>123.6053574706504</v>
      </c>
      <c r="J11" s="256">
        <v>135.44731945499339</v>
      </c>
      <c r="K11" s="256">
        <v>99.17178652094961</v>
      </c>
      <c r="L11" s="256">
        <v>102.5917928158912</v>
      </c>
      <c r="M11" s="256">
        <v>103.73464425488569</v>
      </c>
      <c r="N11" s="256">
        <v>74.452493008802591</v>
      </c>
      <c r="O11" s="256">
        <v>93.204710658507409</v>
      </c>
      <c r="P11" s="256">
        <v>126.73320546442061</v>
      </c>
      <c r="Q11" s="256">
        <v>109.9147912025673</v>
      </c>
      <c r="R11" s="256">
        <v>143.88543272438309</v>
      </c>
      <c r="S11" s="256">
        <v>118.5986851829323</v>
      </c>
      <c r="T11" s="256">
        <v>106.909449718958</v>
      </c>
      <c r="U11" s="256">
        <v>123.8906542023032</v>
      </c>
      <c r="V11" s="256">
        <v>140.75980577600649</v>
      </c>
      <c r="W11" s="256">
        <v>134.13960409846959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475.47999783184957</v>
      </c>
      <c r="C16" s="258">
        <v>420.30112991804071</v>
      </c>
      <c r="D16" s="258">
        <v>438.43125177534262</v>
      </c>
      <c r="E16" s="258">
        <v>412.48348017452162</v>
      </c>
      <c r="F16" s="258">
        <v>386.55545824747878</v>
      </c>
      <c r="G16" s="258">
        <v>365.1877746636419</v>
      </c>
      <c r="H16" s="258">
        <v>378.03340858938759</v>
      </c>
      <c r="I16" s="258">
        <v>343.2219291065494</v>
      </c>
      <c r="J16" s="258">
        <v>365.97279325951189</v>
      </c>
      <c r="K16" s="258">
        <v>318.14159800250911</v>
      </c>
      <c r="L16" s="258">
        <v>361.82314360336062</v>
      </c>
      <c r="M16" s="258">
        <v>354.65507233823871</v>
      </c>
      <c r="N16" s="258">
        <v>287.72922015932761</v>
      </c>
      <c r="O16" s="258">
        <v>398.00991982838781</v>
      </c>
      <c r="P16" s="258">
        <v>436.90880920924099</v>
      </c>
      <c r="Q16" s="258">
        <v>446.34306813009113</v>
      </c>
      <c r="R16" s="258">
        <v>491.77072908346207</v>
      </c>
      <c r="S16" s="258">
        <v>468.46489695778718</v>
      </c>
      <c r="T16" s="258">
        <v>507.81755277742758</v>
      </c>
      <c r="U16" s="258">
        <v>519.25863894640736</v>
      </c>
      <c r="V16" s="258">
        <v>540.1616846768444</v>
      </c>
      <c r="W16" s="258">
        <v>515.40937607414469</v>
      </c>
      <c r="DA16" s="273" t="s">
        <v>1044</v>
      </c>
    </row>
    <row r="17" spans="1:105" x14ac:dyDescent="0.25">
      <c r="A17" s="257" t="s">
        <v>121</v>
      </c>
      <c r="B17" s="258">
        <f>SUM(B18:B24)</f>
        <v>718.56458652203582</v>
      </c>
      <c r="C17" s="258">
        <f t="shared" ref="C17:W17" si="2">SUM(C18:C24)</f>
        <v>669.38155222022897</v>
      </c>
      <c r="D17" s="258">
        <f t="shared" si="2"/>
        <v>671.1469192638375</v>
      </c>
      <c r="E17" s="258">
        <f t="shared" si="2"/>
        <v>624.54739351818137</v>
      </c>
      <c r="F17" s="258">
        <f t="shared" si="2"/>
        <v>569.1679167995826</v>
      </c>
      <c r="G17" s="258">
        <f t="shared" si="2"/>
        <v>546.52381595803695</v>
      </c>
      <c r="H17" s="258">
        <f t="shared" si="2"/>
        <v>530.47200937112666</v>
      </c>
      <c r="I17" s="258">
        <f t="shared" si="2"/>
        <v>468.05763292117734</v>
      </c>
      <c r="J17" s="258">
        <f t="shared" si="2"/>
        <v>501.61306851818347</v>
      </c>
      <c r="K17" s="258">
        <f t="shared" si="2"/>
        <v>403.92012440081123</v>
      </c>
      <c r="L17" s="258">
        <f t="shared" si="2"/>
        <v>464.00204154246455</v>
      </c>
      <c r="M17" s="258">
        <f t="shared" si="2"/>
        <v>458.04986613179688</v>
      </c>
      <c r="N17" s="258">
        <f t="shared" si="2"/>
        <v>353.68771323186229</v>
      </c>
      <c r="O17" s="258">
        <f t="shared" si="2"/>
        <v>531.67290967658664</v>
      </c>
      <c r="P17" s="258">
        <f t="shared" si="2"/>
        <v>566.01128809074316</v>
      </c>
      <c r="Q17" s="258">
        <f t="shared" si="2"/>
        <v>564.84156487327209</v>
      </c>
      <c r="R17" s="258">
        <f t="shared" si="2"/>
        <v>630.31200899134535</v>
      </c>
      <c r="S17" s="258">
        <f t="shared" si="2"/>
        <v>579.6593956354086</v>
      </c>
      <c r="T17" s="258">
        <f t="shared" si="2"/>
        <v>614.87093603886092</v>
      </c>
      <c r="U17" s="258">
        <f t="shared" si="2"/>
        <v>642.59641430732654</v>
      </c>
      <c r="V17" s="258">
        <f t="shared" si="2"/>
        <v>687.19181587708988</v>
      </c>
      <c r="W17" s="258">
        <f t="shared" si="2"/>
        <v>649.51072048068067</v>
      </c>
      <c r="DA17" s="273"/>
    </row>
    <row r="18" spans="1:105" x14ac:dyDescent="0.25">
      <c r="A18" s="61" t="s">
        <v>29</v>
      </c>
      <c r="B18" s="55">
        <v>112.75794585889901</v>
      </c>
      <c r="C18" s="55">
        <v>87.822065987533591</v>
      </c>
      <c r="D18" s="55">
        <v>76.755302090709094</v>
      </c>
      <c r="E18" s="55">
        <v>73.202795486473718</v>
      </c>
      <c r="F18" s="55">
        <v>20.714478540516058</v>
      </c>
      <c r="G18" s="55">
        <v>17.992632475080139</v>
      </c>
      <c r="H18" s="55">
        <v>12.947183783597231</v>
      </c>
      <c r="I18" s="55">
        <v>12.701111279965181</v>
      </c>
      <c r="J18" s="55">
        <v>9.0817135199886447</v>
      </c>
      <c r="K18" s="55">
        <v>3.3449644799956211</v>
      </c>
      <c r="L18" s="55">
        <v>1.6551902399962251</v>
      </c>
      <c r="M18" s="55">
        <v>2.2817519999956719</v>
      </c>
      <c r="N18" s="55">
        <v>1.7146747199970791</v>
      </c>
      <c r="O18" s="55">
        <v>3.756936479991035</v>
      </c>
      <c r="P18" s="55">
        <v>0</v>
      </c>
      <c r="Q18" s="55">
        <v>1.8011347199969061</v>
      </c>
      <c r="R18" s="55">
        <v>1.74510863999777</v>
      </c>
      <c r="S18" s="55">
        <v>1.344881627707734</v>
      </c>
      <c r="T18" s="55">
        <v>3.6895618522380009</v>
      </c>
      <c r="U18" s="55">
        <v>5.9482077245991247</v>
      </c>
      <c r="V18" s="55">
        <v>6.0070261268233196</v>
      </c>
      <c r="W18" s="55">
        <v>5.9956049348474076</v>
      </c>
      <c r="DA18" s="101" t="s">
        <v>1045</v>
      </c>
    </row>
    <row r="19" spans="1:105" x14ac:dyDescent="0.25">
      <c r="A19" s="61" t="s">
        <v>27</v>
      </c>
      <c r="B19" s="55">
        <v>23.877014759958708</v>
      </c>
      <c r="C19" s="55">
        <v>29.846325239969449</v>
      </c>
      <c r="D19" s="55">
        <v>26.861669999960711</v>
      </c>
      <c r="E19" s="55">
        <v>20.892359519961751</v>
      </c>
      <c r="F19" s="55">
        <v>38.554049519924632</v>
      </c>
      <c r="G19" s="55">
        <v>38.554049519952002</v>
      </c>
      <c r="H19" s="55">
        <v>26.691299999959931</v>
      </c>
      <c r="I19" s="55">
        <v>23.72549903993497</v>
      </c>
      <c r="J19" s="55">
        <v>29.657100959962939</v>
      </c>
      <c r="K19" s="55">
        <v>0</v>
      </c>
      <c r="L19" s="55">
        <v>26.691299999939151</v>
      </c>
      <c r="M19" s="55">
        <v>32.622674759938107</v>
      </c>
      <c r="N19" s="55">
        <v>2.9658009599949469</v>
      </c>
      <c r="O19" s="55">
        <v>86.005274759794787</v>
      </c>
      <c r="P19" s="55">
        <v>83.039700959903456</v>
      </c>
      <c r="Q19" s="55">
        <v>68.211150479882875</v>
      </c>
      <c r="R19" s="55">
        <v>84.468083039892065</v>
      </c>
      <c r="S19" s="55">
        <v>61.140113999887028</v>
      </c>
      <c r="T19" s="55">
        <v>49.494302279927439</v>
      </c>
      <c r="U19" s="55">
        <v>61.140113999906212</v>
      </c>
      <c r="V19" s="55">
        <v>75.697208279929754</v>
      </c>
      <c r="W19" s="55">
        <v>58.228604279945067</v>
      </c>
      <c r="DA19" s="101" t="s">
        <v>1046</v>
      </c>
    </row>
    <row r="20" spans="1:105" x14ac:dyDescent="0.25">
      <c r="A20" s="61" t="s">
        <v>173</v>
      </c>
      <c r="B20" s="55">
        <v>248.95645265255379</v>
      </c>
      <c r="C20" s="55">
        <v>174.42765618031731</v>
      </c>
      <c r="D20" s="55">
        <v>195.1103786715737</v>
      </c>
      <c r="E20" s="55">
        <v>188.0122663127984</v>
      </c>
      <c r="F20" s="55">
        <v>172.19590803145701</v>
      </c>
      <c r="G20" s="55">
        <v>148.3573593065872</v>
      </c>
      <c r="H20" s="55">
        <v>186.7559436562606</v>
      </c>
      <c r="I20" s="55">
        <v>186.1290071926413</v>
      </c>
      <c r="J20" s="55">
        <v>198.74992349359221</v>
      </c>
      <c r="K20" s="55">
        <v>201.6413893220556</v>
      </c>
      <c r="L20" s="55">
        <v>242.11089699894671</v>
      </c>
      <c r="M20" s="55">
        <v>228.9259965071835</v>
      </c>
      <c r="N20" s="55">
        <v>198.19215768094219</v>
      </c>
      <c r="O20" s="55">
        <v>283.23960621578482</v>
      </c>
      <c r="P20" s="55">
        <v>262.65533971558591</v>
      </c>
      <c r="Q20" s="55">
        <v>299.19739799637421</v>
      </c>
      <c r="R20" s="55">
        <v>299.41321003623989</v>
      </c>
      <c r="S20" s="55">
        <v>308.64837519122591</v>
      </c>
      <c r="T20" s="55">
        <v>369.08984162599921</v>
      </c>
      <c r="U20" s="55">
        <v>354.80449678554089</v>
      </c>
      <c r="V20" s="55">
        <v>357.67634724663168</v>
      </c>
      <c r="W20" s="55">
        <v>345.80011536464161</v>
      </c>
      <c r="DA20" s="101" t="s">
        <v>1047</v>
      </c>
    </row>
    <row r="21" spans="1:105" x14ac:dyDescent="0.25">
      <c r="A21" s="61" t="s">
        <v>129</v>
      </c>
      <c r="B21" s="55">
        <v>53.158381919908066</v>
      </c>
      <c r="C21" s="55">
        <v>65.666252879932784</v>
      </c>
      <c r="D21" s="55">
        <v>53.158381919922242</v>
      </c>
      <c r="E21" s="55">
        <v>46.904307119914137</v>
      </c>
      <c r="F21" s="55">
        <v>12.50787095997555</v>
      </c>
      <c r="G21" s="55">
        <v>9.3809728799883203</v>
      </c>
      <c r="H21" s="55">
        <v>9.3809728799859169</v>
      </c>
      <c r="I21" s="55">
        <v>12.44601287996589</v>
      </c>
      <c r="J21" s="55">
        <v>9.3344399999883336</v>
      </c>
      <c r="K21" s="55">
        <v>6.2228671199918537</v>
      </c>
      <c r="L21" s="55">
        <v>6.2228671199858123</v>
      </c>
      <c r="M21" s="55">
        <v>6.2228671199881962</v>
      </c>
      <c r="N21" s="55">
        <v>3.1115728799947</v>
      </c>
      <c r="O21" s="55">
        <v>3.111572879992575</v>
      </c>
      <c r="P21" s="55">
        <v>3.111572879996384</v>
      </c>
      <c r="Q21" s="55">
        <v>3.111572879994656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1048</v>
      </c>
    </row>
    <row r="22" spans="1:105" x14ac:dyDescent="0.25">
      <c r="A22" s="61" t="s">
        <v>176</v>
      </c>
      <c r="B22" s="55">
        <v>279.81479133071628</v>
      </c>
      <c r="C22" s="55">
        <v>311.61925193247572</v>
      </c>
      <c r="D22" s="55">
        <v>319.26118658167172</v>
      </c>
      <c r="E22" s="55">
        <v>295.53566507903338</v>
      </c>
      <c r="F22" s="55">
        <v>325.19560974770928</v>
      </c>
      <c r="G22" s="55">
        <v>332.23880177642923</v>
      </c>
      <c r="H22" s="55">
        <v>294.69660905132298</v>
      </c>
      <c r="I22" s="55">
        <v>233.05600252867001</v>
      </c>
      <c r="J22" s="55">
        <v>254.7898905446514</v>
      </c>
      <c r="K22" s="55">
        <v>192.71090347876819</v>
      </c>
      <c r="L22" s="55">
        <v>187.3217871835966</v>
      </c>
      <c r="M22" s="55">
        <v>187.9965757446914</v>
      </c>
      <c r="N22" s="55">
        <v>147.70350699093339</v>
      </c>
      <c r="O22" s="55">
        <v>155.55951934102339</v>
      </c>
      <c r="P22" s="55">
        <v>217.20467453525731</v>
      </c>
      <c r="Q22" s="55">
        <v>192.52030879702349</v>
      </c>
      <c r="R22" s="55">
        <v>244.6856072752156</v>
      </c>
      <c r="S22" s="55">
        <v>208.52602481658789</v>
      </c>
      <c r="T22" s="55">
        <v>192.59723028069629</v>
      </c>
      <c r="U22" s="55">
        <v>220.70359579728029</v>
      </c>
      <c r="V22" s="55">
        <v>247.8112342237051</v>
      </c>
      <c r="W22" s="55">
        <v>239.4863959012466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91.367444103033833</v>
      </c>
      <c r="C25" s="258">
        <v>80.764364787872921</v>
      </c>
      <c r="D25" s="258">
        <v>84.248218794207062</v>
      </c>
      <c r="E25" s="258">
        <v>79.262138239511003</v>
      </c>
      <c r="F25" s="258">
        <v>74.279852749219799</v>
      </c>
      <c r="G25" s="258">
        <v>70.173874276182204</v>
      </c>
      <c r="H25" s="258">
        <v>72.642269886997539</v>
      </c>
      <c r="I25" s="258">
        <v>65.952953995066053</v>
      </c>
      <c r="J25" s="258">
        <v>70.32472214150792</v>
      </c>
      <c r="K25" s="258">
        <v>61.133559360837147</v>
      </c>
      <c r="L25" s="258">
        <v>69.52733237803848</v>
      </c>
      <c r="M25" s="258">
        <v>68.1499277477091</v>
      </c>
      <c r="N25" s="258">
        <v>55.289567509869983</v>
      </c>
      <c r="O25" s="258">
        <v>76.480923000326726</v>
      </c>
      <c r="P25" s="258">
        <v>83.955668767512662</v>
      </c>
      <c r="Q25" s="258">
        <v>85.768540241675353</v>
      </c>
      <c r="R25" s="258">
        <v>94.497843875508821</v>
      </c>
      <c r="S25" s="258">
        <v>90.019434008159749</v>
      </c>
      <c r="T25" s="258">
        <v>97.581374778123475</v>
      </c>
      <c r="U25" s="258">
        <v>99.779874832361102</v>
      </c>
      <c r="V25" s="258">
        <v>103.7965692697037</v>
      </c>
      <c r="W25" s="258">
        <v>99.040206892756828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1</v>
      </c>
      <c r="D31" s="236">
        <f t="shared" si="3"/>
        <v>0.99999999999999978</v>
      </c>
      <c r="E31" s="236">
        <f t="shared" si="3"/>
        <v>1</v>
      </c>
      <c r="F31" s="236">
        <f t="shared" si="3"/>
        <v>1</v>
      </c>
      <c r="G31" s="236">
        <f t="shared" si="3"/>
        <v>1</v>
      </c>
      <c r="H31" s="236">
        <f t="shared" si="3"/>
        <v>0.99999999999999989</v>
      </c>
      <c r="I31" s="236">
        <f t="shared" si="3"/>
        <v>0.99999999999999989</v>
      </c>
      <c r="J31" s="236">
        <f t="shared" si="3"/>
        <v>1</v>
      </c>
      <c r="K31" s="236">
        <f t="shared" si="3"/>
        <v>1</v>
      </c>
      <c r="L31" s="236">
        <f t="shared" si="3"/>
        <v>0.99999999999999989</v>
      </c>
      <c r="M31" s="236">
        <f t="shared" si="3"/>
        <v>0.99999999999999989</v>
      </c>
      <c r="N31" s="236">
        <f t="shared" si="3"/>
        <v>1</v>
      </c>
      <c r="O31" s="236">
        <f t="shared" si="3"/>
        <v>1</v>
      </c>
      <c r="P31" s="236">
        <f t="shared" si="3"/>
        <v>1</v>
      </c>
      <c r="Q31" s="236">
        <f t="shared" si="3"/>
        <v>1</v>
      </c>
      <c r="R31" s="236">
        <f t="shared" ref="R31:W31" si="4">SUM(R32:R40)</f>
        <v>0.99999999999999989</v>
      </c>
      <c r="S31" s="236">
        <f t="shared" si="4"/>
        <v>0.99999999999999989</v>
      </c>
      <c r="T31" s="236">
        <f t="shared" si="4"/>
        <v>0.99999999999999989</v>
      </c>
      <c r="U31" s="236">
        <f t="shared" si="4"/>
        <v>0.99999999999999989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0.2082723478907709</v>
      </c>
      <c r="C35" s="247">
        <f t="shared" si="8"/>
        <v>0.2098027054080065</v>
      </c>
      <c r="D35" s="247">
        <f t="shared" si="8"/>
        <v>0.20976831667805995</v>
      </c>
      <c r="E35" s="247">
        <f t="shared" si="8"/>
        <v>0.20748211771945374</v>
      </c>
      <c r="F35" s="247">
        <f t="shared" si="8"/>
        <v>0.20764188716611834</v>
      </c>
      <c r="G35" s="247">
        <f t="shared" si="8"/>
        <v>0.21337500730550868</v>
      </c>
      <c r="H35" s="247">
        <f t="shared" si="8"/>
        <v>0.21101691229642738</v>
      </c>
      <c r="I35" s="247">
        <f t="shared" si="8"/>
        <v>0.20219290748535845</v>
      </c>
      <c r="J35" s="247">
        <f t="shared" si="8"/>
        <v>0.20449590769071513</v>
      </c>
      <c r="K35" s="247">
        <f t="shared" si="8"/>
        <v>0.20579272503975071</v>
      </c>
      <c r="L35" s="247">
        <f t="shared" si="8"/>
        <v>0.2080330822390738</v>
      </c>
      <c r="M35" s="247">
        <f t="shared" si="8"/>
        <v>0.20708610591448876</v>
      </c>
      <c r="N35" s="247">
        <f t="shared" si="8"/>
        <v>0.20016350954043829</v>
      </c>
      <c r="O35" s="247">
        <f t="shared" si="8"/>
        <v>0.2071668098572706</v>
      </c>
      <c r="P35" s="247">
        <f t="shared" si="8"/>
        <v>0.20483837493139662</v>
      </c>
      <c r="Q35" s="247">
        <f t="shared" si="8"/>
        <v>0.20377210692060432</v>
      </c>
      <c r="R35" s="247">
        <f t="shared" si="8"/>
        <v>0.20823039775240113</v>
      </c>
      <c r="S35" s="247">
        <f t="shared" si="8"/>
        <v>0.20536529337694018</v>
      </c>
      <c r="T35" s="247">
        <f t="shared" si="8"/>
        <v>0.20350969108824596</v>
      </c>
      <c r="U35" s="247">
        <f t="shared" si="8"/>
        <v>0.20386160433750505</v>
      </c>
      <c r="V35" s="247">
        <f t="shared" si="8"/>
        <v>0.20531884159519861</v>
      </c>
      <c r="W35" s="247">
        <f t="shared" si="8"/>
        <v>0.2059489858015969</v>
      </c>
      <c r="DA35" s="278"/>
    </row>
    <row r="36" spans="1:105" x14ac:dyDescent="0.25">
      <c r="A36" s="128" t="s">
        <v>175</v>
      </c>
      <c r="B36" s="260">
        <f t="shared" ref="B36:W36" si="9">IF(B$16=0,0,B$16/B$5)</f>
        <v>0.29286380862658029</v>
      </c>
      <c r="C36" s="260">
        <f t="shared" si="9"/>
        <v>0.28375552456424047</v>
      </c>
      <c r="D36" s="260">
        <f t="shared" si="9"/>
        <v>0.29021159949373143</v>
      </c>
      <c r="E36" s="260">
        <f t="shared" si="9"/>
        <v>0.2928447376175749</v>
      </c>
      <c r="F36" s="260">
        <f t="shared" si="9"/>
        <v>0.29736834326036515</v>
      </c>
      <c r="G36" s="260">
        <f t="shared" si="9"/>
        <v>0.2925655189394083</v>
      </c>
      <c r="H36" s="260">
        <f t="shared" si="9"/>
        <v>0.30399293567954327</v>
      </c>
      <c r="I36" s="260">
        <f t="shared" si="9"/>
        <v>0.31214630596370629</v>
      </c>
      <c r="J36" s="260">
        <f t="shared" si="9"/>
        <v>0.31040576756822413</v>
      </c>
      <c r="K36" s="260">
        <f t="shared" si="9"/>
        <v>0.3226147775455549</v>
      </c>
      <c r="L36" s="260">
        <f t="shared" si="9"/>
        <v>0.3200437304924259</v>
      </c>
      <c r="M36" s="260">
        <f t="shared" si="9"/>
        <v>0.31924775039544029</v>
      </c>
      <c r="N36" s="260">
        <f t="shared" si="9"/>
        <v>0.33032034200522714</v>
      </c>
      <c r="O36" s="260">
        <f t="shared" si="9"/>
        <v>0.31362238369278772</v>
      </c>
      <c r="P36" s="260">
        <f t="shared" si="9"/>
        <v>0.31964381724565338</v>
      </c>
      <c r="Q36" s="260">
        <f t="shared" si="9"/>
        <v>0.32397991946774568</v>
      </c>
      <c r="R36" s="260">
        <f t="shared" si="9"/>
        <v>0.3200520543729391</v>
      </c>
      <c r="S36" s="260">
        <f t="shared" si="9"/>
        <v>0.32707509364293125</v>
      </c>
      <c r="T36" s="260">
        <f t="shared" si="9"/>
        <v>0.33146091004091272</v>
      </c>
      <c r="U36" s="260">
        <f t="shared" si="9"/>
        <v>0.32767144483849653</v>
      </c>
      <c r="V36" s="260">
        <f t="shared" si="9"/>
        <v>0.32247026314753174</v>
      </c>
      <c r="W36" s="260">
        <f t="shared" si="9"/>
        <v>0.32379287283211206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0.44258762200854679</v>
      </c>
      <c r="C37" s="260">
        <f t="shared" si="10"/>
        <v>0.45191578124216625</v>
      </c>
      <c r="D37" s="260">
        <f t="shared" si="10"/>
        <v>0.44425350644176559</v>
      </c>
      <c r="E37" s="260">
        <f t="shared" si="10"/>
        <v>0.44340058784218256</v>
      </c>
      <c r="F37" s="260">
        <f t="shared" si="10"/>
        <v>0.43784796422997901</v>
      </c>
      <c r="G37" s="260">
        <f t="shared" si="10"/>
        <v>0.43784057113023556</v>
      </c>
      <c r="H37" s="260">
        <f t="shared" si="10"/>
        <v>0.42657537603961382</v>
      </c>
      <c r="I37" s="260">
        <f t="shared" si="10"/>
        <v>0.42567927251847032</v>
      </c>
      <c r="J37" s="260">
        <f t="shared" si="10"/>
        <v>0.42545126966645658</v>
      </c>
      <c r="K37" s="260">
        <f t="shared" si="10"/>
        <v>0.40959937932641188</v>
      </c>
      <c r="L37" s="260">
        <f t="shared" si="10"/>
        <v>0.41042411729787609</v>
      </c>
      <c r="M37" s="260">
        <f t="shared" si="10"/>
        <v>0.41232002792856193</v>
      </c>
      <c r="N37" s="260">
        <f t="shared" si="10"/>
        <v>0.4060423419390693</v>
      </c>
      <c r="O37" s="260">
        <f t="shared" si="10"/>
        <v>0.41894565178060761</v>
      </c>
      <c r="P37" s="260">
        <f t="shared" si="10"/>
        <v>0.4140955845154603</v>
      </c>
      <c r="Q37" s="260">
        <f t="shared" si="10"/>
        <v>0.40999253212630099</v>
      </c>
      <c r="R37" s="260">
        <f t="shared" si="10"/>
        <v>0.41021687840102611</v>
      </c>
      <c r="S37" s="260">
        <f t="shared" si="10"/>
        <v>0.40470940798268634</v>
      </c>
      <c r="T37" s="260">
        <f t="shared" si="10"/>
        <v>0.40133642270233832</v>
      </c>
      <c r="U37" s="260">
        <f t="shared" si="10"/>
        <v>0.4055021519745014</v>
      </c>
      <c r="V37" s="260">
        <f t="shared" si="10"/>
        <v>0.4102455468149106</v>
      </c>
      <c r="W37" s="260">
        <f t="shared" si="10"/>
        <v>0.40803864245077415</v>
      </c>
      <c r="DA37" s="279"/>
    </row>
    <row r="38" spans="1:105" x14ac:dyDescent="0.25">
      <c r="A38" s="128" t="s">
        <v>174</v>
      </c>
      <c r="B38" s="260">
        <f t="shared" ref="B38:W38" si="11">IF(B$25=0,0,B$25/B$5)</f>
        <v>5.6276221474101933E-2</v>
      </c>
      <c r="C38" s="260">
        <f t="shared" si="11"/>
        <v>5.4525988785586808E-2</v>
      </c>
      <c r="D38" s="260">
        <f t="shared" si="11"/>
        <v>5.576657738644291E-2</v>
      </c>
      <c r="E38" s="260">
        <f t="shared" si="11"/>
        <v>5.627255682078898E-2</v>
      </c>
      <c r="F38" s="260">
        <f t="shared" si="11"/>
        <v>5.7141805343537501E-2</v>
      </c>
      <c r="G38" s="260">
        <f t="shared" si="11"/>
        <v>5.6218902624847515E-2</v>
      </c>
      <c r="H38" s="260">
        <f t="shared" si="11"/>
        <v>5.841477598441544E-2</v>
      </c>
      <c r="I38" s="260">
        <f t="shared" si="11"/>
        <v>5.9981514032464801E-2</v>
      </c>
      <c r="J38" s="260">
        <f t="shared" si="11"/>
        <v>5.964705507460423E-2</v>
      </c>
      <c r="K38" s="260">
        <f t="shared" si="11"/>
        <v>6.1993118088282513E-2</v>
      </c>
      <c r="L38" s="260">
        <f t="shared" si="11"/>
        <v>6.1499069970624154E-2</v>
      </c>
      <c r="M38" s="260">
        <f t="shared" si="11"/>
        <v>6.134611576150896E-2</v>
      </c>
      <c r="N38" s="260">
        <f t="shared" si="11"/>
        <v>6.3473806515265352E-2</v>
      </c>
      <c r="O38" s="260">
        <f t="shared" si="11"/>
        <v>6.0265154669334013E-2</v>
      </c>
      <c r="P38" s="260">
        <f t="shared" si="11"/>
        <v>6.1422223307489733E-2</v>
      </c>
      <c r="Q38" s="260">
        <f t="shared" si="11"/>
        <v>6.2255441485349124E-2</v>
      </c>
      <c r="R38" s="260">
        <f t="shared" si="11"/>
        <v>6.1500669473633689E-2</v>
      </c>
      <c r="S38" s="260">
        <f t="shared" si="11"/>
        <v>6.2850204997442108E-2</v>
      </c>
      <c r="T38" s="260">
        <f t="shared" si="11"/>
        <v>6.3692976168502932E-2</v>
      </c>
      <c r="U38" s="260">
        <f t="shared" si="11"/>
        <v>6.2964798849496947E-2</v>
      </c>
      <c r="V38" s="260">
        <f t="shared" si="11"/>
        <v>6.1965348442359083E-2</v>
      </c>
      <c r="W38" s="260">
        <f t="shared" si="11"/>
        <v>6.2219498915516883E-2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2.4183403033991064</v>
      </c>
      <c r="C44" s="238">
        <f>IF(C$5=0,0,C$5/AGR_fec!C$5)</f>
        <v>2.3362233994773884</v>
      </c>
      <c r="D44" s="238">
        <f>IF(D$5=0,0,D$5/AGR_fec!D$5)</f>
        <v>2.3107350902678494</v>
      </c>
      <c r="E44" s="238">
        <f>IF(E$5=0,0,E$5/AGR_fec!E$5)</f>
        <v>2.2859537564694157</v>
      </c>
      <c r="F44" s="238">
        <f>IF(F$5=0,0,F$5/AGR_fec!F$5)</f>
        <v>2.2158741912415674</v>
      </c>
      <c r="G44" s="238">
        <f>IF(G$5=0,0,G$5/AGR_fec!G$5)</f>
        <v>2.2269056500446429</v>
      </c>
      <c r="H44" s="238">
        <f>IF(H$5=0,0,H$5/AGR_fec!H$5)</f>
        <v>2.2594597895306725</v>
      </c>
      <c r="I44" s="238">
        <f>IF(I$5=0,0,I$5/AGR_fec!I$5)</f>
        <v>2.2063361860809083</v>
      </c>
      <c r="J44" s="238">
        <f>IF(J$5=0,0,J$5/AGR_fec!J$5)</f>
        <v>2.2382465141946106</v>
      </c>
      <c r="K44" s="238">
        <f>IF(K$5=0,0,K$5/AGR_fec!K$5)</f>
        <v>2.2316212157447404</v>
      </c>
      <c r="L44" s="238">
        <f>IF(L$5=0,0,L$5/AGR_fec!L$5)</f>
        <v>2.3163636902679192</v>
      </c>
      <c r="M44" s="238">
        <f>IF(M$5=0,0,M$5/AGR_fec!M$5)</f>
        <v>2.2989177271765184</v>
      </c>
      <c r="N44" s="238">
        <f>IF(N$5=0,0,N$5/AGR_fec!N$5)</f>
        <v>2.1821410171647462</v>
      </c>
      <c r="O44" s="238">
        <f>IF(O$5=0,0,O$5/AGR_fec!O$5)</f>
        <v>2.4270383021408559</v>
      </c>
      <c r="P44" s="238">
        <f>IF(P$5=0,0,P$5/AGR_fec!P$5)</f>
        <v>2.296642742657093</v>
      </c>
      <c r="Q44" s="238">
        <f>IF(Q$5=0,0,Q$5/AGR_fec!Q$5)</f>
        <v>2.3070050006933074</v>
      </c>
      <c r="R44" s="238">
        <f>IF(R$5=0,0,R$5/AGR_fec!R$5)</f>
        <v>2.3038258505815712</v>
      </c>
      <c r="S44" s="238">
        <f>IF(S$5=0,0,S$5/AGR_fec!S$5)</f>
        <v>2.2788026237478038</v>
      </c>
      <c r="T44" s="238">
        <f>IF(T$5=0,0,T$5/AGR_fec!T$5)</f>
        <v>2.2882719109365124</v>
      </c>
      <c r="U44" s="238">
        <f>IF(U$5=0,0,U$5/AGR_fec!U$5)</f>
        <v>2.2865187889192966</v>
      </c>
      <c r="V44" s="238">
        <f>IF(V$5=0,0,V$5/AGR_fec!V$5)</f>
        <v>2.3179607097641197</v>
      </c>
      <c r="W44" s="238">
        <f>IF(W$5=0,0,W$5/AGR_fec!W$5)</f>
        <v>2.3144793886160158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2.4575417643891382</v>
      </c>
      <c r="C48" s="253">
        <f>IF(C$9=0,0,C$9/AGR_fec!C$9)</f>
        <v>2.3500501828264371</v>
      </c>
      <c r="D48" s="253">
        <f>IF(D$9=0,0,D$9/AGR_fec!D$9)</f>
        <v>2.3343552124300713</v>
      </c>
      <c r="E48" s="253">
        <f>IF(E$9=0,0,E$9/AGR_fec!E$9)</f>
        <v>2.2958732052325308</v>
      </c>
      <c r="F48" s="253">
        <f>IF(F$9=0,0,F$9/AGR_fec!F$9)</f>
        <v>2.1747432282993668</v>
      </c>
      <c r="G48" s="253">
        <f>IF(G$9=0,0,G$9/AGR_fec!G$9)</f>
        <v>2.2084525910282573</v>
      </c>
      <c r="H48" s="253">
        <f>IF(H$9=0,0,H$9/AGR_fec!H$9)</f>
        <v>2.2486339287173855</v>
      </c>
      <c r="I48" s="253">
        <f>IF(I$9=0,0,I$9/AGR_fec!I$9)</f>
        <v>2.1495820746248588</v>
      </c>
      <c r="J48" s="253">
        <f>IF(J$9=0,0,J$9/AGR_fec!J$9)</f>
        <v>2.190766511685653</v>
      </c>
      <c r="K48" s="253">
        <f>IF(K$9=0,0,K$9/AGR_fec!K$9)</f>
        <v>2.2140338134117354</v>
      </c>
      <c r="L48" s="253">
        <f>IF(L$9=0,0,L$9/AGR_fec!L$9)</f>
        <v>2.3347760052747062</v>
      </c>
      <c r="M48" s="253">
        <f>IF(M$9=0,0,M$9/AGR_fec!M$9)</f>
        <v>2.3085090787332265</v>
      </c>
      <c r="N48" s="253">
        <f>IF(N$9=0,0,N$9/AGR_fec!N$9)</f>
        <v>2.1333678873821653</v>
      </c>
      <c r="O48" s="253">
        <f>IF(O$9=0,0,O$9/AGR_fec!O$9)</f>
        <v>2.4749476302134115</v>
      </c>
      <c r="P48" s="253">
        <f>IF(P$9=0,0,P$9/AGR_fec!P$9)</f>
        <v>2.257307307855934</v>
      </c>
      <c r="Q48" s="253">
        <f>IF(Q$9=0,0,Q$9/AGR_fec!Q$9)</f>
        <v>2.2834489311360806</v>
      </c>
      <c r="R48" s="253">
        <f>IF(R$9=0,0,R$9/AGR_fec!R$9)</f>
        <v>2.3058291322145257</v>
      </c>
      <c r="S48" s="253">
        <f>IF(S$9=0,0,S$9/AGR_fec!S$9)</f>
        <v>2.2645928360490828</v>
      </c>
      <c r="T48" s="253">
        <f>IF(T$9=0,0,T$9/AGR_fec!T$9)</f>
        <v>2.2697466265513109</v>
      </c>
      <c r="U48" s="253">
        <f>IF(U$9=0,0,U$9/AGR_fec!U$9)</f>
        <v>2.2629668561025928</v>
      </c>
      <c r="V48" s="253">
        <f>IF(V$9=0,0,V$9/AGR_fec!V$9)</f>
        <v>2.2989756566982198</v>
      </c>
      <c r="W48" s="253">
        <f>IF(W$9=0,0,W$9/AGR_fec!W$9)</f>
        <v>2.296268984467154</v>
      </c>
      <c r="DA48" s="290"/>
    </row>
    <row r="49" spans="1:105" x14ac:dyDescent="0.25">
      <c r="A49" s="128" t="s">
        <v>175</v>
      </c>
      <c r="B49" s="265">
        <f>IF(B$16=0,0,B$16/AGR_fec!B$16)</f>
        <v>3.1024188000000001</v>
      </c>
      <c r="C49" s="265">
        <f>IF(C$16=0,0,C$16/AGR_fec!C$16)</f>
        <v>3.102418800000001</v>
      </c>
      <c r="D49" s="265">
        <f>IF(D$16=0,0,D$16/AGR_fec!D$16)</f>
        <v>3.1024188000000006</v>
      </c>
      <c r="E49" s="265">
        <f>IF(E$16=0,0,E$16/AGR_fec!E$16)</f>
        <v>3.1024188000000001</v>
      </c>
      <c r="F49" s="265">
        <f>IF(F$16=0,0,F$16/AGR_fec!F$16)</f>
        <v>3.1024187999999997</v>
      </c>
      <c r="G49" s="265">
        <f>IF(G$16=0,0,G$16/AGR_fec!G$16)</f>
        <v>3.1024188000000006</v>
      </c>
      <c r="H49" s="265">
        <f>IF(H$16=0,0,H$16/AGR_fec!H$16)</f>
        <v>3.1024187999999993</v>
      </c>
      <c r="I49" s="265">
        <f>IF(I$16=0,0,I$16/AGR_fec!I$16)</f>
        <v>3.1024188000000006</v>
      </c>
      <c r="J49" s="265">
        <f>IF(J$16=0,0,J$16/AGR_fec!J$16)</f>
        <v>3.1024188000000006</v>
      </c>
      <c r="K49" s="265">
        <f>IF(K$16=0,0,K$16/AGR_fec!K$16)</f>
        <v>3.1024188000000015</v>
      </c>
      <c r="L49" s="265">
        <f>IF(L$16=0,0,L$16/AGR_fec!L$16)</f>
        <v>3.1024188000000015</v>
      </c>
      <c r="M49" s="265">
        <f>IF(M$16=0,0,M$16/AGR_fec!M$16)</f>
        <v>3.1024188000000015</v>
      </c>
      <c r="N49" s="265">
        <f>IF(N$16=0,0,N$16/AGR_fec!N$16)</f>
        <v>3.0890297180157016</v>
      </c>
      <c r="O49" s="265">
        <f>IF(O$16=0,0,O$16/AGR_fec!O$16)</f>
        <v>3.1024187999999997</v>
      </c>
      <c r="P49" s="265">
        <f>IF(P$16=0,0,P$16/AGR_fec!P$16)</f>
        <v>3.1024188000000006</v>
      </c>
      <c r="Q49" s="265">
        <f>IF(Q$16=0,0,Q$16/AGR_fec!Q$16)</f>
        <v>3.1024187999999993</v>
      </c>
      <c r="R49" s="265">
        <f>IF(R$16=0,0,R$16/AGR_fec!R$16)</f>
        <v>3.1024187999999997</v>
      </c>
      <c r="S49" s="265">
        <f>IF(S$16=0,0,S$16/AGR_fec!S$16)</f>
        <v>3.102418800000001</v>
      </c>
      <c r="T49" s="265">
        <f>IF(T$16=0,0,T$16/AGR_fec!T$16)</f>
        <v>3.1024187999999997</v>
      </c>
      <c r="U49" s="265">
        <f>IF(U$16=0,0,U$16/AGR_fec!U$16)</f>
        <v>3.1024188000000001</v>
      </c>
      <c r="V49" s="265">
        <f>IF(V$16=0,0,V$16/AGR_fec!V$16)</f>
        <v>3.1024187999999993</v>
      </c>
      <c r="W49" s="265">
        <f>IF(W$16=0,0,W$16/AGR_fec!W$16)</f>
        <v>3.102418800000001</v>
      </c>
      <c r="DA49" s="291"/>
    </row>
    <row r="50" spans="1:105" x14ac:dyDescent="0.25">
      <c r="A50" s="128" t="s">
        <v>121</v>
      </c>
      <c r="B50" s="265">
        <f>IF(B$17=0,0,B$17/AGR_fec!B$17)</f>
        <v>2.5806837447631801</v>
      </c>
      <c r="C50" s="265">
        <f>IF(C$17=0,0,C$17/AGR_fec!C$17)</f>
        <v>2.4969768436077415</v>
      </c>
      <c r="D50" s="265">
        <f>IF(D$17=0,0,D$17/AGR_fec!D$17)</f>
        <v>2.4707252346764905</v>
      </c>
      <c r="E50" s="265">
        <f>IF(E$17=0,0,E$17/AGR_fec!E$17)</f>
        <v>2.4650231552000541</v>
      </c>
      <c r="F50" s="265">
        <f>IF(F$17=0,0,F$17/AGR_fec!F$17)</f>
        <v>2.4081171298349604</v>
      </c>
      <c r="G50" s="265">
        <f>IF(G$17=0,0,G$17/AGR_fec!G$17)</f>
        <v>2.3691132117095925</v>
      </c>
      <c r="H50" s="265">
        <f>IF(H$17=0,0,H$17/AGR_fec!H$17)</f>
        <v>2.3950514706226462</v>
      </c>
      <c r="I50" s="265">
        <f>IF(I$17=0,0,I$17/AGR_fec!I$17)</f>
        <v>2.3968338673099723</v>
      </c>
      <c r="J50" s="265">
        <f>IF(J$17=0,0,J$17/AGR_fec!J$17)</f>
        <v>2.4175413807759121</v>
      </c>
      <c r="K50" s="265">
        <f>IF(K$17=0,0,K$17/AGR_fec!K$17)</f>
        <v>2.3713579199120081</v>
      </c>
      <c r="L50" s="265">
        <f>IF(L$17=0,0,L$17/AGR_fec!L$17)</f>
        <v>2.427859186822765</v>
      </c>
      <c r="M50" s="265">
        <f>IF(M$17=0,0,M$17/AGR_fec!M$17)</f>
        <v>2.412322504118559</v>
      </c>
      <c r="N50" s="265">
        <f>IF(N$17=0,0,N$17/AGR_fec!N$17)</f>
        <v>2.3435990854265505</v>
      </c>
      <c r="O50" s="265">
        <f>IF(O$17=0,0,O$17/AGR_fec!O$17)</f>
        <v>2.549799906367447</v>
      </c>
      <c r="P50" s="265">
        <f>IF(P$17=0,0,P$17/AGR_fec!P$17)</f>
        <v>2.3547321912980888</v>
      </c>
      <c r="Q50" s="265">
        <f>IF(Q$17=0,0,Q$17/AGR_fec!Q$17)</f>
        <v>2.3863127221178986</v>
      </c>
      <c r="R50" s="265">
        <f>IF(R$17=0,0,R$17/AGR_fec!R$17)</f>
        <v>2.337560067045743</v>
      </c>
      <c r="S50" s="265">
        <f>IF(S$17=0,0,S$17/AGR_fec!S$17)</f>
        <v>2.3228505293791182</v>
      </c>
      <c r="T50" s="265">
        <f>IF(T$17=0,0,T$17/AGR_fec!T$17)</f>
        <v>2.351030833488684</v>
      </c>
      <c r="U50" s="265">
        <f>IF(U$17=0,0,U$17/AGR_fec!U$17)</f>
        <v>2.3533592809308814</v>
      </c>
      <c r="V50" s="265">
        <f>IF(V$17=0,0,V$17/AGR_fec!V$17)</f>
        <v>2.3940799772086447</v>
      </c>
      <c r="W50" s="265">
        <f>IF(W$17=0,0,W$17/AGR_fec!W$17)</f>
        <v>2.3863527302059255</v>
      </c>
      <c r="DA50" s="291"/>
    </row>
    <row r="51" spans="1:105" x14ac:dyDescent="0.25">
      <c r="A51" s="128" t="s">
        <v>174</v>
      </c>
      <c r="B51" s="265">
        <f>IF(B$25=0,0,B$25/AGR_fec!B$25)</f>
        <v>3.1024188000000006</v>
      </c>
      <c r="C51" s="265">
        <f>IF(C$25=0,0,C$25/AGR_fec!C$25)</f>
        <v>3.1024188000000001</v>
      </c>
      <c r="D51" s="265">
        <f>IF(D$25=0,0,D$25/AGR_fec!D$25)</f>
        <v>3.1024188000000006</v>
      </c>
      <c r="E51" s="265">
        <f>IF(E$25=0,0,E$25/AGR_fec!E$25)</f>
        <v>3.1024187999999997</v>
      </c>
      <c r="F51" s="265">
        <f>IF(F$25=0,0,F$25/AGR_fec!F$25)</f>
        <v>3.1024188000000006</v>
      </c>
      <c r="G51" s="265">
        <f>IF(G$25=0,0,G$25/AGR_fec!G$25)</f>
        <v>3.1024187999999997</v>
      </c>
      <c r="H51" s="265">
        <f>IF(H$25=0,0,H$25/AGR_fec!H$25)</f>
        <v>3.1024188000000001</v>
      </c>
      <c r="I51" s="265">
        <f>IF(I$25=0,0,I$25/AGR_fec!I$25)</f>
        <v>3.1024187999999997</v>
      </c>
      <c r="J51" s="265">
        <f>IF(J$25=0,0,J$25/AGR_fec!J$25)</f>
        <v>3.1024188000000006</v>
      </c>
      <c r="K51" s="265">
        <f>IF(K$25=0,0,K$25/AGR_fec!K$25)</f>
        <v>3.1024188000000001</v>
      </c>
      <c r="L51" s="265">
        <f>IF(L$25=0,0,L$25/AGR_fec!L$25)</f>
        <v>3.1024188000000006</v>
      </c>
      <c r="M51" s="265">
        <f>IF(M$25=0,0,M$25/AGR_fec!M$25)</f>
        <v>3.1024187999999997</v>
      </c>
      <c r="N51" s="265">
        <f>IF(N$25=0,0,N$25/AGR_fec!N$25)</f>
        <v>3.0890297180157011</v>
      </c>
      <c r="O51" s="265">
        <f>IF(O$25=0,0,O$25/AGR_fec!O$25)</f>
        <v>3.1024188000000001</v>
      </c>
      <c r="P51" s="265">
        <f>IF(P$25=0,0,P$25/AGR_fec!P$25)</f>
        <v>3.1024188000000001</v>
      </c>
      <c r="Q51" s="265">
        <f>IF(Q$25=0,0,Q$25/AGR_fec!Q$25)</f>
        <v>3.1024188000000001</v>
      </c>
      <c r="R51" s="265">
        <f>IF(R$25=0,0,R$25/AGR_fec!R$25)</f>
        <v>3.1024187999999997</v>
      </c>
      <c r="S51" s="265">
        <f>IF(S$25=0,0,S$25/AGR_fec!S$25)</f>
        <v>3.1024187999999997</v>
      </c>
      <c r="T51" s="265">
        <f>IF(T$25=0,0,T$25/AGR_fec!T$25)</f>
        <v>3.1024187999999997</v>
      </c>
      <c r="U51" s="265">
        <f>IF(U$25=0,0,U$25/AGR_fec!U$25)</f>
        <v>3.1024188000000001</v>
      </c>
      <c r="V51" s="265">
        <f>IF(V$25=0,0,V$25/AGR_fec!V$25)</f>
        <v>3.1024187999999988</v>
      </c>
      <c r="W51" s="265">
        <f>IF(W$25=0,0,W$25/AGR_fec!W$25)</f>
        <v>3.1024188000000006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2024-05-20T16:51:27Z</dcterms:created>
  <dcterms:modified xsi:type="dcterms:W3CDTF">2024-05-20T16:51:27Z</dcterms:modified>
</cp:coreProperties>
</file>